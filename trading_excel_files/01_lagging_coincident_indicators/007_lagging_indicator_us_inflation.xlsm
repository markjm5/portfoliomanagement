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drawings/drawing2.xml" ContentType="application/vnd.openxmlformats-officedocument.drawing+xml"/>
  <Override PartName="/xl/tables/table1.xml" ContentType="application/vnd.openxmlformats-officedocument.spreadsheetml.table+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drawings/drawing3.xml" ContentType="application/vnd.openxmlformats-officedocument.drawing+xml"/>
  <Override PartName="/xl/tables/table2.xml" ContentType="application/vnd.openxmlformats-officedocument.spreadsheetml.table+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drawings/drawing4.xml" ContentType="application/vnd.openxmlformats-officedocument.drawing+xml"/>
  <Override PartName="/xl/tables/table3.xml" ContentType="application/vnd.openxmlformats-officedocument.spreadsheetml.table+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drawings/drawing5.xml" ContentType="application/vnd.openxmlformats-officedocument.drawing+xml"/>
  <Override PartName="/xl/tables/table4.xml" ContentType="application/vnd.openxmlformats-officedocument.spreadsheetml.table+xml"/>
  <Override PartName="/xl/charts/chart13.xml" ContentType="application/vnd.openxmlformats-officedocument.drawingml.chart+xml"/>
  <Override PartName="/xl/charts/chart14.xml" ContentType="application/vnd.openxmlformats-officedocument.drawingml.chart+xml"/>
  <Override PartName="/xl/charts/chart15.xml" ContentType="application/vnd.openxmlformats-officedocument.drawingml.chart+xml"/>
  <Override PartName="/xl/charts/chart16.xml" ContentType="application/vnd.openxmlformats-officedocument.drawingml.chart+xml"/>
  <Override PartName="/xl/charts/chart17.xml" ContentType="application/vnd.openxmlformats-officedocument.drawingml.chart+xml"/>
  <Override PartName="/xl/charts/chart18.xml" ContentType="application/vnd.openxmlformats-officedocument.drawingml.chart+xml"/>
  <Override PartName="/xl/charts/chart19.xml" ContentType="application/vnd.openxmlformats-officedocument.drawingml.chart+xml"/>
  <Override PartName="/xl/drawings/drawing6.xml" ContentType="application/vnd.openxmlformats-officedocument.drawing+xml"/>
  <Override PartName="/xl/charts/chart20.xml" ContentType="application/vnd.openxmlformats-officedocument.drawingml.chart+xml"/>
  <Override PartName="/xl/charts/chart21.xml" ContentType="application/vnd.openxmlformats-officedocument.drawingml.chart+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111" codeName="{296A6A55-71EF-3FAC-97E6-161027D96622}"/>
  <workbookPr codeName="ThisWorkbook" defaultThemeVersion="124226"/>
  <mc:AlternateContent xmlns:mc="http://schemas.openxmlformats.org/markup-compatibility/2006">
    <mc:Choice Requires="x15">
      <x15ac:absPath xmlns:x15ac="http://schemas.microsoft.com/office/spreadsheetml/2010/11/ac" url="/Users/markmukherjee/Documents/PythonProjects/PortfolioManagement/Trading_Excel_Files/01_Lagging_Coincident_Indicators/"/>
    </mc:Choice>
  </mc:AlternateContent>
  <xr:revisionPtr revIDLastSave="0" documentId="13_ncr:1_{868AEA8E-8FEE-0C45-8C62-B50525008462}" xr6:coauthVersionLast="47" xr6:coauthVersionMax="47" xr10:uidLastSave="{00000000-0000-0000-0000-000000000000}"/>
  <bookViews>
    <workbookView xWindow="-65860" yWindow="-640" windowWidth="68800" windowHeight="28160" xr2:uid="{00000000-000D-0000-FFFF-FFFF00000000}"/>
  </bookViews>
  <sheets>
    <sheet name="Note" sheetId="1" r:id="rId1"/>
    <sheet name="Database" sheetId="2" r:id="rId2"/>
    <sheet name="Fed Fund New" sheetId="4" r:id="rId3"/>
    <sheet name="CPI" sheetId="5" r:id="rId4"/>
    <sheet name="CPI Food" sheetId="6" r:id="rId5"/>
    <sheet name="CPI Energy" sheetId="7" r:id="rId6"/>
    <sheet name="Core CPI" sheetId="8" r:id="rId7"/>
    <sheet name="Recap" sheetId="9" r:id="rId8"/>
    <sheet name="Data" sheetId="10" state="veryHidden" r:id="rId9"/>
    <sheet name="Data2" sheetId="11" state="veryHidden" r:id="rId10"/>
  </sheet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I6" i="9" l="1"/>
  <c r="H6" i="9"/>
  <c r="B664" i="8"/>
  <c r="E664" i="8"/>
  <c r="B664" i="7"/>
  <c r="B664" i="6"/>
  <c r="B904" i="5"/>
  <c r="E904" i="5"/>
  <c r="F904" i="5"/>
  <c r="D4" i="9"/>
  <c r="E663" i="8"/>
  <c r="B663" i="8"/>
  <c r="E662" i="8"/>
  <c r="B662" i="8"/>
  <c r="E661" i="8"/>
  <c r="B661" i="8"/>
  <c r="E660" i="8"/>
  <c r="B660" i="8"/>
  <c r="E659" i="8"/>
  <c r="B659" i="8"/>
  <c r="E658" i="8"/>
  <c r="B658" i="8"/>
  <c r="E657" i="8"/>
  <c r="B657" i="8"/>
  <c r="E656" i="8"/>
  <c r="B656" i="8"/>
  <c r="E655" i="8"/>
  <c r="B655" i="8"/>
  <c r="E654" i="8"/>
  <c r="B654" i="8"/>
  <c r="E653" i="8"/>
  <c r="B653" i="8"/>
  <c r="E652" i="8"/>
  <c r="B652" i="8"/>
  <c r="E651" i="8"/>
  <c r="B651" i="8"/>
  <c r="E650" i="8"/>
  <c r="B650" i="8"/>
  <c r="E649" i="8"/>
  <c r="B649" i="8"/>
  <c r="E648" i="8"/>
  <c r="B648" i="8"/>
  <c r="E647" i="8"/>
  <c r="B647" i="8"/>
  <c r="E646" i="8"/>
  <c r="B646" i="8"/>
  <c r="E645" i="8"/>
  <c r="B645" i="8"/>
  <c r="E644" i="8"/>
  <c r="B644" i="8"/>
  <c r="E643" i="8"/>
  <c r="B643" i="8"/>
  <c r="E642" i="8"/>
  <c r="B642" i="8"/>
  <c r="E641" i="8"/>
  <c r="B641" i="8"/>
  <c r="E640" i="8"/>
  <c r="B640" i="8"/>
  <c r="E639" i="8"/>
  <c r="B639" i="8"/>
  <c r="E638" i="8"/>
  <c r="B638" i="8"/>
  <c r="E637" i="8"/>
  <c r="B637" i="8"/>
  <c r="E636" i="8"/>
  <c r="B636" i="8"/>
  <c r="E635" i="8"/>
  <c r="B635" i="8"/>
  <c r="E634" i="8"/>
  <c r="B634" i="8"/>
  <c r="E633" i="8"/>
  <c r="B633" i="8"/>
  <c r="E632" i="8"/>
  <c r="B632" i="8"/>
  <c r="E631" i="8"/>
  <c r="B631" i="8"/>
  <c r="E630" i="8"/>
  <c r="B630" i="8"/>
  <c r="D642" i="8" s="1"/>
  <c r="E629" i="8"/>
  <c r="B629" i="8"/>
  <c r="E628" i="8"/>
  <c r="B628" i="8"/>
  <c r="E627" i="8"/>
  <c r="B627" i="8"/>
  <c r="E626" i="8"/>
  <c r="B626" i="8"/>
  <c r="E625" i="8"/>
  <c r="B625" i="8"/>
  <c r="E624" i="8"/>
  <c r="B624" i="8"/>
  <c r="E623" i="8"/>
  <c r="B623" i="8"/>
  <c r="E622" i="8"/>
  <c r="B622" i="8"/>
  <c r="E621" i="8"/>
  <c r="B621" i="8"/>
  <c r="E620" i="8"/>
  <c r="B620" i="8"/>
  <c r="E619" i="8"/>
  <c r="B619" i="8"/>
  <c r="E618" i="8"/>
  <c r="B618" i="8"/>
  <c r="E617" i="8"/>
  <c r="B617" i="8"/>
  <c r="E616" i="8"/>
  <c r="B616" i="8"/>
  <c r="E615" i="8"/>
  <c r="B615" i="8"/>
  <c r="E614" i="8"/>
  <c r="B614" i="8"/>
  <c r="D626" i="8" s="1"/>
  <c r="E613" i="8"/>
  <c r="B613" i="8"/>
  <c r="E612" i="8"/>
  <c r="B612" i="8"/>
  <c r="E611" i="8"/>
  <c r="B611" i="8"/>
  <c r="E610" i="8"/>
  <c r="B610" i="8"/>
  <c r="C610" i="8" s="1"/>
  <c r="E609" i="8"/>
  <c r="B609" i="8"/>
  <c r="E608" i="8"/>
  <c r="B608" i="8"/>
  <c r="E607" i="8"/>
  <c r="B607" i="8"/>
  <c r="E606" i="8"/>
  <c r="B606" i="8"/>
  <c r="E605" i="8"/>
  <c r="B605" i="8"/>
  <c r="E604" i="8"/>
  <c r="B604" i="8"/>
  <c r="E603" i="8"/>
  <c r="B603" i="8"/>
  <c r="E602" i="8"/>
  <c r="B602" i="8"/>
  <c r="C602" i="8" s="1"/>
  <c r="E601" i="8"/>
  <c r="B601" i="8"/>
  <c r="E600" i="8"/>
  <c r="B600" i="8"/>
  <c r="E599" i="8"/>
  <c r="B599" i="8"/>
  <c r="E598" i="8"/>
  <c r="B598" i="8"/>
  <c r="E597" i="8"/>
  <c r="B597" i="8"/>
  <c r="E596" i="8"/>
  <c r="B596" i="8"/>
  <c r="E595" i="8"/>
  <c r="B595" i="8"/>
  <c r="E594" i="8"/>
  <c r="B594" i="8"/>
  <c r="C594" i="8" s="1"/>
  <c r="E593" i="8"/>
  <c r="B593" i="8"/>
  <c r="E592" i="8"/>
  <c r="B592" i="8"/>
  <c r="E591" i="8"/>
  <c r="B591" i="8"/>
  <c r="E590" i="8"/>
  <c r="B590" i="8"/>
  <c r="E589" i="8"/>
  <c r="B589" i="8"/>
  <c r="E588" i="8"/>
  <c r="B588" i="8"/>
  <c r="E587" i="8"/>
  <c r="B587" i="8"/>
  <c r="E586" i="8"/>
  <c r="B586" i="8"/>
  <c r="E585" i="8"/>
  <c r="B585" i="8"/>
  <c r="E584" i="8"/>
  <c r="B584" i="8"/>
  <c r="E583" i="8"/>
  <c r="B583" i="8"/>
  <c r="E582" i="8"/>
  <c r="B582" i="8"/>
  <c r="D582" i="8" s="1"/>
  <c r="E581" i="8"/>
  <c r="B581" i="8"/>
  <c r="E580" i="8"/>
  <c r="B580" i="8"/>
  <c r="E579" i="8"/>
  <c r="B579" i="8"/>
  <c r="E578" i="8"/>
  <c r="B578" i="8"/>
  <c r="E577" i="8"/>
  <c r="B577" i="8"/>
  <c r="E576" i="8"/>
  <c r="B576" i="8"/>
  <c r="C576" i="8" s="1"/>
  <c r="E575" i="8"/>
  <c r="B575" i="8"/>
  <c r="E574" i="8"/>
  <c r="B574" i="8"/>
  <c r="E573" i="8"/>
  <c r="B573" i="8"/>
  <c r="E572" i="8"/>
  <c r="B572" i="8"/>
  <c r="C573" i="8" s="1"/>
  <c r="E571" i="8"/>
  <c r="B571" i="8"/>
  <c r="E570" i="8"/>
  <c r="B570" i="8"/>
  <c r="E569" i="8"/>
  <c r="B569" i="8"/>
  <c r="E568" i="8"/>
  <c r="B568" i="8"/>
  <c r="C568" i="8" s="1"/>
  <c r="E567" i="8"/>
  <c r="B567" i="8"/>
  <c r="C567" i="8" s="1"/>
  <c r="E566" i="8"/>
  <c r="B566" i="8"/>
  <c r="E565" i="8"/>
  <c r="B565" i="8"/>
  <c r="D577" i="8" s="1"/>
  <c r="E564" i="8"/>
  <c r="C564" i="8"/>
  <c r="B564" i="8"/>
  <c r="E563" i="8"/>
  <c r="B563" i="8"/>
  <c r="E562" i="8"/>
  <c r="B562" i="8"/>
  <c r="E561" i="8"/>
  <c r="B561" i="8"/>
  <c r="E560" i="8"/>
  <c r="B560" i="8"/>
  <c r="E559" i="8"/>
  <c r="B559" i="8"/>
  <c r="E558" i="8"/>
  <c r="B558" i="8"/>
  <c r="C558" i="8" s="1"/>
  <c r="E557" i="8"/>
  <c r="B557" i="8"/>
  <c r="E556" i="8"/>
  <c r="B556" i="8"/>
  <c r="E555" i="8"/>
  <c r="B555" i="8"/>
  <c r="E554" i="8"/>
  <c r="B554" i="8"/>
  <c r="E553" i="8"/>
  <c r="B553" i="8"/>
  <c r="E552" i="8"/>
  <c r="B552" i="8"/>
  <c r="D552" i="8" s="1"/>
  <c r="E551" i="8"/>
  <c r="D551" i="8"/>
  <c r="B551" i="8"/>
  <c r="E550" i="8"/>
  <c r="B550" i="8"/>
  <c r="E549" i="8"/>
  <c r="B549" i="8"/>
  <c r="E548" i="8"/>
  <c r="B548" i="8"/>
  <c r="D548" i="8" s="1"/>
  <c r="E547" i="8"/>
  <c r="B547" i="8"/>
  <c r="E546" i="8"/>
  <c r="B546" i="8"/>
  <c r="E545" i="8"/>
  <c r="B545" i="8"/>
  <c r="E544" i="8"/>
  <c r="B544" i="8"/>
  <c r="E543" i="8"/>
  <c r="B543" i="8"/>
  <c r="E542" i="8"/>
  <c r="B542" i="8"/>
  <c r="E541" i="8"/>
  <c r="B541" i="8"/>
  <c r="E540" i="8"/>
  <c r="C540" i="8"/>
  <c r="B540" i="8"/>
  <c r="E539" i="8"/>
  <c r="B539" i="8"/>
  <c r="E538" i="8"/>
  <c r="B538" i="8"/>
  <c r="E537" i="8"/>
  <c r="B537" i="8"/>
  <c r="E536" i="8"/>
  <c r="B536" i="8"/>
  <c r="E535" i="8"/>
  <c r="B535" i="8"/>
  <c r="E534" i="8"/>
  <c r="B534" i="8"/>
  <c r="E533" i="8"/>
  <c r="B533" i="8"/>
  <c r="E532" i="8"/>
  <c r="B532" i="8"/>
  <c r="E531" i="8"/>
  <c r="B531" i="8"/>
  <c r="E530" i="8"/>
  <c r="B530" i="8"/>
  <c r="C530" i="8" s="1"/>
  <c r="E529" i="8"/>
  <c r="B529" i="8"/>
  <c r="C529" i="8" s="1"/>
  <c r="E528" i="8"/>
  <c r="B528" i="8"/>
  <c r="C528" i="8" s="1"/>
  <c r="E527" i="8"/>
  <c r="B527" i="8"/>
  <c r="E526" i="8"/>
  <c r="B526" i="8"/>
  <c r="E525" i="8"/>
  <c r="B525" i="8"/>
  <c r="D525" i="8" s="1"/>
  <c r="E524" i="8"/>
  <c r="B524" i="8"/>
  <c r="C524" i="8" s="1"/>
  <c r="E523" i="8"/>
  <c r="B523" i="8"/>
  <c r="E522" i="8"/>
  <c r="B522" i="8"/>
  <c r="E521" i="8"/>
  <c r="B521" i="8"/>
  <c r="C521" i="8" s="1"/>
  <c r="E520" i="8"/>
  <c r="B520" i="8"/>
  <c r="E519" i="8"/>
  <c r="B519" i="8"/>
  <c r="E518" i="8"/>
  <c r="B518" i="8"/>
  <c r="C518" i="8" s="1"/>
  <c r="E517" i="8"/>
  <c r="D517" i="8"/>
  <c r="B517" i="8"/>
  <c r="E516" i="8"/>
  <c r="B516" i="8"/>
  <c r="E515" i="8"/>
  <c r="B515" i="8"/>
  <c r="E514" i="8"/>
  <c r="B514" i="8"/>
  <c r="C514" i="8" s="1"/>
  <c r="E513" i="8"/>
  <c r="B513" i="8"/>
  <c r="E512" i="8"/>
  <c r="B512" i="8"/>
  <c r="D512" i="8" s="1"/>
  <c r="E511" i="8"/>
  <c r="B511" i="8"/>
  <c r="E510" i="8"/>
  <c r="B510" i="8"/>
  <c r="E509" i="8"/>
  <c r="B509" i="8"/>
  <c r="E508" i="8"/>
  <c r="B508" i="8"/>
  <c r="E507" i="8"/>
  <c r="B507" i="8"/>
  <c r="E506" i="8"/>
  <c r="B506" i="8"/>
  <c r="D518" i="8" s="1"/>
  <c r="E505" i="8"/>
  <c r="B505" i="8"/>
  <c r="E504" i="8"/>
  <c r="B504" i="8"/>
  <c r="E503" i="8"/>
  <c r="B503" i="8"/>
  <c r="E502" i="8"/>
  <c r="B502" i="8"/>
  <c r="C502" i="8" s="1"/>
  <c r="E501" i="8"/>
  <c r="B501" i="8"/>
  <c r="D501" i="8" s="1"/>
  <c r="E500" i="8"/>
  <c r="B500" i="8"/>
  <c r="E499" i="8"/>
  <c r="B499" i="8"/>
  <c r="C500" i="8" s="1"/>
  <c r="E498" i="8"/>
  <c r="B498" i="8"/>
  <c r="C498" i="8" s="1"/>
  <c r="E497" i="8"/>
  <c r="B497" i="8"/>
  <c r="E496" i="8"/>
  <c r="B496" i="8"/>
  <c r="E495" i="8"/>
  <c r="B495" i="8"/>
  <c r="C495" i="8" s="1"/>
  <c r="E494" i="8"/>
  <c r="D494" i="8"/>
  <c r="B494" i="8"/>
  <c r="C494" i="8" s="1"/>
  <c r="E493" i="8"/>
  <c r="B493" i="8"/>
  <c r="E492" i="8"/>
  <c r="B492" i="8"/>
  <c r="D504" i="8" s="1"/>
  <c r="E491" i="8"/>
  <c r="B491" i="8"/>
  <c r="E490" i="8"/>
  <c r="C490" i="8"/>
  <c r="B490" i="8"/>
  <c r="E489" i="8"/>
  <c r="B489" i="8"/>
  <c r="E488" i="8"/>
  <c r="B488" i="8"/>
  <c r="E487" i="8"/>
  <c r="D487" i="8"/>
  <c r="B487" i="8"/>
  <c r="E486" i="8"/>
  <c r="B486" i="8"/>
  <c r="E485" i="8"/>
  <c r="B485" i="8"/>
  <c r="E484" i="8"/>
  <c r="B484" i="8"/>
  <c r="E483" i="8"/>
  <c r="B483" i="8"/>
  <c r="E482" i="8"/>
  <c r="B482" i="8"/>
  <c r="E481" i="8"/>
  <c r="B481" i="8"/>
  <c r="E480" i="8"/>
  <c r="D480" i="8"/>
  <c r="B480" i="8"/>
  <c r="E479" i="8"/>
  <c r="B479" i="8"/>
  <c r="E478" i="8"/>
  <c r="B478" i="8"/>
  <c r="E477" i="8"/>
  <c r="B477" i="8"/>
  <c r="C478" i="8" s="1"/>
  <c r="E476" i="8"/>
  <c r="B476" i="8"/>
  <c r="C476" i="8" s="1"/>
  <c r="E475" i="8"/>
  <c r="B475" i="8"/>
  <c r="E474" i="8"/>
  <c r="B474" i="8"/>
  <c r="E473" i="8"/>
  <c r="B473" i="8"/>
  <c r="E472" i="8"/>
  <c r="B472" i="8"/>
  <c r="E471" i="8"/>
  <c r="B471" i="8"/>
  <c r="E470" i="8"/>
  <c r="B470" i="8"/>
  <c r="E469" i="8"/>
  <c r="B469" i="8"/>
  <c r="C469" i="8" s="1"/>
  <c r="E468" i="8"/>
  <c r="B468" i="8"/>
  <c r="E467" i="8"/>
  <c r="B467" i="8"/>
  <c r="E466" i="8"/>
  <c r="B466" i="8"/>
  <c r="E465" i="8"/>
  <c r="B465" i="8"/>
  <c r="E464" i="8"/>
  <c r="B464" i="8"/>
  <c r="E463" i="8"/>
  <c r="B463" i="8"/>
  <c r="E462" i="8"/>
  <c r="B462" i="8"/>
  <c r="E461" i="8"/>
  <c r="B461" i="8"/>
  <c r="E460" i="8"/>
  <c r="B460" i="8"/>
  <c r="E459" i="8"/>
  <c r="B459" i="8"/>
  <c r="E458" i="8"/>
  <c r="B458" i="8"/>
  <c r="E457" i="8"/>
  <c r="B457" i="8"/>
  <c r="E456" i="8"/>
  <c r="B456" i="8"/>
  <c r="E455" i="8"/>
  <c r="B455" i="8"/>
  <c r="E454" i="8"/>
  <c r="B454" i="8"/>
  <c r="E453" i="8"/>
  <c r="B453" i="8"/>
  <c r="C453" i="8" s="1"/>
  <c r="E452" i="8"/>
  <c r="B452" i="8"/>
  <c r="D464" i="8" s="1"/>
  <c r="E451" i="8"/>
  <c r="B451" i="8"/>
  <c r="E450" i="8"/>
  <c r="B450" i="8"/>
  <c r="D450" i="8" s="1"/>
  <c r="E449" i="8"/>
  <c r="B449" i="8"/>
  <c r="E448" i="8"/>
  <c r="B448" i="8"/>
  <c r="E447" i="8"/>
  <c r="B447" i="8"/>
  <c r="E446" i="8"/>
  <c r="B446" i="8"/>
  <c r="E445" i="8"/>
  <c r="B445" i="8"/>
  <c r="E444" i="8"/>
  <c r="B444" i="8"/>
  <c r="E443" i="8"/>
  <c r="B443" i="8"/>
  <c r="E442" i="8"/>
  <c r="B442" i="8"/>
  <c r="E441" i="8"/>
  <c r="B441" i="8"/>
  <c r="C442" i="8" s="1"/>
  <c r="E440" i="8"/>
  <c r="B440" i="8"/>
  <c r="E439" i="8"/>
  <c r="B439" i="8"/>
  <c r="E438" i="8"/>
  <c r="B438" i="8"/>
  <c r="E437" i="8"/>
  <c r="B437" i="8"/>
  <c r="E436" i="8"/>
  <c r="B436" i="8"/>
  <c r="E435" i="8"/>
  <c r="B435" i="8"/>
  <c r="E434" i="8"/>
  <c r="B434" i="8"/>
  <c r="E433" i="8"/>
  <c r="B433" i="8"/>
  <c r="E432" i="8"/>
  <c r="B432" i="8"/>
  <c r="E431" i="8"/>
  <c r="B431" i="8"/>
  <c r="E430" i="8"/>
  <c r="B430" i="8"/>
  <c r="E429" i="8"/>
  <c r="B429" i="8"/>
  <c r="E428" i="8"/>
  <c r="B428" i="8"/>
  <c r="E427" i="8"/>
  <c r="B427" i="8"/>
  <c r="E426" i="8"/>
  <c r="B426" i="8"/>
  <c r="C426" i="8" s="1"/>
  <c r="E425" i="8"/>
  <c r="D425" i="8"/>
  <c r="B425" i="8"/>
  <c r="E424" i="8"/>
  <c r="B424" i="8"/>
  <c r="E423" i="8"/>
  <c r="B423" i="8"/>
  <c r="D435" i="8" s="1"/>
  <c r="E422" i="8"/>
  <c r="B422" i="8"/>
  <c r="E421" i="8"/>
  <c r="B421" i="8"/>
  <c r="C421" i="8" s="1"/>
  <c r="E420" i="8"/>
  <c r="B420" i="8"/>
  <c r="E419" i="8"/>
  <c r="B419" i="8"/>
  <c r="E418" i="8"/>
  <c r="B418" i="8"/>
  <c r="D418" i="8" s="1"/>
  <c r="E417" i="8"/>
  <c r="B417" i="8"/>
  <c r="E416" i="8"/>
  <c r="B416" i="8"/>
  <c r="E415" i="8"/>
  <c r="B415" i="8"/>
  <c r="E414" i="8"/>
  <c r="B414" i="8"/>
  <c r="D426" i="8" s="1"/>
  <c r="E413" i="8"/>
  <c r="B413" i="8"/>
  <c r="E412" i="8"/>
  <c r="B412" i="8"/>
  <c r="E411" i="8"/>
  <c r="B411" i="8"/>
  <c r="E410" i="8"/>
  <c r="B410" i="8"/>
  <c r="E409" i="8"/>
  <c r="D409" i="8"/>
  <c r="B409" i="8"/>
  <c r="E408" i="8"/>
  <c r="B408" i="8"/>
  <c r="E407" i="8"/>
  <c r="B407" i="8"/>
  <c r="E406" i="8"/>
  <c r="B406" i="8"/>
  <c r="E405" i="8"/>
  <c r="B405" i="8"/>
  <c r="E404" i="8"/>
  <c r="B404" i="8"/>
  <c r="E403" i="8"/>
  <c r="B403" i="8"/>
  <c r="E402" i="8"/>
  <c r="D402" i="8"/>
  <c r="B402" i="8"/>
  <c r="E401" i="8"/>
  <c r="B401" i="8"/>
  <c r="E400" i="8"/>
  <c r="B400" i="8"/>
  <c r="D400" i="8" s="1"/>
  <c r="E399" i="8"/>
  <c r="B399" i="8"/>
  <c r="E398" i="8"/>
  <c r="B398" i="8"/>
  <c r="E397" i="8"/>
  <c r="B397" i="8"/>
  <c r="E396" i="8"/>
  <c r="B396" i="8"/>
  <c r="E395" i="8"/>
  <c r="B395" i="8"/>
  <c r="E394" i="8"/>
  <c r="B394" i="8"/>
  <c r="E393" i="8"/>
  <c r="B393" i="8"/>
  <c r="E392" i="8"/>
  <c r="B392" i="8"/>
  <c r="E391" i="8"/>
  <c r="B391" i="8"/>
  <c r="C391" i="8" s="1"/>
  <c r="E390" i="8"/>
  <c r="B390" i="8"/>
  <c r="E389" i="8"/>
  <c r="B389" i="8"/>
  <c r="D389" i="8" s="1"/>
  <c r="E388" i="8"/>
  <c r="D388" i="8"/>
  <c r="B388" i="8"/>
  <c r="E387" i="8"/>
  <c r="B387" i="8"/>
  <c r="E386" i="8"/>
  <c r="B386" i="8"/>
  <c r="E385" i="8"/>
  <c r="B385" i="8"/>
  <c r="E384" i="8"/>
  <c r="B384" i="8"/>
  <c r="E383" i="8"/>
  <c r="B383" i="8"/>
  <c r="E382" i="8"/>
  <c r="B382" i="8"/>
  <c r="D394" i="8" s="1"/>
  <c r="E381" i="8"/>
  <c r="D381" i="8"/>
  <c r="B381" i="8"/>
  <c r="E380" i="8"/>
  <c r="B380" i="8"/>
  <c r="E379" i="8"/>
  <c r="B379" i="8"/>
  <c r="E378" i="8"/>
  <c r="B378" i="8"/>
  <c r="E377" i="8"/>
  <c r="B377" i="8"/>
  <c r="E376" i="8"/>
  <c r="B376" i="8"/>
  <c r="E375" i="8"/>
  <c r="B375" i="8"/>
  <c r="E374" i="8"/>
  <c r="B374" i="8"/>
  <c r="E373" i="8"/>
  <c r="B373" i="8"/>
  <c r="E372" i="8"/>
  <c r="B372" i="8"/>
  <c r="D372" i="8" s="1"/>
  <c r="E371" i="8"/>
  <c r="B371" i="8"/>
  <c r="E370" i="8"/>
  <c r="B370" i="8"/>
  <c r="E369" i="8"/>
  <c r="B369" i="8"/>
  <c r="E368" i="8"/>
  <c r="B368" i="8"/>
  <c r="E367" i="8"/>
  <c r="B367" i="8"/>
  <c r="E366" i="8"/>
  <c r="B366" i="8"/>
  <c r="D366" i="8" s="1"/>
  <c r="E365" i="8"/>
  <c r="B365" i="8"/>
  <c r="E364" i="8"/>
  <c r="B364" i="8"/>
  <c r="E363" i="8"/>
  <c r="B363" i="8"/>
  <c r="E362" i="8"/>
  <c r="B362" i="8"/>
  <c r="E361" i="8"/>
  <c r="B361" i="8"/>
  <c r="E360" i="8"/>
  <c r="B360" i="8"/>
  <c r="E359" i="8"/>
  <c r="B359" i="8"/>
  <c r="D359" i="8" s="1"/>
  <c r="E358" i="8"/>
  <c r="B358" i="8"/>
  <c r="E357" i="8"/>
  <c r="B357" i="8"/>
  <c r="E356" i="8"/>
  <c r="B356" i="8"/>
  <c r="E355" i="8"/>
  <c r="B355" i="8"/>
  <c r="C356" i="8" s="1"/>
  <c r="E354" i="8"/>
  <c r="B354" i="8"/>
  <c r="E353" i="8"/>
  <c r="B353" i="8"/>
  <c r="E352" i="8"/>
  <c r="B352" i="8"/>
  <c r="E351" i="8"/>
  <c r="B351" i="8"/>
  <c r="E350" i="8"/>
  <c r="B350" i="8"/>
  <c r="C350" i="8" s="1"/>
  <c r="E349" i="8"/>
  <c r="B349" i="8"/>
  <c r="E348" i="8"/>
  <c r="B348" i="8"/>
  <c r="E347" i="8"/>
  <c r="B347" i="8"/>
  <c r="E346" i="8"/>
  <c r="B346" i="8"/>
  <c r="E345" i="8"/>
  <c r="B345" i="8"/>
  <c r="E344" i="8"/>
  <c r="B344" i="8"/>
  <c r="E343" i="8"/>
  <c r="B343" i="8"/>
  <c r="E342" i="8"/>
  <c r="B342" i="8"/>
  <c r="D342" i="8" s="1"/>
  <c r="E341" i="8"/>
  <c r="B341" i="8"/>
  <c r="E340" i="8"/>
  <c r="B340" i="8"/>
  <c r="E339" i="8"/>
  <c r="B339" i="8"/>
  <c r="E338" i="8"/>
  <c r="B338" i="8"/>
  <c r="E337" i="8"/>
  <c r="B337" i="8"/>
  <c r="D349" i="8" s="1"/>
  <c r="E336" i="8"/>
  <c r="B336" i="8"/>
  <c r="E335" i="8"/>
  <c r="B335" i="8"/>
  <c r="D347" i="8" s="1"/>
  <c r="E334" i="8"/>
  <c r="B334" i="8"/>
  <c r="E333" i="8"/>
  <c r="B333" i="8"/>
  <c r="D333" i="8" s="1"/>
  <c r="E332" i="8"/>
  <c r="B332" i="8"/>
  <c r="E331" i="8"/>
  <c r="B331" i="8"/>
  <c r="E330" i="8"/>
  <c r="B330" i="8"/>
  <c r="E329" i="8"/>
  <c r="B329" i="8"/>
  <c r="E328" i="8"/>
  <c r="B328" i="8"/>
  <c r="D328" i="8" s="1"/>
  <c r="E327" i="8"/>
  <c r="B327" i="8"/>
  <c r="E326" i="8"/>
  <c r="B326" i="8"/>
  <c r="D326" i="8" s="1"/>
  <c r="E325" i="8"/>
  <c r="B325" i="8"/>
  <c r="E324" i="8"/>
  <c r="B324" i="8"/>
  <c r="D324" i="8" s="1"/>
  <c r="E323" i="8"/>
  <c r="B323" i="8"/>
  <c r="E322" i="8"/>
  <c r="B322" i="8"/>
  <c r="E321" i="8"/>
  <c r="B321" i="8"/>
  <c r="E320" i="8"/>
  <c r="B320" i="8"/>
  <c r="D320" i="8" s="1"/>
  <c r="E319" i="8"/>
  <c r="B319" i="8"/>
  <c r="E318" i="8"/>
  <c r="B318" i="8"/>
  <c r="E317" i="8"/>
  <c r="B317" i="8"/>
  <c r="C318" i="8" s="1"/>
  <c r="E316" i="8"/>
  <c r="B316" i="8"/>
  <c r="E315" i="8"/>
  <c r="B315" i="8"/>
  <c r="E314" i="8"/>
  <c r="B314" i="8"/>
  <c r="E313" i="8"/>
  <c r="B313" i="8"/>
  <c r="D313" i="8" s="1"/>
  <c r="E312" i="8"/>
  <c r="B312" i="8"/>
  <c r="E311" i="8"/>
  <c r="B311" i="8"/>
  <c r="E310" i="8"/>
  <c r="B310" i="8"/>
  <c r="E309" i="8"/>
  <c r="B309" i="8"/>
  <c r="E308" i="8"/>
  <c r="B308" i="8"/>
  <c r="D308" i="8" s="1"/>
  <c r="E307" i="8"/>
  <c r="B307" i="8"/>
  <c r="E306" i="8"/>
  <c r="B306" i="8"/>
  <c r="E305" i="8"/>
  <c r="B305" i="8"/>
  <c r="E304" i="8"/>
  <c r="B304" i="8"/>
  <c r="E303" i="8"/>
  <c r="B303" i="8"/>
  <c r="E302" i="8"/>
  <c r="B302" i="8"/>
  <c r="E301" i="8"/>
  <c r="B301" i="8"/>
  <c r="D301" i="8" s="1"/>
  <c r="E300" i="8"/>
  <c r="B300" i="8"/>
  <c r="E299" i="8"/>
  <c r="B299" i="8"/>
  <c r="E298" i="8"/>
  <c r="B298" i="8"/>
  <c r="E297" i="8"/>
  <c r="B297" i="8"/>
  <c r="E296" i="8"/>
  <c r="B296" i="8"/>
  <c r="E295" i="8"/>
  <c r="B295" i="8"/>
  <c r="E294" i="8"/>
  <c r="B294" i="8"/>
  <c r="E293" i="8"/>
  <c r="B293" i="8"/>
  <c r="E292" i="8"/>
  <c r="B292" i="8"/>
  <c r="E291" i="8"/>
  <c r="B291" i="8"/>
  <c r="E290" i="8"/>
  <c r="B290" i="8"/>
  <c r="C290" i="8" s="1"/>
  <c r="E289" i="8"/>
  <c r="B289" i="8"/>
  <c r="E288" i="8"/>
  <c r="B288" i="8"/>
  <c r="E287" i="8"/>
  <c r="B287" i="8"/>
  <c r="E286" i="8"/>
  <c r="B286" i="8"/>
  <c r="E285" i="8"/>
  <c r="B285" i="8"/>
  <c r="E284" i="8"/>
  <c r="B284" i="8"/>
  <c r="E283" i="8"/>
  <c r="B283" i="8"/>
  <c r="C283" i="8" s="1"/>
  <c r="E282" i="8"/>
  <c r="B282" i="8"/>
  <c r="E281" i="8"/>
  <c r="B281" i="8"/>
  <c r="D281" i="8" s="1"/>
  <c r="E280" i="8"/>
  <c r="B280" i="8"/>
  <c r="C280" i="8" s="1"/>
  <c r="E279" i="8"/>
  <c r="B279" i="8"/>
  <c r="E278" i="8"/>
  <c r="B278" i="8"/>
  <c r="E277" i="8"/>
  <c r="B277" i="8"/>
  <c r="D277" i="8" s="1"/>
  <c r="E276" i="8"/>
  <c r="B276" i="8"/>
  <c r="E275" i="8"/>
  <c r="B275" i="8"/>
  <c r="E274" i="8"/>
  <c r="B274" i="8"/>
  <c r="E273" i="8"/>
  <c r="B273" i="8"/>
  <c r="C274" i="8" s="1"/>
  <c r="E272" i="8"/>
  <c r="B272" i="8"/>
  <c r="C272" i="8" s="1"/>
  <c r="E271" i="8"/>
  <c r="B271" i="8"/>
  <c r="E270" i="8"/>
  <c r="B270" i="8"/>
  <c r="E269" i="8"/>
  <c r="B269" i="8"/>
  <c r="D269" i="8" s="1"/>
  <c r="E268" i="8"/>
  <c r="B268" i="8"/>
  <c r="E267" i="8"/>
  <c r="B267" i="8"/>
  <c r="E266" i="8"/>
  <c r="B266" i="8"/>
  <c r="E265" i="8"/>
  <c r="B265" i="8"/>
  <c r="D265" i="8" s="1"/>
  <c r="E264" i="8"/>
  <c r="B264" i="8"/>
  <c r="E263" i="8"/>
  <c r="B263" i="8"/>
  <c r="E262" i="8"/>
  <c r="B262" i="8"/>
  <c r="E261" i="8"/>
  <c r="B261" i="8"/>
  <c r="D261" i="8" s="1"/>
  <c r="E260" i="8"/>
  <c r="B260" i="8"/>
  <c r="C260" i="8" s="1"/>
  <c r="E259" i="8"/>
  <c r="B259" i="8"/>
  <c r="E258" i="8"/>
  <c r="B258" i="8"/>
  <c r="C258" i="8" s="1"/>
  <c r="E257" i="8"/>
  <c r="B257" i="8"/>
  <c r="E256" i="8"/>
  <c r="B256" i="8"/>
  <c r="E255" i="8"/>
  <c r="B255" i="8"/>
  <c r="E254" i="8"/>
  <c r="B254" i="8"/>
  <c r="E253" i="8"/>
  <c r="B253" i="8"/>
  <c r="E252" i="8"/>
  <c r="B252" i="8"/>
  <c r="E251" i="8"/>
  <c r="B251" i="8"/>
  <c r="C251" i="8" s="1"/>
  <c r="E250" i="8"/>
  <c r="C250" i="8"/>
  <c r="B250" i="8"/>
  <c r="E249" i="8"/>
  <c r="B249" i="8"/>
  <c r="D249" i="8" s="1"/>
  <c r="E248" i="8"/>
  <c r="B248" i="8"/>
  <c r="E247" i="8"/>
  <c r="B247" i="8"/>
  <c r="E246" i="8"/>
  <c r="B246" i="8"/>
  <c r="D246" i="8" s="1"/>
  <c r="E245" i="8"/>
  <c r="B245" i="8"/>
  <c r="E244" i="8"/>
  <c r="B244" i="8"/>
  <c r="E243" i="8"/>
  <c r="B243" i="8"/>
  <c r="E242" i="8"/>
  <c r="B242" i="8"/>
  <c r="E241" i="8"/>
  <c r="B241" i="8"/>
  <c r="E240" i="8"/>
  <c r="B240" i="8"/>
  <c r="E239" i="8"/>
  <c r="B239" i="8"/>
  <c r="E238" i="8"/>
  <c r="B238" i="8"/>
  <c r="E237" i="8"/>
  <c r="B237" i="8"/>
  <c r="E236" i="8"/>
  <c r="B236" i="8"/>
  <c r="E235" i="8"/>
  <c r="C235" i="8"/>
  <c r="B235" i="8"/>
  <c r="E234" i="8"/>
  <c r="B234" i="8"/>
  <c r="E233" i="8"/>
  <c r="B233" i="8"/>
  <c r="C233" i="8" s="1"/>
  <c r="E232" i="8"/>
  <c r="C232" i="8"/>
  <c r="B232" i="8"/>
  <c r="E231" i="8"/>
  <c r="B231" i="8"/>
  <c r="E230" i="8"/>
  <c r="B230" i="8"/>
  <c r="E229" i="8"/>
  <c r="B229" i="8"/>
  <c r="E228" i="8"/>
  <c r="B228" i="8"/>
  <c r="E227" i="8"/>
  <c r="B227" i="8"/>
  <c r="E226" i="8"/>
  <c r="B226" i="8"/>
  <c r="E225" i="8"/>
  <c r="B225" i="8"/>
  <c r="E224" i="8"/>
  <c r="B224" i="8"/>
  <c r="E223" i="8"/>
  <c r="B223" i="8"/>
  <c r="E222" i="8"/>
  <c r="B222" i="8"/>
  <c r="E221" i="8"/>
  <c r="B221" i="8"/>
  <c r="E220" i="8"/>
  <c r="B220" i="8"/>
  <c r="E219" i="8"/>
  <c r="B219" i="8"/>
  <c r="E218" i="8"/>
  <c r="B218" i="8"/>
  <c r="E217" i="8"/>
  <c r="B217" i="8"/>
  <c r="E216" i="8"/>
  <c r="C216" i="8"/>
  <c r="B216" i="8"/>
  <c r="E215" i="8"/>
  <c r="B215" i="8"/>
  <c r="E214" i="8"/>
  <c r="B214" i="8"/>
  <c r="E213" i="8"/>
  <c r="B213" i="8"/>
  <c r="E212" i="8"/>
  <c r="B212" i="8"/>
  <c r="E211" i="8"/>
  <c r="B211" i="8"/>
  <c r="E210" i="8"/>
  <c r="B210" i="8"/>
  <c r="E209" i="8"/>
  <c r="B209" i="8"/>
  <c r="E208" i="8"/>
  <c r="B208" i="8"/>
  <c r="E207" i="8"/>
  <c r="B207" i="8"/>
  <c r="E206" i="8"/>
  <c r="B206" i="8"/>
  <c r="E205" i="8"/>
  <c r="B205" i="8"/>
  <c r="E204" i="8"/>
  <c r="B204" i="8"/>
  <c r="E203" i="8"/>
  <c r="B203" i="8"/>
  <c r="E202" i="8"/>
  <c r="B202" i="8"/>
  <c r="E201" i="8"/>
  <c r="B201" i="8"/>
  <c r="C202" i="8" s="1"/>
  <c r="E200" i="8"/>
  <c r="B200" i="8"/>
  <c r="E199" i="8"/>
  <c r="B199" i="8"/>
  <c r="E198" i="8"/>
  <c r="B198" i="8"/>
  <c r="E197" i="8"/>
  <c r="B197" i="8"/>
  <c r="E196" i="8"/>
  <c r="B196" i="8"/>
  <c r="E195" i="8"/>
  <c r="B195" i="8"/>
  <c r="E194" i="8"/>
  <c r="B194" i="8"/>
  <c r="E193" i="8"/>
  <c r="B193" i="8"/>
  <c r="E192" i="8"/>
  <c r="B192" i="8"/>
  <c r="E191" i="8"/>
  <c r="B191" i="8"/>
  <c r="E190" i="8"/>
  <c r="B190" i="8"/>
  <c r="E189" i="8"/>
  <c r="C189" i="8"/>
  <c r="B189" i="8"/>
  <c r="E188" i="8"/>
  <c r="B188" i="8"/>
  <c r="E187" i="8"/>
  <c r="B187" i="8"/>
  <c r="E186" i="8"/>
  <c r="B186" i="8"/>
  <c r="E185" i="8"/>
  <c r="B185" i="8"/>
  <c r="E184" i="8"/>
  <c r="B184" i="8"/>
  <c r="E183" i="8"/>
  <c r="B183" i="8"/>
  <c r="C184" i="8" s="1"/>
  <c r="E182" i="8"/>
  <c r="B182" i="8"/>
  <c r="E181" i="8"/>
  <c r="B181" i="8"/>
  <c r="E180" i="8"/>
  <c r="B180" i="8"/>
  <c r="D180" i="8" s="1"/>
  <c r="E179" i="8"/>
  <c r="B179" i="8"/>
  <c r="E178" i="8"/>
  <c r="B178" i="8"/>
  <c r="E177" i="8"/>
  <c r="B177" i="8"/>
  <c r="E176" i="8"/>
  <c r="B176" i="8"/>
  <c r="E175" i="8"/>
  <c r="B175" i="8"/>
  <c r="E174" i="8"/>
  <c r="B174" i="8"/>
  <c r="E173" i="8"/>
  <c r="B173" i="8"/>
  <c r="C173" i="8" s="1"/>
  <c r="E172" i="8"/>
  <c r="B172" i="8"/>
  <c r="E171" i="8"/>
  <c r="B171" i="8"/>
  <c r="C172" i="8" s="1"/>
  <c r="E170" i="8"/>
  <c r="B170" i="8"/>
  <c r="E169" i="8"/>
  <c r="B169" i="8"/>
  <c r="E168" i="8"/>
  <c r="B168" i="8"/>
  <c r="E167" i="8"/>
  <c r="B167" i="8"/>
  <c r="E166" i="8"/>
  <c r="B166" i="8"/>
  <c r="E165" i="8"/>
  <c r="B165" i="8"/>
  <c r="E164" i="8"/>
  <c r="B164" i="8"/>
  <c r="E163" i="8"/>
  <c r="B163" i="8"/>
  <c r="E162" i="8"/>
  <c r="B162" i="8"/>
  <c r="E161" i="8"/>
  <c r="B161" i="8"/>
  <c r="E160" i="8"/>
  <c r="B160" i="8"/>
  <c r="E159" i="8"/>
  <c r="B159" i="8"/>
  <c r="E158" i="8"/>
  <c r="B158" i="8"/>
  <c r="E157" i="8"/>
  <c r="B157" i="8"/>
  <c r="E156" i="8"/>
  <c r="B156" i="8"/>
  <c r="E155" i="8"/>
  <c r="B155" i="8"/>
  <c r="C156" i="8" s="1"/>
  <c r="E154" i="8"/>
  <c r="B154" i="8"/>
  <c r="E153" i="8"/>
  <c r="B153" i="8"/>
  <c r="E152" i="8"/>
  <c r="B152" i="8"/>
  <c r="E151" i="8"/>
  <c r="B151" i="8"/>
  <c r="E150" i="8"/>
  <c r="B150" i="8"/>
  <c r="D150" i="8" s="1"/>
  <c r="E149" i="8"/>
  <c r="B149" i="8"/>
  <c r="E148" i="8"/>
  <c r="B148" i="8"/>
  <c r="E147" i="8"/>
  <c r="B147" i="8"/>
  <c r="E146" i="8"/>
  <c r="C146" i="8"/>
  <c r="B146" i="8"/>
  <c r="E145" i="8"/>
  <c r="B145" i="8"/>
  <c r="E144" i="8"/>
  <c r="B144" i="8"/>
  <c r="E143" i="8"/>
  <c r="B143" i="8"/>
  <c r="C143" i="8" s="1"/>
  <c r="E142" i="8"/>
  <c r="B142" i="8"/>
  <c r="E141" i="8"/>
  <c r="B141" i="8"/>
  <c r="E140" i="8"/>
  <c r="B140" i="8"/>
  <c r="E139" i="8"/>
  <c r="D139" i="8"/>
  <c r="B139" i="8"/>
  <c r="E138" i="8"/>
  <c r="B138" i="8"/>
  <c r="E137" i="8"/>
  <c r="B137" i="8"/>
  <c r="E136" i="8"/>
  <c r="B136" i="8"/>
  <c r="E135" i="8"/>
  <c r="B135" i="8"/>
  <c r="E134" i="8"/>
  <c r="B134" i="8"/>
  <c r="D134" i="8" s="1"/>
  <c r="E133" i="8"/>
  <c r="B133" i="8"/>
  <c r="E132" i="8"/>
  <c r="B132" i="8"/>
  <c r="E131" i="8"/>
  <c r="B131" i="8"/>
  <c r="E130" i="8"/>
  <c r="B130" i="8"/>
  <c r="E129" i="8"/>
  <c r="B129" i="8"/>
  <c r="E128" i="8"/>
  <c r="B128" i="8"/>
  <c r="C128" i="8" s="1"/>
  <c r="E127" i="8"/>
  <c r="B127" i="8"/>
  <c r="E126" i="8"/>
  <c r="B126" i="8"/>
  <c r="E125" i="8"/>
  <c r="B125" i="8"/>
  <c r="E124" i="8"/>
  <c r="B124" i="8"/>
  <c r="E123" i="8"/>
  <c r="B123" i="8"/>
  <c r="E122" i="8"/>
  <c r="B122" i="8"/>
  <c r="E121" i="8"/>
  <c r="B121" i="8"/>
  <c r="E120" i="8"/>
  <c r="B120" i="8"/>
  <c r="E119" i="8"/>
  <c r="B119" i="8"/>
  <c r="E118" i="8"/>
  <c r="B118" i="8"/>
  <c r="E117" i="8"/>
  <c r="B117" i="8"/>
  <c r="E116" i="8"/>
  <c r="B116" i="8"/>
  <c r="E115" i="8"/>
  <c r="B115" i="8"/>
  <c r="E114" i="8"/>
  <c r="B114" i="8"/>
  <c r="E113" i="8"/>
  <c r="B113" i="8"/>
  <c r="E112" i="8"/>
  <c r="B112" i="8"/>
  <c r="E111" i="8"/>
  <c r="B111" i="8"/>
  <c r="D111" i="8" s="1"/>
  <c r="E110" i="8"/>
  <c r="B110" i="8"/>
  <c r="E109" i="8"/>
  <c r="B109" i="8"/>
  <c r="E108" i="8"/>
  <c r="B108" i="8"/>
  <c r="E107" i="8"/>
  <c r="B107" i="8"/>
  <c r="E106" i="8"/>
  <c r="B106" i="8"/>
  <c r="E105" i="8"/>
  <c r="B105" i="8"/>
  <c r="C105" i="8" s="1"/>
  <c r="E104" i="8"/>
  <c r="B104" i="8"/>
  <c r="E103" i="8"/>
  <c r="B103" i="8"/>
  <c r="E102" i="8"/>
  <c r="B102" i="8"/>
  <c r="E101" i="8"/>
  <c r="B101" i="8"/>
  <c r="E100" i="8"/>
  <c r="B100" i="8"/>
  <c r="E99" i="8"/>
  <c r="B99" i="8"/>
  <c r="E98" i="8"/>
  <c r="B98" i="8"/>
  <c r="C98" i="8" s="1"/>
  <c r="E97" i="8"/>
  <c r="B97" i="8"/>
  <c r="E96" i="8"/>
  <c r="B96" i="8"/>
  <c r="E95" i="8"/>
  <c r="B95" i="8"/>
  <c r="E94" i="8"/>
  <c r="B94" i="8"/>
  <c r="E93" i="8"/>
  <c r="B93" i="8"/>
  <c r="D93" i="8" s="1"/>
  <c r="E92" i="8"/>
  <c r="B92" i="8"/>
  <c r="E91" i="8"/>
  <c r="B91" i="8"/>
  <c r="E90" i="8"/>
  <c r="B90" i="8"/>
  <c r="E89" i="8"/>
  <c r="B89" i="8"/>
  <c r="E88" i="8"/>
  <c r="B88" i="8"/>
  <c r="C88" i="8" s="1"/>
  <c r="E87" i="8"/>
  <c r="B87" i="8"/>
  <c r="E86" i="8"/>
  <c r="B86" i="8"/>
  <c r="E85" i="8"/>
  <c r="B85" i="8"/>
  <c r="E84" i="8"/>
  <c r="B84" i="8"/>
  <c r="E83" i="8"/>
  <c r="B83" i="8"/>
  <c r="E82" i="8"/>
  <c r="B82" i="8"/>
  <c r="C82" i="8" s="1"/>
  <c r="E81" i="8"/>
  <c r="B81" i="8"/>
  <c r="E80" i="8"/>
  <c r="B80" i="8"/>
  <c r="E79" i="8"/>
  <c r="B79" i="8"/>
  <c r="E78" i="8"/>
  <c r="B78" i="8"/>
  <c r="E77" i="8"/>
  <c r="B77" i="8"/>
  <c r="E76" i="8"/>
  <c r="B76" i="8"/>
  <c r="E75" i="8"/>
  <c r="B75" i="8"/>
  <c r="C75" i="8" s="1"/>
  <c r="E74" i="8"/>
  <c r="B74" i="8"/>
  <c r="E73" i="8"/>
  <c r="B73" i="8"/>
  <c r="E72" i="8"/>
  <c r="B72" i="8"/>
  <c r="C72" i="8" s="1"/>
  <c r="E71" i="8"/>
  <c r="B71" i="8"/>
  <c r="E70" i="8"/>
  <c r="B70" i="8"/>
  <c r="E69" i="8"/>
  <c r="B69" i="8"/>
  <c r="E68" i="8"/>
  <c r="B68" i="8"/>
  <c r="E67" i="8"/>
  <c r="B67" i="8"/>
  <c r="E66" i="8"/>
  <c r="B66" i="8"/>
  <c r="E65" i="8"/>
  <c r="B65" i="8"/>
  <c r="E64" i="8"/>
  <c r="B64" i="8"/>
  <c r="E63" i="8"/>
  <c r="B63" i="8"/>
  <c r="E62" i="8"/>
  <c r="B62" i="8"/>
  <c r="E61" i="8"/>
  <c r="B61" i="8"/>
  <c r="E60" i="8"/>
  <c r="B60" i="8"/>
  <c r="E59" i="8"/>
  <c r="B59" i="8"/>
  <c r="E58" i="8"/>
  <c r="B58" i="8"/>
  <c r="E57" i="8"/>
  <c r="B57" i="8"/>
  <c r="E56" i="8"/>
  <c r="B56" i="8"/>
  <c r="E55" i="8"/>
  <c r="B55" i="8"/>
  <c r="C55" i="8" s="1"/>
  <c r="E54" i="8"/>
  <c r="B54" i="8"/>
  <c r="E53" i="8"/>
  <c r="B53" i="8"/>
  <c r="E52" i="8"/>
  <c r="B52" i="8"/>
  <c r="E51" i="8"/>
  <c r="B51" i="8"/>
  <c r="E50" i="8"/>
  <c r="B50" i="8"/>
  <c r="E49" i="8"/>
  <c r="B49" i="8"/>
  <c r="D49" i="8" s="1"/>
  <c r="E48" i="8"/>
  <c r="B48" i="8"/>
  <c r="C48" i="8" s="1"/>
  <c r="E47" i="8"/>
  <c r="B47" i="8"/>
  <c r="E46" i="8"/>
  <c r="B46" i="8"/>
  <c r="E45" i="8"/>
  <c r="B45" i="8"/>
  <c r="E44" i="8"/>
  <c r="B44" i="8"/>
  <c r="E43" i="8"/>
  <c r="B43" i="8"/>
  <c r="C44" i="8" s="1"/>
  <c r="E42" i="8"/>
  <c r="B42" i="8"/>
  <c r="E41" i="8"/>
  <c r="B41" i="8"/>
  <c r="E40" i="8"/>
  <c r="B40" i="8"/>
  <c r="E39" i="8"/>
  <c r="B39" i="8"/>
  <c r="E38" i="8"/>
  <c r="B38" i="8"/>
  <c r="D38" i="8" s="1"/>
  <c r="E37" i="8"/>
  <c r="B37" i="8"/>
  <c r="E36" i="8"/>
  <c r="B36" i="8"/>
  <c r="E35" i="8"/>
  <c r="B35" i="8"/>
  <c r="E34" i="8"/>
  <c r="B34" i="8"/>
  <c r="E33" i="8"/>
  <c r="B33" i="8"/>
  <c r="E32" i="8"/>
  <c r="B32" i="8"/>
  <c r="C32" i="8" s="1"/>
  <c r="E31" i="8"/>
  <c r="B31" i="8"/>
  <c r="E30" i="8"/>
  <c r="B30" i="8"/>
  <c r="E29" i="8"/>
  <c r="B29" i="8"/>
  <c r="E28" i="8"/>
  <c r="B28" i="8"/>
  <c r="D28" i="8" s="1"/>
  <c r="E27" i="8"/>
  <c r="B27" i="8"/>
  <c r="C27" i="8" s="1"/>
  <c r="E26" i="8"/>
  <c r="B26" i="8"/>
  <c r="E25" i="8"/>
  <c r="B25" i="8"/>
  <c r="C26" i="8" s="1"/>
  <c r="E24" i="8"/>
  <c r="B24" i="8"/>
  <c r="E23" i="8"/>
  <c r="B23" i="8"/>
  <c r="E22" i="8"/>
  <c r="B22" i="8"/>
  <c r="E21" i="8"/>
  <c r="B21" i="8"/>
  <c r="E20" i="8"/>
  <c r="B20" i="8"/>
  <c r="E19" i="8"/>
  <c r="B19" i="8"/>
  <c r="E18" i="8"/>
  <c r="B18" i="8"/>
  <c r="E17" i="8"/>
  <c r="B17" i="8"/>
  <c r="E16" i="8"/>
  <c r="B16" i="8"/>
  <c r="E15" i="8"/>
  <c r="B15" i="8"/>
  <c r="E14" i="8"/>
  <c r="B14" i="8"/>
  <c r="E13" i="8"/>
  <c r="B13" i="8"/>
  <c r="C14" i="8" s="1"/>
  <c r="E12" i="8"/>
  <c r="B12" i="8"/>
  <c r="E11" i="8"/>
  <c r="B11" i="8"/>
  <c r="E10" i="8"/>
  <c r="B10" i="8"/>
  <c r="E9" i="8"/>
  <c r="B9" i="8"/>
  <c r="E8" i="8"/>
  <c r="B8" i="8"/>
  <c r="E7" i="8"/>
  <c r="B7" i="8"/>
  <c r="E6" i="8"/>
  <c r="B6" i="8"/>
  <c r="E5" i="8"/>
  <c r="B5" i="8"/>
  <c r="B663" i="7"/>
  <c r="B662" i="7"/>
  <c r="B661" i="7"/>
  <c r="B660" i="7"/>
  <c r="C660" i="7" s="1"/>
  <c r="B659" i="7"/>
  <c r="B658" i="7"/>
  <c r="B657" i="7"/>
  <c r="C657" i="7" s="1"/>
  <c r="B656" i="7"/>
  <c r="C656" i="7" s="1"/>
  <c r="B655" i="7"/>
  <c r="C655" i="7" s="1"/>
  <c r="B654" i="7"/>
  <c r="B653" i="7"/>
  <c r="C654" i="7" s="1"/>
  <c r="B652" i="7"/>
  <c r="C652" i="7" s="1"/>
  <c r="B651" i="7"/>
  <c r="B650" i="7"/>
  <c r="B649" i="7"/>
  <c r="B648" i="7"/>
  <c r="D648" i="7" s="1"/>
  <c r="B647" i="7"/>
  <c r="C647" i="7" s="1"/>
  <c r="B646" i="7"/>
  <c r="B645" i="7"/>
  <c r="C646" i="7" s="1"/>
  <c r="B644" i="7"/>
  <c r="B643" i="7"/>
  <c r="B642" i="7"/>
  <c r="B641" i="7"/>
  <c r="B640" i="7"/>
  <c r="B639" i="7"/>
  <c r="B638" i="7"/>
  <c r="C637" i="7"/>
  <c r="B637" i="7"/>
  <c r="D637" i="7" s="1"/>
  <c r="B636" i="7"/>
  <c r="B635" i="7"/>
  <c r="C636" i="7" s="1"/>
  <c r="B634" i="7"/>
  <c r="D646" i="7" s="1"/>
  <c r="B633" i="7"/>
  <c r="B632" i="7"/>
  <c r="B631" i="7"/>
  <c r="B630" i="7"/>
  <c r="B629" i="7"/>
  <c r="B628" i="7"/>
  <c r="B627" i="7"/>
  <c r="B626" i="7"/>
  <c r="B625" i="7"/>
  <c r="B624" i="7"/>
  <c r="B623" i="7"/>
  <c r="B622" i="7"/>
  <c r="B621" i="7"/>
  <c r="B620" i="7"/>
  <c r="B619" i="7"/>
  <c r="D631" i="7" s="1"/>
  <c r="B618" i="7"/>
  <c r="B617" i="7"/>
  <c r="B616" i="7"/>
  <c r="B615" i="7"/>
  <c r="B614" i="7"/>
  <c r="B613" i="7"/>
  <c r="C614" i="7" s="1"/>
  <c r="D612" i="7"/>
  <c r="B612" i="7"/>
  <c r="B611" i="7"/>
  <c r="B610" i="7"/>
  <c r="B609" i="7"/>
  <c r="B608" i="7"/>
  <c r="B607" i="7"/>
  <c r="B606" i="7"/>
  <c r="B605" i="7"/>
  <c r="D617" i="7" s="1"/>
  <c r="B604" i="7"/>
  <c r="B603" i="7"/>
  <c r="B602" i="7"/>
  <c r="D614" i="7" s="1"/>
  <c r="B601" i="7"/>
  <c r="C601" i="7" s="1"/>
  <c r="B600" i="7"/>
  <c r="B599" i="7"/>
  <c r="C598" i="7"/>
  <c r="B598" i="7"/>
  <c r="D598" i="7" s="1"/>
  <c r="B597" i="7"/>
  <c r="B596" i="7"/>
  <c r="B595" i="7"/>
  <c r="B594" i="7"/>
  <c r="D606" i="7" s="1"/>
  <c r="B593" i="7"/>
  <c r="B592" i="7"/>
  <c r="C592" i="7" s="1"/>
  <c r="B591" i="7"/>
  <c r="B590" i="7"/>
  <c r="B589" i="7"/>
  <c r="B588" i="7"/>
  <c r="B587" i="7"/>
  <c r="C587" i="7" s="1"/>
  <c r="B586" i="7"/>
  <c r="B585" i="7"/>
  <c r="B584" i="7"/>
  <c r="C585" i="7" s="1"/>
  <c r="B583" i="7"/>
  <c r="B582" i="7"/>
  <c r="B581" i="7"/>
  <c r="C581" i="7" s="1"/>
  <c r="B580" i="7"/>
  <c r="B579" i="7"/>
  <c r="C579" i="7" s="1"/>
  <c r="B578" i="7"/>
  <c r="B577" i="7"/>
  <c r="C576" i="7"/>
  <c r="B576" i="7"/>
  <c r="B575" i="7"/>
  <c r="B574" i="7"/>
  <c r="B573" i="7"/>
  <c r="D572" i="7"/>
  <c r="B572" i="7"/>
  <c r="C572" i="7" s="1"/>
  <c r="B571" i="7"/>
  <c r="B570" i="7"/>
  <c r="B569" i="7"/>
  <c r="B568" i="7"/>
  <c r="C569" i="7" s="1"/>
  <c r="B567" i="7"/>
  <c r="C567" i="7" s="1"/>
  <c r="B566" i="7"/>
  <c r="B565" i="7"/>
  <c r="B564" i="7"/>
  <c r="B563" i="7"/>
  <c r="B562" i="7"/>
  <c r="B561" i="7"/>
  <c r="C561" i="7" s="1"/>
  <c r="B560" i="7"/>
  <c r="B559" i="7"/>
  <c r="C560" i="7" s="1"/>
  <c r="B558" i="7"/>
  <c r="B557" i="7"/>
  <c r="B556" i="7"/>
  <c r="B555" i="7"/>
  <c r="B554" i="7"/>
  <c r="C554" i="7" s="1"/>
  <c r="B553" i="7"/>
  <c r="C553" i="7" s="1"/>
  <c r="B552" i="7"/>
  <c r="B551" i="7"/>
  <c r="C552" i="7" s="1"/>
  <c r="B550" i="7"/>
  <c r="B549" i="7"/>
  <c r="B548" i="7"/>
  <c r="B547" i="7"/>
  <c r="D547" i="7" s="1"/>
  <c r="B546" i="7"/>
  <c r="C546" i="7" s="1"/>
  <c r="B545" i="7"/>
  <c r="C545" i="7" s="1"/>
  <c r="B544" i="7"/>
  <c r="B543" i="7"/>
  <c r="C544" i="7" s="1"/>
  <c r="B542" i="7"/>
  <c r="B541" i="7"/>
  <c r="B540" i="7"/>
  <c r="B539" i="7"/>
  <c r="B538" i="7"/>
  <c r="C538" i="7" s="1"/>
  <c r="B537" i="7"/>
  <c r="C537" i="7" s="1"/>
  <c r="B536" i="7"/>
  <c r="B535" i="7"/>
  <c r="C536" i="7" s="1"/>
  <c r="B534" i="7"/>
  <c r="B533" i="7"/>
  <c r="B532" i="7"/>
  <c r="B531" i="7"/>
  <c r="B530" i="7"/>
  <c r="C530" i="7" s="1"/>
  <c r="C529" i="7"/>
  <c r="B529" i="7"/>
  <c r="B528" i="7"/>
  <c r="B527" i="7"/>
  <c r="C528" i="7" s="1"/>
  <c r="B526" i="7"/>
  <c r="B525" i="7"/>
  <c r="B524" i="7"/>
  <c r="C524" i="7" s="1"/>
  <c r="B523" i="7"/>
  <c r="D535" i="7" s="1"/>
  <c r="B522" i="7"/>
  <c r="C522" i="7" s="1"/>
  <c r="B521" i="7"/>
  <c r="B520" i="7"/>
  <c r="B519" i="7"/>
  <c r="D519" i="7" s="1"/>
  <c r="B518" i="7"/>
  <c r="B517" i="7"/>
  <c r="B516" i="7"/>
  <c r="C516" i="7" s="1"/>
  <c r="B515" i="7"/>
  <c r="B514" i="7"/>
  <c r="C514" i="7" s="1"/>
  <c r="B513" i="7"/>
  <c r="B512" i="7"/>
  <c r="C513" i="7" s="1"/>
  <c r="B511" i="7"/>
  <c r="B510" i="7"/>
  <c r="B509" i="7"/>
  <c r="B508" i="7"/>
  <c r="B507" i="7"/>
  <c r="B506" i="7"/>
  <c r="C506" i="7" s="1"/>
  <c r="C505" i="7"/>
  <c r="B505" i="7"/>
  <c r="B504" i="7"/>
  <c r="B503" i="7"/>
  <c r="B502" i="7"/>
  <c r="B501" i="7"/>
  <c r="B500" i="7"/>
  <c r="B499" i="7"/>
  <c r="D499" i="7" s="1"/>
  <c r="C498" i="7"/>
  <c r="B498" i="7"/>
  <c r="B497" i="7"/>
  <c r="B496" i="7"/>
  <c r="C497" i="7" s="1"/>
  <c r="B495" i="7"/>
  <c r="B494" i="7"/>
  <c r="B493" i="7"/>
  <c r="B492" i="7"/>
  <c r="B491" i="7"/>
  <c r="B490" i="7"/>
  <c r="B489" i="7"/>
  <c r="C489" i="7" s="1"/>
  <c r="B488" i="7"/>
  <c r="B487" i="7"/>
  <c r="B486" i="7"/>
  <c r="C487" i="7" s="1"/>
  <c r="B485" i="7"/>
  <c r="B484" i="7"/>
  <c r="B483" i="7"/>
  <c r="B482" i="7"/>
  <c r="C482" i="7" s="1"/>
  <c r="B481" i="7"/>
  <c r="B480" i="7"/>
  <c r="B479" i="7"/>
  <c r="C480" i="7" s="1"/>
  <c r="B478" i="7"/>
  <c r="B477" i="7"/>
  <c r="B476" i="7"/>
  <c r="B475" i="7"/>
  <c r="B474" i="7"/>
  <c r="C474" i="7" s="1"/>
  <c r="B473" i="7"/>
  <c r="C473" i="7" s="1"/>
  <c r="B472" i="7"/>
  <c r="B471" i="7"/>
  <c r="B470" i="7"/>
  <c r="C471" i="7" s="1"/>
  <c r="B469" i="7"/>
  <c r="B468" i="7"/>
  <c r="B467" i="7"/>
  <c r="B466" i="7"/>
  <c r="C466" i="7" s="1"/>
  <c r="B465" i="7"/>
  <c r="C465" i="7" s="1"/>
  <c r="B464" i="7"/>
  <c r="B463" i="7"/>
  <c r="C463" i="7" s="1"/>
  <c r="B462" i="7"/>
  <c r="B461" i="7"/>
  <c r="B460" i="7"/>
  <c r="C460" i="7" s="1"/>
  <c r="B459" i="7"/>
  <c r="B458" i="7"/>
  <c r="B457" i="7"/>
  <c r="C457" i="7" s="1"/>
  <c r="B456" i="7"/>
  <c r="B455" i="7"/>
  <c r="B454" i="7"/>
  <c r="B453" i="7"/>
  <c r="B452" i="7"/>
  <c r="B451" i="7"/>
  <c r="C452" i="7" s="1"/>
  <c r="B450" i="7"/>
  <c r="B449" i="7"/>
  <c r="B448" i="7"/>
  <c r="B447" i="7"/>
  <c r="B446" i="7"/>
  <c r="B445" i="7"/>
  <c r="B444" i="7"/>
  <c r="B443" i="7"/>
  <c r="B442" i="7"/>
  <c r="C442" i="7" s="1"/>
  <c r="B441" i="7"/>
  <c r="B440" i="7"/>
  <c r="C439" i="7"/>
  <c r="B439" i="7"/>
  <c r="B438" i="7"/>
  <c r="D438" i="7" s="1"/>
  <c r="B437" i="7"/>
  <c r="B436" i="7"/>
  <c r="B435" i="7"/>
  <c r="B434" i="7"/>
  <c r="C434" i="7" s="1"/>
  <c r="B433" i="7"/>
  <c r="B432" i="7"/>
  <c r="C433" i="7" s="1"/>
  <c r="B431" i="7"/>
  <c r="D431" i="7" s="1"/>
  <c r="B430" i="7"/>
  <c r="B429" i="7"/>
  <c r="B428" i="7"/>
  <c r="C428" i="7" s="1"/>
  <c r="B427" i="7"/>
  <c r="C427" i="7" s="1"/>
  <c r="B426" i="7"/>
  <c r="B425" i="7"/>
  <c r="B424" i="7"/>
  <c r="B423" i="7"/>
  <c r="B422" i="7"/>
  <c r="B421" i="7"/>
  <c r="B420" i="7"/>
  <c r="B419" i="7"/>
  <c r="C419" i="7" s="1"/>
  <c r="B418" i="7"/>
  <c r="B417" i="7"/>
  <c r="C417" i="7" s="1"/>
  <c r="B416" i="7"/>
  <c r="C416" i="7" s="1"/>
  <c r="B415" i="7"/>
  <c r="D427" i="7" s="1"/>
  <c r="B414" i="7"/>
  <c r="C414" i="7" s="1"/>
  <c r="B413" i="7"/>
  <c r="B412" i="7"/>
  <c r="D412" i="7" s="1"/>
  <c r="B411" i="7"/>
  <c r="D423" i="7" s="1"/>
  <c r="B410" i="7"/>
  <c r="B409" i="7"/>
  <c r="B408" i="7"/>
  <c r="B407" i="7"/>
  <c r="B406" i="7"/>
  <c r="B405" i="7"/>
  <c r="B404" i="7"/>
  <c r="D404" i="7" s="1"/>
  <c r="D403" i="7"/>
  <c r="B403" i="7"/>
  <c r="D415" i="7" s="1"/>
  <c r="B402" i="7"/>
  <c r="C403" i="7" s="1"/>
  <c r="B401" i="7"/>
  <c r="B400" i="7"/>
  <c r="B399" i="7"/>
  <c r="C400" i="7" s="1"/>
  <c r="B398" i="7"/>
  <c r="B397" i="7"/>
  <c r="B396" i="7"/>
  <c r="B395" i="7"/>
  <c r="C395" i="7" s="1"/>
  <c r="B394" i="7"/>
  <c r="B393" i="7"/>
  <c r="B392" i="7"/>
  <c r="C392" i="7" s="1"/>
  <c r="C391" i="7"/>
  <c r="B391" i="7"/>
  <c r="B390" i="7"/>
  <c r="D390" i="7" s="1"/>
  <c r="B389" i="7"/>
  <c r="B388" i="7"/>
  <c r="B387" i="7"/>
  <c r="B386" i="7"/>
  <c r="B385" i="7"/>
  <c r="C385" i="7" s="1"/>
  <c r="B384" i="7"/>
  <c r="B383" i="7"/>
  <c r="C383" i="7" s="1"/>
  <c r="B382" i="7"/>
  <c r="B381" i="7"/>
  <c r="B380" i="7"/>
  <c r="B379" i="7"/>
  <c r="C379" i="7" s="1"/>
  <c r="B378" i="7"/>
  <c r="B377" i="7"/>
  <c r="B376" i="7"/>
  <c r="B375" i="7"/>
  <c r="B374" i="7"/>
  <c r="B373" i="7"/>
  <c r="B372" i="7"/>
  <c r="B371" i="7"/>
  <c r="B370" i="7"/>
  <c r="B369" i="7"/>
  <c r="B368" i="7"/>
  <c r="D368" i="7" s="1"/>
  <c r="B367" i="7"/>
  <c r="B366" i="7"/>
  <c r="B365" i="7"/>
  <c r="B364" i="7"/>
  <c r="B363" i="7"/>
  <c r="C363" i="7" s="1"/>
  <c r="B362" i="7"/>
  <c r="B361" i="7"/>
  <c r="C360" i="7"/>
  <c r="B360" i="7"/>
  <c r="B359" i="7"/>
  <c r="B358" i="7"/>
  <c r="C359" i="7" s="1"/>
  <c r="B357" i="7"/>
  <c r="D369" i="7" s="1"/>
  <c r="D356" i="7"/>
  <c r="B356" i="7"/>
  <c r="B355" i="7"/>
  <c r="C356" i="7" s="1"/>
  <c r="B354" i="7"/>
  <c r="B353" i="7"/>
  <c r="B352" i="7"/>
  <c r="B351" i="7"/>
  <c r="B350" i="7"/>
  <c r="B349" i="7"/>
  <c r="B348" i="7"/>
  <c r="D360" i="7" s="1"/>
  <c r="B347" i="7"/>
  <c r="C347" i="7" s="1"/>
  <c r="B346" i="7"/>
  <c r="B345" i="7"/>
  <c r="B344" i="7"/>
  <c r="B343" i="7"/>
  <c r="B342" i="7"/>
  <c r="C342" i="7" s="1"/>
  <c r="B341" i="7"/>
  <c r="B340" i="7"/>
  <c r="B339" i="7"/>
  <c r="B338" i="7"/>
  <c r="B337" i="7"/>
  <c r="B336" i="7"/>
  <c r="D336" i="7" s="1"/>
  <c r="B335" i="7"/>
  <c r="D347" i="7" s="1"/>
  <c r="B334" i="7"/>
  <c r="C334" i="7" s="1"/>
  <c r="B333" i="7"/>
  <c r="B332" i="7"/>
  <c r="B331" i="7"/>
  <c r="B330" i="7"/>
  <c r="B329" i="7"/>
  <c r="B328" i="7"/>
  <c r="D328" i="7" s="1"/>
  <c r="B327" i="7"/>
  <c r="C328" i="7" s="1"/>
  <c r="B326" i="7"/>
  <c r="B325" i="7"/>
  <c r="B324" i="7"/>
  <c r="B323" i="7"/>
  <c r="B322" i="7"/>
  <c r="B321" i="7"/>
  <c r="B320" i="7"/>
  <c r="B319" i="7"/>
  <c r="B318" i="7"/>
  <c r="B317" i="7"/>
  <c r="B316" i="7"/>
  <c r="B315" i="7"/>
  <c r="B314" i="7"/>
  <c r="B313" i="7"/>
  <c r="D313" i="7" s="1"/>
  <c r="B312" i="7"/>
  <c r="C312" i="7" s="1"/>
  <c r="B311" i="7"/>
  <c r="C311" i="7" s="1"/>
  <c r="B310" i="7"/>
  <c r="B309" i="7"/>
  <c r="B308" i="7"/>
  <c r="B307" i="7"/>
  <c r="B306" i="7"/>
  <c r="B305" i="7"/>
  <c r="B304" i="7"/>
  <c r="D304" i="7" s="1"/>
  <c r="B303" i="7"/>
  <c r="B302" i="7"/>
  <c r="B301" i="7"/>
  <c r="B300" i="7"/>
  <c r="B299" i="7"/>
  <c r="B298" i="7"/>
  <c r="B297" i="7"/>
  <c r="B296" i="7"/>
  <c r="D296" i="7" s="1"/>
  <c r="B295" i="7"/>
  <c r="B294" i="7"/>
  <c r="B293" i="7"/>
  <c r="C293" i="7" s="1"/>
  <c r="B292" i="7"/>
  <c r="B291" i="7"/>
  <c r="B290" i="7"/>
  <c r="B289" i="7"/>
  <c r="C289" i="7" s="1"/>
  <c r="C288" i="7"/>
  <c r="B288" i="7"/>
  <c r="B287" i="7"/>
  <c r="B286" i="7"/>
  <c r="C287" i="7" s="1"/>
  <c r="B285" i="7"/>
  <c r="B284" i="7"/>
  <c r="B283" i="7"/>
  <c r="B282" i="7"/>
  <c r="C281" i="7"/>
  <c r="B281" i="7"/>
  <c r="B280" i="7"/>
  <c r="B279" i="7"/>
  <c r="D291" i="7" s="1"/>
  <c r="B278" i="7"/>
  <c r="B277" i="7"/>
  <c r="B276" i="7"/>
  <c r="B275" i="7"/>
  <c r="D287" i="7" s="1"/>
  <c r="B274" i="7"/>
  <c r="B273" i="7"/>
  <c r="D285" i="7" s="1"/>
  <c r="C272" i="7"/>
  <c r="B272" i="7"/>
  <c r="D272" i="7" s="1"/>
  <c r="B271" i="7"/>
  <c r="B270" i="7"/>
  <c r="B269" i="7"/>
  <c r="B268" i="7"/>
  <c r="B267" i="7"/>
  <c r="B266" i="7"/>
  <c r="B265" i="7"/>
  <c r="B264" i="7"/>
  <c r="B263" i="7"/>
  <c r="D263" i="7" s="1"/>
  <c r="B262" i="7"/>
  <c r="B261" i="7"/>
  <c r="B260" i="7"/>
  <c r="B259" i="7"/>
  <c r="B258" i="7"/>
  <c r="B257" i="7"/>
  <c r="C257" i="7" s="1"/>
  <c r="B256" i="7"/>
  <c r="B255" i="7"/>
  <c r="D255" i="7" s="1"/>
  <c r="B254" i="7"/>
  <c r="D254" i="7" s="1"/>
  <c r="B253" i="7"/>
  <c r="B252" i="7"/>
  <c r="B251" i="7"/>
  <c r="B250" i="7"/>
  <c r="B249" i="7"/>
  <c r="B248" i="7"/>
  <c r="B247" i="7"/>
  <c r="B246" i="7"/>
  <c r="B245" i="7"/>
  <c r="B244" i="7"/>
  <c r="B243" i="7"/>
  <c r="C243" i="7" s="1"/>
  <c r="B242" i="7"/>
  <c r="B241" i="7"/>
  <c r="B240" i="7"/>
  <c r="D252" i="7" s="1"/>
  <c r="B239" i="7"/>
  <c r="D251" i="7" s="1"/>
  <c r="B238" i="7"/>
  <c r="C238" i="7" s="1"/>
  <c r="B237" i="7"/>
  <c r="B236" i="7"/>
  <c r="B235" i="7"/>
  <c r="C235" i="7" s="1"/>
  <c r="B234" i="7"/>
  <c r="B233" i="7"/>
  <c r="B232" i="7"/>
  <c r="C233" i="7" s="1"/>
  <c r="B231" i="7"/>
  <c r="B230" i="7"/>
  <c r="B229" i="7"/>
  <c r="B228" i="7"/>
  <c r="B227" i="7"/>
  <c r="B226" i="7"/>
  <c r="D226" i="7" s="1"/>
  <c r="B225" i="7"/>
  <c r="B224" i="7"/>
  <c r="B223" i="7"/>
  <c r="B222" i="7"/>
  <c r="B221" i="7"/>
  <c r="B220" i="7"/>
  <c r="B219" i="7"/>
  <c r="B218" i="7"/>
  <c r="B217" i="7"/>
  <c r="B216" i="7"/>
  <c r="B215" i="7"/>
  <c r="B214" i="7"/>
  <c r="B213" i="7"/>
  <c r="B212" i="7"/>
  <c r="B211" i="7"/>
  <c r="B210" i="7"/>
  <c r="B209" i="7"/>
  <c r="B208" i="7"/>
  <c r="B207" i="7"/>
  <c r="B206" i="7"/>
  <c r="B205" i="7"/>
  <c r="B204" i="7"/>
  <c r="B203" i="7"/>
  <c r="C203" i="7" s="1"/>
  <c r="B202" i="7"/>
  <c r="D202" i="7" s="1"/>
  <c r="B201" i="7"/>
  <c r="B200" i="7"/>
  <c r="B199" i="7"/>
  <c r="C199" i="7" s="1"/>
  <c r="B198" i="7"/>
  <c r="B197" i="7"/>
  <c r="B196" i="7"/>
  <c r="D208" i="7" s="1"/>
  <c r="B195" i="7"/>
  <c r="B194" i="7"/>
  <c r="D194" i="7" s="1"/>
  <c r="B193" i="7"/>
  <c r="B192" i="7"/>
  <c r="B191" i="7"/>
  <c r="C191" i="7" s="1"/>
  <c r="B190" i="7"/>
  <c r="B189" i="7"/>
  <c r="B188" i="7"/>
  <c r="B187" i="7"/>
  <c r="D187" i="7" s="1"/>
  <c r="B186" i="7"/>
  <c r="C186" i="7" s="1"/>
  <c r="B185" i="7"/>
  <c r="B184" i="7"/>
  <c r="B183" i="7"/>
  <c r="C183" i="7" s="1"/>
  <c r="B182" i="7"/>
  <c r="B181" i="7"/>
  <c r="B180" i="7"/>
  <c r="B179" i="7"/>
  <c r="B178" i="7"/>
  <c r="B177" i="7"/>
  <c r="B176" i="7"/>
  <c r="B175" i="7"/>
  <c r="B174" i="7"/>
  <c r="B173" i="7"/>
  <c r="B172" i="7"/>
  <c r="B171" i="7"/>
  <c r="C171" i="7" s="1"/>
  <c r="B170" i="7"/>
  <c r="B169" i="7"/>
  <c r="B168" i="7"/>
  <c r="C169" i="7" s="1"/>
  <c r="B167" i="7"/>
  <c r="B166" i="7"/>
  <c r="B165" i="7"/>
  <c r="B164" i="7"/>
  <c r="D176" i="7" s="1"/>
  <c r="B163" i="7"/>
  <c r="B162" i="7"/>
  <c r="B161" i="7"/>
  <c r="B160" i="7"/>
  <c r="B159" i="7"/>
  <c r="B158" i="7"/>
  <c r="B157" i="7"/>
  <c r="B156" i="7"/>
  <c r="B155" i="7"/>
  <c r="D167" i="7" s="1"/>
  <c r="B154" i="7"/>
  <c r="B153" i="7"/>
  <c r="C154" i="7" s="1"/>
  <c r="B152" i="7"/>
  <c r="B151" i="7"/>
  <c r="B150" i="7"/>
  <c r="B149" i="7"/>
  <c r="B148" i="7"/>
  <c r="C148" i="7" s="1"/>
  <c r="B147" i="7"/>
  <c r="B146" i="7"/>
  <c r="B145" i="7"/>
  <c r="B144" i="7"/>
  <c r="B143" i="7"/>
  <c r="B142" i="7"/>
  <c r="D154" i="7" s="1"/>
  <c r="B141" i="7"/>
  <c r="B140" i="7"/>
  <c r="B139" i="7"/>
  <c r="B138" i="7"/>
  <c r="B137" i="7"/>
  <c r="B136" i="7"/>
  <c r="D136" i="7" s="1"/>
  <c r="B135" i="7"/>
  <c r="B134" i="7"/>
  <c r="D146" i="7" s="1"/>
  <c r="B133" i="7"/>
  <c r="B132" i="7"/>
  <c r="B131" i="7"/>
  <c r="B130" i="7"/>
  <c r="B129" i="7"/>
  <c r="C130" i="7" s="1"/>
  <c r="B128" i="7"/>
  <c r="C129" i="7" s="1"/>
  <c r="B127" i="7"/>
  <c r="D127" i="7" s="1"/>
  <c r="B126" i="7"/>
  <c r="D138" i="7" s="1"/>
  <c r="B125" i="7"/>
  <c r="B124" i="7"/>
  <c r="B123" i="7"/>
  <c r="B122" i="7"/>
  <c r="B121" i="7"/>
  <c r="B120" i="7"/>
  <c r="C121" i="7" s="1"/>
  <c r="B119" i="7"/>
  <c r="B118" i="7"/>
  <c r="D130" i="7" s="1"/>
  <c r="B117" i="7"/>
  <c r="B116" i="7"/>
  <c r="B115" i="7"/>
  <c r="B114" i="7"/>
  <c r="B113" i="7"/>
  <c r="B112" i="7"/>
  <c r="D112" i="7" s="1"/>
  <c r="B111" i="7"/>
  <c r="B110" i="7"/>
  <c r="B109" i="7"/>
  <c r="B108" i="7"/>
  <c r="B107" i="7"/>
  <c r="B106" i="7"/>
  <c r="C106" i="7" s="1"/>
  <c r="B105" i="7"/>
  <c r="B104" i="7"/>
  <c r="B103" i="7"/>
  <c r="B102" i="7"/>
  <c r="D114" i="7" s="1"/>
  <c r="B101" i="7"/>
  <c r="B100" i="7"/>
  <c r="B99" i="7"/>
  <c r="B98" i="7"/>
  <c r="B97" i="7"/>
  <c r="B96" i="7"/>
  <c r="B95" i="7"/>
  <c r="B94" i="7"/>
  <c r="B93" i="7"/>
  <c r="B92" i="7"/>
  <c r="B91" i="7"/>
  <c r="B90" i="7"/>
  <c r="B89" i="7"/>
  <c r="B88" i="7"/>
  <c r="B87" i="7"/>
  <c r="B86" i="7"/>
  <c r="B85" i="7"/>
  <c r="B84" i="7"/>
  <c r="B83" i="7"/>
  <c r="B82" i="7"/>
  <c r="B81" i="7"/>
  <c r="B80" i="7"/>
  <c r="B79" i="7"/>
  <c r="B78" i="7"/>
  <c r="B77" i="7"/>
  <c r="B76" i="7"/>
  <c r="B75" i="7"/>
  <c r="D75" i="7" s="1"/>
  <c r="B74" i="7"/>
  <c r="B73" i="7"/>
  <c r="B72" i="7"/>
  <c r="B71" i="7"/>
  <c r="B70" i="7"/>
  <c r="B69" i="7"/>
  <c r="B68" i="7"/>
  <c r="B67" i="7"/>
  <c r="B66" i="7"/>
  <c r="B65" i="7"/>
  <c r="B64" i="7"/>
  <c r="D64" i="7" s="1"/>
  <c r="B63" i="7"/>
  <c r="B62" i="7"/>
  <c r="B61" i="7"/>
  <c r="B60" i="7"/>
  <c r="B59" i="7"/>
  <c r="D59" i="7" s="1"/>
  <c r="B58" i="7"/>
  <c r="B57" i="7"/>
  <c r="B56" i="7"/>
  <c r="C57" i="7" s="1"/>
  <c r="B55" i="7"/>
  <c r="B54" i="7"/>
  <c r="B53" i="7"/>
  <c r="B52" i="7"/>
  <c r="B51" i="7"/>
  <c r="B50" i="7"/>
  <c r="C50" i="7" s="1"/>
  <c r="B49" i="7"/>
  <c r="B48" i="7"/>
  <c r="B47" i="7"/>
  <c r="B46" i="7"/>
  <c r="B45" i="7"/>
  <c r="B44" i="7"/>
  <c r="B43" i="7"/>
  <c r="B42" i="7"/>
  <c r="B41" i="7"/>
  <c r="B40" i="7"/>
  <c r="B39" i="7"/>
  <c r="B38" i="7"/>
  <c r="B37" i="7"/>
  <c r="B36" i="7"/>
  <c r="B35" i="7"/>
  <c r="D35" i="7" s="1"/>
  <c r="B34" i="7"/>
  <c r="B33" i="7"/>
  <c r="B32" i="7"/>
  <c r="C33" i="7" s="1"/>
  <c r="B31" i="7"/>
  <c r="B30" i="7"/>
  <c r="B29" i="7"/>
  <c r="B28" i="7"/>
  <c r="B27" i="7"/>
  <c r="B26" i="7"/>
  <c r="B25" i="7"/>
  <c r="C24" i="7"/>
  <c r="B24" i="7"/>
  <c r="B23" i="7"/>
  <c r="B22" i="7"/>
  <c r="D34" i="7" s="1"/>
  <c r="B21" i="7"/>
  <c r="B20" i="7"/>
  <c r="B19" i="7"/>
  <c r="C18" i="7"/>
  <c r="B18" i="7"/>
  <c r="D18" i="7" s="1"/>
  <c r="B17" i="7"/>
  <c r="B16" i="7"/>
  <c r="C17" i="7" s="1"/>
  <c r="B15" i="7"/>
  <c r="C16" i="7" s="1"/>
  <c r="B14" i="7"/>
  <c r="B13" i="7"/>
  <c r="D25" i="7" s="1"/>
  <c r="B12" i="7"/>
  <c r="B11" i="7"/>
  <c r="B10" i="7"/>
  <c r="C10" i="7" s="1"/>
  <c r="B9" i="7"/>
  <c r="B8" i="7"/>
  <c r="C9" i="7" s="1"/>
  <c r="B7" i="7"/>
  <c r="B6" i="7"/>
  <c r="B5" i="7"/>
  <c r="D17" i="7" s="1"/>
  <c r="B663" i="6"/>
  <c r="B662" i="6"/>
  <c r="C662" i="6" s="1"/>
  <c r="B661" i="6"/>
  <c r="B660" i="6"/>
  <c r="B659" i="6"/>
  <c r="B658" i="6"/>
  <c r="B657" i="6"/>
  <c r="B656" i="6"/>
  <c r="B655" i="6"/>
  <c r="B654" i="6"/>
  <c r="C654" i="6" s="1"/>
  <c r="B653" i="6"/>
  <c r="B652" i="6"/>
  <c r="B651" i="6"/>
  <c r="B650" i="6"/>
  <c r="B649" i="6"/>
  <c r="B648" i="6"/>
  <c r="B647" i="6"/>
  <c r="B646" i="6"/>
  <c r="B645" i="6"/>
  <c r="B644" i="6"/>
  <c r="B643" i="6"/>
  <c r="B642" i="6"/>
  <c r="B641" i="6"/>
  <c r="B640" i="6"/>
  <c r="B639" i="6"/>
  <c r="B638" i="6"/>
  <c r="B637" i="6"/>
  <c r="B636" i="6"/>
  <c r="B635" i="6"/>
  <c r="B634" i="6"/>
  <c r="B633" i="6"/>
  <c r="B632" i="6"/>
  <c r="B631" i="6"/>
  <c r="B630" i="6"/>
  <c r="B629" i="6"/>
  <c r="B628" i="6"/>
  <c r="B627" i="6"/>
  <c r="B626" i="6"/>
  <c r="B625" i="6"/>
  <c r="B624" i="6"/>
  <c r="C624" i="6" s="1"/>
  <c r="B623" i="6"/>
  <c r="B622" i="6"/>
  <c r="B621" i="6"/>
  <c r="B620" i="6"/>
  <c r="B619" i="6"/>
  <c r="B618" i="6"/>
  <c r="B617" i="6"/>
  <c r="B616" i="6"/>
  <c r="B615" i="6"/>
  <c r="D627" i="6" s="1"/>
  <c r="B614" i="6"/>
  <c r="C614" i="6" s="1"/>
  <c r="B613" i="6"/>
  <c r="B612" i="6"/>
  <c r="C612" i="6" s="1"/>
  <c r="B611" i="6"/>
  <c r="B610" i="6"/>
  <c r="D622" i="6" s="1"/>
  <c r="B609" i="6"/>
  <c r="B608" i="6"/>
  <c r="B607" i="6"/>
  <c r="C607" i="6" s="1"/>
  <c r="B606" i="6"/>
  <c r="C606" i="6" s="1"/>
  <c r="B605" i="6"/>
  <c r="B604" i="6"/>
  <c r="C605" i="6" s="1"/>
  <c r="B603" i="6"/>
  <c r="B602" i="6"/>
  <c r="B601" i="6"/>
  <c r="B600" i="6"/>
  <c r="B599" i="6"/>
  <c r="C599" i="6" s="1"/>
  <c r="B598" i="6"/>
  <c r="B597" i="6"/>
  <c r="C598" i="6" s="1"/>
  <c r="B596" i="6"/>
  <c r="B595" i="6"/>
  <c r="B594" i="6"/>
  <c r="B593" i="6"/>
  <c r="B592" i="6"/>
  <c r="B591" i="6"/>
  <c r="B590" i="6"/>
  <c r="B589" i="6"/>
  <c r="B588" i="6"/>
  <c r="B587" i="6"/>
  <c r="B586" i="6"/>
  <c r="D598" i="6" s="1"/>
  <c r="B585" i="6"/>
  <c r="B584" i="6"/>
  <c r="B583" i="6"/>
  <c r="B582" i="6"/>
  <c r="C582" i="6" s="1"/>
  <c r="B581" i="6"/>
  <c r="B580" i="6"/>
  <c r="D579" i="6"/>
  <c r="B579" i="6"/>
  <c r="B578" i="6"/>
  <c r="D590" i="6" s="1"/>
  <c r="B577" i="6"/>
  <c r="B576" i="6"/>
  <c r="D588" i="6" s="1"/>
  <c r="B575" i="6"/>
  <c r="B574" i="6"/>
  <c r="B573" i="6"/>
  <c r="B572" i="6"/>
  <c r="B571" i="6"/>
  <c r="B570" i="6"/>
  <c r="D582" i="6" s="1"/>
  <c r="B569" i="6"/>
  <c r="B568" i="6"/>
  <c r="B567" i="6"/>
  <c r="C567" i="6" s="1"/>
  <c r="B566" i="6"/>
  <c r="B565" i="6"/>
  <c r="C566" i="6" s="1"/>
  <c r="B564" i="6"/>
  <c r="B563" i="6"/>
  <c r="B562" i="6"/>
  <c r="B561" i="6"/>
  <c r="B560" i="6"/>
  <c r="B559" i="6"/>
  <c r="B558" i="6"/>
  <c r="B557" i="6"/>
  <c r="B556" i="6"/>
  <c r="B555" i="6"/>
  <c r="B554" i="6"/>
  <c r="D566" i="6" s="1"/>
  <c r="B553" i="6"/>
  <c r="B552" i="6"/>
  <c r="B551" i="6"/>
  <c r="D563" i="6" s="1"/>
  <c r="B550" i="6"/>
  <c r="B549" i="6"/>
  <c r="B548" i="6"/>
  <c r="B547" i="6"/>
  <c r="C548" i="6" s="1"/>
  <c r="B546" i="6"/>
  <c r="D558" i="6" s="1"/>
  <c r="B545" i="6"/>
  <c r="B544" i="6"/>
  <c r="B543" i="6"/>
  <c r="C543" i="6" s="1"/>
  <c r="B542" i="6"/>
  <c r="B541" i="6"/>
  <c r="C542" i="6" s="1"/>
  <c r="B540" i="6"/>
  <c r="C541" i="6" s="1"/>
  <c r="B539" i="6"/>
  <c r="B538" i="6"/>
  <c r="D550" i="6" s="1"/>
  <c r="B537" i="6"/>
  <c r="B536" i="6"/>
  <c r="B535" i="6"/>
  <c r="B534" i="6"/>
  <c r="C534" i="6" s="1"/>
  <c r="B533" i="6"/>
  <c r="B532" i="6"/>
  <c r="B531" i="6"/>
  <c r="D531" i="6" s="1"/>
  <c r="B530" i="6"/>
  <c r="D542" i="6" s="1"/>
  <c r="B529" i="6"/>
  <c r="B528" i="6"/>
  <c r="B527" i="6"/>
  <c r="B526" i="6"/>
  <c r="C526" i="6" s="1"/>
  <c r="B525" i="6"/>
  <c r="B524" i="6"/>
  <c r="C524" i="6" s="1"/>
  <c r="B523" i="6"/>
  <c r="B522" i="6"/>
  <c r="B521" i="6"/>
  <c r="B520" i="6"/>
  <c r="B519" i="6"/>
  <c r="C519" i="6" s="1"/>
  <c r="B518" i="6"/>
  <c r="B517" i="6"/>
  <c r="B516" i="6"/>
  <c r="D516" i="6" s="1"/>
  <c r="B515" i="6"/>
  <c r="B514" i="6"/>
  <c r="B513" i="6"/>
  <c r="B512" i="6"/>
  <c r="B511" i="6"/>
  <c r="B510" i="6"/>
  <c r="B509" i="6"/>
  <c r="B508" i="6"/>
  <c r="C508" i="6" s="1"/>
  <c r="B507" i="6"/>
  <c r="B506" i="6"/>
  <c r="D518" i="6" s="1"/>
  <c r="B505" i="6"/>
  <c r="B504" i="6"/>
  <c r="B503" i="6"/>
  <c r="C503" i="6" s="1"/>
  <c r="B502" i="6"/>
  <c r="B501" i="6"/>
  <c r="D500" i="6"/>
  <c r="B500" i="6"/>
  <c r="B499" i="6"/>
  <c r="B498" i="6"/>
  <c r="B497" i="6"/>
  <c r="B496" i="6"/>
  <c r="B495" i="6"/>
  <c r="B494" i="6"/>
  <c r="B493" i="6"/>
  <c r="B492" i="6"/>
  <c r="B491" i="6"/>
  <c r="B490" i="6"/>
  <c r="B489" i="6"/>
  <c r="B488" i="6"/>
  <c r="B487" i="6"/>
  <c r="D499" i="6" s="1"/>
  <c r="B486" i="6"/>
  <c r="B485" i="6"/>
  <c r="B484" i="6"/>
  <c r="C484" i="6" s="1"/>
  <c r="B483" i="6"/>
  <c r="B482" i="6"/>
  <c r="B481" i="6"/>
  <c r="B480" i="6"/>
  <c r="B479" i="6"/>
  <c r="B478" i="6"/>
  <c r="C478" i="6" s="1"/>
  <c r="B477" i="6"/>
  <c r="B476" i="6"/>
  <c r="C477" i="6" s="1"/>
  <c r="B475" i="6"/>
  <c r="B474" i="6"/>
  <c r="B473" i="6"/>
  <c r="B472" i="6"/>
  <c r="B471" i="6"/>
  <c r="C471" i="6" s="1"/>
  <c r="B470" i="6"/>
  <c r="C470" i="6" s="1"/>
  <c r="B469" i="6"/>
  <c r="B468" i="6"/>
  <c r="C469" i="6" s="1"/>
  <c r="D467" i="6"/>
  <c r="B467" i="6"/>
  <c r="B466" i="6"/>
  <c r="B465" i="6"/>
  <c r="B464" i="6"/>
  <c r="B463" i="6"/>
  <c r="B462" i="6"/>
  <c r="B461" i="6"/>
  <c r="B460" i="6"/>
  <c r="D460" i="6" s="1"/>
  <c r="B459" i="6"/>
  <c r="B458" i="6"/>
  <c r="D470" i="6" s="1"/>
  <c r="B457" i="6"/>
  <c r="B456" i="6"/>
  <c r="B455" i="6"/>
  <c r="B454" i="6"/>
  <c r="C455" i="6" s="1"/>
  <c r="B453" i="6"/>
  <c r="C454" i="6" s="1"/>
  <c r="B452" i="6"/>
  <c r="B451" i="6"/>
  <c r="D451" i="6" s="1"/>
  <c r="B450" i="6"/>
  <c r="D462" i="6" s="1"/>
  <c r="B449" i="6"/>
  <c r="B448" i="6"/>
  <c r="B447" i="6"/>
  <c r="B446" i="6"/>
  <c r="C446" i="6" s="1"/>
  <c r="B445" i="6"/>
  <c r="B444" i="6"/>
  <c r="B443" i="6"/>
  <c r="B442" i="6"/>
  <c r="B441" i="6"/>
  <c r="B440" i="6"/>
  <c r="B439" i="6"/>
  <c r="B438" i="6"/>
  <c r="B437" i="6"/>
  <c r="B436" i="6"/>
  <c r="B435" i="6"/>
  <c r="B434" i="6"/>
  <c r="B433" i="6"/>
  <c r="B432" i="6"/>
  <c r="B431" i="6"/>
  <c r="C431" i="6" s="1"/>
  <c r="B430" i="6"/>
  <c r="B429" i="6"/>
  <c r="C430" i="6" s="1"/>
  <c r="B428" i="6"/>
  <c r="B427" i="6"/>
  <c r="D427" i="6" s="1"/>
  <c r="B426" i="6"/>
  <c r="B425" i="6"/>
  <c r="B424" i="6"/>
  <c r="D424" i="6" s="1"/>
  <c r="B423" i="6"/>
  <c r="B422" i="6"/>
  <c r="B421" i="6"/>
  <c r="C421" i="6" s="1"/>
  <c r="B420" i="6"/>
  <c r="C420" i="6" s="1"/>
  <c r="B419" i="6"/>
  <c r="B418" i="6"/>
  <c r="D417" i="6"/>
  <c r="B417" i="6"/>
  <c r="B416" i="6"/>
  <c r="B415" i="6"/>
  <c r="C415" i="6" s="1"/>
  <c r="B414" i="6"/>
  <c r="B413" i="6"/>
  <c r="B412" i="6"/>
  <c r="B411" i="6"/>
  <c r="B410" i="6"/>
  <c r="B409" i="6"/>
  <c r="B408" i="6"/>
  <c r="B407" i="6"/>
  <c r="B406" i="6"/>
  <c r="B405" i="6"/>
  <c r="D405" i="6" s="1"/>
  <c r="B404" i="6"/>
  <c r="C404" i="6" s="1"/>
  <c r="B403" i="6"/>
  <c r="B402" i="6"/>
  <c r="B401" i="6"/>
  <c r="B400" i="6"/>
  <c r="C400" i="6" s="1"/>
  <c r="D399" i="6"/>
  <c r="B399" i="6"/>
  <c r="B398" i="6"/>
  <c r="C399" i="6" s="1"/>
  <c r="D397" i="6"/>
  <c r="B397" i="6"/>
  <c r="B396" i="6"/>
  <c r="D396" i="6" s="1"/>
  <c r="B395" i="6"/>
  <c r="B394" i="6"/>
  <c r="D394" i="6" s="1"/>
  <c r="B393" i="6"/>
  <c r="B392" i="6"/>
  <c r="D391" i="6"/>
  <c r="B391" i="6"/>
  <c r="C391" i="6" s="1"/>
  <c r="B390" i="6"/>
  <c r="D402" i="6" s="1"/>
  <c r="B389" i="6"/>
  <c r="B388" i="6"/>
  <c r="B387" i="6"/>
  <c r="B386" i="6"/>
  <c r="D398" i="6" s="1"/>
  <c r="B385" i="6"/>
  <c r="D385" i="6" s="1"/>
  <c r="B384" i="6"/>
  <c r="B383" i="6"/>
  <c r="B382" i="6"/>
  <c r="B381" i="6"/>
  <c r="B380" i="6"/>
  <c r="D380" i="6" s="1"/>
  <c r="B379" i="6"/>
  <c r="B378" i="6"/>
  <c r="D377" i="6"/>
  <c r="B377" i="6"/>
  <c r="C377" i="6" s="1"/>
  <c r="B376" i="6"/>
  <c r="B375" i="6"/>
  <c r="B374" i="6"/>
  <c r="D374" i="6" s="1"/>
  <c r="B373" i="6"/>
  <c r="B372" i="6"/>
  <c r="C372" i="6" s="1"/>
  <c r="C371" i="6"/>
  <c r="B371" i="6"/>
  <c r="B370" i="6"/>
  <c r="D382" i="6" s="1"/>
  <c r="B369" i="6"/>
  <c r="B368" i="6"/>
  <c r="B367" i="6"/>
  <c r="B366" i="6"/>
  <c r="B365" i="6"/>
  <c r="C364" i="6"/>
  <c r="B364" i="6"/>
  <c r="B363" i="6"/>
  <c r="B362" i="6"/>
  <c r="C363" i="6" s="1"/>
  <c r="B361" i="6"/>
  <c r="B360" i="6"/>
  <c r="B359" i="6"/>
  <c r="B358" i="6"/>
  <c r="B357" i="6"/>
  <c r="B356" i="6"/>
  <c r="B355" i="6"/>
  <c r="B354" i="6"/>
  <c r="B353" i="6"/>
  <c r="C353" i="6" s="1"/>
  <c r="B352" i="6"/>
  <c r="B351" i="6"/>
  <c r="B350" i="6"/>
  <c r="B349" i="6"/>
  <c r="B348" i="6"/>
  <c r="B347" i="6"/>
  <c r="C348" i="6" s="1"/>
  <c r="B346" i="6"/>
  <c r="C347" i="6" s="1"/>
  <c r="B345" i="6"/>
  <c r="D345" i="6" s="1"/>
  <c r="B344" i="6"/>
  <c r="B343" i="6"/>
  <c r="B342" i="6"/>
  <c r="B341" i="6"/>
  <c r="B340" i="6"/>
  <c r="B339" i="6"/>
  <c r="B338" i="6"/>
  <c r="B337" i="6"/>
  <c r="B336" i="6"/>
  <c r="B335" i="6"/>
  <c r="B334" i="6"/>
  <c r="B333" i="6"/>
  <c r="B332" i="6"/>
  <c r="B331" i="6"/>
  <c r="C331" i="6" s="1"/>
  <c r="B330" i="6"/>
  <c r="B329" i="6"/>
  <c r="B328" i="6"/>
  <c r="B327" i="6"/>
  <c r="B326" i="6"/>
  <c r="B325" i="6"/>
  <c r="B324" i="6"/>
  <c r="B323" i="6"/>
  <c r="C323" i="6" s="1"/>
  <c r="B322" i="6"/>
  <c r="B321" i="6"/>
  <c r="B320" i="6"/>
  <c r="B319" i="6"/>
  <c r="B318" i="6"/>
  <c r="C318" i="6" s="1"/>
  <c r="B317" i="6"/>
  <c r="B316" i="6"/>
  <c r="C316" i="6" s="1"/>
  <c r="C315" i="6"/>
  <c r="B315" i="6"/>
  <c r="B314" i="6"/>
  <c r="B313" i="6"/>
  <c r="D313" i="6" s="1"/>
  <c r="B312" i="6"/>
  <c r="B311" i="6"/>
  <c r="B310" i="6"/>
  <c r="B309" i="6"/>
  <c r="B308" i="6"/>
  <c r="C308" i="6" s="1"/>
  <c r="B307" i="6"/>
  <c r="B306" i="6"/>
  <c r="B305" i="6"/>
  <c r="C305" i="6" s="1"/>
  <c r="B304" i="6"/>
  <c r="B303" i="6"/>
  <c r="B302" i="6"/>
  <c r="B301" i="6"/>
  <c r="C302" i="6" s="1"/>
  <c r="B300" i="6"/>
  <c r="B299" i="6"/>
  <c r="B298" i="6"/>
  <c r="B297" i="6"/>
  <c r="B296" i="6"/>
  <c r="B295" i="6"/>
  <c r="B294" i="6"/>
  <c r="B293" i="6"/>
  <c r="B292" i="6"/>
  <c r="C292" i="6" s="1"/>
  <c r="B291" i="6"/>
  <c r="B290" i="6"/>
  <c r="C289" i="6"/>
  <c r="B289" i="6"/>
  <c r="B288" i="6"/>
  <c r="B287" i="6"/>
  <c r="B286" i="6"/>
  <c r="C286" i="6" s="1"/>
  <c r="B285" i="6"/>
  <c r="B284" i="6"/>
  <c r="B283" i="6"/>
  <c r="B282" i="6"/>
  <c r="B281" i="6"/>
  <c r="B280" i="6"/>
  <c r="B279" i="6"/>
  <c r="B278" i="6"/>
  <c r="B277" i="6"/>
  <c r="B276" i="6"/>
  <c r="C276" i="6" s="1"/>
  <c r="B275" i="6"/>
  <c r="C275" i="6" s="1"/>
  <c r="B274" i="6"/>
  <c r="B273" i="6"/>
  <c r="D273" i="6" s="1"/>
  <c r="B272" i="6"/>
  <c r="C273" i="6" s="1"/>
  <c r="B271" i="6"/>
  <c r="B270" i="6"/>
  <c r="B269" i="6"/>
  <c r="D281" i="6" s="1"/>
  <c r="B268" i="6"/>
  <c r="C268" i="6" s="1"/>
  <c r="B267" i="6"/>
  <c r="B266" i="6"/>
  <c r="C267" i="6" s="1"/>
  <c r="B265" i="6"/>
  <c r="B264" i="6"/>
  <c r="B263" i="6"/>
  <c r="B262" i="6"/>
  <c r="B261" i="6"/>
  <c r="B260" i="6"/>
  <c r="B259" i="6"/>
  <c r="B258" i="6"/>
  <c r="B257" i="6"/>
  <c r="D257" i="6" s="1"/>
  <c r="B256" i="6"/>
  <c r="B255" i="6"/>
  <c r="B254" i="6"/>
  <c r="B253" i="6"/>
  <c r="B252" i="6"/>
  <c r="B251" i="6"/>
  <c r="C252" i="6" s="1"/>
  <c r="B250" i="6"/>
  <c r="C251" i="6" s="1"/>
  <c r="B249" i="6"/>
  <c r="B248" i="6"/>
  <c r="B247" i="6"/>
  <c r="B246" i="6"/>
  <c r="B245" i="6"/>
  <c r="B244" i="6"/>
  <c r="B243" i="6"/>
  <c r="B242" i="6"/>
  <c r="B241" i="6"/>
  <c r="C241" i="6" s="1"/>
  <c r="B240" i="6"/>
  <c r="B239" i="6"/>
  <c r="B238" i="6"/>
  <c r="B237" i="6"/>
  <c r="B236" i="6"/>
  <c r="B235" i="6"/>
  <c r="C235" i="6" s="1"/>
  <c r="B234" i="6"/>
  <c r="B233" i="6"/>
  <c r="B232" i="6"/>
  <c r="B231" i="6"/>
  <c r="B230" i="6"/>
  <c r="B229" i="6"/>
  <c r="B228" i="6"/>
  <c r="B227" i="6"/>
  <c r="C227" i="6" s="1"/>
  <c r="B226" i="6"/>
  <c r="B225" i="6"/>
  <c r="B224" i="6"/>
  <c r="B223" i="6"/>
  <c r="B222" i="6"/>
  <c r="C222" i="6" s="1"/>
  <c r="B221" i="6"/>
  <c r="B220" i="6"/>
  <c r="B219" i="6"/>
  <c r="B218" i="6"/>
  <c r="B217" i="6"/>
  <c r="D217" i="6" s="1"/>
  <c r="B216" i="6"/>
  <c r="B215" i="6"/>
  <c r="B214" i="6"/>
  <c r="B213" i="6"/>
  <c r="B212" i="6"/>
  <c r="C212" i="6" s="1"/>
  <c r="B211" i="6"/>
  <c r="B210" i="6"/>
  <c r="B209" i="6"/>
  <c r="D209" i="6" s="1"/>
  <c r="B208" i="6"/>
  <c r="B207" i="6"/>
  <c r="B206" i="6"/>
  <c r="B205" i="6"/>
  <c r="B204" i="6"/>
  <c r="C204" i="6" s="1"/>
  <c r="B203" i="6"/>
  <c r="B202" i="6"/>
  <c r="B201" i="6"/>
  <c r="B200" i="6"/>
  <c r="B199" i="6"/>
  <c r="B198" i="6"/>
  <c r="B197" i="6"/>
  <c r="B196" i="6"/>
  <c r="C196" i="6" s="1"/>
  <c r="B195" i="6"/>
  <c r="B194" i="6"/>
  <c r="B193" i="6"/>
  <c r="D193" i="6" s="1"/>
  <c r="B192" i="6"/>
  <c r="B191" i="6"/>
  <c r="B190" i="6"/>
  <c r="B189" i="6"/>
  <c r="B188" i="6"/>
  <c r="C188" i="6" s="1"/>
  <c r="B187" i="6"/>
  <c r="B186" i="6"/>
  <c r="B185" i="6"/>
  <c r="C185" i="6" s="1"/>
  <c r="B184" i="6"/>
  <c r="B183" i="6"/>
  <c r="B182" i="6"/>
  <c r="B181" i="6"/>
  <c r="B180" i="6"/>
  <c r="B179" i="6"/>
  <c r="B178" i="6"/>
  <c r="B177" i="6"/>
  <c r="C177" i="6" s="1"/>
  <c r="B176" i="6"/>
  <c r="B175" i="6"/>
  <c r="B174" i="6"/>
  <c r="B173" i="6"/>
  <c r="C172" i="6"/>
  <c r="B172" i="6"/>
  <c r="B171" i="6"/>
  <c r="B170" i="6"/>
  <c r="C171" i="6" s="1"/>
  <c r="B169" i="6"/>
  <c r="B168" i="6"/>
  <c r="B167" i="6"/>
  <c r="B166" i="6"/>
  <c r="B165" i="6"/>
  <c r="B164" i="6"/>
  <c r="C164" i="6" s="1"/>
  <c r="B163" i="6"/>
  <c r="B162" i="6"/>
  <c r="B161" i="6"/>
  <c r="B160" i="6"/>
  <c r="B159" i="6"/>
  <c r="B158" i="6"/>
  <c r="B157" i="6"/>
  <c r="B156" i="6"/>
  <c r="C156" i="6" s="1"/>
  <c r="C155" i="6"/>
  <c r="B155" i="6"/>
  <c r="B154" i="6"/>
  <c r="B153" i="6"/>
  <c r="D153" i="6" s="1"/>
  <c r="B152" i="6"/>
  <c r="B151" i="6"/>
  <c r="B150" i="6"/>
  <c r="B149" i="6"/>
  <c r="B148" i="6"/>
  <c r="C148" i="6" s="1"/>
  <c r="B147" i="6"/>
  <c r="B146" i="6"/>
  <c r="C147" i="6" s="1"/>
  <c r="B145" i="6"/>
  <c r="B144" i="6"/>
  <c r="B143" i="6"/>
  <c r="B142" i="6"/>
  <c r="B141" i="6"/>
  <c r="B140" i="6"/>
  <c r="B139" i="6"/>
  <c r="B138" i="6"/>
  <c r="B137" i="6"/>
  <c r="B136" i="6"/>
  <c r="B135" i="6"/>
  <c r="B134" i="6"/>
  <c r="B133" i="6"/>
  <c r="B132" i="6"/>
  <c r="B131" i="6"/>
  <c r="C131" i="6" s="1"/>
  <c r="B130" i="6"/>
  <c r="B129" i="6"/>
  <c r="B128" i="6"/>
  <c r="B127" i="6"/>
  <c r="B126" i="6"/>
  <c r="B125" i="6"/>
  <c r="B124" i="6"/>
  <c r="B123" i="6"/>
  <c r="B122" i="6"/>
  <c r="B121" i="6"/>
  <c r="B120" i="6"/>
  <c r="B119" i="6"/>
  <c r="B118" i="6"/>
  <c r="B117" i="6"/>
  <c r="C117" i="6" s="1"/>
  <c r="B116" i="6"/>
  <c r="C116" i="6" s="1"/>
  <c r="B115" i="6"/>
  <c r="B114" i="6"/>
  <c r="B113" i="6"/>
  <c r="C113" i="6" s="1"/>
  <c r="B112" i="6"/>
  <c r="B111" i="6"/>
  <c r="B110" i="6"/>
  <c r="B109" i="6"/>
  <c r="B108" i="6"/>
  <c r="C108" i="6" s="1"/>
  <c r="C107" i="6"/>
  <c r="B107" i="6"/>
  <c r="B106" i="6"/>
  <c r="B105" i="6"/>
  <c r="C106" i="6" s="1"/>
  <c r="B104" i="6"/>
  <c r="B103" i="6"/>
  <c r="B102" i="6"/>
  <c r="D102" i="6" s="1"/>
  <c r="B101" i="6"/>
  <c r="C102" i="6" s="1"/>
  <c r="B100" i="6"/>
  <c r="B99" i="6"/>
  <c r="D99" i="6" s="1"/>
  <c r="B98" i="6"/>
  <c r="B97" i="6"/>
  <c r="B96" i="6"/>
  <c r="B95" i="6"/>
  <c r="B94" i="6"/>
  <c r="D106" i="6" s="1"/>
  <c r="B93" i="6"/>
  <c r="B92" i="6"/>
  <c r="B91" i="6"/>
  <c r="B90" i="6"/>
  <c r="B89" i="6"/>
  <c r="B88" i="6"/>
  <c r="B87" i="6"/>
  <c r="B86" i="6"/>
  <c r="C86" i="6" s="1"/>
  <c r="B85" i="6"/>
  <c r="B84" i="6"/>
  <c r="B83" i="6"/>
  <c r="C83" i="6" s="1"/>
  <c r="B82" i="6"/>
  <c r="D82" i="6" s="1"/>
  <c r="B81" i="6"/>
  <c r="B80" i="6"/>
  <c r="B79" i="6"/>
  <c r="B78" i="6"/>
  <c r="B77" i="6"/>
  <c r="B76" i="6"/>
  <c r="C76" i="6" s="1"/>
  <c r="C75" i="6"/>
  <c r="B75" i="6"/>
  <c r="B74" i="6"/>
  <c r="B73" i="6"/>
  <c r="C74" i="6" s="1"/>
  <c r="B72" i="6"/>
  <c r="B71" i="6"/>
  <c r="B70" i="6"/>
  <c r="B69" i="6"/>
  <c r="C70" i="6" s="1"/>
  <c r="B68" i="6"/>
  <c r="B67" i="6"/>
  <c r="D67" i="6" s="1"/>
  <c r="B66" i="6"/>
  <c r="B65" i="6"/>
  <c r="B64" i="6"/>
  <c r="B63" i="6"/>
  <c r="B62" i="6"/>
  <c r="B61" i="6"/>
  <c r="D61" i="6" s="1"/>
  <c r="B60" i="6"/>
  <c r="B59" i="6"/>
  <c r="B58" i="6"/>
  <c r="C59" i="6" s="1"/>
  <c r="B57" i="6"/>
  <c r="B56" i="6"/>
  <c r="D56" i="6" s="1"/>
  <c r="B55" i="6"/>
  <c r="B54" i="6"/>
  <c r="B53" i="6"/>
  <c r="B52" i="6"/>
  <c r="B51" i="6"/>
  <c r="C51" i="6" s="1"/>
  <c r="B50" i="6"/>
  <c r="B49" i="6"/>
  <c r="C50" i="6" s="1"/>
  <c r="B48" i="6"/>
  <c r="B47" i="6"/>
  <c r="B46" i="6"/>
  <c r="B45" i="6"/>
  <c r="C45" i="6" s="1"/>
  <c r="B44" i="6"/>
  <c r="B43" i="6"/>
  <c r="B42" i="6"/>
  <c r="B41" i="6"/>
  <c r="B40" i="6"/>
  <c r="B39" i="6"/>
  <c r="B38" i="6"/>
  <c r="B37" i="6"/>
  <c r="B36" i="6"/>
  <c r="B35" i="6"/>
  <c r="B34" i="6"/>
  <c r="B33" i="6"/>
  <c r="C33" i="6" s="1"/>
  <c r="B32" i="6"/>
  <c r="B31" i="6"/>
  <c r="B30" i="6"/>
  <c r="D30" i="6" s="1"/>
  <c r="B29" i="6"/>
  <c r="B28" i="6"/>
  <c r="B27" i="6"/>
  <c r="C27" i="6" s="1"/>
  <c r="B26" i="6"/>
  <c r="B25" i="6"/>
  <c r="B24" i="6"/>
  <c r="B23" i="6"/>
  <c r="B22" i="6"/>
  <c r="B21" i="6"/>
  <c r="B20" i="6"/>
  <c r="B19" i="6"/>
  <c r="B18" i="6"/>
  <c r="B17" i="6"/>
  <c r="B16" i="6"/>
  <c r="C16" i="6" s="1"/>
  <c r="B15" i="6"/>
  <c r="B14" i="6"/>
  <c r="B13" i="6"/>
  <c r="B12" i="6"/>
  <c r="B11" i="6"/>
  <c r="C12" i="6" s="1"/>
  <c r="B10" i="6"/>
  <c r="B9" i="6"/>
  <c r="B8" i="6"/>
  <c r="B7" i="6"/>
  <c r="D19" i="6" s="1"/>
  <c r="B6" i="6"/>
  <c r="B5" i="6"/>
  <c r="F903" i="5"/>
  <c r="E903" i="5"/>
  <c r="B903" i="5"/>
  <c r="F902" i="5"/>
  <c r="E902" i="5"/>
  <c r="B902" i="5"/>
  <c r="C903" i="5" s="1"/>
  <c r="F901" i="5"/>
  <c r="E901" i="5"/>
  <c r="B901" i="5"/>
  <c r="F900" i="5"/>
  <c r="E900" i="5"/>
  <c r="B900" i="5"/>
  <c r="F899" i="5"/>
  <c r="E899" i="5"/>
  <c r="B899" i="5"/>
  <c r="F898" i="5"/>
  <c r="E898" i="5"/>
  <c r="B898" i="5"/>
  <c r="F897" i="5"/>
  <c r="E897" i="5"/>
  <c r="B897" i="5"/>
  <c r="F896" i="5"/>
  <c r="E896" i="5"/>
  <c r="B896" i="5"/>
  <c r="F895" i="5"/>
  <c r="E895" i="5"/>
  <c r="B895" i="5"/>
  <c r="F894" i="5"/>
  <c r="E894" i="5"/>
  <c r="B894" i="5"/>
  <c r="F893" i="5"/>
  <c r="E893" i="5"/>
  <c r="B893" i="5"/>
  <c r="C894" i="5" s="1"/>
  <c r="F892" i="5"/>
  <c r="E892" i="5"/>
  <c r="B892" i="5"/>
  <c r="C892" i="5" s="1"/>
  <c r="F891" i="5"/>
  <c r="E891" i="5"/>
  <c r="B891" i="5"/>
  <c r="F890" i="5"/>
  <c r="E890" i="5"/>
  <c r="B890" i="5"/>
  <c r="D890" i="5" s="1"/>
  <c r="F889" i="5"/>
  <c r="E889" i="5"/>
  <c r="B889" i="5"/>
  <c r="F888" i="5"/>
  <c r="E888" i="5"/>
  <c r="B888" i="5"/>
  <c r="C888" i="5" s="1"/>
  <c r="F887" i="5"/>
  <c r="E887" i="5"/>
  <c r="B887" i="5"/>
  <c r="F886" i="5"/>
  <c r="E886" i="5"/>
  <c r="B886" i="5"/>
  <c r="F885" i="5"/>
  <c r="E885" i="5"/>
  <c r="B885" i="5"/>
  <c r="F884" i="5"/>
  <c r="E884" i="5"/>
  <c r="B884" i="5"/>
  <c r="F883" i="5"/>
  <c r="E883" i="5"/>
  <c r="B883" i="5"/>
  <c r="D895" i="5" s="1"/>
  <c r="F882" i="5"/>
  <c r="E882" i="5"/>
  <c r="B882" i="5"/>
  <c r="D894" i="5" s="1"/>
  <c r="F881" i="5"/>
  <c r="E881" i="5"/>
  <c r="B881" i="5"/>
  <c r="F880" i="5"/>
  <c r="E880" i="5"/>
  <c r="B880" i="5"/>
  <c r="C880" i="5" s="1"/>
  <c r="F879" i="5"/>
  <c r="E879" i="5"/>
  <c r="B879" i="5"/>
  <c r="F878" i="5"/>
  <c r="E878" i="5"/>
  <c r="B878" i="5"/>
  <c r="F877" i="5"/>
  <c r="E877" i="5"/>
  <c r="B877" i="5"/>
  <c r="F876" i="5"/>
  <c r="E876" i="5"/>
  <c r="B876" i="5"/>
  <c r="F875" i="5"/>
  <c r="E875" i="5"/>
  <c r="B875" i="5"/>
  <c r="F874" i="5"/>
  <c r="E874" i="5"/>
  <c r="B874" i="5"/>
  <c r="D874" i="5" s="1"/>
  <c r="F873" i="5"/>
  <c r="E873" i="5"/>
  <c r="B873" i="5"/>
  <c r="F872" i="5"/>
  <c r="E872" i="5"/>
  <c r="B872" i="5"/>
  <c r="C872" i="5" s="1"/>
  <c r="F871" i="5"/>
  <c r="E871" i="5"/>
  <c r="B871" i="5"/>
  <c r="D883" i="5" s="1"/>
  <c r="F870" i="5"/>
  <c r="E870" i="5"/>
  <c r="B870" i="5"/>
  <c r="F869" i="5"/>
  <c r="E869" i="5"/>
  <c r="B869" i="5"/>
  <c r="F868" i="5"/>
  <c r="E868" i="5"/>
  <c r="B868" i="5"/>
  <c r="F867" i="5"/>
  <c r="E867" i="5"/>
  <c r="B867" i="5"/>
  <c r="F866" i="5"/>
  <c r="E866" i="5"/>
  <c r="B866" i="5"/>
  <c r="F865" i="5"/>
  <c r="E865" i="5"/>
  <c r="B865" i="5"/>
  <c r="F864" i="5"/>
  <c r="E864" i="5"/>
  <c r="B864" i="5"/>
  <c r="F863" i="5"/>
  <c r="E863" i="5"/>
  <c r="B863" i="5"/>
  <c r="D875" i="5" s="1"/>
  <c r="F862" i="5"/>
  <c r="E862" i="5"/>
  <c r="B862" i="5"/>
  <c r="F861" i="5"/>
  <c r="E861" i="5"/>
  <c r="B861" i="5"/>
  <c r="D861" i="5" s="1"/>
  <c r="F860" i="5"/>
  <c r="E860" i="5"/>
  <c r="B860" i="5"/>
  <c r="F859" i="5"/>
  <c r="E859" i="5"/>
  <c r="B859" i="5"/>
  <c r="D871" i="5" s="1"/>
  <c r="F858" i="5"/>
  <c r="E858" i="5"/>
  <c r="B858" i="5"/>
  <c r="C858" i="5" s="1"/>
  <c r="F857" i="5"/>
  <c r="E857" i="5"/>
  <c r="B857" i="5"/>
  <c r="F856" i="5"/>
  <c r="E856" i="5"/>
  <c r="B856" i="5"/>
  <c r="C856" i="5" s="1"/>
  <c r="F855" i="5"/>
  <c r="E855" i="5"/>
  <c r="B855" i="5"/>
  <c r="F854" i="5"/>
  <c r="E854" i="5"/>
  <c r="B854" i="5"/>
  <c r="F853" i="5"/>
  <c r="E853" i="5"/>
  <c r="B853" i="5"/>
  <c r="F852" i="5"/>
  <c r="E852" i="5"/>
  <c r="B852" i="5"/>
  <c r="F851" i="5"/>
  <c r="E851" i="5"/>
  <c r="B851" i="5"/>
  <c r="C851" i="5" s="1"/>
  <c r="F850" i="5"/>
  <c r="E850" i="5"/>
  <c r="B850" i="5"/>
  <c r="F849" i="5"/>
  <c r="E849" i="5"/>
  <c r="B849" i="5"/>
  <c r="F848" i="5"/>
  <c r="E848" i="5"/>
  <c r="B848" i="5"/>
  <c r="F847" i="5"/>
  <c r="E847" i="5"/>
  <c r="B847" i="5"/>
  <c r="F846" i="5"/>
  <c r="E846" i="5"/>
  <c r="B846" i="5"/>
  <c r="F845" i="5"/>
  <c r="E845" i="5"/>
  <c r="B845" i="5"/>
  <c r="F844" i="5"/>
  <c r="E844" i="5"/>
  <c r="B844" i="5"/>
  <c r="C844" i="5" s="1"/>
  <c r="F843" i="5"/>
  <c r="E843" i="5"/>
  <c r="C843" i="5"/>
  <c r="B843" i="5"/>
  <c r="F842" i="5"/>
  <c r="E842" i="5"/>
  <c r="B842" i="5"/>
  <c r="F841" i="5"/>
  <c r="E841" i="5"/>
  <c r="B841" i="5"/>
  <c r="F840" i="5"/>
  <c r="E840" i="5"/>
  <c r="B840" i="5"/>
  <c r="D852" i="5" s="1"/>
  <c r="F839" i="5"/>
  <c r="E839" i="5"/>
  <c r="B839" i="5"/>
  <c r="F838" i="5"/>
  <c r="E838" i="5"/>
  <c r="B838" i="5"/>
  <c r="F837" i="5"/>
  <c r="E837" i="5"/>
  <c r="B837" i="5"/>
  <c r="F836" i="5"/>
  <c r="E836" i="5"/>
  <c r="B836" i="5"/>
  <c r="F835" i="5"/>
  <c r="E835" i="5"/>
  <c r="B835" i="5"/>
  <c r="C835" i="5" s="1"/>
  <c r="F834" i="5"/>
  <c r="E834" i="5"/>
  <c r="B834" i="5"/>
  <c r="F833" i="5"/>
  <c r="E833" i="5"/>
  <c r="B833" i="5"/>
  <c r="F832" i="5"/>
  <c r="E832" i="5"/>
  <c r="B832" i="5"/>
  <c r="D844" i="5" s="1"/>
  <c r="F831" i="5"/>
  <c r="E831" i="5"/>
  <c r="B831" i="5"/>
  <c r="C832" i="5" s="1"/>
  <c r="F830" i="5"/>
  <c r="E830" i="5"/>
  <c r="B830" i="5"/>
  <c r="D830" i="5" s="1"/>
  <c r="F829" i="5"/>
  <c r="E829" i="5"/>
  <c r="B829" i="5"/>
  <c r="F828" i="5"/>
  <c r="E828" i="5"/>
  <c r="B828" i="5"/>
  <c r="F827" i="5"/>
  <c r="E827" i="5"/>
  <c r="B827" i="5"/>
  <c r="C827" i="5" s="1"/>
  <c r="F826" i="5"/>
  <c r="E826" i="5"/>
  <c r="B826" i="5"/>
  <c r="F825" i="5"/>
  <c r="E825" i="5"/>
  <c r="B825" i="5"/>
  <c r="D825" i="5" s="1"/>
  <c r="F824" i="5"/>
  <c r="E824" i="5"/>
  <c r="B824" i="5"/>
  <c r="F823" i="5"/>
  <c r="E823" i="5"/>
  <c r="B823" i="5"/>
  <c r="F822" i="5"/>
  <c r="E822" i="5"/>
  <c r="B822" i="5"/>
  <c r="D834" i="5" s="1"/>
  <c r="F821" i="5"/>
  <c r="E821" i="5"/>
  <c r="B821" i="5"/>
  <c r="F820" i="5"/>
  <c r="E820" i="5"/>
  <c r="B820" i="5"/>
  <c r="D820" i="5" s="1"/>
  <c r="F819" i="5"/>
  <c r="E819" i="5"/>
  <c r="B819" i="5"/>
  <c r="F818" i="5"/>
  <c r="E818" i="5"/>
  <c r="B818" i="5"/>
  <c r="F817" i="5"/>
  <c r="E817" i="5"/>
  <c r="B817" i="5"/>
  <c r="F816" i="5"/>
  <c r="E816" i="5"/>
  <c r="B816" i="5"/>
  <c r="F815" i="5"/>
  <c r="E815" i="5"/>
  <c r="B815" i="5"/>
  <c r="F814" i="5"/>
  <c r="E814" i="5"/>
  <c r="B814" i="5"/>
  <c r="C814" i="5" s="1"/>
  <c r="F813" i="5"/>
  <c r="E813" i="5"/>
  <c r="B813" i="5"/>
  <c r="F812" i="5"/>
  <c r="E812" i="5"/>
  <c r="C812" i="5"/>
  <c r="B812" i="5"/>
  <c r="F811" i="5"/>
  <c r="E811" i="5"/>
  <c r="B811" i="5"/>
  <c r="F810" i="5"/>
  <c r="E810" i="5"/>
  <c r="B810" i="5"/>
  <c r="F809" i="5"/>
  <c r="E809" i="5"/>
  <c r="B809" i="5"/>
  <c r="F808" i="5"/>
  <c r="E808" i="5"/>
  <c r="B808" i="5"/>
  <c r="F807" i="5"/>
  <c r="E807" i="5"/>
  <c r="B807" i="5"/>
  <c r="F806" i="5"/>
  <c r="E806" i="5"/>
  <c r="B806" i="5"/>
  <c r="C806" i="5" s="1"/>
  <c r="F805" i="5"/>
  <c r="E805" i="5"/>
  <c r="B805" i="5"/>
  <c r="D817" i="5" s="1"/>
  <c r="F804" i="5"/>
  <c r="E804" i="5"/>
  <c r="B804" i="5"/>
  <c r="F803" i="5"/>
  <c r="E803" i="5"/>
  <c r="B803" i="5"/>
  <c r="F802" i="5"/>
  <c r="E802" i="5"/>
  <c r="B802" i="5"/>
  <c r="C802" i="5" s="1"/>
  <c r="F801" i="5"/>
  <c r="E801" i="5"/>
  <c r="B801" i="5"/>
  <c r="D801" i="5" s="1"/>
  <c r="F800" i="5"/>
  <c r="E800" i="5"/>
  <c r="B800" i="5"/>
  <c r="F799" i="5"/>
  <c r="E799" i="5"/>
  <c r="D799" i="5"/>
  <c r="B799" i="5"/>
  <c r="F798" i="5"/>
  <c r="E798" i="5"/>
  <c r="B798" i="5"/>
  <c r="D798" i="5" s="1"/>
  <c r="F797" i="5"/>
  <c r="E797" i="5"/>
  <c r="B797" i="5"/>
  <c r="F796" i="5"/>
  <c r="E796" i="5"/>
  <c r="B796" i="5"/>
  <c r="F795" i="5"/>
  <c r="E795" i="5"/>
  <c r="B795" i="5"/>
  <c r="D795" i="5" s="1"/>
  <c r="F794" i="5"/>
  <c r="E794" i="5"/>
  <c r="B794" i="5"/>
  <c r="F793" i="5"/>
  <c r="E793" i="5"/>
  <c r="B793" i="5"/>
  <c r="F792" i="5"/>
  <c r="E792" i="5"/>
  <c r="B792" i="5"/>
  <c r="F791" i="5"/>
  <c r="E791" i="5"/>
  <c r="B791" i="5"/>
  <c r="F790" i="5"/>
  <c r="E790" i="5"/>
  <c r="B790" i="5"/>
  <c r="F789" i="5"/>
  <c r="E789" i="5"/>
  <c r="B789" i="5"/>
  <c r="C789" i="5" s="1"/>
  <c r="F788" i="5"/>
  <c r="E788" i="5"/>
  <c r="B788" i="5"/>
  <c r="F787" i="5"/>
  <c r="E787" i="5"/>
  <c r="C787" i="5"/>
  <c r="B787" i="5"/>
  <c r="F786" i="5"/>
  <c r="E786" i="5"/>
  <c r="B786" i="5"/>
  <c r="F785" i="5"/>
  <c r="E785" i="5"/>
  <c r="D785" i="5"/>
  <c r="B785" i="5"/>
  <c r="F784" i="5"/>
  <c r="E784" i="5"/>
  <c r="B784" i="5"/>
  <c r="F783" i="5"/>
  <c r="E783" i="5"/>
  <c r="B783" i="5"/>
  <c r="F782" i="5"/>
  <c r="E782" i="5"/>
  <c r="B782" i="5"/>
  <c r="F781" i="5"/>
  <c r="E781" i="5"/>
  <c r="B781" i="5"/>
  <c r="F780" i="5"/>
  <c r="E780" i="5"/>
  <c r="B780" i="5"/>
  <c r="F779" i="5"/>
  <c r="E779" i="5"/>
  <c r="B779" i="5"/>
  <c r="F778" i="5"/>
  <c r="E778" i="5"/>
  <c r="B778" i="5"/>
  <c r="F777" i="5"/>
  <c r="E777" i="5"/>
  <c r="B777" i="5"/>
  <c r="F776" i="5"/>
  <c r="E776" i="5"/>
  <c r="B776" i="5"/>
  <c r="F775" i="5"/>
  <c r="E775" i="5"/>
  <c r="B775" i="5"/>
  <c r="F774" i="5"/>
  <c r="E774" i="5"/>
  <c r="B774" i="5"/>
  <c r="F773" i="5"/>
  <c r="E773" i="5"/>
  <c r="B773" i="5"/>
  <c r="F772" i="5"/>
  <c r="E772" i="5"/>
  <c r="B772" i="5"/>
  <c r="F771" i="5"/>
  <c r="E771" i="5"/>
  <c r="B771" i="5"/>
  <c r="F770" i="5"/>
  <c r="E770" i="5"/>
  <c r="B770" i="5"/>
  <c r="F769" i="5"/>
  <c r="E769" i="5"/>
  <c r="B769" i="5"/>
  <c r="D769" i="5" s="1"/>
  <c r="F768" i="5"/>
  <c r="E768" i="5"/>
  <c r="B768" i="5"/>
  <c r="F767" i="5"/>
  <c r="E767" i="5"/>
  <c r="B767" i="5"/>
  <c r="C767" i="5" s="1"/>
  <c r="F766" i="5"/>
  <c r="E766" i="5"/>
  <c r="B766" i="5"/>
  <c r="F765" i="5"/>
  <c r="E765" i="5"/>
  <c r="B765" i="5"/>
  <c r="D777" i="5" s="1"/>
  <c r="F764" i="5"/>
  <c r="E764" i="5"/>
  <c r="B764" i="5"/>
  <c r="F763" i="5"/>
  <c r="E763" i="5"/>
  <c r="B763" i="5"/>
  <c r="F762" i="5"/>
  <c r="E762" i="5"/>
  <c r="B762" i="5"/>
  <c r="F761" i="5"/>
  <c r="E761" i="5"/>
  <c r="B761" i="5"/>
  <c r="F760" i="5"/>
  <c r="E760" i="5"/>
  <c r="B760" i="5"/>
  <c r="F759" i="5"/>
  <c r="E759" i="5"/>
  <c r="B759" i="5"/>
  <c r="F758" i="5"/>
  <c r="E758" i="5"/>
  <c r="B758" i="5"/>
  <c r="F757" i="5"/>
  <c r="E757" i="5"/>
  <c r="B757" i="5"/>
  <c r="C757" i="5" s="1"/>
  <c r="F756" i="5"/>
  <c r="E756" i="5"/>
  <c r="B756" i="5"/>
  <c r="F755" i="5"/>
  <c r="E755" i="5"/>
  <c r="B755" i="5"/>
  <c r="F754" i="5"/>
  <c r="E754" i="5"/>
  <c r="D754" i="5"/>
  <c r="B754" i="5"/>
  <c r="F753" i="5"/>
  <c r="E753" i="5"/>
  <c r="B753" i="5"/>
  <c r="F752" i="5"/>
  <c r="E752" i="5"/>
  <c r="B752" i="5"/>
  <c r="F751" i="5"/>
  <c r="E751" i="5"/>
  <c r="B751" i="5"/>
  <c r="F750" i="5"/>
  <c r="E750" i="5"/>
  <c r="B750" i="5"/>
  <c r="F749" i="5"/>
  <c r="E749" i="5"/>
  <c r="B749" i="5"/>
  <c r="F748" i="5"/>
  <c r="E748" i="5"/>
  <c r="B748" i="5"/>
  <c r="F747" i="5"/>
  <c r="E747" i="5"/>
  <c r="B747" i="5"/>
  <c r="F746" i="5"/>
  <c r="E746" i="5"/>
  <c r="B746" i="5"/>
  <c r="C746" i="5" s="1"/>
  <c r="F745" i="5"/>
  <c r="E745" i="5"/>
  <c r="B745" i="5"/>
  <c r="F744" i="5"/>
  <c r="E744" i="5"/>
  <c r="B744" i="5"/>
  <c r="F743" i="5"/>
  <c r="E743" i="5"/>
  <c r="C743" i="5"/>
  <c r="B743" i="5"/>
  <c r="F742" i="5"/>
  <c r="E742" i="5"/>
  <c r="B742" i="5"/>
  <c r="F741" i="5"/>
  <c r="E741" i="5"/>
  <c r="B741" i="5"/>
  <c r="C741" i="5" s="1"/>
  <c r="F740" i="5"/>
  <c r="E740" i="5"/>
  <c r="B740" i="5"/>
  <c r="F739" i="5"/>
  <c r="E739" i="5"/>
  <c r="B739" i="5"/>
  <c r="F738" i="5"/>
  <c r="E738" i="5"/>
  <c r="B738" i="5"/>
  <c r="F737" i="5"/>
  <c r="E737" i="5"/>
  <c r="B737" i="5"/>
  <c r="F736" i="5"/>
  <c r="E736" i="5"/>
  <c r="B736" i="5"/>
  <c r="F735" i="5"/>
  <c r="E735" i="5"/>
  <c r="B735" i="5"/>
  <c r="F734" i="5"/>
  <c r="E734" i="5"/>
  <c r="B734" i="5"/>
  <c r="D746" i="5" s="1"/>
  <c r="F733" i="5"/>
  <c r="E733" i="5"/>
  <c r="B733" i="5"/>
  <c r="F732" i="5"/>
  <c r="E732" i="5"/>
  <c r="B732" i="5"/>
  <c r="F731" i="5"/>
  <c r="E731" i="5"/>
  <c r="B731" i="5"/>
  <c r="F730" i="5"/>
  <c r="E730" i="5"/>
  <c r="B730" i="5"/>
  <c r="F729" i="5"/>
  <c r="E729" i="5"/>
  <c r="B729" i="5"/>
  <c r="D729" i="5" s="1"/>
  <c r="F728" i="5"/>
  <c r="E728" i="5"/>
  <c r="B728" i="5"/>
  <c r="F727" i="5"/>
  <c r="E727" i="5"/>
  <c r="B727" i="5"/>
  <c r="F726" i="5"/>
  <c r="E726" i="5"/>
  <c r="B726" i="5"/>
  <c r="D726" i="5" s="1"/>
  <c r="F725" i="5"/>
  <c r="E725" i="5"/>
  <c r="B725" i="5"/>
  <c r="F724" i="5"/>
  <c r="E724" i="5"/>
  <c r="B724" i="5"/>
  <c r="F723" i="5"/>
  <c r="E723" i="5"/>
  <c r="B723" i="5"/>
  <c r="D735" i="5" s="1"/>
  <c r="F722" i="5"/>
  <c r="E722" i="5"/>
  <c r="B722" i="5"/>
  <c r="F721" i="5"/>
  <c r="E721" i="5"/>
  <c r="B721" i="5"/>
  <c r="F720" i="5"/>
  <c r="E720" i="5"/>
  <c r="B720" i="5"/>
  <c r="F719" i="5"/>
  <c r="E719" i="5"/>
  <c r="B719" i="5"/>
  <c r="C719" i="5" s="1"/>
  <c r="F718" i="5"/>
  <c r="E718" i="5"/>
  <c r="B718" i="5"/>
  <c r="C718" i="5" s="1"/>
  <c r="F717" i="5"/>
  <c r="E717" i="5"/>
  <c r="B717" i="5"/>
  <c r="F716" i="5"/>
  <c r="E716" i="5"/>
  <c r="B716" i="5"/>
  <c r="C716" i="5" s="1"/>
  <c r="F715" i="5"/>
  <c r="E715" i="5"/>
  <c r="B715" i="5"/>
  <c r="F714" i="5"/>
  <c r="E714" i="5"/>
  <c r="B714" i="5"/>
  <c r="F713" i="5"/>
  <c r="E713" i="5"/>
  <c r="B713" i="5"/>
  <c r="F712" i="5"/>
  <c r="E712" i="5"/>
  <c r="B712" i="5"/>
  <c r="F711" i="5"/>
  <c r="E711" i="5"/>
  <c r="B711" i="5"/>
  <c r="F710" i="5"/>
  <c r="E710" i="5"/>
  <c r="B710" i="5"/>
  <c r="F709" i="5"/>
  <c r="E709" i="5"/>
  <c r="B709" i="5"/>
  <c r="F708" i="5"/>
  <c r="E708" i="5"/>
  <c r="B708" i="5"/>
  <c r="F707" i="5"/>
  <c r="E707" i="5"/>
  <c r="B707" i="5"/>
  <c r="F706" i="5"/>
  <c r="E706" i="5"/>
  <c r="B706" i="5"/>
  <c r="D706" i="5" s="1"/>
  <c r="F705" i="5"/>
  <c r="E705" i="5"/>
  <c r="B705" i="5"/>
  <c r="F704" i="5"/>
  <c r="E704" i="5"/>
  <c r="B704" i="5"/>
  <c r="F703" i="5"/>
  <c r="E703" i="5"/>
  <c r="B703" i="5"/>
  <c r="D715" i="5" s="1"/>
  <c r="F702" i="5"/>
  <c r="E702" i="5"/>
  <c r="B702" i="5"/>
  <c r="F701" i="5"/>
  <c r="E701" i="5"/>
  <c r="B701" i="5"/>
  <c r="D713" i="5" s="1"/>
  <c r="F700" i="5"/>
  <c r="E700" i="5"/>
  <c r="B700" i="5"/>
  <c r="F699" i="5"/>
  <c r="E699" i="5"/>
  <c r="B699" i="5"/>
  <c r="F698" i="5"/>
  <c r="E698" i="5"/>
  <c r="B698" i="5"/>
  <c r="F697" i="5"/>
  <c r="E697" i="5"/>
  <c r="B697" i="5"/>
  <c r="F696" i="5"/>
  <c r="E696" i="5"/>
  <c r="B696" i="5"/>
  <c r="F695" i="5"/>
  <c r="E695" i="5"/>
  <c r="B695" i="5"/>
  <c r="F694" i="5"/>
  <c r="E694" i="5"/>
  <c r="B694" i="5"/>
  <c r="D694" i="5" s="1"/>
  <c r="F693" i="5"/>
  <c r="E693" i="5"/>
  <c r="B693" i="5"/>
  <c r="F692" i="5"/>
  <c r="E692" i="5"/>
  <c r="B692" i="5"/>
  <c r="C692" i="5" s="1"/>
  <c r="F691" i="5"/>
  <c r="E691" i="5"/>
  <c r="B691" i="5"/>
  <c r="F690" i="5"/>
  <c r="E690" i="5"/>
  <c r="B690" i="5"/>
  <c r="D702" i="5" s="1"/>
  <c r="F689" i="5"/>
  <c r="E689" i="5"/>
  <c r="B689" i="5"/>
  <c r="F688" i="5"/>
  <c r="E688" i="5"/>
  <c r="B688" i="5"/>
  <c r="F687" i="5"/>
  <c r="E687" i="5"/>
  <c r="B687" i="5"/>
  <c r="D687" i="5" s="1"/>
  <c r="F686" i="5"/>
  <c r="E686" i="5"/>
  <c r="B686" i="5"/>
  <c r="F685" i="5"/>
  <c r="E685" i="5"/>
  <c r="B685" i="5"/>
  <c r="F684" i="5"/>
  <c r="E684" i="5"/>
  <c r="B684" i="5"/>
  <c r="C684" i="5" s="1"/>
  <c r="F683" i="5"/>
  <c r="E683" i="5"/>
  <c r="B683" i="5"/>
  <c r="F682" i="5"/>
  <c r="E682" i="5"/>
  <c r="B682" i="5"/>
  <c r="F681" i="5"/>
  <c r="E681" i="5"/>
  <c r="B681" i="5"/>
  <c r="F680" i="5"/>
  <c r="E680" i="5"/>
  <c r="B680" i="5"/>
  <c r="F679" i="5"/>
  <c r="E679" i="5"/>
  <c r="B679" i="5"/>
  <c r="F678" i="5"/>
  <c r="E678" i="5"/>
  <c r="B678" i="5"/>
  <c r="F677" i="5"/>
  <c r="E677" i="5"/>
  <c r="B677" i="5"/>
  <c r="F676" i="5"/>
  <c r="E676" i="5"/>
  <c r="B676" i="5"/>
  <c r="C676" i="5" s="1"/>
  <c r="F675" i="5"/>
  <c r="E675" i="5"/>
  <c r="B675" i="5"/>
  <c r="F674" i="5"/>
  <c r="E674" i="5"/>
  <c r="B674" i="5"/>
  <c r="D674" i="5" s="1"/>
  <c r="F673" i="5"/>
  <c r="E673" i="5"/>
  <c r="B673" i="5"/>
  <c r="F672" i="5"/>
  <c r="E672" i="5"/>
  <c r="B672" i="5"/>
  <c r="F671" i="5"/>
  <c r="E671" i="5"/>
  <c r="B671" i="5"/>
  <c r="D671" i="5" s="1"/>
  <c r="F670" i="5"/>
  <c r="E670" i="5"/>
  <c r="B670" i="5"/>
  <c r="F669" i="5"/>
  <c r="E669" i="5"/>
  <c r="B669" i="5"/>
  <c r="D681" i="5" s="1"/>
  <c r="F668" i="5"/>
  <c r="E668" i="5"/>
  <c r="B668" i="5"/>
  <c r="F667" i="5"/>
  <c r="E667" i="5"/>
  <c r="B667" i="5"/>
  <c r="C667" i="5" s="1"/>
  <c r="F666" i="5"/>
  <c r="E666" i="5"/>
  <c r="B666" i="5"/>
  <c r="F665" i="5"/>
  <c r="E665" i="5"/>
  <c r="B665" i="5"/>
  <c r="F664" i="5"/>
  <c r="E664" i="5"/>
  <c r="B664" i="5"/>
  <c r="F663" i="5"/>
  <c r="E663" i="5"/>
  <c r="B663" i="5"/>
  <c r="F662" i="5"/>
  <c r="E662" i="5"/>
  <c r="B662" i="5"/>
  <c r="D662" i="5" s="1"/>
  <c r="F661" i="5"/>
  <c r="E661" i="5"/>
  <c r="B661" i="5"/>
  <c r="F660" i="5"/>
  <c r="E660" i="5"/>
  <c r="B660" i="5"/>
  <c r="F659" i="5"/>
  <c r="E659" i="5"/>
  <c r="C659" i="5"/>
  <c r="B659" i="5"/>
  <c r="F658" i="5"/>
  <c r="E658" i="5"/>
  <c r="B658" i="5"/>
  <c r="F657" i="5"/>
  <c r="E657" i="5"/>
  <c r="B657" i="5"/>
  <c r="D657" i="5" s="1"/>
  <c r="F656" i="5"/>
  <c r="E656" i="5"/>
  <c r="B656" i="5"/>
  <c r="F655" i="5"/>
  <c r="E655" i="5"/>
  <c r="B655" i="5"/>
  <c r="C655" i="5" s="1"/>
  <c r="F654" i="5"/>
  <c r="E654" i="5"/>
  <c r="B654" i="5"/>
  <c r="C654" i="5" s="1"/>
  <c r="F653" i="5"/>
  <c r="E653" i="5"/>
  <c r="B653" i="5"/>
  <c r="D665" i="5" s="1"/>
  <c r="F652" i="5"/>
  <c r="E652" i="5"/>
  <c r="B652" i="5"/>
  <c r="F651" i="5"/>
  <c r="E651" i="5"/>
  <c r="B651" i="5"/>
  <c r="F650" i="5"/>
  <c r="E650" i="5"/>
  <c r="B650" i="5"/>
  <c r="F649" i="5"/>
  <c r="E649" i="5"/>
  <c r="D649" i="5"/>
  <c r="B649" i="5"/>
  <c r="F648" i="5"/>
  <c r="E648" i="5"/>
  <c r="B648" i="5"/>
  <c r="F647" i="5"/>
  <c r="E647" i="5"/>
  <c r="B647" i="5"/>
  <c r="D659" i="5" s="1"/>
  <c r="F646" i="5"/>
  <c r="E646" i="5"/>
  <c r="C646" i="5"/>
  <c r="B646" i="5"/>
  <c r="F645" i="5"/>
  <c r="E645" i="5"/>
  <c r="B645" i="5"/>
  <c r="F644" i="5"/>
  <c r="E644" i="5"/>
  <c r="B644" i="5"/>
  <c r="C644" i="5" s="1"/>
  <c r="F643" i="5"/>
  <c r="E643" i="5"/>
  <c r="B643" i="5"/>
  <c r="F642" i="5"/>
  <c r="E642" i="5"/>
  <c r="B642" i="5"/>
  <c r="F641" i="5"/>
  <c r="E641" i="5"/>
  <c r="B641" i="5"/>
  <c r="D641" i="5" s="1"/>
  <c r="F640" i="5"/>
  <c r="E640" i="5"/>
  <c r="B640" i="5"/>
  <c r="F639" i="5"/>
  <c r="E639" i="5"/>
  <c r="B639" i="5"/>
  <c r="F638" i="5"/>
  <c r="E638" i="5"/>
  <c r="B638" i="5"/>
  <c r="D638" i="5" s="1"/>
  <c r="F637" i="5"/>
  <c r="E637" i="5"/>
  <c r="B637" i="5"/>
  <c r="F636" i="5"/>
  <c r="E636" i="5"/>
  <c r="C636" i="5"/>
  <c r="B636" i="5"/>
  <c r="F635" i="5"/>
  <c r="E635" i="5"/>
  <c r="B635" i="5"/>
  <c r="F634" i="5"/>
  <c r="E634" i="5"/>
  <c r="B634" i="5"/>
  <c r="F633" i="5"/>
  <c r="E633" i="5"/>
  <c r="B633" i="5"/>
  <c r="F632" i="5"/>
  <c r="E632" i="5"/>
  <c r="B632" i="5"/>
  <c r="F631" i="5"/>
  <c r="E631" i="5"/>
  <c r="B631" i="5"/>
  <c r="F630" i="5"/>
  <c r="E630" i="5"/>
  <c r="B630" i="5"/>
  <c r="C630" i="5" s="1"/>
  <c r="F629" i="5"/>
  <c r="E629" i="5"/>
  <c r="B629" i="5"/>
  <c r="F628" i="5"/>
  <c r="E628" i="5"/>
  <c r="B628" i="5"/>
  <c r="F627" i="5"/>
  <c r="E627" i="5"/>
  <c r="B627" i="5"/>
  <c r="D627" i="5" s="1"/>
  <c r="F626" i="5"/>
  <c r="E626" i="5"/>
  <c r="B626" i="5"/>
  <c r="F625" i="5"/>
  <c r="E625" i="5"/>
  <c r="B625" i="5"/>
  <c r="F624" i="5"/>
  <c r="E624" i="5"/>
  <c r="B624" i="5"/>
  <c r="F623" i="5"/>
  <c r="E623" i="5"/>
  <c r="B623" i="5"/>
  <c r="F622" i="5"/>
  <c r="E622" i="5"/>
  <c r="D622" i="5"/>
  <c r="B622" i="5"/>
  <c r="C622" i="5" s="1"/>
  <c r="F621" i="5"/>
  <c r="E621" i="5"/>
  <c r="B621" i="5"/>
  <c r="F620" i="5"/>
  <c r="E620" i="5"/>
  <c r="B620" i="5"/>
  <c r="C620" i="5" s="1"/>
  <c r="F619" i="5"/>
  <c r="E619" i="5"/>
  <c r="B619" i="5"/>
  <c r="D619" i="5" s="1"/>
  <c r="F618" i="5"/>
  <c r="E618" i="5"/>
  <c r="B618" i="5"/>
  <c r="F617" i="5"/>
  <c r="E617" i="5"/>
  <c r="D617" i="5"/>
  <c r="B617" i="5"/>
  <c r="F616" i="5"/>
  <c r="E616" i="5"/>
  <c r="B616" i="5"/>
  <c r="F615" i="5"/>
  <c r="E615" i="5"/>
  <c r="B615" i="5"/>
  <c r="F614" i="5"/>
  <c r="E614" i="5"/>
  <c r="B614" i="5"/>
  <c r="F613" i="5"/>
  <c r="E613" i="5"/>
  <c r="B613" i="5"/>
  <c r="F612" i="5"/>
  <c r="E612" i="5"/>
  <c r="B612" i="5"/>
  <c r="C612" i="5" s="1"/>
  <c r="F611" i="5"/>
  <c r="E611" i="5"/>
  <c r="B611" i="5"/>
  <c r="D623" i="5" s="1"/>
  <c r="F610" i="5"/>
  <c r="E610" i="5"/>
  <c r="B610" i="5"/>
  <c r="F609" i="5"/>
  <c r="E609" i="5"/>
  <c r="B609" i="5"/>
  <c r="F608" i="5"/>
  <c r="E608" i="5"/>
  <c r="B608" i="5"/>
  <c r="F607" i="5"/>
  <c r="E607" i="5"/>
  <c r="D607" i="5"/>
  <c r="B607" i="5"/>
  <c r="F606" i="5"/>
  <c r="E606" i="5"/>
  <c r="B606" i="5"/>
  <c r="F605" i="5"/>
  <c r="E605" i="5"/>
  <c r="B605" i="5"/>
  <c r="F604" i="5"/>
  <c r="E604" i="5"/>
  <c r="B604" i="5"/>
  <c r="F603" i="5"/>
  <c r="E603" i="5"/>
  <c r="B603" i="5"/>
  <c r="F602" i="5"/>
  <c r="E602" i="5"/>
  <c r="B602" i="5"/>
  <c r="F601" i="5"/>
  <c r="E601" i="5"/>
  <c r="B601" i="5"/>
  <c r="D601" i="5" s="1"/>
  <c r="F600" i="5"/>
  <c r="E600" i="5"/>
  <c r="B600" i="5"/>
  <c r="F599" i="5"/>
  <c r="E599" i="5"/>
  <c r="B599" i="5"/>
  <c r="F598" i="5"/>
  <c r="E598" i="5"/>
  <c r="B598" i="5"/>
  <c r="F597" i="5"/>
  <c r="E597" i="5"/>
  <c r="B597" i="5"/>
  <c r="C598" i="5" s="1"/>
  <c r="F596" i="5"/>
  <c r="E596" i="5"/>
  <c r="B596" i="5"/>
  <c r="F595" i="5"/>
  <c r="E595" i="5"/>
  <c r="C595" i="5"/>
  <c r="B595" i="5"/>
  <c r="F594" i="5"/>
  <c r="E594" i="5"/>
  <c r="B594" i="5"/>
  <c r="F593" i="5"/>
  <c r="E593" i="5"/>
  <c r="B593" i="5"/>
  <c r="F592" i="5"/>
  <c r="E592" i="5"/>
  <c r="B592" i="5"/>
  <c r="F591" i="5"/>
  <c r="E591" i="5"/>
  <c r="B591" i="5"/>
  <c r="F590" i="5"/>
  <c r="E590" i="5"/>
  <c r="B590" i="5"/>
  <c r="C590" i="5" s="1"/>
  <c r="F589" i="5"/>
  <c r="E589" i="5"/>
  <c r="B589" i="5"/>
  <c r="F588" i="5"/>
  <c r="E588" i="5"/>
  <c r="B588" i="5"/>
  <c r="C588" i="5" s="1"/>
  <c r="F587" i="5"/>
  <c r="E587" i="5"/>
  <c r="D587" i="5"/>
  <c r="B587" i="5"/>
  <c r="F586" i="5"/>
  <c r="E586" i="5"/>
  <c r="B586" i="5"/>
  <c r="F585" i="5"/>
  <c r="E585" i="5"/>
  <c r="B585" i="5"/>
  <c r="D585" i="5" s="1"/>
  <c r="F584" i="5"/>
  <c r="E584" i="5"/>
  <c r="B584" i="5"/>
  <c r="F583" i="5"/>
  <c r="E583" i="5"/>
  <c r="B583" i="5"/>
  <c r="F582" i="5"/>
  <c r="E582" i="5"/>
  <c r="B582" i="5"/>
  <c r="F581" i="5"/>
  <c r="E581" i="5"/>
  <c r="B581" i="5"/>
  <c r="C582" i="5" s="1"/>
  <c r="F580" i="5"/>
  <c r="E580" i="5"/>
  <c r="B580" i="5"/>
  <c r="F579" i="5"/>
  <c r="E579" i="5"/>
  <c r="B579" i="5"/>
  <c r="F578" i="5"/>
  <c r="E578" i="5"/>
  <c r="B578" i="5"/>
  <c r="F577" i="5"/>
  <c r="E577" i="5"/>
  <c r="B577" i="5"/>
  <c r="F576" i="5"/>
  <c r="E576" i="5"/>
  <c r="B576" i="5"/>
  <c r="F575" i="5"/>
  <c r="E575" i="5"/>
  <c r="B575" i="5"/>
  <c r="F574" i="5"/>
  <c r="E574" i="5"/>
  <c r="B574" i="5"/>
  <c r="F573" i="5"/>
  <c r="E573" i="5"/>
  <c r="B573" i="5"/>
  <c r="F572" i="5"/>
  <c r="E572" i="5"/>
  <c r="B572" i="5"/>
  <c r="F571" i="5"/>
  <c r="E571" i="5"/>
  <c r="B571" i="5"/>
  <c r="F570" i="5"/>
  <c r="E570" i="5"/>
  <c r="B570" i="5"/>
  <c r="F569" i="5"/>
  <c r="E569" i="5"/>
  <c r="D569" i="5"/>
  <c r="B569" i="5"/>
  <c r="F568" i="5"/>
  <c r="E568" i="5"/>
  <c r="B568" i="5"/>
  <c r="F567" i="5"/>
  <c r="E567" i="5"/>
  <c r="B567" i="5"/>
  <c r="F566" i="5"/>
  <c r="E566" i="5"/>
  <c r="B566" i="5"/>
  <c r="D566" i="5" s="1"/>
  <c r="F565" i="5"/>
  <c r="E565" i="5"/>
  <c r="B565" i="5"/>
  <c r="F564" i="5"/>
  <c r="E564" i="5"/>
  <c r="B564" i="5"/>
  <c r="C564" i="5" s="1"/>
  <c r="F563" i="5"/>
  <c r="E563" i="5"/>
  <c r="B563" i="5"/>
  <c r="F562" i="5"/>
  <c r="E562" i="5"/>
  <c r="B562" i="5"/>
  <c r="D574" i="5" s="1"/>
  <c r="F561" i="5"/>
  <c r="E561" i="5"/>
  <c r="B561" i="5"/>
  <c r="F560" i="5"/>
  <c r="E560" i="5"/>
  <c r="B560" i="5"/>
  <c r="F559" i="5"/>
  <c r="E559" i="5"/>
  <c r="B559" i="5"/>
  <c r="D559" i="5" s="1"/>
  <c r="F558" i="5"/>
  <c r="E558" i="5"/>
  <c r="B558" i="5"/>
  <c r="F557" i="5"/>
  <c r="E557" i="5"/>
  <c r="B557" i="5"/>
  <c r="F556" i="5"/>
  <c r="E556" i="5"/>
  <c r="B556" i="5"/>
  <c r="C556" i="5" s="1"/>
  <c r="F555" i="5"/>
  <c r="E555" i="5"/>
  <c r="B555" i="5"/>
  <c r="F554" i="5"/>
  <c r="E554" i="5"/>
  <c r="B554" i="5"/>
  <c r="F553" i="5"/>
  <c r="E553" i="5"/>
  <c r="D553" i="5"/>
  <c r="B553" i="5"/>
  <c r="F552" i="5"/>
  <c r="E552" i="5"/>
  <c r="B552" i="5"/>
  <c r="F551" i="5"/>
  <c r="E551" i="5"/>
  <c r="B551" i="5"/>
  <c r="F550" i="5"/>
  <c r="E550" i="5"/>
  <c r="B550" i="5"/>
  <c r="F549" i="5"/>
  <c r="E549" i="5"/>
  <c r="B549" i="5"/>
  <c r="C550" i="5" s="1"/>
  <c r="F548" i="5"/>
  <c r="E548" i="5"/>
  <c r="B548" i="5"/>
  <c r="C548" i="5" s="1"/>
  <c r="F547" i="5"/>
  <c r="E547" i="5"/>
  <c r="B547" i="5"/>
  <c r="F546" i="5"/>
  <c r="E546" i="5"/>
  <c r="B546" i="5"/>
  <c r="C547" i="5" s="1"/>
  <c r="F545" i="5"/>
  <c r="E545" i="5"/>
  <c r="B545" i="5"/>
  <c r="F544" i="5"/>
  <c r="E544" i="5"/>
  <c r="B544" i="5"/>
  <c r="F543" i="5"/>
  <c r="E543" i="5"/>
  <c r="B543" i="5"/>
  <c r="D555" i="5" s="1"/>
  <c r="F542" i="5"/>
  <c r="E542" i="5"/>
  <c r="B542" i="5"/>
  <c r="F541" i="5"/>
  <c r="E541" i="5"/>
  <c r="B541" i="5"/>
  <c r="F540" i="5"/>
  <c r="E540" i="5"/>
  <c r="B540" i="5"/>
  <c r="F539" i="5"/>
  <c r="E539" i="5"/>
  <c r="B539" i="5"/>
  <c r="D539" i="5" s="1"/>
  <c r="F538" i="5"/>
  <c r="E538" i="5"/>
  <c r="B538" i="5"/>
  <c r="F537" i="5"/>
  <c r="E537" i="5"/>
  <c r="B537" i="5"/>
  <c r="F536" i="5"/>
  <c r="E536" i="5"/>
  <c r="B536" i="5"/>
  <c r="C537" i="5" s="1"/>
  <c r="F535" i="5"/>
  <c r="E535" i="5"/>
  <c r="B535" i="5"/>
  <c r="D547" i="5" s="1"/>
  <c r="F534" i="5"/>
  <c r="E534" i="5"/>
  <c r="B534" i="5"/>
  <c r="D534" i="5" s="1"/>
  <c r="F533" i="5"/>
  <c r="E533" i="5"/>
  <c r="B533" i="5"/>
  <c r="F532" i="5"/>
  <c r="E532" i="5"/>
  <c r="B532" i="5"/>
  <c r="F531" i="5"/>
  <c r="E531" i="5"/>
  <c r="B531" i="5"/>
  <c r="F530" i="5"/>
  <c r="E530" i="5"/>
  <c r="B530" i="5"/>
  <c r="F529" i="5"/>
  <c r="E529" i="5"/>
  <c r="B529" i="5"/>
  <c r="F528" i="5"/>
  <c r="E528" i="5"/>
  <c r="C528" i="5"/>
  <c r="B528" i="5"/>
  <c r="F527" i="5"/>
  <c r="E527" i="5"/>
  <c r="B527" i="5"/>
  <c r="F526" i="5"/>
  <c r="E526" i="5"/>
  <c r="C526" i="5"/>
  <c r="B526" i="5"/>
  <c r="F525" i="5"/>
  <c r="E525" i="5"/>
  <c r="B525" i="5"/>
  <c r="D537" i="5" s="1"/>
  <c r="F524" i="5"/>
  <c r="E524" i="5"/>
  <c r="B524" i="5"/>
  <c r="F523" i="5"/>
  <c r="E523" i="5"/>
  <c r="B523" i="5"/>
  <c r="F522" i="5"/>
  <c r="E522" i="5"/>
  <c r="B522" i="5"/>
  <c r="F521" i="5"/>
  <c r="E521" i="5"/>
  <c r="B521" i="5"/>
  <c r="F520" i="5"/>
  <c r="E520" i="5"/>
  <c r="B520" i="5"/>
  <c r="F519" i="5"/>
  <c r="E519" i="5"/>
  <c r="B519" i="5"/>
  <c r="C519" i="5" s="1"/>
  <c r="F518" i="5"/>
  <c r="E518" i="5"/>
  <c r="B518" i="5"/>
  <c r="F517" i="5"/>
  <c r="E517" i="5"/>
  <c r="B517" i="5"/>
  <c r="F516" i="5"/>
  <c r="E516" i="5"/>
  <c r="B516" i="5"/>
  <c r="D516" i="5" s="1"/>
  <c r="F515" i="5"/>
  <c r="E515" i="5"/>
  <c r="B515" i="5"/>
  <c r="F514" i="5"/>
  <c r="E514" i="5"/>
  <c r="B514" i="5"/>
  <c r="D526" i="5" s="1"/>
  <c r="F513" i="5"/>
  <c r="E513" i="5"/>
  <c r="B513" i="5"/>
  <c r="F512" i="5"/>
  <c r="E512" i="5"/>
  <c r="B512" i="5"/>
  <c r="F511" i="5"/>
  <c r="E511" i="5"/>
  <c r="B511" i="5"/>
  <c r="D511" i="5" s="1"/>
  <c r="F510" i="5"/>
  <c r="E510" i="5"/>
  <c r="B510" i="5"/>
  <c r="F509" i="5"/>
  <c r="E509" i="5"/>
  <c r="B509" i="5"/>
  <c r="C509" i="5" s="1"/>
  <c r="F508" i="5"/>
  <c r="E508" i="5"/>
  <c r="B508" i="5"/>
  <c r="F507" i="5"/>
  <c r="E507" i="5"/>
  <c r="B507" i="5"/>
  <c r="F506" i="5"/>
  <c r="E506" i="5"/>
  <c r="B506" i="5"/>
  <c r="F505" i="5"/>
  <c r="E505" i="5"/>
  <c r="B505" i="5"/>
  <c r="D505" i="5" s="1"/>
  <c r="F504" i="5"/>
  <c r="E504" i="5"/>
  <c r="B504" i="5"/>
  <c r="F503" i="5"/>
  <c r="E503" i="5"/>
  <c r="B503" i="5"/>
  <c r="F502" i="5"/>
  <c r="E502" i="5"/>
  <c r="B502" i="5"/>
  <c r="F501" i="5"/>
  <c r="E501" i="5"/>
  <c r="B501" i="5"/>
  <c r="F500" i="5"/>
  <c r="E500" i="5"/>
  <c r="B500" i="5"/>
  <c r="C500" i="5" s="1"/>
  <c r="F499" i="5"/>
  <c r="E499" i="5"/>
  <c r="B499" i="5"/>
  <c r="F498" i="5"/>
  <c r="E498" i="5"/>
  <c r="B498" i="5"/>
  <c r="F497" i="5"/>
  <c r="E497" i="5"/>
  <c r="B497" i="5"/>
  <c r="F496" i="5"/>
  <c r="E496" i="5"/>
  <c r="B496" i="5"/>
  <c r="F495" i="5"/>
  <c r="E495" i="5"/>
  <c r="B495" i="5"/>
  <c r="F494" i="5"/>
  <c r="E494" i="5"/>
  <c r="B494" i="5"/>
  <c r="F493" i="5"/>
  <c r="E493" i="5"/>
  <c r="B493" i="5"/>
  <c r="F492" i="5"/>
  <c r="E492" i="5"/>
  <c r="C492" i="5"/>
  <c r="B492" i="5"/>
  <c r="F491" i="5"/>
  <c r="E491" i="5"/>
  <c r="B491" i="5"/>
  <c r="D491" i="5" s="1"/>
  <c r="F490" i="5"/>
  <c r="E490" i="5"/>
  <c r="B490" i="5"/>
  <c r="F489" i="5"/>
  <c r="E489" i="5"/>
  <c r="B489" i="5"/>
  <c r="F488" i="5"/>
  <c r="E488" i="5"/>
  <c r="C488" i="5"/>
  <c r="B488" i="5"/>
  <c r="F487" i="5"/>
  <c r="E487" i="5"/>
  <c r="B487" i="5"/>
  <c r="F486" i="5"/>
  <c r="E486" i="5"/>
  <c r="B486" i="5"/>
  <c r="D486" i="5" s="1"/>
  <c r="F485" i="5"/>
  <c r="E485" i="5"/>
  <c r="B485" i="5"/>
  <c r="F484" i="5"/>
  <c r="E484" i="5"/>
  <c r="B484" i="5"/>
  <c r="F483" i="5"/>
  <c r="E483" i="5"/>
  <c r="B483" i="5"/>
  <c r="F482" i="5"/>
  <c r="E482" i="5"/>
  <c r="B482" i="5"/>
  <c r="F481" i="5"/>
  <c r="E481" i="5"/>
  <c r="B481" i="5"/>
  <c r="F480" i="5"/>
  <c r="E480" i="5"/>
  <c r="B480" i="5"/>
  <c r="D492" i="5" s="1"/>
  <c r="F479" i="5"/>
  <c r="E479" i="5"/>
  <c r="B479" i="5"/>
  <c r="F478" i="5"/>
  <c r="E478" i="5"/>
  <c r="B478" i="5"/>
  <c r="F477" i="5"/>
  <c r="E477" i="5"/>
  <c r="B477" i="5"/>
  <c r="F476" i="5"/>
  <c r="E476" i="5"/>
  <c r="B476" i="5"/>
  <c r="D476" i="5" s="1"/>
  <c r="F475" i="5"/>
  <c r="E475" i="5"/>
  <c r="B475" i="5"/>
  <c r="D487" i="5" s="1"/>
  <c r="F474" i="5"/>
  <c r="E474" i="5"/>
  <c r="B474" i="5"/>
  <c r="F473" i="5"/>
  <c r="E473" i="5"/>
  <c r="B473" i="5"/>
  <c r="F472" i="5"/>
  <c r="E472" i="5"/>
  <c r="B472" i="5"/>
  <c r="F471" i="5"/>
  <c r="E471" i="5"/>
  <c r="B471" i="5"/>
  <c r="D471" i="5" s="1"/>
  <c r="F470" i="5"/>
  <c r="E470" i="5"/>
  <c r="B470" i="5"/>
  <c r="F469" i="5"/>
  <c r="E469" i="5"/>
  <c r="B469" i="5"/>
  <c r="F468" i="5"/>
  <c r="E468" i="5"/>
  <c r="B468" i="5"/>
  <c r="F467" i="5"/>
  <c r="E467" i="5"/>
  <c r="B467" i="5"/>
  <c r="F466" i="5"/>
  <c r="E466" i="5"/>
  <c r="B466" i="5"/>
  <c r="F465" i="5"/>
  <c r="E465" i="5"/>
  <c r="B465" i="5"/>
  <c r="F464" i="5"/>
  <c r="E464" i="5"/>
  <c r="B464" i="5"/>
  <c r="F463" i="5"/>
  <c r="E463" i="5"/>
  <c r="B463" i="5"/>
  <c r="F462" i="5"/>
  <c r="E462" i="5"/>
  <c r="B462" i="5"/>
  <c r="F461" i="5"/>
  <c r="E461" i="5"/>
  <c r="B461" i="5"/>
  <c r="F460" i="5"/>
  <c r="E460" i="5"/>
  <c r="B460" i="5"/>
  <c r="F459" i="5"/>
  <c r="E459" i="5"/>
  <c r="B459" i="5"/>
  <c r="F458" i="5"/>
  <c r="E458" i="5"/>
  <c r="B458" i="5"/>
  <c r="C458" i="5" s="1"/>
  <c r="F457" i="5"/>
  <c r="E457" i="5"/>
  <c r="B457" i="5"/>
  <c r="F456" i="5"/>
  <c r="E456" i="5"/>
  <c r="B456" i="5"/>
  <c r="F455" i="5"/>
  <c r="E455" i="5"/>
  <c r="B455" i="5"/>
  <c r="D455" i="5" s="1"/>
  <c r="F454" i="5"/>
  <c r="E454" i="5"/>
  <c r="B454" i="5"/>
  <c r="F453" i="5"/>
  <c r="E453" i="5"/>
  <c r="B453" i="5"/>
  <c r="F452" i="5"/>
  <c r="E452" i="5"/>
  <c r="B452" i="5"/>
  <c r="F451" i="5"/>
  <c r="E451" i="5"/>
  <c r="B451" i="5"/>
  <c r="F450" i="5"/>
  <c r="E450" i="5"/>
  <c r="D450" i="5"/>
  <c r="B450" i="5"/>
  <c r="F449" i="5"/>
  <c r="E449" i="5"/>
  <c r="B449" i="5"/>
  <c r="F448" i="5"/>
  <c r="E448" i="5"/>
  <c r="B448" i="5"/>
  <c r="F447" i="5"/>
  <c r="E447" i="5"/>
  <c r="B447" i="5"/>
  <c r="F446" i="5"/>
  <c r="E446" i="5"/>
  <c r="B446" i="5"/>
  <c r="F445" i="5"/>
  <c r="E445" i="5"/>
  <c r="B445" i="5"/>
  <c r="D445" i="5" s="1"/>
  <c r="F444" i="5"/>
  <c r="E444" i="5"/>
  <c r="B444" i="5"/>
  <c r="F443" i="5"/>
  <c r="E443" i="5"/>
  <c r="B443" i="5"/>
  <c r="F442" i="5"/>
  <c r="E442" i="5"/>
  <c r="B442" i="5"/>
  <c r="C442" i="5" s="1"/>
  <c r="F441" i="5"/>
  <c r="E441" i="5"/>
  <c r="B441" i="5"/>
  <c r="F440" i="5"/>
  <c r="E440" i="5"/>
  <c r="B440" i="5"/>
  <c r="F439" i="5"/>
  <c r="E439" i="5"/>
  <c r="B439" i="5"/>
  <c r="F438" i="5"/>
  <c r="E438" i="5"/>
  <c r="B438" i="5"/>
  <c r="F437" i="5"/>
  <c r="E437" i="5"/>
  <c r="B437" i="5"/>
  <c r="D437" i="5" s="1"/>
  <c r="F436" i="5"/>
  <c r="E436" i="5"/>
  <c r="B436" i="5"/>
  <c r="F435" i="5"/>
  <c r="E435" i="5"/>
  <c r="B435" i="5"/>
  <c r="F434" i="5"/>
  <c r="E434" i="5"/>
  <c r="B434" i="5"/>
  <c r="C434" i="5" s="1"/>
  <c r="F433" i="5"/>
  <c r="E433" i="5"/>
  <c r="B433" i="5"/>
  <c r="F432" i="5"/>
  <c r="E432" i="5"/>
  <c r="B432" i="5"/>
  <c r="F431" i="5"/>
  <c r="E431" i="5"/>
  <c r="B431" i="5"/>
  <c r="F430" i="5"/>
  <c r="E430" i="5"/>
  <c r="B430" i="5"/>
  <c r="D430" i="5" s="1"/>
  <c r="F429" i="5"/>
  <c r="E429" i="5"/>
  <c r="B429" i="5"/>
  <c r="F428" i="5"/>
  <c r="E428" i="5"/>
  <c r="B428" i="5"/>
  <c r="F427" i="5"/>
  <c r="E427" i="5"/>
  <c r="B427" i="5"/>
  <c r="F426" i="5"/>
  <c r="E426" i="5"/>
  <c r="B426" i="5"/>
  <c r="F425" i="5"/>
  <c r="E425" i="5"/>
  <c r="B425" i="5"/>
  <c r="F424" i="5"/>
  <c r="E424" i="5"/>
  <c r="B424" i="5"/>
  <c r="F423" i="5"/>
  <c r="E423" i="5"/>
  <c r="B423" i="5"/>
  <c r="F422" i="5"/>
  <c r="E422" i="5"/>
  <c r="B422" i="5"/>
  <c r="D422" i="5" s="1"/>
  <c r="F421" i="5"/>
  <c r="E421" i="5"/>
  <c r="B421" i="5"/>
  <c r="F420" i="5"/>
  <c r="E420" i="5"/>
  <c r="B420" i="5"/>
  <c r="F419" i="5"/>
  <c r="E419" i="5"/>
  <c r="B419" i="5"/>
  <c r="F418" i="5"/>
  <c r="E418" i="5"/>
  <c r="C418" i="5"/>
  <c r="B418" i="5"/>
  <c r="F417" i="5"/>
  <c r="E417" i="5"/>
  <c r="B417" i="5"/>
  <c r="F416" i="5"/>
  <c r="E416" i="5"/>
  <c r="B416" i="5"/>
  <c r="F415" i="5"/>
  <c r="E415" i="5"/>
  <c r="B415" i="5"/>
  <c r="F414" i="5"/>
  <c r="E414" i="5"/>
  <c r="B414" i="5"/>
  <c r="F413" i="5"/>
  <c r="E413" i="5"/>
  <c r="B413" i="5"/>
  <c r="F412" i="5"/>
  <c r="E412" i="5"/>
  <c r="B412" i="5"/>
  <c r="F411" i="5"/>
  <c r="E411" i="5"/>
  <c r="B411" i="5"/>
  <c r="C411" i="5" s="1"/>
  <c r="F410" i="5"/>
  <c r="E410" i="5"/>
  <c r="B410" i="5"/>
  <c r="F409" i="5"/>
  <c r="E409" i="5"/>
  <c r="B409" i="5"/>
  <c r="D409" i="5" s="1"/>
  <c r="F408" i="5"/>
  <c r="E408" i="5"/>
  <c r="B408" i="5"/>
  <c r="F407" i="5"/>
  <c r="E407" i="5"/>
  <c r="B407" i="5"/>
  <c r="F406" i="5"/>
  <c r="E406" i="5"/>
  <c r="B406" i="5"/>
  <c r="F405" i="5"/>
  <c r="E405" i="5"/>
  <c r="B405" i="5"/>
  <c r="D405" i="5" s="1"/>
  <c r="F404" i="5"/>
  <c r="E404" i="5"/>
  <c r="B404" i="5"/>
  <c r="F403" i="5"/>
  <c r="E403" i="5"/>
  <c r="B403" i="5"/>
  <c r="F402" i="5"/>
  <c r="E402" i="5"/>
  <c r="B402" i="5"/>
  <c r="F401" i="5"/>
  <c r="E401" i="5"/>
  <c r="B401" i="5"/>
  <c r="D413" i="5" s="1"/>
  <c r="F400" i="5"/>
  <c r="E400" i="5"/>
  <c r="B400" i="5"/>
  <c r="F399" i="5"/>
  <c r="E399" i="5"/>
  <c r="B399" i="5"/>
  <c r="F398" i="5"/>
  <c r="E398" i="5"/>
  <c r="B398" i="5"/>
  <c r="F397" i="5"/>
  <c r="E397" i="5"/>
  <c r="B397" i="5"/>
  <c r="F396" i="5"/>
  <c r="E396" i="5"/>
  <c r="B396" i="5"/>
  <c r="F395" i="5"/>
  <c r="E395" i="5"/>
  <c r="B395" i="5"/>
  <c r="F394" i="5"/>
  <c r="E394" i="5"/>
  <c r="B394" i="5"/>
  <c r="C394" i="5" s="1"/>
  <c r="F393" i="5"/>
  <c r="E393" i="5"/>
  <c r="B393" i="5"/>
  <c r="F392" i="5"/>
  <c r="E392" i="5"/>
  <c r="B392" i="5"/>
  <c r="F391" i="5"/>
  <c r="E391" i="5"/>
  <c r="B391" i="5"/>
  <c r="D391" i="5" s="1"/>
  <c r="F390" i="5"/>
  <c r="E390" i="5"/>
  <c r="B390" i="5"/>
  <c r="F389" i="5"/>
  <c r="E389" i="5"/>
  <c r="B389" i="5"/>
  <c r="F388" i="5"/>
  <c r="E388" i="5"/>
  <c r="B388" i="5"/>
  <c r="F387" i="5"/>
  <c r="E387" i="5"/>
  <c r="B387" i="5"/>
  <c r="F386" i="5"/>
  <c r="E386" i="5"/>
  <c r="B386" i="5"/>
  <c r="F385" i="5"/>
  <c r="E385" i="5"/>
  <c r="B385" i="5"/>
  <c r="F384" i="5"/>
  <c r="E384" i="5"/>
  <c r="B384" i="5"/>
  <c r="F383" i="5"/>
  <c r="E383" i="5"/>
  <c r="B383" i="5"/>
  <c r="F382" i="5"/>
  <c r="E382" i="5"/>
  <c r="B382" i="5"/>
  <c r="F381" i="5"/>
  <c r="E381" i="5"/>
  <c r="B381" i="5"/>
  <c r="D381" i="5" s="1"/>
  <c r="F380" i="5"/>
  <c r="E380" i="5"/>
  <c r="B380" i="5"/>
  <c r="F379" i="5"/>
  <c r="E379" i="5"/>
  <c r="B379" i="5"/>
  <c r="F378" i="5"/>
  <c r="E378" i="5"/>
  <c r="B378" i="5"/>
  <c r="F377" i="5"/>
  <c r="E377" i="5"/>
  <c r="B377" i="5"/>
  <c r="F376" i="5"/>
  <c r="E376" i="5"/>
  <c r="B376" i="5"/>
  <c r="F375" i="5"/>
  <c r="E375" i="5"/>
  <c r="B375" i="5"/>
  <c r="F374" i="5"/>
  <c r="E374" i="5"/>
  <c r="B374" i="5"/>
  <c r="F373" i="5"/>
  <c r="E373" i="5"/>
  <c r="B373" i="5"/>
  <c r="D373" i="5" s="1"/>
  <c r="F372" i="5"/>
  <c r="E372" i="5"/>
  <c r="B372" i="5"/>
  <c r="F371" i="5"/>
  <c r="E371" i="5"/>
  <c r="B371" i="5"/>
  <c r="F370" i="5"/>
  <c r="E370" i="5"/>
  <c r="B370" i="5"/>
  <c r="C370" i="5" s="1"/>
  <c r="F369" i="5"/>
  <c r="E369" i="5"/>
  <c r="B369" i="5"/>
  <c r="F368" i="5"/>
  <c r="E368" i="5"/>
  <c r="B368" i="5"/>
  <c r="F367" i="5"/>
  <c r="E367" i="5"/>
  <c r="B367" i="5"/>
  <c r="F366" i="5"/>
  <c r="E366" i="5"/>
  <c r="B366" i="5"/>
  <c r="F365" i="5"/>
  <c r="E365" i="5"/>
  <c r="B365" i="5"/>
  <c r="D365" i="5" s="1"/>
  <c r="F364" i="5"/>
  <c r="E364" i="5"/>
  <c r="B364" i="5"/>
  <c r="F363" i="5"/>
  <c r="E363" i="5"/>
  <c r="B363" i="5"/>
  <c r="F362" i="5"/>
  <c r="E362" i="5"/>
  <c r="B362" i="5"/>
  <c r="D362" i="5" s="1"/>
  <c r="F361" i="5"/>
  <c r="E361" i="5"/>
  <c r="B361" i="5"/>
  <c r="F360" i="5"/>
  <c r="E360" i="5"/>
  <c r="B360" i="5"/>
  <c r="F359" i="5"/>
  <c r="E359" i="5"/>
  <c r="B359" i="5"/>
  <c r="F358" i="5"/>
  <c r="E358" i="5"/>
  <c r="B358" i="5"/>
  <c r="F357" i="5"/>
  <c r="E357" i="5"/>
  <c r="B357" i="5"/>
  <c r="F356" i="5"/>
  <c r="E356" i="5"/>
  <c r="B356" i="5"/>
  <c r="D356" i="5" s="1"/>
  <c r="F355" i="5"/>
  <c r="E355" i="5"/>
  <c r="B355" i="5"/>
  <c r="F354" i="5"/>
  <c r="E354" i="5"/>
  <c r="C354" i="5"/>
  <c r="B354" i="5"/>
  <c r="F353" i="5"/>
  <c r="E353" i="5"/>
  <c r="B353" i="5"/>
  <c r="F352" i="5"/>
  <c r="E352" i="5"/>
  <c r="B352" i="5"/>
  <c r="F351" i="5"/>
  <c r="E351" i="5"/>
  <c r="B351" i="5"/>
  <c r="F350" i="5"/>
  <c r="E350" i="5"/>
  <c r="B350" i="5"/>
  <c r="F349" i="5"/>
  <c r="E349" i="5"/>
  <c r="B349" i="5"/>
  <c r="F348" i="5"/>
  <c r="E348" i="5"/>
  <c r="B348" i="5"/>
  <c r="F347" i="5"/>
  <c r="E347" i="5"/>
  <c r="B347" i="5"/>
  <c r="C347" i="5" s="1"/>
  <c r="F346" i="5"/>
  <c r="E346" i="5"/>
  <c r="C346" i="5"/>
  <c r="B346" i="5"/>
  <c r="F345" i="5"/>
  <c r="E345" i="5"/>
  <c r="B345" i="5"/>
  <c r="F344" i="5"/>
  <c r="E344" i="5"/>
  <c r="B344" i="5"/>
  <c r="F343" i="5"/>
  <c r="E343" i="5"/>
  <c r="B343" i="5"/>
  <c r="F342" i="5"/>
  <c r="E342" i="5"/>
  <c r="B342" i="5"/>
  <c r="D342" i="5" s="1"/>
  <c r="F341" i="5"/>
  <c r="E341" i="5"/>
  <c r="B341" i="5"/>
  <c r="F340" i="5"/>
  <c r="E340" i="5"/>
  <c r="B340" i="5"/>
  <c r="F339" i="5"/>
  <c r="E339" i="5"/>
  <c r="B339" i="5"/>
  <c r="F338" i="5"/>
  <c r="E338" i="5"/>
  <c r="B338" i="5"/>
  <c r="F337" i="5"/>
  <c r="E337" i="5"/>
  <c r="B337" i="5"/>
  <c r="D349" i="5" s="1"/>
  <c r="F336" i="5"/>
  <c r="E336" i="5"/>
  <c r="B336" i="5"/>
  <c r="F335" i="5"/>
  <c r="E335" i="5"/>
  <c r="B335" i="5"/>
  <c r="F334" i="5"/>
  <c r="E334" i="5"/>
  <c r="B334" i="5"/>
  <c r="F333" i="5"/>
  <c r="E333" i="5"/>
  <c r="B333" i="5"/>
  <c r="F332" i="5"/>
  <c r="E332" i="5"/>
  <c r="B332" i="5"/>
  <c r="F331" i="5"/>
  <c r="E331" i="5"/>
  <c r="B331" i="5"/>
  <c r="F330" i="5"/>
  <c r="E330" i="5"/>
  <c r="B330" i="5"/>
  <c r="F329" i="5"/>
  <c r="E329" i="5"/>
  <c r="B329" i="5"/>
  <c r="C330" i="5" s="1"/>
  <c r="F328" i="5"/>
  <c r="E328" i="5"/>
  <c r="B328" i="5"/>
  <c r="F327" i="5"/>
  <c r="E327" i="5"/>
  <c r="B327" i="5"/>
  <c r="D327" i="5" s="1"/>
  <c r="F326" i="5"/>
  <c r="E326" i="5"/>
  <c r="B326" i="5"/>
  <c r="F325" i="5"/>
  <c r="E325" i="5"/>
  <c r="B325" i="5"/>
  <c r="F324" i="5"/>
  <c r="E324" i="5"/>
  <c r="B324" i="5"/>
  <c r="F323" i="5"/>
  <c r="E323" i="5"/>
  <c r="B323" i="5"/>
  <c r="C323" i="5" s="1"/>
  <c r="F322" i="5"/>
  <c r="E322" i="5"/>
  <c r="B322" i="5"/>
  <c r="C322" i="5" s="1"/>
  <c r="F321" i="5"/>
  <c r="E321" i="5"/>
  <c r="B321" i="5"/>
  <c r="F320" i="5"/>
  <c r="E320" i="5"/>
  <c r="B320" i="5"/>
  <c r="F319" i="5"/>
  <c r="E319" i="5"/>
  <c r="B319" i="5"/>
  <c r="F318" i="5"/>
  <c r="E318" i="5"/>
  <c r="B318" i="5"/>
  <c r="F317" i="5"/>
  <c r="E317" i="5"/>
  <c r="B317" i="5"/>
  <c r="F316" i="5"/>
  <c r="E316" i="5"/>
  <c r="B316" i="5"/>
  <c r="F315" i="5"/>
  <c r="E315" i="5"/>
  <c r="B315" i="5"/>
  <c r="F314" i="5"/>
  <c r="E314" i="5"/>
  <c r="B314" i="5"/>
  <c r="C314" i="5" s="1"/>
  <c r="F313" i="5"/>
  <c r="E313" i="5"/>
  <c r="B313" i="5"/>
  <c r="F312" i="5"/>
  <c r="E312" i="5"/>
  <c r="B312" i="5"/>
  <c r="F311" i="5"/>
  <c r="E311" i="5"/>
  <c r="B311" i="5"/>
  <c r="F310" i="5"/>
  <c r="E310" i="5"/>
  <c r="B310" i="5"/>
  <c r="F309" i="5"/>
  <c r="E309" i="5"/>
  <c r="B309" i="5"/>
  <c r="C310" i="5" s="1"/>
  <c r="F308" i="5"/>
  <c r="E308" i="5"/>
  <c r="B308" i="5"/>
  <c r="F307" i="5"/>
  <c r="E307" i="5"/>
  <c r="B307" i="5"/>
  <c r="F306" i="5"/>
  <c r="E306" i="5"/>
  <c r="B306" i="5"/>
  <c r="C306" i="5" s="1"/>
  <c r="F305" i="5"/>
  <c r="E305" i="5"/>
  <c r="B305" i="5"/>
  <c r="F304" i="5"/>
  <c r="E304" i="5"/>
  <c r="B304" i="5"/>
  <c r="F303" i="5"/>
  <c r="E303" i="5"/>
  <c r="B303" i="5"/>
  <c r="F302" i="5"/>
  <c r="E302" i="5"/>
  <c r="B302" i="5"/>
  <c r="F301" i="5"/>
  <c r="E301" i="5"/>
  <c r="B301" i="5"/>
  <c r="F300" i="5"/>
  <c r="E300" i="5"/>
  <c r="B300" i="5"/>
  <c r="F299" i="5"/>
  <c r="E299" i="5"/>
  <c r="B299" i="5"/>
  <c r="F298" i="5"/>
  <c r="E298" i="5"/>
  <c r="B298" i="5"/>
  <c r="D298" i="5" s="1"/>
  <c r="F297" i="5"/>
  <c r="E297" i="5"/>
  <c r="B297" i="5"/>
  <c r="F296" i="5"/>
  <c r="E296" i="5"/>
  <c r="B296" i="5"/>
  <c r="F295" i="5"/>
  <c r="E295" i="5"/>
  <c r="B295" i="5"/>
  <c r="F294" i="5"/>
  <c r="E294" i="5"/>
  <c r="B294" i="5"/>
  <c r="F293" i="5"/>
  <c r="E293" i="5"/>
  <c r="B293" i="5"/>
  <c r="F292" i="5"/>
  <c r="E292" i="5"/>
  <c r="B292" i="5"/>
  <c r="F291" i="5"/>
  <c r="E291" i="5"/>
  <c r="B291" i="5"/>
  <c r="F290" i="5"/>
  <c r="E290" i="5"/>
  <c r="C290" i="5"/>
  <c r="B290" i="5"/>
  <c r="F289" i="5"/>
  <c r="E289" i="5"/>
  <c r="B289" i="5"/>
  <c r="F288" i="5"/>
  <c r="E288" i="5"/>
  <c r="B288" i="5"/>
  <c r="F287" i="5"/>
  <c r="E287" i="5"/>
  <c r="B287" i="5"/>
  <c r="F286" i="5"/>
  <c r="E286" i="5"/>
  <c r="B286" i="5"/>
  <c r="F285" i="5"/>
  <c r="E285" i="5"/>
  <c r="B285" i="5"/>
  <c r="F284" i="5"/>
  <c r="E284" i="5"/>
  <c r="B284" i="5"/>
  <c r="F283" i="5"/>
  <c r="E283" i="5"/>
  <c r="B283" i="5"/>
  <c r="F282" i="5"/>
  <c r="E282" i="5"/>
  <c r="B282" i="5"/>
  <c r="F281" i="5"/>
  <c r="E281" i="5"/>
  <c r="B281" i="5"/>
  <c r="F280" i="5"/>
  <c r="E280" i="5"/>
  <c r="B280" i="5"/>
  <c r="F279" i="5"/>
  <c r="E279" i="5"/>
  <c r="B279" i="5"/>
  <c r="F278" i="5"/>
  <c r="E278" i="5"/>
  <c r="B278" i="5"/>
  <c r="D278" i="5" s="1"/>
  <c r="F277" i="5"/>
  <c r="E277" i="5"/>
  <c r="B277" i="5"/>
  <c r="D277" i="5" s="1"/>
  <c r="F276" i="5"/>
  <c r="E276" i="5"/>
  <c r="B276" i="5"/>
  <c r="F275" i="5"/>
  <c r="E275" i="5"/>
  <c r="B275" i="5"/>
  <c r="F274" i="5"/>
  <c r="E274" i="5"/>
  <c r="B274" i="5"/>
  <c r="F273" i="5"/>
  <c r="E273" i="5"/>
  <c r="B273" i="5"/>
  <c r="D285" i="5" s="1"/>
  <c r="F272" i="5"/>
  <c r="E272" i="5"/>
  <c r="B272" i="5"/>
  <c r="F271" i="5"/>
  <c r="E271" i="5"/>
  <c r="B271" i="5"/>
  <c r="F270" i="5"/>
  <c r="E270" i="5"/>
  <c r="B270" i="5"/>
  <c r="F269" i="5"/>
  <c r="E269" i="5"/>
  <c r="B269" i="5"/>
  <c r="C270" i="5" s="1"/>
  <c r="F268" i="5"/>
  <c r="E268" i="5"/>
  <c r="B268" i="5"/>
  <c r="F267" i="5"/>
  <c r="E267" i="5"/>
  <c r="B267" i="5"/>
  <c r="C267" i="5" s="1"/>
  <c r="F266" i="5"/>
  <c r="E266" i="5"/>
  <c r="B266" i="5"/>
  <c r="F265" i="5"/>
  <c r="E265" i="5"/>
  <c r="B265" i="5"/>
  <c r="F264" i="5"/>
  <c r="E264" i="5"/>
  <c r="B264" i="5"/>
  <c r="F263" i="5"/>
  <c r="E263" i="5"/>
  <c r="B263" i="5"/>
  <c r="F262" i="5"/>
  <c r="E262" i="5"/>
  <c r="B262" i="5"/>
  <c r="F261" i="5"/>
  <c r="E261" i="5"/>
  <c r="B261" i="5"/>
  <c r="F260" i="5"/>
  <c r="E260" i="5"/>
  <c r="B260" i="5"/>
  <c r="F259" i="5"/>
  <c r="E259" i="5"/>
  <c r="B259" i="5"/>
  <c r="F258" i="5"/>
  <c r="E258" i="5"/>
  <c r="B258" i="5"/>
  <c r="F257" i="5"/>
  <c r="E257" i="5"/>
  <c r="B257" i="5"/>
  <c r="F256" i="5"/>
  <c r="E256" i="5"/>
  <c r="B256" i="5"/>
  <c r="F255" i="5"/>
  <c r="E255" i="5"/>
  <c r="B255" i="5"/>
  <c r="F254" i="5"/>
  <c r="E254" i="5"/>
  <c r="B254" i="5"/>
  <c r="D254" i="5" s="1"/>
  <c r="F253" i="5"/>
  <c r="E253" i="5"/>
  <c r="B253" i="5"/>
  <c r="C254" i="5" s="1"/>
  <c r="F252" i="5"/>
  <c r="E252" i="5"/>
  <c r="B252" i="5"/>
  <c r="F251" i="5"/>
  <c r="E251" i="5"/>
  <c r="B251" i="5"/>
  <c r="F250" i="5"/>
  <c r="E250" i="5"/>
  <c r="B250" i="5"/>
  <c r="F249" i="5"/>
  <c r="E249" i="5"/>
  <c r="B249" i="5"/>
  <c r="F248" i="5"/>
  <c r="E248" i="5"/>
  <c r="B248" i="5"/>
  <c r="F247" i="5"/>
  <c r="E247" i="5"/>
  <c r="B247" i="5"/>
  <c r="F246" i="5"/>
  <c r="E246" i="5"/>
  <c r="B246" i="5"/>
  <c r="F245" i="5"/>
  <c r="E245" i="5"/>
  <c r="B245" i="5"/>
  <c r="C246" i="5" s="1"/>
  <c r="F244" i="5"/>
  <c r="E244" i="5"/>
  <c r="B244" i="5"/>
  <c r="F243" i="5"/>
  <c r="E243" i="5"/>
  <c r="B243" i="5"/>
  <c r="C243" i="5" s="1"/>
  <c r="F242" i="5"/>
  <c r="E242" i="5"/>
  <c r="B242" i="5"/>
  <c r="D242" i="5" s="1"/>
  <c r="F241" i="5"/>
  <c r="E241" i="5"/>
  <c r="B241" i="5"/>
  <c r="F240" i="5"/>
  <c r="E240" i="5"/>
  <c r="B240" i="5"/>
  <c r="F239" i="5"/>
  <c r="E239" i="5"/>
  <c r="B239" i="5"/>
  <c r="F238" i="5"/>
  <c r="E238" i="5"/>
  <c r="B238" i="5"/>
  <c r="F237" i="5"/>
  <c r="E237" i="5"/>
  <c r="B237" i="5"/>
  <c r="F236" i="5"/>
  <c r="E236" i="5"/>
  <c r="B236" i="5"/>
  <c r="F235" i="5"/>
  <c r="E235" i="5"/>
  <c r="B235" i="5"/>
  <c r="C235" i="5" s="1"/>
  <c r="F234" i="5"/>
  <c r="E234" i="5"/>
  <c r="B234" i="5"/>
  <c r="F233" i="5"/>
  <c r="E233" i="5"/>
  <c r="B233" i="5"/>
  <c r="C234" i="5" s="1"/>
  <c r="F232" i="5"/>
  <c r="E232" i="5"/>
  <c r="B232" i="5"/>
  <c r="F231" i="5"/>
  <c r="E231" i="5"/>
  <c r="B231" i="5"/>
  <c r="F230" i="5"/>
  <c r="E230" i="5"/>
  <c r="B230" i="5"/>
  <c r="F229" i="5"/>
  <c r="E229" i="5"/>
  <c r="B229" i="5"/>
  <c r="F228" i="5"/>
  <c r="E228" i="5"/>
  <c r="B228" i="5"/>
  <c r="D228" i="5" s="1"/>
  <c r="F227" i="5"/>
  <c r="E227" i="5"/>
  <c r="B227" i="5"/>
  <c r="F226" i="5"/>
  <c r="E226" i="5"/>
  <c r="B226" i="5"/>
  <c r="F225" i="5"/>
  <c r="E225" i="5"/>
  <c r="B225" i="5"/>
  <c r="F224" i="5"/>
  <c r="E224" i="5"/>
  <c r="B224" i="5"/>
  <c r="F223" i="5"/>
  <c r="E223" i="5"/>
  <c r="B223" i="5"/>
  <c r="F222" i="5"/>
  <c r="E222" i="5"/>
  <c r="B222" i="5"/>
  <c r="F221" i="5"/>
  <c r="E221" i="5"/>
  <c r="B221" i="5"/>
  <c r="F220" i="5"/>
  <c r="E220" i="5"/>
  <c r="B220" i="5"/>
  <c r="F219" i="5"/>
  <c r="E219" i="5"/>
  <c r="B219" i="5"/>
  <c r="F218" i="5"/>
  <c r="E218" i="5"/>
  <c r="B218" i="5"/>
  <c r="D218" i="5" s="1"/>
  <c r="F217" i="5"/>
  <c r="E217" i="5"/>
  <c r="B217" i="5"/>
  <c r="D229" i="5" s="1"/>
  <c r="F216" i="5"/>
  <c r="E216" i="5"/>
  <c r="B216" i="5"/>
  <c r="F215" i="5"/>
  <c r="E215" i="5"/>
  <c r="B215" i="5"/>
  <c r="F214" i="5"/>
  <c r="E214" i="5"/>
  <c r="B214" i="5"/>
  <c r="F213" i="5"/>
  <c r="E213" i="5"/>
  <c r="B213" i="5"/>
  <c r="F212" i="5"/>
  <c r="E212" i="5"/>
  <c r="B212" i="5"/>
  <c r="F211" i="5"/>
  <c r="E211" i="5"/>
  <c r="B211" i="5"/>
  <c r="F210" i="5"/>
  <c r="E210" i="5"/>
  <c r="B210" i="5"/>
  <c r="F209" i="5"/>
  <c r="E209" i="5"/>
  <c r="B209" i="5"/>
  <c r="F208" i="5"/>
  <c r="E208" i="5"/>
  <c r="B208" i="5"/>
  <c r="F207" i="5"/>
  <c r="E207" i="5"/>
  <c r="B207" i="5"/>
  <c r="F206" i="5"/>
  <c r="E206" i="5"/>
  <c r="B206" i="5"/>
  <c r="F205" i="5"/>
  <c r="E205" i="5"/>
  <c r="B205" i="5"/>
  <c r="C206" i="5" s="1"/>
  <c r="F204" i="5"/>
  <c r="E204" i="5"/>
  <c r="B204" i="5"/>
  <c r="F203" i="5"/>
  <c r="E203" i="5"/>
  <c r="B203" i="5"/>
  <c r="F202" i="5"/>
  <c r="E202" i="5"/>
  <c r="B202" i="5"/>
  <c r="F201" i="5"/>
  <c r="E201" i="5"/>
  <c r="B201" i="5"/>
  <c r="C202" i="5" s="1"/>
  <c r="F200" i="5"/>
  <c r="E200" i="5"/>
  <c r="B200" i="5"/>
  <c r="F199" i="5"/>
  <c r="E199" i="5"/>
  <c r="B199" i="5"/>
  <c r="F198" i="5"/>
  <c r="E198" i="5"/>
  <c r="B198" i="5"/>
  <c r="F197" i="5"/>
  <c r="E197" i="5"/>
  <c r="B197" i="5"/>
  <c r="D197" i="5" s="1"/>
  <c r="F196" i="5"/>
  <c r="E196" i="5"/>
  <c r="B196" i="5"/>
  <c r="F195" i="5"/>
  <c r="E195" i="5"/>
  <c r="B195" i="5"/>
  <c r="F194" i="5"/>
  <c r="E194" i="5"/>
  <c r="B194" i="5"/>
  <c r="D194" i="5" s="1"/>
  <c r="F193" i="5"/>
  <c r="E193" i="5"/>
  <c r="B193" i="5"/>
  <c r="F192" i="5"/>
  <c r="E192" i="5"/>
  <c r="B192" i="5"/>
  <c r="F191" i="5"/>
  <c r="E191" i="5"/>
  <c r="B191" i="5"/>
  <c r="F190" i="5"/>
  <c r="E190" i="5"/>
  <c r="B190" i="5"/>
  <c r="F189" i="5"/>
  <c r="E189" i="5"/>
  <c r="B189" i="5"/>
  <c r="C190" i="5" s="1"/>
  <c r="F188" i="5"/>
  <c r="E188" i="5"/>
  <c r="B188" i="5"/>
  <c r="F187" i="5"/>
  <c r="E187" i="5"/>
  <c r="B187" i="5"/>
  <c r="F186" i="5"/>
  <c r="E186" i="5"/>
  <c r="B186" i="5"/>
  <c r="D186" i="5" s="1"/>
  <c r="F185" i="5"/>
  <c r="E185" i="5"/>
  <c r="B185" i="5"/>
  <c r="F184" i="5"/>
  <c r="E184" i="5"/>
  <c r="B184" i="5"/>
  <c r="F183" i="5"/>
  <c r="E183" i="5"/>
  <c r="B183" i="5"/>
  <c r="F182" i="5"/>
  <c r="E182" i="5"/>
  <c r="B182" i="5"/>
  <c r="F181" i="5"/>
  <c r="E181" i="5"/>
  <c r="B181" i="5"/>
  <c r="C182" i="5" s="1"/>
  <c r="F180" i="5"/>
  <c r="E180" i="5"/>
  <c r="B180" i="5"/>
  <c r="F179" i="5"/>
  <c r="E179" i="5"/>
  <c r="B179" i="5"/>
  <c r="F178" i="5"/>
  <c r="E178" i="5"/>
  <c r="B178" i="5"/>
  <c r="C178" i="5" s="1"/>
  <c r="F177" i="5"/>
  <c r="E177" i="5"/>
  <c r="B177" i="5"/>
  <c r="F176" i="5"/>
  <c r="E176" i="5"/>
  <c r="B176" i="5"/>
  <c r="F175" i="5"/>
  <c r="E175" i="5"/>
  <c r="B175" i="5"/>
  <c r="F174" i="5"/>
  <c r="E174" i="5"/>
  <c r="B174" i="5"/>
  <c r="F173" i="5"/>
  <c r="E173" i="5"/>
  <c r="B173" i="5"/>
  <c r="F172" i="5"/>
  <c r="E172" i="5"/>
  <c r="B172" i="5"/>
  <c r="F171" i="5"/>
  <c r="E171" i="5"/>
  <c r="B171" i="5"/>
  <c r="F170" i="5"/>
  <c r="E170" i="5"/>
  <c r="B170" i="5"/>
  <c r="C170" i="5" s="1"/>
  <c r="F169" i="5"/>
  <c r="E169" i="5"/>
  <c r="B169" i="5"/>
  <c r="F168" i="5"/>
  <c r="E168" i="5"/>
  <c r="B168" i="5"/>
  <c r="F167" i="5"/>
  <c r="E167" i="5"/>
  <c r="B167" i="5"/>
  <c r="F166" i="5"/>
  <c r="E166" i="5"/>
  <c r="B166" i="5"/>
  <c r="D178" i="5" s="1"/>
  <c r="F165" i="5"/>
  <c r="E165" i="5"/>
  <c r="B165" i="5"/>
  <c r="C166" i="5" s="1"/>
  <c r="F164" i="5"/>
  <c r="E164" i="5"/>
  <c r="B164" i="5"/>
  <c r="F163" i="5"/>
  <c r="E163" i="5"/>
  <c r="B163" i="5"/>
  <c r="F162" i="5"/>
  <c r="E162" i="5"/>
  <c r="B162" i="5"/>
  <c r="F161" i="5"/>
  <c r="E161" i="5"/>
  <c r="B161" i="5"/>
  <c r="F160" i="5"/>
  <c r="E160" i="5"/>
  <c r="B160" i="5"/>
  <c r="F159" i="5"/>
  <c r="E159" i="5"/>
  <c r="B159" i="5"/>
  <c r="F158" i="5"/>
  <c r="E158" i="5"/>
  <c r="B158" i="5"/>
  <c r="D170" i="5" s="1"/>
  <c r="F157" i="5"/>
  <c r="E157" i="5"/>
  <c r="B157" i="5"/>
  <c r="F156" i="5"/>
  <c r="E156" i="5"/>
  <c r="B156" i="5"/>
  <c r="F155" i="5"/>
  <c r="E155" i="5"/>
  <c r="B155" i="5"/>
  <c r="C155" i="5" s="1"/>
  <c r="F154" i="5"/>
  <c r="E154" i="5"/>
  <c r="B154" i="5"/>
  <c r="F153" i="5"/>
  <c r="E153" i="5"/>
  <c r="B153" i="5"/>
  <c r="F152" i="5"/>
  <c r="E152" i="5"/>
  <c r="B152" i="5"/>
  <c r="F151" i="5"/>
  <c r="E151" i="5"/>
  <c r="B151" i="5"/>
  <c r="F150" i="5"/>
  <c r="E150" i="5"/>
  <c r="B150" i="5"/>
  <c r="F149" i="5"/>
  <c r="E149" i="5"/>
  <c r="B149" i="5"/>
  <c r="F148" i="5"/>
  <c r="E148" i="5"/>
  <c r="B148" i="5"/>
  <c r="F147" i="5"/>
  <c r="E147" i="5"/>
  <c r="B147" i="5"/>
  <c r="F146" i="5"/>
  <c r="E146" i="5"/>
  <c r="B146" i="5"/>
  <c r="D146" i="5" s="1"/>
  <c r="F145" i="5"/>
  <c r="E145" i="5"/>
  <c r="B145" i="5"/>
  <c r="F144" i="5"/>
  <c r="E144" i="5"/>
  <c r="B144" i="5"/>
  <c r="F143" i="5"/>
  <c r="E143" i="5"/>
  <c r="B143" i="5"/>
  <c r="F142" i="5"/>
  <c r="E142" i="5"/>
  <c r="B142" i="5"/>
  <c r="F141" i="5"/>
  <c r="E141" i="5"/>
  <c r="B141" i="5"/>
  <c r="F140" i="5"/>
  <c r="E140" i="5"/>
  <c r="B140" i="5"/>
  <c r="F139" i="5"/>
  <c r="E139" i="5"/>
  <c r="B139" i="5"/>
  <c r="C139" i="5" s="1"/>
  <c r="F138" i="5"/>
  <c r="E138" i="5"/>
  <c r="B138" i="5"/>
  <c r="F137" i="5"/>
  <c r="E137" i="5"/>
  <c r="B137" i="5"/>
  <c r="C138" i="5" s="1"/>
  <c r="F136" i="5"/>
  <c r="E136" i="5"/>
  <c r="B136" i="5"/>
  <c r="F135" i="5"/>
  <c r="E135" i="5"/>
  <c r="B135" i="5"/>
  <c r="F134" i="5"/>
  <c r="E134" i="5"/>
  <c r="B134" i="5"/>
  <c r="F133" i="5"/>
  <c r="E133" i="5"/>
  <c r="B133" i="5"/>
  <c r="D133" i="5" s="1"/>
  <c r="F132" i="5"/>
  <c r="E132" i="5"/>
  <c r="B132" i="5"/>
  <c r="D132" i="5" s="1"/>
  <c r="F131" i="5"/>
  <c r="E131" i="5"/>
  <c r="B131" i="5"/>
  <c r="F130" i="5"/>
  <c r="E130" i="5"/>
  <c r="B130" i="5"/>
  <c r="F129" i="5"/>
  <c r="E129" i="5"/>
  <c r="B129" i="5"/>
  <c r="F128" i="5"/>
  <c r="E128" i="5"/>
  <c r="B128" i="5"/>
  <c r="F127" i="5"/>
  <c r="E127" i="5"/>
  <c r="B127" i="5"/>
  <c r="F126" i="5"/>
  <c r="E126" i="5"/>
  <c r="B126" i="5"/>
  <c r="D138" i="5" s="1"/>
  <c r="F125" i="5"/>
  <c r="E125" i="5"/>
  <c r="B125" i="5"/>
  <c r="F124" i="5"/>
  <c r="E124" i="5"/>
  <c r="B124" i="5"/>
  <c r="F123" i="5"/>
  <c r="E123" i="5"/>
  <c r="B123" i="5"/>
  <c r="F122" i="5"/>
  <c r="E122" i="5"/>
  <c r="B122" i="5"/>
  <c r="F121" i="5"/>
  <c r="E121" i="5"/>
  <c r="B121" i="5"/>
  <c r="F120" i="5"/>
  <c r="E120" i="5"/>
  <c r="B120" i="5"/>
  <c r="F119" i="5"/>
  <c r="E119" i="5"/>
  <c r="B119" i="5"/>
  <c r="F118" i="5"/>
  <c r="E118" i="5"/>
  <c r="B118" i="5"/>
  <c r="F117" i="5"/>
  <c r="E117" i="5"/>
  <c r="B117" i="5"/>
  <c r="F116" i="5"/>
  <c r="E116" i="5"/>
  <c r="B116" i="5"/>
  <c r="F115" i="5"/>
  <c r="E115" i="5"/>
  <c r="B115" i="5"/>
  <c r="C115" i="5" s="1"/>
  <c r="F114" i="5"/>
  <c r="E114" i="5"/>
  <c r="B114" i="5"/>
  <c r="D114" i="5" s="1"/>
  <c r="F113" i="5"/>
  <c r="E113" i="5"/>
  <c r="B113" i="5"/>
  <c r="F112" i="5"/>
  <c r="E112" i="5"/>
  <c r="B112" i="5"/>
  <c r="F111" i="5"/>
  <c r="E111" i="5"/>
  <c r="B111" i="5"/>
  <c r="D111" i="5" s="1"/>
  <c r="F110" i="5"/>
  <c r="E110" i="5"/>
  <c r="B110" i="5"/>
  <c r="F109" i="5"/>
  <c r="E109" i="5"/>
  <c r="B109" i="5"/>
  <c r="F108" i="5"/>
  <c r="E108" i="5"/>
  <c r="B108" i="5"/>
  <c r="F107" i="5"/>
  <c r="E107" i="5"/>
  <c r="B107" i="5"/>
  <c r="F106" i="5"/>
  <c r="E106" i="5"/>
  <c r="D106" i="5"/>
  <c r="C106" i="5"/>
  <c r="B106" i="5"/>
  <c r="F105" i="5"/>
  <c r="E105" i="5"/>
  <c r="B105" i="5"/>
  <c r="F104" i="5"/>
  <c r="E104" i="5"/>
  <c r="B104" i="5"/>
  <c r="F103" i="5"/>
  <c r="E103" i="5"/>
  <c r="B103" i="5"/>
  <c r="F102" i="5"/>
  <c r="E102" i="5"/>
  <c r="B102" i="5"/>
  <c r="F101" i="5"/>
  <c r="E101" i="5"/>
  <c r="B101" i="5"/>
  <c r="C102" i="5" s="1"/>
  <c r="F100" i="5"/>
  <c r="E100" i="5"/>
  <c r="B100" i="5"/>
  <c r="F99" i="5"/>
  <c r="E99" i="5"/>
  <c r="B99" i="5"/>
  <c r="F98" i="5"/>
  <c r="E98" i="5"/>
  <c r="B98" i="5"/>
  <c r="D110" i="5" s="1"/>
  <c r="F97" i="5"/>
  <c r="E97" i="5"/>
  <c r="B97" i="5"/>
  <c r="F96" i="5"/>
  <c r="E96" i="5"/>
  <c r="B96" i="5"/>
  <c r="F95" i="5"/>
  <c r="E95" i="5"/>
  <c r="B95" i="5"/>
  <c r="F94" i="5"/>
  <c r="E94" i="5"/>
  <c r="B94" i="5"/>
  <c r="F93" i="5"/>
  <c r="E93" i="5"/>
  <c r="B93" i="5"/>
  <c r="C94" i="5" s="1"/>
  <c r="F92" i="5"/>
  <c r="E92" i="5"/>
  <c r="B92" i="5"/>
  <c r="F91" i="5"/>
  <c r="E91" i="5"/>
  <c r="B91" i="5"/>
  <c r="F90" i="5"/>
  <c r="E90" i="5"/>
  <c r="B90" i="5"/>
  <c r="D102" i="5" s="1"/>
  <c r="F89" i="5"/>
  <c r="E89" i="5"/>
  <c r="B89" i="5"/>
  <c r="F88" i="5"/>
  <c r="E88" i="5"/>
  <c r="B88" i="5"/>
  <c r="F87" i="5"/>
  <c r="E87" i="5"/>
  <c r="B87" i="5"/>
  <c r="F86" i="5"/>
  <c r="E86" i="5"/>
  <c r="B86" i="5"/>
  <c r="D86" i="5" s="1"/>
  <c r="F85" i="5"/>
  <c r="E85" i="5"/>
  <c r="B85" i="5"/>
  <c r="C85" i="5" s="1"/>
  <c r="F84" i="5"/>
  <c r="E84" i="5"/>
  <c r="B84" i="5"/>
  <c r="F83" i="5"/>
  <c r="E83" i="5"/>
  <c r="B83" i="5"/>
  <c r="F82" i="5"/>
  <c r="E82" i="5"/>
  <c r="B82" i="5"/>
  <c r="D94" i="5" s="1"/>
  <c r="F81" i="5"/>
  <c r="E81" i="5"/>
  <c r="B81" i="5"/>
  <c r="F80" i="5"/>
  <c r="E80" i="5"/>
  <c r="B80" i="5"/>
  <c r="D80" i="5" s="1"/>
  <c r="F79" i="5"/>
  <c r="E79" i="5"/>
  <c r="B79" i="5"/>
  <c r="D79" i="5" s="1"/>
  <c r="F78" i="5"/>
  <c r="E78" i="5"/>
  <c r="B78" i="5"/>
  <c r="F77" i="5"/>
  <c r="E77" i="5"/>
  <c r="B77" i="5"/>
  <c r="D77" i="5" s="1"/>
  <c r="F76" i="5"/>
  <c r="E76" i="5"/>
  <c r="B76" i="5"/>
  <c r="C76" i="5" s="1"/>
  <c r="F75" i="5"/>
  <c r="E75" i="5"/>
  <c r="B75" i="5"/>
  <c r="F74" i="5"/>
  <c r="E74" i="5"/>
  <c r="B74" i="5"/>
  <c r="C75" i="5" s="1"/>
  <c r="F73" i="5"/>
  <c r="E73" i="5"/>
  <c r="B73" i="5"/>
  <c r="F72" i="5"/>
  <c r="E72" i="5"/>
  <c r="B72" i="5"/>
  <c r="D72" i="5" s="1"/>
  <c r="F71" i="5"/>
  <c r="E71" i="5"/>
  <c r="B71" i="5"/>
  <c r="F70" i="5"/>
  <c r="E70" i="5"/>
  <c r="B70" i="5"/>
  <c r="F69" i="5"/>
  <c r="E69" i="5"/>
  <c r="B69" i="5"/>
  <c r="F68" i="5"/>
  <c r="E68" i="5"/>
  <c r="B68" i="5"/>
  <c r="F67" i="5"/>
  <c r="E67" i="5"/>
  <c r="B67" i="5"/>
  <c r="F66" i="5"/>
  <c r="E66" i="5"/>
  <c r="B66" i="5"/>
  <c r="C67" i="5" s="1"/>
  <c r="F65" i="5"/>
  <c r="E65" i="5"/>
  <c r="B65" i="5"/>
  <c r="F64" i="5"/>
  <c r="E64" i="5"/>
  <c r="B64" i="5"/>
  <c r="D64" i="5" s="1"/>
  <c r="F63" i="5"/>
  <c r="E63" i="5"/>
  <c r="B63" i="5"/>
  <c r="F62" i="5"/>
  <c r="E62" i="5"/>
  <c r="B62" i="5"/>
  <c r="F61" i="5"/>
  <c r="E61" i="5"/>
  <c r="B61" i="5"/>
  <c r="D61" i="5" s="1"/>
  <c r="F60" i="5"/>
  <c r="E60" i="5"/>
  <c r="B60" i="5"/>
  <c r="F59" i="5"/>
  <c r="E59" i="5"/>
  <c r="B59" i="5"/>
  <c r="F58" i="5"/>
  <c r="E58" i="5"/>
  <c r="B58" i="5"/>
  <c r="F57" i="5"/>
  <c r="E57" i="5"/>
  <c r="B57" i="5"/>
  <c r="F56" i="5"/>
  <c r="E56" i="5"/>
  <c r="B56" i="5"/>
  <c r="F55" i="5"/>
  <c r="E55" i="5"/>
  <c r="B55" i="5"/>
  <c r="F54" i="5"/>
  <c r="E54" i="5"/>
  <c r="B54" i="5"/>
  <c r="F53" i="5"/>
  <c r="E53" i="5"/>
  <c r="B53" i="5"/>
  <c r="F52" i="5"/>
  <c r="E52" i="5"/>
  <c r="B52" i="5"/>
  <c r="F51" i="5"/>
  <c r="E51" i="5"/>
  <c r="B51" i="5"/>
  <c r="F50" i="5"/>
  <c r="E50" i="5"/>
  <c r="B50" i="5"/>
  <c r="F49" i="5"/>
  <c r="E49" i="5"/>
  <c r="B49" i="5"/>
  <c r="F48" i="5"/>
  <c r="E48" i="5"/>
  <c r="B48" i="5"/>
  <c r="F47" i="5"/>
  <c r="E47" i="5"/>
  <c r="B47" i="5"/>
  <c r="F46" i="5"/>
  <c r="E46" i="5"/>
  <c r="B46" i="5"/>
  <c r="F45" i="5"/>
  <c r="E45" i="5"/>
  <c r="B45" i="5"/>
  <c r="D45" i="5" s="1"/>
  <c r="F44" i="5"/>
  <c r="E44" i="5"/>
  <c r="B44" i="5"/>
  <c r="F43" i="5"/>
  <c r="E43" i="5"/>
  <c r="B43" i="5"/>
  <c r="F42" i="5"/>
  <c r="E42" i="5"/>
  <c r="B42" i="5"/>
  <c r="F41" i="5"/>
  <c r="E41" i="5"/>
  <c r="B41" i="5"/>
  <c r="F40" i="5"/>
  <c r="E40" i="5"/>
  <c r="B40" i="5"/>
  <c r="D40" i="5" s="1"/>
  <c r="F39" i="5"/>
  <c r="E39" i="5"/>
  <c r="B39" i="5"/>
  <c r="F38" i="5"/>
  <c r="E38" i="5"/>
  <c r="B38" i="5"/>
  <c r="F37" i="5"/>
  <c r="E37" i="5"/>
  <c r="B37" i="5"/>
  <c r="C37" i="5" s="1"/>
  <c r="F36" i="5"/>
  <c r="E36" i="5"/>
  <c r="B36" i="5"/>
  <c r="F35" i="5"/>
  <c r="E35" i="5"/>
  <c r="B35" i="5"/>
  <c r="F34" i="5"/>
  <c r="E34" i="5"/>
  <c r="B34" i="5"/>
  <c r="F33" i="5"/>
  <c r="E33" i="5"/>
  <c r="B33" i="5"/>
  <c r="D33" i="5" s="1"/>
  <c r="F32" i="5"/>
  <c r="E32" i="5"/>
  <c r="B32" i="5"/>
  <c r="D32" i="5" s="1"/>
  <c r="F31" i="5"/>
  <c r="E31" i="5"/>
  <c r="B31" i="5"/>
  <c r="F30" i="5"/>
  <c r="E30" i="5"/>
  <c r="B30" i="5"/>
  <c r="D30" i="5" s="1"/>
  <c r="F29" i="5"/>
  <c r="E29" i="5"/>
  <c r="B29" i="5"/>
  <c r="D29" i="5" s="1"/>
  <c r="F28" i="5"/>
  <c r="E28" i="5"/>
  <c r="B28" i="5"/>
  <c r="F27" i="5"/>
  <c r="E27" i="5"/>
  <c r="B27" i="5"/>
  <c r="F26" i="5"/>
  <c r="E26" i="5"/>
  <c r="B26" i="5"/>
  <c r="F25" i="5"/>
  <c r="E25" i="5"/>
  <c r="B25" i="5"/>
  <c r="F24" i="5"/>
  <c r="E24" i="5"/>
  <c r="B24" i="5"/>
  <c r="D24" i="5" s="1"/>
  <c r="F23" i="5"/>
  <c r="E23" i="5"/>
  <c r="B23" i="5"/>
  <c r="F22" i="5"/>
  <c r="E22" i="5"/>
  <c r="B22" i="5"/>
  <c r="F21" i="5"/>
  <c r="E21" i="5"/>
  <c r="D21" i="5"/>
  <c r="B21" i="5"/>
  <c r="C21" i="5" s="1"/>
  <c r="F20" i="5"/>
  <c r="E20" i="5"/>
  <c r="B20" i="5"/>
  <c r="F19" i="5"/>
  <c r="E19" i="5"/>
  <c r="B19" i="5"/>
  <c r="C19" i="5" s="1"/>
  <c r="F18" i="5"/>
  <c r="E18" i="5"/>
  <c r="B18" i="5"/>
  <c r="F17" i="5"/>
  <c r="E17" i="5"/>
  <c r="B17" i="5"/>
  <c r="F16" i="5"/>
  <c r="E16" i="5"/>
  <c r="B16" i="5"/>
  <c r="C16" i="5" s="1"/>
  <c r="F15" i="5"/>
  <c r="E15" i="5"/>
  <c r="B15" i="5"/>
  <c r="F14" i="5"/>
  <c r="E14" i="5"/>
  <c r="B14" i="5"/>
  <c r="C14" i="5" s="1"/>
  <c r="F13" i="5"/>
  <c r="E13" i="5"/>
  <c r="B13" i="5"/>
  <c r="F12" i="5"/>
  <c r="E12" i="5"/>
  <c r="B12" i="5"/>
  <c r="C12" i="5" s="1"/>
  <c r="F11" i="5"/>
  <c r="E11" i="5"/>
  <c r="B11" i="5"/>
  <c r="F10" i="5"/>
  <c r="E10" i="5"/>
  <c r="B10" i="5"/>
  <c r="F9" i="5"/>
  <c r="E9" i="5"/>
  <c r="B9" i="5"/>
  <c r="C9" i="5" s="1"/>
  <c r="F8" i="5"/>
  <c r="E8" i="5"/>
  <c r="B8" i="5"/>
  <c r="F7" i="5"/>
  <c r="E7" i="5"/>
  <c r="B7" i="5"/>
  <c r="F6" i="5"/>
  <c r="E6" i="5"/>
  <c r="B6" i="5"/>
  <c r="F5" i="5"/>
  <c r="E5" i="5"/>
  <c r="B5" i="5"/>
  <c r="N23" i="1"/>
  <c r="Q18" i="1" s="1"/>
  <c r="N22" i="1"/>
  <c r="P19" i="1" s="1"/>
  <c r="D47" i="8" l="1"/>
  <c r="D132" i="8"/>
  <c r="D143" i="8"/>
  <c r="D221" i="8"/>
  <c r="D306" i="8"/>
  <c r="D325" i="8"/>
  <c r="D340" i="8"/>
  <c r="D125" i="8"/>
  <c r="D310" i="8"/>
  <c r="C386" i="8"/>
  <c r="C79" i="8"/>
  <c r="D251" i="8"/>
  <c r="C281" i="8"/>
  <c r="C12" i="8"/>
  <c r="D19" i="8"/>
  <c r="D35" i="8"/>
  <c r="C47" i="8"/>
  <c r="C74" i="8"/>
  <c r="C124" i="8"/>
  <c r="D127" i="8"/>
  <c r="D161" i="8"/>
  <c r="C170" i="8"/>
  <c r="D196" i="8"/>
  <c r="D200" i="8"/>
  <c r="D279" i="8"/>
  <c r="D285" i="8"/>
  <c r="D365" i="8"/>
  <c r="D398" i="8"/>
  <c r="D448" i="8"/>
  <c r="D460" i="8"/>
  <c r="C464" i="8"/>
  <c r="D471" i="8"/>
  <c r="D516" i="8"/>
  <c r="D348" i="8"/>
  <c r="D407" i="8"/>
  <c r="D129" i="8"/>
  <c r="D159" i="8"/>
  <c r="D56" i="8"/>
  <c r="C144" i="8"/>
  <c r="C230" i="8"/>
  <c r="C266" i="8"/>
  <c r="C295" i="8"/>
  <c r="D356" i="8"/>
  <c r="C375" i="8"/>
  <c r="D386" i="8"/>
  <c r="D31" i="8"/>
  <c r="D54" i="8"/>
  <c r="C63" i="8"/>
  <c r="D100" i="8"/>
  <c r="C140" i="8"/>
  <c r="D228" i="8"/>
  <c r="D239" i="8"/>
  <c r="D255" i="8"/>
  <c r="D253" i="8"/>
  <c r="C269" i="8"/>
  <c r="C282" i="8"/>
  <c r="D293" i="8"/>
  <c r="C340" i="8"/>
  <c r="D521" i="8"/>
  <c r="D532" i="8"/>
  <c r="C544" i="8"/>
  <c r="D457" i="8"/>
  <c r="D571" i="8"/>
  <c r="D465" i="8"/>
  <c r="D533" i="8"/>
  <c r="D537" i="8"/>
  <c r="D594" i="8"/>
  <c r="D469" i="8"/>
  <c r="D473" i="8"/>
  <c r="D514" i="8"/>
  <c r="D541" i="8"/>
  <c r="D560" i="8"/>
  <c r="D318" i="8"/>
  <c r="D534" i="8"/>
  <c r="D526" i="8"/>
  <c r="C545" i="8"/>
  <c r="D549" i="8"/>
  <c r="D136" i="8"/>
  <c r="C17" i="8"/>
  <c r="C36" i="8"/>
  <c r="C396" i="8"/>
  <c r="C102" i="8"/>
  <c r="C237" i="8"/>
  <c r="C345" i="8"/>
  <c r="D481" i="8"/>
  <c r="C485" i="8"/>
  <c r="C503" i="8"/>
  <c r="C10" i="8"/>
  <c r="C22" i="8"/>
  <c r="D26" i="8"/>
  <c r="D33" i="8"/>
  <c r="C42" i="8"/>
  <c r="D95" i="8"/>
  <c r="C123" i="8"/>
  <c r="D141" i="8"/>
  <c r="D148" i="8"/>
  <c r="D152" i="8"/>
  <c r="C160" i="8"/>
  <c r="D168" i="8"/>
  <c r="D191" i="8"/>
  <c r="C203" i="8"/>
  <c r="D207" i="8"/>
  <c r="C249" i="8"/>
  <c r="C284" i="8"/>
  <c r="C288" i="8"/>
  <c r="C412" i="8"/>
  <c r="C432" i="8"/>
  <c r="C448" i="8"/>
  <c r="D451" i="8"/>
  <c r="D478" i="8"/>
  <c r="D489" i="8"/>
  <c r="D496" i="8"/>
  <c r="D553" i="8"/>
  <c r="D569" i="8"/>
  <c r="C561" i="8"/>
  <c r="D576" i="8"/>
  <c r="D24" i="8"/>
  <c r="D63" i="8"/>
  <c r="D374" i="8"/>
  <c r="D21" i="8"/>
  <c r="D283" i="8"/>
  <c r="C348" i="8"/>
  <c r="D52" i="8"/>
  <c r="D175" i="8"/>
  <c r="C226" i="8"/>
  <c r="C31" i="8"/>
  <c r="C80" i="8"/>
  <c r="D84" i="8"/>
  <c r="C130" i="8"/>
  <c r="D145" i="8"/>
  <c r="C176" i="8"/>
  <c r="C224" i="8"/>
  <c r="C242" i="8"/>
  <c r="C252" i="8"/>
  <c r="D263" i="8"/>
  <c r="D267" i="8"/>
  <c r="D271" i="8"/>
  <c r="C304" i="8"/>
  <c r="C394" i="8"/>
  <c r="D412" i="8"/>
  <c r="D416" i="8"/>
  <c r="D432" i="8"/>
  <c r="C424" i="8"/>
  <c r="C542" i="8"/>
  <c r="C620" i="8"/>
  <c r="C628" i="8"/>
  <c r="C636" i="8"/>
  <c r="C664" i="8"/>
  <c r="D153" i="8"/>
  <c r="D322" i="8"/>
  <c r="D430" i="8"/>
  <c r="C510" i="8"/>
  <c r="D528" i="8"/>
  <c r="D535" i="8"/>
  <c r="D544" i="8"/>
  <c r="D573" i="8"/>
  <c r="D663" i="8"/>
  <c r="C183" i="8"/>
  <c r="C268" i="8"/>
  <c r="D273" i="8"/>
  <c r="C279" i="8"/>
  <c r="D317" i="8"/>
  <c r="D345" i="8"/>
  <c r="C372" i="8"/>
  <c r="D421" i="8"/>
  <c r="C430" i="8"/>
  <c r="D476" i="8"/>
  <c r="C492" i="8"/>
  <c r="C526" i="8"/>
  <c r="D542" i="8"/>
  <c r="D602" i="8"/>
  <c r="D492" i="8"/>
  <c r="C504" i="8"/>
  <c r="C562" i="8"/>
  <c r="D610" i="8"/>
  <c r="C618" i="8"/>
  <c r="C652" i="8"/>
  <c r="C656" i="8"/>
  <c r="C660" i="8"/>
  <c r="C141" i="8"/>
  <c r="C30" i="8"/>
  <c r="C43" i="8"/>
  <c r="C52" i="8"/>
  <c r="D79" i="8"/>
  <c r="C109" i="8"/>
  <c r="C125" i="8"/>
  <c r="C171" i="8"/>
  <c r="C180" i="8"/>
  <c r="D264" i="8"/>
  <c r="C271" i="8"/>
  <c r="C320" i="8"/>
  <c r="C336" i="8"/>
  <c r="D375" i="8"/>
  <c r="D453" i="8"/>
  <c r="C460" i="8"/>
  <c r="C7" i="8"/>
  <c r="C28" i="8"/>
  <c r="D43" i="8"/>
  <c r="C73" i="8"/>
  <c r="C93" i="8"/>
  <c r="D109" i="8"/>
  <c r="D120" i="8"/>
  <c r="D171" i="8"/>
  <c r="D184" i="8"/>
  <c r="C207" i="8"/>
  <c r="C221" i="8"/>
  <c r="C264" i="8"/>
  <c r="D294" i="8"/>
  <c r="C311" i="8"/>
  <c r="D336" i="8"/>
  <c r="D352" i="8"/>
  <c r="C359" i="8"/>
  <c r="C366" i="8"/>
  <c r="C434" i="8"/>
  <c r="D441" i="8"/>
  <c r="D540" i="8"/>
  <c r="D562" i="8"/>
  <c r="D565" i="8"/>
  <c r="D618" i="8"/>
  <c r="C626" i="8"/>
  <c r="C578" i="8"/>
  <c r="C634" i="8"/>
  <c r="C201" i="8"/>
  <c r="C8" i="8"/>
  <c r="D41" i="8"/>
  <c r="C71" i="8"/>
  <c r="C100" i="8"/>
  <c r="C122" i="8"/>
  <c r="D123" i="8"/>
  <c r="C155" i="8"/>
  <c r="C175" i="8"/>
  <c r="C191" i="8"/>
  <c r="D205" i="8"/>
  <c r="D237" i="8"/>
  <c r="D248" i="8"/>
  <c r="C267" i="8"/>
  <c r="D295" i="8"/>
  <c r="C299" i="8"/>
  <c r="D302" i="8"/>
  <c r="C324" i="8"/>
  <c r="C496" i="8"/>
  <c r="D509" i="8"/>
  <c r="C512" i="8"/>
  <c r="C534" i="8"/>
  <c r="C560" i="8"/>
  <c r="C566" i="8"/>
  <c r="C572" i="8"/>
  <c r="D578" i="8"/>
  <c r="D634" i="8"/>
  <c r="D664" i="8"/>
  <c r="C134" i="8"/>
  <c r="C200" i="8"/>
  <c r="C56" i="8"/>
  <c r="D428" i="8"/>
  <c r="C29" i="8"/>
  <c r="C58" i="8"/>
  <c r="D104" i="8"/>
  <c r="C114" i="8"/>
  <c r="D118" i="8"/>
  <c r="C121" i="8"/>
  <c r="C154" i="8"/>
  <c r="C159" i="8"/>
  <c r="D182" i="8"/>
  <c r="C186" i="8"/>
  <c r="C205" i="8"/>
  <c r="D212" i="8"/>
  <c r="C220" i="8"/>
  <c r="C228" i="8"/>
  <c r="D257" i="8"/>
  <c r="C253" i="8"/>
  <c r="C265" i="8"/>
  <c r="D287" i="8"/>
  <c r="D278" i="8"/>
  <c r="D299" i="8"/>
  <c r="C306" i="8"/>
  <c r="C316" i="8"/>
  <c r="C327" i="8"/>
  <c r="C331" i="8"/>
  <c r="C377" i="8"/>
  <c r="C384" i="8"/>
  <c r="C400" i="8"/>
  <c r="D423" i="8"/>
  <c r="D462" i="8"/>
  <c r="D557" i="8"/>
  <c r="D566" i="8"/>
  <c r="C586" i="8"/>
  <c r="C612" i="8"/>
  <c r="C650" i="8"/>
  <c r="C654" i="8"/>
  <c r="C658" i="8"/>
  <c r="C662" i="8"/>
  <c r="D223" i="8"/>
  <c r="C246" i="8"/>
  <c r="D22" i="8"/>
  <c r="D280" i="8"/>
  <c r="D29" i="8"/>
  <c r="C33" i="8"/>
  <c r="C57" i="8"/>
  <c r="D68" i="8"/>
  <c r="D72" i="8"/>
  <c r="C84" i="8"/>
  <c r="D88" i="8"/>
  <c r="C104" i="8"/>
  <c r="C118" i="8"/>
  <c r="D121" i="8"/>
  <c r="C153" i="8"/>
  <c r="D166" i="8"/>
  <c r="D173" i="8"/>
  <c r="C185" i="8"/>
  <c r="D201" i="8"/>
  <c r="C212" i="8"/>
  <c r="D216" i="8"/>
  <c r="D232" i="8"/>
  <c r="C236" i="8"/>
  <c r="D275" i="8"/>
  <c r="D296" i="8"/>
  <c r="C313" i="8"/>
  <c r="C322" i="8"/>
  <c r="D331" i="8"/>
  <c r="D377" i="8"/>
  <c r="D442" i="8"/>
  <c r="D446" i="8"/>
  <c r="D500" i="8"/>
  <c r="D510" i="8"/>
  <c r="D564" i="8"/>
  <c r="D586" i="8"/>
  <c r="C98" i="7"/>
  <c r="C218" i="7"/>
  <c r="C269" i="7"/>
  <c r="D391" i="7"/>
  <c r="D128" i="7"/>
  <c r="D259" i="7"/>
  <c r="C34" i="7"/>
  <c r="C58" i="7"/>
  <c r="C73" i="7"/>
  <c r="D79" i="7"/>
  <c r="D103" i="7"/>
  <c r="C138" i="7"/>
  <c r="C146" i="7"/>
  <c r="D162" i="7"/>
  <c r="C201" i="7"/>
  <c r="C215" i="7"/>
  <c r="D237" i="7"/>
  <c r="D260" i="7"/>
  <c r="C266" i="7"/>
  <c r="C280" i="7"/>
  <c r="C302" i="7"/>
  <c r="D310" i="7"/>
  <c r="C325" i="7"/>
  <c r="C410" i="7"/>
  <c r="D422" i="7"/>
  <c r="C490" i="7"/>
  <c r="C512" i="7"/>
  <c r="D551" i="7"/>
  <c r="D588" i="7"/>
  <c r="C623" i="7"/>
  <c r="D397" i="7"/>
  <c r="C7" i="7"/>
  <c r="D106" i="7"/>
  <c r="D376" i="7"/>
  <c r="D19" i="7"/>
  <c r="D26" i="7"/>
  <c r="C74" i="7"/>
  <c r="C89" i="7"/>
  <c r="C97" i="7"/>
  <c r="C105" i="7"/>
  <c r="C112" i="7"/>
  <c r="D147" i="7"/>
  <c r="D175" i="7"/>
  <c r="D170" i="7"/>
  <c r="C202" i="7"/>
  <c r="C217" i="7"/>
  <c r="C225" i="7"/>
  <c r="D267" i="7"/>
  <c r="C296" i="7"/>
  <c r="D349" i="7"/>
  <c r="D362" i="7"/>
  <c r="C411" i="7"/>
  <c r="C436" i="7"/>
  <c r="C441" i="7"/>
  <c r="C449" i="7"/>
  <c r="C456" i="7"/>
  <c r="C468" i="7"/>
  <c r="D483" i="7"/>
  <c r="C511" i="7"/>
  <c r="C575" i="7"/>
  <c r="D622" i="7"/>
  <c r="D624" i="7"/>
  <c r="D575" i="7"/>
  <c r="D594" i="7"/>
  <c r="D639" i="7"/>
  <c r="C562" i="7"/>
  <c r="C605" i="7"/>
  <c r="D630" i="7"/>
  <c r="D563" i="7"/>
  <c r="C28" i="7"/>
  <c r="C210" i="7"/>
  <c r="C248" i="7"/>
  <c r="C386" i="7"/>
  <c r="C532" i="7"/>
  <c r="C226" i="7"/>
  <c r="C263" i="7"/>
  <c r="C276" i="7"/>
  <c r="C313" i="7"/>
  <c r="C412" i="7"/>
  <c r="D463" i="7"/>
  <c r="D50" i="7"/>
  <c r="D58" i="7"/>
  <c r="D66" i="7"/>
  <c r="D74" i="7"/>
  <c r="D107" i="7"/>
  <c r="C114" i="7"/>
  <c r="C122" i="7"/>
  <c r="C136" i="7"/>
  <c r="C159" i="7"/>
  <c r="C167" i="7"/>
  <c r="D234" i="7"/>
  <c r="C242" i="7"/>
  <c r="D303" i="7"/>
  <c r="D311" i="7"/>
  <c r="D319" i="7"/>
  <c r="D342" i="7"/>
  <c r="C346" i="7"/>
  <c r="D353" i="7"/>
  <c r="D359" i="7"/>
  <c r="C382" i="7"/>
  <c r="D388" i="7"/>
  <c r="D400" i="7"/>
  <c r="C406" i="7"/>
  <c r="C458" i="7"/>
  <c r="C481" i="7"/>
  <c r="C496" i="7"/>
  <c r="C521" i="7"/>
  <c r="C578" i="7"/>
  <c r="D597" i="7"/>
  <c r="C599" i="7"/>
  <c r="C620" i="7"/>
  <c r="D628" i="7"/>
  <c r="D636" i="7"/>
  <c r="D654" i="7"/>
  <c r="D649" i="7"/>
  <c r="C663" i="7"/>
  <c r="D274" i="7"/>
  <c r="C256" i="7"/>
  <c r="C320" i="7"/>
  <c r="C418" i="7"/>
  <c r="D424" i="7"/>
  <c r="C450" i="7"/>
  <c r="C75" i="7"/>
  <c r="C321" i="7"/>
  <c r="D39" i="7"/>
  <c r="D63" i="7"/>
  <c r="D82" i="7"/>
  <c r="C145" i="7"/>
  <c r="C259" i="7"/>
  <c r="D264" i="7"/>
  <c r="D335" i="7"/>
  <c r="D379" i="7"/>
  <c r="D375" i="7"/>
  <c r="D382" i="7"/>
  <c r="D432" i="7"/>
  <c r="C440" i="7"/>
  <c r="D459" i="7"/>
  <c r="D495" i="7"/>
  <c r="C503" i="7"/>
  <c r="D515" i="7"/>
  <c r="D590" i="7"/>
  <c r="C600" i="7"/>
  <c r="D607" i="7"/>
  <c r="C615" i="7"/>
  <c r="C621" i="7"/>
  <c r="C664" i="7"/>
  <c r="C12" i="7"/>
  <c r="D178" i="7"/>
  <c r="C178" i="7"/>
  <c r="D199" i="7"/>
  <c r="C13" i="7"/>
  <c r="D24" i="7"/>
  <c r="C49" i="7"/>
  <c r="D48" i="7"/>
  <c r="C143" i="7"/>
  <c r="D143" i="7"/>
  <c r="C48" i="7"/>
  <c r="C187" i="7"/>
  <c r="C194" i="7"/>
  <c r="C6" i="7"/>
  <c r="C42" i="7"/>
  <c r="D131" i="7"/>
  <c r="C131" i="7"/>
  <c r="D155" i="7"/>
  <c r="D219" i="7"/>
  <c r="D231" i="7"/>
  <c r="C59" i="7"/>
  <c r="C66" i="7"/>
  <c r="C155" i="7"/>
  <c r="C162" i="7"/>
  <c r="C185" i="7"/>
  <c r="D184" i="7"/>
  <c r="C184" i="7"/>
  <c r="C82" i="7"/>
  <c r="C90" i="7"/>
  <c r="D43" i="7"/>
  <c r="D195" i="7"/>
  <c r="C234" i="7"/>
  <c r="D243" i="7"/>
  <c r="C255" i="7"/>
  <c r="C25" i="7"/>
  <c r="C27" i="7"/>
  <c r="C40" i="7"/>
  <c r="C65" i="7"/>
  <c r="C81" i="7"/>
  <c r="C137" i="7"/>
  <c r="D171" i="7"/>
  <c r="D186" i="7"/>
  <c r="D203" i="7"/>
  <c r="D218" i="7"/>
  <c r="D266" i="7"/>
  <c r="D292" i="7"/>
  <c r="C303" i="7"/>
  <c r="D324" i="7"/>
  <c r="C335" i="7"/>
  <c r="C384" i="7"/>
  <c r="D406" i="7"/>
  <c r="D447" i="7"/>
  <c r="C464" i="7"/>
  <c r="D467" i="7"/>
  <c r="D539" i="7"/>
  <c r="D555" i="7"/>
  <c r="D580" i="7"/>
  <c r="C586" i="7"/>
  <c r="D592" i="7"/>
  <c r="D621" i="7"/>
  <c r="C638" i="7"/>
  <c r="D656" i="7"/>
  <c r="D660" i="7"/>
  <c r="C535" i="7"/>
  <c r="C551" i="7"/>
  <c r="C568" i="7"/>
  <c r="D586" i="7"/>
  <c r="D647" i="7"/>
  <c r="C220" i="7"/>
  <c r="C237" i="7"/>
  <c r="D248" i="7"/>
  <c r="C278" i="7"/>
  <c r="D293" i="7"/>
  <c r="C304" i="7"/>
  <c r="C310" i="7"/>
  <c r="D325" i="7"/>
  <c r="C331" i="7"/>
  <c r="C336" i="7"/>
  <c r="C388" i="7"/>
  <c r="C479" i="7"/>
  <c r="C484" i="7"/>
  <c r="C495" i="7"/>
  <c r="C633" i="7"/>
  <c r="C642" i="7"/>
  <c r="D278" i="7"/>
  <c r="D331" i="7"/>
  <c r="C353" i="7"/>
  <c r="C368" i="7"/>
  <c r="C420" i="7"/>
  <c r="D479" i="7"/>
  <c r="D511" i="7"/>
  <c r="D531" i="7"/>
  <c r="D567" i="7"/>
  <c r="D573" i="7"/>
  <c r="D602" i="7"/>
  <c r="D613" i="7"/>
  <c r="C628" i="7"/>
  <c r="D642" i="7"/>
  <c r="C653" i="7"/>
  <c r="D657" i="7"/>
  <c r="C603" i="7"/>
  <c r="D653" i="7"/>
  <c r="D663" i="7"/>
  <c r="C14" i="7"/>
  <c r="C72" i="7"/>
  <c r="C151" i="7"/>
  <c r="D210" i="7"/>
  <c r="D216" i="7"/>
  <c r="C264" i="7"/>
  <c r="C26" i="7"/>
  <c r="C56" i="7"/>
  <c r="D67" i="7"/>
  <c r="D72" i="7"/>
  <c r="D90" i="7"/>
  <c r="C84" i="7"/>
  <c r="D91" i="7"/>
  <c r="D122" i="7"/>
  <c r="D115" i="7"/>
  <c r="C153" i="7"/>
  <c r="C163" i="7"/>
  <c r="C175" i="7"/>
  <c r="D179" i="7"/>
  <c r="C195" i="7"/>
  <c r="C207" i="7"/>
  <c r="D211" i="7"/>
  <c r="C223" i="7"/>
  <c r="D269" i="7"/>
  <c r="C279" i="7"/>
  <c r="C345" i="7"/>
  <c r="D385" i="7"/>
  <c r="D394" i="7"/>
  <c r="D414" i="7"/>
  <c r="D417" i="7"/>
  <c r="C431" i="7"/>
  <c r="D455" i="7"/>
  <c r="C472" i="7"/>
  <c r="D475" i="7"/>
  <c r="C488" i="7"/>
  <c r="D491" i="7"/>
  <c r="C504" i="7"/>
  <c r="D507" i="7"/>
  <c r="D527" i="7"/>
  <c r="C543" i="7"/>
  <c r="C548" i="7"/>
  <c r="C559" i="7"/>
  <c r="D564" i="7"/>
  <c r="D578" i="7"/>
  <c r="D584" i="7"/>
  <c r="C595" i="7"/>
  <c r="D603" i="7"/>
  <c r="C610" i="7"/>
  <c r="C624" i="7"/>
  <c r="C639" i="7"/>
  <c r="D664" i="7"/>
  <c r="D305" i="7"/>
  <c r="D337" i="7"/>
  <c r="D358" i="7"/>
  <c r="C389" i="7"/>
  <c r="D420" i="7"/>
  <c r="D439" i="7"/>
  <c r="C455" i="7"/>
  <c r="C527" i="7"/>
  <c r="C67" i="7"/>
  <c r="C91" i="7"/>
  <c r="C104" i="7"/>
  <c r="D123" i="7"/>
  <c r="D139" i="7"/>
  <c r="C170" i="7"/>
  <c r="D207" i="7"/>
  <c r="C275" i="7"/>
  <c r="D317" i="7"/>
  <c r="D339" i="7"/>
  <c r="C350" i="7"/>
  <c r="D370" i="7"/>
  <c r="C448" i="7"/>
  <c r="D451" i="7"/>
  <c r="C520" i="7"/>
  <c r="D523" i="7"/>
  <c r="D543" i="7"/>
  <c r="D559" i="7"/>
  <c r="C564" i="7"/>
  <c r="D610" i="7"/>
  <c r="C625" i="7"/>
  <c r="D662" i="7"/>
  <c r="D42" i="7"/>
  <c r="C156" i="7"/>
  <c r="C188" i="7"/>
  <c r="C216" i="7"/>
  <c r="D249" i="7"/>
  <c r="D299" i="7"/>
  <c r="C348" i="7"/>
  <c r="D83" i="7"/>
  <c r="C132" i="7"/>
  <c r="D163" i="7"/>
  <c r="C41" i="7"/>
  <c r="D51" i="7"/>
  <c r="C68" i="7"/>
  <c r="D98" i="7"/>
  <c r="C92" i="7"/>
  <c r="D99" i="7"/>
  <c r="C113" i="7"/>
  <c r="C123" i="7"/>
  <c r="C135" i="7"/>
  <c r="C161" i="7"/>
  <c r="C177" i="7"/>
  <c r="C193" i="7"/>
  <c r="C209" i="7"/>
  <c r="C231" i="7"/>
  <c r="C247" i="7"/>
  <c r="C252" i="7"/>
  <c r="D275" i="7"/>
  <c r="C319" i="7"/>
  <c r="D350" i="7"/>
  <c r="C371" i="7"/>
  <c r="D402" i="7"/>
  <c r="C415" i="7"/>
  <c r="C447" i="7"/>
  <c r="D471" i="7"/>
  <c r="D487" i="7"/>
  <c r="D503" i="7"/>
  <c r="C519" i="7"/>
  <c r="C591" i="7"/>
  <c r="D609" i="7"/>
  <c r="C606" i="7"/>
  <c r="D625" i="7"/>
  <c r="C631" i="7"/>
  <c r="D645" i="7"/>
  <c r="C228" i="6"/>
  <c r="C36" i="6"/>
  <c r="C94" i="6"/>
  <c r="C100" i="6"/>
  <c r="D107" i="6"/>
  <c r="C163" i="6"/>
  <c r="D406" i="6"/>
  <c r="C414" i="6"/>
  <c r="D446" i="6"/>
  <c r="D456" i="6"/>
  <c r="D484" i="6"/>
  <c r="C501" i="6"/>
  <c r="D560" i="6"/>
  <c r="C590" i="6"/>
  <c r="D612" i="6"/>
  <c r="C637" i="6"/>
  <c r="C645" i="6"/>
  <c r="C653" i="6"/>
  <c r="C646" i="6"/>
  <c r="D584" i="6"/>
  <c r="C622" i="6"/>
  <c r="C630" i="6"/>
  <c r="C638" i="6"/>
  <c r="D113" i="6"/>
  <c r="C8" i="6"/>
  <c r="D114" i="6"/>
  <c r="C121" i="6"/>
  <c r="C284" i="6"/>
  <c r="C337" i="6"/>
  <c r="D408" i="6"/>
  <c r="C416" i="6"/>
  <c r="C422" i="6"/>
  <c r="D478" i="6"/>
  <c r="C479" i="6"/>
  <c r="C494" i="6"/>
  <c r="D524" i="6"/>
  <c r="D21" i="6"/>
  <c r="D75" i="6"/>
  <c r="C91" i="6"/>
  <c r="C97" i="6"/>
  <c r="C115" i="6"/>
  <c r="D121" i="6"/>
  <c r="C158" i="6"/>
  <c r="C187" i="6"/>
  <c r="C195" i="6"/>
  <c r="C211" i="6"/>
  <c r="C249" i="6"/>
  <c r="C257" i="6"/>
  <c r="C291" i="6"/>
  <c r="C299" i="6"/>
  <c r="C307" i="6"/>
  <c r="D337" i="6"/>
  <c r="D366" i="6"/>
  <c r="C398" i="6"/>
  <c r="C417" i="6"/>
  <c r="D435" i="6"/>
  <c r="C460" i="6"/>
  <c r="C502" i="6"/>
  <c r="C510" i="6"/>
  <c r="D548" i="6"/>
  <c r="D555" i="6"/>
  <c r="D608" i="6"/>
  <c r="C623" i="6"/>
  <c r="D655" i="6"/>
  <c r="C236" i="6"/>
  <c r="C332" i="6"/>
  <c r="C386" i="6"/>
  <c r="D486" i="6"/>
  <c r="D494" i="6"/>
  <c r="D539" i="6"/>
  <c r="C13" i="6"/>
  <c r="C19" i="6"/>
  <c r="D62" i="6"/>
  <c r="D70" i="6"/>
  <c r="C99" i="6"/>
  <c r="C124" i="6"/>
  <c r="C174" i="6"/>
  <c r="C238" i="6"/>
  <c r="C244" i="6"/>
  <c r="C340" i="6"/>
  <c r="C370" i="6"/>
  <c r="D432" i="6"/>
  <c r="D475" i="6"/>
  <c r="D510" i="6"/>
  <c r="D540" i="6"/>
  <c r="C550" i="6"/>
  <c r="C558" i="6"/>
  <c r="C574" i="6"/>
  <c r="C588" i="6"/>
  <c r="D603" i="6"/>
  <c r="D638" i="6"/>
  <c r="D646" i="6"/>
  <c r="D654" i="6"/>
  <c r="D662" i="6"/>
  <c r="C84" i="6"/>
  <c r="C123" i="6"/>
  <c r="C324" i="6"/>
  <c r="D42" i="6"/>
  <c r="D125" i="6"/>
  <c r="C132" i="6"/>
  <c r="D491" i="6"/>
  <c r="D544" i="6"/>
  <c r="D619" i="6"/>
  <c r="D643" i="6"/>
  <c r="C664" i="6"/>
  <c r="C139" i="6"/>
  <c r="C140" i="6"/>
  <c r="D321" i="6"/>
  <c r="C388" i="6"/>
  <c r="D388" i="6"/>
  <c r="C389" i="6"/>
  <c r="D20" i="6"/>
  <c r="D32" i="6"/>
  <c r="C21" i="6"/>
  <c r="C20" i="6"/>
  <c r="C67" i="6"/>
  <c r="C82" i="6"/>
  <c r="D81" i="6"/>
  <c r="C81" i="6"/>
  <c r="C243" i="6"/>
  <c r="C321" i="6"/>
  <c r="C350" i="6"/>
  <c r="D420" i="6"/>
  <c r="C462" i="6"/>
  <c r="C44" i="6"/>
  <c r="D43" i="6"/>
  <c r="C61" i="6"/>
  <c r="D88" i="6"/>
  <c r="C260" i="6"/>
  <c r="C259" i="6"/>
  <c r="C300" i="6"/>
  <c r="C518" i="6"/>
  <c r="C43" i="6"/>
  <c r="D128" i="6"/>
  <c r="C129" i="6"/>
  <c r="C366" i="6"/>
  <c r="D409" i="6"/>
  <c r="C409" i="6"/>
  <c r="C535" i="6"/>
  <c r="D120" i="6"/>
  <c r="D17" i="6"/>
  <c r="C17" i="6"/>
  <c r="D50" i="6"/>
  <c r="D38" i="6"/>
  <c r="C58" i="6"/>
  <c r="D57" i="6"/>
  <c r="C57" i="6"/>
  <c r="C77" i="6"/>
  <c r="C109" i="6"/>
  <c r="C180" i="6"/>
  <c r="C179" i="6"/>
  <c r="C283" i="6"/>
  <c r="C339" i="6"/>
  <c r="C444" i="6"/>
  <c r="D18" i="6"/>
  <c r="D24" i="6"/>
  <c r="C38" i="6"/>
  <c r="C146" i="6"/>
  <c r="D145" i="6"/>
  <c r="C145" i="6"/>
  <c r="C203" i="6"/>
  <c r="C356" i="6"/>
  <c r="C355" i="6"/>
  <c r="D430" i="6"/>
  <c r="C486" i="6"/>
  <c r="D534" i="6"/>
  <c r="D25" i="6"/>
  <c r="C25" i="6"/>
  <c r="C52" i="6"/>
  <c r="C53" i="6"/>
  <c r="D117" i="6"/>
  <c r="D129" i="6"/>
  <c r="C219" i="6"/>
  <c r="C220" i="6"/>
  <c r="C439" i="6"/>
  <c r="C438" i="6"/>
  <c r="D515" i="6"/>
  <c r="D35" i="6"/>
  <c r="D49" i="6"/>
  <c r="D122" i="6"/>
  <c r="D27" i="6"/>
  <c r="D58" i="6"/>
  <c r="D60" i="6"/>
  <c r="D94" i="6"/>
  <c r="C114" i="6"/>
  <c r="C138" i="6"/>
  <c r="D386" i="6"/>
  <c r="C403" i="6"/>
  <c r="C413" i="6"/>
  <c r="D421" i="6"/>
  <c r="D438" i="6"/>
  <c r="D436" i="6"/>
  <c r="D454" i="6"/>
  <c r="D502" i="6"/>
  <c r="D496" i="6"/>
  <c r="D574" i="6"/>
  <c r="D568" i="6"/>
  <c r="D606" i="6"/>
  <c r="D630" i="6"/>
  <c r="D631" i="6"/>
  <c r="C565" i="6"/>
  <c r="C597" i="6"/>
  <c r="D614" i="6"/>
  <c r="C631" i="6"/>
  <c r="C644" i="6"/>
  <c r="D663" i="6"/>
  <c r="C632" i="6"/>
  <c r="D85" i="6"/>
  <c r="C96" i="6"/>
  <c r="C419" i="6"/>
  <c r="D428" i="6"/>
  <c r="D480" i="6"/>
  <c r="C30" i="6"/>
  <c r="C35" i="6"/>
  <c r="C49" i="6"/>
  <c r="C62" i="6"/>
  <c r="C85" i="6"/>
  <c r="D96" i="6"/>
  <c r="C130" i="6"/>
  <c r="C209" i="6"/>
  <c r="D379" i="6"/>
  <c r="C385" i="6"/>
  <c r="C390" i="6"/>
  <c r="C397" i="6"/>
  <c r="C423" i="6"/>
  <c r="C428" i="6"/>
  <c r="D452" i="6"/>
  <c r="C573" i="6"/>
  <c r="C652" i="6"/>
  <c r="D652" i="6"/>
  <c r="D664" i="6"/>
  <c r="D90" i="6"/>
  <c r="C32" i="6"/>
  <c r="C78" i="6"/>
  <c r="D141" i="6"/>
  <c r="C193" i="6"/>
  <c r="C369" i="6"/>
  <c r="C380" i="6"/>
  <c r="D389" i="6"/>
  <c r="C394" i="6"/>
  <c r="D414" i="6"/>
  <c r="C406" i="6"/>
  <c r="C424" i="6"/>
  <c r="D440" i="6"/>
  <c r="C461" i="6"/>
  <c r="D526" i="6"/>
  <c r="D647" i="6"/>
  <c r="C661" i="6"/>
  <c r="D74" i="6"/>
  <c r="D78" i="6"/>
  <c r="D93" i="6"/>
  <c r="C122" i="6"/>
  <c r="D429" i="6"/>
  <c r="C485" i="6"/>
  <c r="D520" i="6"/>
  <c r="D532" i="6"/>
  <c r="C589" i="6"/>
  <c r="C613" i="6"/>
  <c r="D623" i="6"/>
  <c r="C107" i="5"/>
  <c r="C142" i="5"/>
  <c r="D154" i="5"/>
  <c r="D162" i="5"/>
  <c r="C219" i="5"/>
  <c r="D250" i="5"/>
  <c r="C258" i="5"/>
  <c r="C266" i="5"/>
  <c r="D274" i="5"/>
  <c r="D297" i="5"/>
  <c r="D361" i="5"/>
  <c r="D382" i="5"/>
  <c r="C387" i="5"/>
  <c r="D423" i="5"/>
  <c r="D436" i="5"/>
  <c r="D446" i="5"/>
  <c r="C451" i="5"/>
  <c r="C483" i="5"/>
  <c r="D497" i="5"/>
  <c r="D502" i="5"/>
  <c r="D545" i="5"/>
  <c r="C567" i="5"/>
  <c r="D577" i="5"/>
  <c r="C587" i="5"/>
  <c r="D683" i="5"/>
  <c r="D705" i="5"/>
  <c r="D730" i="5"/>
  <c r="C748" i="5"/>
  <c r="C784" i="5"/>
  <c r="C848" i="5"/>
  <c r="C852" i="5"/>
  <c r="D857" i="5"/>
  <c r="C874" i="5"/>
  <c r="C882" i="5"/>
  <c r="C898" i="5"/>
  <c r="D196" i="5"/>
  <c r="D214" i="5"/>
  <c r="D222" i="5"/>
  <c r="D308" i="5"/>
  <c r="D313" i="5"/>
  <c r="D341" i="5"/>
  <c r="D372" i="5"/>
  <c r="D377" i="5"/>
  <c r="D385" i="5"/>
  <c r="D426" i="5"/>
  <c r="D449" i="5"/>
  <c r="D472" i="5"/>
  <c r="D477" i="5"/>
  <c r="D558" i="5"/>
  <c r="D651" i="5"/>
  <c r="C805" i="5"/>
  <c r="D819" i="5"/>
  <c r="D847" i="5"/>
  <c r="D165" i="5"/>
  <c r="D321" i="5"/>
  <c r="D359" i="5"/>
  <c r="D380" i="5"/>
  <c r="D429" i="5"/>
  <c r="D434" i="5"/>
  <c r="D444" i="5"/>
  <c r="D462" i="5"/>
  <c r="D470" i="5"/>
  <c r="D500" i="5"/>
  <c r="C491" i="5"/>
  <c r="D508" i="5"/>
  <c r="C558" i="5"/>
  <c r="D610" i="5"/>
  <c r="D686" i="5"/>
  <c r="C723" i="5"/>
  <c r="D736" i="5"/>
  <c r="C769" i="5"/>
  <c r="D794" i="5"/>
  <c r="D809" i="5"/>
  <c r="D835" i="5"/>
  <c r="D845" i="5"/>
  <c r="D850" i="5"/>
  <c r="D879" i="5"/>
  <c r="C896" i="5"/>
  <c r="D316" i="5"/>
  <c r="D406" i="5"/>
  <c r="D521" i="5"/>
  <c r="D578" i="5"/>
  <c r="D807" i="5"/>
  <c r="C210" i="5"/>
  <c r="C283" i="5"/>
  <c r="C386" i="5"/>
  <c r="C427" i="5"/>
  <c r="C450" i="5"/>
  <c r="D488" i="5"/>
  <c r="C566" i="5"/>
  <c r="D593" i="5"/>
  <c r="D598" i="5"/>
  <c r="D642" i="5"/>
  <c r="D689" i="5"/>
  <c r="D721" i="5"/>
  <c r="C762" i="5"/>
  <c r="C171" i="5"/>
  <c r="D210" i="5"/>
  <c r="D226" i="5"/>
  <c r="D309" i="5"/>
  <c r="D386" i="5"/>
  <c r="D625" i="5"/>
  <c r="C694" i="5"/>
  <c r="C724" i="5"/>
  <c r="D37" i="5"/>
  <c r="C61" i="5"/>
  <c r="C7" i="5"/>
  <c r="C43" i="5"/>
  <c r="C69" i="5"/>
  <c r="C10" i="5"/>
  <c r="D54" i="5"/>
  <c r="C6" i="5"/>
  <c r="C36" i="5"/>
  <c r="C8" i="5"/>
  <c r="C23" i="5"/>
  <c r="C52" i="5"/>
  <c r="D88" i="5"/>
  <c r="C26" i="5"/>
  <c r="D47" i="5"/>
  <c r="D65" i="5"/>
  <c r="D73" i="5"/>
  <c r="D134" i="5"/>
  <c r="D142" i="5"/>
  <c r="D164" i="5"/>
  <c r="C179" i="5"/>
  <c r="C230" i="5"/>
  <c r="C299" i="5"/>
  <c r="D317" i="5"/>
  <c r="D322" i="5"/>
  <c r="C363" i="5"/>
  <c r="D496" i="5"/>
  <c r="D499" i="5"/>
  <c r="C574" i="5"/>
  <c r="D579" i="5"/>
  <c r="C591" i="5"/>
  <c r="C596" i="5"/>
  <c r="C611" i="5"/>
  <c r="C702" i="5"/>
  <c r="D707" i="5"/>
  <c r="C727" i="5"/>
  <c r="D755" i="5"/>
  <c r="D770" i="5"/>
  <c r="C788" i="5"/>
  <c r="C818" i="5"/>
  <c r="C826" i="5"/>
  <c r="C834" i="5"/>
  <c r="C875" i="5"/>
  <c r="C899" i="5"/>
  <c r="C118" i="5"/>
  <c r="C126" i="5"/>
  <c r="D190" i="5"/>
  <c r="C203" i="5"/>
  <c r="C242" i="5"/>
  <c r="D263" i="5"/>
  <c r="D294" i="5"/>
  <c r="D302" i="5"/>
  <c r="D358" i="5"/>
  <c r="D366" i="5"/>
  <c r="C379" i="5"/>
  <c r="D420" i="5"/>
  <c r="C469" i="5"/>
  <c r="C494" i="5"/>
  <c r="D507" i="5"/>
  <c r="D512" i="5"/>
  <c r="C532" i="5"/>
  <c r="D550" i="5"/>
  <c r="C555" i="5"/>
  <c r="C579" i="5"/>
  <c r="D594" i="5"/>
  <c r="D614" i="5"/>
  <c r="C628" i="5"/>
  <c r="D633" i="5"/>
  <c r="C638" i="5"/>
  <c r="D643" i="5"/>
  <c r="C660" i="5"/>
  <c r="D678" i="5"/>
  <c r="C683" i="5"/>
  <c r="D697" i="5"/>
  <c r="C715" i="5"/>
  <c r="D753" i="5"/>
  <c r="C850" i="5"/>
  <c r="D854" i="5"/>
  <c r="D862" i="5"/>
  <c r="C870" i="5"/>
  <c r="C904" i="5"/>
  <c r="D105" i="5"/>
  <c r="D119" i="5"/>
  <c r="C158" i="5"/>
  <c r="D169" i="5"/>
  <c r="D183" i="5"/>
  <c r="C222" i="5"/>
  <c r="D233" i="5"/>
  <c r="D247" i="5"/>
  <c r="C259" i="5"/>
  <c r="D266" i="5"/>
  <c r="D271" i="5"/>
  <c r="D295" i="5"/>
  <c r="D318" i="5"/>
  <c r="D330" i="5"/>
  <c r="D338" i="5"/>
  <c r="C338" i="5"/>
  <c r="C378" i="5"/>
  <c r="D398" i="5"/>
  <c r="D410" i="5"/>
  <c r="D441" i="5"/>
  <c r="D458" i="5"/>
  <c r="D466" i="5"/>
  <c r="C466" i="5"/>
  <c r="C604" i="5"/>
  <c r="C603" i="5"/>
  <c r="C615" i="5"/>
  <c r="D615" i="5"/>
  <c r="C643" i="5"/>
  <c r="C652" i="5"/>
  <c r="C668" i="5"/>
  <c r="D673" i="5"/>
  <c r="D743" i="5"/>
  <c r="C731" i="5"/>
  <c r="D751" i="5"/>
  <c r="C751" i="5"/>
  <c r="D95" i="5"/>
  <c r="D100" i="5"/>
  <c r="D124" i="5"/>
  <c r="D129" i="5"/>
  <c r="C131" i="5"/>
  <c r="D143" i="5"/>
  <c r="D157" i="5"/>
  <c r="C162" i="5"/>
  <c r="D188" i="5"/>
  <c r="D193" i="5"/>
  <c r="C195" i="5"/>
  <c r="D202" i="5"/>
  <c r="D207" i="5"/>
  <c r="D221" i="5"/>
  <c r="C226" i="5"/>
  <c r="D252" i="5"/>
  <c r="D257" i="5"/>
  <c r="D276" i="5"/>
  <c r="D281" i="5"/>
  <c r="D290" i="5"/>
  <c r="C334" i="5"/>
  <c r="D333" i="5"/>
  <c r="D418" i="5"/>
  <c r="D461" i="5"/>
  <c r="D481" i="5"/>
  <c r="D531" i="5"/>
  <c r="C531" i="5"/>
  <c r="D543" i="5"/>
  <c r="D571" i="5"/>
  <c r="C571" i="5"/>
  <c r="C583" i="5"/>
  <c r="D583" i="5"/>
  <c r="D603" i="5"/>
  <c r="C678" i="5"/>
  <c r="D699" i="5"/>
  <c r="C699" i="5"/>
  <c r="C711" i="5"/>
  <c r="D711" i="5"/>
  <c r="D731" i="5"/>
  <c r="D771" i="5"/>
  <c r="D779" i="5"/>
  <c r="D103" i="5"/>
  <c r="D117" i="5"/>
  <c r="C122" i="5"/>
  <c r="D158" i="5"/>
  <c r="D148" i="5"/>
  <c r="D153" i="5"/>
  <c r="D167" i="5"/>
  <c r="D174" i="5"/>
  <c r="D181" i="5"/>
  <c r="C186" i="5"/>
  <c r="D212" i="5"/>
  <c r="D217" i="5"/>
  <c r="D231" i="5"/>
  <c r="D238" i="5"/>
  <c r="D245" i="5"/>
  <c r="C250" i="5"/>
  <c r="D262" i="5"/>
  <c r="D269" i="5"/>
  <c r="C274" i="5"/>
  <c r="C294" i="5"/>
  <c r="D293" i="5"/>
  <c r="C302" i="5"/>
  <c r="D301" i="5"/>
  <c r="D306" i="5"/>
  <c r="D311" i="5"/>
  <c r="D404" i="5"/>
  <c r="D421" i="5"/>
  <c r="D439" i="5"/>
  <c r="D562" i="5"/>
  <c r="C563" i="5"/>
  <c r="C599" i="5"/>
  <c r="D611" i="5"/>
  <c r="D606" i="5"/>
  <c r="C606" i="5"/>
  <c r="D618" i="5"/>
  <c r="C45" i="5"/>
  <c r="D71" i="5"/>
  <c r="D78" i="5"/>
  <c r="D17" i="5"/>
  <c r="C29" i="5"/>
  <c r="D55" i="5"/>
  <c r="C60" i="5"/>
  <c r="D62" i="5"/>
  <c r="D69" i="5"/>
  <c r="D81" i="5"/>
  <c r="C93" i="5"/>
  <c r="C98" i="5"/>
  <c r="D118" i="5"/>
  <c r="D108" i="5"/>
  <c r="D113" i="5"/>
  <c r="D122" i="5"/>
  <c r="D127" i="5"/>
  <c r="D141" i="5"/>
  <c r="C146" i="5"/>
  <c r="D172" i="5"/>
  <c r="D177" i="5"/>
  <c r="D191" i="5"/>
  <c r="D198" i="5"/>
  <c r="D205" i="5"/>
  <c r="D236" i="5"/>
  <c r="D241" i="5"/>
  <c r="D255" i="5"/>
  <c r="D260" i="5"/>
  <c r="D265" i="5"/>
  <c r="D279" i="5"/>
  <c r="D286" i="5"/>
  <c r="D314" i="5"/>
  <c r="D389" i="5"/>
  <c r="D399" i="5"/>
  <c r="D442" i="5"/>
  <c r="D467" i="5"/>
  <c r="D479" i="5"/>
  <c r="D493" i="5"/>
  <c r="C540" i="5"/>
  <c r="C539" i="5"/>
  <c r="C551" i="5"/>
  <c r="D551" i="5"/>
  <c r="D590" i="5"/>
  <c r="D599" i="5"/>
  <c r="C651" i="5"/>
  <c r="D655" i="5"/>
  <c r="D690" i="5"/>
  <c r="D718" i="5"/>
  <c r="D727" i="5"/>
  <c r="D137" i="5"/>
  <c r="D151" i="5"/>
  <c r="D201" i="5"/>
  <c r="D215" i="5"/>
  <c r="D334" i="5"/>
  <c r="D346" i="5"/>
  <c r="D394" i="5"/>
  <c r="D402" i="5"/>
  <c r="C402" i="5"/>
  <c r="D484" i="5"/>
  <c r="D498" i="5"/>
  <c r="C498" i="5"/>
  <c r="C516" i="5"/>
  <c r="D515" i="5"/>
  <c r="C515" i="5"/>
  <c r="D609" i="5"/>
  <c r="C679" i="5"/>
  <c r="D679" i="5"/>
  <c r="C707" i="5"/>
  <c r="C732" i="5"/>
  <c r="D50" i="5"/>
  <c r="C15" i="5"/>
  <c r="D22" i="5"/>
  <c r="C34" i="5"/>
  <c r="D41" i="5"/>
  <c r="C53" i="5"/>
  <c r="D46" i="5"/>
  <c r="D53" i="5"/>
  <c r="C59" i="5"/>
  <c r="D125" i="5"/>
  <c r="C130" i="5"/>
  <c r="C150" i="5"/>
  <c r="D156" i="5"/>
  <c r="D161" i="5"/>
  <c r="C163" i="5"/>
  <c r="D175" i="5"/>
  <c r="D182" i="5"/>
  <c r="D189" i="5"/>
  <c r="C194" i="5"/>
  <c r="C214" i="5"/>
  <c r="D220" i="5"/>
  <c r="D225" i="5"/>
  <c r="C227" i="5"/>
  <c r="D234" i="5"/>
  <c r="D239" i="5"/>
  <c r="D246" i="5"/>
  <c r="D253" i="5"/>
  <c r="D258" i="5"/>
  <c r="D270" i="5"/>
  <c r="C282" i="5"/>
  <c r="D354" i="5"/>
  <c r="D397" i="5"/>
  <c r="C503" i="5"/>
  <c r="D510" i="5"/>
  <c r="C520" i="5"/>
  <c r="D532" i="5"/>
  <c r="D542" i="5"/>
  <c r="C542" i="5"/>
  <c r="D554" i="5"/>
  <c r="D563" i="5"/>
  <c r="C572" i="5"/>
  <c r="C614" i="5"/>
  <c r="C619" i="5"/>
  <c r="D635" i="5"/>
  <c r="C635" i="5"/>
  <c r="C647" i="5"/>
  <c r="D647" i="5"/>
  <c r="D667" i="5"/>
  <c r="C686" i="5"/>
  <c r="C700" i="5"/>
  <c r="D85" i="5"/>
  <c r="D31" i="5"/>
  <c r="D38" i="5"/>
  <c r="D57" i="5"/>
  <c r="C20" i="5"/>
  <c r="C27" i="5"/>
  <c r="D48" i="5"/>
  <c r="D84" i="5"/>
  <c r="C13" i="5"/>
  <c r="D39" i="5"/>
  <c r="C44" i="5"/>
  <c r="C51" i="5"/>
  <c r="C77" i="5"/>
  <c r="C11" i="5"/>
  <c r="D18" i="5"/>
  <c r="D25" i="5"/>
  <c r="D63" i="5"/>
  <c r="D68" i="5"/>
  <c r="D70" i="5"/>
  <c r="D89" i="5"/>
  <c r="C99" i="5"/>
  <c r="C110" i="5"/>
  <c r="D126" i="5"/>
  <c r="D116" i="5"/>
  <c r="D121" i="5"/>
  <c r="C123" i="5"/>
  <c r="D130" i="5"/>
  <c r="D135" i="5"/>
  <c r="D149" i="5"/>
  <c r="C154" i="5"/>
  <c r="C174" i="5"/>
  <c r="D180" i="5"/>
  <c r="D185" i="5"/>
  <c r="C187" i="5"/>
  <c r="D199" i="5"/>
  <c r="D206" i="5"/>
  <c r="D213" i="5"/>
  <c r="C218" i="5"/>
  <c r="C238" i="5"/>
  <c r="D244" i="5"/>
  <c r="D249" i="5"/>
  <c r="C251" i="5"/>
  <c r="C262" i="5"/>
  <c r="D268" i="5"/>
  <c r="D273" i="5"/>
  <c r="C275" i="5"/>
  <c r="D282" i="5"/>
  <c r="D287" i="5"/>
  <c r="D340" i="5"/>
  <c r="D345" i="5"/>
  <c r="D357" i="5"/>
  <c r="D370" i="5"/>
  <c r="D375" i="5"/>
  <c r="C410" i="5"/>
  <c r="D425" i="5"/>
  <c r="C426" i="5"/>
  <c r="D468" i="5"/>
  <c r="D513" i="5"/>
  <c r="D501" i="5"/>
  <c r="D503" i="5"/>
  <c r="C518" i="5"/>
  <c r="D518" i="5"/>
  <c r="D595" i="5"/>
  <c r="D630" i="5"/>
  <c r="C663" i="5"/>
  <c r="D675" i="5"/>
  <c r="D670" i="5"/>
  <c r="C670" i="5"/>
  <c r="D682" i="5"/>
  <c r="D691" i="5"/>
  <c r="C710" i="5"/>
  <c r="D723" i="5"/>
  <c r="D803" i="5"/>
  <c r="D815" i="5"/>
  <c r="D28" i="5"/>
  <c r="C35" i="5"/>
  <c r="D42" i="5"/>
  <c r="D49" i="5"/>
  <c r="D56" i="5"/>
  <c r="D87" i="5"/>
  <c r="C92" i="5"/>
  <c r="D97" i="5"/>
  <c r="D109" i="5"/>
  <c r="C114" i="5"/>
  <c r="C134" i="5"/>
  <c r="D150" i="5"/>
  <c r="D140" i="5"/>
  <c r="D145" i="5"/>
  <c r="C147" i="5"/>
  <c r="D159" i="5"/>
  <c r="D166" i="5"/>
  <c r="D173" i="5"/>
  <c r="C198" i="5"/>
  <c r="D204" i="5"/>
  <c r="D209" i="5"/>
  <c r="C211" i="5"/>
  <c r="D223" i="5"/>
  <c r="D230" i="5"/>
  <c r="D237" i="5"/>
  <c r="D261" i="5"/>
  <c r="C286" i="5"/>
  <c r="D292" i="5"/>
  <c r="C315" i="5"/>
  <c r="D325" i="5"/>
  <c r="D335" i="5"/>
  <c r="D378" i="5"/>
  <c r="C443" i="5"/>
  <c r="D453" i="5"/>
  <c r="D463" i="5"/>
  <c r="C468" i="5"/>
  <c r="D494" i="5"/>
  <c r="C501" i="5"/>
  <c r="D561" i="5"/>
  <c r="C580" i="5"/>
  <c r="D591" i="5"/>
  <c r="D626" i="5"/>
  <c r="C627" i="5"/>
  <c r="D654" i="5"/>
  <c r="D663" i="5"/>
  <c r="C675" i="5"/>
  <c r="C708" i="5"/>
  <c r="D719" i="5"/>
  <c r="D773" i="5"/>
  <c r="C773" i="5"/>
  <c r="D786" i="5"/>
  <c r="C828" i="5"/>
  <c r="D842" i="5"/>
  <c r="D870" i="5"/>
  <c r="D332" i="5"/>
  <c r="D337" i="5"/>
  <c r="C339" i="5"/>
  <c r="D351" i="5"/>
  <c r="D396" i="5"/>
  <c r="D401" i="5"/>
  <c r="C403" i="5"/>
  <c r="D415" i="5"/>
  <c r="D460" i="5"/>
  <c r="D465" i="5"/>
  <c r="D523" i="5"/>
  <c r="D530" i="5"/>
  <c r="C543" i="5"/>
  <c r="D570" i="5"/>
  <c r="D582" i="5"/>
  <c r="C607" i="5"/>
  <c r="D634" i="5"/>
  <c r="D646" i="5"/>
  <c r="C671" i="5"/>
  <c r="D698" i="5"/>
  <c r="D710" i="5"/>
  <c r="C752" i="5"/>
  <c r="D757" i="5"/>
  <c r="C778" i="5"/>
  <c r="C801" i="5"/>
  <c r="C810" i="5"/>
  <c r="D833" i="5"/>
  <c r="C859" i="5"/>
  <c r="C879" i="5"/>
  <c r="C881" i="5"/>
  <c r="C883" i="5"/>
  <c r="D859" i="5"/>
  <c r="D881" i="5"/>
  <c r="D838" i="5"/>
  <c r="D849" i="5"/>
  <c r="D873" i="5"/>
  <c r="C886" i="5"/>
  <c r="D793" i="5"/>
  <c r="C804" i="5"/>
  <c r="C820" i="5"/>
  <c r="C864" i="5"/>
  <c r="D300" i="5"/>
  <c r="D305" i="5"/>
  <c r="C307" i="5"/>
  <c r="D319" i="5"/>
  <c r="D326" i="5"/>
  <c r="D364" i="5"/>
  <c r="D369" i="5"/>
  <c r="C371" i="5"/>
  <c r="D383" i="5"/>
  <c r="D390" i="5"/>
  <c r="D428" i="5"/>
  <c r="D433" i="5"/>
  <c r="C435" i="5"/>
  <c r="D447" i="5"/>
  <c r="D454" i="5"/>
  <c r="C514" i="5"/>
  <c r="D538" i="5"/>
  <c r="C575" i="5"/>
  <c r="D602" i="5"/>
  <c r="C639" i="5"/>
  <c r="D666" i="5"/>
  <c r="C703" i="5"/>
  <c r="C742" i="5"/>
  <c r="D763" i="5"/>
  <c r="C779" i="5"/>
  <c r="C797" i="5"/>
  <c r="D821" i="5"/>
  <c r="D827" i="5"/>
  <c r="C860" i="5"/>
  <c r="C867" i="5"/>
  <c r="C900" i="5"/>
  <c r="D902" i="5"/>
  <c r="D904" i="5"/>
  <c r="C298" i="5"/>
  <c r="D324" i="5"/>
  <c r="D329" i="5"/>
  <c r="C331" i="5"/>
  <c r="D343" i="5"/>
  <c r="D350" i="5"/>
  <c r="C362" i="5"/>
  <c r="D388" i="5"/>
  <c r="D393" i="5"/>
  <c r="C395" i="5"/>
  <c r="D407" i="5"/>
  <c r="D414" i="5"/>
  <c r="D452" i="5"/>
  <c r="D457" i="5"/>
  <c r="C459" i="5"/>
  <c r="D473" i="5"/>
  <c r="D478" i="5"/>
  <c r="C489" i="5"/>
  <c r="C493" i="5"/>
  <c r="C495" i="5"/>
  <c r="D529" i="5"/>
  <c r="D575" i="5"/>
  <c r="C631" i="5"/>
  <c r="D639" i="5"/>
  <c r="D658" i="5"/>
  <c r="C662" i="5"/>
  <c r="C691" i="5"/>
  <c r="C695" i="5"/>
  <c r="D703" i="5"/>
  <c r="D722" i="5"/>
  <c r="C726" i="5"/>
  <c r="D728" i="5"/>
  <c r="D742" i="5"/>
  <c r="D759" i="5"/>
  <c r="D749" i="5"/>
  <c r="C761" i="5"/>
  <c r="C763" i="5"/>
  <c r="C768" i="5"/>
  <c r="C796" i="5"/>
  <c r="C798" i="5"/>
  <c r="D887" i="5"/>
  <c r="C890" i="5"/>
  <c r="D900" i="5"/>
  <c r="C278" i="5"/>
  <c r="D284" i="5"/>
  <c r="D289" i="5"/>
  <c r="C291" i="5"/>
  <c r="D303" i="5"/>
  <c r="D310" i="5"/>
  <c r="D348" i="5"/>
  <c r="D353" i="5"/>
  <c r="C355" i="5"/>
  <c r="D367" i="5"/>
  <c r="D374" i="5"/>
  <c r="D412" i="5"/>
  <c r="D417" i="5"/>
  <c r="C419" i="5"/>
  <c r="D431" i="5"/>
  <c r="D438" i="5"/>
  <c r="C471" i="5"/>
  <c r="C484" i="5"/>
  <c r="D485" i="5"/>
  <c r="D489" i="5"/>
  <c r="D504" i="5"/>
  <c r="D509" i="5"/>
  <c r="D520" i="5"/>
  <c r="C559" i="5"/>
  <c r="D567" i="5"/>
  <c r="D586" i="5"/>
  <c r="C623" i="5"/>
  <c r="D631" i="5"/>
  <c r="D650" i="5"/>
  <c r="C687" i="5"/>
  <c r="D695" i="5"/>
  <c r="D714" i="5"/>
  <c r="D747" i="5"/>
  <c r="D761" i="5"/>
  <c r="C785" i="5"/>
  <c r="D787" i="5"/>
  <c r="D789" i="5"/>
  <c r="C794" i="5"/>
  <c r="D796" i="5"/>
  <c r="C813" i="5"/>
  <c r="C866" i="5"/>
  <c r="C887" i="5"/>
  <c r="C889" i="5"/>
  <c r="C895" i="5"/>
  <c r="D898" i="5"/>
  <c r="C42" i="5"/>
  <c r="C74" i="5"/>
  <c r="D34" i="5"/>
  <c r="C47" i="5"/>
  <c r="C55" i="5"/>
  <c r="Q19" i="1"/>
  <c r="D19" i="5"/>
  <c r="C24" i="5"/>
  <c r="D27" i="5"/>
  <c r="C32" i="5"/>
  <c r="D35" i="5"/>
  <c r="C40" i="5"/>
  <c r="D43" i="5"/>
  <c r="C48" i="5"/>
  <c r="D51" i="5"/>
  <c r="C56" i="5"/>
  <c r="D59" i="5"/>
  <c r="C64" i="5"/>
  <c r="D67" i="5"/>
  <c r="C72" i="5"/>
  <c r="D75" i="5"/>
  <c r="C80" i="5"/>
  <c r="D83" i="5"/>
  <c r="C88" i="5"/>
  <c r="D91" i="5"/>
  <c r="C96" i="5"/>
  <c r="D99" i="5"/>
  <c r="C104" i="5"/>
  <c r="D107" i="5"/>
  <c r="C112" i="5"/>
  <c r="D115" i="5"/>
  <c r="C120" i="5"/>
  <c r="D123" i="5"/>
  <c r="C128" i="5"/>
  <c r="D131" i="5"/>
  <c r="C136" i="5"/>
  <c r="D139" i="5"/>
  <c r="C144" i="5"/>
  <c r="D147" i="5"/>
  <c r="C152" i="5"/>
  <c r="D155" i="5"/>
  <c r="C160" i="5"/>
  <c r="D163" i="5"/>
  <c r="C168" i="5"/>
  <c r="D171" i="5"/>
  <c r="C176" i="5"/>
  <c r="D179" i="5"/>
  <c r="C184" i="5"/>
  <c r="D187" i="5"/>
  <c r="C192" i="5"/>
  <c r="D195" i="5"/>
  <c r="C200" i="5"/>
  <c r="D203" i="5"/>
  <c r="C208" i="5"/>
  <c r="D211" i="5"/>
  <c r="C216" i="5"/>
  <c r="D219" i="5"/>
  <c r="C224" i="5"/>
  <c r="D227" i="5"/>
  <c r="C232" i="5"/>
  <c r="D235" i="5"/>
  <c r="C240" i="5"/>
  <c r="D243" i="5"/>
  <c r="C248" i="5"/>
  <c r="D251" i="5"/>
  <c r="C256" i="5"/>
  <c r="D259" i="5"/>
  <c r="C264" i="5"/>
  <c r="D267" i="5"/>
  <c r="C272" i="5"/>
  <c r="D275" i="5"/>
  <c r="C280" i="5"/>
  <c r="D283" i="5"/>
  <c r="C288" i="5"/>
  <c r="D291" i="5"/>
  <c r="C296" i="5"/>
  <c r="D299" i="5"/>
  <c r="C304" i="5"/>
  <c r="D307" i="5"/>
  <c r="C312" i="5"/>
  <c r="D315" i="5"/>
  <c r="C320" i="5"/>
  <c r="D323" i="5"/>
  <c r="C328" i="5"/>
  <c r="D331" i="5"/>
  <c r="C336" i="5"/>
  <c r="D339" i="5"/>
  <c r="C344" i="5"/>
  <c r="D347" i="5"/>
  <c r="C352" i="5"/>
  <c r="D355" i="5"/>
  <c r="C360" i="5"/>
  <c r="D363" i="5"/>
  <c r="C368" i="5"/>
  <c r="D371" i="5"/>
  <c r="C376" i="5"/>
  <c r="D379" i="5"/>
  <c r="C384" i="5"/>
  <c r="D387" i="5"/>
  <c r="C392" i="5"/>
  <c r="D395" i="5"/>
  <c r="C400" i="5"/>
  <c r="D403" i="5"/>
  <c r="C408" i="5"/>
  <c r="D411" i="5"/>
  <c r="C416" i="5"/>
  <c r="D419" i="5"/>
  <c r="C424" i="5"/>
  <c r="D427" i="5"/>
  <c r="C432" i="5"/>
  <c r="D435" i="5"/>
  <c r="C440" i="5"/>
  <c r="D443" i="5"/>
  <c r="C448" i="5"/>
  <c r="D451" i="5"/>
  <c r="C456" i="5"/>
  <c r="D459" i="5"/>
  <c r="C464" i="5"/>
  <c r="C474" i="5"/>
  <c r="C496" i="5"/>
  <c r="C506" i="5"/>
  <c r="D522" i="5"/>
  <c r="D535" i="5"/>
  <c r="D541" i="5"/>
  <c r="C541" i="5"/>
  <c r="C545" i="5"/>
  <c r="D549" i="5"/>
  <c r="C549" i="5"/>
  <c r="C553" i="5"/>
  <c r="D557" i="5"/>
  <c r="C557" i="5"/>
  <c r="C561" i="5"/>
  <c r="D565" i="5"/>
  <c r="C565" i="5"/>
  <c r="C569" i="5"/>
  <c r="D573" i="5"/>
  <c r="C573" i="5"/>
  <c r="C577" i="5"/>
  <c r="D581" i="5"/>
  <c r="C581" i="5"/>
  <c r="C585" i="5"/>
  <c r="D589" i="5"/>
  <c r="C589" i="5"/>
  <c r="C593" i="5"/>
  <c r="D597" i="5"/>
  <c r="C597" i="5"/>
  <c r="C601" i="5"/>
  <c r="D605" i="5"/>
  <c r="C605" i="5"/>
  <c r="C609" i="5"/>
  <c r="D613" i="5"/>
  <c r="C613" i="5"/>
  <c r="C617" i="5"/>
  <c r="D621" i="5"/>
  <c r="C621" i="5"/>
  <c r="C625" i="5"/>
  <c r="D629" i="5"/>
  <c r="C629" i="5"/>
  <c r="C633" i="5"/>
  <c r="D637" i="5"/>
  <c r="C637" i="5"/>
  <c r="C641" i="5"/>
  <c r="D645" i="5"/>
  <c r="C645" i="5"/>
  <c r="C649" i="5"/>
  <c r="D653" i="5"/>
  <c r="C653" i="5"/>
  <c r="C657" i="5"/>
  <c r="D661" i="5"/>
  <c r="C661" i="5"/>
  <c r="C665" i="5"/>
  <c r="D669" i="5"/>
  <c r="C669" i="5"/>
  <c r="C673" i="5"/>
  <c r="D677" i="5"/>
  <c r="C677" i="5"/>
  <c r="C681" i="5"/>
  <c r="D685" i="5"/>
  <c r="C685" i="5"/>
  <c r="C689" i="5"/>
  <c r="D693" i="5"/>
  <c r="C693" i="5"/>
  <c r="C697" i="5"/>
  <c r="D701" i="5"/>
  <c r="C701" i="5"/>
  <c r="C705" i="5"/>
  <c r="D709" i="5"/>
  <c r="C709" i="5"/>
  <c r="C714" i="5"/>
  <c r="C713" i="5"/>
  <c r="D717" i="5"/>
  <c r="C717" i="5"/>
  <c r="C722" i="5"/>
  <c r="C721" i="5"/>
  <c r="D725" i="5"/>
  <c r="C725" i="5"/>
  <c r="D737" i="5"/>
  <c r="C730" i="5"/>
  <c r="C729" i="5"/>
  <c r="D733" i="5"/>
  <c r="C733" i="5"/>
  <c r="C737" i="5"/>
  <c r="D748" i="5"/>
  <c r="C749" i="5"/>
  <c r="C756" i="5"/>
  <c r="D758" i="5"/>
  <c r="C777" i="5"/>
  <c r="D781" i="5"/>
  <c r="D783" i="5"/>
  <c r="D800" i="5"/>
  <c r="C800" i="5"/>
  <c r="C840" i="5"/>
  <c r="D839" i="5"/>
  <c r="C839" i="5"/>
  <c r="D856" i="5"/>
  <c r="C857" i="5"/>
  <c r="D68" i="6"/>
  <c r="D80" i="6"/>
  <c r="C69" i="6"/>
  <c r="C68" i="6"/>
  <c r="C104" i="6"/>
  <c r="C105" i="6"/>
  <c r="D104" i="6"/>
  <c r="D96" i="5"/>
  <c r="C101" i="5"/>
  <c r="D104" i="5"/>
  <c r="C109" i="5"/>
  <c r="D112" i="5"/>
  <c r="C117" i="5"/>
  <c r="D120" i="5"/>
  <c r="C125" i="5"/>
  <c r="D128" i="5"/>
  <c r="C133" i="5"/>
  <c r="D136" i="5"/>
  <c r="C141" i="5"/>
  <c r="D144" i="5"/>
  <c r="C149" i="5"/>
  <c r="D152" i="5"/>
  <c r="C157" i="5"/>
  <c r="D160" i="5"/>
  <c r="C165" i="5"/>
  <c r="D168" i="5"/>
  <c r="C173" i="5"/>
  <c r="D176" i="5"/>
  <c r="C181" i="5"/>
  <c r="D184" i="5"/>
  <c r="C189" i="5"/>
  <c r="D192" i="5"/>
  <c r="C197" i="5"/>
  <c r="D200" i="5"/>
  <c r="C205" i="5"/>
  <c r="D208" i="5"/>
  <c r="C213" i="5"/>
  <c r="D216" i="5"/>
  <c r="C221" i="5"/>
  <c r="D224" i="5"/>
  <c r="C229" i="5"/>
  <c r="D232" i="5"/>
  <c r="C237" i="5"/>
  <c r="D240" i="5"/>
  <c r="C245" i="5"/>
  <c r="D248" i="5"/>
  <c r="C253" i="5"/>
  <c r="D256" i="5"/>
  <c r="C261" i="5"/>
  <c r="D264" i="5"/>
  <c r="C269" i="5"/>
  <c r="D272" i="5"/>
  <c r="C277" i="5"/>
  <c r="D280" i="5"/>
  <c r="C285" i="5"/>
  <c r="D288" i="5"/>
  <c r="C293" i="5"/>
  <c r="D296" i="5"/>
  <c r="C301" i="5"/>
  <c r="D304" i="5"/>
  <c r="C309" i="5"/>
  <c r="D312" i="5"/>
  <c r="C317" i="5"/>
  <c r="D320" i="5"/>
  <c r="C325" i="5"/>
  <c r="D328" i="5"/>
  <c r="C333" i="5"/>
  <c r="D336" i="5"/>
  <c r="C341" i="5"/>
  <c r="D344" i="5"/>
  <c r="C349" i="5"/>
  <c r="D352" i="5"/>
  <c r="C357" i="5"/>
  <c r="D360" i="5"/>
  <c r="C365" i="5"/>
  <c r="D368" i="5"/>
  <c r="C373" i="5"/>
  <c r="D376" i="5"/>
  <c r="C381" i="5"/>
  <c r="D384" i="5"/>
  <c r="C389" i="5"/>
  <c r="D392" i="5"/>
  <c r="C397" i="5"/>
  <c r="D400" i="5"/>
  <c r="C405" i="5"/>
  <c r="D408" i="5"/>
  <c r="C413" i="5"/>
  <c r="D416" i="5"/>
  <c r="C421" i="5"/>
  <c r="D424" i="5"/>
  <c r="C429" i="5"/>
  <c r="D432" i="5"/>
  <c r="C437" i="5"/>
  <c r="D440" i="5"/>
  <c r="C445" i="5"/>
  <c r="D448" i="5"/>
  <c r="C453" i="5"/>
  <c r="D456" i="5"/>
  <c r="C461" i="5"/>
  <c r="D464" i="5"/>
  <c r="D469" i="5"/>
  <c r="C476" i="5"/>
  <c r="C481" i="5"/>
  <c r="C486" i="5"/>
  <c r="C508" i="5"/>
  <c r="C513" i="5"/>
  <c r="C524" i="5"/>
  <c r="D528" i="5"/>
  <c r="D540" i="5"/>
  <c r="D756" i="5"/>
  <c r="C744" i="5"/>
  <c r="D824" i="5"/>
  <c r="C825" i="5"/>
  <c r="D28" i="6"/>
  <c r="C28" i="6"/>
  <c r="D66" i="6"/>
  <c r="D54" i="6"/>
  <c r="D93" i="5"/>
  <c r="D101" i="5"/>
  <c r="D524" i="5"/>
  <c r="D740" i="5"/>
  <c r="D744" i="5"/>
  <c r="D765" i="5"/>
  <c r="D767" i="5"/>
  <c r="C771" i="5"/>
  <c r="D792" i="5"/>
  <c r="C792" i="5"/>
  <c r="C793" i="5"/>
  <c r="C822" i="5"/>
  <c r="C824" i="5"/>
  <c r="D858" i="5"/>
  <c r="D846" i="5"/>
  <c r="C847" i="5"/>
  <c r="C854" i="5"/>
  <c r="C46" i="6"/>
  <c r="C54" i="6"/>
  <c r="C64" i="6"/>
  <c r="D64" i="6"/>
  <c r="C95" i="5"/>
  <c r="D98" i="5"/>
  <c r="C103" i="5"/>
  <c r="C111" i="5"/>
  <c r="C119" i="5"/>
  <c r="C127" i="5"/>
  <c r="C135" i="5"/>
  <c r="C143" i="5"/>
  <c r="C151" i="5"/>
  <c r="C159" i="5"/>
  <c r="C167" i="5"/>
  <c r="C175" i="5"/>
  <c r="C183" i="5"/>
  <c r="C191" i="5"/>
  <c r="C199" i="5"/>
  <c r="C207" i="5"/>
  <c r="C215" i="5"/>
  <c r="C223" i="5"/>
  <c r="C231" i="5"/>
  <c r="C239" i="5"/>
  <c r="C247" i="5"/>
  <c r="C255" i="5"/>
  <c r="C263" i="5"/>
  <c r="C271" i="5"/>
  <c r="C279" i="5"/>
  <c r="C287" i="5"/>
  <c r="C295" i="5"/>
  <c r="C303" i="5"/>
  <c r="C311" i="5"/>
  <c r="C319" i="5"/>
  <c r="C327" i="5"/>
  <c r="C335" i="5"/>
  <c r="C343" i="5"/>
  <c r="C351" i="5"/>
  <c r="C359" i="5"/>
  <c r="C367" i="5"/>
  <c r="C375" i="5"/>
  <c r="C383" i="5"/>
  <c r="C391" i="5"/>
  <c r="C399" i="5"/>
  <c r="C407" i="5"/>
  <c r="C415" i="5"/>
  <c r="C423" i="5"/>
  <c r="C431" i="5"/>
  <c r="C439" i="5"/>
  <c r="C447" i="5"/>
  <c r="C455" i="5"/>
  <c r="C463" i="5"/>
  <c r="C473" i="5"/>
  <c r="C478" i="5"/>
  <c r="D483" i="5"/>
  <c r="D490" i="5"/>
  <c r="C505" i="5"/>
  <c r="C510" i="5"/>
  <c r="D517" i="5"/>
  <c r="C517" i="5"/>
  <c r="C534" i="5"/>
  <c r="D536" i="5"/>
  <c r="D548" i="5"/>
  <c r="C735" i="5"/>
  <c r="C734" i="5"/>
  <c r="C736" i="5"/>
  <c r="C738" i="5"/>
  <c r="D738" i="5"/>
  <c r="C753" i="5"/>
  <c r="D782" i="5"/>
  <c r="C782" i="5"/>
  <c r="D802" i="5"/>
  <c r="C791" i="5"/>
  <c r="C790" i="5"/>
  <c r="D826" i="5"/>
  <c r="C815" i="5"/>
  <c r="D822" i="5"/>
  <c r="C846" i="5"/>
  <c r="C29" i="6"/>
  <c r="D46" i="6"/>
  <c r="D92" i="6"/>
  <c r="C93" i="6"/>
  <c r="C100" i="5"/>
  <c r="C108" i="5"/>
  <c r="C116" i="5"/>
  <c r="C124" i="5"/>
  <c r="C132" i="5"/>
  <c r="C140" i="5"/>
  <c r="C148" i="5"/>
  <c r="C156" i="5"/>
  <c r="C164" i="5"/>
  <c r="C172" i="5"/>
  <c r="C180" i="5"/>
  <c r="C188" i="5"/>
  <c r="C196" i="5"/>
  <c r="C204" i="5"/>
  <c r="C212" i="5"/>
  <c r="C220" i="5"/>
  <c r="C228" i="5"/>
  <c r="C236" i="5"/>
  <c r="C244" i="5"/>
  <c r="C252" i="5"/>
  <c r="C260" i="5"/>
  <c r="C268" i="5"/>
  <c r="C276" i="5"/>
  <c r="C284" i="5"/>
  <c r="C292" i="5"/>
  <c r="C300" i="5"/>
  <c r="C308" i="5"/>
  <c r="C316" i="5"/>
  <c r="C324" i="5"/>
  <c r="C332" i="5"/>
  <c r="C340" i="5"/>
  <c r="C348" i="5"/>
  <c r="C356" i="5"/>
  <c r="C364" i="5"/>
  <c r="C372" i="5"/>
  <c r="C380" i="5"/>
  <c r="C388" i="5"/>
  <c r="C396" i="5"/>
  <c r="C404" i="5"/>
  <c r="C412" i="5"/>
  <c r="C420" i="5"/>
  <c r="C428" i="5"/>
  <c r="C436" i="5"/>
  <c r="C444" i="5"/>
  <c r="C452" i="5"/>
  <c r="C460" i="5"/>
  <c r="C475" i="5"/>
  <c r="C480" i="5"/>
  <c r="C485" i="5"/>
  <c r="C490" i="5"/>
  <c r="D495" i="5"/>
  <c r="C507" i="5"/>
  <c r="C512" i="5"/>
  <c r="D519" i="5"/>
  <c r="C521" i="5"/>
  <c r="C523" i="5"/>
  <c r="C536" i="5"/>
  <c r="D544" i="5"/>
  <c r="D556" i="5"/>
  <c r="D546" i="5"/>
  <c r="D552" i="5"/>
  <c r="D564" i="5"/>
  <c r="D560" i="5"/>
  <c r="D572" i="5"/>
  <c r="D568" i="5"/>
  <c r="D580" i="5"/>
  <c r="D576" i="5"/>
  <c r="D588" i="5"/>
  <c r="D584" i="5"/>
  <c r="D596" i="5"/>
  <c r="D592" i="5"/>
  <c r="D604" i="5"/>
  <c r="D600" i="5"/>
  <c r="D612" i="5"/>
  <c r="D608" i="5"/>
  <c r="D620" i="5"/>
  <c r="D616" i="5"/>
  <c r="D628" i="5"/>
  <c r="D624" i="5"/>
  <c r="D636" i="5"/>
  <c r="D632" i="5"/>
  <c r="D644" i="5"/>
  <c r="D640" i="5"/>
  <c r="D652" i="5"/>
  <c r="D648" i="5"/>
  <c r="D660" i="5"/>
  <c r="D656" i="5"/>
  <c r="D668" i="5"/>
  <c r="D664" i="5"/>
  <c r="D676" i="5"/>
  <c r="D672" i="5"/>
  <c r="D684" i="5"/>
  <c r="D680" i="5"/>
  <c r="D692" i="5"/>
  <c r="D688" i="5"/>
  <c r="D700" i="5"/>
  <c r="D696" i="5"/>
  <c r="D708" i="5"/>
  <c r="D704" i="5"/>
  <c r="D716" i="5"/>
  <c r="D712" i="5"/>
  <c r="D724" i="5"/>
  <c r="D720" i="5"/>
  <c r="D732" i="5"/>
  <c r="D734" i="5"/>
  <c r="C755" i="5"/>
  <c r="C776" i="5"/>
  <c r="D788" i="5"/>
  <c r="D780" i="5"/>
  <c r="C781" i="5"/>
  <c r="D790" i="5"/>
  <c r="D816" i="5"/>
  <c r="C816" i="5"/>
  <c r="D828" i="5"/>
  <c r="C92" i="6"/>
  <c r="Q16" i="1"/>
  <c r="C50" i="5"/>
  <c r="C58" i="5"/>
  <c r="C82" i="5"/>
  <c r="C39" i="5"/>
  <c r="C63" i="5"/>
  <c r="D66" i="5"/>
  <c r="C79" i="5"/>
  <c r="D82" i="5"/>
  <c r="Q17" i="1"/>
  <c r="D23" i="5"/>
  <c r="C28" i="5"/>
  <c r="C68" i="5"/>
  <c r="C84" i="5"/>
  <c r="C17" i="5"/>
  <c r="C33" i="5"/>
  <c r="D36" i="5"/>
  <c r="C41" i="5"/>
  <c r="D44" i="5"/>
  <c r="C49" i="5"/>
  <c r="D52" i="5"/>
  <c r="C57" i="5"/>
  <c r="D60" i="5"/>
  <c r="C65" i="5"/>
  <c r="C73" i="5"/>
  <c r="D76" i="5"/>
  <c r="C81" i="5"/>
  <c r="C89" i="5"/>
  <c r="D92" i="5"/>
  <c r="C97" i="5"/>
  <c r="C105" i="5"/>
  <c r="C113" i="5"/>
  <c r="C121" i="5"/>
  <c r="C129" i="5"/>
  <c r="C137" i="5"/>
  <c r="C145" i="5"/>
  <c r="C153" i="5"/>
  <c r="C161" i="5"/>
  <c r="C169" i="5"/>
  <c r="C177" i="5"/>
  <c r="C185" i="5"/>
  <c r="C193" i="5"/>
  <c r="C201" i="5"/>
  <c r="C209" i="5"/>
  <c r="C217" i="5"/>
  <c r="C225" i="5"/>
  <c r="C233" i="5"/>
  <c r="C241" i="5"/>
  <c r="C249" i="5"/>
  <c r="C257" i="5"/>
  <c r="C265" i="5"/>
  <c r="C273" i="5"/>
  <c r="C281" i="5"/>
  <c r="C289" i="5"/>
  <c r="C297" i="5"/>
  <c r="C305" i="5"/>
  <c r="C313" i="5"/>
  <c r="C321" i="5"/>
  <c r="C329" i="5"/>
  <c r="C337" i="5"/>
  <c r="C345" i="5"/>
  <c r="C353" i="5"/>
  <c r="C361" i="5"/>
  <c r="C369" i="5"/>
  <c r="C377" i="5"/>
  <c r="C385" i="5"/>
  <c r="C393" i="5"/>
  <c r="C401" i="5"/>
  <c r="C409" i="5"/>
  <c r="C417" i="5"/>
  <c r="C425" i="5"/>
  <c r="C433" i="5"/>
  <c r="C441" i="5"/>
  <c r="C449" i="5"/>
  <c r="C457" i="5"/>
  <c r="C465" i="5"/>
  <c r="C470" i="5"/>
  <c r="D475" i="5"/>
  <c r="D480" i="5"/>
  <c r="D482" i="5"/>
  <c r="C487" i="5"/>
  <c r="C497" i="5"/>
  <c r="C502" i="5"/>
  <c r="D514" i="5"/>
  <c r="D525" i="5"/>
  <c r="C525" i="5"/>
  <c r="C527" i="5"/>
  <c r="C544" i="5"/>
  <c r="C552" i="5"/>
  <c r="C560" i="5"/>
  <c r="C568" i="5"/>
  <c r="C576" i="5"/>
  <c r="C584" i="5"/>
  <c r="C592" i="5"/>
  <c r="C600" i="5"/>
  <c r="C608" i="5"/>
  <c r="C616" i="5"/>
  <c r="C624" i="5"/>
  <c r="C632" i="5"/>
  <c r="C640" i="5"/>
  <c r="C648" i="5"/>
  <c r="C656" i="5"/>
  <c r="C664" i="5"/>
  <c r="C672" i="5"/>
  <c r="C680" i="5"/>
  <c r="C688" i="5"/>
  <c r="C696" i="5"/>
  <c r="C704" i="5"/>
  <c r="C712" i="5"/>
  <c r="C720" i="5"/>
  <c r="C728" i="5"/>
  <c r="D741" i="5"/>
  <c r="D745" i="5"/>
  <c r="D766" i="5"/>
  <c r="C766" i="5"/>
  <c r="C775" i="5"/>
  <c r="C774" i="5"/>
  <c r="D776" i="5"/>
  <c r="D778" i="5"/>
  <c r="C780" i="5"/>
  <c r="D818" i="5"/>
  <c r="C807" i="5"/>
  <c r="D812" i="5"/>
  <c r="D814" i="5"/>
  <c r="C855" i="5"/>
  <c r="C868" i="5"/>
  <c r="D868" i="5"/>
  <c r="D71" i="6"/>
  <c r="C71" i="6"/>
  <c r="D83" i="6"/>
  <c r="D79" i="6"/>
  <c r="C79" i="6"/>
  <c r="D91" i="6"/>
  <c r="C18" i="5"/>
  <c r="D26" i="5"/>
  <c r="C31" i="5"/>
  <c r="C87" i="5"/>
  <c r="D90" i="5"/>
  <c r="P18" i="1"/>
  <c r="D20" i="5"/>
  <c r="C25" i="5"/>
  <c r="C22" i="5"/>
  <c r="C30" i="5"/>
  <c r="C38" i="5"/>
  <c r="C46" i="5"/>
  <c r="C54" i="5"/>
  <c r="C62" i="5"/>
  <c r="C70" i="5"/>
  <c r="C78" i="5"/>
  <c r="C86" i="5"/>
  <c r="C318" i="5"/>
  <c r="C326" i="5"/>
  <c r="C342" i="5"/>
  <c r="C350" i="5"/>
  <c r="C358" i="5"/>
  <c r="C366" i="5"/>
  <c r="C374" i="5"/>
  <c r="C382" i="5"/>
  <c r="C390" i="5"/>
  <c r="C398" i="5"/>
  <c r="C406" i="5"/>
  <c r="C414" i="5"/>
  <c r="C422" i="5"/>
  <c r="C430" i="5"/>
  <c r="C438" i="5"/>
  <c r="C446" i="5"/>
  <c r="C454" i="5"/>
  <c r="C462" i="5"/>
  <c r="C467" i="5"/>
  <c r="C472" i="5"/>
  <c r="C477" i="5"/>
  <c r="C482" i="5"/>
  <c r="C499" i="5"/>
  <c r="C504" i="5"/>
  <c r="D527" i="5"/>
  <c r="C529" i="5"/>
  <c r="C739" i="5"/>
  <c r="C760" i="5"/>
  <c r="D772" i="5"/>
  <c r="D764" i="5"/>
  <c r="C765" i="5"/>
  <c r="C772" i="5"/>
  <c r="D774" i="5"/>
  <c r="D808" i="5"/>
  <c r="C808" i="5"/>
  <c r="D853" i="5"/>
  <c r="D841" i="5"/>
  <c r="C841" i="5"/>
  <c r="C842" i="5"/>
  <c r="C14" i="6"/>
  <c r="D26" i="6"/>
  <c r="C15" i="6"/>
  <c r="D34" i="6"/>
  <c r="D22" i="6"/>
  <c r="C22" i="6"/>
  <c r="C72" i="6"/>
  <c r="C73" i="6"/>
  <c r="P16" i="1"/>
  <c r="C66" i="5"/>
  <c r="C90" i="5"/>
  <c r="P17" i="1"/>
  <c r="D58" i="5"/>
  <c r="C71" i="5"/>
  <c r="D74" i="5"/>
  <c r="C83" i="5"/>
  <c r="C91" i="5"/>
  <c r="D474" i="5"/>
  <c r="C479" i="5"/>
  <c r="D506" i="5"/>
  <c r="C511" i="5"/>
  <c r="D533" i="5"/>
  <c r="C533" i="5"/>
  <c r="C535" i="5"/>
  <c r="D739" i="5"/>
  <c r="D750" i="5"/>
  <c r="C750" i="5"/>
  <c r="C759" i="5"/>
  <c r="C758" i="5"/>
  <c r="D760" i="5"/>
  <c r="D762" i="5"/>
  <c r="C764" i="5"/>
  <c r="C783" i="5"/>
  <c r="D810" i="5"/>
  <c r="C799" i="5"/>
  <c r="D804" i="5"/>
  <c r="D806" i="5"/>
  <c r="C817" i="5"/>
  <c r="D836" i="5"/>
  <c r="C836" i="5"/>
  <c r="D864" i="5"/>
  <c r="D876" i="5"/>
  <c r="C865" i="5"/>
  <c r="D866" i="5"/>
  <c r="D877" i="5"/>
  <c r="C877" i="5"/>
  <c r="D889" i="5"/>
  <c r="D892" i="5"/>
  <c r="C9" i="6"/>
  <c r="D72" i="6"/>
  <c r="C90" i="6"/>
  <c r="D89" i="6"/>
  <c r="C89" i="6"/>
  <c r="D146" i="6"/>
  <c r="D134" i="6"/>
  <c r="C170" i="6"/>
  <c r="D181" i="6"/>
  <c r="D210" i="6"/>
  <c r="D198" i="6"/>
  <c r="C234" i="6"/>
  <c r="D245" i="6"/>
  <c r="D274" i="6"/>
  <c r="D262" i="6"/>
  <c r="C298" i="6"/>
  <c r="D309" i="6"/>
  <c r="D338" i="6"/>
  <c r="D326" i="6"/>
  <c r="C362" i="6"/>
  <c r="D373" i="6"/>
  <c r="C402" i="6"/>
  <c r="D401" i="6"/>
  <c r="D413" i="6"/>
  <c r="C496" i="6"/>
  <c r="D495" i="6"/>
  <c r="D507" i="6"/>
  <c r="C576" i="6"/>
  <c r="D575" i="6"/>
  <c r="D587" i="6"/>
  <c r="C575" i="6"/>
  <c r="C621" i="6"/>
  <c r="D620" i="6"/>
  <c r="C620" i="6"/>
  <c r="D832" i="5"/>
  <c r="C833" i="5"/>
  <c r="D885" i="5"/>
  <c r="C885" i="5"/>
  <c r="D897" i="5"/>
  <c r="D896" i="5"/>
  <c r="C897" i="5"/>
  <c r="C26" i="6"/>
  <c r="D37" i="6"/>
  <c r="C34" i="6"/>
  <c r="D33" i="6"/>
  <c r="D100" i="6"/>
  <c r="D112" i="6"/>
  <c r="C101" i="6"/>
  <c r="C134" i="6"/>
  <c r="D149" i="6"/>
  <c r="C169" i="6"/>
  <c r="D186" i="6"/>
  <c r="D174" i="6"/>
  <c r="C198" i="6"/>
  <c r="C210" i="6"/>
  <c r="D221" i="6"/>
  <c r="C233" i="6"/>
  <c r="D250" i="6"/>
  <c r="D238" i="6"/>
  <c r="C262" i="6"/>
  <c r="C274" i="6"/>
  <c r="D285" i="6"/>
  <c r="C297" i="6"/>
  <c r="D314" i="6"/>
  <c r="D302" i="6"/>
  <c r="C326" i="6"/>
  <c r="C338" i="6"/>
  <c r="D349" i="6"/>
  <c r="C361" i="6"/>
  <c r="C401" i="6"/>
  <c r="D410" i="6"/>
  <c r="C410" i="6"/>
  <c r="D422" i="6"/>
  <c r="C495" i="6"/>
  <c r="C520" i="6"/>
  <c r="D519" i="6"/>
  <c r="C564" i="6"/>
  <c r="D581" i="6"/>
  <c r="D569" i="6"/>
  <c r="C569" i="6"/>
  <c r="D605" i="6"/>
  <c r="D593" i="6"/>
  <c r="C593" i="6"/>
  <c r="C600" i="6"/>
  <c r="D599" i="6"/>
  <c r="D611" i="6"/>
  <c r="C604" i="6"/>
  <c r="D621" i="6"/>
  <c r="D609" i="6"/>
  <c r="C609" i="6"/>
  <c r="D639" i="6"/>
  <c r="D651" i="6"/>
  <c r="C639" i="6"/>
  <c r="D138" i="6"/>
  <c r="D126" i="6"/>
  <c r="D162" i="6"/>
  <c r="D150" i="6"/>
  <c r="D169" i="6"/>
  <c r="C186" i="6"/>
  <c r="D197" i="6"/>
  <c r="D226" i="6"/>
  <c r="D214" i="6"/>
  <c r="D233" i="6"/>
  <c r="C250" i="6"/>
  <c r="D261" i="6"/>
  <c r="D290" i="6"/>
  <c r="D278" i="6"/>
  <c r="D297" i="6"/>
  <c r="C314" i="6"/>
  <c r="D325" i="6"/>
  <c r="D354" i="6"/>
  <c r="D342" i="6"/>
  <c r="D361" i="6"/>
  <c r="D469" i="6"/>
  <c r="D457" i="6"/>
  <c r="C457" i="6"/>
  <c r="C560" i="6"/>
  <c r="D559" i="6"/>
  <c r="D571" i="6"/>
  <c r="D564" i="6"/>
  <c r="D604" i="6"/>
  <c r="C629" i="6"/>
  <c r="C628" i="6"/>
  <c r="C98" i="6"/>
  <c r="D97" i="6"/>
  <c r="C126" i="6"/>
  <c r="C150" i="6"/>
  <c r="C162" i="6"/>
  <c r="D173" i="6"/>
  <c r="D202" i="6"/>
  <c r="D190" i="6"/>
  <c r="C214" i="6"/>
  <c r="C226" i="6"/>
  <c r="D237" i="6"/>
  <c r="D266" i="6"/>
  <c r="D254" i="6"/>
  <c r="C278" i="6"/>
  <c r="C290" i="6"/>
  <c r="D301" i="6"/>
  <c r="C313" i="6"/>
  <c r="D330" i="6"/>
  <c r="D318" i="6"/>
  <c r="C342" i="6"/>
  <c r="C354" i="6"/>
  <c r="D365" i="6"/>
  <c r="C395" i="6"/>
  <c r="C396" i="6"/>
  <c r="D395" i="6"/>
  <c r="C452" i="6"/>
  <c r="C559" i="6"/>
  <c r="C584" i="6"/>
  <c r="D583" i="6"/>
  <c r="D628" i="6"/>
  <c r="D130" i="6"/>
  <c r="D118" i="6"/>
  <c r="C161" i="6"/>
  <c r="D178" i="6"/>
  <c r="D166" i="6"/>
  <c r="D185" i="6"/>
  <c r="C190" i="6"/>
  <c r="C202" i="6"/>
  <c r="D213" i="6"/>
  <c r="C225" i="6"/>
  <c r="D242" i="6"/>
  <c r="D230" i="6"/>
  <c r="D249" i="6"/>
  <c r="C254" i="6"/>
  <c r="C266" i="6"/>
  <c r="D277" i="6"/>
  <c r="D306" i="6"/>
  <c r="D294" i="6"/>
  <c r="C330" i="6"/>
  <c r="D341" i="6"/>
  <c r="D370" i="6"/>
  <c r="D358" i="6"/>
  <c r="C384" i="6"/>
  <c r="D383" i="6"/>
  <c r="C448" i="6"/>
  <c r="D447" i="6"/>
  <c r="D459" i="6"/>
  <c r="C447" i="6"/>
  <c r="D492" i="6"/>
  <c r="C492" i="6"/>
  <c r="D533" i="6"/>
  <c r="D521" i="6"/>
  <c r="C521" i="6"/>
  <c r="C583" i="6"/>
  <c r="D595" i="6"/>
  <c r="C837" i="5"/>
  <c r="C838" i="5"/>
  <c r="D843" i="5"/>
  <c r="C10" i="6"/>
  <c r="C11" i="6"/>
  <c r="D39" i="6"/>
  <c r="C39" i="6"/>
  <c r="D51" i="6"/>
  <c r="D47" i="6"/>
  <c r="C47" i="6"/>
  <c r="D59" i="6"/>
  <c r="C110" i="6"/>
  <c r="C118" i="6"/>
  <c r="C137" i="6"/>
  <c r="D154" i="6"/>
  <c r="D142" i="6"/>
  <c r="D161" i="6"/>
  <c r="C166" i="6"/>
  <c r="C178" i="6"/>
  <c r="D189" i="6"/>
  <c r="C201" i="6"/>
  <c r="D218" i="6"/>
  <c r="D206" i="6"/>
  <c r="D225" i="6"/>
  <c r="C230" i="6"/>
  <c r="C242" i="6"/>
  <c r="D253" i="6"/>
  <c r="C265" i="6"/>
  <c r="D282" i="6"/>
  <c r="D270" i="6"/>
  <c r="D289" i="6"/>
  <c r="C294" i="6"/>
  <c r="C306" i="6"/>
  <c r="D317" i="6"/>
  <c r="C329" i="6"/>
  <c r="D346" i="6"/>
  <c r="D334" i="6"/>
  <c r="D353" i="6"/>
  <c r="C358" i="6"/>
  <c r="D390" i="6"/>
  <c r="D378" i="6"/>
  <c r="C378" i="6"/>
  <c r="C383" i="6"/>
  <c r="C432" i="6"/>
  <c r="D431" i="6"/>
  <c r="D443" i="6"/>
  <c r="C436" i="6"/>
  <c r="D453" i="6"/>
  <c r="D441" i="6"/>
  <c r="C441" i="6"/>
  <c r="D477" i="6"/>
  <c r="D465" i="6"/>
  <c r="C465" i="6"/>
  <c r="C472" i="6"/>
  <c r="D471" i="6"/>
  <c r="D483" i="6"/>
  <c r="C476" i="6"/>
  <c r="D493" i="6"/>
  <c r="D481" i="6"/>
  <c r="C481" i="6"/>
  <c r="C516" i="6"/>
  <c r="C522" i="5"/>
  <c r="C530" i="5"/>
  <c r="C538" i="5"/>
  <c r="C546" i="5"/>
  <c r="C554" i="5"/>
  <c r="C562" i="5"/>
  <c r="C570" i="5"/>
  <c r="C578" i="5"/>
  <c r="C586" i="5"/>
  <c r="C594" i="5"/>
  <c r="C602" i="5"/>
  <c r="C610" i="5"/>
  <c r="C618" i="5"/>
  <c r="C626" i="5"/>
  <c r="C634" i="5"/>
  <c r="C642" i="5"/>
  <c r="C650" i="5"/>
  <c r="C658" i="5"/>
  <c r="C666" i="5"/>
  <c r="C674" i="5"/>
  <c r="C682" i="5"/>
  <c r="C690" i="5"/>
  <c r="C698" i="5"/>
  <c r="C706" i="5"/>
  <c r="C740" i="5"/>
  <c r="C745" i="5"/>
  <c r="D811" i="5"/>
  <c r="D823" i="5"/>
  <c r="C829" i="5"/>
  <c r="C830" i="5"/>
  <c r="D831" i="5"/>
  <c r="C831" i="5"/>
  <c r="D837" i="5"/>
  <c r="D878" i="5"/>
  <c r="C878" i="5"/>
  <c r="C40" i="6"/>
  <c r="C41" i="6"/>
  <c r="C60" i="6"/>
  <c r="C66" i="6"/>
  <c r="D65" i="6"/>
  <c r="D110" i="6"/>
  <c r="D137" i="6"/>
  <c r="C142" i="6"/>
  <c r="C154" i="6"/>
  <c r="D165" i="6"/>
  <c r="D157" i="6"/>
  <c r="D194" i="6"/>
  <c r="D182" i="6"/>
  <c r="D201" i="6"/>
  <c r="C206" i="6"/>
  <c r="C218" i="6"/>
  <c r="D229" i="6"/>
  <c r="D258" i="6"/>
  <c r="D246" i="6"/>
  <c r="D265" i="6"/>
  <c r="C270" i="6"/>
  <c r="C282" i="6"/>
  <c r="D293" i="6"/>
  <c r="D322" i="6"/>
  <c r="D310" i="6"/>
  <c r="D329" i="6"/>
  <c r="C334" i="6"/>
  <c r="C346" i="6"/>
  <c r="D357" i="6"/>
  <c r="D476" i="6"/>
  <c r="D504" i="6"/>
  <c r="C512" i="6"/>
  <c r="D511" i="6"/>
  <c r="D523" i="6"/>
  <c r="C511" i="6"/>
  <c r="D556" i="6"/>
  <c r="C556" i="6"/>
  <c r="C581" i="6"/>
  <c r="D580" i="6"/>
  <c r="D597" i="6"/>
  <c r="D585" i="6"/>
  <c r="C585" i="6"/>
  <c r="C747" i="5"/>
  <c r="D752" i="5"/>
  <c r="C754" i="5"/>
  <c r="D768" i="5"/>
  <c r="C770" i="5"/>
  <c r="D775" i="5"/>
  <c r="D784" i="5"/>
  <c r="C786" i="5"/>
  <c r="D791" i="5"/>
  <c r="C795" i="5"/>
  <c r="D797" i="5"/>
  <c r="C803" i="5"/>
  <c r="D805" i="5"/>
  <c r="C809" i="5"/>
  <c r="C811" i="5"/>
  <c r="D813" i="5"/>
  <c r="C819" i="5"/>
  <c r="C823" i="5"/>
  <c r="D829" i="5"/>
  <c r="C849" i="5"/>
  <c r="D851" i="5"/>
  <c r="C861" i="5"/>
  <c r="C862" i="5"/>
  <c r="D863" i="5"/>
  <c r="C863" i="5"/>
  <c r="D882" i="5"/>
  <c r="C871" i="5"/>
  <c r="D872" i="5"/>
  <c r="D884" i="5"/>
  <c r="C873" i="5"/>
  <c r="D903" i="5"/>
  <c r="D891" i="5"/>
  <c r="C891" i="5"/>
  <c r="C902" i="5"/>
  <c r="C6" i="6"/>
  <c r="C7" i="6"/>
  <c r="D36" i="6"/>
  <c r="D48" i="6"/>
  <c r="C37" i="6"/>
  <c r="D40" i="6"/>
  <c r="C65" i="6"/>
  <c r="D98" i="6"/>
  <c r="D86" i="6"/>
  <c r="D103" i="6"/>
  <c r="C103" i="6"/>
  <c r="D115" i="6"/>
  <c r="D111" i="6"/>
  <c r="C111" i="6"/>
  <c r="D123" i="6"/>
  <c r="D133" i="6"/>
  <c r="C153" i="6"/>
  <c r="D170" i="6"/>
  <c r="D158" i="6"/>
  <c r="D177" i="6"/>
  <c r="C182" i="6"/>
  <c r="C194" i="6"/>
  <c r="D205" i="6"/>
  <c r="C217" i="6"/>
  <c r="D234" i="6"/>
  <c r="D222" i="6"/>
  <c r="D241" i="6"/>
  <c r="C246" i="6"/>
  <c r="C258" i="6"/>
  <c r="D269" i="6"/>
  <c r="C281" i="6"/>
  <c r="D298" i="6"/>
  <c r="D286" i="6"/>
  <c r="D305" i="6"/>
  <c r="C310" i="6"/>
  <c r="C322" i="6"/>
  <c r="D333" i="6"/>
  <c r="C345" i="6"/>
  <c r="D362" i="6"/>
  <c r="D350" i="6"/>
  <c r="D369" i="6"/>
  <c r="C374" i="6"/>
  <c r="C456" i="6"/>
  <c r="D455" i="6"/>
  <c r="C500" i="6"/>
  <c r="D517" i="6"/>
  <c r="D505" i="6"/>
  <c r="C505" i="6"/>
  <c r="D541" i="6"/>
  <c r="D529" i="6"/>
  <c r="C529" i="6"/>
  <c r="C536" i="6"/>
  <c r="D535" i="6"/>
  <c r="D547" i="6"/>
  <c r="C540" i="6"/>
  <c r="D557" i="6"/>
  <c r="D545" i="6"/>
  <c r="C545" i="6"/>
  <c r="C580" i="6"/>
  <c r="D855" i="5"/>
  <c r="D860" i="5"/>
  <c r="D867" i="5"/>
  <c r="D886" i="5"/>
  <c r="D899" i="5"/>
  <c r="D31" i="6"/>
  <c r="C31" i="6"/>
  <c r="D63" i="6"/>
  <c r="C63" i="6"/>
  <c r="D95" i="6"/>
  <c r="C95" i="6"/>
  <c r="C125" i="6"/>
  <c r="D124" i="6"/>
  <c r="C133" i="6"/>
  <c r="D132" i="6"/>
  <c r="D136" i="6"/>
  <c r="C141" i="6"/>
  <c r="D140" i="6"/>
  <c r="D144" i="6"/>
  <c r="C149" i="6"/>
  <c r="D148" i="6"/>
  <c r="D152" i="6"/>
  <c r="C157" i="6"/>
  <c r="D156" i="6"/>
  <c r="D160" i="6"/>
  <c r="C165" i="6"/>
  <c r="D164" i="6"/>
  <c r="D168" i="6"/>
  <c r="C173" i="6"/>
  <c r="D172" i="6"/>
  <c r="D176" i="6"/>
  <c r="C181" i="6"/>
  <c r="D180" i="6"/>
  <c r="D184" i="6"/>
  <c r="C189" i="6"/>
  <c r="D188" i="6"/>
  <c r="D192" i="6"/>
  <c r="C197" i="6"/>
  <c r="D196" i="6"/>
  <c r="D200" i="6"/>
  <c r="C205" i="6"/>
  <c r="D204" i="6"/>
  <c r="D208" i="6"/>
  <c r="C213" i="6"/>
  <c r="D212" i="6"/>
  <c r="D216" i="6"/>
  <c r="C221" i="6"/>
  <c r="D220" i="6"/>
  <c r="D224" i="6"/>
  <c r="C229" i="6"/>
  <c r="D228" i="6"/>
  <c r="D232" i="6"/>
  <c r="C237" i="6"/>
  <c r="D236" i="6"/>
  <c r="D240" i="6"/>
  <c r="C245" i="6"/>
  <c r="D244" i="6"/>
  <c r="D248" i="6"/>
  <c r="C253" i="6"/>
  <c r="D252" i="6"/>
  <c r="D256" i="6"/>
  <c r="C261" i="6"/>
  <c r="D260" i="6"/>
  <c r="D264" i="6"/>
  <c r="C269" i="6"/>
  <c r="D268" i="6"/>
  <c r="D272" i="6"/>
  <c r="C277" i="6"/>
  <c r="D276" i="6"/>
  <c r="D280" i="6"/>
  <c r="C285" i="6"/>
  <c r="D284" i="6"/>
  <c r="D288" i="6"/>
  <c r="C293" i="6"/>
  <c r="D292" i="6"/>
  <c r="D296" i="6"/>
  <c r="C301" i="6"/>
  <c r="D300" i="6"/>
  <c r="D304" i="6"/>
  <c r="C309" i="6"/>
  <c r="D308" i="6"/>
  <c r="D312" i="6"/>
  <c r="C317" i="6"/>
  <c r="D316" i="6"/>
  <c r="D320" i="6"/>
  <c r="C325" i="6"/>
  <c r="D324" i="6"/>
  <c r="D328" i="6"/>
  <c r="C333" i="6"/>
  <c r="D332" i="6"/>
  <c r="D336" i="6"/>
  <c r="C341" i="6"/>
  <c r="D340" i="6"/>
  <c r="D344" i="6"/>
  <c r="C349" i="6"/>
  <c r="D348" i="6"/>
  <c r="D352" i="6"/>
  <c r="C357" i="6"/>
  <c r="D356" i="6"/>
  <c r="D360" i="6"/>
  <c r="C365" i="6"/>
  <c r="D364" i="6"/>
  <c r="D368" i="6"/>
  <c r="C373" i="6"/>
  <c r="D372" i="6"/>
  <c r="D393" i="6"/>
  <c r="D381" i="6"/>
  <c r="C381" i="6"/>
  <c r="C382" i="6"/>
  <c r="D400" i="6"/>
  <c r="D412" i="6"/>
  <c r="C405" i="6"/>
  <c r="D404" i="6"/>
  <c r="D444" i="6"/>
  <c r="D464" i="6"/>
  <c r="C480" i="6"/>
  <c r="D479" i="6"/>
  <c r="D501" i="6"/>
  <c r="D489" i="6"/>
  <c r="C489" i="6"/>
  <c r="D508" i="6"/>
  <c r="D528" i="6"/>
  <c r="C544" i="6"/>
  <c r="D543" i="6"/>
  <c r="D565" i="6"/>
  <c r="D553" i="6"/>
  <c r="C553" i="6"/>
  <c r="D572" i="6"/>
  <c r="D592" i="6"/>
  <c r="C608" i="6"/>
  <c r="D607" i="6"/>
  <c r="D629" i="6"/>
  <c r="D617" i="6"/>
  <c r="C617" i="6"/>
  <c r="D636" i="6"/>
  <c r="C656" i="6"/>
  <c r="D32" i="7"/>
  <c r="C52" i="7"/>
  <c r="D89" i="7"/>
  <c r="D77" i="7"/>
  <c r="C77" i="7"/>
  <c r="D87" i="7"/>
  <c r="D96" i="7"/>
  <c r="C116" i="7"/>
  <c r="D141" i="7"/>
  <c r="C141" i="7"/>
  <c r="D151" i="7"/>
  <c r="D160" i="7"/>
  <c r="D165" i="7"/>
  <c r="C165" i="7"/>
  <c r="D192" i="7"/>
  <c r="D197" i="7"/>
  <c r="C197" i="7"/>
  <c r="C219" i="7"/>
  <c r="D224" i="7"/>
  <c r="D229" i="7"/>
  <c r="C229" i="7"/>
  <c r="D657" i="6"/>
  <c r="C657" i="6"/>
  <c r="D65" i="7"/>
  <c r="D53" i="7"/>
  <c r="C53" i="7"/>
  <c r="D129" i="7"/>
  <c r="D117" i="7"/>
  <c r="C117" i="7"/>
  <c r="D645" i="6"/>
  <c r="D633" i="6"/>
  <c r="C633" i="6"/>
  <c r="C647" i="6"/>
  <c r="C15" i="7"/>
  <c r="C19" i="7"/>
  <c r="D41" i="7"/>
  <c r="D29" i="7"/>
  <c r="C29" i="7"/>
  <c r="C43" i="7"/>
  <c r="C88" i="7"/>
  <c r="D105" i="7"/>
  <c r="D93" i="7"/>
  <c r="C93" i="7"/>
  <c r="C107" i="7"/>
  <c r="C152" i="7"/>
  <c r="D157" i="7"/>
  <c r="C157" i="7"/>
  <c r="C179" i="7"/>
  <c r="D189" i="7"/>
  <c r="C189" i="7"/>
  <c r="C211" i="7"/>
  <c r="D221" i="7"/>
  <c r="C221" i="7"/>
  <c r="C648" i="6"/>
  <c r="C20" i="7"/>
  <c r="C44" i="7"/>
  <c r="C64" i="7"/>
  <c r="D81" i="7"/>
  <c r="D69" i="7"/>
  <c r="C69" i="7"/>
  <c r="C83" i="7"/>
  <c r="D88" i="7"/>
  <c r="C108" i="7"/>
  <c r="C128" i="7"/>
  <c r="D133" i="7"/>
  <c r="C133" i="7"/>
  <c r="C147" i="7"/>
  <c r="D152" i="7"/>
  <c r="C176" i="7"/>
  <c r="C180" i="7"/>
  <c r="C208" i="7"/>
  <c r="C212" i="7"/>
  <c r="D247" i="7"/>
  <c r="D235" i="7"/>
  <c r="D649" i="6"/>
  <c r="C649" i="6"/>
  <c r="D659" i="6"/>
  <c r="C663" i="6"/>
  <c r="D33" i="7"/>
  <c r="D21" i="7"/>
  <c r="C21" i="7"/>
  <c r="D57" i="7"/>
  <c r="D45" i="7"/>
  <c r="C45" i="7"/>
  <c r="D55" i="7"/>
  <c r="D109" i="7"/>
  <c r="C109" i="7"/>
  <c r="D119" i="7"/>
  <c r="D181" i="7"/>
  <c r="C181" i="7"/>
  <c r="D213" i="7"/>
  <c r="C213" i="7"/>
  <c r="C244" i="7"/>
  <c r="D244" i="7"/>
  <c r="C821" i="5"/>
  <c r="D848" i="5"/>
  <c r="C853" i="5"/>
  <c r="C876" i="5"/>
  <c r="D880" i="5"/>
  <c r="D893" i="5"/>
  <c r="C893" i="5"/>
  <c r="C42" i="6"/>
  <c r="D53" i="6"/>
  <c r="D44" i="6"/>
  <c r="C48" i="6"/>
  <c r="D69" i="6"/>
  <c r="D76" i="6"/>
  <c r="C80" i="6"/>
  <c r="D101" i="6"/>
  <c r="D108" i="6"/>
  <c r="C112" i="6"/>
  <c r="C411" i="6"/>
  <c r="C412" i="6"/>
  <c r="D411" i="6"/>
  <c r="D445" i="6"/>
  <c r="D433" i="6"/>
  <c r="C433" i="6"/>
  <c r="D472" i="6"/>
  <c r="C488" i="6"/>
  <c r="D487" i="6"/>
  <c r="D509" i="6"/>
  <c r="D497" i="6"/>
  <c r="C497" i="6"/>
  <c r="D536" i="6"/>
  <c r="C552" i="6"/>
  <c r="D551" i="6"/>
  <c r="D573" i="6"/>
  <c r="D561" i="6"/>
  <c r="C561" i="6"/>
  <c r="D600" i="6"/>
  <c r="C616" i="6"/>
  <c r="D615" i="6"/>
  <c r="D637" i="6"/>
  <c r="D625" i="6"/>
  <c r="C625" i="6"/>
  <c r="D635" i="6"/>
  <c r="D644" i="6"/>
  <c r="C11" i="7"/>
  <c r="D31" i="7"/>
  <c r="C35" i="7"/>
  <c r="D40" i="7"/>
  <c r="C60" i="7"/>
  <c r="C80" i="7"/>
  <c r="D97" i="7"/>
  <c r="D85" i="7"/>
  <c r="C85" i="7"/>
  <c r="D95" i="7"/>
  <c r="C99" i="7"/>
  <c r="D104" i="7"/>
  <c r="C124" i="7"/>
  <c r="C144" i="7"/>
  <c r="D149" i="7"/>
  <c r="C149" i="7"/>
  <c r="D159" i="7"/>
  <c r="C168" i="7"/>
  <c r="C172" i="7"/>
  <c r="D191" i="7"/>
  <c r="C200" i="7"/>
  <c r="C204" i="7"/>
  <c r="D223" i="7"/>
  <c r="D227" i="7"/>
  <c r="D239" i="7"/>
  <c r="C232" i="7"/>
  <c r="C240" i="7"/>
  <c r="C262" i="7"/>
  <c r="D261" i="7"/>
  <c r="C261" i="7"/>
  <c r="D23" i="6"/>
  <c r="C23" i="6"/>
  <c r="D55" i="6"/>
  <c r="C55" i="6"/>
  <c r="D87" i="6"/>
  <c r="C87" i="6"/>
  <c r="D119" i="6"/>
  <c r="C119" i="6"/>
  <c r="D127" i="6"/>
  <c r="C127" i="6"/>
  <c r="D135" i="6"/>
  <c r="C135" i="6"/>
  <c r="D143" i="6"/>
  <c r="C143" i="6"/>
  <c r="D151" i="6"/>
  <c r="C151" i="6"/>
  <c r="D159" i="6"/>
  <c r="C159" i="6"/>
  <c r="D167" i="6"/>
  <c r="C167" i="6"/>
  <c r="D175" i="6"/>
  <c r="C175" i="6"/>
  <c r="D183" i="6"/>
  <c r="C183" i="6"/>
  <c r="D191" i="6"/>
  <c r="C191" i="6"/>
  <c r="D199" i="6"/>
  <c r="C199" i="6"/>
  <c r="D207" i="6"/>
  <c r="C207" i="6"/>
  <c r="D215" i="6"/>
  <c r="C215" i="6"/>
  <c r="D223" i="6"/>
  <c r="C223" i="6"/>
  <c r="D231" i="6"/>
  <c r="C231" i="6"/>
  <c r="D239" i="6"/>
  <c r="C239" i="6"/>
  <c r="D247" i="6"/>
  <c r="C247" i="6"/>
  <c r="D255" i="6"/>
  <c r="C255" i="6"/>
  <c r="D263" i="6"/>
  <c r="C263" i="6"/>
  <c r="D271" i="6"/>
  <c r="C271" i="6"/>
  <c r="D279" i="6"/>
  <c r="C279" i="6"/>
  <c r="D287" i="6"/>
  <c r="C287" i="6"/>
  <c r="D295" i="6"/>
  <c r="C295" i="6"/>
  <c r="D303" i="6"/>
  <c r="C303" i="6"/>
  <c r="D311" i="6"/>
  <c r="C311" i="6"/>
  <c r="D319" i="6"/>
  <c r="C319" i="6"/>
  <c r="D327" i="6"/>
  <c r="C327" i="6"/>
  <c r="D335" i="6"/>
  <c r="C335" i="6"/>
  <c r="D343" i="6"/>
  <c r="C343" i="6"/>
  <c r="D351" i="6"/>
  <c r="C351" i="6"/>
  <c r="D359" i="6"/>
  <c r="C359" i="6"/>
  <c r="D367" i="6"/>
  <c r="C367" i="6"/>
  <c r="D387" i="6"/>
  <c r="D375" i="6"/>
  <c r="C375" i="6"/>
  <c r="D392" i="6"/>
  <c r="C393" i="6"/>
  <c r="D448" i="6"/>
  <c r="C464" i="6"/>
  <c r="D463" i="6"/>
  <c r="C468" i="6"/>
  <c r="D485" i="6"/>
  <c r="D473" i="6"/>
  <c r="C473" i="6"/>
  <c r="C487" i="6"/>
  <c r="D512" i="6"/>
  <c r="C528" i="6"/>
  <c r="D527" i="6"/>
  <c r="C532" i="6"/>
  <c r="D549" i="6"/>
  <c r="D537" i="6"/>
  <c r="C537" i="6"/>
  <c r="C551" i="6"/>
  <c r="D576" i="6"/>
  <c r="C592" i="6"/>
  <c r="D591" i="6"/>
  <c r="C596" i="6"/>
  <c r="D613" i="6"/>
  <c r="D601" i="6"/>
  <c r="C601" i="6"/>
  <c r="C615" i="6"/>
  <c r="C640" i="6"/>
  <c r="C660" i="6"/>
  <c r="C36" i="7"/>
  <c r="D73" i="7"/>
  <c r="D61" i="7"/>
  <c r="C61" i="7"/>
  <c r="D71" i="7"/>
  <c r="D80" i="7"/>
  <c r="C100" i="7"/>
  <c r="C120" i="7"/>
  <c r="D137" i="7"/>
  <c r="D125" i="7"/>
  <c r="C125" i="7"/>
  <c r="D135" i="7"/>
  <c r="C139" i="7"/>
  <c r="D144" i="7"/>
  <c r="D168" i="7"/>
  <c r="D173" i="7"/>
  <c r="C173" i="7"/>
  <c r="D200" i="7"/>
  <c r="D205" i="7"/>
  <c r="C205" i="7"/>
  <c r="C227" i="7"/>
  <c r="D232" i="7"/>
  <c r="D240" i="7"/>
  <c r="D840" i="5"/>
  <c r="C845" i="5"/>
  <c r="D865" i="5"/>
  <c r="D869" i="5"/>
  <c r="C869" i="5"/>
  <c r="C884" i="5"/>
  <c r="D888" i="5"/>
  <c r="D901" i="5"/>
  <c r="C901" i="5"/>
  <c r="C18" i="6"/>
  <c r="D29" i="6"/>
  <c r="C24" i="6"/>
  <c r="D41" i="6"/>
  <c r="D45" i="6"/>
  <c r="D52" i="6"/>
  <c r="C56" i="6"/>
  <c r="D73" i="6"/>
  <c r="D77" i="6"/>
  <c r="D84" i="6"/>
  <c r="C88" i="6"/>
  <c r="D105" i="6"/>
  <c r="D109" i="6"/>
  <c r="D116" i="6"/>
  <c r="C120" i="6"/>
  <c r="C128" i="6"/>
  <c r="D131" i="6"/>
  <c r="C136" i="6"/>
  <c r="D139" i="6"/>
  <c r="C144" i="6"/>
  <c r="D147" i="6"/>
  <c r="C152" i="6"/>
  <c r="D155" i="6"/>
  <c r="C160" i="6"/>
  <c r="D163" i="6"/>
  <c r="C168" i="6"/>
  <c r="D171" i="6"/>
  <c r="C176" i="6"/>
  <c r="D179" i="6"/>
  <c r="C184" i="6"/>
  <c r="D187" i="6"/>
  <c r="C192" i="6"/>
  <c r="D195" i="6"/>
  <c r="C200" i="6"/>
  <c r="D203" i="6"/>
  <c r="C208" i="6"/>
  <c r="D211" i="6"/>
  <c r="C216" i="6"/>
  <c r="D219" i="6"/>
  <c r="C224" i="6"/>
  <c r="D227" i="6"/>
  <c r="C232" i="6"/>
  <c r="D235" i="6"/>
  <c r="C240" i="6"/>
  <c r="D243" i="6"/>
  <c r="C248" i="6"/>
  <c r="D251" i="6"/>
  <c r="C256" i="6"/>
  <c r="D259" i="6"/>
  <c r="C264" i="6"/>
  <c r="D267" i="6"/>
  <c r="C272" i="6"/>
  <c r="D275" i="6"/>
  <c r="C280" i="6"/>
  <c r="D283" i="6"/>
  <c r="C288" i="6"/>
  <c r="D291" i="6"/>
  <c r="C296" i="6"/>
  <c r="D299" i="6"/>
  <c r="C304" i="6"/>
  <c r="D307" i="6"/>
  <c r="C312" i="6"/>
  <c r="D315" i="6"/>
  <c r="C320" i="6"/>
  <c r="D323" i="6"/>
  <c r="C328" i="6"/>
  <c r="D331" i="6"/>
  <c r="C336" i="6"/>
  <c r="D339" i="6"/>
  <c r="C344" i="6"/>
  <c r="D347" i="6"/>
  <c r="C352" i="6"/>
  <c r="D355" i="6"/>
  <c r="C360" i="6"/>
  <c r="D363" i="6"/>
  <c r="C368" i="6"/>
  <c r="D371" i="6"/>
  <c r="C376" i="6"/>
  <c r="C392" i="6"/>
  <c r="D403" i="6"/>
  <c r="D407" i="6"/>
  <c r="D419" i="6"/>
  <c r="C408" i="6"/>
  <c r="C407" i="6"/>
  <c r="D437" i="6"/>
  <c r="D425" i="6"/>
  <c r="C425" i="6"/>
  <c r="C440" i="6"/>
  <c r="D439" i="6"/>
  <c r="D461" i="6"/>
  <c r="D449" i="6"/>
  <c r="C449" i="6"/>
  <c r="C463" i="6"/>
  <c r="D468" i="6"/>
  <c r="D488" i="6"/>
  <c r="C504" i="6"/>
  <c r="D503" i="6"/>
  <c r="D525" i="6"/>
  <c r="D513" i="6"/>
  <c r="C513" i="6"/>
  <c r="C527" i="6"/>
  <c r="D552" i="6"/>
  <c r="C568" i="6"/>
  <c r="D567" i="6"/>
  <c r="C572" i="6"/>
  <c r="D589" i="6"/>
  <c r="D577" i="6"/>
  <c r="C577" i="6"/>
  <c r="C591" i="6"/>
  <c r="D596" i="6"/>
  <c r="D616" i="6"/>
  <c r="C636" i="6"/>
  <c r="D653" i="6"/>
  <c r="D641" i="6"/>
  <c r="C641" i="6"/>
  <c r="C655" i="6"/>
  <c r="D660" i="6"/>
  <c r="D23" i="7"/>
  <c r="D27" i="7"/>
  <c r="C32" i="7"/>
  <c r="D49" i="7"/>
  <c r="D37" i="7"/>
  <c r="C37" i="7"/>
  <c r="D47" i="7"/>
  <c r="C51" i="7"/>
  <c r="D56" i="7"/>
  <c r="C76" i="7"/>
  <c r="C96" i="7"/>
  <c r="D101" i="7"/>
  <c r="C101" i="7"/>
  <c r="D111" i="7"/>
  <c r="C115" i="7"/>
  <c r="D120" i="7"/>
  <c r="C140" i="7"/>
  <c r="C160" i="7"/>
  <c r="C164" i="7"/>
  <c r="D183" i="7"/>
  <c r="C192" i="7"/>
  <c r="C196" i="7"/>
  <c r="D215" i="7"/>
  <c r="C224" i="7"/>
  <c r="C228" i="7"/>
  <c r="D253" i="7"/>
  <c r="C253" i="7"/>
  <c r="D416" i="6"/>
  <c r="D423" i="6"/>
  <c r="C427" i="6"/>
  <c r="C435" i="6"/>
  <c r="C443" i="6"/>
  <c r="C451" i="6"/>
  <c r="C459" i="6"/>
  <c r="C467" i="6"/>
  <c r="C475" i="6"/>
  <c r="C483" i="6"/>
  <c r="C491" i="6"/>
  <c r="C499" i="6"/>
  <c r="C507" i="6"/>
  <c r="C515" i="6"/>
  <c r="C523" i="6"/>
  <c r="C531" i="6"/>
  <c r="C539" i="6"/>
  <c r="C547" i="6"/>
  <c r="C555" i="6"/>
  <c r="C563" i="6"/>
  <c r="C571" i="6"/>
  <c r="C579" i="6"/>
  <c r="C587" i="6"/>
  <c r="C595" i="6"/>
  <c r="C603" i="6"/>
  <c r="C611" i="6"/>
  <c r="C619" i="6"/>
  <c r="C627" i="6"/>
  <c r="C635" i="6"/>
  <c r="C643" i="6"/>
  <c r="C651" i="6"/>
  <c r="C659" i="6"/>
  <c r="C8" i="7"/>
  <c r="C23" i="7"/>
  <c r="C31" i="7"/>
  <c r="C39" i="7"/>
  <c r="C47" i="7"/>
  <c r="C55" i="7"/>
  <c r="C63" i="7"/>
  <c r="C71" i="7"/>
  <c r="C79" i="7"/>
  <c r="C87" i="7"/>
  <c r="C95" i="7"/>
  <c r="C103" i="7"/>
  <c r="C111" i="7"/>
  <c r="C119" i="7"/>
  <c r="C127" i="7"/>
  <c r="D276" i="7"/>
  <c r="D289" i="7"/>
  <c r="D301" i="7"/>
  <c r="C308" i="7"/>
  <c r="D308" i="7"/>
  <c r="D321" i="7"/>
  <c r="D333" i="7"/>
  <c r="D326" i="7"/>
  <c r="C326" i="7"/>
  <c r="C327" i="7"/>
  <c r="D364" i="7"/>
  <c r="C364" i="7"/>
  <c r="C369" i="7"/>
  <c r="D381" i="7"/>
  <c r="D294" i="7"/>
  <c r="C294" i="7"/>
  <c r="C295" i="7"/>
  <c r="C332" i="7"/>
  <c r="D344" i="7"/>
  <c r="D351" i="7"/>
  <c r="C351" i="7"/>
  <c r="C352" i="7"/>
  <c r="C365" i="7"/>
  <c r="C366" i="7"/>
  <c r="D392" i="7"/>
  <c r="D380" i="7"/>
  <c r="C254" i="7"/>
  <c r="D273" i="7"/>
  <c r="C273" i="7"/>
  <c r="C286" i="7"/>
  <c r="D290" i="7"/>
  <c r="C290" i="7"/>
  <c r="C291" i="7"/>
  <c r="C300" i="7"/>
  <c r="D312" i="7"/>
  <c r="C318" i="7"/>
  <c r="D322" i="7"/>
  <c r="C322" i="7"/>
  <c r="C323" i="7"/>
  <c r="D332" i="7"/>
  <c r="D365" i="7"/>
  <c r="C380" i="7"/>
  <c r="C245" i="7"/>
  <c r="C249" i="7"/>
  <c r="D282" i="7"/>
  <c r="C282" i="7"/>
  <c r="D286" i="7"/>
  <c r="D300" i="7"/>
  <c r="D314" i="7"/>
  <c r="C314" i="7"/>
  <c r="D318" i="7"/>
  <c r="C333" i="7"/>
  <c r="C344" i="7"/>
  <c r="D355" i="7"/>
  <c r="C343" i="7"/>
  <c r="C357" i="7"/>
  <c r="C358" i="7"/>
  <c r="C378" i="7"/>
  <c r="D377" i="7"/>
  <c r="D250" i="7"/>
  <c r="C250" i="7"/>
  <c r="C258" i="7"/>
  <c r="D262" i="7"/>
  <c r="C271" i="7"/>
  <c r="D270" i="7"/>
  <c r="D295" i="7"/>
  <c r="D283" i="7"/>
  <c r="C301" i="7"/>
  <c r="D327" i="7"/>
  <c r="D315" i="7"/>
  <c r="D343" i="7"/>
  <c r="D357" i="7"/>
  <c r="D384" i="7"/>
  <c r="C372" i="7"/>
  <c r="C377" i="7"/>
  <c r="D384" i="6"/>
  <c r="C387" i="6"/>
  <c r="D418" i="6"/>
  <c r="C418" i="6"/>
  <c r="C429" i="6"/>
  <c r="C437" i="6"/>
  <c r="C445" i="6"/>
  <c r="C453" i="6"/>
  <c r="C493" i="6"/>
  <c r="C509" i="6"/>
  <c r="C517" i="6"/>
  <c r="C525" i="6"/>
  <c r="C533" i="6"/>
  <c r="C549" i="6"/>
  <c r="C557" i="6"/>
  <c r="D661" i="6"/>
  <c r="D113" i="7"/>
  <c r="D121" i="7"/>
  <c r="D145" i="7"/>
  <c r="D153" i="7"/>
  <c r="D161" i="7"/>
  <c r="D169" i="7"/>
  <c r="D177" i="7"/>
  <c r="D185" i="7"/>
  <c r="D193" i="7"/>
  <c r="D201" i="7"/>
  <c r="D209" i="7"/>
  <c r="D217" i="7"/>
  <c r="D225" i="7"/>
  <c r="D233" i="7"/>
  <c r="D241" i="7"/>
  <c r="C241" i="7"/>
  <c r="C246" i="7"/>
  <c r="C251" i="7"/>
  <c r="D258" i="7"/>
  <c r="C270" i="7"/>
  <c r="C283" i="7"/>
  <c r="C315" i="7"/>
  <c r="D329" i="7"/>
  <c r="C329" i="7"/>
  <c r="C339" i="7"/>
  <c r="D372" i="7"/>
  <c r="D415" i="6"/>
  <c r="D246" i="7"/>
  <c r="D279" i="7"/>
  <c r="D297" i="7"/>
  <c r="D309" i="7"/>
  <c r="C297" i="7"/>
  <c r="C307" i="7"/>
  <c r="D354" i="7"/>
  <c r="C355" i="7"/>
  <c r="C354" i="7"/>
  <c r="D376" i="6"/>
  <c r="C379" i="6"/>
  <c r="D426" i="6"/>
  <c r="C426" i="6"/>
  <c r="D434" i="6"/>
  <c r="C434" i="6"/>
  <c r="D442" i="6"/>
  <c r="C442" i="6"/>
  <c r="D450" i="6"/>
  <c r="C450" i="6"/>
  <c r="D458" i="6"/>
  <c r="C458" i="6"/>
  <c r="D466" i="6"/>
  <c r="C466" i="6"/>
  <c r="D474" i="6"/>
  <c r="C474" i="6"/>
  <c r="D482" i="6"/>
  <c r="C482" i="6"/>
  <c r="D490" i="6"/>
  <c r="C490" i="6"/>
  <c r="D498" i="6"/>
  <c r="C498" i="6"/>
  <c r="D506" i="6"/>
  <c r="C506" i="6"/>
  <c r="D514" i="6"/>
  <c r="C514" i="6"/>
  <c r="D522" i="6"/>
  <c r="C522" i="6"/>
  <c r="D530" i="6"/>
  <c r="C530" i="6"/>
  <c r="D538" i="6"/>
  <c r="C538" i="6"/>
  <c r="D546" i="6"/>
  <c r="C546" i="6"/>
  <c r="D554" i="6"/>
  <c r="C554" i="6"/>
  <c r="D562" i="6"/>
  <c r="C562" i="6"/>
  <c r="D570" i="6"/>
  <c r="C570" i="6"/>
  <c r="D578" i="6"/>
  <c r="C578" i="6"/>
  <c r="D586" i="6"/>
  <c r="C586" i="6"/>
  <c r="D594" i="6"/>
  <c r="C594" i="6"/>
  <c r="D602" i="6"/>
  <c r="C602" i="6"/>
  <c r="D610" i="6"/>
  <c r="C610" i="6"/>
  <c r="D618" i="6"/>
  <c r="C618" i="6"/>
  <c r="D626" i="6"/>
  <c r="C626" i="6"/>
  <c r="D634" i="6"/>
  <c r="C634" i="6"/>
  <c r="D642" i="6"/>
  <c r="C642" i="6"/>
  <c r="D650" i="6"/>
  <c r="C650" i="6"/>
  <c r="D658" i="6"/>
  <c r="C658" i="6"/>
  <c r="D22" i="7"/>
  <c r="C22" i="7"/>
  <c r="D30" i="7"/>
  <c r="C30" i="7"/>
  <c r="D38" i="7"/>
  <c r="C38" i="7"/>
  <c r="D46" i="7"/>
  <c r="C46" i="7"/>
  <c r="D54" i="7"/>
  <c r="C54" i="7"/>
  <c r="D62" i="7"/>
  <c r="C62" i="7"/>
  <c r="D70" i="7"/>
  <c r="C70" i="7"/>
  <c r="D78" i="7"/>
  <c r="C78" i="7"/>
  <c r="D86" i="7"/>
  <c r="C86" i="7"/>
  <c r="D94" i="7"/>
  <c r="C94" i="7"/>
  <c r="D102" i="7"/>
  <c r="C102" i="7"/>
  <c r="D110" i="7"/>
  <c r="C110" i="7"/>
  <c r="D118" i="7"/>
  <c r="C118" i="7"/>
  <c r="D126" i="7"/>
  <c r="C126" i="7"/>
  <c r="D134" i="7"/>
  <c r="C134" i="7"/>
  <c r="D142" i="7"/>
  <c r="C142" i="7"/>
  <c r="D150" i="7"/>
  <c r="C150" i="7"/>
  <c r="D158" i="7"/>
  <c r="C158" i="7"/>
  <c r="D166" i="7"/>
  <c r="C166" i="7"/>
  <c r="D174" i="7"/>
  <c r="C174" i="7"/>
  <c r="D182" i="7"/>
  <c r="C182" i="7"/>
  <c r="D190" i="7"/>
  <c r="C190" i="7"/>
  <c r="D198" i="7"/>
  <c r="C198" i="7"/>
  <c r="D206" i="7"/>
  <c r="C206" i="7"/>
  <c r="D214" i="7"/>
  <c r="C214" i="7"/>
  <c r="D222" i="7"/>
  <c r="C222" i="7"/>
  <c r="D230" i="7"/>
  <c r="C230" i="7"/>
  <c r="C239" i="7"/>
  <c r="D238" i="7"/>
  <c r="D256" i="7"/>
  <c r="C267" i="7"/>
  <c r="D288" i="7"/>
  <c r="D307" i="7"/>
  <c r="D320" i="7"/>
  <c r="D352" i="7"/>
  <c r="C340" i="7"/>
  <c r="D340" i="7"/>
  <c r="D374" i="7"/>
  <c r="C374" i="7"/>
  <c r="D624" i="6"/>
  <c r="D632" i="6"/>
  <c r="D640" i="6"/>
  <c r="D648" i="6"/>
  <c r="D656" i="6"/>
  <c r="D20" i="7"/>
  <c r="D28" i="7"/>
  <c r="D36" i="7"/>
  <c r="D44" i="7"/>
  <c r="D52" i="7"/>
  <c r="D60" i="7"/>
  <c r="D68" i="7"/>
  <c r="D76" i="7"/>
  <c r="D84" i="7"/>
  <c r="D92" i="7"/>
  <c r="D100" i="7"/>
  <c r="D108" i="7"/>
  <c r="D116" i="7"/>
  <c r="D124" i="7"/>
  <c r="D132" i="7"/>
  <c r="D140" i="7"/>
  <c r="D148" i="7"/>
  <c r="D156" i="7"/>
  <c r="D164" i="7"/>
  <c r="D172" i="7"/>
  <c r="D180" i="7"/>
  <c r="D188" i="7"/>
  <c r="D196" i="7"/>
  <c r="D204" i="7"/>
  <c r="D212" i="7"/>
  <c r="D220" i="7"/>
  <c r="D228" i="7"/>
  <c r="D242" i="7"/>
  <c r="D245" i="7"/>
  <c r="D257" i="7"/>
  <c r="C260" i="7"/>
  <c r="D271" i="7"/>
  <c r="D281" i="7"/>
  <c r="C285" i="7"/>
  <c r="C292" i="7"/>
  <c r="C299" i="7"/>
  <c r="D302" i="7"/>
  <c r="D306" i="7"/>
  <c r="C306" i="7"/>
  <c r="C317" i="7"/>
  <c r="C324" i="7"/>
  <c r="D334" i="7"/>
  <c r="D338" i="7"/>
  <c r="C338" i="7"/>
  <c r="D345" i="7"/>
  <c r="D363" i="7"/>
  <c r="D371" i="7"/>
  <c r="D416" i="7"/>
  <c r="C404" i="7"/>
  <c r="D418" i="7"/>
  <c r="D430" i="7"/>
  <c r="C423" i="7"/>
  <c r="C422" i="7"/>
  <c r="D448" i="7"/>
  <c r="D436" i="7"/>
  <c r="D445" i="7"/>
  <c r="C445" i="7"/>
  <c r="D457" i="7"/>
  <c r="D472" i="7"/>
  <c r="D460" i="7"/>
  <c r="D509" i="7"/>
  <c r="C509" i="7"/>
  <c r="D521" i="7"/>
  <c r="D536" i="7"/>
  <c r="D524" i="7"/>
  <c r="C602" i="7"/>
  <c r="D601" i="7"/>
  <c r="D604" i="7"/>
  <c r="D18" i="8"/>
  <c r="C18" i="8"/>
  <c r="C24" i="8"/>
  <c r="C108" i="8"/>
  <c r="D107" i="8"/>
  <c r="C107" i="8"/>
  <c r="C148" i="8"/>
  <c r="D164" i="8"/>
  <c r="C164" i="8"/>
  <c r="D219" i="8"/>
  <c r="D222" i="8"/>
  <c r="C222" i="8"/>
  <c r="C223" i="8"/>
  <c r="D262" i="8"/>
  <c r="C263" i="8"/>
  <c r="C262" i="8"/>
  <c r="D408" i="7"/>
  <c r="D396" i="7"/>
  <c r="C396" i="7"/>
  <c r="D485" i="7"/>
  <c r="C485" i="7"/>
  <c r="D497" i="7"/>
  <c r="D512" i="7"/>
  <c r="D500" i="7"/>
  <c r="D549" i="7"/>
  <c r="C549" i="7"/>
  <c r="D561" i="7"/>
  <c r="C16" i="8"/>
  <c r="D27" i="8"/>
  <c r="D69" i="8"/>
  <c r="C69" i="8"/>
  <c r="D81" i="8"/>
  <c r="C138" i="8"/>
  <c r="C137" i="8"/>
  <c r="D213" i="8"/>
  <c r="C213" i="8"/>
  <c r="D225" i="8"/>
  <c r="D238" i="8"/>
  <c r="C238" i="8"/>
  <c r="C239" i="8"/>
  <c r="D256" i="8"/>
  <c r="C257" i="8"/>
  <c r="C256" i="8"/>
  <c r="C343" i="8"/>
  <c r="D343" i="8"/>
  <c r="C402" i="7"/>
  <c r="C401" i="7"/>
  <c r="C409" i="7"/>
  <c r="D437" i="7"/>
  <c r="C437" i="7"/>
  <c r="D449" i="7"/>
  <c r="D461" i="7"/>
  <c r="C461" i="7"/>
  <c r="D473" i="7"/>
  <c r="D488" i="7"/>
  <c r="D476" i="7"/>
  <c r="C500" i="7"/>
  <c r="D525" i="7"/>
  <c r="C525" i="7"/>
  <c r="D537" i="7"/>
  <c r="D552" i="7"/>
  <c r="D540" i="7"/>
  <c r="D605" i="7"/>
  <c r="D593" i="7"/>
  <c r="C593" i="7"/>
  <c r="D658" i="7"/>
  <c r="C658" i="7"/>
  <c r="C15" i="8"/>
  <c r="D137" i="8"/>
  <c r="D197" i="8"/>
  <c r="C197" i="8"/>
  <c r="D209" i="8"/>
  <c r="D210" i="8"/>
  <c r="C211" i="8"/>
  <c r="C210" i="8"/>
  <c r="C218" i="8"/>
  <c r="D217" i="8"/>
  <c r="C217" i="8"/>
  <c r="C302" i="8"/>
  <c r="D386" i="7"/>
  <c r="D389" i="7"/>
  <c r="D401" i="7"/>
  <c r="D409" i="7"/>
  <c r="D440" i="7"/>
  <c r="D428" i="7"/>
  <c r="D464" i="7"/>
  <c r="D452" i="7"/>
  <c r="C476" i="7"/>
  <c r="D501" i="7"/>
  <c r="C501" i="7"/>
  <c r="D513" i="7"/>
  <c r="D528" i="7"/>
  <c r="D516" i="7"/>
  <c r="C540" i="7"/>
  <c r="D577" i="7"/>
  <c r="D565" i="7"/>
  <c r="C565" i="7"/>
  <c r="C584" i="7"/>
  <c r="D640" i="7"/>
  <c r="C640" i="7"/>
  <c r="D652" i="7"/>
  <c r="C650" i="7"/>
  <c r="C6" i="8"/>
  <c r="D17" i="8"/>
  <c r="C60" i="8"/>
  <c r="D59" i="8"/>
  <c r="C59" i="8"/>
  <c r="D66" i="8"/>
  <c r="C67" i="8"/>
  <c r="C66" i="8"/>
  <c r="D131" i="8"/>
  <c r="D119" i="8"/>
  <c r="C119" i="8"/>
  <c r="C120" i="8"/>
  <c r="D178" i="8"/>
  <c r="C179" i="8"/>
  <c r="D181" i="8"/>
  <c r="C181" i="8"/>
  <c r="C182" i="8"/>
  <c r="D193" i="8"/>
  <c r="D194" i="8"/>
  <c r="C195" i="8"/>
  <c r="D214" i="8"/>
  <c r="C215" i="8"/>
  <c r="C214" i="8"/>
  <c r="D405" i="7"/>
  <c r="D393" i="7"/>
  <c r="C393" i="7"/>
  <c r="D398" i="7"/>
  <c r="D413" i="7"/>
  <c r="D477" i="7"/>
  <c r="C477" i="7"/>
  <c r="D489" i="7"/>
  <c r="D504" i="7"/>
  <c r="D492" i="7"/>
  <c r="D541" i="7"/>
  <c r="C541" i="7"/>
  <c r="D553" i="7"/>
  <c r="D568" i="7"/>
  <c r="D556" i="7"/>
  <c r="C590" i="7"/>
  <c r="C589" i="7"/>
  <c r="D608" i="7"/>
  <c r="C608" i="7"/>
  <c r="D620" i="7"/>
  <c r="D638" i="7"/>
  <c r="D626" i="7"/>
  <c r="C626" i="7"/>
  <c r="D650" i="7"/>
  <c r="D50" i="8"/>
  <c r="C51" i="8"/>
  <c r="D53" i="8"/>
  <c r="C53" i="8"/>
  <c r="C54" i="8"/>
  <c r="D65" i="8"/>
  <c r="D77" i="8"/>
  <c r="C77" i="8"/>
  <c r="D96" i="8"/>
  <c r="C97" i="8"/>
  <c r="D112" i="8"/>
  <c r="C113" i="8"/>
  <c r="C112" i="8"/>
  <c r="C178" i="8"/>
  <c r="C194" i="8"/>
  <c r="D198" i="8"/>
  <c r="C198" i="8"/>
  <c r="D276" i="8"/>
  <c r="C277" i="8"/>
  <c r="D288" i="8"/>
  <c r="D286" i="8"/>
  <c r="C286" i="8"/>
  <c r="C277" i="7"/>
  <c r="D361" i="7"/>
  <c r="C361" i="7"/>
  <c r="D366" i="7"/>
  <c r="D383" i="7"/>
  <c r="C390" i="7"/>
  <c r="C398" i="7"/>
  <c r="D429" i="7"/>
  <c r="C429" i="7"/>
  <c r="D441" i="7"/>
  <c r="D453" i="7"/>
  <c r="C453" i="7"/>
  <c r="D465" i="7"/>
  <c r="D480" i="7"/>
  <c r="D468" i="7"/>
  <c r="C492" i="7"/>
  <c r="D517" i="7"/>
  <c r="C517" i="7"/>
  <c r="D529" i="7"/>
  <c r="D544" i="7"/>
  <c r="D532" i="7"/>
  <c r="C556" i="7"/>
  <c r="D576" i="7"/>
  <c r="D589" i="7"/>
  <c r="C618" i="7"/>
  <c r="D632" i="7"/>
  <c r="D644" i="7"/>
  <c r="C632" i="7"/>
  <c r="C50" i="8"/>
  <c r="C96" i="8"/>
  <c r="C276" i="8"/>
  <c r="C236" i="7"/>
  <c r="D265" i="7"/>
  <c r="C268" i="7"/>
  <c r="D277" i="7"/>
  <c r="C284" i="7"/>
  <c r="D298" i="7"/>
  <c r="C298" i="7"/>
  <c r="C309" i="7"/>
  <c r="C316" i="7"/>
  <c r="D330" i="7"/>
  <c r="C330" i="7"/>
  <c r="C387" i="7"/>
  <c r="C394" i="7"/>
  <c r="D411" i="7"/>
  <c r="D399" i="7"/>
  <c r="C399" i="7"/>
  <c r="C408" i="7"/>
  <c r="D419" i="7"/>
  <c r="C407" i="7"/>
  <c r="C426" i="7"/>
  <c r="C425" i="7"/>
  <c r="D456" i="7"/>
  <c r="D444" i="7"/>
  <c r="D493" i="7"/>
  <c r="C493" i="7"/>
  <c r="D505" i="7"/>
  <c r="D520" i="7"/>
  <c r="D508" i="7"/>
  <c r="D557" i="7"/>
  <c r="C557" i="7"/>
  <c r="D569" i="7"/>
  <c r="D618" i="7"/>
  <c r="D45" i="8"/>
  <c r="C45" i="8"/>
  <c r="C92" i="8"/>
  <c r="D91" i="8"/>
  <c r="D163" i="8"/>
  <c r="D151" i="8"/>
  <c r="C152" i="8"/>
  <c r="D157" i="8"/>
  <c r="C157" i="8"/>
  <c r="D169" i="8"/>
  <c r="D179" i="8"/>
  <c r="D167" i="8"/>
  <c r="C168" i="8"/>
  <c r="C199" i="8"/>
  <c r="D240" i="8"/>
  <c r="C241" i="8"/>
  <c r="D259" i="8"/>
  <c r="D247" i="8"/>
  <c r="C247" i="8"/>
  <c r="C248" i="8"/>
  <c r="D236" i="7"/>
  <c r="C265" i="7"/>
  <c r="D268" i="7"/>
  <c r="C274" i="7"/>
  <c r="D280" i="7"/>
  <c r="D284" i="7"/>
  <c r="C305" i="7"/>
  <c r="D316" i="7"/>
  <c r="D323" i="7"/>
  <c r="C337" i="7"/>
  <c r="D348" i="7"/>
  <c r="C362" i="7"/>
  <c r="D367" i="7"/>
  <c r="C367" i="7"/>
  <c r="C376" i="7"/>
  <c r="D387" i="7"/>
  <c r="C375" i="7"/>
  <c r="D395" i="7"/>
  <c r="D407" i="7"/>
  <c r="D421" i="7"/>
  <c r="C421" i="7"/>
  <c r="D433" i="7"/>
  <c r="D425" i="7"/>
  <c r="C444" i="7"/>
  <c r="D469" i="7"/>
  <c r="C469" i="7"/>
  <c r="D481" i="7"/>
  <c r="D496" i="7"/>
  <c r="D484" i="7"/>
  <c r="C508" i="7"/>
  <c r="D533" i="7"/>
  <c r="C533" i="7"/>
  <c r="D545" i="7"/>
  <c r="D560" i="7"/>
  <c r="D548" i="7"/>
  <c r="D585" i="7"/>
  <c r="C574" i="7"/>
  <c r="C573" i="7"/>
  <c r="D581" i="7"/>
  <c r="C604" i="7"/>
  <c r="D51" i="8"/>
  <c r="D39" i="8"/>
  <c r="C40" i="8"/>
  <c r="C39" i="8"/>
  <c r="D73" i="8"/>
  <c r="D61" i="8"/>
  <c r="C61" i="8"/>
  <c r="C91" i="8"/>
  <c r="D142" i="8"/>
  <c r="C142" i="8"/>
  <c r="C151" i="8"/>
  <c r="C167" i="8"/>
  <c r="C219" i="8"/>
  <c r="C240" i="8"/>
  <c r="D244" i="8"/>
  <c r="C244" i="8"/>
  <c r="D370" i="8"/>
  <c r="C370" i="8"/>
  <c r="D346" i="7"/>
  <c r="C349" i="7"/>
  <c r="D378" i="7"/>
  <c r="C381" i="7"/>
  <c r="D410" i="7"/>
  <c r="C413" i="7"/>
  <c r="C616" i="7"/>
  <c r="D615" i="7"/>
  <c r="C9" i="8"/>
  <c r="D36" i="8"/>
  <c r="D70" i="8"/>
  <c r="C70" i="8"/>
  <c r="D82" i="8"/>
  <c r="C83" i="8"/>
  <c r="D85" i="8"/>
  <c r="C85" i="8"/>
  <c r="D97" i="8"/>
  <c r="D94" i="8"/>
  <c r="C94" i="8"/>
  <c r="C95" i="8"/>
  <c r="D116" i="8"/>
  <c r="C116" i="8"/>
  <c r="D274" i="8"/>
  <c r="C275" i="8"/>
  <c r="C334" i="8"/>
  <c r="D334" i="8"/>
  <c r="D338" i="8"/>
  <c r="C338" i="8"/>
  <c r="D350" i="8"/>
  <c r="D354" i="8"/>
  <c r="C354" i="8"/>
  <c r="C341" i="7"/>
  <c r="C373" i="7"/>
  <c r="C405" i="7"/>
  <c r="C424" i="7"/>
  <c r="D435" i="7"/>
  <c r="D426" i="7"/>
  <c r="C430" i="7"/>
  <c r="C438" i="7"/>
  <c r="C446" i="7"/>
  <c r="C454" i="7"/>
  <c r="C462" i="7"/>
  <c r="C470" i="7"/>
  <c r="C478" i="7"/>
  <c r="C486" i="7"/>
  <c r="C494" i="7"/>
  <c r="C502" i="7"/>
  <c r="C510" i="7"/>
  <c r="C518" i="7"/>
  <c r="C526" i="7"/>
  <c r="C534" i="7"/>
  <c r="C542" i="7"/>
  <c r="C550" i="7"/>
  <c r="C558" i="7"/>
  <c r="C566" i="7"/>
  <c r="D582" i="7"/>
  <c r="C582" i="7"/>
  <c r="D611" i="7"/>
  <c r="C611" i="7"/>
  <c r="D623" i="7"/>
  <c r="C612" i="7"/>
  <c r="C630" i="7"/>
  <c r="D641" i="7"/>
  <c r="D629" i="7"/>
  <c r="C662" i="7"/>
  <c r="D661" i="7"/>
  <c r="D32" i="8"/>
  <c r="D20" i="8"/>
  <c r="D86" i="8"/>
  <c r="C87" i="8"/>
  <c r="C90" i="8"/>
  <c r="D89" i="8"/>
  <c r="C89" i="8"/>
  <c r="D110" i="8"/>
  <c r="C110" i="8"/>
  <c r="C111" i="8"/>
  <c r="D126" i="8"/>
  <c r="C126" i="8"/>
  <c r="C127" i="8"/>
  <c r="D147" i="8"/>
  <c r="D135" i="8"/>
  <c r="C136" i="8"/>
  <c r="D165" i="8"/>
  <c r="C165" i="8"/>
  <c r="C166" i="8"/>
  <c r="D189" i="8"/>
  <c r="D192" i="8"/>
  <c r="C193" i="8"/>
  <c r="C192" i="8"/>
  <c r="D208" i="8"/>
  <c r="C209" i="8"/>
  <c r="D235" i="8"/>
  <c r="D341" i="7"/>
  <c r="C370" i="7"/>
  <c r="D373" i="7"/>
  <c r="C435" i="7"/>
  <c r="D434" i="7"/>
  <c r="C443" i="7"/>
  <c r="D442" i="7"/>
  <c r="D446" i="7"/>
  <c r="C451" i="7"/>
  <c r="D450" i="7"/>
  <c r="D454" i="7"/>
  <c r="C459" i="7"/>
  <c r="D458" i="7"/>
  <c r="D462" i="7"/>
  <c r="C467" i="7"/>
  <c r="D466" i="7"/>
  <c r="D470" i="7"/>
  <c r="C475" i="7"/>
  <c r="D474" i="7"/>
  <c r="D478" i="7"/>
  <c r="C483" i="7"/>
  <c r="D482" i="7"/>
  <c r="D486" i="7"/>
  <c r="C491" i="7"/>
  <c r="D490" i="7"/>
  <c r="D494" i="7"/>
  <c r="C499" i="7"/>
  <c r="D498" i="7"/>
  <c r="D502" i="7"/>
  <c r="C507" i="7"/>
  <c r="D506" i="7"/>
  <c r="D510" i="7"/>
  <c r="C515" i="7"/>
  <c r="D514" i="7"/>
  <c r="D518" i="7"/>
  <c r="C523" i="7"/>
  <c r="D522" i="7"/>
  <c r="D526" i="7"/>
  <c r="C531" i="7"/>
  <c r="D530" i="7"/>
  <c r="D534" i="7"/>
  <c r="C539" i="7"/>
  <c r="D538" i="7"/>
  <c r="D542" i="7"/>
  <c r="C547" i="7"/>
  <c r="D546" i="7"/>
  <c r="D550" i="7"/>
  <c r="C555" i="7"/>
  <c r="D554" i="7"/>
  <c r="D558" i="7"/>
  <c r="D574" i="7"/>
  <c r="C563" i="7"/>
  <c r="D562" i="7"/>
  <c r="D566" i="7"/>
  <c r="C583" i="7"/>
  <c r="D595" i="7"/>
  <c r="C607" i="7"/>
  <c r="C622" i="7"/>
  <c r="D633" i="7"/>
  <c r="C629" i="7"/>
  <c r="D635" i="7"/>
  <c r="C635" i="7"/>
  <c r="D643" i="7"/>
  <c r="C643" i="7"/>
  <c r="D655" i="7"/>
  <c r="C644" i="7"/>
  <c r="C661" i="7"/>
  <c r="C20" i="8"/>
  <c r="D37" i="8"/>
  <c r="C37" i="8"/>
  <c r="C38" i="8"/>
  <c r="D64" i="8"/>
  <c r="C65" i="8"/>
  <c r="C64" i="8"/>
  <c r="D80" i="8"/>
  <c r="C81" i="8"/>
  <c r="C86" i="8"/>
  <c r="C132" i="8"/>
  <c r="C135" i="8"/>
  <c r="D162" i="8"/>
  <c r="C163" i="8"/>
  <c r="C162" i="8"/>
  <c r="D177" i="8"/>
  <c r="C204" i="8"/>
  <c r="D203" i="8"/>
  <c r="C208" i="8"/>
  <c r="D230" i="8"/>
  <c r="C231" i="8"/>
  <c r="C234" i="8"/>
  <c r="D233" i="8"/>
  <c r="C291" i="8"/>
  <c r="D303" i="8"/>
  <c r="D291" i="8"/>
  <c r="C292" i="8"/>
  <c r="D304" i="8"/>
  <c r="C307" i="8"/>
  <c r="D319" i="8"/>
  <c r="D307" i="8"/>
  <c r="C308" i="8"/>
  <c r="D332" i="8"/>
  <c r="C332" i="8"/>
  <c r="C397" i="7"/>
  <c r="C432" i="7"/>
  <c r="D443" i="7"/>
  <c r="D571" i="7"/>
  <c r="C571" i="7"/>
  <c r="C580" i="7"/>
  <c r="D579" i="7"/>
  <c r="D583" i="7"/>
  <c r="D599" i="7"/>
  <c r="C588" i="7"/>
  <c r="D587" i="7"/>
  <c r="D591" i="7"/>
  <c r="D596" i="7"/>
  <c r="C596" i="7"/>
  <c r="C11" i="8"/>
  <c r="D23" i="8"/>
  <c r="D34" i="8"/>
  <c r="C35" i="8"/>
  <c r="C34" i="8"/>
  <c r="C76" i="8"/>
  <c r="D75" i="8"/>
  <c r="D102" i="8"/>
  <c r="C103" i="8"/>
  <c r="C106" i="8"/>
  <c r="D105" i="8"/>
  <c r="C188" i="8"/>
  <c r="D187" i="8"/>
  <c r="C187" i="8"/>
  <c r="D224" i="8"/>
  <c r="C225" i="8"/>
  <c r="D254" i="8"/>
  <c r="C254" i="8"/>
  <c r="C255" i="8"/>
  <c r="C329" i="8"/>
  <c r="D329" i="8"/>
  <c r="C594" i="7"/>
  <c r="C597" i="7"/>
  <c r="D600" i="7"/>
  <c r="C613" i="7"/>
  <c r="C617" i="7"/>
  <c r="D634" i="7"/>
  <c r="C645" i="7"/>
  <c r="C649" i="7"/>
  <c r="C19" i="8"/>
  <c r="D30" i="8"/>
  <c r="C41" i="8"/>
  <c r="D67" i="8"/>
  <c r="D55" i="8"/>
  <c r="D57" i="8"/>
  <c r="C68" i="8"/>
  <c r="D98" i="8"/>
  <c r="C99" i="8"/>
  <c r="D101" i="8"/>
  <c r="C101" i="8"/>
  <c r="D128" i="8"/>
  <c r="C129" i="8"/>
  <c r="C139" i="8"/>
  <c r="C150" i="8"/>
  <c r="D155" i="8"/>
  <c r="D158" i="8"/>
  <c r="C158" i="8"/>
  <c r="C169" i="8"/>
  <c r="D195" i="8"/>
  <c r="D183" i="8"/>
  <c r="D185" i="8"/>
  <c r="C196" i="8"/>
  <c r="D226" i="8"/>
  <c r="C227" i="8"/>
  <c r="D229" i="8"/>
  <c r="C229" i="8"/>
  <c r="D258" i="8"/>
  <c r="C259" i="8"/>
  <c r="C278" i="8"/>
  <c r="D346" i="8"/>
  <c r="C346" i="8"/>
  <c r="D358" i="8"/>
  <c r="D362" i="8"/>
  <c r="C362" i="8"/>
  <c r="C467" i="8"/>
  <c r="C468" i="8"/>
  <c r="D467" i="8"/>
  <c r="D410" i="8"/>
  <c r="C410" i="8"/>
  <c r="D458" i="8"/>
  <c r="C379" i="8"/>
  <c r="D379" i="8"/>
  <c r="D382" i="8"/>
  <c r="D452" i="8"/>
  <c r="D440" i="8"/>
  <c r="C455" i="8"/>
  <c r="D455" i="8"/>
  <c r="C456" i="8"/>
  <c r="D364" i="8"/>
  <c r="C364" i="8"/>
  <c r="C373" i="8"/>
  <c r="C374" i="8"/>
  <c r="D373" i="8"/>
  <c r="D404" i="8"/>
  <c r="D392" i="8"/>
  <c r="C440" i="8"/>
  <c r="C446" i="8"/>
  <c r="D619" i="7"/>
  <c r="C619" i="7"/>
  <c r="D651" i="7"/>
  <c r="C651" i="7"/>
  <c r="C25" i="8"/>
  <c r="D48" i="8"/>
  <c r="C49" i="8"/>
  <c r="D78" i="8"/>
  <c r="C78" i="8"/>
  <c r="D115" i="8"/>
  <c r="D103" i="8"/>
  <c r="D113" i="8"/>
  <c r="D146" i="8"/>
  <c r="C147" i="8"/>
  <c r="D149" i="8"/>
  <c r="C149" i="8"/>
  <c r="D176" i="8"/>
  <c r="C177" i="8"/>
  <c r="D206" i="8"/>
  <c r="C206" i="8"/>
  <c r="D243" i="8"/>
  <c r="D231" i="8"/>
  <c r="D241" i="8"/>
  <c r="D260" i="8"/>
  <c r="C261" i="8"/>
  <c r="D272" i="8"/>
  <c r="C273" i="8"/>
  <c r="C293" i="8"/>
  <c r="C294" i="8"/>
  <c r="C315" i="8"/>
  <c r="D315" i="8"/>
  <c r="C389" i="8"/>
  <c r="D401" i="8"/>
  <c r="C392" i="8"/>
  <c r="C437" i="8"/>
  <c r="D437" i="8"/>
  <c r="C609" i="7"/>
  <c r="D616" i="7"/>
  <c r="C641" i="7"/>
  <c r="D25" i="8"/>
  <c r="D62" i="8"/>
  <c r="C62" i="8"/>
  <c r="D99" i="8"/>
  <c r="D87" i="8"/>
  <c r="D130" i="8"/>
  <c r="C131" i="8"/>
  <c r="D133" i="8"/>
  <c r="C133" i="8"/>
  <c r="D160" i="8"/>
  <c r="C161" i="8"/>
  <c r="D190" i="8"/>
  <c r="C190" i="8"/>
  <c r="D227" i="8"/>
  <c r="D215" i="8"/>
  <c r="D300" i="8"/>
  <c r="C300" i="8"/>
  <c r="C339" i="8"/>
  <c r="D351" i="8"/>
  <c r="D339" i="8"/>
  <c r="C361" i="8"/>
  <c r="D361" i="8"/>
  <c r="D368" i="8"/>
  <c r="C368" i="8"/>
  <c r="C380" i="8"/>
  <c r="D422" i="8"/>
  <c r="C422" i="8"/>
  <c r="D434" i="8"/>
  <c r="D627" i="7"/>
  <c r="C627" i="7"/>
  <c r="C634" i="7"/>
  <c r="C648" i="7"/>
  <c r="D659" i="7"/>
  <c r="C659" i="7"/>
  <c r="C13" i="8"/>
  <c r="C21" i="8"/>
  <c r="D46" i="8"/>
  <c r="C46" i="8"/>
  <c r="D83" i="8"/>
  <c r="D71" i="8"/>
  <c r="D114" i="8"/>
  <c r="C115" i="8"/>
  <c r="D117" i="8"/>
  <c r="C117" i="8"/>
  <c r="D144" i="8"/>
  <c r="C145" i="8"/>
  <c r="D174" i="8"/>
  <c r="C174" i="8"/>
  <c r="D211" i="8"/>
  <c r="D199" i="8"/>
  <c r="D242" i="8"/>
  <c r="C243" i="8"/>
  <c r="D245" i="8"/>
  <c r="C245" i="8"/>
  <c r="D270" i="8"/>
  <c r="C270" i="8"/>
  <c r="D290" i="8"/>
  <c r="C297" i="8"/>
  <c r="D297" i="8"/>
  <c r="C309" i="8"/>
  <c r="C310" i="8"/>
  <c r="D309" i="8"/>
  <c r="D316" i="8"/>
  <c r="D384" i="8"/>
  <c r="D396" i="8"/>
  <c r="D470" i="8"/>
  <c r="C470" i="8"/>
  <c r="D482" i="8"/>
  <c r="D414" i="8"/>
  <c r="C414" i="8"/>
  <c r="C546" i="8"/>
  <c r="D546" i="8"/>
  <c r="D312" i="8"/>
  <c r="C323" i="8"/>
  <c r="D335" i="8"/>
  <c r="D323" i="8"/>
  <c r="D391" i="8"/>
  <c r="D436" i="8"/>
  <c r="D424" i="8"/>
  <c r="C481" i="8"/>
  <c r="D493" i="8"/>
  <c r="D378" i="8"/>
  <c r="C378" i="8"/>
  <c r="C415" i="8"/>
  <c r="D427" i="8"/>
  <c r="D415" i="8"/>
  <c r="C451" i="8"/>
  <c r="C452" i="8"/>
  <c r="D454" i="8"/>
  <c r="C454" i="8"/>
  <c r="D466" i="8"/>
  <c r="C515" i="8"/>
  <c r="D515" i="8"/>
  <c r="C516" i="8"/>
  <c r="C531" i="8"/>
  <c r="D531" i="8"/>
  <c r="C532" i="8"/>
  <c r="C507" i="8"/>
  <c r="D519" i="8"/>
  <c r="C479" i="8"/>
  <c r="D491" i="8"/>
  <c r="D479" i="8"/>
  <c r="C480" i="8"/>
  <c r="D498" i="8"/>
  <c r="D486" i="8"/>
  <c r="C486" i="8"/>
  <c r="D507" i="8"/>
  <c r="D44" i="8"/>
  <c r="D60" i="8"/>
  <c r="D76" i="8"/>
  <c r="D92" i="8"/>
  <c r="D108" i="8"/>
  <c r="D124" i="8"/>
  <c r="D140" i="8"/>
  <c r="D156" i="8"/>
  <c r="D172" i="8"/>
  <c r="D188" i="8"/>
  <c r="D204" i="8"/>
  <c r="D220" i="8"/>
  <c r="D236" i="8"/>
  <c r="D252" i="8"/>
  <c r="D268" i="8"/>
  <c r="D284" i="8"/>
  <c r="D330" i="8"/>
  <c r="C330" i="8"/>
  <c r="C357" i="8"/>
  <c r="C358" i="8"/>
  <c r="C363" i="8"/>
  <c r="D376" i="8"/>
  <c r="C387" i="8"/>
  <c r="C388" i="8"/>
  <c r="C416" i="8"/>
  <c r="C419" i="8"/>
  <c r="C420" i="8"/>
  <c r="D419" i="8"/>
  <c r="C449" i="8"/>
  <c r="D461" i="8"/>
  <c r="D449" i="8"/>
  <c r="C555" i="8"/>
  <c r="D555" i="8"/>
  <c r="D567" i="8"/>
  <c r="D558" i="8"/>
  <c r="D42" i="8"/>
  <c r="D58" i="8"/>
  <c r="D74" i="8"/>
  <c r="D90" i="8"/>
  <c r="D106" i="8"/>
  <c r="D122" i="8"/>
  <c r="D138" i="8"/>
  <c r="D154" i="8"/>
  <c r="D170" i="8"/>
  <c r="D186" i="8"/>
  <c r="D202" i="8"/>
  <c r="D218" i="8"/>
  <c r="D234" i="8"/>
  <c r="D250" i="8"/>
  <c r="D266" i="8"/>
  <c r="D282" i="8"/>
  <c r="D314" i="8"/>
  <c r="C314" i="8"/>
  <c r="D327" i="8"/>
  <c r="C341" i="8"/>
  <c r="C342" i="8"/>
  <c r="C347" i="8"/>
  <c r="C352" i="8"/>
  <c r="D357" i="8"/>
  <c r="D360" i="8"/>
  <c r="D363" i="8"/>
  <c r="C371" i="8"/>
  <c r="D371" i="8"/>
  <c r="C382" i="8"/>
  <c r="D387" i="8"/>
  <c r="C399" i="8"/>
  <c r="D411" i="8"/>
  <c r="D399" i="8"/>
  <c r="C405" i="8"/>
  <c r="D417" i="8"/>
  <c r="D420" i="8"/>
  <c r="D408" i="8"/>
  <c r="C462" i="8"/>
  <c r="C471" i="8"/>
  <c r="C472" i="8"/>
  <c r="D474" i="8"/>
  <c r="C474" i="8"/>
  <c r="C483" i="8"/>
  <c r="C484" i="8"/>
  <c r="D495" i="8"/>
  <c r="D483" i="8"/>
  <c r="C487" i="8"/>
  <c r="D490" i="8"/>
  <c r="D502" i="8"/>
  <c r="C549" i="8"/>
  <c r="D561" i="8"/>
  <c r="C23" i="8"/>
  <c r="D40" i="8"/>
  <c r="D292" i="8"/>
  <c r="D298" i="8"/>
  <c r="C298" i="8"/>
  <c r="D311" i="8"/>
  <c r="C325" i="8"/>
  <c r="C326" i="8"/>
  <c r="D341" i="8"/>
  <c r="D344" i="8"/>
  <c r="C355" i="8"/>
  <c r="D367" i="8"/>
  <c r="D355" i="8"/>
  <c r="D380" i="8"/>
  <c r="C385" i="8"/>
  <c r="D397" i="8"/>
  <c r="D385" i="8"/>
  <c r="D405" i="8"/>
  <c r="C408" i="8"/>
  <c r="C435" i="8"/>
  <c r="C436" i="8"/>
  <c r="D438" i="8"/>
  <c r="C438" i="8"/>
  <c r="D444" i="8"/>
  <c r="C444" i="8"/>
  <c r="C465" i="8"/>
  <c r="D477" i="8"/>
  <c r="D556" i="8"/>
  <c r="C556" i="8"/>
  <c r="C517" i="8"/>
  <c r="D529" i="8"/>
  <c r="D524" i="8"/>
  <c r="D579" i="8"/>
  <c r="C579" i="8"/>
  <c r="C289" i="8"/>
  <c r="C305" i="8"/>
  <c r="C321" i="8"/>
  <c r="C337" i="8"/>
  <c r="C353" i="8"/>
  <c r="C369" i="8"/>
  <c r="C390" i="8"/>
  <c r="C403" i="8"/>
  <c r="C404" i="8"/>
  <c r="D406" i="8"/>
  <c r="C406" i="8"/>
  <c r="C433" i="8"/>
  <c r="D445" i="8"/>
  <c r="C439" i="8"/>
  <c r="C463" i="8"/>
  <c r="D463" i="8"/>
  <c r="C482" i="8"/>
  <c r="D488" i="8"/>
  <c r="D570" i="8"/>
  <c r="C570" i="8"/>
  <c r="C287" i="8"/>
  <c r="D289" i="8"/>
  <c r="C296" i="8"/>
  <c r="C303" i="8"/>
  <c r="D305" i="8"/>
  <c r="C312" i="8"/>
  <c r="C319" i="8"/>
  <c r="D321" i="8"/>
  <c r="C328" i="8"/>
  <c r="C335" i="8"/>
  <c r="D337" i="8"/>
  <c r="C344" i="8"/>
  <c r="C351" i="8"/>
  <c r="D353" i="8"/>
  <c r="C360" i="8"/>
  <c r="C367" i="8"/>
  <c r="D369" i="8"/>
  <c r="C376" i="8"/>
  <c r="C383" i="8"/>
  <c r="D395" i="8"/>
  <c r="D383" i="8"/>
  <c r="D390" i="8"/>
  <c r="C393" i="8"/>
  <c r="C398" i="8"/>
  <c r="D403" i="8"/>
  <c r="C417" i="8"/>
  <c r="C418" i="8"/>
  <c r="D429" i="8"/>
  <c r="C423" i="8"/>
  <c r="C428" i="8"/>
  <c r="D433" i="8"/>
  <c r="D439" i="8"/>
  <c r="C447" i="8"/>
  <c r="D447" i="8"/>
  <c r="C458" i="8"/>
  <c r="C466" i="8"/>
  <c r="D484" i="8"/>
  <c r="D472" i="8"/>
  <c r="D485" i="8"/>
  <c r="C488" i="8"/>
  <c r="C499" i="8"/>
  <c r="D499" i="8"/>
  <c r="D511" i="8"/>
  <c r="D520" i="8"/>
  <c r="D508" i="8"/>
  <c r="C508" i="8"/>
  <c r="C523" i="8"/>
  <c r="D523" i="8"/>
  <c r="C550" i="8"/>
  <c r="C285" i="8"/>
  <c r="C301" i="8"/>
  <c r="C317" i="8"/>
  <c r="C333" i="8"/>
  <c r="C349" i="8"/>
  <c r="C365" i="8"/>
  <c r="C381" i="8"/>
  <c r="D393" i="8"/>
  <c r="C401" i="8"/>
  <c r="C402" i="8"/>
  <c r="D413" i="8"/>
  <c r="C407" i="8"/>
  <c r="C431" i="8"/>
  <c r="D431" i="8"/>
  <c r="C450" i="8"/>
  <c r="D468" i="8"/>
  <c r="D456" i="8"/>
  <c r="C505" i="8"/>
  <c r="D505" i="8"/>
  <c r="C535" i="8"/>
  <c r="C536" i="8"/>
  <c r="D538" i="8"/>
  <c r="C538" i="8"/>
  <c r="D550" i="8"/>
  <c r="C547" i="8"/>
  <c r="D547" i="8"/>
  <c r="C548" i="8"/>
  <c r="C563" i="8"/>
  <c r="D575" i="8"/>
  <c r="D563" i="8"/>
  <c r="C588" i="8"/>
  <c r="D600" i="8"/>
  <c r="D588" i="8"/>
  <c r="D607" i="8"/>
  <c r="C607" i="8"/>
  <c r="C596" i="8"/>
  <c r="D596" i="8"/>
  <c r="C604" i="8"/>
  <c r="D616" i="8"/>
  <c r="D604" i="8"/>
  <c r="C397" i="8"/>
  <c r="C413" i="8"/>
  <c r="C429" i="8"/>
  <c r="C445" i="8"/>
  <c r="C461" i="8"/>
  <c r="C477" i="8"/>
  <c r="C493" i="8"/>
  <c r="C533" i="8"/>
  <c r="D545" i="8"/>
  <c r="C539" i="8"/>
  <c r="D539" i="8"/>
  <c r="D583" i="8"/>
  <c r="C583" i="8"/>
  <c r="C395" i="8"/>
  <c r="C411" i="8"/>
  <c r="C427" i="8"/>
  <c r="C443" i="8"/>
  <c r="C459" i="8"/>
  <c r="C475" i="8"/>
  <c r="C491" i="8"/>
  <c r="D530" i="8"/>
  <c r="D536" i="8"/>
  <c r="D568" i="8"/>
  <c r="C571" i="8"/>
  <c r="C575" i="8"/>
  <c r="C574" i="8"/>
  <c r="C580" i="8"/>
  <c r="D580" i="8"/>
  <c r="D591" i="8"/>
  <c r="C591" i="8"/>
  <c r="C409" i="8"/>
  <c r="C425" i="8"/>
  <c r="C441" i="8"/>
  <c r="D443" i="8"/>
  <c r="C457" i="8"/>
  <c r="D459" i="8"/>
  <c r="C473" i="8"/>
  <c r="D475" i="8"/>
  <c r="C489" i="8"/>
  <c r="C501" i="8"/>
  <c r="D503" i="8"/>
  <c r="D506" i="8"/>
  <c r="C506" i="8"/>
  <c r="C509" i="8"/>
  <c r="C519" i="8"/>
  <c r="C520" i="8"/>
  <c r="D522" i="8"/>
  <c r="C522" i="8"/>
  <c r="C551" i="8"/>
  <c r="C552" i="8"/>
  <c r="D554" i="8"/>
  <c r="C554" i="8"/>
  <c r="D574" i="8"/>
  <c r="D623" i="8"/>
  <c r="C623" i="8"/>
  <c r="D639" i="8"/>
  <c r="C639" i="8"/>
  <c r="C537" i="8"/>
  <c r="C553" i="8"/>
  <c r="C569" i="8"/>
  <c r="C582" i="8"/>
  <c r="D585" i="8"/>
  <c r="C585" i="8"/>
  <c r="C598" i="8"/>
  <c r="D601" i="8"/>
  <c r="C601" i="8"/>
  <c r="C614" i="8"/>
  <c r="D617" i="8"/>
  <c r="C617" i="8"/>
  <c r="D620" i="8"/>
  <c r="C630" i="8"/>
  <c r="D633" i="8"/>
  <c r="C633" i="8"/>
  <c r="D636" i="8"/>
  <c r="C646" i="8"/>
  <c r="D658" i="8"/>
  <c r="D649" i="8"/>
  <c r="C649" i="8"/>
  <c r="D653" i="8"/>
  <c r="D657" i="8"/>
  <c r="D661" i="8"/>
  <c r="C592" i="8"/>
  <c r="D595" i="8"/>
  <c r="C595" i="8"/>
  <c r="D598" i="8"/>
  <c r="C608" i="8"/>
  <c r="D611" i="8"/>
  <c r="C611" i="8"/>
  <c r="D614" i="8"/>
  <c r="C624" i="8"/>
  <c r="D627" i="8"/>
  <c r="C627" i="8"/>
  <c r="D630" i="8"/>
  <c r="C640" i="8"/>
  <c r="D652" i="8"/>
  <c r="D643" i="8"/>
  <c r="C643" i="8"/>
  <c r="D646" i="8"/>
  <c r="D589" i="8"/>
  <c r="C589" i="8"/>
  <c r="D592" i="8"/>
  <c r="D605" i="8"/>
  <c r="C605" i="8"/>
  <c r="D608" i="8"/>
  <c r="D621" i="8"/>
  <c r="C621" i="8"/>
  <c r="D624" i="8"/>
  <c r="D637" i="8"/>
  <c r="C637" i="8"/>
  <c r="D640" i="8"/>
  <c r="D599" i="8"/>
  <c r="C599" i="8"/>
  <c r="D615" i="8"/>
  <c r="C615" i="8"/>
  <c r="D631" i="8"/>
  <c r="C631" i="8"/>
  <c r="C644" i="8"/>
  <c r="D656" i="8"/>
  <c r="D647" i="8"/>
  <c r="C647" i="8"/>
  <c r="C497" i="8"/>
  <c r="C513" i="8"/>
  <c r="D572" i="8"/>
  <c r="C590" i="8"/>
  <c r="D593" i="8"/>
  <c r="C593" i="8"/>
  <c r="C606" i="8"/>
  <c r="D609" i="8"/>
  <c r="C609" i="8"/>
  <c r="D612" i="8"/>
  <c r="C622" i="8"/>
  <c r="D625" i="8"/>
  <c r="C625" i="8"/>
  <c r="D628" i="8"/>
  <c r="C638" i="8"/>
  <c r="D641" i="8"/>
  <c r="C641" i="8"/>
  <c r="D644" i="8"/>
  <c r="D651" i="8"/>
  <c r="D655" i="8"/>
  <c r="D659" i="8"/>
  <c r="D497" i="8"/>
  <c r="C511" i="8"/>
  <c r="D513" i="8"/>
  <c r="C527" i="8"/>
  <c r="C543" i="8"/>
  <c r="C559" i="8"/>
  <c r="C584" i="8"/>
  <c r="D587" i="8"/>
  <c r="C587" i="8"/>
  <c r="D590" i="8"/>
  <c r="C600" i="8"/>
  <c r="D603" i="8"/>
  <c r="C603" i="8"/>
  <c r="D606" i="8"/>
  <c r="C616" i="8"/>
  <c r="D619" i="8"/>
  <c r="C619" i="8"/>
  <c r="D622" i="8"/>
  <c r="C632" i="8"/>
  <c r="D635" i="8"/>
  <c r="C635" i="8"/>
  <c r="D638" i="8"/>
  <c r="C648" i="8"/>
  <c r="D660" i="8"/>
  <c r="C525" i="8"/>
  <c r="D527" i="8"/>
  <c r="C541" i="8"/>
  <c r="D543" i="8"/>
  <c r="C557" i="8"/>
  <c r="D559" i="8"/>
  <c r="D581" i="8"/>
  <c r="C581" i="8"/>
  <c r="D584" i="8"/>
  <c r="D597" i="8"/>
  <c r="C597" i="8"/>
  <c r="D613" i="8"/>
  <c r="C613" i="8"/>
  <c r="D629" i="8"/>
  <c r="C629" i="8"/>
  <c r="D632" i="8"/>
  <c r="C642" i="8"/>
  <c r="D654" i="8"/>
  <c r="D645" i="8"/>
  <c r="C645" i="8"/>
  <c r="D648" i="8"/>
  <c r="H3" i="9"/>
  <c r="D650" i="8"/>
  <c r="D662" i="8"/>
  <c r="H4" i="9"/>
  <c r="C651" i="8"/>
  <c r="C653" i="8"/>
  <c r="C655" i="8"/>
  <c r="C657" i="8"/>
  <c r="C659" i="8"/>
  <c r="C661" i="8"/>
  <c r="C663" i="8"/>
  <c r="C565" i="8"/>
  <c r="H5" i="9"/>
  <c r="D3" i="9"/>
  <c r="K7" i="5" l="1"/>
  <c r="K6" i="5"/>
  <c r="I5" i="9"/>
  <c r="I4" i="9"/>
  <c r="I3" i="9"/>
</calcChain>
</file>

<file path=xl/sharedStrings.xml><?xml version="1.0" encoding="utf-8"?>
<sst xmlns="http://schemas.openxmlformats.org/spreadsheetml/2006/main" count="145" uniqueCount="73">
  <si>
    <t>Consumer Price Index</t>
  </si>
  <si>
    <t>Definition</t>
  </si>
  <si>
    <t>The Consumer Price Index for All Urban Consumers: All Items (CPIAUCSL) is a measure of the average monthly change in the price for goods and services paid by urban consumers between any two time periods. It can also represent the buying habits of urban consumers. This particular index includes roughly 88 percent of the total population, accounting for wage earners, clerical workers, technical workers, self-employed, short-term workers, unemployed, retirees, and those not in the labor force.
The CPIs are based on prices for food, clothing, shelter, and fuels; transportation fares; service fees (e.g., water and sewer service); and sales taxes. Prices are collected monthly from about 4,000 housing units and approximately 26,000 retail establishments across 87 urban areas. To calculate the index, price changes are averaged with weights representing their importance in the spending of the particular group. The index measures price changes (as a percent change) from a predetermined reference date. In addition to the original unadjusted index distributed, the Bureau of Labor Statistics also releases a seasonally adjusted index. The unadjusted series reflects all factors that may influence a change in prices. However, it can be very useful to look at the seasonally adjusted CPI, which removes the effects of seasonal changes, such as weather, school year, production cycles, and holidays.
The CPI can be used to recognize periods of inflation and deflation. Significant increases in the CPI within a short time frame might indicate a period of inflation, and significant decreases in CPI within a short time frame might indicate a period of deflation. However, because the CPI includes volatile food and oil prices, it might not be a reliable measure of inflationary and deflationary periods. For a more accurate detection, the core CPI (CPILFESL) is often used. When using the CPI, please note that it is not applicable to all consumers and should not be used to determine relative living costs. Additionally, the CPI is a statistical measure vulnerable to sampling error since it is based on a sample of prices and not the complete average.</t>
  </si>
  <si>
    <t>https://www.bls.gov/cpi/</t>
  </si>
  <si>
    <t>Process / TO DO LIST</t>
  </si>
  <si>
    <t>Summary</t>
  </si>
  <si>
    <t>TO DO LIST</t>
  </si>
  <si>
    <t>Comments</t>
  </si>
  <si>
    <t>* To modify</t>
  </si>
  <si>
    <t>Create data on Fred</t>
  </si>
  <si>
    <t>https://research.stlouisfed.org/useraccount/datalists</t>
  </si>
  <si>
    <t>mom</t>
  </si>
  <si>
    <t>yoy</t>
  </si>
  <si>
    <t>CPIAUCSL</t>
  </si>
  <si>
    <t>Consumer Price Index for All Urban Consumers: All Items (CPIAUCSL), Index 1982-84=100, Monthly, Seasonally Adjusted</t>
  </si>
  <si>
    <t>CPI</t>
  </si>
  <si>
    <t>CPIENGSL</t>
  </si>
  <si>
    <t>Consumer Price Index for All Urban Consumers: Energy (CPIENGSL), Index 1982-84=100, Monthly, Seasonally Adjusted</t>
  </si>
  <si>
    <t>CPI Food</t>
  </si>
  <si>
    <t>CPIFABSL</t>
  </si>
  <si>
    <t>Consumer Price Index for All Urban Consumers: Food and Beverages (CPIFABSL), Index 1982-84=100, Monthly, Seasonally Adjusted</t>
  </si>
  <si>
    <t>CPI Energy</t>
  </si>
  <si>
    <t>CPILFESL</t>
  </si>
  <si>
    <t>Consumer Price Index for All Urban Consumers: All Items Less Food &amp; Energy (CPILFESL), Index 1982-84=100, Monthly, Seasonally Adjusted</t>
  </si>
  <si>
    <t>Core CPI</t>
  </si>
  <si>
    <t>DATE</t>
  </si>
  <si>
    <t>Fed Target</t>
  </si>
  <si>
    <t>Fed Funds Rate</t>
  </si>
  <si>
    <t>Date</t>
  </si>
  <si>
    <t>Consumer Price Index (NSA)</t>
  </si>
  <si>
    <t>Consumer Price Index m/m %</t>
  </si>
  <si>
    <t>Consumer Price Index y/y %</t>
  </si>
  <si>
    <t>FED Funds Rate</t>
  </si>
  <si>
    <t>Food and Beverages</t>
  </si>
  <si>
    <t>Food and Beverages m/m %</t>
  </si>
  <si>
    <t>Food and Beverages y/y %</t>
  </si>
  <si>
    <t>Energy Index</t>
  </si>
  <si>
    <t>Energy Index m/m %</t>
  </si>
  <si>
    <t>Energy Index y/y %</t>
  </si>
  <si>
    <t>All Items Less Food &amp; Energy</t>
  </si>
  <si>
    <t>All Items Less Food &amp; Energy m/m %</t>
  </si>
  <si>
    <t>All Items Less Food &amp; Energy y/y %</t>
  </si>
  <si>
    <t>2%</t>
  </si>
  <si>
    <t xml:space="preserve"> * Data to input</t>
  </si>
  <si>
    <t>12months</t>
  </si>
  <si>
    <t>Previous</t>
  </si>
  <si>
    <t>Latest</t>
  </si>
  <si>
    <t>lin</t>
  </si>
  <si>
    <t>Index 1982-1984=100</t>
  </si>
  <si>
    <t>M</t>
  </si>
  <si>
    <t>Monthly</t>
  </si>
  <si>
    <t>1947-01-01 to 2017-01-01</t>
  </si>
  <si>
    <t>1957-01-01 to 2017-01-01</t>
  </si>
  <si>
    <t>1967-01-01 to 2017-01-01</t>
  </si>
  <si>
    <t>Consumer Price Index for All Urban Consumers: All Items</t>
  </si>
  <si>
    <t>Consumer Price Index for All Urban Consumers: All Items Less Food and Energy</t>
  </si>
  <si>
    <t>Consumer Price Index for All Urban Consumers: Food and Beverages</t>
  </si>
  <si>
    <t>Consumer Price Index for All Urban Consumers: Energy</t>
  </si>
  <si>
    <t>U.S. Bureau of Labor Statistics</t>
  </si>
  <si>
    <t>date</t>
  </si>
  <si>
    <t>value</t>
  </si>
  <si>
    <t>DFEDTARU</t>
  </si>
  <si>
    <t>DFEDTARL</t>
  </si>
  <si>
    <t>FEDFUNDS</t>
  </si>
  <si>
    <t>Percent</t>
  </si>
  <si>
    <t>D</t>
  </si>
  <si>
    <t>Daily, 7-Day</t>
  </si>
  <si>
    <t>2008-12-16 to 2017-02-14</t>
  </si>
  <si>
    <t>1954-07-01 to 2017-01-01</t>
  </si>
  <si>
    <t>Federal Funds Target Range - Upper Limit</t>
  </si>
  <si>
    <t>Federal Funds Target Range - Lower Limit</t>
  </si>
  <si>
    <t>Effective Federal Funds Rate</t>
  </si>
  <si>
    <t>Board of Governors of the Federal Reserve System (US)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</si>
</sst>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64" formatCode="[$-409]mmm\-yy;@"/>
    <numFmt numFmtId="165" formatCode="0.0"/>
    <numFmt numFmtId="166" formatCode="mm/dd/yyyy"/>
    <numFmt numFmtId="167" formatCode="dd\-mm\-yyyy"/>
  </numFmts>
  <fonts count="17" x14ac:knownFonts="1">
    <font>
      <sz val="11"/>
      <color theme="1"/>
      <name val="Calibri"/>
      <family val="2"/>
      <scheme val="minor"/>
    </font>
    <font>
      <sz val="8"/>
      <color theme="1"/>
      <name val="Calibri"/>
      <family val="2"/>
      <scheme val="minor"/>
    </font>
    <font>
      <sz val="10"/>
      <name val="Arial"/>
      <family val="2"/>
    </font>
    <font>
      <u/>
      <sz val="11"/>
      <color theme="10"/>
      <name val="Calibri"/>
      <family val="2"/>
      <scheme val="minor"/>
    </font>
    <font>
      <sz val="10"/>
      <name val="Arial"/>
      <family val="2"/>
    </font>
    <font>
      <sz val="11"/>
      <color theme="1"/>
      <name val="Calibri"/>
      <family val="2"/>
      <scheme val="minor"/>
    </font>
    <font>
      <b/>
      <sz val="11"/>
      <color theme="1"/>
      <name val="Calibri"/>
      <family val="2"/>
      <scheme val="minor"/>
    </font>
    <font>
      <b/>
      <sz val="8"/>
      <name val="Arial"/>
      <family val="2"/>
    </font>
    <font>
      <sz val="11"/>
      <name val="Arial"/>
      <family val="2"/>
    </font>
    <font>
      <b/>
      <sz val="8"/>
      <color theme="1"/>
      <name val="Calibri"/>
      <family val="2"/>
      <scheme val="minor"/>
    </font>
    <font>
      <b/>
      <sz val="12"/>
      <color theme="1"/>
      <name val="Calibri"/>
      <family val="2"/>
      <scheme val="minor"/>
    </font>
    <font>
      <sz val="11"/>
      <color rgb="FF00B0F0"/>
      <name val="Calibri"/>
      <family val="2"/>
      <scheme val="minor"/>
    </font>
    <font>
      <b/>
      <sz val="11"/>
      <color theme="0"/>
      <name val="Calibri"/>
      <family val="2"/>
      <scheme val="minor"/>
    </font>
    <font>
      <sz val="12"/>
      <color theme="1"/>
      <name val="Calibri"/>
      <family val="2"/>
      <scheme val="minor"/>
    </font>
    <font>
      <sz val="12"/>
      <color rgb="FF00B0F0"/>
      <name val="Calibri"/>
      <family val="2"/>
      <scheme val="minor"/>
    </font>
    <font>
      <sz val="11"/>
      <name val="Calibri"/>
      <family val="2"/>
      <scheme val="minor"/>
    </font>
    <font>
      <b/>
      <sz val="11"/>
      <color rgb="FF00B0F0"/>
      <name val="Calibri"/>
      <family val="2"/>
      <scheme val="minor"/>
    </font>
  </fonts>
  <fills count="5">
    <fill>
      <patternFill patternType="none"/>
    </fill>
    <fill>
      <patternFill patternType="gray125"/>
    </fill>
    <fill>
      <patternFill patternType="solid">
        <fgColor theme="0"/>
        <bgColor indexed="64"/>
      </patternFill>
    </fill>
    <fill>
      <patternFill patternType="solid">
        <fgColor rgb="FF00B050"/>
        <bgColor indexed="64"/>
      </patternFill>
    </fill>
    <fill>
      <patternFill patternType="solid">
        <fgColor theme="4" tint="0.79998168889431442"/>
        <bgColor indexed="64"/>
      </patternFill>
    </fill>
  </fills>
  <borders count="29">
    <border>
      <left/>
      <right/>
      <top/>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medium">
        <color indexed="64"/>
      </left>
      <right/>
      <top/>
      <bottom/>
      <diagonal/>
    </border>
    <border>
      <left style="medium">
        <color indexed="64"/>
      </left>
      <right/>
      <top style="medium">
        <color indexed="64"/>
      </top>
      <bottom/>
      <diagonal/>
    </border>
    <border>
      <left/>
      <right style="medium">
        <color indexed="64"/>
      </right>
      <top style="medium">
        <color indexed="64"/>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diagonal/>
    </border>
    <border>
      <left style="thin">
        <color indexed="64"/>
      </left>
      <right style="thin">
        <color indexed="64"/>
      </right>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right/>
      <top/>
      <bottom style="medium">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right style="thin">
        <color indexed="64"/>
      </right>
      <top style="thin">
        <color indexed="64"/>
      </top>
      <bottom style="medium">
        <color indexed="64"/>
      </bottom>
      <diagonal/>
    </border>
    <border>
      <left/>
      <right style="thin">
        <color indexed="64"/>
      </right>
      <top style="medium">
        <color indexed="64"/>
      </top>
      <bottom style="thin">
        <color indexed="64"/>
      </bottom>
      <diagonal/>
    </border>
  </borders>
  <cellStyleXfs count="9">
    <xf numFmtId="0" fontId="0" fillId="0" borderId="0"/>
    <xf numFmtId="0" fontId="4" fillId="0" borderId="0"/>
    <xf numFmtId="0" fontId="3" fillId="0" borderId="0"/>
    <xf numFmtId="22" fontId="4" fillId="0" borderId="0"/>
    <xf numFmtId="0" fontId="4" fillId="0" borderId="0"/>
    <xf numFmtId="0" fontId="4" fillId="0" borderId="0"/>
    <xf numFmtId="0" fontId="4" fillId="0" borderId="0"/>
    <xf numFmtId="0" fontId="4" fillId="0" borderId="0"/>
    <xf numFmtId="9" fontId="5" fillId="0" borderId="0"/>
  </cellStyleXfs>
  <cellXfs count="95">
    <xf numFmtId="0" fontId="0" fillId="0" borderId="0" xfId="0"/>
    <xf numFmtId="0" fontId="1" fillId="0" borderId="0" xfId="0" applyFont="1" applyAlignment="1">
      <alignment horizontal="center" vertical="center"/>
    </xf>
    <xf numFmtId="0" fontId="1" fillId="2" borderId="0" xfId="0" applyFont="1" applyFill="1" applyAlignment="1">
      <alignment horizontal="center" vertical="center"/>
    </xf>
    <xf numFmtId="0" fontId="8" fillId="2" borderId="0" xfId="1" applyFont="1" applyFill="1"/>
    <xf numFmtId="0" fontId="0" fillId="0" borderId="0" xfId="0" applyAlignment="1">
      <alignment horizontal="center"/>
    </xf>
    <xf numFmtId="0" fontId="0" fillId="2" borderId="0" xfId="0" applyFill="1" applyAlignment="1">
      <alignment horizontal="center"/>
    </xf>
    <xf numFmtId="10" fontId="0" fillId="2" borderId="0" xfId="0" applyNumberFormat="1" applyFill="1"/>
    <xf numFmtId="0" fontId="9" fillId="2" borderId="0" xfId="0" applyFont="1" applyFill="1" applyAlignment="1">
      <alignment horizontal="left" vertical="center"/>
    </xf>
    <xf numFmtId="0" fontId="1" fillId="2" borderId="0" xfId="0" applyFont="1" applyFill="1" applyAlignment="1">
      <alignment horizontal="left" vertical="center"/>
    </xf>
    <xf numFmtId="0" fontId="9" fillId="2" borderId="0" xfId="0" applyFont="1" applyFill="1" applyAlignment="1">
      <alignment horizontal="center" vertical="center"/>
    </xf>
    <xf numFmtId="9" fontId="0" fillId="2" borderId="0" xfId="0" applyNumberFormat="1" applyFill="1"/>
    <xf numFmtId="10" fontId="0" fillId="2" borderId="0" xfId="0" applyNumberFormat="1" applyFill="1" applyAlignment="1">
      <alignment horizontal="center"/>
    </xf>
    <xf numFmtId="10" fontId="0" fillId="0" borderId="0" xfId="0" applyNumberFormat="1" applyAlignment="1">
      <alignment horizontal="center"/>
    </xf>
    <xf numFmtId="0" fontId="11" fillId="2" borderId="0" xfId="0" applyFont="1" applyFill="1"/>
    <xf numFmtId="10" fontId="1" fillId="2" borderId="1" xfId="0" applyNumberFormat="1" applyFont="1" applyFill="1" applyBorder="1" applyAlignment="1">
      <alignment horizontal="center" vertical="center"/>
    </xf>
    <xf numFmtId="2" fontId="0" fillId="2" borderId="1" xfId="0" applyNumberFormat="1" applyFill="1" applyBorder="1" applyAlignment="1">
      <alignment horizontal="center"/>
    </xf>
    <xf numFmtId="0" fontId="1" fillId="2" borderId="1" xfId="0" applyFont="1" applyFill="1" applyBorder="1" applyAlignment="1">
      <alignment horizontal="center" vertical="center"/>
    </xf>
    <xf numFmtId="10" fontId="1" fillId="2" borderId="10" xfId="0" applyNumberFormat="1" applyFont="1" applyFill="1" applyBorder="1" applyAlignment="1">
      <alignment horizontal="center" vertical="center"/>
    </xf>
    <xf numFmtId="0" fontId="1" fillId="2" borderId="10" xfId="0" applyFont="1" applyFill="1" applyBorder="1" applyAlignment="1">
      <alignment horizontal="center" vertical="center"/>
    </xf>
    <xf numFmtId="0" fontId="0" fillId="3" borderId="11" xfId="0" applyFill="1" applyBorder="1" applyAlignment="1">
      <alignment horizontal="center" vertical="center" wrapText="1"/>
    </xf>
    <xf numFmtId="0" fontId="0" fillId="3" borderId="12" xfId="0" applyFill="1" applyBorder="1" applyAlignment="1">
      <alignment horizontal="center" vertical="center" wrapText="1"/>
    </xf>
    <xf numFmtId="0" fontId="0" fillId="3" borderId="13" xfId="0" applyFill="1" applyBorder="1" applyAlignment="1">
      <alignment horizontal="center" vertical="center" wrapText="1"/>
    </xf>
    <xf numFmtId="0" fontId="0" fillId="3" borderId="11" xfId="0" applyFill="1" applyBorder="1" applyAlignment="1">
      <alignment horizontal="center" vertical="center"/>
    </xf>
    <xf numFmtId="2" fontId="0" fillId="2" borderId="10" xfId="0" applyNumberFormat="1" applyFill="1" applyBorder="1" applyAlignment="1">
      <alignment horizontal="center"/>
    </xf>
    <xf numFmtId="10" fontId="0" fillId="3" borderId="12" xfId="0" applyNumberFormat="1" applyFill="1" applyBorder="1" applyAlignment="1">
      <alignment horizontal="center" vertical="center" wrapText="1"/>
    </xf>
    <xf numFmtId="9" fontId="0" fillId="3" borderId="13" xfId="0" applyNumberFormat="1" applyFill="1" applyBorder="1" applyAlignment="1">
      <alignment horizontal="center" vertical="center" wrapText="1"/>
    </xf>
    <xf numFmtId="9" fontId="0" fillId="2" borderId="10" xfId="0" applyNumberFormat="1" applyFill="1" applyBorder="1" applyAlignment="1">
      <alignment horizontal="center"/>
    </xf>
    <xf numFmtId="9" fontId="0" fillId="2" borderId="1" xfId="0" applyNumberFormat="1" applyFill="1" applyBorder="1" applyAlignment="1">
      <alignment horizontal="center"/>
    </xf>
    <xf numFmtId="0" fontId="13" fillId="2" borderId="0" xfId="0" applyFont="1" applyFill="1"/>
    <xf numFmtId="0" fontId="13" fillId="2" borderId="4" xfId="0" applyFont="1" applyFill="1" applyBorder="1"/>
    <xf numFmtId="14" fontId="13" fillId="2" borderId="5" xfId="0" applyNumberFormat="1" applyFont="1" applyFill="1" applyBorder="1"/>
    <xf numFmtId="0" fontId="13" fillId="2" borderId="3" xfId="0" applyFont="1" applyFill="1" applyBorder="1"/>
    <xf numFmtId="14" fontId="13" fillId="2" borderId="6" xfId="0" applyNumberFormat="1" applyFont="1" applyFill="1" applyBorder="1"/>
    <xf numFmtId="0" fontId="13" fillId="2" borderId="7" xfId="0" applyFont="1" applyFill="1" applyBorder="1"/>
    <xf numFmtId="14" fontId="14" fillId="2" borderId="8" xfId="0" applyNumberFormat="1" applyFont="1" applyFill="1" applyBorder="1"/>
    <xf numFmtId="0" fontId="10" fillId="2" borderId="4" xfId="0" applyFont="1" applyFill="1" applyBorder="1"/>
    <xf numFmtId="0" fontId="10" fillId="2" borderId="3" xfId="0" applyFont="1" applyFill="1" applyBorder="1"/>
    <xf numFmtId="0" fontId="10" fillId="2" borderId="7" xfId="0" applyFont="1" applyFill="1" applyBorder="1"/>
    <xf numFmtId="0" fontId="10" fillId="2" borderId="5" xfId="0" applyFont="1" applyFill="1" applyBorder="1" applyAlignment="1">
      <alignment horizontal="center"/>
    </xf>
    <xf numFmtId="0" fontId="10" fillId="2" borderId="2" xfId="0" applyFont="1" applyFill="1" applyBorder="1" applyAlignment="1">
      <alignment horizontal="center"/>
    </xf>
    <xf numFmtId="0" fontId="0" fillId="2" borderId="0" xfId="0" applyFill="1" applyAlignment="1">
      <alignment vertical="center"/>
    </xf>
    <xf numFmtId="0" fontId="6" fillId="2" borderId="0" xfId="0" applyFont="1" applyFill="1"/>
    <xf numFmtId="0" fontId="0" fillId="0" borderId="0" xfId="0" applyAlignment="1">
      <alignment vertical="center"/>
    </xf>
    <xf numFmtId="14" fontId="16" fillId="2" borderId="9" xfId="0" applyNumberFormat="1" applyFont="1" applyFill="1" applyBorder="1" applyAlignment="1">
      <alignment horizontal="center"/>
    </xf>
    <xf numFmtId="14" fontId="6" fillId="2" borderId="9" xfId="0" applyNumberFormat="1" applyFont="1" applyFill="1" applyBorder="1" applyAlignment="1">
      <alignment horizontal="center"/>
    </xf>
    <xf numFmtId="0" fontId="6" fillId="2" borderId="14" xfId="0" applyFont="1" applyFill="1" applyBorder="1" applyAlignment="1">
      <alignment horizontal="center"/>
    </xf>
    <xf numFmtId="14" fontId="6" fillId="2" borderId="2" xfId="0" applyNumberFormat="1" applyFont="1" applyFill="1" applyBorder="1" applyAlignment="1">
      <alignment horizontal="center"/>
    </xf>
    <xf numFmtId="0" fontId="2" fillId="2" borderId="0" xfId="1" applyFont="1" applyFill="1"/>
    <xf numFmtId="10" fontId="10" fillId="2" borderId="9" xfId="8" applyNumberFormat="1" applyFont="1" applyFill="1" applyBorder="1" applyAlignment="1">
      <alignment horizontal="center"/>
    </xf>
    <xf numFmtId="10" fontId="10" fillId="2" borderId="5" xfId="8" applyNumberFormat="1" applyFont="1" applyFill="1" applyBorder="1" applyAlignment="1">
      <alignment horizontal="center"/>
    </xf>
    <xf numFmtId="10" fontId="10" fillId="2" borderId="14" xfId="8" applyNumberFormat="1" applyFont="1" applyFill="1" applyBorder="1" applyAlignment="1">
      <alignment horizontal="center"/>
    </xf>
    <xf numFmtId="10" fontId="10" fillId="2" borderId="6" xfId="8" applyNumberFormat="1" applyFont="1" applyFill="1" applyBorder="1" applyAlignment="1">
      <alignment horizontal="center"/>
    </xf>
    <xf numFmtId="10" fontId="10" fillId="2" borderId="15" xfId="8" applyNumberFormat="1" applyFont="1" applyFill="1" applyBorder="1" applyAlignment="1">
      <alignment horizontal="center"/>
    </xf>
    <xf numFmtId="10" fontId="10" fillId="2" borderId="8" xfId="8" applyNumberFormat="1" applyFont="1" applyFill="1" applyBorder="1" applyAlignment="1">
      <alignment horizontal="center"/>
    </xf>
    <xf numFmtId="10" fontId="0" fillId="2" borderId="20" xfId="8" applyNumberFormat="1" applyFont="1" applyFill="1" applyBorder="1" applyAlignment="1">
      <alignment horizontal="center" vertical="center"/>
    </xf>
    <xf numFmtId="10" fontId="0" fillId="2" borderId="21" xfId="8" applyNumberFormat="1" applyFont="1" applyFill="1" applyBorder="1" applyAlignment="1">
      <alignment horizontal="center" vertical="center"/>
    </xf>
    <xf numFmtId="10" fontId="0" fillId="2" borderId="1" xfId="8" applyNumberFormat="1" applyFont="1" applyFill="1" applyBorder="1" applyAlignment="1">
      <alignment horizontal="center" vertical="center"/>
    </xf>
    <xf numFmtId="10" fontId="0" fillId="2" borderId="26" xfId="8" applyNumberFormat="1" applyFont="1" applyFill="1" applyBorder="1" applyAlignment="1">
      <alignment horizontal="center" vertical="center"/>
    </xf>
    <xf numFmtId="10" fontId="0" fillId="2" borderId="23" xfId="8" applyNumberFormat="1" applyFont="1" applyFill="1" applyBorder="1" applyAlignment="1">
      <alignment horizontal="center" vertical="center"/>
    </xf>
    <xf numFmtId="10" fontId="0" fillId="2" borderId="24" xfId="8" applyNumberFormat="1" applyFont="1" applyFill="1" applyBorder="1" applyAlignment="1">
      <alignment horizontal="center" vertical="center"/>
    </xf>
    <xf numFmtId="0" fontId="0" fillId="0" borderId="0" xfId="0"/>
    <xf numFmtId="164" fontId="1" fillId="2" borderId="1" xfId="0" applyNumberFormat="1" applyFont="1" applyFill="1" applyBorder="1" applyAlignment="1">
      <alignment horizontal="center" vertical="center"/>
    </xf>
    <xf numFmtId="165" fontId="1" fillId="0" borderId="0" xfId="0" applyNumberFormat="1" applyFont="1" applyAlignment="1">
      <alignment horizontal="center" vertical="center"/>
    </xf>
    <xf numFmtId="165" fontId="9" fillId="2" borderId="0" xfId="0" applyNumberFormat="1" applyFont="1" applyFill="1" applyAlignment="1">
      <alignment horizontal="center" vertical="center"/>
    </xf>
    <xf numFmtId="165" fontId="1" fillId="2" borderId="0" xfId="0" applyNumberFormat="1" applyFont="1" applyFill="1" applyAlignment="1">
      <alignment horizontal="center" vertical="center"/>
    </xf>
    <xf numFmtId="165" fontId="0" fillId="3" borderId="12" xfId="0" applyNumberFormat="1" applyFill="1" applyBorder="1" applyAlignment="1">
      <alignment horizontal="center" vertical="center" wrapText="1"/>
    </xf>
    <xf numFmtId="164" fontId="1" fillId="2" borderId="10" xfId="0" applyNumberFormat="1" applyFont="1" applyFill="1" applyBorder="1" applyAlignment="1">
      <alignment horizontal="center" vertical="center"/>
    </xf>
    <xf numFmtId="165" fontId="1" fillId="2" borderId="10" xfId="0" applyNumberFormat="1" applyFont="1" applyFill="1" applyBorder="1" applyAlignment="1">
      <alignment horizontal="center" vertical="center"/>
    </xf>
    <xf numFmtId="165" fontId="1" fillId="2" borderId="1" xfId="0" applyNumberFormat="1" applyFont="1" applyFill="1" applyBorder="1" applyAlignment="1">
      <alignment horizontal="center" vertical="center"/>
    </xf>
    <xf numFmtId="165" fontId="7" fillId="2" borderId="0" xfId="0" applyNumberFormat="1" applyFont="1" applyFill="1" applyAlignment="1">
      <alignment horizontal="left" vertical="center"/>
    </xf>
    <xf numFmtId="165" fontId="9" fillId="2" borderId="0" xfId="0" applyNumberFormat="1" applyFont="1" applyFill="1" applyAlignment="1">
      <alignment horizontal="left" vertical="center"/>
    </xf>
    <xf numFmtId="166" fontId="0" fillId="0" borderId="0" xfId="0" applyNumberFormat="1"/>
    <xf numFmtId="165" fontId="0" fillId="0" borderId="0" xfId="0" applyNumberFormat="1"/>
    <xf numFmtId="166" fontId="3" fillId="0" borderId="0" xfId="2" applyNumberFormat="1"/>
    <xf numFmtId="0" fontId="0" fillId="2" borderId="0" xfId="0" applyFill="1"/>
    <xf numFmtId="167" fontId="0" fillId="0" borderId="0" xfId="0" applyNumberFormat="1"/>
    <xf numFmtId="0" fontId="10" fillId="2" borderId="22" xfId="0" applyFont="1" applyFill="1" applyBorder="1" applyAlignment="1">
      <alignment horizontal="center" vertical="center"/>
    </xf>
    <xf numFmtId="0" fontId="0" fillId="0" borderId="27" xfId="0" applyBorder="1"/>
    <xf numFmtId="0" fontId="6" fillId="4" borderId="1" xfId="0" applyFont="1" applyFill="1" applyBorder="1" applyAlignment="1">
      <alignment horizontal="center"/>
    </xf>
    <xf numFmtId="0" fontId="0" fillId="0" borderId="17" xfId="0" applyBorder="1"/>
    <xf numFmtId="0" fontId="0" fillId="0" borderId="18" xfId="0" applyBorder="1"/>
    <xf numFmtId="0" fontId="10" fillId="2" borderId="19" xfId="0" applyFont="1" applyFill="1" applyBorder="1" applyAlignment="1">
      <alignment horizontal="center" vertical="center"/>
    </xf>
    <xf numFmtId="0" fontId="0" fillId="0" borderId="28" xfId="0" applyBorder="1"/>
    <xf numFmtId="0" fontId="10" fillId="2" borderId="25" xfId="0" applyFont="1" applyFill="1" applyBorder="1" applyAlignment="1">
      <alignment horizontal="center" vertical="center"/>
    </xf>
    <xf numFmtId="165" fontId="15" fillId="2" borderId="0" xfId="0" applyNumberFormat="1" applyFont="1" applyFill="1" applyAlignment="1">
      <alignment horizontal="left" vertical="center" wrapText="1"/>
    </xf>
    <xf numFmtId="0" fontId="0" fillId="2" borderId="0" xfId="0" applyFill="1"/>
    <xf numFmtId="0" fontId="6" fillId="2" borderId="16" xfId="0" applyFont="1" applyFill="1" applyBorder="1" applyAlignment="1">
      <alignment horizontal="center" vertical="center"/>
    </xf>
    <xf numFmtId="0" fontId="0" fillId="0" borderId="16" xfId="0" applyBorder="1"/>
    <xf numFmtId="0" fontId="12" fillId="3" borderId="2" xfId="0" applyFont="1" applyFill="1" applyBorder="1" applyAlignment="1">
      <alignment horizontal="center"/>
    </xf>
    <xf numFmtId="0" fontId="0" fillId="0" borderId="12" xfId="0" applyBorder="1"/>
    <xf numFmtId="0" fontId="0" fillId="0" borderId="13" xfId="0" applyBorder="1"/>
    <xf numFmtId="0" fontId="0" fillId="2" borderId="0" xfId="0" applyFill="1" applyAlignment="1">
      <alignment vertical="center" wrapText="1"/>
    </xf>
    <xf numFmtId="0" fontId="3" fillId="2" borderId="0" xfId="2" applyFill="1"/>
    <xf numFmtId="0" fontId="0" fillId="2" borderId="0" xfId="0" applyFill="1" applyAlignment="1">
      <alignment wrapText="1"/>
    </xf>
    <xf numFmtId="165" fontId="0" fillId="2" borderId="0" xfId="0" applyNumberFormat="1" applyFill="1" applyAlignment="1">
      <alignment horizontal="left" vertical="center" wrapText="1"/>
    </xf>
  </cellXfs>
  <cellStyles count="9">
    <cellStyle name="blp_datetime" xfId="3" xr:uid="{00000000-0005-0000-0000-000003000000}"/>
    <cellStyle name="Hyperlink" xfId="2" builtinId="8"/>
    <cellStyle name="Normal" xfId="0" builtinId="0"/>
    <cellStyle name="Normal 2" xfId="1" xr:uid="{00000000-0005-0000-0000-000001000000}"/>
    <cellStyle name="Normal 3" xfId="4" xr:uid="{00000000-0005-0000-0000-000004000000}"/>
    <cellStyle name="Normal 4" xfId="5" xr:uid="{00000000-0005-0000-0000-000005000000}"/>
    <cellStyle name="Normal 5" xfId="6" xr:uid="{00000000-0005-0000-0000-000006000000}"/>
    <cellStyle name="Normal 6" xfId="7" xr:uid="{00000000-0005-0000-0000-000007000000}"/>
    <cellStyle name="Per cent" xfId="8" builtinId="5"/>
  </cellStyles>
  <dxfs count="38">
    <dxf>
      <font>
        <color rgb="FF00B050"/>
      </font>
      <fill>
        <patternFill>
          <bgColor theme="0" tint="-4.9989318521683403E-2"/>
        </patternFill>
      </fill>
    </dxf>
    <dxf>
      <font>
        <color rgb="FFFF0000"/>
      </font>
    </dxf>
    <dxf>
      <font>
        <color rgb="FF00B050"/>
      </font>
      <fill>
        <patternFill>
          <bgColor theme="0"/>
        </patternFill>
      </fill>
    </dxf>
    <dxf>
      <font>
        <color rgb="FFFF0000"/>
      </font>
    </dxf>
    <dxf>
      <fill>
        <patternFill patternType="solid">
          <fgColor indexed="64"/>
          <bgColor theme="0"/>
        </patternFill>
      </fill>
      <alignment horizontal="center"/>
      <border outline="0">
        <left style="thin">
          <color indexed="64"/>
        </left>
        <right style="thin">
          <color indexed="64"/>
        </right>
        <top style="thin">
          <color indexed="64"/>
        </top>
        <bottom style="thin">
          <color indexed="64"/>
        </bottom>
      </border>
    </dxf>
    <dxf>
      <numFmt numFmtId="2" formatCode="0.00"/>
      <fill>
        <patternFill patternType="solid">
          <fgColor indexed="64"/>
          <bgColor theme="0"/>
        </patternFill>
      </fill>
      <alignment horizontal="center"/>
      <border>
        <left style="thin">
          <color indexed="64"/>
        </left>
        <right style="thin">
          <color indexed="64"/>
        </right>
        <top style="thin">
          <color indexed="64"/>
        </top>
        <bottom style="thin">
          <color indexed="64"/>
        </bottom>
      </border>
    </dxf>
    <dxf>
      <font>
        <strike val="0"/>
        <condense val="0"/>
        <extend val="0"/>
        <outline val="0"/>
        <shadow val="0"/>
        <vertAlign val="baseline"/>
        <sz val="8"/>
        <color theme="1"/>
        <name val="Calibri"/>
        <scheme val="minor"/>
      </font>
      <numFmt numFmtId="14" formatCode="0.00%"/>
      <fill>
        <patternFill patternType="solid">
          <fgColor indexed="64"/>
          <bgColor theme="0"/>
        </patternFill>
      </fill>
      <alignment horizontal="center" vertical="center"/>
      <border outline="0">
        <left style="thin">
          <color indexed="64"/>
        </left>
        <right style="thin">
          <color indexed="64"/>
        </right>
        <top style="thin">
          <color indexed="64"/>
        </top>
        <bottom style="thin">
          <color indexed="64"/>
        </bottom>
      </border>
    </dxf>
    <dxf>
      <font>
        <strike val="0"/>
        <condense val="0"/>
        <extend val="0"/>
        <outline val="0"/>
        <shadow val="0"/>
        <vertAlign val="baseline"/>
        <sz val="8"/>
        <color theme="1"/>
        <name val="Calibri"/>
        <scheme val="minor"/>
      </font>
      <numFmt numFmtId="14" formatCode="0.00%"/>
      <fill>
        <patternFill patternType="solid">
          <fgColor indexed="64"/>
          <bgColor theme="0"/>
        </patternFill>
      </fill>
      <alignment horizontal="center" vertical="center"/>
      <border outline="0">
        <left style="thin">
          <color indexed="64"/>
        </left>
        <right style="thin">
          <color indexed="64"/>
        </right>
        <top style="thin">
          <color indexed="64"/>
        </top>
        <bottom style="thin">
          <color indexed="64"/>
        </bottom>
      </border>
    </dxf>
    <dxf>
      <font>
        <strike val="0"/>
        <condense val="0"/>
        <extend val="0"/>
        <outline val="0"/>
        <shadow val="0"/>
        <vertAlign val="baseline"/>
        <sz val="8"/>
        <color theme="1"/>
        <name val="Calibri"/>
        <scheme val="minor"/>
      </font>
      <numFmt numFmtId="165" formatCode="0.0"/>
      <fill>
        <patternFill patternType="solid">
          <fgColor indexed="64"/>
          <bgColor theme="0"/>
        </patternFill>
      </fill>
      <alignment horizontal="center" vertical="center"/>
      <border outline="0">
        <left style="thin">
          <color indexed="64"/>
        </left>
        <right style="thin">
          <color indexed="64"/>
        </right>
        <top style="thin">
          <color indexed="64"/>
        </top>
        <bottom style="thin">
          <color indexed="64"/>
        </bottom>
      </border>
      <protection locked="1" hidden="0"/>
    </dxf>
    <dxf>
      <font>
        <strike val="0"/>
        <condense val="0"/>
        <extend val="0"/>
        <outline val="0"/>
        <shadow val="0"/>
        <vertAlign val="baseline"/>
        <sz val="8"/>
        <color theme="1"/>
        <name val="Calibri"/>
        <scheme val="minor"/>
      </font>
      <numFmt numFmtId="164" formatCode="[$-409]mmm\-yy;@"/>
      <fill>
        <patternFill patternType="solid">
          <fgColor indexed="64"/>
          <bgColor theme="0"/>
        </patternFill>
      </fill>
      <alignment horizontal="center" vertical="center"/>
      <border outline="0">
        <left style="thin">
          <color indexed="64"/>
        </left>
        <right style="thin">
          <color indexed="64"/>
        </right>
        <top style="thin">
          <color indexed="64"/>
        </top>
        <bottom style="thin">
          <color indexed="64"/>
        </bottom>
      </border>
      <protection locked="1" hidden="0"/>
    </dxf>
    <dxf>
      <fill>
        <patternFill patternType="solid">
          <fgColor indexed="64"/>
          <bgColor theme="0"/>
        </patternFill>
      </fill>
    </dxf>
    <dxf>
      <border>
        <bottom style="medium">
          <color indexed="64"/>
        </bottom>
      </border>
    </dxf>
    <dxf>
      <font>
        <strike val="0"/>
        <condense val="0"/>
        <extend val="0"/>
        <outline val="0"/>
        <shadow val="0"/>
        <vertAlign val="baseline"/>
        <sz val="11"/>
        <color theme="1"/>
        <name val="Calibri"/>
        <family val="2"/>
        <scheme val="minor"/>
      </font>
      <fill>
        <patternFill patternType="solid">
          <fgColor indexed="64"/>
          <bgColor rgb="FF00B050"/>
        </patternFill>
      </fill>
      <alignment horizontal="center" vertical="center" wrapText="1"/>
      <border>
        <left/>
        <right/>
        <top/>
        <bottom/>
        <vertical/>
        <horizontal/>
      </border>
    </dxf>
    <dxf>
      <font>
        <strike val="0"/>
        <condense val="0"/>
        <extend val="0"/>
        <outline val="0"/>
        <shadow val="0"/>
        <vertAlign val="baseline"/>
        <sz val="8"/>
        <color theme="1"/>
        <name val="Calibri"/>
        <scheme val="minor"/>
      </font>
      <numFmt numFmtId="14" formatCode="0.00%"/>
      <fill>
        <patternFill patternType="solid">
          <fgColor indexed="64"/>
          <bgColor theme="0"/>
        </patternFill>
      </fill>
      <alignment horizontal="center" vertical="center"/>
      <border outline="0">
        <left style="thin">
          <color indexed="64"/>
        </left>
        <right style="thin">
          <color indexed="64"/>
        </right>
        <top style="thin">
          <color indexed="64"/>
        </top>
        <bottom style="thin">
          <color indexed="64"/>
        </bottom>
      </border>
    </dxf>
    <dxf>
      <font>
        <strike val="0"/>
        <condense val="0"/>
        <extend val="0"/>
        <outline val="0"/>
        <shadow val="0"/>
        <vertAlign val="baseline"/>
        <sz val="8"/>
        <color theme="1"/>
        <name val="Calibri"/>
        <scheme val="minor"/>
      </font>
      <numFmt numFmtId="14" formatCode="0.00%"/>
      <fill>
        <patternFill patternType="solid">
          <fgColor indexed="64"/>
          <bgColor theme="0"/>
        </patternFill>
      </fill>
      <alignment horizontal="center" vertical="center"/>
      <border outline="0">
        <left style="thin">
          <color indexed="64"/>
        </left>
        <right style="thin">
          <color indexed="64"/>
        </right>
        <top style="thin">
          <color indexed="64"/>
        </top>
        <bottom style="thin">
          <color indexed="64"/>
        </bottom>
      </border>
    </dxf>
    <dxf>
      <font>
        <strike val="0"/>
        <condense val="0"/>
        <extend val="0"/>
        <outline val="0"/>
        <shadow val="0"/>
        <vertAlign val="baseline"/>
        <sz val="8"/>
        <color theme="1"/>
        <name val="Calibri"/>
        <scheme val="minor"/>
      </font>
      <numFmt numFmtId="165" formatCode="0.0"/>
      <fill>
        <patternFill patternType="solid">
          <fgColor indexed="64"/>
          <bgColor theme="0"/>
        </patternFill>
      </fill>
      <alignment horizontal="center" vertical="center"/>
      <border outline="0">
        <left style="thin">
          <color indexed="64"/>
        </left>
        <right style="thin">
          <color indexed="64"/>
        </right>
        <top style="thin">
          <color indexed="64"/>
        </top>
        <bottom style="thin">
          <color indexed="64"/>
        </bottom>
      </border>
      <protection locked="1" hidden="0"/>
    </dxf>
    <dxf>
      <font>
        <strike val="0"/>
        <condense val="0"/>
        <extend val="0"/>
        <outline val="0"/>
        <shadow val="0"/>
        <vertAlign val="baseline"/>
        <sz val="8"/>
        <color theme="1"/>
        <name val="Calibri"/>
        <scheme val="minor"/>
      </font>
      <numFmt numFmtId="164" formatCode="[$-409]mmm\-yy;@"/>
      <fill>
        <patternFill patternType="solid">
          <fgColor indexed="64"/>
          <bgColor theme="0"/>
        </patternFill>
      </fill>
      <alignment horizontal="center" vertical="center"/>
      <border outline="0">
        <left style="thin">
          <color indexed="64"/>
        </left>
        <right style="thin">
          <color indexed="64"/>
        </right>
        <top style="thin">
          <color indexed="64"/>
        </top>
        <bottom style="thin">
          <color indexed="64"/>
        </bottom>
      </border>
      <protection locked="1" hidden="0"/>
    </dxf>
    <dxf>
      <border outline="0">
        <bottom style="thin">
          <color indexed="64"/>
        </bottom>
      </border>
    </dxf>
    <dxf>
      <fill>
        <patternFill patternType="solid">
          <fgColor indexed="64"/>
          <bgColor theme="0"/>
        </patternFill>
      </fill>
    </dxf>
    <dxf>
      <border>
        <bottom style="medium">
          <color indexed="64"/>
        </bottom>
      </border>
    </dxf>
    <dxf>
      <font>
        <strike val="0"/>
        <outline val="0"/>
        <shadow val="0"/>
        <vertAlign val="baseline"/>
        <sz val="11"/>
        <color theme="1"/>
        <name val="Calibri"/>
        <family val="2"/>
        <scheme val="minor"/>
      </font>
      <fill>
        <patternFill patternType="solid">
          <fgColor indexed="64"/>
          <bgColor rgb="FF00B050"/>
        </patternFill>
      </fill>
      <alignment horizontal="center" vertical="center" wrapText="1"/>
      <border>
        <left/>
        <right/>
        <top/>
        <bottom/>
        <vertical/>
        <horizontal/>
      </border>
    </dxf>
    <dxf>
      <font>
        <strike val="0"/>
        <condense val="0"/>
        <extend val="0"/>
        <outline val="0"/>
        <shadow val="0"/>
        <vertAlign val="baseline"/>
        <sz val="8"/>
        <color theme="1"/>
        <name val="Calibri"/>
        <scheme val="minor"/>
      </font>
      <numFmt numFmtId="14" formatCode="0.00%"/>
      <fill>
        <patternFill patternType="solid">
          <fgColor indexed="64"/>
          <bgColor theme="0"/>
        </patternFill>
      </fill>
      <alignment horizontal="center" vertical="center"/>
      <border outline="0">
        <left style="thin">
          <color indexed="64"/>
        </left>
        <right style="thin">
          <color indexed="64"/>
        </right>
        <top style="thin">
          <color indexed="64"/>
        </top>
        <bottom style="thin">
          <color indexed="64"/>
        </bottom>
      </border>
    </dxf>
    <dxf>
      <font>
        <strike val="0"/>
        <condense val="0"/>
        <extend val="0"/>
        <outline val="0"/>
        <shadow val="0"/>
        <vertAlign val="baseline"/>
        <sz val="8"/>
        <color theme="1"/>
        <name val="Calibri"/>
        <scheme val="minor"/>
      </font>
      <numFmt numFmtId="14" formatCode="0.00%"/>
      <fill>
        <patternFill patternType="solid">
          <fgColor indexed="64"/>
          <bgColor theme="0"/>
        </patternFill>
      </fill>
      <alignment horizontal="center" vertical="center"/>
      <border outline="0">
        <left style="thin">
          <color indexed="64"/>
        </left>
        <right style="thin">
          <color indexed="64"/>
        </right>
        <top style="thin">
          <color indexed="64"/>
        </top>
        <bottom style="thin">
          <color indexed="64"/>
        </bottom>
      </border>
    </dxf>
    <dxf>
      <font>
        <strike val="0"/>
        <condense val="0"/>
        <extend val="0"/>
        <outline val="0"/>
        <shadow val="0"/>
        <vertAlign val="baseline"/>
        <sz val="8"/>
        <color theme="1"/>
        <name val="Calibri"/>
        <scheme val="minor"/>
      </font>
      <numFmt numFmtId="165" formatCode="0.0"/>
      <fill>
        <patternFill patternType="solid">
          <fgColor indexed="64"/>
          <bgColor theme="0"/>
        </patternFill>
      </fill>
      <alignment horizontal="center" vertical="center"/>
      <border outline="0">
        <left style="thin">
          <color indexed="64"/>
        </left>
        <right style="thin">
          <color indexed="64"/>
        </right>
        <top style="thin">
          <color indexed="64"/>
        </top>
        <bottom style="thin">
          <color indexed="64"/>
        </bottom>
      </border>
      <protection locked="1" hidden="0"/>
    </dxf>
    <dxf>
      <font>
        <strike val="0"/>
        <condense val="0"/>
        <extend val="0"/>
        <outline val="0"/>
        <shadow val="0"/>
        <vertAlign val="baseline"/>
        <sz val="8"/>
        <color theme="1"/>
        <name val="Calibri"/>
        <scheme val="minor"/>
      </font>
      <numFmt numFmtId="164" formatCode="[$-409]mmm\-yy;@"/>
      <fill>
        <patternFill patternType="solid">
          <fgColor indexed="64"/>
          <bgColor theme="0"/>
        </patternFill>
      </fill>
      <alignment horizontal="center" vertical="center"/>
      <border outline="0">
        <left style="thin">
          <color indexed="64"/>
        </left>
        <right style="thin">
          <color indexed="64"/>
        </right>
        <top style="thin">
          <color indexed="64"/>
        </top>
        <bottom style="thin">
          <color indexed="64"/>
        </bottom>
      </border>
      <protection locked="1" hidden="0"/>
    </dxf>
    <dxf>
      <border outline="0">
        <bottom style="thin">
          <color indexed="64"/>
        </bottom>
      </border>
    </dxf>
    <dxf>
      <fill>
        <patternFill patternType="solid">
          <fgColor indexed="64"/>
          <bgColor theme="0"/>
        </patternFill>
      </fill>
    </dxf>
    <dxf>
      <border>
        <bottom style="medium">
          <color indexed="64"/>
        </bottom>
      </border>
    </dxf>
    <dxf>
      <font>
        <strike val="0"/>
        <outline val="0"/>
        <shadow val="0"/>
        <vertAlign val="baseline"/>
        <sz val="11"/>
        <color theme="1"/>
        <name val="Calibri"/>
        <family val="2"/>
        <scheme val="minor"/>
      </font>
      <fill>
        <patternFill patternType="solid">
          <fgColor indexed="64"/>
          <bgColor rgb="FF00B050"/>
        </patternFill>
      </fill>
      <border>
        <left/>
        <right/>
        <top/>
        <bottom/>
        <vertical/>
        <horizontal/>
      </border>
    </dxf>
    <dxf>
      <numFmt numFmtId="2" formatCode="0.00"/>
      <fill>
        <patternFill patternType="solid">
          <fgColor indexed="64"/>
          <bgColor theme="0"/>
        </patternFill>
      </fill>
      <alignment horizontal="center"/>
      <border>
        <left style="thin">
          <color indexed="64"/>
        </left>
        <right style="thin">
          <color indexed="64"/>
        </right>
        <top style="thin">
          <color indexed="64"/>
        </top>
        <bottom style="thin">
          <color indexed="64"/>
        </bottom>
      </border>
    </dxf>
    <dxf>
      <numFmt numFmtId="2" formatCode="0.00"/>
      <fill>
        <patternFill patternType="solid">
          <fgColor indexed="64"/>
          <bgColor theme="0"/>
        </patternFill>
      </fill>
      <alignment horizontal="center"/>
      <border>
        <left style="thin">
          <color indexed="64"/>
        </left>
        <right style="thin">
          <color indexed="64"/>
        </right>
        <top style="thin">
          <color indexed="64"/>
        </top>
        <bottom style="thin">
          <color indexed="64"/>
        </bottom>
      </border>
    </dxf>
    <dxf>
      <font>
        <strike val="0"/>
        <condense val="0"/>
        <extend val="0"/>
        <outline val="0"/>
        <shadow val="0"/>
        <vertAlign val="baseline"/>
        <sz val="8"/>
        <color theme="1"/>
        <name val="Calibri"/>
        <scheme val="minor"/>
      </font>
      <numFmt numFmtId="14" formatCode="0.00%"/>
      <fill>
        <patternFill patternType="solid">
          <fgColor indexed="64"/>
          <bgColor theme="0"/>
        </patternFill>
      </fill>
      <alignment horizontal="center" vertical="center"/>
      <border outline="0">
        <left style="thin">
          <color indexed="64"/>
        </left>
        <right style="thin">
          <color indexed="64"/>
        </right>
        <top style="thin">
          <color indexed="64"/>
        </top>
        <bottom style="thin">
          <color indexed="64"/>
        </bottom>
      </border>
    </dxf>
    <dxf>
      <font>
        <strike val="0"/>
        <condense val="0"/>
        <extend val="0"/>
        <outline val="0"/>
        <shadow val="0"/>
        <vertAlign val="baseline"/>
        <sz val="8"/>
        <color theme="1"/>
        <name val="Calibri"/>
        <scheme val="minor"/>
      </font>
      <numFmt numFmtId="14" formatCode="0.00%"/>
      <fill>
        <patternFill patternType="solid">
          <fgColor indexed="64"/>
          <bgColor theme="0"/>
        </patternFill>
      </fill>
      <alignment horizontal="center" vertical="center"/>
      <border outline="0">
        <left style="thin">
          <color indexed="64"/>
        </left>
        <right style="thin">
          <color indexed="64"/>
        </right>
        <top style="thin">
          <color indexed="64"/>
        </top>
        <bottom style="thin">
          <color indexed="64"/>
        </bottom>
      </border>
    </dxf>
    <dxf>
      <font>
        <strike val="0"/>
        <condense val="0"/>
        <extend val="0"/>
        <outline val="0"/>
        <shadow val="0"/>
        <vertAlign val="baseline"/>
        <sz val="8"/>
        <color theme="1"/>
        <name val="Calibri"/>
        <scheme val="minor"/>
      </font>
      <numFmt numFmtId="165" formatCode="0.0"/>
      <fill>
        <patternFill patternType="solid">
          <fgColor indexed="64"/>
          <bgColor theme="0"/>
        </patternFill>
      </fill>
      <alignment horizontal="center" vertical="center"/>
      <border outline="0">
        <left style="thin">
          <color indexed="64"/>
        </left>
        <right style="thin">
          <color indexed="64"/>
        </right>
        <top style="thin">
          <color indexed="64"/>
        </top>
        <bottom style="thin">
          <color indexed="64"/>
        </bottom>
      </border>
      <protection locked="1" hidden="0"/>
    </dxf>
    <dxf>
      <font>
        <strike val="0"/>
        <condense val="0"/>
        <extend val="0"/>
        <outline val="0"/>
        <shadow val="0"/>
        <vertAlign val="baseline"/>
        <sz val="8"/>
        <color theme="1"/>
        <name val="Calibri"/>
        <scheme val="minor"/>
      </font>
      <numFmt numFmtId="164" formatCode="[$-409]mmm\-yy;@"/>
      <fill>
        <patternFill patternType="solid">
          <fgColor indexed="64"/>
          <bgColor theme="0"/>
        </patternFill>
      </fill>
      <alignment horizontal="center" vertical="center"/>
      <border outline="0">
        <left style="thin">
          <color indexed="64"/>
        </left>
        <right style="thin">
          <color indexed="64"/>
        </right>
        <top style="thin">
          <color indexed="64"/>
        </top>
        <bottom style="thin">
          <color indexed="64"/>
        </bottom>
      </border>
      <protection locked="1" hidden="0"/>
    </dxf>
    <dxf>
      <fill>
        <patternFill patternType="solid">
          <fgColor indexed="64"/>
          <bgColor theme="0"/>
        </patternFill>
      </fill>
    </dxf>
    <dxf>
      <border>
        <bottom style="medium">
          <color indexed="64"/>
        </bottom>
      </border>
    </dxf>
    <dxf>
      <font>
        <strike val="0"/>
        <condense val="0"/>
        <extend val="0"/>
        <outline val="0"/>
        <shadow val="0"/>
        <vertAlign val="baseline"/>
        <sz val="11"/>
        <color theme="1"/>
        <name val="Calibri"/>
        <family val="2"/>
        <scheme val="minor"/>
      </font>
      <fill>
        <patternFill patternType="solid">
          <fgColor indexed="64"/>
          <bgColor rgb="FF00B050"/>
        </patternFill>
      </fill>
      <alignment horizontal="center" vertical="center"/>
      <border>
        <left/>
        <right/>
        <top/>
        <bottom/>
        <vertical/>
        <horizontal/>
      </border>
    </dxf>
  </dxfs>
  <tableStyles count="0" defaultTableStyle="TableStyleMedium2" defaultPivotStyle="PivotStyleMedium9"/>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strike="noStrike" kern="1200" spc="0" baseline="0">
                <a:solidFill>
                  <a:schemeClr val="tx1">
                    <a:lumMod val="65000"/>
                    <a:lumOff val="35000"/>
                  </a:schemeClr>
                </a:solidFill>
                <a:latin typeface="+mn-lt"/>
                <a:ea typeface="+mn-ea"/>
                <a:cs typeface="+mn-cs"/>
              </a:defRPr>
            </a:pPr>
            <a:r>
              <a:rPr lang="en-GB" sz="1800" b="1" baseline="0"/>
              <a:t>Core CPI y/y %</a:t>
            </a:r>
          </a:p>
        </c:rich>
      </c:tx>
      <c:overlay val="0"/>
      <c:spPr>
        <a:noFill/>
        <a:ln>
          <a:noFill/>
          <a:prstDash val="solid"/>
        </a:ln>
      </c:spPr>
    </c:title>
    <c:autoTitleDeleted val="0"/>
    <c:plotArea>
      <c:layout/>
      <c:lineChart>
        <c:grouping val="standard"/>
        <c:varyColors val="0"/>
        <c:ser>
          <c:idx val="1"/>
          <c:order val="0"/>
          <c:spPr>
            <a:ln w="28575" cap="rnd">
              <a:solidFill>
                <a:schemeClr val="accent2"/>
              </a:solidFill>
              <a:prstDash val="solid"/>
              <a:round/>
            </a:ln>
          </c:spPr>
          <c:marker>
            <c:symbol val="none"/>
          </c:marker>
          <c:cat>
            <c:numRef>
              <c:f>'Core CPI'!$A$450:$A$670</c:f>
              <c:numCache>
                <c:formatCode>[$-409]mmm\-yy;@</c:formatCode>
                <c:ptCount val="221"/>
                <c:pt idx="0">
                  <c:v>38018</c:v>
                </c:pt>
                <c:pt idx="1">
                  <c:v>38047</c:v>
                </c:pt>
                <c:pt idx="2">
                  <c:v>38078</c:v>
                </c:pt>
                <c:pt idx="3">
                  <c:v>38108</c:v>
                </c:pt>
                <c:pt idx="4">
                  <c:v>38139</c:v>
                </c:pt>
                <c:pt idx="5">
                  <c:v>38169</c:v>
                </c:pt>
                <c:pt idx="6">
                  <c:v>38200</c:v>
                </c:pt>
                <c:pt idx="7">
                  <c:v>38231</c:v>
                </c:pt>
                <c:pt idx="8">
                  <c:v>38261</c:v>
                </c:pt>
                <c:pt idx="9">
                  <c:v>38292</c:v>
                </c:pt>
                <c:pt idx="10">
                  <c:v>38322</c:v>
                </c:pt>
                <c:pt idx="11">
                  <c:v>38353</c:v>
                </c:pt>
                <c:pt idx="12">
                  <c:v>38384</c:v>
                </c:pt>
                <c:pt idx="13">
                  <c:v>38412</c:v>
                </c:pt>
                <c:pt idx="14">
                  <c:v>38443</c:v>
                </c:pt>
                <c:pt idx="15">
                  <c:v>38473</c:v>
                </c:pt>
                <c:pt idx="16">
                  <c:v>38504</c:v>
                </c:pt>
                <c:pt idx="17">
                  <c:v>38534</c:v>
                </c:pt>
                <c:pt idx="18">
                  <c:v>38565</c:v>
                </c:pt>
                <c:pt idx="19">
                  <c:v>38596</c:v>
                </c:pt>
                <c:pt idx="20">
                  <c:v>38626</c:v>
                </c:pt>
                <c:pt idx="21">
                  <c:v>38657</c:v>
                </c:pt>
                <c:pt idx="22">
                  <c:v>38687</c:v>
                </c:pt>
                <c:pt idx="23">
                  <c:v>38718</c:v>
                </c:pt>
                <c:pt idx="24">
                  <c:v>38749</c:v>
                </c:pt>
                <c:pt idx="25">
                  <c:v>38777</c:v>
                </c:pt>
                <c:pt idx="26">
                  <c:v>38808</c:v>
                </c:pt>
                <c:pt idx="27">
                  <c:v>38838</c:v>
                </c:pt>
                <c:pt idx="28">
                  <c:v>38869</c:v>
                </c:pt>
                <c:pt idx="29">
                  <c:v>38899</c:v>
                </c:pt>
                <c:pt idx="30">
                  <c:v>38930</c:v>
                </c:pt>
                <c:pt idx="31">
                  <c:v>38961</c:v>
                </c:pt>
                <c:pt idx="32">
                  <c:v>38991</c:v>
                </c:pt>
                <c:pt idx="33">
                  <c:v>39022</c:v>
                </c:pt>
                <c:pt idx="34">
                  <c:v>39052</c:v>
                </c:pt>
                <c:pt idx="35">
                  <c:v>39083</c:v>
                </c:pt>
                <c:pt idx="36">
                  <c:v>39114</c:v>
                </c:pt>
                <c:pt idx="37">
                  <c:v>39142</c:v>
                </c:pt>
                <c:pt idx="38">
                  <c:v>39173</c:v>
                </c:pt>
                <c:pt idx="39">
                  <c:v>39203</c:v>
                </c:pt>
                <c:pt idx="40">
                  <c:v>39234</c:v>
                </c:pt>
                <c:pt idx="41">
                  <c:v>39264</c:v>
                </c:pt>
                <c:pt idx="42">
                  <c:v>39295</c:v>
                </c:pt>
                <c:pt idx="43">
                  <c:v>39326</c:v>
                </c:pt>
                <c:pt idx="44">
                  <c:v>39356</c:v>
                </c:pt>
                <c:pt idx="45">
                  <c:v>39387</c:v>
                </c:pt>
                <c:pt idx="46">
                  <c:v>39417</c:v>
                </c:pt>
                <c:pt idx="47">
                  <c:v>39448</c:v>
                </c:pt>
                <c:pt idx="48">
                  <c:v>39479</c:v>
                </c:pt>
                <c:pt idx="49">
                  <c:v>39508</c:v>
                </c:pt>
                <c:pt idx="50">
                  <c:v>39539</c:v>
                </c:pt>
                <c:pt idx="51">
                  <c:v>39569</c:v>
                </c:pt>
                <c:pt idx="52">
                  <c:v>39600</c:v>
                </c:pt>
                <c:pt idx="53">
                  <c:v>39630</c:v>
                </c:pt>
                <c:pt idx="54">
                  <c:v>39661</c:v>
                </c:pt>
                <c:pt idx="55">
                  <c:v>39692</c:v>
                </c:pt>
                <c:pt idx="56">
                  <c:v>39722</c:v>
                </c:pt>
                <c:pt idx="57">
                  <c:v>39753</c:v>
                </c:pt>
                <c:pt idx="58">
                  <c:v>39783</c:v>
                </c:pt>
                <c:pt idx="59">
                  <c:v>39814</c:v>
                </c:pt>
                <c:pt idx="60">
                  <c:v>39845</c:v>
                </c:pt>
                <c:pt idx="61">
                  <c:v>39873</c:v>
                </c:pt>
                <c:pt idx="62">
                  <c:v>39904</c:v>
                </c:pt>
                <c:pt idx="63">
                  <c:v>39934</c:v>
                </c:pt>
                <c:pt idx="64">
                  <c:v>39965</c:v>
                </c:pt>
                <c:pt idx="65">
                  <c:v>39995</c:v>
                </c:pt>
                <c:pt idx="66">
                  <c:v>40026</c:v>
                </c:pt>
                <c:pt idx="67">
                  <c:v>40057</c:v>
                </c:pt>
                <c:pt idx="68">
                  <c:v>40087</c:v>
                </c:pt>
                <c:pt idx="69">
                  <c:v>40118</c:v>
                </c:pt>
                <c:pt idx="70">
                  <c:v>40148</c:v>
                </c:pt>
                <c:pt idx="71">
                  <c:v>40179</c:v>
                </c:pt>
                <c:pt idx="72">
                  <c:v>40210</c:v>
                </c:pt>
                <c:pt idx="73">
                  <c:v>40238</c:v>
                </c:pt>
                <c:pt idx="74">
                  <c:v>40269</c:v>
                </c:pt>
                <c:pt idx="75">
                  <c:v>40299</c:v>
                </c:pt>
                <c:pt idx="76">
                  <c:v>40330</c:v>
                </c:pt>
                <c:pt idx="77">
                  <c:v>40360</c:v>
                </c:pt>
                <c:pt idx="78">
                  <c:v>40391</c:v>
                </c:pt>
                <c:pt idx="79">
                  <c:v>40422</c:v>
                </c:pt>
                <c:pt idx="80">
                  <c:v>40452</c:v>
                </c:pt>
                <c:pt idx="81">
                  <c:v>40483</c:v>
                </c:pt>
                <c:pt idx="82">
                  <c:v>40513</c:v>
                </c:pt>
                <c:pt idx="83">
                  <c:v>40544</c:v>
                </c:pt>
                <c:pt idx="84">
                  <c:v>40575</c:v>
                </c:pt>
                <c:pt idx="85">
                  <c:v>40603</c:v>
                </c:pt>
                <c:pt idx="86">
                  <c:v>40634</c:v>
                </c:pt>
                <c:pt idx="87">
                  <c:v>40664</c:v>
                </c:pt>
                <c:pt idx="88">
                  <c:v>40695</c:v>
                </c:pt>
                <c:pt idx="89">
                  <c:v>40725</c:v>
                </c:pt>
                <c:pt idx="90">
                  <c:v>40756</c:v>
                </c:pt>
                <c:pt idx="91">
                  <c:v>40787</c:v>
                </c:pt>
                <c:pt idx="92">
                  <c:v>40817</c:v>
                </c:pt>
                <c:pt idx="93">
                  <c:v>40848</c:v>
                </c:pt>
                <c:pt idx="94">
                  <c:v>40878</c:v>
                </c:pt>
                <c:pt idx="95">
                  <c:v>40909</c:v>
                </c:pt>
                <c:pt idx="96">
                  <c:v>40940</c:v>
                </c:pt>
                <c:pt idx="97">
                  <c:v>40969</c:v>
                </c:pt>
                <c:pt idx="98">
                  <c:v>41000</c:v>
                </c:pt>
                <c:pt idx="99">
                  <c:v>41030</c:v>
                </c:pt>
                <c:pt idx="100">
                  <c:v>41061</c:v>
                </c:pt>
                <c:pt idx="101">
                  <c:v>41091</c:v>
                </c:pt>
                <c:pt idx="102">
                  <c:v>41122</c:v>
                </c:pt>
                <c:pt idx="103">
                  <c:v>41153</c:v>
                </c:pt>
                <c:pt idx="104">
                  <c:v>41183</c:v>
                </c:pt>
                <c:pt idx="105">
                  <c:v>41214</c:v>
                </c:pt>
                <c:pt idx="106">
                  <c:v>41244</c:v>
                </c:pt>
                <c:pt idx="107">
                  <c:v>41275</c:v>
                </c:pt>
                <c:pt idx="108">
                  <c:v>41306</c:v>
                </c:pt>
                <c:pt idx="109">
                  <c:v>41334</c:v>
                </c:pt>
                <c:pt idx="110">
                  <c:v>41365</c:v>
                </c:pt>
                <c:pt idx="111">
                  <c:v>41395</c:v>
                </c:pt>
                <c:pt idx="112">
                  <c:v>41426</c:v>
                </c:pt>
                <c:pt idx="113">
                  <c:v>41456</c:v>
                </c:pt>
                <c:pt idx="114">
                  <c:v>41487</c:v>
                </c:pt>
                <c:pt idx="115">
                  <c:v>41518</c:v>
                </c:pt>
                <c:pt idx="116">
                  <c:v>41548</c:v>
                </c:pt>
                <c:pt idx="117">
                  <c:v>41579</c:v>
                </c:pt>
                <c:pt idx="118">
                  <c:v>41609</c:v>
                </c:pt>
                <c:pt idx="119">
                  <c:v>41640</c:v>
                </c:pt>
                <c:pt idx="120">
                  <c:v>41671</c:v>
                </c:pt>
                <c:pt idx="121">
                  <c:v>41699</c:v>
                </c:pt>
                <c:pt idx="122">
                  <c:v>41730</c:v>
                </c:pt>
                <c:pt idx="123">
                  <c:v>41760</c:v>
                </c:pt>
                <c:pt idx="124">
                  <c:v>41791</c:v>
                </c:pt>
                <c:pt idx="125">
                  <c:v>41821</c:v>
                </c:pt>
                <c:pt idx="126">
                  <c:v>41852</c:v>
                </c:pt>
                <c:pt idx="127">
                  <c:v>41883</c:v>
                </c:pt>
                <c:pt idx="128">
                  <c:v>41913</c:v>
                </c:pt>
                <c:pt idx="129">
                  <c:v>41944</c:v>
                </c:pt>
                <c:pt idx="130">
                  <c:v>41974</c:v>
                </c:pt>
                <c:pt idx="131">
                  <c:v>42005</c:v>
                </c:pt>
                <c:pt idx="132">
                  <c:v>42036</c:v>
                </c:pt>
                <c:pt idx="133">
                  <c:v>42064</c:v>
                </c:pt>
                <c:pt idx="134">
                  <c:v>42095</c:v>
                </c:pt>
                <c:pt idx="135">
                  <c:v>42125</c:v>
                </c:pt>
                <c:pt idx="136">
                  <c:v>42156</c:v>
                </c:pt>
                <c:pt idx="137">
                  <c:v>42186</c:v>
                </c:pt>
                <c:pt idx="138">
                  <c:v>42217</c:v>
                </c:pt>
                <c:pt idx="139">
                  <c:v>42248</c:v>
                </c:pt>
                <c:pt idx="140">
                  <c:v>42278</c:v>
                </c:pt>
                <c:pt idx="141">
                  <c:v>42309</c:v>
                </c:pt>
                <c:pt idx="142">
                  <c:v>42339</c:v>
                </c:pt>
                <c:pt idx="143">
                  <c:v>42370</c:v>
                </c:pt>
                <c:pt idx="144">
                  <c:v>42401</c:v>
                </c:pt>
                <c:pt idx="145">
                  <c:v>42430</c:v>
                </c:pt>
                <c:pt idx="146">
                  <c:v>42461</c:v>
                </c:pt>
                <c:pt idx="147">
                  <c:v>42491</c:v>
                </c:pt>
                <c:pt idx="148">
                  <c:v>42522</c:v>
                </c:pt>
                <c:pt idx="149">
                  <c:v>42552</c:v>
                </c:pt>
                <c:pt idx="150">
                  <c:v>42583</c:v>
                </c:pt>
                <c:pt idx="151">
                  <c:v>42614</c:v>
                </c:pt>
                <c:pt idx="152">
                  <c:v>42644</c:v>
                </c:pt>
                <c:pt idx="153">
                  <c:v>42675</c:v>
                </c:pt>
                <c:pt idx="154">
                  <c:v>42705</c:v>
                </c:pt>
                <c:pt idx="155">
                  <c:v>42736</c:v>
                </c:pt>
                <c:pt idx="156">
                  <c:v>42767</c:v>
                </c:pt>
                <c:pt idx="157">
                  <c:v>42795</c:v>
                </c:pt>
                <c:pt idx="158">
                  <c:v>42826</c:v>
                </c:pt>
                <c:pt idx="159">
                  <c:v>42856</c:v>
                </c:pt>
                <c:pt idx="160">
                  <c:v>42887</c:v>
                </c:pt>
                <c:pt idx="161">
                  <c:v>42917</c:v>
                </c:pt>
                <c:pt idx="162">
                  <c:v>42948</c:v>
                </c:pt>
                <c:pt idx="163">
                  <c:v>42979</c:v>
                </c:pt>
                <c:pt idx="164">
                  <c:v>43009</c:v>
                </c:pt>
                <c:pt idx="165">
                  <c:v>43040</c:v>
                </c:pt>
                <c:pt idx="166">
                  <c:v>43070</c:v>
                </c:pt>
                <c:pt idx="167">
                  <c:v>43101</c:v>
                </c:pt>
                <c:pt idx="168">
                  <c:v>43132</c:v>
                </c:pt>
                <c:pt idx="169">
                  <c:v>43160</c:v>
                </c:pt>
                <c:pt idx="170">
                  <c:v>43191</c:v>
                </c:pt>
                <c:pt idx="171">
                  <c:v>43221</c:v>
                </c:pt>
                <c:pt idx="172">
                  <c:v>43252</c:v>
                </c:pt>
                <c:pt idx="173">
                  <c:v>43282</c:v>
                </c:pt>
                <c:pt idx="174">
                  <c:v>43313</c:v>
                </c:pt>
                <c:pt idx="175">
                  <c:v>43344</c:v>
                </c:pt>
                <c:pt idx="176">
                  <c:v>43374</c:v>
                </c:pt>
                <c:pt idx="177">
                  <c:v>43405</c:v>
                </c:pt>
                <c:pt idx="178">
                  <c:v>43435</c:v>
                </c:pt>
                <c:pt idx="179">
                  <c:v>43466</c:v>
                </c:pt>
                <c:pt idx="180">
                  <c:v>43497</c:v>
                </c:pt>
                <c:pt idx="181">
                  <c:v>43525</c:v>
                </c:pt>
                <c:pt idx="182">
                  <c:v>43556</c:v>
                </c:pt>
                <c:pt idx="183">
                  <c:v>43586</c:v>
                </c:pt>
                <c:pt idx="184">
                  <c:v>43617</c:v>
                </c:pt>
                <c:pt idx="185">
                  <c:v>43647</c:v>
                </c:pt>
                <c:pt idx="186">
                  <c:v>43678</c:v>
                </c:pt>
                <c:pt idx="187">
                  <c:v>43709</c:v>
                </c:pt>
                <c:pt idx="188">
                  <c:v>43739</c:v>
                </c:pt>
                <c:pt idx="189">
                  <c:v>43770</c:v>
                </c:pt>
                <c:pt idx="190">
                  <c:v>43800</c:v>
                </c:pt>
                <c:pt idx="191">
                  <c:v>43831</c:v>
                </c:pt>
                <c:pt idx="192">
                  <c:v>43862</c:v>
                </c:pt>
                <c:pt idx="193">
                  <c:v>43891</c:v>
                </c:pt>
                <c:pt idx="194">
                  <c:v>43922</c:v>
                </c:pt>
                <c:pt idx="195">
                  <c:v>43952</c:v>
                </c:pt>
                <c:pt idx="196">
                  <c:v>43983</c:v>
                </c:pt>
                <c:pt idx="197">
                  <c:v>44013</c:v>
                </c:pt>
                <c:pt idx="198">
                  <c:v>44044</c:v>
                </c:pt>
                <c:pt idx="199">
                  <c:v>44075</c:v>
                </c:pt>
                <c:pt idx="200">
                  <c:v>44105</c:v>
                </c:pt>
                <c:pt idx="201">
                  <c:v>44136</c:v>
                </c:pt>
                <c:pt idx="202">
                  <c:v>44166</c:v>
                </c:pt>
                <c:pt idx="203">
                  <c:v>44197</c:v>
                </c:pt>
                <c:pt idx="204">
                  <c:v>44228</c:v>
                </c:pt>
                <c:pt idx="205">
                  <c:v>44256</c:v>
                </c:pt>
                <c:pt idx="206">
                  <c:v>44287</c:v>
                </c:pt>
                <c:pt idx="207">
                  <c:v>44317</c:v>
                </c:pt>
                <c:pt idx="208">
                  <c:v>44348</c:v>
                </c:pt>
                <c:pt idx="209">
                  <c:v>44378</c:v>
                </c:pt>
                <c:pt idx="210">
                  <c:v>44409</c:v>
                </c:pt>
                <c:pt idx="211">
                  <c:v>44440</c:v>
                </c:pt>
                <c:pt idx="212">
                  <c:v>44470</c:v>
                </c:pt>
                <c:pt idx="213">
                  <c:v>44501</c:v>
                </c:pt>
                <c:pt idx="214">
                  <c:v>44531</c:v>
                </c:pt>
              </c:numCache>
            </c:numRef>
          </c:cat>
          <c:val>
            <c:numRef>
              <c:f>'Core CPI'!$D$450:$D$670</c:f>
              <c:numCache>
                <c:formatCode>0.00%</c:formatCode>
                <c:ptCount val="221"/>
                <c:pt idx="0">
                  <c:v>1.2467532467532497E-2</c:v>
                </c:pt>
                <c:pt idx="1">
                  <c:v>1.5584415584415584E-2</c:v>
                </c:pt>
                <c:pt idx="2">
                  <c:v>1.7662337662337692E-2</c:v>
                </c:pt>
                <c:pt idx="3">
                  <c:v>1.7107309486780627E-2</c:v>
                </c:pt>
                <c:pt idx="4">
                  <c:v>1.8652849740932613E-2</c:v>
                </c:pt>
                <c:pt idx="5">
                  <c:v>1.7580144777662905E-2</c:v>
                </c:pt>
                <c:pt idx="6">
                  <c:v>1.7045454545454603E-2</c:v>
                </c:pt>
                <c:pt idx="7">
                  <c:v>1.9617965926690819E-2</c:v>
                </c:pt>
                <c:pt idx="8">
                  <c:v>2.0103092783505184E-2</c:v>
                </c:pt>
                <c:pt idx="9">
                  <c:v>2.2164948453608307E-2</c:v>
                </c:pt>
                <c:pt idx="10">
                  <c:v>2.2657054582904252E-2</c:v>
                </c:pt>
                <c:pt idx="11">
                  <c:v>2.2610483042137749E-2</c:v>
                </c:pt>
                <c:pt idx="12">
                  <c:v>2.3088763468445357E-2</c:v>
                </c:pt>
                <c:pt idx="13">
                  <c:v>2.3529411764705854E-2</c:v>
                </c:pt>
                <c:pt idx="14">
                  <c:v>2.1949974476773777E-2</c:v>
                </c:pt>
                <c:pt idx="15">
                  <c:v>2.1916411824668764E-2</c:v>
                </c:pt>
                <c:pt idx="16">
                  <c:v>2.0345879959308241E-2</c:v>
                </c:pt>
                <c:pt idx="17">
                  <c:v>2.0833333333333304E-2</c:v>
                </c:pt>
                <c:pt idx="18">
                  <c:v>2.1330624682579933E-2</c:v>
                </c:pt>
                <c:pt idx="19">
                  <c:v>1.924050632911398E-2</c:v>
                </c:pt>
                <c:pt idx="20">
                  <c:v>2.0717534108135392E-2</c:v>
                </c:pt>
                <c:pt idx="21">
                  <c:v>2.1180030257186021E-2</c:v>
                </c:pt>
                <c:pt idx="22">
                  <c:v>2.1148036253776523E-2</c:v>
                </c:pt>
                <c:pt idx="23">
                  <c:v>2.1105527638190898E-2</c:v>
                </c:pt>
                <c:pt idx="24">
                  <c:v>2.1063189568706061E-2</c:v>
                </c:pt>
                <c:pt idx="25">
                  <c:v>2.0989505247376399E-2</c:v>
                </c:pt>
                <c:pt idx="26">
                  <c:v>2.2977022977023091E-2</c:v>
                </c:pt>
                <c:pt idx="27">
                  <c:v>2.4438902743142171E-2</c:v>
                </c:pt>
                <c:pt idx="28">
                  <c:v>2.6420737786640138E-2</c:v>
                </c:pt>
                <c:pt idx="29">
                  <c:v>2.6879044300647116E-2</c:v>
                </c:pt>
                <c:pt idx="30">
                  <c:v>2.8344107409249215E-2</c:v>
                </c:pt>
                <c:pt idx="31">
                  <c:v>2.9309488325881653E-2</c:v>
                </c:pt>
                <c:pt idx="32">
                  <c:v>2.7722772277227695E-2</c:v>
                </c:pt>
                <c:pt idx="33">
                  <c:v>2.6172839506172895E-2</c:v>
                </c:pt>
                <c:pt idx="34">
                  <c:v>2.6134122287968357E-2</c:v>
                </c:pt>
                <c:pt idx="35">
                  <c:v>2.6574803149606328E-2</c:v>
                </c:pt>
                <c:pt idx="36">
                  <c:v>2.7185658153241633E-2</c:v>
                </c:pt>
                <c:pt idx="37">
                  <c:v>2.5051395007342117E-2</c:v>
                </c:pt>
                <c:pt idx="38">
                  <c:v>2.4155273437500013E-2</c:v>
                </c:pt>
                <c:pt idx="39">
                  <c:v>2.2677702044790589E-2</c:v>
                </c:pt>
                <c:pt idx="40">
                  <c:v>2.1816415735794025E-2</c:v>
                </c:pt>
                <c:pt idx="41">
                  <c:v>2.168201648085305E-2</c:v>
                </c:pt>
                <c:pt idx="42">
                  <c:v>2.0884912959380986E-2</c:v>
                </c:pt>
                <c:pt idx="43">
                  <c:v>2.101351351351358E-2</c:v>
                </c:pt>
                <c:pt idx="44">
                  <c:v>2.1565510597302523E-2</c:v>
                </c:pt>
                <c:pt idx="45">
                  <c:v>2.3387872954764122E-2</c:v>
                </c:pt>
                <c:pt idx="46">
                  <c:v>2.435367611725138E-2</c:v>
                </c:pt>
                <c:pt idx="47">
                  <c:v>2.4789069990412235E-2</c:v>
                </c:pt>
                <c:pt idx="48">
                  <c:v>2.2970808329547912E-2</c:v>
                </c:pt>
                <c:pt idx="49">
                  <c:v>2.3885243866334227E-2</c:v>
                </c:pt>
                <c:pt idx="50">
                  <c:v>2.2946692920518472E-2</c:v>
                </c:pt>
                <c:pt idx="51">
                  <c:v>2.3222157689780986E-2</c:v>
                </c:pt>
                <c:pt idx="52">
                  <c:v>2.3917259211376909E-2</c:v>
                </c:pt>
                <c:pt idx="53">
                  <c:v>2.4633136122748204E-2</c:v>
                </c:pt>
                <c:pt idx="54">
                  <c:v>2.4981171756213325E-2</c:v>
                </c:pt>
                <c:pt idx="55">
                  <c:v>2.4386208722122917E-2</c:v>
                </c:pt>
                <c:pt idx="56">
                  <c:v>2.2213629955157858E-2</c:v>
                </c:pt>
                <c:pt idx="57">
                  <c:v>2.0158939151697575E-2</c:v>
                </c:pt>
                <c:pt idx="58">
                  <c:v>1.7624596562335833E-2</c:v>
                </c:pt>
                <c:pt idx="59">
                  <c:v>1.6723503187990967E-2</c:v>
                </c:pt>
                <c:pt idx="60">
                  <c:v>1.8009806533638133E-2</c:v>
                </c:pt>
                <c:pt idx="61">
                  <c:v>1.7876130957933022E-2</c:v>
                </c:pt>
                <c:pt idx="62">
                  <c:v>1.9323266219239309E-2</c:v>
                </c:pt>
                <c:pt idx="63">
                  <c:v>1.8461309413034529E-2</c:v>
                </c:pt>
                <c:pt idx="64">
                  <c:v>1.7119726678550152E-2</c:v>
                </c:pt>
                <c:pt idx="65">
                  <c:v>1.5270992984974426E-2</c:v>
                </c:pt>
                <c:pt idx="66">
                  <c:v>1.4339650543224636E-2</c:v>
                </c:pt>
                <c:pt idx="67">
                  <c:v>1.4798373886199692E-2</c:v>
                </c:pt>
                <c:pt idx="68">
                  <c:v>1.7127331771131214E-2</c:v>
                </c:pt>
                <c:pt idx="69">
                  <c:v>1.7142435710104285E-2</c:v>
                </c:pt>
                <c:pt idx="70">
                  <c:v>1.8236717759594276E-2</c:v>
                </c:pt>
                <c:pt idx="71">
                  <c:v>1.5123351706495662E-2</c:v>
                </c:pt>
                <c:pt idx="72">
                  <c:v>1.3494526888039933E-2</c:v>
                </c:pt>
                <c:pt idx="73">
                  <c:v>1.1592051426555425E-2</c:v>
                </c:pt>
                <c:pt idx="74">
                  <c:v>9.6750889321738504E-3</c:v>
                </c:pt>
                <c:pt idx="75">
                  <c:v>9.4013814274750244E-3</c:v>
                </c:pt>
                <c:pt idx="76">
                  <c:v>9.5019898499397286E-3</c:v>
                </c:pt>
                <c:pt idx="77">
                  <c:v>9.5775393021166107E-3</c:v>
                </c:pt>
                <c:pt idx="78">
                  <c:v>9.1710099500673208E-3</c:v>
                </c:pt>
                <c:pt idx="79">
                  <c:v>8.1438704983631555E-3</c:v>
                </c:pt>
                <c:pt idx="80">
                  <c:v>6.027183550188016E-3</c:v>
                </c:pt>
                <c:pt idx="81">
                  <c:v>6.7205641104656089E-3</c:v>
                </c:pt>
                <c:pt idx="82">
                  <c:v>6.61894866466554E-3</c:v>
                </c:pt>
                <c:pt idx="83">
                  <c:v>9.8353374155270845E-3</c:v>
                </c:pt>
                <c:pt idx="84">
                  <c:v>1.1244455921460962E-2</c:v>
                </c:pt>
                <c:pt idx="85">
                  <c:v>1.2097851736773305E-2</c:v>
                </c:pt>
                <c:pt idx="86">
                  <c:v>1.3155392125784574E-2</c:v>
                </c:pt>
                <c:pt idx="87">
                  <c:v>1.4540961794335779E-2</c:v>
                </c:pt>
                <c:pt idx="88">
                  <c:v>1.5836776766096794E-2</c:v>
                </c:pt>
                <c:pt idx="89">
                  <c:v>1.7414834457429605E-2</c:v>
                </c:pt>
                <c:pt idx="90">
                  <c:v>1.9651571719433561E-2</c:v>
                </c:pt>
                <c:pt idx="91">
                  <c:v>1.9877227562006314E-2</c:v>
                </c:pt>
                <c:pt idx="92">
                  <c:v>2.1079204796465707E-2</c:v>
                </c:pt>
                <c:pt idx="93">
                  <c:v>2.1382045383954013E-2</c:v>
                </c:pt>
                <c:pt idx="94">
                  <c:v>2.2766626338585033E-2</c:v>
                </c:pt>
                <c:pt idx="95">
                  <c:v>2.2773481506083906E-2</c:v>
                </c:pt>
                <c:pt idx="96">
                  <c:v>2.1598204405657368E-2</c:v>
                </c:pt>
                <c:pt idx="97">
                  <c:v>2.2483374654291267E-2</c:v>
                </c:pt>
                <c:pt idx="98">
                  <c:v>2.3144278518015246E-2</c:v>
                </c:pt>
                <c:pt idx="99">
                  <c:v>2.2522582803613151E-2</c:v>
                </c:pt>
                <c:pt idx="100">
                  <c:v>2.192285611289865E-2</c:v>
                </c:pt>
                <c:pt idx="101">
                  <c:v>2.1099556873784554E-2</c:v>
                </c:pt>
                <c:pt idx="102">
                  <c:v>1.9352524993137443E-2</c:v>
                </c:pt>
                <c:pt idx="103">
                  <c:v>2.0082434834909194E-2</c:v>
                </c:pt>
                <c:pt idx="104">
                  <c:v>1.994649148366931E-2</c:v>
                </c:pt>
                <c:pt idx="105">
                  <c:v>1.9528512686261341E-2</c:v>
                </c:pt>
                <c:pt idx="106">
                  <c:v>1.8996943778720753E-2</c:v>
                </c:pt>
                <c:pt idx="107">
                  <c:v>1.909802217863147E-2</c:v>
                </c:pt>
                <c:pt idx="108">
                  <c:v>1.9887385214485544E-2</c:v>
                </c:pt>
                <c:pt idx="109">
                  <c:v>1.8890221377988264E-2</c:v>
                </c:pt>
                <c:pt idx="110">
                  <c:v>1.7155588562940926E-2</c:v>
                </c:pt>
                <c:pt idx="111">
                  <c:v>1.6455519491850853E-2</c:v>
                </c:pt>
                <c:pt idx="112">
                  <c:v>1.6230952474273065E-2</c:v>
                </c:pt>
                <c:pt idx="113">
                  <c:v>1.7002217680567016E-2</c:v>
                </c:pt>
                <c:pt idx="114">
                  <c:v>1.7821076909044352E-2</c:v>
                </c:pt>
                <c:pt idx="115">
                  <c:v>1.7519368418314467E-2</c:v>
                </c:pt>
                <c:pt idx="116">
                  <c:v>1.6868377311448125E-2</c:v>
                </c:pt>
                <c:pt idx="117">
                  <c:v>1.7416677473738797E-2</c:v>
                </c:pt>
                <c:pt idx="118">
                  <c:v>1.7408566188369799E-2</c:v>
                </c:pt>
                <c:pt idx="119">
                  <c:v>1.6070344358370396E-2</c:v>
                </c:pt>
                <c:pt idx="120">
                  <c:v>1.55480739049487E-2</c:v>
                </c:pt>
                <c:pt idx="121">
                  <c:v>1.6456609706435685E-2</c:v>
                </c:pt>
                <c:pt idx="122">
                  <c:v>1.8210555250137477E-2</c:v>
                </c:pt>
                <c:pt idx="123">
                  <c:v>1.945526961836249E-2</c:v>
                </c:pt>
                <c:pt idx="124">
                  <c:v>1.9228626526676645E-2</c:v>
                </c:pt>
                <c:pt idx="125">
                  <c:v>1.8449632290063273E-2</c:v>
                </c:pt>
                <c:pt idx="126">
                  <c:v>1.7363956028949832E-2</c:v>
                </c:pt>
                <c:pt idx="127">
                  <c:v>1.740945888368135E-2</c:v>
                </c:pt>
                <c:pt idx="128">
                  <c:v>1.8176323104362787E-2</c:v>
                </c:pt>
                <c:pt idx="129">
                  <c:v>1.7415947552462365E-2</c:v>
                </c:pt>
                <c:pt idx="130">
                  <c:v>1.6224195046636681E-2</c:v>
                </c:pt>
                <c:pt idx="131">
                  <c:v>1.6316255652417112E-2</c:v>
                </c:pt>
                <c:pt idx="132">
                  <c:v>1.6880834938713275E-2</c:v>
                </c:pt>
                <c:pt idx="133">
                  <c:v>1.7453777073428402E-2</c:v>
                </c:pt>
                <c:pt idx="134">
                  <c:v>1.8028278328946483E-2</c:v>
                </c:pt>
                <c:pt idx="135">
                  <c:v>1.7509440952473136E-2</c:v>
                </c:pt>
                <c:pt idx="136">
                  <c:v>1.7772676244654971E-2</c:v>
                </c:pt>
                <c:pt idx="137">
                  <c:v>1.8346312894897059E-2</c:v>
                </c:pt>
                <c:pt idx="138">
                  <c:v>1.8506323273421305E-2</c:v>
                </c:pt>
                <c:pt idx="139">
                  <c:v>1.8970961446650982E-2</c:v>
                </c:pt>
                <c:pt idx="140">
                  <c:v>1.9135335359608003E-2</c:v>
                </c:pt>
                <c:pt idx="141">
                  <c:v>1.9974275238246436E-2</c:v>
                </c:pt>
                <c:pt idx="142">
                  <c:v>2.0715072792840898E-2</c:v>
                </c:pt>
                <c:pt idx="143">
                  <c:v>2.1450225385824691E-2</c:v>
                </c:pt>
                <c:pt idx="144">
                  <c:v>2.2225738220941635E-2</c:v>
                </c:pt>
                <c:pt idx="145">
                  <c:v>2.1424269485576689E-2</c:v>
                </c:pt>
                <c:pt idx="146">
                  <c:v>2.1566547612141839E-2</c:v>
                </c:pt>
                <c:pt idx="147">
                  <c:v>2.2545595974976053E-2</c:v>
                </c:pt>
                <c:pt idx="148">
                  <c:v>2.2622116465067087E-2</c:v>
                </c:pt>
                <c:pt idx="149">
                  <c:v>2.1701399624842868E-2</c:v>
                </c:pt>
                <c:pt idx="150">
                  <c:v>2.3087345614186794E-2</c:v>
                </c:pt>
                <c:pt idx="151">
                  <c:v>2.2711206825691735E-2</c:v>
                </c:pt>
                <c:pt idx="152">
                  <c:v>2.2045551507991184E-2</c:v>
                </c:pt>
                <c:pt idx="153">
                  <c:v>2.1454219398053483E-2</c:v>
                </c:pt>
                <c:pt idx="154">
                  <c:v>2.1971236613002779E-2</c:v>
                </c:pt>
                <c:pt idx="155">
                  <c:v>2.2481680308628019E-2</c:v>
                </c:pt>
                <c:pt idx="156">
                  <c:v>2.1966518675410374E-2</c:v>
                </c:pt>
                <c:pt idx="157">
                  <c:v>2.0019275109489948E-2</c:v>
                </c:pt>
                <c:pt idx="158">
                  <c:v>1.9067049008116059E-2</c:v>
                </c:pt>
                <c:pt idx="159">
                  <c:v>1.7605619555145523E-2</c:v>
                </c:pt>
                <c:pt idx="160">
                  <c:v>1.7298214429991157E-2</c:v>
                </c:pt>
                <c:pt idx="161">
                  <c:v>1.7019799942702384E-2</c:v>
                </c:pt>
                <c:pt idx="162">
                  <c:v>1.680198693357703E-2</c:v>
                </c:pt>
                <c:pt idx="163">
                  <c:v>1.6866123885839104E-2</c:v>
                </c:pt>
                <c:pt idx="164">
                  <c:v>1.7632514790761899E-2</c:v>
                </c:pt>
                <c:pt idx="165">
                  <c:v>1.7087473595183623E-2</c:v>
                </c:pt>
                <c:pt idx="166">
                  <c:v>1.7557618437900151E-2</c:v>
                </c:pt>
                <c:pt idx="167">
                  <c:v>1.8146465332066406E-2</c:v>
                </c:pt>
                <c:pt idx="168">
                  <c:v>1.8210224668497456E-2</c:v>
                </c:pt>
                <c:pt idx="169">
                  <c:v>2.105359677239314E-2</c:v>
                </c:pt>
                <c:pt idx="170">
                  <c:v>2.1508286501201967E-2</c:v>
                </c:pt>
                <c:pt idx="171">
                  <c:v>2.2541831021758423E-2</c:v>
                </c:pt>
                <c:pt idx="172">
                  <c:v>2.2682688565732894E-2</c:v>
                </c:pt>
                <c:pt idx="173">
                  <c:v>2.3340884834971293E-2</c:v>
                </c:pt>
                <c:pt idx="174">
                  <c:v>2.1706512745598622E-2</c:v>
                </c:pt>
                <c:pt idx="175">
                  <c:v>2.171602006014885E-2</c:v>
                </c:pt>
                <c:pt idx="176">
                  <c:v>2.1511822825250871E-2</c:v>
                </c:pt>
                <c:pt idx="177">
                  <c:v>2.2349296929188554E-2</c:v>
                </c:pt>
                <c:pt idx="178">
                  <c:v>2.1882913632288399E-2</c:v>
                </c:pt>
                <c:pt idx="179">
                  <c:v>2.1222946821067568E-2</c:v>
                </c:pt>
                <c:pt idx="180">
                  <c:v>2.0550197281893796E-2</c:v>
                </c:pt>
                <c:pt idx="181">
                  <c:v>2.0389119035440755E-2</c:v>
                </c:pt>
                <c:pt idx="182">
                  <c:v>2.1016457826818796E-2</c:v>
                </c:pt>
                <c:pt idx="183">
                  <c:v>2.0326104286486592E-2</c:v>
                </c:pt>
                <c:pt idx="184">
                  <c:v>2.1678690968959542E-2</c:v>
                </c:pt>
                <c:pt idx="185">
                  <c:v>2.2044740821152941E-2</c:v>
                </c:pt>
                <c:pt idx="186">
                  <c:v>2.3523713577185471E-2</c:v>
                </c:pt>
                <c:pt idx="187">
                  <c:v>2.3474668708951308E-2</c:v>
                </c:pt>
                <c:pt idx="188">
                  <c:v>2.3309870303372095E-2</c:v>
                </c:pt>
                <c:pt idx="189">
                  <c:v>2.3175221170711024E-2</c:v>
                </c:pt>
                <c:pt idx="190">
                  <c:v>2.2233937346319243E-2</c:v>
                </c:pt>
                <c:pt idx="191">
                  <c:v>2.260587745133804E-2</c:v>
                </c:pt>
                <c:pt idx="192">
                  <c:v>2.3603685151233868E-2</c:v>
                </c:pt>
                <c:pt idx="193">
                  <c:v>2.0972759519245099E-2</c:v>
                </c:pt>
                <c:pt idx="194">
                  <c:v>1.4447624499141391E-2</c:v>
                </c:pt>
                <c:pt idx="195">
                  <c:v>1.2397859625586871E-2</c:v>
                </c:pt>
                <c:pt idx="196">
                  <c:v>1.202886928628695E-2</c:v>
                </c:pt>
                <c:pt idx="197">
                  <c:v>1.5575685846079126E-2</c:v>
                </c:pt>
                <c:pt idx="198">
                  <c:v>1.7047067775628279E-2</c:v>
                </c:pt>
                <c:pt idx="199">
                  <c:v>1.7203130727920561E-2</c:v>
                </c:pt>
                <c:pt idx="200">
                  <c:v>1.6315380377774302E-2</c:v>
                </c:pt>
                <c:pt idx="201">
                  <c:v>1.6546922505999751E-2</c:v>
                </c:pt>
                <c:pt idx="202">
                  <c:v>1.614524319501898E-2</c:v>
                </c:pt>
                <c:pt idx="203">
                  <c:v>1.396513784894067E-2</c:v>
                </c:pt>
                <c:pt idx="204">
                  <c:v>1.2826181447563671E-2</c:v>
                </c:pt>
                <c:pt idx="205">
                  <c:v>1.6468030882242732E-2</c:v>
                </c:pt>
                <c:pt idx="206">
                  <c:v>2.9582148392241742E-2</c:v>
                </c:pt>
                <c:pt idx="207">
                  <c:v>3.7950285540041553E-2</c:v>
                </c:pt>
                <c:pt idx="208">
                  <c:v>4.4531737030666756E-2</c:v>
                </c:pt>
                <c:pt idx="209">
                  <c:v>4.2327488962431159E-2</c:v>
                </c:pt>
                <c:pt idx="210">
                  <c:v>3.9768624327201629E-2</c:v>
                </c:pt>
                <c:pt idx="211">
                  <c:v>4.0355928739945472E-2</c:v>
                </c:pt>
                <c:pt idx="212">
                  <c:v>4.5832559866344789E-2</c:v>
                </c:pt>
                <c:pt idx="213">
                  <c:v>4.9596210793161358E-2</c:v>
                </c:pt>
                <c:pt idx="214">
                  <c:v>5.4897384603986132E-2</c:v>
                </c:pt>
              </c:numCache>
            </c:numRef>
          </c:val>
          <c:smooth val="0"/>
          <c:extLst>
            <c:ext xmlns:c16="http://schemas.microsoft.com/office/drawing/2014/chart" uri="{C3380CC4-5D6E-409C-BE32-E72D297353CC}">
              <c16:uniqueId val="{00000000-1BF0-B543-8483-AE6BFF125BAD}"/>
            </c:ext>
          </c:extLst>
        </c:ser>
        <c:ser>
          <c:idx val="2"/>
          <c:order val="1"/>
          <c:spPr>
            <a:ln w="28575" cap="rnd">
              <a:solidFill>
                <a:schemeClr val="accent3"/>
              </a:solidFill>
              <a:prstDash val="solid"/>
              <a:round/>
            </a:ln>
          </c:spPr>
          <c:marker>
            <c:symbol val="none"/>
          </c:marker>
          <c:cat>
            <c:numRef>
              <c:f>'Core CPI'!$A$450:$A$670</c:f>
              <c:numCache>
                <c:formatCode>[$-409]mmm\-yy;@</c:formatCode>
                <c:ptCount val="221"/>
                <c:pt idx="0">
                  <c:v>38018</c:v>
                </c:pt>
                <c:pt idx="1">
                  <c:v>38047</c:v>
                </c:pt>
                <c:pt idx="2">
                  <c:v>38078</c:v>
                </c:pt>
                <c:pt idx="3">
                  <c:v>38108</c:v>
                </c:pt>
                <c:pt idx="4">
                  <c:v>38139</c:v>
                </c:pt>
                <c:pt idx="5">
                  <c:v>38169</c:v>
                </c:pt>
                <c:pt idx="6">
                  <c:v>38200</c:v>
                </c:pt>
                <c:pt idx="7">
                  <c:v>38231</c:v>
                </c:pt>
                <c:pt idx="8">
                  <c:v>38261</c:v>
                </c:pt>
                <c:pt idx="9">
                  <c:v>38292</c:v>
                </c:pt>
                <c:pt idx="10">
                  <c:v>38322</c:v>
                </c:pt>
                <c:pt idx="11">
                  <c:v>38353</c:v>
                </c:pt>
                <c:pt idx="12">
                  <c:v>38384</c:v>
                </c:pt>
                <c:pt idx="13">
                  <c:v>38412</c:v>
                </c:pt>
                <c:pt idx="14">
                  <c:v>38443</c:v>
                </c:pt>
                <c:pt idx="15">
                  <c:v>38473</c:v>
                </c:pt>
                <c:pt idx="16">
                  <c:v>38504</c:v>
                </c:pt>
                <c:pt idx="17">
                  <c:v>38534</c:v>
                </c:pt>
                <c:pt idx="18">
                  <c:v>38565</c:v>
                </c:pt>
                <c:pt idx="19">
                  <c:v>38596</c:v>
                </c:pt>
                <c:pt idx="20">
                  <c:v>38626</c:v>
                </c:pt>
                <c:pt idx="21">
                  <c:v>38657</c:v>
                </c:pt>
                <c:pt idx="22">
                  <c:v>38687</c:v>
                </c:pt>
                <c:pt idx="23">
                  <c:v>38718</c:v>
                </c:pt>
                <c:pt idx="24">
                  <c:v>38749</c:v>
                </c:pt>
                <c:pt idx="25">
                  <c:v>38777</c:v>
                </c:pt>
                <c:pt idx="26">
                  <c:v>38808</c:v>
                </c:pt>
                <c:pt idx="27">
                  <c:v>38838</c:v>
                </c:pt>
                <c:pt idx="28">
                  <c:v>38869</c:v>
                </c:pt>
                <c:pt idx="29">
                  <c:v>38899</c:v>
                </c:pt>
                <c:pt idx="30">
                  <c:v>38930</c:v>
                </c:pt>
                <c:pt idx="31">
                  <c:v>38961</c:v>
                </c:pt>
                <c:pt idx="32">
                  <c:v>38991</c:v>
                </c:pt>
                <c:pt idx="33">
                  <c:v>39022</c:v>
                </c:pt>
                <c:pt idx="34">
                  <c:v>39052</c:v>
                </c:pt>
                <c:pt idx="35">
                  <c:v>39083</c:v>
                </c:pt>
                <c:pt idx="36">
                  <c:v>39114</c:v>
                </c:pt>
                <c:pt idx="37">
                  <c:v>39142</c:v>
                </c:pt>
                <c:pt idx="38">
                  <c:v>39173</c:v>
                </c:pt>
                <c:pt idx="39">
                  <c:v>39203</c:v>
                </c:pt>
                <c:pt idx="40">
                  <c:v>39234</c:v>
                </c:pt>
                <c:pt idx="41">
                  <c:v>39264</c:v>
                </c:pt>
                <c:pt idx="42">
                  <c:v>39295</c:v>
                </c:pt>
                <c:pt idx="43">
                  <c:v>39326</c:v>
                </c:pt>
                <c:pt idx="44">
                  <c:v>39356</c:v>
                </c:pt>
                <c:pt idx="45">
                  <c:v>39387</c:v>
                </c:pt>
                <c:pt idx="46">
                  <c:v>39417</c:v>
                </c:pt>
                <c:pt idx="47">
                  <c:v>39448</c:v>
                </c:pt>
                <c:pt idx="48">
                  <c:v>39479</c:v>
                </c:pt>
                <c:pt idx="49">
                  <c:v>39508</c:v>
                </c:pt>
                <c:pt idx="50">
                  <c:v>39539</c:v>
                </c:pt>
                <c:pt idx="51">
                  <c:v>39569</c:v>
                </c:pt>
                <c:pt idx="52">
                  <c:v>39600</c:v>
                </c:pt>
                <c:pt idx="53">
                  <c:v>39630</c:v>
                </c:pt>
                <c:pt idx="54">
                  <c:v>39661</c:v>
                </c:pt>
                <c:pt idx="55">
                  <c:v>39692</c:v>
                </c:pt>
                <c:pt idx="56">
                  <c:v>39722</c:v>
                </c:pt>
                <c:pt idx="57">
                  <c:v>39753</c:v>
                </c:pt>
                <c:pt idx="58">
                  <c:v>39783</c:v>
                </c:pt>
                <c:pt idx="59">
                  <c:v>39814</c:v>
                </c:pt>
                <c:pt idx="60">
                  <c:v>39845</c:v>
                </c:pt>
                <c:pt idx="61">
                  <c:v>39873</c:v>
                </c:pt>
                <c:pt idx="62">
                  <c:v>39904</c:v>
                </c:pt>
                <c:pt idx="63">
                  <c:v>39934</c:v>
                </c:pt>
                <c:pt idx="64">
                  <c:v>39965</c:v>
                </c:pt>
                <c:pt idx="65">
                  <c:v>39995</c:v>
                </c:pt>
                <c:pt idx="66">
                  <c:v>40026</c:v>
                </c:pt>
                <c:pt idx="67">
                  <c:v>40057</c:v>
                </c:pt>
                <c:pt idx="68">
                  <c:v>40087</c:v>
                </c:pt>
                <c:pt idx="69">
                  <c:v>40118</c:v>
                </c:pt>
                <c:pt idx="70">
                  <c:v>40148</c:v>
                </c:pt>
                <c:pt idx="71">
                  <c:v>40179</c:v>
                </c:pt>
                <c:pt idx="72">
                  <c:v>40210</c:v>
                </c:pt>
                <c:pt idx="73">
                  <c:v>40238</c:v>
                </c:pt>
                <c:pt idx="74">
                  <c:v>40269</c:v>
                </c:pt>
                <c:pt idx="75">
                  <c:v>40299</c:v>
                </c:pt>
                <c:pt idx="76">
                  <c:v>40330</c:v>
                </c:pt>
                <c:pt idx="77">
                  <c:v>40360</c:v>
                </c:pt>
                <c:pt idx="78">
                  <c:v>40391</c:v>
                </c:pt>
                <c:pt idx="79">
                  <c:v>40422</c:v>
                </c:pt>
                <c:pt idx="80">
                  <c:v>40452</c:v>
                </c:pt>
                <c:pt idx="81">
                  <c:v>40483</c:v>
                </c:pt>
                <c:pt idx="82">
                  <c:v>40513</c:v>
                </c:pt>
                <c:pt idx="83">
                  <c:v>40544</c:v>
                </c:pt>
                <c:pt idx="84">
                  <c:v>40575</c:v>
                </c:pt>
                <c:pt idx="85">
                  <c:v>40603</c:v>
                </c:pt>
                <c:pt idx="86">
                  <c:v>40634</c:v>
                </c:pt>
                <c:pt idx="87">
                  <c:v>40664</c:v>
                </c:pt>
                <c:pt idx="88">
                  <c:v>40695</c:v>
                </c:pt>
                <c:pt idx="89">
                  <c:v>40725</c:v>
                </c:pt>
                <c:pt idx="90">
                  <c:v>40756</c:v>
                </c:pt>
                <c:pt idx="91">
                  <c:v>40787</c:v>
                </c:pt>
                <c:pt idx="92">
                  <c:v>40817</c:v>
                </c:pt>
                <c:pt idx="93">
                  <c:v>40848</c:v>
                </c:pt>
                <c:pt idx="94">
                  <c:v>40878</c:v>
                </c:pt>
                <c:pt idx="95">
                  <c:v>40909</c:v>
                </c:pt>
                <c:pt idx="96">
                  <c:v>40940</c:v>
                </c:pt>
                <c:pt idx="97">
                  <c:v>40969</c:v>
                </c:pt>
                <c:pt idx="98">
                  <c:v>41000</c:v>
                </c:pt>
                <c:pt idx="99">
                  <c:v>41030</c:v>
                </c:pt>
                <c:pt idx="100">
                  <c:v>41061</c:v>
                </c:pt>
                <c:pt idx="101">
                  <c:v>41091</c:v>
                </c:pt>
                <c:pt idx="102">
                  <c:v>41122</c:v>
                </c:pt>
                <c:pt idx="103">
                  <c:v>41153</c:v>
                </c:pt>
                <c:pt idx="104">
                  <c:v>41183</c:v>
                </c:pt>
                <c:pt idx="105">
                  <c:v>41214</c:v>
                </c:pt>
                <c:pt idx="106">
                  <c:v>41244</c:v>
                </c:pt>
                <c:pt idx="107">
                  <c:v>41275</c:v>
                </c:pt>
                <c:pt idx="108">
                  <c:v>41306</c:v>
                </c:pt>
                <c:pt idx="109">
                  <c:v>41334</c:v>
                </c:pt>
                <c:pt idx="110">
                  <c:v>41365</c:v>
                </c:pt>
                <c:pt idx="111">
                  <c:v>41395</c:v>
                </c:pt>
                <c:pt idx="112">
                  <c:v>41426</c:v>
                </c:pt>
                <c:pt idx="113">
                  <c:v>41456</c:v>
                </c:pt>
                <c:pt idx="114">
                  <c:v>41487</c:v>
                </c:pt>
                <c:pt idx="115">
                  <c:v>41518</c:v>
                </c:pt>
                <c:pt idx="116">
                  <c:v>41548</c:v>
                </c:pt>
                <c:pt idx="117">
                  <c:v>41579</c:v>
                </c:pt>
                <c:pt idx="118">
                  <c:v>41609</c:v>
                </c:pt>
                <c:pt idx="119">
                  <c:v>41640</c:v>
                </c:pt>
                <c:pt idx="120">
                  <c:v>41671</c:v>
                </c:pt>
                <c:pt idx="121">
                  <c:v>41699</c:v>
                </c:pt>
                <c:pt idx="122">
                  <c:v>41730</c:v>
                </c:pt>
                <c:pt idx="123">
                  <c:v>41760</c:v>
                </c:pt>
                <c:pt idx="124">
                  <c:v>41791</c:v>
                </c:pt>
                <c:pt idx="125">
                  <c:v>41821</c:v>
                </c:pt>
                <c:pt idx="126">
                  <c:v>41852</c:v>
                </c:pt>
                <c:pt idx="127">
                  <c:v>41883</c:v>
                </c:pt>
                <c:pt idx="128">
                  <c:v>41913</c:v>
                </c:pt>
                <c:pt idx="129">
                  <c:v>41944</c:v>
                </c:pt>
                <c:pt idx="130">
                  <c:v>41974</c:v>
                </c:pt>
                <c:pt idx="131">
                  <c:v>42005</c:v>
                </c:pt>
                <c:pt idx="132">
                  <c:v>42036</c:v>
                </c:pt>
                <c:pt idx="133">
                  <c:v>42064</c:v>
                </c:pt>
                <c:pt idx="134">
                  <c:v>42095</c:v>
                </c:pt>
                <c:pt idx="135">
                  <c:v>42125</c:v>
                </c:pt>
                <c:pt idx="136">
                  <c:v>42156</c:v>
                </c:pt>
                <c:pt idx="137">
                  <c:v>42186</c:v>
                </c:pt>
                <c:pt idx="138">
                  <c:v>42217</c:v>
                </c:pt>
                <c:pt idx="139">
                  <c:v>42248</c:v>
                </c:pt>
                <c:pt idx="140">
                  <c:v>42278</c:v>
                </c:pt>
                <c:pt idx="141">
                  <c:v>42309</c:v>
                </c:pt>
                <c:pt idx="142">
                  <c:v>42339</c:v>
                </c:pt>
                <c:pt idx="143">
                  <c:v>42370</c:v>
                </c:pt>
                <c:pt idx="144">
                  <c:v>42401</c:v>
                </c:pt>
                <c:pt idx="145">
                  <c:v>42430</c:v>
                </c:pt>
                <c:pt idx="146">
                  <c:v>42461</c:v>
                </c:pt>
                <c:pt idx="147">
                  <c:v>42491</c:v>
                </c:pt>
                <c:pt idx="148">
                  <c:v>42522</c:v>
                </c:pt>
                <c:pt idx="149">
                  <c:v>42552</c:v>
                </c:pt>
                <c:pt idx="150">
                  <c:v>42583</c:v>
                </c:pt>
                <c:pt idx="151">
                  <c:v>42614</c:v>
                </c:pt>
                <c:pt idx="152">
                  <c:v>42644</c:v>
                </c:pt>
                <c:pt idx="153">
                  <c:v>42675</c:v>
                </c:pt>
                <c:pt idx="154">
                  <c:v>42705</c:v>
                </c:pt>
                <c:pt idx="155">
                  <c:v>42736</c:v>
                </c:pt>
                <c:pt idx="156">
                  <c:v>42767</c:v>
                </c:pt>
                <c:pt idx="157">
                  <c:v>42795</c:v>
                </c:pt>
                <c:pt idx="158">
                  <c:v>42826</c:v>
                </c:pt>
                <c:pt idx="159">
                  <c:v>42856</c:v>
                </c:pt>
                <c:pt idx="160">
                  <c:v>42887</c:v>
                </c:pt>
                <c:pt idx="161">
                  <c:v>42917</c:v>
                </c:pt>
                <c:pt idx="162">
                  <c:v>42948</c:v>
                </c:pt>
                <c:pt idx="163">
                  <c:v>42979</c:v>
                </c:pt>
                <c:pt idx="164">
                  <c:v>43009</c:v>
                </c:pt>
                <c:pt idx="165">
                  <c:v>43040</c:v>
                </c:pt>
                <c:pt idx="166">
                  <c:v>43070</c:v>
                </c:pt>
                <c:pt idx="167">
                  <c:v>43101</c:v>
                </c:pt>
                <c:pt idx="168">
                  <c:v>43132</c:v>
                </c:pt>
                <c:pt idx="169">
                  <c:v>43160</c:v>
                </c:pt>
                <c:pt idx="170">
                  <c:v>43191</c:v>
                </c:pt>
                <c:pt idx="171">
                  <c:v>43221</c:v>
                </c:pt>
                <c:pt idx="172">
                  <c:v>43252</c:v>
                </c:pt>
                <c:pt idx="173">
                  <c:v>43282</c:v>
                </c:pt>
                <c:pt idx="174">
                  <c:v>43313</c:v>
                </c:pt>
                <c:pt idx="175">
                  <c:v>43344</c:v>
                </c:pt>
                <c:pt idx="176">
                  <c:v>43374</c:v>
                </c:pt>
                <c:pt idx="177">
                  <c:v>43405</c:v>
                </c:pt>
                <c:pt idx="178">
                  <c:v>43435</c:v>
                </c:pt>
                <c:pt idx="179">
                  <c:v>43466</c:v>
                </c:pt>
                <c:pt idx="180">
                  <c:v>43497</c:v>
                </c:pt>
                <c:pt idx="181">
                  <c:v>43525</c:v>
                </c:pt>
                <c:pt idx="182">
                  <c:v>43556</c:v>
                </c:pt>
                <c:pt idx="183">
                  <c:v>43586</c:v>
                </c:pt>
                <c:pt idx="184">
                  <c:v>43617</c:v>
                </c:pt>
                <c:pt idx="185">
                  <c:v>43647</c:v>
                </c:pt>
                <c:pt idx="186">
                  <c:v>43678</c:v>
                </c:pt>
                <c:pt idx="187">
                  <c:v>43709</c:v>
                </c:pt>
                <c:pt idx="188">
                  <c:v>43739</c:v>
                </c:pt>
                <c:pt idx="189">
                  <c:v>43770</c:v>
                </c:pt>
                <c:pt idx="190">
                  <c:v>43800</c:v>
                </c:pt>
                <c:pt idx="191">
                  <c:v>43831</c:v>
                </c:pt>
                <c:pt idx="192">
                  <c:v>43862</c:v>
                </c:pt>
                <c:pt idx="193">
                  <c:v>43891</c:v>
                </c:pt>
                <c:pt idx="194">
                  <c:v>43922</c:v>
                </c:pt>
                <c:pt idx="195">
                  <c:v>43952</c:v>
                </c:pt>
                <c:pt idx="196">
                  <c:v>43983</c:v>
                </c:pt>
                <c:pt idx="197">
                  <c:v>44013</c:v>
                </c:pt>
                <c:pt idx="198">
                  <c:v>44044</c:v>
                </c:pt>
                <c:pt idx="199">
                  <c:v>44075</c:v>
                </c:pt>
                <c:pt idx="200">
                  <c:v>44105</c:v>
                </c:pt>
                <c:pt idx="201">
                  <c:v>44136</c:v>
                </c:pt>
                <c:pt idx="202">
                  <c:v>44166</c:v>
                </c:pt>
                <c:pt idx="203">
                  <c:v>44197</c:v>
                </c:pt>
                <c:pt idx="204">
                  <c:v>44228</c:v>
                </c:pt>
                <c:pt idx="205">
                  <c:v>44256</c:v>
                </c:pt>
                <c:pt idx="206">
                  <c:v>44287</c:v>
                </c:pt>
                <c:pt idx="207">
                  <c:v>44317</c:v>
                </c:pt>
                <c:pt idx="208">
                  <c:v>44348</c:v>
                </c:pt>
                <c:pt idx="209">
                  <c:v>44378</c:v>
                </c:pt>
                <c:pt idx="210">
                  <c:v>44409</c:v>
                </c:pt>
                <c:pt idx="211">
                  <c:v>44440</c:v>
                </c:pt>
                <c:pt idx="212">
                  <c:v>44470</c:v>
                </c:pt>
                <c:pt idx="213">
                  <c:v>44501</c:v>
                </c:pt>
                <c:pt idx="214">
                  <c:v>44531</c:v>
                </c:pt>
              </c:numCache>
            </c:numRef>
          </c:cat>
          <c:val>
            <c:numRef>
              <c:f>'Core CPI'!$F$450:$F$670</c:f>
              <c:numCache>
                <c:formatCode>0%</c:formatCode>
                <c:ptCount val="221"/>
                <c:pt idx="0">
                  <c:v>0.02</c:v>
                </c:pt>
                <c:pt idx="1">
                  <c:v>0.02</c:v>
                </c:pt>
                <c:pt idx="2">
                  <c:v>0.02</c:v>
                </c:pt>
                <c:pt idx="3">
                  <c:v>0.02</c:v>
                </c:pt>
                <c:pt idx="4">
                  <c:v>0.02</c:v>
                </c:pt>
                <c:pt idx="5">
                  <c:v>0.02</c:v>
                </c:pt>
                <c:pt idx="6">
                  <c:v>0.02</c:v>
                </c:pt>
                <c:pt idx="7">
                  <c:v>0.02</c:v>
                </c:pt>
                <c:pt idx="8">
                  <c:v>0.02</c:v>
                </c:pt>
                <c:pt idx="9">
                  <c:v>0.02</c:v>
                </c:pt>
                <c:pt idx="10">
                  <c:v>0.02</c:v>
                </c:pt>
                <c:pt idx="11">
                  <c:v>0.02</c:v>
                </c:pt>
                <c:pt idx="12">
                  <c:v>0.02</c:v>
                </c:pt>
                <c:pt idx="13">
                  <c:v>0.02</c:v>
                </c:pt>
                <c:pt idx="14">
                  <c:v>0.02</c:v>
                </c:pt>
                <c:pt idx="15">
                  <c:v>0.02</c:v>
                </c:pt>
                <c:pt idx="16">
                  <c:v>0.02</c:v>
                </c:pt>
                <c:pt idx="17">
                  <c:v>0.02</c:v>
                </c:pt>
                <c:pt idx="18">
                  <c:v>0.02</c:v>
                </c:pt>
                <c:pt idx="19">
                  <c:v>0.02</c:v>
                </c:pt>
                <c:pt idx="20">
                  <c:v>0.02</c:v>
                </c:pt>
                <c:pt idx="21">
                  <c:v>0.02</c:v>
                </c:pt>
                <c:pt idx="22">
                  <c:v>0.02</c:v>
                </c:pt>
                <c:pt idx="23">
                  <c:v>0.02</c:v>
                </c:pt>
                <c:pt idx="24">
                  <c:v>0.02</c:v>
                </c:pt>
                <c:pt idx="25">
                  <c:v>0.02</c:v>
                </c:pt>
                <c:pt idx="26">
                  <c:v>0.02</c:v>
                </c:pt>
                <c:pt idx="27">
                  <c:v>0.02</c:v>
                </c:pt>
                <c:pt idx="28">
                  <c:v>0.02</c:v>
                </c:pt>
                <c:pt idx="29">
                  <c:v>0.02</c:v>
                </c:pt>
                <c:pt idx="30">
                  <c:v>0.02</c:v>
                </c:pt>
                <c:pt idx="31">
                  <c:v>0.02</c:v>
                </c:pt>
                <c:pt idx="32">
                  <c:v>0.02</c:v>
                </c:pt>
                <c:pt idx="33">
                  <c:v>0.02</c:v>
                </c:pt>
                <c:pt idx="34">
                  <c:v>0.02</c:v>
                </c:pt>
                <c:pt idx="35">
                  <c:v>0.02</c:v>
                </c:pt>
                <c:pt idx="36">
                  <c:v>0.02</c:v>
                </c:pt>
                <c:pt idx="37">
                  <c:v>0.02</c:v>
                </c:pt>
                <c:pt idx="38">
                  <c:v>0.02</c:v>
                </c:pt>
                <c:pt idx="39">
                  <c:v>0.02</c:v>
                </c:pt>
                <c:pt idx="40">
                  <c:v>0.02</c:v>
                </c:pt>
                <c:pt idx="41">
                  <c:v>0.02</c:v>
                </c:pt>
                <c:pt idx="42">
                  <c:v>0.02</c:v>
                </c:pt>
                <c:pt idx="43">
                  <c:v>0.02</c:v>
                </c:pt>
                <c:pt idx="44">
                  <c:v>0.02</c:v>
                </c:pt>
                <c:pt idx="45">
                  <c:v>0.02</c:v>
                </c:pt>
                <c:pt idx="46">
                  <c:v>0.02</c:v>
                </c:pt>
                <c:pt idx="47">
                  <c:v>0.02</c:v>
                </c:pt>
                <c:pt idx="48">
                  <c:v>0.02</c:v>
                </c:pt>
                <c:pt idx="49">
                  <c:v>0.02</c:v>
                </c:pt>
                <c:pt idx="50">
                  <c:v>0.02</c:v>
                </c:pt>
                <c:pt idx="51">
                  <c:v>0.02</c:v>
                </c:pt>
                <c:pt idx="52">
                  <c:v>0.02</c:v>
                </c:pt>
                <c:pt idx="53">
                  <c:v>0.02</c:v>
                </c:pt>
                <c:pt idx="54">
                  <c:v>0.02</c:v>
                </c:pt>
                <c:pt idx="55">
                  <c:v>0.02</c:v>
                </c:pt>
                <c:pt idx="56">
                  <c:v>0.02</c:v>
                </c:pt>
                <c:pt idx="57">
                  <c:v>0.02</c:v>
                </c:pt>
                <c:pt idx="58">
                  <c:v>0.02</c:v>
                </c:pt>
                <c:pt idx="59">
                  <c:v>0.02</c:v>
                </c:pt>
                <c:pt idx="60">
                  <c:v>0.02</c:v>
                </c:pt>
                <c:pt idx="61">
                  <c:v>0.02</c:v>
                </c:pt>
                <c:pt idx="62">
                  <c:v>0.02</c:v>
                </c:pt>
                <c:pt idx="63">
                  <c:v>0.02</c:v>
                </c:pt>
                <c:pt idx="64">
                  <c:v>0.02</c:v>
                </c:pt>
                <c:pt idx="65">
                  <c:v>0.02</c:v>
                </c:pt>
                <c:pt idx="66">
                  <c:v>0.02</c:v>
                </c:pt>
                <c:pt idx="67">
                  <c:v>0.02</c:v>
                </c:pt>
                <c:pt idx="68">
                  <c:v>0.02</c:v>
                </c:pt>
                <c:pt idx="69">
                  <c:v>0.02</c:v>
                </c:pt>
                <c:pt idx="70">
                  <c:v>0.02</c:v>
                </c:pt>
                <c:pt idx="71">
                  <c:v>0.02</c:v>
                </c:pt>
                <c:pt idx="72">
                  <c:v>0.02</c:v>
                </c:pt>
                <c:pt idx="73">
                  <c:v>0.02</c:v>
                </c:pt>
                <c:pt idx="74">
                  <c:v>0.02</c:v>
                </c:pt>
                <c:pt idx="75">
                  <c:v>0.02</c:v>
                </c:pt>
                <c:pt idx="76">
                  <c:v>0.02</c:v>
                </c:pt>
                <c:pt idx="77">
                  <c:v>0.02</c:v>
                </c:pt>
                <c:pt idx="78">
                  <c:v>0.02</c:v>
                </c:pt>
                <c:pt idx="79">
                  <c:v>0.02</c:v>
                </c:pt>
                <c:pt idx="80">
                  <c:v>0.02</c:v>
                </c:pt>
                <c:pt idx="81">
                  <c:v>0.02</c:v>
                </c:pt>
                <c:pt idx="82">
                  <c:v>0.02</c:v>
                </c:pt>
                <c:pt idx="83">
                  <c:v>0.02</c:v>
                </c:pt>
                <c:pt idx="84">
                  <c:v>0.02</c:v>
                </c:pt>
                <c:pt idx="85">
                  <c:v>0.02</c:v>
                </c:pt>
                <c:pt idx="86">
                  <c:v>0.02</c:v>
                </c:pt>
                <c:pt idx="87">
                  <c:v>0.02</c:v>
                </c:pt>
                <c:pt idx="88">
                  <c:v>0.02</c:v>
                </c:pt>
                <c:pt idx="89">
                  <c:v>0.02</c:v>
                </c:pt>
                <c:pt idx="90">
                  <c:v>0.02</c:v>
                </c:pt>
                <c:pt idx="91">
                  <c:v>0.02</c:v>
                </c:pt>
                <c:pt idx="92">
                  <c:v>0.02</c:v>
                </c:pt>
                <c:pt idx="93">
                  <c:v>0.02</c:v>
                </c:pt>
                <c:pt idx="94">
                  <c:v>0.02</c:v>
                </c:pt>
                <c:pt idx="95">
                  <c:v>0.02</c:v>
                </c:pt>
                <c:pt idx="96">
                  <c:v>0.02</c:v>
                </c:pt>
                <c:pt idx="97">
                  <c:v>0.02</c:v>
                </c:pt>
                <c:pt idx="98">
                  <c:v>0.02</c:v>
                </c:pt>
                <c:pt idx="99">
                  <c:v>0.02</c:v>
                </c:pt>
                <c:pt idx="100">
                  <c:v>0.02</c:v>
                </c:pt>
                <c:pt idx="101">
                  <c:v>0.02</c:v>
                </c:pt>
                <c:pt idx="102">
                  <c:v>0.02</c:v>
                </c:pt>
                <c:pt idx="103">
                  <c:v>0.02</c:v>
                </c:pt>
                <c:pt idx="104">
                  <c:v>0.02</c:v>
                </c:pt>
                <c:pt idx="105">
                  <c:v>0.02</c:v>
                </c:pt>
                <c:pt idx="106">
                  <c:v>0.02</c:v>
                </c:pt>
                <c:pt idx="107">
                  <c:v>0.02</c:v>
                </c:pt>
                <c:pt idx="108">
                  <c:v>0.02</c:v>
                </c:pt>
                <c:pt idx="109">
                  <c:v>0.02</c:v>
                </c:pt>
                <c:pt idx="110">
                  <c:v>0.02</c:v>
                </c:pt>
                <c:pt idx="111">
                  <c:v>0.02</c:v>
                </c:pt>
                <c:pt idx="112">
                  <c:v>0.02</c:v>
                </c:pt>
                <c:pt idx="113">
                  <c:v>0.02</c:v>
                </c:pt>
                <c:pt idx="114">
                  <c:v>0.02</c:v>
                </c:pt>
                <c:pt idx="115">
                  <c:v>0.02</c:v>
                </c:pt>
                <c:pt idx="116">
                  <c:v>0.02</c:v>
                </c:pt>
                <c:pt idx="117">
                  <c:v>0.02</c:v>
                </c:pt>
                <c:pt idx="118">
                  <c:v>0.02</c:v>
                </c:pt>
                <c:pt idx="119">
                  <c:v>0.02</c:v>
                </c:pt>
                <c:pt idx="120">
                  <c:v>0.02</c:v>
                </c:pt>
                <c:pt idx="121">
                  <c:v>0.02</c:v>
                </c:pt>
                <c:pt idx="122">
                  <c:v>0.02</c:v>
                </c:pt>
                <c:pt idx="123">
                  <c:v>0.02</c:v>
                </c:pt>
                <c:pt idx="124">
                  <c:v>0.02</c:v>
                </c:pt>
                <c:pt idx="125">
                  <c:v>0.02</c:v>
                </c:pt>
                <c:pt idx="126">
                  <c:v>0.02</c:v>
                </c:pt>
                <c:pt idx="127">
                  <c:v>0.02</c:v>
                </c:pt>
                <c:pt idx="128">
                  <c:v>0.02</c:v>
                </c:pt>
                <c:pt idx="129">
                  <c:v>0.02</c:v>
                </c:pt>
                <c:pt idx="130">
                  <c:v>0.02</c:v>
                </c:pt>
                <c:pt idx="131">
                  <c:v>0.02</c:v>
                </c:pt>
                <c:pt idx="132">
                  <c:v>0.02</c:v>
                </c:pt>
                <c:pt idx="133">
                  <c:v>0.02</c:v>
                </c:pt>
                <c:pt idx="134">
                  <c:v>0.02</c:v>
                </c:pt>
                <c:pt idx="135">
                  <c:v>0.02</c:v>
                </c:pt>
                <c:pt idx="136">
                  <c:v>0.02</c:v>
                </c:pt>
                <c:pt idx="137">
                  <c:v>0.02</c:v>
                </c:pt>
                <c:pt idx="138">
                  <c:v>0.02</c:v>
                </c:pt>
                <c:pt idx="139">
                  <c:v>0.02</c:v>
                </c:pt>
                <c:pt idx="140">
                  <c:v>0.02</c:v>
                </c:pt>
                <c:pt idx="141">
                  <c:v>0.02</c:v>
                </c:pt>
                <c:pt idx="142">
                  <c:v>0.02</c:v>
                </c:pt>
                <c:pt idx="143">
                  <c:v>0.02</c:v>
                </c:pt>
                <c:pt idx="144">
                  <c:v>0.02</c:v>
                </c:pt>
                <c:pt idx="145">
                  <c:v>0.02</c:v>
                </c:pt>
                <c:pt idx="146">
                  <c:v>0.02</c:v>
                </c:pt>
                <c:pt idx="147">
                  <c:v>0.02</c:v>
                </c:pt>
                <c:pt idx="148">
                  <c:v>0.02</c:v>
                </c:pt>
                <c:pt idx="149">
                  <c:v>0.02</c:v>
                </c:pt>
                <c:pt idx="150">
                  <c:v>0.02</c:v>
                </c:pt>
                <c:pt idx="151">
                  <c:v>0.02</c:v>
                </c:pt>
                <c:pt idx="152">
                  <c:v>0.02</c:v>
                </c:pt>
                <c:pt idx="153">
                  <c:v>0.02</c:v>
                </c:pt>
                <c:pt idx="154">
                  <c:v>0.02</c:v>
                </c:pt>
                <c:pt idx="155">
                  <c:v>0.02</c:v>
                </c:pt>
                <c:pt idx="156">
                  <c:v>0.02</c:v>
                </c:pt>
                <c:pt idx="157">
                  <c:v>0.02</c:v>
                </c:pt>
                <c:pt idx="158">
                  <c:v>0.02</c:v>
                </c:pt>
                <c:pt idx="159">
                  <c:v>0.02</c:v>
                </c:pt>
                <c:pt idx="160">
                  <c:v>0.02</c:v>
                </c:pt>
                <c:pt idx="161">
                  <c:v>0.02</c:v>
                </c:pt>
                <c:pt idx="162">
                  <c:v>0.02</c:v>
                </c:pt>
                <c:pt idx="163">
                  <c:v>0.02</c:v>
                </c:pt>
                <c:pt idx="164">
                  <c:v>0.02</c:v>
                </c:pt>
                <c:pt idx="165">
                  <c:v>0.02</c:v>
                </c:pt>
                <c:pt idx="166">
                  <c:v>0.02</c:v>
                </c:pt>
                <c:pt idx="167">
                  <c:v>0.02</c:v>
                </c:pt>
                <c:pt idx="168">
                  <c:v>0.02</c:v>
                </c:pt>
                <c:pt idx="169">
                  <c:v>0.02</c:v>
                </c:pt>
                <c:pt idx="170">
                  <c:v>0.02</c:v>
                </c:pt>
                <c:pt idx="171">
                  <c:v>0.02</c:v>
                </c:pt>
                <c:pt idx="172">
                  <c:v>0.02</c:v>
                </c:pt>
                <c:pt idx="173">
                  <c:v>0.02</c:v>
                </c:pt>
                <c:pt idx="174">
                  <c:v>0.02</c:v>
                </c:pt>
                <c:pt idx="175">
                  <c:v>0.02</c:v>
                </c:pt>
                <c:pt idx="176">
                  <c:v>0.02</c:v>
                </c:pt>
                <c:pt idx="177">
                  <c:v>0.02</c:v>
                </c:pt>
                <c:pt idx="178">
                  <c:v>0.02</c:v>
                </c:pt>
                <c:pt idx="179">
                  <c:v>0.02</c:v>
                </c:pt>
                <c:pt idx="180">
                  <c:v>0.02</c:v>
                </c:pt>
                <c:pt idx="181">
                  <c:v>0.02</c:v>
                </c:pt>
                <c:pt idx="182">
                  <c:v>0.02</c:v>
                </c:pt>
                <c:pt idx="183">
                  <c:v>0.02</c:v>
                </c:pt>
                <c:pt idx="184">
                  <c:v>0.02</c:v>
                </c:pt>
                <c:pt idx="185">
                  <c:v>0.02</c:v>
                </c:pt>
                <c:pt idx="186">
                  <c:v>0.02</c:v>
                </c:pt>
                <c:pt idx="187">
                  <c:v>0.02</c:v>
                </c:pt>
                <c:pt idx="188">
                  <c:v>0.02</c:v>
                </c:pt>
                <c:pt idx="189">
                  <c:v>0.02</c:v>
                </c:pt>
                <c:pt idx="190">
                  <c:v>0.02</c:v>
                </c:pt>
                <c:pt idx="191">
                  <c:v>0.02</c:v>
                </c:pt>
                <c:pt idx="192">
                  <c:v>0.02</c:v>
                </c:pt>
                <c:pt idx="193">
                  <c:v>0.02</c:v>
                </c:pt>
                <c:pt idx="194">
                  <c:v>0.02</c:v>
                </c:pt>
                <c:pt idx="195">
                  <c:v>0.02</c:v>
                </c:pt>
                <c:pt idx="196">
                  <c:v>0.02</c:v>
                </c:pt>
                <c:pt idx="197">
                  <c:v>0.02</c:v>
                </c:pt>
                <c:pt idx="198">
                  <c:v>0.02</c:v>
                </c:pt>
                <c:pt idx="199">
                  <c:v>0.02</c:v>
                </c:pt>
                <c:pt idx="200">
                  <c:v>0.02</c:v>
                </c:pt>
                <c:pt idx="201">
                  <c:v>0.02</c:v>
                </c:pt>
                <c:pt idx="202">
                  <c:v>0.02</c:v>
                </c:pt>
                <c:pt idx="203">
                  <c:v>0.02</c:v>
                </c:pt>
                <c:pt idx="204">
                  <c:v>0.02</c:v>
                </c:pt>
                <c:pt idx="205">
                  <c:v>0.02</c:v>
                </c:pt>
                <c:pt idx="206">
                  <c:v>0.02</c:v>
                </c:pt>
                <c:pt idx="207">
                  <c:v>0.02</c:v>
                </c:pt>
                <c:pt idx="208">
                  <c:v>0.02</c:v>
                </c:pt>
                <c:pt idx="209">
                  <c:v>0.02</c:v>
                </c:pt>
                <c:pt idx="210">
                  <c:v>0.02</c:v>
                </c:pt>
                <c:pt idx="211">
                  <c:v>0.02</c:v>
                </c:pt>
                <c:pt idx="212">
                  <c:v>0.02</c:v>
                </c:pt>
                <c:pt idx="213">
                  <c:v>0.02</c:v>
                </c:pt>
                <c:pt idx="214">
                  <c:v>0.02</c:v>
                </c:pt>
              </c:numCache>
            </c:numRef>
          </c:val>
          <c:smooth val="0"/>
          <c:extLst>
            <c:ext xmlns:c16="http://schemas.microsoft.com/office/drawing/2014/chart" uri="{C3380CC4-5D6E-409C-BE32-E72D297353CC}">
              <c16:uniqueId val="{00000001-1BF0-B543-8483-AE6BFF125BAD}"/>
            </c:ext>
          </c:extLst>
        </c:ser>
        <c:dLbls>
          <c:showLegendKey val="0"/>
          <c:showVal val="0"/>
          <c:showCatName val="0"/>
          <c:showSerName val="0"/>
          <c:showPercent val="0"/>
          <c:showBubbleSize val="0"/>
        </c:dLbls>
        <c:smooth val="0"/>
        <c:axId val="750124064"/>
        <c:axId val="750091136"/>
      </c:lineChart>
      <c:dateAx>
        <c:axId val="750124064"/>
        <c:scaling>
          <c:orientation val="minMax"/>
        </c:scaling>
        <c:delete val="0"/>
        <c:axPos val="b"/>
        <c:numFmt formatCode="[$-409]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091136"/>
        <c:crosses val="autoZero"/>
        <c:auto val="0"/>
        <c:lblOffset val="100"/>
        <c:baseTimeUnit val="months"/>
      </c:dateAx>
      <c:valAx>
        <c:axId val="750091136"/>
        <c:scaling>
          <c:orientation val="minMax"/>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124064"/>
        <c:crosses val="autoZero"/>
        <c:crossBetween val="between"/>
      </c:valAx>
    </c:plotArea>
    <c:plotVisOnly val="1"/>
    <c:dispBlanksAs val="gap"/>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Table2[[#Headers],[Consumer Price Index y/y %]]</c:f>
          <c:strCache>
            <c:ptCount val="1"/>
            <c:pt idx="0">
              <c:v>Consumer Price Index y/y %</c:v>
            </c:pt>
          </c:strCache>
        </c:strRef>
      </c:tx>
      <c:overlay val="0"/>
      <c:spPr>
        <a:noFill/>
        <a:ln>
          <a:noFill/>
          <a:prstDash val="solid"/>
        </a:ln>
      </c:spPr>
    </c:title>
    <c:autoTitleDeleted val="0"/>
    <c:plotArea>
      <c:layout/>
      <c:lineChart>
        <c:grouping val="standard"/>
        <c:varyColors val="0"/>
        <c:ser>
          <c:idx val="2"/>
          <c:order val="0"/>
          <c:spPr>
            <a:ln w="28575" cap="rnd">
              <a:solidFill>
                <a:schemeClr val="accent3"/>
              </a:solidFill>
              <a:prstDash val="solid"/>
              <a:round/>
            </a:ln>
          </c:spPr>
          <c:marker>
            <c:symbol val="none"/>
          </c:marker>
          <c:cat>
            <c:numRef>
              <c:f>CPI!$A$5:$A$1031</c:f>
              <c:numCache>
                <c:formatCode>[$-409]mmm\-yy;@</c:formatCode>
                <c:ptCount val="1027"/>
                <c:pt idx="0">
                  <c:v>17168</c:v>
                </c:pt>
                <c:pt idx="1">
                  <c:v>17199</c:v>
                </c:pt>
                <c:pt idx="2">
                  <c:v>17227</c:v>
                </c:pt>
                <c:pt idx="3">
                  <c:v>17258</c:v>
                </c:pt>
                <c:pt idx="4">
                  <c:v>17288</c:v>
                </c:pt>
                <c:pt idx="5">
                  <c:v>17319</c:v>
                </c:pt>
                <c:pt idx="6">
                  <c:v>17349</c:v>
                </c:pt>
                <c:pt idx="7">
                  <c:v>17380</c:v>
                </c:pt>
                <c:pt idx="8">
                  <c:v>17411</c:v>
                </c:pt>
                <c:pt idx="9">
                  <c:v>17441</c:v>
                </c:pt>
                <c:pt idx="10">
                  <c:v>17472</c:v>
                </c:pt>
                <c:pt idx="11">
                  <c:v>17502</c:v>
                </c:pt>
                <c:pt idx="12">
                  <c:v>17533</c:v>
                </c:pt>
                <c:pt idx="13">
                  <c:v>17564</c:v>
                </c:pt>
                <c:pt idx="14">
                  <c:v>17593</c:v>
                </c:pt>
                <c:pt idx="15">
                  <c:v>17624</c:v>
                </c:pt>
                <c:pt idx="16">
                  <c:v>17654</c:v>
                </c:pt>
                <c:pt idx="17">
                  <c:v>17685</c:v>
                </c:pt>
                <c:pt idx="18">
                  <c:v>17715</c:v>
                </c:pt>
                <c:pt idx="19">
                  <c:v>17746</c:v>
                </c:pt>
                <c:pt idx="20">
                  <c:v>17777</c:v>
                </c:pt>
                <c:pt idx="21">
                  <c:v>17807</c:v>
                </c:pt>
                <c:pt idx="22">
                  <c:v>17838</c:v>
                </c:pt>
                <c:pt idx="23">
                  <c:v>17868</c:v>
                </c:pt>
                <c:pt idx="24">
                  <c:v>17899</c:v>
                </c:pt>
                <c:pt idx="25">
                  <c:v>17930</c:v>
                </c:pt>
                <c:pt idx="26">
                  <c:v>17958</c:v>
                </c:pt>
                <c:pt idx="27">
                  <c:v>17989</c:v>
                </c:pt>
                <c:pt idx="28">
                  <c:v>18019</c:v>
                </c:pt>
                <c:pt idx="29">
                  <c:v>18050</c:v>
                </c:pt>
                <c:pt idx="30">
                  <c:v>18080</c:v>
                </c:pt>
                <c:pt idx="31">
                  <c:v>18111</c:v>
                </c:pt>
                <c:pt idx="32">
                  <c:v>18142</c:v>
                </c:pt>
                <c:pt idx="33">
                  <c:v>18172</c:v>
                </c:pt>
                <c:pt idx="34">
                  <c:v>18203</c:v>
                </c:pt>
                <c:pt idx="35">
                  <c:v>18233</c:v>
                </c:pt>
                <c:pt idx="36">
                  <c:v>18264</c:v>
                </c:pt>
                <c:pt idx="37">
                  <c:v>18295</c:v>
                </c:pt>
                <c:pt idx="38">
                  <c:v>18323</c:v>
                </c:pt>
                <c:pt idx="39">
                  <c:v>18354</c:v>
                </c:pt>
                <c:pt idx="40">
                  <c:v>18384</c:v>
                </c:pt>
                <c:pt idx="41">
                  <c:v>18415</c:v>
                </c:pt>
                <c:pt idx="42">
                  <c:v>18445</c:v>
                </c:pt>
                <c:pt idx="43">
                  <c:v>18476</c:v>
                </c:pt>
                <c:pt idx="44">
                  <c:v>18507</c:v>
                </c:pt>
                <c:pt idx="45">
                  <c:v>18537</c:v>
                </c:pt>
                <c:pt idx="46">
                  <c:v>18568</c:v>
                </c:pt>
                <c:pt idx="47">
                  <c:v>18598</c:v>
                </c:pt>
                <c:pt idx="48">
                  <c:v>18629</c:v>
                </c:pt>
                <c:pt idx="49">
                  <c:v>18660</c:v>
                </c:pt>
                <c:pt idx="50">
                  <c:v>18688</c:v>
                </c:pt>
                <c:pt idx="51">
                  <c:v>18719</c:v>
                </c:pt>
                <c:pt idx="52">
                  <c:v>18749</c:v>
                </c:pt>
                <c:pt idx="53">
                  <c:v>18780</c:v>
                </c:pt>
                <c:pt idx="54">
                  <c:v>18810</c:v>
                </c:pt>
                <c:pt idx="55">
                  <c:v>18841</c:v>
                </c:pt>
                <c:pt idx="56">
                  <c:v>18872</c:v>
                </c:pt>
                <c:pt idx="57">
                  <c:v>18902</c:v>
                </c:pt>
                <c:pt idx="58">
                  <c:v>18933</c:v>
                </c:pt>
                <c:pt idx="59">
                  <c:v>18963</c:v>
                </c:pt>
                <c:pt idx="60">
                  <c:v>18994</c:v>
                </c:pt>
                <c:pt idx="61">
                  <c:v>19025</c:v>
                </c:pt>
                <c:pt idx="62">
                  <c:v>19054</c:v>
                </c:pt>
                <c:pt idx="63">
                  <c:v>19085</c:v>
                </c:pt>
                <c:pt idx="64">
                  <c:v>19115</c:v>
                </c:pt>
                <c:pt idx="65">
                  <c:v>19146</c:v>
                </c:pt>
                <c:pt idx="66">
                  <c:v>19176</c:v>
                </c:pt>
                <c:pt idx="67">
                  <c:v>19207</c:v>
                </c:pt>
                <c:pt idx="68">
                  <c:v>19238</c:v>
                </c:pt>
                <c:pt idx="69">
                  <c:v>19268</c:v>
                </c:pt>
                <c:pt idx="70">
                  <c:v>19299</c:v>
                </c:pt>
                <c:pt idx="71">
                  <c:v>19329</c:v>
                </c:pt>
                <c:pt idx="72">
                  <c:v>19360</c:v>
                </c:pt>
                <c:pt idx="73">
                  <c:v>19391</c:v>
                </c:pt>
                <c:pt idx="74">
                  <c:v>19419</c:v>
                </c:pt>
                <c:pt idx="75">
                  <c:v>19450</c:v>
                </c:pt>
                <c:pt idx="76">
                  <c:v>19480</c:v>
                </c:pt>
                <c:pt idx="77">
                  <c:v>19511</c:v>
                </c:pt>
                <c:pt idx="78">
                  <c:v>19541</c:v>
                </c:pt>
                <c:pt idx="79">
                  <c:v>19572</c:v>
                </c:pt>
                <c:pt idx="80">
                  <c:v>19603</c:v>
                </c:pt>
                <c:pt idx="81">
                  <c:v>19633</c:v>
                </c:pt>
                <c:pt idx="82">
                  <c:v>19664</c:v>
                </c:pt>
                <c:pt idx="83">
                  <c:v>19694</c:v>
                </c:pt>
                <c:pt idx="84">
                  <c:v>19725</c:v>
                </c:pt>
                <c:pt idx="85">
                  <c:v>19756</c:v>
                </c:pt>
                <c:pt idx="86">
                  <c:v>19784</c:v>
                </c:pt>
                <c:pt idx="87">
                  <c:v>19815</c:v>
                </c:pt>
                <c:pt idx="88">
                  <c:v>19845</c:v>
                </c:pt>
                <c:pt idx="89">
                  <c:v>19876</c:v>
                </c:pt>
                <c:pt idx="90">
                  <c:v>19906</c:v>
                </c:pt>
                <c:pt idx="91">
                  <c:v>19937</c:v>
                </c:pt>
                <c:pt idx="92">
                  <c:v>19968</c:v>
                </c:pt>
                <c:pt idx="93">
                  <c:v>19998</c:v>
                </c:pt>
                <c:pt idx="94">
                  <c:v>20029</c:v>
                </c:pt>
                <c:pt idx="95">
                  <c:v>20059</c:v>
                </c:pt>
                <c:pt idx="96">
                  <c:v>20090</c:v>
                </c:pt>
                <c:pt idx="97">
                  <c:v>20121</c:v>
                </c:pt>
                <c:pt idx="98">
                  <c:v>20149</c:v>
                </c:pt>
                <c:pt idx="99">
                  <c:v>20180</c:v>
                </c:pt>
                <c:pt idx="100">
                  <c:v>20210</c:v>
                </c:pt>
                <c:pt idx="101">
                  <c:v>20241</c:v>
                </c:pt>
                <c:pt idx="102">
                  <c:v>20271</c:v>
                </c:pt>
                <c:pt idx="103">
                  <c:v>20302</c:v>
                </c:pt>
                <c:pt idx="104">
                  <c:v>20333</c:v>
                </c:pt>
                <c:pt idx="105">
                  <c:v>20363</c:v>
                </c:pt>
                <c:pt idx="106">
                  <c:v>20394</c:v>
                </c:pt>
                <c:pt idx="107">
                  <c:v>20424</c:v>
                </c:pt>
                <c:pt idx="108">
                  <c:v>20455</c:v>
                </c:pt>
                <c:pt idx="109">
                  <c:v>20486</c:v>
                </c:pt>
                <c:pt idx="110">
                  <c:v>20515</c:v>
                </c:pt>
                <c:pt idx="111">
                  <c:v>20546</c:v>
                </c:pt>
                <c:pt idx="112">
                  <c:v>20576</c:v>
                </c:pt>
                <c:pt idx="113">
                  <c:v>20607</c:v>
                </c:pt>
                <c:pt idx="114">
                  <c:v>20637</c:v>
                </c:pt>
                <c:pt idx="115">
                  <c:v>20668</c:v>
                </c:pt>
                <c:pt idx="116">
                  <c:v>20699</c:v>
                </c:pt>
                <c:pt idx="117">
                  <c:v>20729</c:v>
                </c:pt>
                <c:pt idx="118">
                  <c:v>20760</c:v>
                </c:pt>
                <c:pt idx="119">
                  <c:v>20790</c:v>
                </c:pt>
                <c:pt idx="120">
                  <c:v>20821</c:v>
                </c:pt>
                <c:pt idx="121">
                  <c:v>20852</c:v>
                </c:pt>
                <c:pt idx="122">
                  <c:v>20880</c:v>
                </c:pt>
                <c:pt idx="123">
                  <c:v>20911</c:v>
                </c:pt>
                <c:pt idx="124">
                  <c:v>20941</c:v>
                </c:pt>
                <c:pt idx="125">
                  <c:v>20972</c:v>
                </c:pt>
                <c:pt idx="126">
                  <c:v>21002</c:v>
                </c:pt>
                <c:pt idx="127">
                  <c:v>21033</c:v>
                </c:pt>
                <c:pt idx="128">
                  <c:v>21064</c:v>
                </c:pt>
                <c:pt idx="129">
                  <c:v>21094</c:v>
                </c:pt>
                <c:pt idx="130">
                  <c:v>21125</c:v>
                </c:pt>
                <c:pt idx="131">
                  <c:v>21155</c:v>
                </c:pt>
                <c:pt idx="132">
                  <c:v>21186</c:v>
                </c:pt>
                <c:pt idx="133">
                  <c:v>21217</c:v>
                </c:pt>
                <c:pt idx="134">
                  <c:v>21245</c:v>
                </c:pt>
                <c:pt idx="135">
                  <c:v>21276</c:v>
                </c:pt>
                <c:pt idx="136">
                  <c:v>21306</c:v>
                </c:pt>
                <c:pt idx="137">
                  <c:v>21337</c:v>
                </c:pt>
                <c:pt idx="138">
                  <c:v>21367</c:v>
                </c:pt>
                <c:pt idx="139">
                  <c:v>21398</c:v>
                </c:pt>
                <c:pt idx="140">
                  <c:v>21429</c:v>
                </c:pt>
                <c:pt idx="141">
                  <c:v>21459</c:v>
                </c:pt>
                <c:pt idx="142">
                  <c:v>21490</c:v>
                </c:pt>
                <c:pt idx="143">
                  <c:v>21520</c:v>
                </c:pt>
                <c:pt idx="144">
                  <c:v>21551</c:v>
                </c:pt>
                <c:pt idx="145">
                  <c:v>21582</c:v>
                </c:pt>
                <c:pt idx="146">
                  <c:v>21610</c:v>
                </c:pt>
                <c:pt idx="147">
                  <c:v>21641</c:v>
                </c:pt>
                <c:pt idx="148">
                  <c:v>21671</c:v>
                </c:pt>
                <c:pt idx="149">
                  <c:v>21702</c:v>
                </c:pt>
                <c:pt idx="150">
                  <c:v>21732</c:v>
                </c:pt>
                <c:pt idx="151">
                  <c:v>21763</c:v>
                </c:pt>
                <c:pt idx="152">
                  <c:v>21794</c:v>
                </c:pt>
                <c:pt idx="153">
                  <c:v>21824</c:v>
                </c:pt>
                <c:pt idx="154">
                  <c:v>21855</c:v>
                </c:pt>
                <c:pt idx="155">
                  <c:v>21885</c:v>
                </c:pt>
                <c:pt idx="156">
                  <c:v>21916</c:v>
                </c:pt>
                <c:pt idx="157">
                  <c:v>21947</c:v>
                </c:pt>
                <c:pt idx="158">
                  <c:v>21976</c:v>
                </c:pt>
                <c:pt idx="159">
                  <c:v>22007</c:v>
                </c:pt>
                <c:pt idx="160">
                  <c:v>22037</c:v>
                </c:pt>
                <c:pt idx="161">
                  <c:v>22068</c:v>
                </c:pt>
                <c:pt idx="162">
                  <c:v>22098</c:v>
                </c:pt>
                <c:pt idx="163">
                  <c:v>22129</c:v>
                </c:pt>
                <c:pt idx="164">
                  <c:v>22160</c:v>
                </c:pt>
                <c:pt idx="165">
                  <c:v>22190</c:v>
                </c:pt>
                <c:pt idx="166">
                  <c:v>22221</c:v>
                </c:pt>
                <c:pt idx="167">
                  <c:v>22251</c:v>
                </c:pt>
                <c:pt idx="168">
                  <c:v>22282</c:v>
                </c:pt>
                <c:pt idx="169">
                  <c:v>22313</c:v>
                </c:pt>
                <c:pt idx="170">
                  <c:v>22341</c:v>
                </c:pt>
                <c:pt idx="171">
                  <c:v>22372</c:v>
                </c:pt>
                <c:pt idx="172">
                  <c:v>22402</c:v>
                </c:pt>
                <c:pt idx="173">
                  <c:v>22433</c:v>
                </c:pt>
                <c:pt idx="174">
                  <c:v>22463</c:v>
                </c:pt>
                <c:pt idx="175">
                  <c:v>22494</c:v>
                </c:pt>
                <c:pt idx="176">
                  <c:v>22525</c:v>
                </c:pt>
                <c:pt idx="177">
                  <c:v>22555</c:v>
                </c:pt>
                <c:pt idx="178">
                  <c:v>22586</c:v>
                </c:pt>
                <c:pt idx="179">
                  <c:v>22616</c:v>
                </c:pt>
                <c:pt idx="180">
                  <c:v>22647</c:v>
                </c:pt>
                <c:pt idx="181">
                  <c:v>22678</c:v>
                </c:pt>
                <c:pt idx="182">
                  <c:v>22706</c:v>
                </c:pt>
                <c:pt idx="183">
                  <c:v>22737</c:v>
                </c:pt>
                <c:pt idx="184">
                  <c:v>22767</c:v>
                </c:pt>
                <c:pt idx="185">
                  <c:v>22798</c:v>
                </c:pt>
                <c:pt idx="186">
                  <c:v>22828</c:v>
                </c:pt>
                <c:pt idx="187">
                  <c:v>22859</c:v>
                </c:pt>
                <c:pt idx="188">
                  <c:v>22890</c:v>
                </c:pt>
                <c:pt idx="189">
                  <c:v>22920</c:v>
                </c:pt>
                <c:pt idx="190">
                  <c:v>22951</c:v>
                </c:pt>
                <c:pt idx="191">
                  <c:v>22981</c:v>
                </c:pt>
                <c:pt idx="192">
                  <c:v>23012</c:v>
                </c:pt>
                <c:pt idx="193">
                  <c:v>23043</c:v>
                </c:pt>
                <c:pt idx="194">
                  <c:v>23071</c:v>
                </c:pt>
                <c:pt idx="195">
                  <c:v>23102</c:v>
                </c:pt>
                <c:pt idx="196">
                  <c:v>23132</c:v>
                </c:pt>
                <c:pt idx="197">
                  <c:v>23163</c:v>
                </c:pt>
                <c:pt idx="198">
                  <c:v>23193</c:v>
                </c:pt>
                <c:pt idx="199">
                  <c:v>23224</c:v>
                </c:pt>
                <c:pt idx="200">
                  <c:v>23255</c:v>
                </c:pt>
                <c:pt idx="201">
                  <c:v>23285</c:v>
                </c:pt>
                <c:pt idx="202">
                  <c:v>23316</c:v>
                </c:pt>
                <c:pt idx="203">
                  <c:v>23346</c:v>
                </c:pt>
                <c:pt idx="204">
                  <c:v>23377</c:v>
                </c:pt>
                <c:pt idx="205">
                  <c:v>23408</c:v>
                </c:pt>
                <c:pt idx="206">
                  <c:v>23437</c:v>
                </c:pt>
                <c:pt idx="207">
                  <c:v>23468</c:v>
                </c:pt>
                <c:pt idx="208">
                  <c:v>23498</c:v>
                </c:pt>
                <c:pt idx="209">
                  <c:v>23529</c:v>
                </c:pt>
                <c:pt idx="210">
                  <c:v>23559</c:v>
                </c:pt>
                <c:pt idx="211">
                  <c:v>23590</c:v>
                </c:pt>
                <c:pt idx="212">
                  <c:v>23621</c:v>
                </c:pt>
                <c:pt idx="213">
                  <c:v>23651</c:v>
                </c:pt>
                <c:pt idx="214">
                  <c:v>23682</c:v>
                </c:pt>
                <c:pt idx="215">
                  <c:v>23712</c:v>
                </c:pt>
                <c:pt idx="216">
                  <c:v>23743</c:v>
                </c:pt>
                <c:pt idx="217">
                  <c:v>23774</c:v>
                </c:pt>
                <c:pt idx="218">
                  <c:v>23802</c:v>
                </c:pt>
                <c:pt idx="219">
                  <c:v>23833</c:v>
                </c:pt>
                <c:pt idx="220">
                  <c:v>23863</c:v>
                </c:pt>
                <c:pt idx="221">
                  <c:v>23894</c:v>
                </c:pt>
                <c:pt idx="222">
                  <c:v>23924</c:v>
                </c:pt>
                <c:pt idx="223">
                  <c:v>23955</c:v>
                </c:pt>
                <c:pt idx="224">
                  <c:v>23986</c:v>
                </c:pt>
                <c:pt idx="225">
                  <c:v>24016</c:v>
                </c:pt>
                <c:pt idx="226">
                  <c:v>24047</c:v>
                </c:pt>
                <c:pt idx="227">
                  <c:v>24077</c:v>
                </c:pt>
                <c:pt idx="228">
                  <c:v>24108</c:v>
                </c:pt>
                <c:pt idx="229">
                  <c:v>24139</c:v>
                </c:pt>
                <c:pt idx="230">
                  <c:v>24167</c:v>
                </c:pt>
                <c:pt idx="231">
                  <c:v>24198</c:v>
                </c:pt>
                <c:pt idx="232">
                  <c:v>24228</c:v>
                </c:pt>
                <c:pt idx="233">
                  <c:v>24259</c:v>
                </c:pt>
                <c:pt idx="234">
                  <c:v>24289</c:v>
                </c:pt>
                <c:pt idx="235">
                  <c:v>24320</c:v>
                </c:pt>
                <c:pt idx="236">
                  <c:v>24351</c:v>
                </c:pt>
                <c:pt idx="237">
                  <c:v>24381</c:v>
                </c:pt>
                <c:pt idx="238">
                  <c:v>24412</c:v>
                </c:pt>
                <c:pt idx="239">
                  <c:v>24442</c:v>
                </c:pt>
                <c:pt idx="240">
                  <c:v>24473</c:v>
                </c:pt>
                <c:pt idx="241">
                  <c:v>24504</c:v>
                </c:pt>
                <c:pt idx="242">
                  <c:v>24532</c:v>
                </c:pt>
                <c:pt idx="243">
                  <c:v>24563</c:v>
                </c:pt>
                <c:pt idx="244">
                  <c:v>24593</c:v>
                </c:pt>
                <c:pt idx="245">
                  <c:v>24624</c:v>
                </c:pt>
                <c:pt idx="246">
                  <c:v>24654</c:v>
                </c:pt>
                <c:pt idx="247">
                  <c:v>24685</c:v>
                </c:pt>
                <c:pt idx="248">
                  <c:v>24716</c:v>
                </c:pt>
                <c:pt idx="249">
                  <c:v>24746</c:v>
                </c:pt>
                <c:pt idx="250">
                  <c:v>24777</c:v>
                </c:pt>
                <c:pt idx="251">
                  <c:v>24807</c:v>
                </c:pt>
                <c:pt idx="252">
                  <c:v>24838</c:v>
                </c:pt>
                <c:pt idx="253">
                  <c:v>24869</c:v>
                </c:pt>
                <c:pt idx="254">
                  <c:v>24898</c:v>
                </c:pt>
                <c:pt idx="255">
                  <c:v>24929</c:v>
                </c:pt>
                <c:pt idx="256">
                  <c:v>24959</c:v>
                </c:pt>
                <c:pt idx="257">
                  <c:v>24990</c:v>
                </c:pt>
                <c:pt idx="258">
                  <c:v>25020</c:v>
                </c:pt>
                <c:pt idx="259">
                  <c:v>25051</c:v>
                </c:pt>
                <c:pt idx="260">
                  <c:v>25082</c:v>
                </c:pt>
                <c:pt idx="261">
                  <c:v>25112</c:v>
                </c:pt>
                <c:pt idx="262">
                  <c:v>25143</c:v>
                </c:pt>
                <c:pt idx="263">
                  <c:v>25173</c:v>
                </c:pt>
                <c:pt idx="264">
                  <c:v>25204</c:v>
                </c:pt>
                <c:pt idx="265">
                  <c:v>25235</c:v>
                </c:pt>
                <c:pt idx="266">
                  <c:v>25263</c:v>
                </c:pt>
                <c:pt idx="267">
                  <c:v>25294</c:v>
                </c:pt>
                <c:pt idx="268">
                  <c:v>25324</c:v>
                </c:pt>
                <c:pt idx="269">
                  <c:v>25355</c:v>
                </c:pt>
                <c:pt idx="270">
                  <c:v>25385</c:v>
                </c:pt>
                <c:pt idx="271">
                  <c:v>25416</c:v>
                </c:pt>
                <c:pt idx="272">
                  <c:v>25447</c:v>
                </c:pt>
                <c:pt idx="273">
                  <c:v>25477</c:v>
                </c:pt>
                <c:pt idx="274">
                  <c:v>25508</c:v>
                </c:pt>
                <c:pt idx="275">
                  <c:v>25538</c:v>
                </c:pt>
                <c:pt idx="276">
                  <c:v>25569</c:v>
                </c:pt>
                <c:pt idx="277">
                  <c:v>25600</c:v>
                </c:pt>
                <c:pt idx="278">
                  <c:v>25628</c:v>
                </c:pt>
                <c:pt idx="279">
                  <c:v>25659</c:v>
                </c:pt>
                <c:pt idx="280">
                  <c:v>25689</c:v>
                </c:pt>
                <c:pt idx="281">
                  <c:v>25720</c:v>
                </c:pt>
                <c:pt idx="282">
                  <c:v>25750</c:v>
                </c:pt>
                <c:pt idx="283">
                  <c:v>25781</c:v>
                </c:pt>
                <c:pt idx="284">
                  <c:v>25812</c:v>
                </c:pt>
                <c:pt idx="285">
                  <c:v>25842</c:v>
                </c:pt>
                <c:pt idx="286">
                  <c:v>25873</c:v>
                </c:pt>
                <c:pt idx="287">
                  <c:v>25903</c:v>
                </c:pt>
                <c:pt idx="288">
                  <c:v>25934</c:v>
                </c:pt>
                <c:pt idx="289">
                  <c:v>25965</c:v>
                </c:pt>
                <c:pt idx="290">
                  <c:v>25993</c:v>
                </c:pt>
                <c:pt idx="291">
                  <c:v>26024</c:v>
                </c:pt>
                <c:pt idx="292">
                  <c:v>26054</c:v>
                </c:pt>
                <c:pt idx="293">
                  <c:v>26085</c:v>
                </c:pt>
                <c:pt idx="294">
                  <c:v>26115</c:v>
                </c:pt>
                <c:pt idx="295">
                  <c:v>26146</c:v>
                </c:pt>
                <c:pt idx="296">
                  <c:v>26177</c:v>
                </c:pt>
                <c:pt idx="297">
                  <c:v>26207</c:v>
                </c:pt>
                <c:pt idx="298">
                  <c:v>26238</c:v>
                </c:pt>
                <c:pt idx="299">
                  <c:v>26268</c:v>
                </c:pt>
                <c:pt idx="300">
                  <c:v>26299</c:v>
                </c:pt>
                <c:pt idx="301">
                  <c:v>26330</c:v>
                </c:pt>
                <c:pt idx="302">
                  <c:v>26359</c:v>
                </c:pt>
                <c:pt idx="303">
                  <c:v>26390</c:v>
                </c:pt>
                <c:pt idx="304">
                  <c:v>26420</c:v>
                </c:pt>
                <c:pt idx="305">
                  <c:v>26451</c:v>
                </c:pt>
                <c:pt idx="306">
                  <c:v>26481</c:v>
                </c:pt>
                <c:pt idx="307">
                  <c:v>26512</c:v>
                </c:pt>
                <c:pt idx="308">
                  <c:v>26543</c:v>
                </c:pt>
                <c:pt idx="309">
                  <c:v>26573</c:v>
                </c:pt>
                <c:pt idx="310">
                  <c:v>26604</c:v>
                </c:pt>
                <c:pt idx="311">
                  <c:v>26634</c:v>
                </c:pt>
                <c:pt idx="312">
                  <c:v>26665</c:v>
                </c:pt>
                <c:pt idx="313">
                  <c:v>26696</c:v>
                </c:pt>
                <c:pt idx="314">
                  <c:v>26724</c:v>
                </c:pt>
                <c:pt idx="315">
                  <c:v>26755</c:v>
                </c:pt>
                <c:pt idx="316">
                  <c:v>26785</c:v>
                </c:pt>
                <c:pt idx="317">
                  <c:v>26816</c:v>
                </c:pt>
                <c:pt idx="318">
                  <c:v>26846</c:v>
                </c:pt>
                <c:pt idx="319">
                  <c:v>26877</c:v>
                </c:pt>
                <c:pt idx="320">
                  <c:v>26908</c:v>
                </c:pt>
                <c:pt idx="321">
                  <c:v>26938</c:v>
                </c:pt>
                <c:pt idx="322">
                  <c:v>26969</c:v>
                </c:pt>
                <c:pt idx="323">
                  <c:v>26999</c:v>
                </c:pt>
                <c:pt idx="324">
                  <c:v>27030</c:v>
                </c:pt>
                <c:pt idx="325">
                  <c:v>27061</c:v>
                </c:pt>
                <c:pt idx="326">
                  <c:v>27089</c:v>
                </c:pt>
                <c:pt idx="327">
                  <c:v>27120</c:v>
                </c:pt>
                <c:pt idx="328">
                  <c:v>27150</c:v>
                </c:pt>
                <c:pt idx="329">
                  <c:v>27181</c:v>
                </c:pt>
                <c:pt idx="330">
                  <c:v>27211</c:v>
                </c:pt>
                <c:pt idx="331">
                  <c:v>27242</c:v>
                </c:pt>
                <c:pt idx="332">
                  <c:v>27273</c:v>
                </c:pt>
                <c:pt idx="333">
                  <c:v>27303</c:v>
                </c:pt>
                <c:pt idx="334">
                  <c:v>27334</c:v>
                </c:pt>
                <c:pt idx="335">
                  <c:v>27364</c:v>
                </c:pt>
                <c:pt idx="336">
                  <c:v>27395</c:v>
                </c:pt>
                <c:pt idx="337">
                  <c:v>27426</c:v>
                </c:pt>
                <c:pt idx="338">
                  <c:v>27454</c:v>
                </c:pt>
                <c:pt idx="339">
                  <c:v>27485</c:v>
                </c:pt>
                <c:pt idx="340">
                  <c:v>27515</c:v>
                </c:pt>
                <c:pt idx="341">
                  <c:v>27546</c:v>
                </c:pt>
                <c:pt idx="342">
                  <c:v>27576</c:v>
                </c:pt>
                <c:pt idx="343">
                  <c:v>27607</c:v>
                </c:pt>
                <c:pt idx="344">
                  <c:v>27638</c:v>
                </c:pt>
                <c:pt idx="345">
                  <c:v>27668</c:v>
                </c:pt>
                <c:pt idx="346">
                  <c:v>27699</c:v>
                </c:pt>
                <c:pt idx="347">
                  <c:v>27729</c:v>
                </c:pt>
                <c:pt idx="348">
                  <c:v>27760</c:v>
                </c:pt>
                <c:pt idx="349">
                  <c:v>27791</c:v>
                </c:pt>
                <c:pt idx="350">
                  <c:v>27820</c:v>
                </c:pt>
                <c:pt idx="351">
                  <c:v>27851</c:v>
                </c:pt>
                <c:pt idx="352">
                  <c:v>27881</c:v>
                </c:pt>
                <c:pt idx="353">
                  <c:v>27912</c:v>
                </c:pt>
                <c:pt idx="354">
                  <c:v>27942</c:v>
                </c:pt>
                <c:pt idx="355">
                  <c:v>27973</c:v>
                </c:pt>
                <c:pt idx="356">
                  <c:v>28004</c:v>
                </c:pt>
                <c:pt idx="357">
                  <c:v>28034</c:v>
                </c:pt>
                <c:pt idx="358">
                  <c:v>28065</c:v>
                </c:pt>
                <c:pt idx="359">
                  <c:v>28095</c:v>
                </c:pt>
                <c:pt idx="360">
                  <c:v>28126</c:v>
                </c:pt>
                <c:pt idx="361">
                  <c:v>28157</c:v>
                </c:pt>
                <c:pt idx="362">
                  <c:v>28185</c:v>
                </c:pt>
                <c:pt idx="363">
                  <c:v>28216</c:v>
                </c:pt>
                <c:pt idx="364">
                  <c:v>28246</c:v>
                </c:pt>
                <c:pt idx="365">
                  <c:v>28277</c:v>
                </c:pt>
                <c:pt idx="366">
                  <c:v>28307</c:v>
                </c:pt>
                <c:pt idx="367">
                  <c:v>28338</c:v>
                </c:pt>
                <c:pt idx="368">
                  <c:v>28369</c:v>
                </c:pt>
                <c:pt idx="369">
                  <c:v>28399</c:v>
                </c:pt>
                <c:pt idx="370">
                  <c:v>28430</c:v>
                </c:pt>
                <c:pt idx="371">
                  <c:v>28460</c:v>
                </c:pt>
                <c:pt idx="372">
                  <c:v>28491</c:v>
                </c:pt>
                <c:pt idx="373">
                  <c:v>28522</c:v>
                </c:pt>
                <c:pt idx="374">
                  <c:v>28550</c:v>
                </c:pt>
                <c:pt idx="375">
                  <c:v>28581</c:v>
                </c:pt>
                <c:pt idx="376">
                  <c:v>28611</c:v>
                </c:pt>
                <c:pt idx="377">
                  <c:v>28642</c:v>
                </c:pt>
                <c:pt idx="378">
                  <c:v>28672</c:v>
                </c:pt>
                <c:pt idx="379">
                  <c:v>28703</c:v>
                </c:pt>
                <c:pt idx="380">
                  <c:v>28734</c:v>
                </c:pt>
                <c:pt idx="381">
                  <c:v>28764</c:v>
                </c:pt>
                <c:pt idx="382">
                  <c:v>28795</c:v>
                </c:pt>
                <c:pt idx="383">
                  <c:v>28825</c:v>
                </c:pt>
                <c:pt idx="384">
                  <c:v>28856</c:v>
                </c:pt>
                <c:pt idx="385">
                  <c:v>28887</c:v>
                </c:pt>
                <c:pt idx="386">
                  <c:v>28915</c:v>
                </c:pt>
                <c:pt idx="387">
                  <c:v>28946</c:v>
                </c:pt>
                <c:pt idx="388">
                  <c:v>28976</c:v>
                </c:pt>
                <c:pt idx="389">
                  <c:v>29007</c:v>
                </c:pt>
                <c:pt idx="390">
                  <c:v>29037</c:v>
                </c:pt>
                <c:pt idx="391">
                  <c:v>29068</c:v>
                </c:pt>
                <c:pt idx="392">
                  <c:v>29099</c:v>
                </c:pt>
                <c:pt idx="393">
                  <c:v>29129</c:v>
                </c:pt>
                <c:pt idx="394">
                  <c:v>29160</c:v>
                </c:pt>
                <c:pt idx="395">
                  <c:v>29190</c:v>
                </c:pt>
                <c:pt idx="396">
                  <c:v>29221</c:v>
                </c:pt>
                <c:pt idx="397">
                  <c:v>29252</c:v>
                </c:pt>
                <c:pt idx="398">
                  <c:v>29281</c:v>
                </c:pt>
                <c:pt idx="399">
                  <c:v>29312</c:v>
                </c:pt>
                <c:pt idx="400">
                  <c:v>29342</c:v>
                </c:pt>
                <c:pt idx="401">
                  <c:v>29373</c:v>
                </c:pt>
                <c:pt idx="402">
                  <c:v>29403</c:v>
                </c:pt>
                <c:pt idx="403">
                  <c:v>29434</c:v>
                </c:pt>
                <c:pt idx="404">
                  <c:v>29465</c:v>
                </c:pt>
                <c:pt idx="405">
                  <c:v>29495</c:v>
                </c:pt>
                <c:pt idx="406">
                  <c:v>29526</c:v>
                </c:pt>
                <c:pt idx="407">
                  <c:v>29556</c:v>
                </c:pt>
                <c:pt idx="408">
                  <c:v>29587</c:v>
                </c:pt>
                <c:pt idx="409">
                  <c:v>29618</c:v>
                </c:pt>
                <c:pt idx="410">
                  <c:v>29646</c:v>
                </c:pt>
                <c:pt idx="411">
                  <c:v>29677</c:v>
                </c:pt>
                <c:pt idx="412">
                  <c:v>29707</c:v>
                </c:pt>
                <c:pt idx="413">
                  <c:v>29738</c:v>
                </c:pt>
                <c:pt idx="414">
                  <c:v>29768</c:v>
                </c:pt>
                <c:pt idx="415">
                  <c:v>29799</c:v>
                </c:pt>
                <c:pt idx="416">
                  <c:v>29830</c:v>
                </c:pt>
                <c:pt idx="417">
                  <c:v>29860</c:v>
                </c:pt>
                <c:pt idx="418">
                  <c:v>29891</c:v>
                </c:pt>
                <c:pt idx="419">
                  <c:v>29921</c:v>
                </c:pt>
                <c:pt idx="420">
                  <c:v>29952</c:v>
                </c:pt>
                <c:pt idx="421">
                  <c:v>29983</c:v>
                </c:pt>
                <c:pt idx="422">
                  <c:v>30011</c:v>
                </c:pt>
                <c:pt idx="423">
                  <c:v>30042</c:v>
                </c:pt>
                <c:pt idx="424">
                  <c:v>30072</c:v>
                </c:pt>
                <c:pt idx="425">
                  <c:v>30103</c:v>
                </c:pt>
                <c:pt idx="426">
                  <c:v>30133</c:v>
                </c:pt>
                <c:pt idx="427">
                  <c:v>30164</c:v>
                </c:pt>
                <c:pt idx="428">
                  <c:v>30195</c:v>
                </c:pt>
                <c:pt idx="429">
                  <c:v>30225</c:v>
                </c:pt>
                <c:pt idx="430">
                  <c:v>30256</c:v>
                </c:pt>
                <c:pt idx="431">
                  <c:v>30286</c:v>
                </c:pt>
                <c:pt idx="432">
                  <c:v>30317</c:v>
                </c:pt>
                <c:pt idx="433">
                  <c:v>30348</c:v>
                </c:pt>
                <c:pt idx="434">
                  <c:v>30376</c:v>
                </c:pt>
                <c:pt idx="435">
                  <c:v>30407</c:v>
                </c:pt>
                <c:pt idx="436">
                  <c:v>30437</c:v>
                </c:pt>
                <c:pt idx="437">
                  <c:v>30468</c:v>
                </c:pt>
                <c:pt idx="438">
                  <c:v>30498</c:v>
                </c:pt>
                <c:pt idx="439">
                  <c:v>30529</c:v>
                </c:pt>
                <c:pt idx="440">
                  <c:v>30560</c:v>
                </c:pt>
                <c:pt idx="441">
                  <c:v>30590</c:v>
                </c:pt>
                <c:pt idx="442">
                  <c:v>30621</c:v>
                </c:pt>
                <c:pt idx="443">
                  <c:v>30651</c:v>
                </c:pt>
                <c:pt idx="444">
                  <c:v>30682</c:v>
                </c:pt>
                <c:pt idx="445">
                  <c:v>30713</c:v>
                </c:pt>
                <c:pt idx="446">
                  <c:v>30742</c:v>
                </c:pt>
                <c:pt idx="447">
                  <c:v>30773</c:v>
                </c:pt>
                <c:pt idx="448">
                  <c:v>30803</c:v>
                </c:pt>
                <c:pt idx="449">
                  <c:v>30834</c:v>
                </c:pt>
                <c:pt idx="450">
                  <c:v>30864</c:v>
                </c:pt>
                <c:pt idx="451">
                  <c:v>30895</c:v>
                </c:pt>
                <c:pt idx="452">
                  <c:v>30926</c:v>
                </c:pt>
                <c:pt idx="453">
                  <c:v>30956</c:v>
                </c:pt>
                <c:pt idx="454">
                  <c:v>30987</c:v>
                </c:pt>
                <c:pt idx="455">
                  <c:v>31017</c:v>
                </c:pt>
                <c:pt idx="456">
                  <c:v>31048</c:v>
                </c:pt>
                <c:pt idx="457">
                  <c:v>31079</c:v>
                </c:pt>
                <c:pt idx="458">
                  <c:v>31107</c:v>
                </c:pt>
                <c:pt idx="459">
                  <c:v>31138</c:v>
                </c:pt>
                <c:pt idx="460">
                  <c:v>31168</c:v>
                </c:pt>
                <c:pt idx="461">
                  <c:v>31199</c:v>
                </c:pt>
                <c:pt idx="462">
                  <c:v>31229</c:v>
                </c:pt>
                <c:pt idx="463">
                  <c:v>31260</c:v>
                </c:pt>
                <c:pt idx="464">
                  <c:v>31291</c:v>
                </c:pt>
                <c:pt idx="465">
                  <c:v>31321</c:v>
                </c:pt>
                <c:pt idx="466">
                  <c:v>31352</c:v>
                </c:pt>
                <c:pt idx="467">
                  <c:v>31382</c:v>
                </c:pt>
                <c:pt idx="468">
                  <c:v>31413</c:v>
                </c:pt>
                <c:pt idx="469">
                  <c:v>31444</c:v>
                </c:pt>
                <c:pt idx="470">
                  <c:v>31472</c:v>
                </c:pt>
                <c:pt idx="471">
                  <c:v>31503</c:v>
                </c:pt>
                <c:pt idx="472">
                  <c:v>31533</c:v>
                </c:pt>
                <c:pt idx="473">
                  <c:v>31564</c:v>
                </c:pt>
                <c:pt idx="474">
                  <c:v>31594</c:v>
                </c:pt>
                <c:pt idx="475">
                  <c:v>31625</c:v>
                </c:pt>
                <c:pt idx="476">
                  <c:v>31656</c:v>
                </c:pt>
                <c:pt idx="477">
                  <c:v>31686</c:v>
                </c:pt>
                <c:pt idx="478">
                  <c:v>31717</c:v>
                </c:pt>
                <c:pt idx="479">
                  <c:v>31747</c:v>
                </c:pt>
                <c:pt idx="480">
                  <c:v>31778</c:v>
                </c:pt>
                <c:pt idx="481">
                  <c:v>31809</c:v>
                </c:pt>
                <c:pt idx="482">
                  <c:v>31837</c:v>
                </c:pt>
                <c:pt idx="483">
                  <c:v>31868</c:v>
                </c:pt>
                <c:pt idx="484">
                  <c:v>31898</c:v>
                </c:pt>
                <c:pt idx="485">
                  <c:v>31929</c:v>
                </c:pt>
                <c:pt idx="486">
                  <c:v>31959</c:v>
                </c:pt>
                <c:pt idx="487">
                  <c:v>31990</c:v>
                </c:pt>
                <c:pt idx="488">
                  <c:v>32021</c:v>
                </c:pt>
                <c:pt idx="489">
                  <c:v>32051</c:v>
                </c:pt>
                <c:pt idx="490">
                  <c:v>32082</c:v>
                </c:pt>
                <c:pt idx="491">
                  <c:v>32112</c:v>
                </c:pt>
                <c:pt idx="492">
                  <c:v>32143</c:v>
                </c:pt>
                <c:pt idx="493">
                  <c:v>32174</c:v>
                </c:pt>
                <c:pt idx="494">
                  <c:v>32203</c:v>
                </c:pt>
                <c:pt idx="495">
                  <c:v>32234</c:v>
                </c:pt>
                <c:pt idx="496">
                  <c:v>32264</c:v>
                </c:pt>
                <c:pt idx="497">
                  <c:v>32295</c:v>
                </c:pt>
                <c:pt idx="498">
                  <c:v>32325</c:v>
                </c:pt>
                <c:pt idx="499">
                  <c:v>32356</c:v>
                </c:pt>
                <c:pt idx="500">
                  <c:v>32387</c:v>
                </c:pt>
                <c:pt idx="501">
                  <c:v>32417</c:v>
                </c:pt>
                <c:pt idx="502">
                  <c:v>32448</c:v>
                </c:pt>
                <c:pt idx="503">
                  <c:v>32478</c:v>
                </c:pt>
                <c:pt idx="504">
                  <c:v>32509</c:v>
                </c:pt>
                <c:pt idx="505">
                  <c:v>32540</c:v>
                </c:pt>
                <c:pt idx="506">
                  <c:v>32568</c:v>
                </c:pt>
                <c:pt idx="507">
                  <c:v>32599</c:v>
                </c:pt>
                <c:pt idx="508">
                  <c:v>32629</c:v>
                </c:pt>
                <c:pt idx="509">
                  <c:v>32660</c:v>
                </c:pt>
                <c:pt idx="510">
                  <c:v>32690</c:v>
                </c:pt>
                <c:pt idx="511">
                  <c:v>32721</c:v>
                </c:pt>
                <c:pt idx="512">
                  <c:v>32752</c:v>
                </c:pt>
                <c:pt idx="513">
                  <c:v>32782</c:v>
                </c:pt>
                <c:pt idx="514">
                  <c:v>32813</c:v>
                </c:pt>
                <c:pt idx="515">
                  <c:v>32843</c:v>
                </c:pt>
                <c:pt idx="516">
                  <c:v>32874</c:v>
                </c:pt>
                <c:pt idx="517">
                  <c:v>32905</c:v>
                </c:pt>
                <c:pt idx="518">
                  <c:v>32933</c:v>
                </c:pt>
                <c:pt idx="519">
                  <c:v>32964</c:v>
                </c:pt>
                <c:pt idx="520">
                  <c:v>32994</c:v>
                </c:pt>
                <c:pt idx="521">
                  <c:v>33025</c:v>
                </c:pt>
                <c:pt idx="522">
                  <c:v>33055</c:v>
                </c:pt>
                <c:pt idx="523">
                  <c:v>33086</c:v>
                </c:pt>
                <c:pt idx="524">
                  <c:v>33117</c:v>
                </c:pt>
                <c:pt idx="525">
                  <c:v>33147</c:v>
                </c:pt>
                <c:pt idx="526">
                  <c:v>33178</c:v>
                </c:pt>
                <c:pt idx="527">
                  <c:v>33208</c:v>
                </c:pt>
                <c:pt idx="528">
                  <c:v>33239</c:v>
                </c:pt>
                <c:pt idx="529">
                  <c:v>33270</c:v>
                </c:pt>
                <c:pt idx="530">
                  <c:v>33298</c:v>
                </c:pt>
                <c:pt idx="531">
                  <c:v>33329</c:v>
                </c:pt>
                <c:pt idx="532">
                  <c:v>33359</c:v>
                </c:pt>
                <c:pt idx="533">
                  <c:v>33390</c:v>
                </c:pt>
                <c:pt idx="534">
                  <c:v>33420</c:v>
                </c:pt>
                <c:pt idx="535">
                  <c:v>33451</c:v>
                </c:pt>
                <c:pt idx="536">
                  <c:v>33482</c:v>
                </c:pt>
                <c:pt idx="537">
                  <c:v>33512</c:v>
                </c:pt>
                <c:pt idx="538">
                  <c:v>33543</c:v>
                </c:pt>
                <c:pt idx="539">
                  <c:v>33573</c:v>
                </c:pt>
                <c:pt idx="540">
                  <c:v>33604</c:v>
                </c:pt>
                <c:pt idx="541">
                  <c:v>33635</c:v>
                </c:pt>
                <c:pt idx="542">
                  <c:v>33664</c:v>
                </c:pt>
                <c:pt idx="543">
                  <c:v>33695</c:v>
                </c:pt>
                <c:pt idx="544">
                  <c:v>33725</c:v>
                </c:pt>
                <c:pt idx="545">
                  <c:v>33756</c:v>
                </c:pt>
                <c:pt idx="546">
                  <c:v>33786</c:v>
                </c:pt>
                <c:pt idx="547">
                  <c:v>33817</c:v>
                </c:pt>
                <c:pt idx="548">
                  <c:v>33848</c:v>
                </c:pt>
                <c:pt idx="549">
                  <c:v>33878</c:v>
                </c:pt>
                <c:pt idx="550">
                  <c:v>33909</c:v>
                </c:pt>
                <c:pt idx="551">
                  <c:v>33939</c:v>
                </c:pt>
                <c:pt idx="552">
                  <c:v>33970</c:v>
                </c:pt>
                <c:pt idx="553">
                  <c:v>34001</c:v>
                </c:pt>
                <c:pt idx="554">
                  <c:v>34029</c:v>
                </c:pt>
                <c:pt idx="555">
                  <c:v>34060</c:v>
                </c:pt>
                <c:pt idx="556">
                  <c:v>34090</c:v>
                </c:pt>
                <c:pt idx="557">
                  <c:v>34121</c:v>
                </c:pt>
                <c:pt idx="558">
                  <c:v>34151</c:v>
                </c:pt>
                <c:pt idx="559">
                  <c:v>34182</c:v>
                </c:pt>
                <c:pt idx="560">
                  <c:v>34213</c:v>
                </c:pt>
                <c:pt idx="561">
                  <c:v>34243</c:v>
                </c:pt>
                <c:pt idx="562">
                  <c:v>34274</c:v>
                </c:pt>
                <c:pt idx="563">
                  <c:v>34304</c:v>
                </c:pt>
                <c:pt idx="564">
                  <c:v>34335</c:v>
                </c:pt>
                <c:pt idx="565">
                  <c:v>34366</c:v>
                </c:pt>
                <c:pt idx="566">
                  <c:v>34394</c:v>
                </c:pt>
                <c:pt idx="567">
                  <c:v>34425</c:v>
                </c:pt>
                <c:pt idx="568">
                  <c:v>34455</c:v>
                </c:pt>
                <c:pt idx="569">
                  <c:v>34486</c:v>
                </c:pt>
                <c:pt idx="570">
                  <c:v>34516</c:v>
                </c:pt>
                <c:pt idx="571">
                  <c:v>34547</c:v>
                </c:pt>
                <c:pt idx="572">
                  <c:v>34578</c:v>
                </c:pt>
                <c:pt idx="573">
                  <c:v>34608</c:v>
                </c:pt>
                <c:pt idx="574">
                  <c:v>34639</c:v>
                </c:pt>
                <c:pt idx="575">
                  <c:v>34669</c:v>
                </c:pt>
                <c:pt idx="576">
                  <c:v>34700</c:v>
                </c:pt>
                <c:pt idx="577">
                  <c:v>34731</c:v>
                </c:pt>
                <c:pt idx="578">
                  <c:v>34759</c:v>
                </c:pt>
                <c:pt idx="579">
                  <c:v>34790</c:v>
                </c:pt>
                <c:pt idx="580">
                  <c:v>34820</c:v>
                </c:pt>
                <c:pt idx="581">
                  <c:v>34851</c:v>
                </c:pt>
                <c:pt idx="582">
                  <c:v>34881</c:v>
                </c:pt>
                <c:pt idx="583">
                  <c:v>34912</c:v>
                </c:pt>
                <c:pt idx="584">
                  <c:v>34943</c:v>
                </c:pt>
                <c:pt idx="585">
                  <c:v>34973</c:v>
                </c:pt>
                <c:pt idx="586">
                  <c:v>35004</c:v>
                </c:pt>
                <c:pt idx="587">
                  <c:v>35034</c:v>
                </c:pt>
                <c:pt idx="588">
                  <c:v>35065</c:v>
                </c:pt>
                <c:pt idx="589">
                  <c:v>35096</c:v>
                </c:pt>
                <c:pt idx="590">
                  <c:v>35125</c:v>
                </c:pt>
                <c:pt idx="591">
                  <c:v>35156</c:v>
                </c:pt>
                <c:pt idx="592">
                  <c:v>35186</c:v>
                </c:pt>
                <c:pt idx="593">
                  <c:v>35217</c:v>
                </c:pt>
                <c:pt idx="594">
                  <c:v>35247</c:v>
                </c:pt>
                <c:pt idx="595">
                  <c:v>35278</c:v>
                </c:pt>
                <c:pt idx="596">
                  <c:v>35309</c:v>
                </c:pt>
                <c:pt idx="597">
                  <c:v>35339</c:v>
                </c:pt>
                <c:pt idx="598">
                  <c:v>35370</c:v>
                </c:pt>
                <c:pt idx="599">
                  <c:v>35400</c:v>
                </c:pt>
                <c:pt idx="600">
                  <c:v>35431</c:v>
                </c:pt>
                <c:pt idx="601">
                  <c:v>35462</c:v>
                </c:pt>
                <c:pt idx="602">
                  <c:v>35490</c:v>
                </c:pt>
                <c:pt idx="603">
                  <c:v>35521</c:v>
                </c:pt>
                <c:pt idx="604">
                  <c:v>35551</c:v>
                </c:pt>
                <c:pt idx="605">
                  <c:v>35582</c:v>
                </c:pt>
                <c:pt idx="606">
                  <c:v>35612</c:v>
                </c:pt>
                <c:pt idx="607">
                  <c:v>35643</c:v>
                </c:pt>
                <c:pt idx="608">
                  <c:v>35674</c:v>
                </c:pt>
                <c:pt idx="609">
                  <c:v>35704</c:v>
                </c:pt>
                <c:pt idx="610">
                  <c:v>35735</c:v>
                </c:pt>
                <c:pt idx="611">
                  <c:v>35765</c:v>
                </c:pt>
                <c:pt idx="612">
                  <c:v>35796</c:v>
                </c:pt>
                <c:pt idx="613">
                  <c:v>35827</c:v>
                </c:pt>
                <c:pt idx="614">
                  <c:v>35855</c:v>
                </c:pt>
                <c:pt idx="615">
                  <c:v>35886</c:v>
                </c:pt>
                <c:pt idx="616">
                  <c:v>35916</c:v>
                </c:pt>
                <c:pt idx="617">
                  <c:v>35947</c:v>
                </c:pt>
                <c:pt idx="618">
                  <c:v>35977</c:v>
                </c:pt>
                <c:pt idx="619">
                  <c:v>36008</c:v>
                </c:pt>
                <c:pt idx="620">
                  <c:v>36039</c:v>
                </c:pt>
                <c:pt idx="621">
                  <c:v>36069</c:v>
                </c:pt>
                <c:pt idx="622">
                  <c:v>36100</c:v>
                </c:pt>
                <c:pt idx="623">
                  <c:v>36130</c:v>
                </c:pt>
                <c:pt idx="624">
                  <c:v>36161</c:v>
                </c:pt>
                <c:pt idx="625">
                  <c:v>36192</c:v>
                </c:pt>
                <c:pt idx="626">
                  <c:v>36220</c:v>
                </c:pt>
                <c:pt idx="627">
                  <c:v>36251</c:v>
                </c:pt>
                <c:pt idx="628">
                  <c:v>36281</c:v>
                </c:pt>
                <c:pt idx="629">
                  <c:v>36312</c:v>
                </c:pt>
                <c:pt idx="630">
                  <c:v>36342</c:v>
                </c:pt>
                <c:pt idx="631">
                  <c:v>36373</c:v>
                </c:pt>
                <c:pt idx="632">
                  <c:v>36404</c:v>
                </c:pt>
                <c:pt idx="633">
                  <c:v>36434</c:v>
                </c:pt>
                <c:pt idx="634">
                  <c:v>36465</c:v>
                </c:pt>
                <c:pt idx="635">
                  <c:v>36495</c:v>
                </c:pt>
                <c:pt idx="636">
                  <c:v>36526</c:v>
                </c:pt>
                <c:pt idx="637">
                  <c:v>36557</c:v>
                </c:pt>
                <c:pt idx="638">
                  <c:v>36586</c:v>
                </c:pt>
                <c:pt idx="639">
                  <c:v>36617</c:v>
                </c:pt>
                <c:pt idx="640">
                  <c:v>36647</c:v>
                </c:pt>
                <c:pt idx="641">
                  <c:v>36678</c:v>
                </c:pt>
                <c:pt idx="642">
                  <c:v>36708</c:v>
                </c:pt>
                <c:pt idx="643">
                  <c:v>36739</c:v>
                </c:pt>
                <c:pt idx="644">
                  <c:v>36770</c:v>
                </c:pt>
                <c:pt idx="645">
                  <c:v>36800</c:v>
                </c:pt>
                <c:pt idx="646">
                  <c:v>36831</c:v>
                </c:pt>
                <c:pt idx="647">
                  <c:v>36861</c:v>
                </c:pt>
                <c:pt idx="648">
                  <c:v>36892</c:v>
                </c:pt>
                <c:pt idx="649">
                  <c:v>36923</c:v>
                </c:pt>
                <c:pt idx="650">
                  <c:v>36951</c:v>
                </c:pt>
                <c:pt idx="651">
                  <c:v>36982</c:v>
                </c:pt>
                <c:pt idx="652">
                  <c:v>37012</c:v>
                </c:pt>
                <c:pt idx="653">
                  <c:v>37043</c:v>
                </c:pt>
                <c:pt idx="654">
                  <c:v>37073</c:v>
                </c:pt>
                <c:pt idx="655">
                  <c:v>37104</c:v>
                </c:pt>
                <c:pt idx="656">
                  <c:v>37135</c:v>
                </c:pt>
                <c:pt idx="657">
                  <c:v>37165</c:v>
                </c:pt>
                <c:pt idx="658">
                  <c:v>37196</c:v>
                </c:pt>
                <c:pt idx="659">
                  <c:v>37226</c:v>
                </c:pt>
                <c:pt idx="660">
                  <c:v>37257</c:v>
                </c:pt>
                <c:pt idx="661">
                  <c:v>37288</c:v>
                </c:pt>
                <c:pt idx="662">
                  <c:v>37316</c:v>
                </c:pt>
                <c:pt idx="663">
                  <c:v>37347</c:v>
                </c:pt>
                <c:pt idx="664">
                  <c:v>37377</c:v>
                </c:pt>
                <c:pt idx="665">
                  <c:v>37408</c:v>
                </c:pt>
                <c:pt idx="666">
                  <c:v>37438</c:v>
                </c:pt>
                <c:pt idx="667">
                  <c:v>37469</c:v>
                </c:pt>
                <c:pt idx="668">
                  <c:v>37500</c:v>
                </c:pt>
                <c:pt idx="669">
                  <c:v>37530</c:v>
                </c:pt>
                <c:pt idx="670">
                  <c:v>37561</c:v>
                </c:pt>
                <c:pt idx="671">
                  <c:v>37591</c:v>
                </c:pt>
                <c:pt idx="672">
                  <c:v>37622</c:v>
                </c:pt>
                <c:pt idx="673">
                  <c:v>37653</c:v>
                </c:pt>
                <c:pt idx="674">
                  <c:v>37681</c:v>
                </c:pt>
                <c:pt idx="675">
                  <c:v>37712</c:v>
                </c:pt>
                <c:pt idx="676">
                  <c:v>37742</c:v>
                </c:pt>
                <c:pt idx="677">
                  <c:v>37773</c:v>
                </c:pt>
                <c:pt idx="678">
                  <c:v>37803</c:v>
                </c:pt>
                <c:pt idx="679">
                  <c:v>37834</c:v>
                </c:pt>
                <c:pt idx="680">
                  <c:v>37865</c:v>
                </c:pt>
                <c:pt idx="681">
                  <c:v>37895</c:v>
                </c:pt>
                <c:pt idx="682">
                  <c:v>37926</c:v>
                </c:pt>
                <c:pt idx="683">
                  <c:v>37956</c:v>
                </c:pt>
                <c:pt idx="684">
                  <c:v>37987</c:v>
                </c:pt>
                <c:pt idx="685">
                  <c:v>38018</c:v>
                </c:pt>
                <c:pt idx="686">
                  <c:v>38047</c:v>
                </c:pt>
                <c:pt idx="687">
                  <c:v>38078</c:v>
                </c:pt>
                <c:pt idx="688">
                  <c:v>38108</c:v>
                </c:pt>
                <c:pt idx="689">
                  <c:v>38139</c:v>
                </c:pt>
                <c:pt idx="690">
                  <c:v>38169</c:v>
                </c:pt>
                <c:pt idx="691">
                  <c:v>38200</c:v>
                </c:pt>
                <c:pt idx="692">
                  <c:v>38231</c:v>
                </c:pt>
                <c:pt idx="693">
                  <c:v>38261</c:v>
                </c:pt>
                <c:pt idx="694">
                  <c:v>38292</c:v>
                </c:pt>
                <c:pt idx="695">
                  <c:v>38322</c:v>
                </c:pt>
                <c:pt idx="696">
                  <c:v>38353</c:v>
                </c:pt>
                <c:pt idx="697">
                  <c:v>38384</c:v>
                </c:pt>
                <c:pt idx="698">
                  <c:v>38412</c:v>
                </c:pt>
                <c:pt idx="699">
                  <c:v>38443</c:v>
                </c:pt>
                <c:pt idx="700">
                  <c:v>38473</c:v>
                </c:pt>
                <c:pt idx="701">
                  <c:v>38504</c:v>
                </c:pt>
                <c:pt idx="702">
                  <c:v>38534</c:v>
                </c:pt>
                <c:pt idx="703">
                  <c:v>38565</c:v>
                </c:pt>
                <c:pt idx="704">
                  <c:v>38596</c:v>
                </c:pt>
                <c:pt idx="705">
                  <c:v>38626</c:v>
                </c:pt>
                <c:pt idx="706">
                  <c:v>38657</c:v>
                </c:pt>
                <c:pt idx="707">
                  <c:v>38687</c:v>
                </c:pt>
                <c:pt idx="708">
                  <c:v>38718</c:v>
                </c:pt>
                <c:pt idx="709">
                  <c:v>38749</c:v>
                </c:pt>
                <c:pt idx="710">
                  <c:v>38777</c:v>
                </c:pt>
                <c:pt idx="711">
                  <c:v>38808</c:v>
                </c:pt>
                <c:pt idx="712">
                  <c:v>38838</c:v>
                </c:pt>
                <c:pt idx="713">
                  <c:v>38869</c:v>
                </c:pt>
                <c:pt idx="714">
                  <c:v>38899</c:v>
                </c:pt>
                <c:pt idx="715">
                  <c:v>38930</c:v>
                </c:pt>
                <c:pt idx="716">
                  <c:v>38961</c:v>
                </c:pt>
                <c:pt idx="717">
                  <c:v>38991</c:v>
                </c:pt>
                <c:pt idx="718">
                  <c:v>39022</c:v>
                </c:pt>
                <c:pt idx="719">
                  <c:v>39052</c:v>
                </c:pt>
                <c:pt idx="720">
                  <c:v>39083</c:v>
                </c:pt>
                <c:pt idx="721">
                  <c:v>39114</c:v>
                </c:pt>
                <c:pt idx="722">
                  <c:v>39142</c:v>
                </c:pt>
                <c:pt idx="723">
                  <c:v>39173</c:v>
                </c:pt>
                <c:pt idx="724">
                  <c:v>39203</c:v>
                </c:pt>
                <c:pt idx="725">
                  <c:v>39234</c:v>
                </c:pt>
                <c:pt idx="726">
                  <c:v>39264</c:v>
                </c:pt>
                <c:pt idx="727">
                  <c:v>39295</c:v>
                </c:pt>
                <c:pt idx="728">
                  <c:v>39326</c:v>
                </c:pt>
                <c:pt idx="729">
                  <c:v>39356</c:v>
                </c:pt>
                <c:pt idx="730">
                  <c:v>39387</c:v>
                </c:pt>
                <c:pt idx="731">
                  <c:v>39417</c:v>
                </c:pt>
                <c:pt idx="732">
                  <c:v>39448</c:v>
                </c:pt>
                <c:pt idx="733">
                  <c:v>39479</c:v>
                </c:pt>
                <c:pt idx="734">
                  <c:v>39508</c:v>
                </c:pt>
                <c:pt idx="735">
                  <c:v>39539</c:v>
                </c:pt>
                <c:pt idx="736">
                  <c:v>39569</c:v>
                </c:pt>
                <c:pt idx="737">
                  <c:v>39600</c:v>
                </c:pt>
                <c:pt idx="738">
                  <c:v>39630</c:v>
                </c:pt>
                <c:pt idx="739">
                  <c:v>39661</c:v>
                </c:pt>
                <c:pt idx="740">
                  <c:v>39692</c:v>
                </c:pt>
                <c:pt idx="741">
                  <c:v>39722</c:v>
                </c:pt>
                <c:pt idx="742">
                  <c:v>39753</c:v>
                </c:pt>
                <c:pt idx="743">
                  <c:v>39783</c:v>
                </c:pt>
                <c:pt idx="744">
                  <c:v>39814</c:v>
                </c:pt>
                <c:pt idx="745">
                  <c:v>39845</c:v>
                </c:pt>
                <c:pt idx="746">
                  <c:v>39873</c:v>
                </c:pt>
                <c:pt idx="747">
                  <c:v>39904</c:v>
                </c:pt>
                <c:pt idx="748">
                  <c:v>39934</c:v>
                </c:pt>
                <c:pt idx="749">
                  <c:v>39965</c:v>
                </c:pt>
                <c:pt idx="750">
                  <c:v>39995</c:v>
                </c:pt>
                <c:pt idx="751">
                  <c:v>40026</c:v>
                </c:pt>
                <c:pt idx="752">
                  <c:v>40057</c:v>
                </c:pt>
                <c:pt idx="753">
                  <c:v>40087</c:v>
                </c:pt>
                <c:pt idx="754">
                  <c:v>40118</c:v>
                </c:pt>
                <c:pt idx="755">
                  <c:v>40148</c:v>
                </c:pt>
                <c:pt idx="756">
                  <c:v>40179</c:v>
                </c:pt>
                <c:pt idx="757">
                  <c:v>40210</c:v>
                </c:pt>
                <c:pt idx="758">
                  <c:v>40238</c:v>
                </c:pt>
                <c:pt idx="759">
                  <c:v>40269</c:v>
                </c:pt>
                <c:pt idx="760">
                  <c:v>40299</c:v>
                </c:pt>
                <c:pt idx="761">
                  <c:v>40330</c:v>
                </c:pt>
                <c:pt idx="762">
                  <c:v>40360</c:v>
                </c:pt>
                <c:pt idx="763">
                  <c:v>40391</c:v>
                </c:pt>
                <c:pt idx="764">
                  <c:v>40422</c:v>
                </c:pt>
                <c:pt idx="765">
                  <c:v>40452</c:v>
                </c:pt>
                <c:pt idx="766">
                  <c:v>40483</c:v>
                </c:pt>
                <c:pt idx="767">
                  <c:v>40513</c:v>
                </c:pt>
                <c:pt idx="768">
                  <c:v>40544</c:v>
                </c:pt>
                <c:pt idx="769">
                  <c:v>40575</c:v>
                </c:pt>
                <c:pt idx="770">
                  <c:v>40603</c:v>
                </c:pt>
                <c:pt idx="771">
                  <c:v>40634</c:v>
                </c:pt>
                <c:pt idx="772">
                  <c:v>40664</c:v>
                </c:pt>
                <c:pt idx="773">
                  <c:v>40695</c:v>
                </c:pt>
                <c:pt idx="774">
                  <c:v>40725</c:v>
                </c:pt>
                <c:pt idx="775">
                  <c:v>40756</c:v>
                </c:pt>
                <c:pt idx="776">
                  <c:v>40787</c:v>
                </c:pt>
                <c:pt idx="777">
                  <c:v>40817</c:v>
                </c:pt>
                <c:pt idx="778">
                  <c:v>40848</c:v>
                </c:pt>
                <c:pt idx="779">
                  <c:v>40878</c:v>
                </c:pt>
                <c:pt idx="780">
                  <c:v>40909</c:v>
                </c:pt>
                <c:pt idx="781">
                  <c:v>40940</c:v>
                </c:pt>
                <c:pt idx="782">
                  <c:v>40969</c:v>
                </c:pt>
                <c:pt idx="783">
                  <c:v>41000</c:v>
                </c:pt>
                <c:pt idx="784">
                  <c:v>41030</c:v>
                </c:pt>
                <c:pt idx="785">
                  <c:v>41061</c:v>
                </c:pt>
                <c:pt idx="786">
                  <c:v>41091</c:v>
                </c:pt>
                <c:pt idx="787">
                  <c:v>41122</c:v>
                </c:pt>
                <c:pt idx="788">
                  <c:v>41153</c:v>
                </c:pt>
                <c:pt idx="789">
                  <c:v>41183</c:v>
                </c:pt>
                <c:pt idx="790">
                  <c:v>41214</c:v>
                </c:pt>
                <c:pt idx="791">
                  <c:v>41244</c:v>
                </c:pt>
                <c:pt idx="792">
                  <c:v>41275</c:v>
                </c:pt>
                <c:pt idx="793">
                  <c:v>41306</c:v>
                </c:pt>
                <c:pt idx="794">
                  <c:v>41334</c:v>
                </c:pt>
                <c:pt idx="795">
                  <c:v>41365</c:v>
                </c:pt>
                <c:pt idx="796">
                  <c:v>41395</c:v>
                </c:pt>
                <c:pt idx="797">
                  <c:v>41426</c:v>
                </c:pt>
                <c:pt idx="798">
                  <c:v>41456</c:v>
                </c:pt>
                <c:pt idx="799">
                  <c:v>41487</c:v>
                </c:pt>
                <c:pt idx="800">
                  <c:v>41518</c:v>
                </c:pt>
                <c:pt idx="801">
                  <c:v>41548</c:v>
                </c:pt>
                <c:pt idx="802">
                  <c:v>41579</c:v>
                </c:pt>
                <c:pt idx="803">
                  <c:v>41609</c:v>
                </c:pt>
                <c:pt idx="804">
                  <c:v>41640</c:v>
                </c:pt>
                <c:pt idx="805">
                  <c:v>41671</c:v>
                </c:pt>
                <c:pt idx="806">
                  <c:v>41699</c:v>
                </c:pt>
                <c:pt idx="807">
                  <c:v>41730</c:v>
                </c:pt>
                <c:pt idx="808">
                  <c:v>41760</c:v>
                </c:pt>
                <c:pt idx="809">
                  <c:v>41791</c:v>
                </c:pt>
                <c:pt idx="810">
                  <c:v>41821</c:v>
                </c:pt>
                <c:pt idx="811">
                  <c:v>41852</c:v>
                </c:pt>
                <c:pt idx="812">
                  <c:v>41883</c:v>
                </c:pt>
                <c:pt idx="813">
                  <c:v>41913</c:v>
                </c:pt>
                <c:pt idx="814">
                  <c:v>41944</c:v>
                </c:pt>
                <c:pt idx="815">
                  <c:v>41974</c:v>
                </c:pt>
                <c:pt idx="816">
                  <c:v>42005</c:v>
                </c:pt>
                <c:pt idx="817">
                  <c:v>42036</c:v>
                </c:pt>
                <c:pt idx="818">
                  <c:v>42064</c:v>
                </c:pt>
                <c:pt idx="819">
                  <c:v>42095</c:v>
                </c:pt>
                <c:pt idx="820">
                  <c:v>42125</c:v>
                </c:pt>
                <c:pt idx="821">
                  <c:v>42156</c:v>
                </c:pt>
                <c:pt idx="822">
                  <c:v>42186</c:v>
                </c:pt>
                <c:pt idx="823">
                  <c:v>42217</c:v>
                </c:pt>
                <c:pt idx="824">
                  <c:v>42248</c:v>
                </c:pt>
                <c:pt idx="825">
                  <c:v>42278</c:v>
                </c:pt>
                <c:pt idx="826">
                  <c:v>42309</c:v>
                </c:pt>
                <c:pt idx="827">
                  <c:v>42339</c:v>
                </c:pt>
                <c:pt idx="828">
                  <c:v>42370</c:v>
                </c:pt>
                <c:pt idx="829">
                  <c:v>42401</c:v>
                </c:pt>
                <c:pt idx="830">
                  <c:v>42430</c:v>
                </c:pt>
                <c:pt idx="831">
                  <c:v>42461</c:v>
                </c:pt>
                <c:pt idx="832">
                  <c:v>42491</c:v>
                </c:pt>
                <c:pt idx="833">
                  <c:v>42522</c:v>
                </c:pt>
                <c:pt idx="834">
                  <c:v>42552</c:v>
                </c:pt>
                <c:pt idx="835">
                  <c:v>42583</c:v>
                </c:pt>
                <c:pt idx="836">
                  <c:v>42614</c:v>
                </c:pt>
                <c:pt idx="837">
                  <c:v>42644</c:v>
                </c:pt>
                <c:pt idx="838">
                  <c:v>42675</c:v>
                </c:pt>
                <c:pt idx="839">
                  <c:v>42705</c:v>
                </c:pt>
                <c:pt idx="840">
                  <c:v>42736</c:v>
                </c:pt>
                <c:pt idx="841">
                  <c:v>42767</c:v>
                </c:pt>
                <c:pt idx="842">
                  <c:v>42795</c:v>
                </c:pt>
                <c:pt idx="843">
                  <c:v>42826</c:v>
                </c:pt>
                <c:pt idx="844">
                  <c:v>42856</c:v>
                </c:pt>
                <c:pt idx="845">
                  <c:v>42887</c:v>
                </c:pt>
                <c:pt idx="846">
                  <c:v>42917</c:v>
                </c:pt>
                <c:pt idx="847">
                  <c:v>42948</c:v>
                </c:pt>
                <c:pt idx="848">
                  <c:v>42979</c:v>
                </c:pt>
                <c:pt idx="849">
                  <c:v>43009</c:v>
                </c:pt>
                <c:pt idx="850">
                  <c:v>43040</c:v>
                </c:pt>
                <c:pt idx="851">
                  <c:v>43070</c:v>
                </c:pt>
                <c:pt idx="852">
                  <c:v>43101</c:v>
                </c:pt>
                <c:pt idx="853">
                  <c:v>43132</c:v>
                </c:pt>
                <c:pt idx="854">
                  <c:v>43160</c:v>
                </c:pt>
                <c:pt idx="855">
                  <c:v>43191</c:v>
                </c:pt>
                <c:pt idx="856">
                  <c:v>43221</c:v>
                </c:pt>
                <c:pt idx="857">
                  <c:v>43252</c:v>
                </c:pt>
                <c:pt idx="858">
                  <c:v>43282</c:v>
                </c:pt>
                <c:pt idx="859">
                  <c:v>43313</c:v>
                </c:pt>
                <c:pt idx="860">
                  <c:v>43344</c:v>
                </c:pt>
                <c:pt idx="861">
                  <c:v>43374</c:v>
                </c:pt>
                <c:pt idx="862">
                  <c:v>43405</c:v>
                </c:pt>
                <c:pt idx="863">
                  <c:v>43435</c:v>
                </c:pt>
                <c:pt idx="864">
                  <c:v>43466</c:v>
                </c:pt>
                <c:pt idx="865">
                  <c:v>43497</c:v>
                </c:pt>
                <c:pt idx="866">
                  <c:v>43525</c:v>
                </c:pt>
                <c:pt idx="867">
                  <c:v>43556</c:v>
                </c:pt>
                <c:pt idx="868">
                  <c:v>43586</c:v>
                </c:pt>
                <c:pt idx="869">
                  <c:v>43617</c:v>
                </c:pt>
                <c:pt idx="870">
                  <c:v>43647</c:v>
                </c:pt>
                <c:pt idx="871">
                  <c:v>43678</c:v>
                </c:pt>
                <c:pt idx="872">
                  <c:v>43709</c:v>
                </c:pt>
                <c:pt idx="873">
                  <c:v>43739</c:v>
                </c:pt>
                <c:pt idx="874">
                  <c:v>43770</c:v>
                </c:pt>
                <c:pt idx="875">
                  <c:v>43800</c:v>
                </c:pt>
                <c:pt idx="876">
                  <c:v>43831</c:v>
                </c:pt>
                <c:pt idx="877">
                  <c:v>43862</c:v>
                </c:pt>
                <c:pt idx="878">
                  <c:v>43891</c:v>
                </c:pt>
                <c:pt idx="879">
                  <c:v>43922</c:v>
                </c:pt>
                <c:pt idx="880">
                  <c:v>43952</c:v>
                </c:pt>
                <c:pt idx="881">
                  <c:v>43983</c:v>
                </c:pt>
                <c:pt idx="882">
                  <c:v>44013</c:v>
                </c:pt>
                <c:pt idx="883">
                  <c:v>44044</c:v>
                </c:pt>
                <c:pt idx="884">
                  <c:v>44075</c:v>
                </c:pt>
                <c:pt idx="885">
                  <c:v>44105</c:v>
                </c:pt>
                <c:pt idx="886">
                  <c:v>44136</c:v>
                </c:pt>
                <c:pt idx="887">
                  <c:v>44166</c:v>
                </c:pt>
                <c:pt idx="888">
                  <c:v>44197</c:v>
                </c:pt>
                <c:pt idx="889">
                  <c:v>44228</c:v>
                </c:pt>
                <c:pt idx="890">
                  <c:v>44256</c:v>
                </c:pt>
                <c:pt idx="891">
                  <c:v>44287</c:v>
                </c:pt>
                <c:pt idx="892">
                  <c:v>44317</c:v>
                </c:pt>
                <c:pt idx="893">
                  <c:v>44348</c:v>
                </c:pt>
                <c:pt idx="894">
                  <c:v>44378</c:v>
                </c:pt>
                <c:pt idx="895">
                  <c:v>44409</c:v>
                </c:pt>
                <c:pt idx="896">
                  <c:v>44440</c:v>
                </c:pt>
                <c:pt idx="897">
                  <c:v>44470</c:v>
                </c:pt>
                <c:pt idx="898">
                  <c:v>44501</c:v>
                </c:pt>
                <c:pt idx="899">
                  <c:v>44531</c:v>
                </c:pt>
              </c:numCache>
            </c:numRef>
          </c:cat>
          <c:val>
            <c:numRef>
              <c:f>CPI!$D$5:$D$1031</c:f>
              <c:numCache>
                <c:formatCode>0.00%</c:formatCode>
                <c:ptCount val="1027"/>
                <c:pt idx="12">
                  <c:v>0.10242085661080071</c:v>
                </c:pt>
                <c:pt idx="13">
                  <c:v>9.4819611470860349E-2</c:v>
                </c:pt>
                <c:pt idx="14">
                  <c:v>6.8181818181818177E-2</c:v>
                </c:pt>
                <c:pt idx="15">
                  <c:v>8.2727272727272746E-2</c:v>
                </c:pt>
                <c:pt idx="16">
                  <c:v>9.3849658314350909E-2</c:v>
                </c:pt>
                <c:pt idx="17">
                  <c:v>9.3750000000000014E-2</c:v>
                </c:pt>
                <c:pt idx="18">
                  <c:v>9.7615834457939629E-2</c:v>
                </c:pt>
                <c:pt idx="19">
                  <c:v>9.0625000000000053E-2</c:v>
                </c:pt>
                <c:pt idx="20">
                  <c:v>6.6549912434325731E-2</c:v>
                </c:pt>
                <c:pt idx="21">
                  <c:v>6.1108686163247425E-2</c:v>
                </c:pt>
                <c:pt idx="22">
                  <c:v>4.7701647875108479E-2</c:v>
                </c:pt>
                <c:pt idx="23">
                  <c:v>2.7338744126441716E-2</c:v>
                </c:pt>
                <c:pt idx="24">
                  <c:v>1.3935810810810889E-2</c:v>
                </c:pt>
                <c:pt idx="25">
                  <c:v>1.0139416983523381E-2</c:v>
                </c:pt>
                <c:pt idx="26">
                  <c:v>1.7446808510638304E-2</c:v>
                </c:pt>
                <c:pt idx="27">
                  <c:v>4.1981528127624443E-3</c:v>
                </c:pt>
                <c:pt idx="28">
                  <c:v>-4.1649312786339616E-3</c:v>
                </c:pt>
                <c:pt idx="29">
                  <c:v>-9.5238095238093946E-3</c:v>
                </c:pt>
                <c:pt idx="30">
                  <c:v>-2.8688524590163907E-2</c:v>
                </c:pt>
                <c:pt idx="31">
                  <c:v>-2.9881293491608694E-2</c:v>
                </c:pt>
                <c:pt idx="32">
                  <c:v>-2.5041050903119845E-2</c:v>
                </c:pt>
                <c:pt idx="33">
                  <c:v>-2.632661456190856E-2</c:v>
                </c:pt>
                <c:pt idx="34">
                  <c:v>-1.9039735099337783E-2</c:v>
                </c:pt>
                <c:pt idx="35">
                  <c:v>-1.8295218295218348E-2</c:v>
                </c:pt>
                <c:pt idx="36">
                  <c:v>-2.0824656393169511E-2</c:v>
                </c:pt>
                <c:pt idx="37">
                  <c:v>-1.2547051442910946E-2</c:v>
                </c:pt>
                <c:pt idx="38">
                  <c:v>-1.1292346298619806E-2</c:v>
                </c:pt>
                <c:pt idx="39">
                  <c:v>-1.128762541806033E-2</c:v>
                </c:pt>
                <c:pt idx="40">
                  <c:v>-5.8552906733584514E-3</c:v>
                </c:pt>
                <c:pt idx="41">
                  <c:v>-1.672240802675698E-3</c:v>
                </c:pt>
                <c:pt idx="42">
                  <c:v>1.5611814345991603E-2</c:v>
                </c:pt>
                <c:pt idx="43">
                  <c:v>2.1097046413502109E-2</c:v>
                </c:pt>
                <c:pt idx="44">
                  <c:v>2.4842105263157888E-2</c:v>
                </c:pt>
                <c:pt idx="45">
                  <c:v>3.5065483734685182E-2</c:v>
                </c:pt>
                <c:pt idx="46">
                  <c:v>3.7974683544303889E-2</c:v>
                </c:pt>
                <c:pt idx="47">
                  <c:v>5.8026260059296952E-2</c:v>
                </c:pt>
                <c:pt idx="48">
                  <c:v>7.9540621012335069E-2</c:v>
                </c:pt>
                <c:pt idx="49">
                  <c:v>9.4027954256670862E-2</c:v>
                </c:pt>
                <c:pt idx="50">
                  <c:v>9.4754653130287581E-2</c:v>
                </c:pt>
                <c:pt idx="51">
                  <c:v>9.5983086680761234E-2</c:v>
                </c:pt>
                <c:pt idx="52">
                  <c:v>9.3395035759360492E-2</c:v>
                </c:pt>
                <c:pt idx="53">
                  <c:v>8.5845896147403719E-2</c:v>
                </c:pt>
                <c:pt idx="54">
                  <c:v>7.6443705857914407E-2</c:v>
                </c:pt>
                <c:pt idx="55">
                  <c:v>6.859504132231406E-2</c:v>
                </c:pt>
                <c:pt idx="56">
                  <c:v>6.943303204601485E-2</c:v>
                </c:pt>
                <c:pt idx="57">
                  <c:v>6.7755102040816334E-2</c:v>
                </c:pt>
                <c:pt idx="58">
                  <c:v>6.9918699186991826E-2</c:v>
                </c:pt>
                <c:pt idx="59">
                  <c:v>5.9647718174539566E-2</c:v>
                </c:pt>
                <c:pt idx="60">
                  <c:v>4.215918045705281E-2</c:v>
                </c:pt>
                <c:pt idx="61">
                  <c:v>2.2454510259388383E-2</c:v>
                </c:pt>
                <c:pt idx="62">
                  <c:v>1.9706336939721854E-2</c:v>
                </c:pt>
                <c:pt idx="63">
                  <c:v>2.0833333333333297E-2</c:v>
                </c:pt>
                <c:pt idx="64">
                  <c:v>1.8468641785302057E-2</c:v>
                </c:pt>
                <c:pt idx="65">
                  <c:v>2.313922097956041E-2</c:v>
                </c:pt>
                <c:pt idx="66">
                  <c:v>2.9718255499807007E-2</c:v>
                </c:pt>
                <c:pt idx="67">
                  <c:v>3.2095901005413839E-2</c:v>
                </c:pt>
                <c:pt idx="68">
                  <c:v>2.3050326546292656E-2</c:v>
                </c:pt>
                <c:pt idx="69">
                  <c:v>2.0259938837920533E-2</c:v>
                </c:pt>
                <c:pt idx="70">
                  <c:v>1.4057750759878458E-2</c:v>
                </c:pt>
                <c:pt idx="71">
                  <c:v>9.0668681526256886E-3</c:v>
                </c:pt>
                <c:pt idx="72">
                  <c:v>7.1833648393195195E-3</c:v>
                </c:pt>
                <c:pt idx="73">
                  <c:v>6.8156001514577706E-3</c:v>
                </c:pt>
                <c:pt idx="74">
                  <c:v>9.0943539219400689E-3</c:v>
                </c:pt>
                <c:pt idx="75">
                  <c:v>8.6923658352229937E-3</c:v>
                </c:pt>
                <c:pt idx="76">
                  <c:v>8.6890819795995625E-3</c:v>
                </c:pt>
                <c:pt idx="77">
                  <c:v>9.0463626083678254E-3</c:v>
                </c:pt>
                <c:pt idx="78">
                  <c:v>4.1229385307346112E-3</c:v>
                </c:pt>
                <c:pt idx="79">
                  <c:v>5.9947545897339879E-3</c:v>
                </c:pt>
                <c:pt idx="80">
                  <c:v>9.7634247089748993E-3</c:v>
                </c:pt>
                <c:pt idx="81">
                  <c:v>9.7414762083176468E-3</c:v>
                </c:pt>
                <c:pt idx="82">
                  <c:v>5.9947545897339879E-3</c:v>
                </c:pt>
                <c:pt idx="83">
                  <c:v>5.9902658180456805E-3</c:v>
                </c:pt>
                <c:pt idx="84">
                  <c:v>1.1261261261261288E-2</c:v>
                </c:pt>
                <c:pt idx="85">
                  <c:v>1.5043249341857788E-2</c:v>
                </c:pt>
                <c:pt idx="86">
                  <c:v>1.1265490048817151E-2</c:v>
                </c:pt>
                <c:pt idx="87">
                  <c:v>6.3694267515922868E-3</c:v>
                </c:pt>
                <c:pt idx="88">
                  <c:v>8.6142322097378446E-3</c:v>
                </c:pt>
                <c:pt idx="89">
                  <c:v>6.350392230108394E-3</c:v>
                </c:pt>
                <c:pt idx="90">
                  <c:v>2.6129152668906415E-3</c:v>
                </c:pt>
                <c:pt idx="91">
                  <c:v>0</c:v>
                </c:pt>
                <c:pt idx="92">
                  <c:v>-2.9750836742284065E-3</c:v>
                </c:pt>
                <c:pt idx="93">
                  <c:v>-8.534322820037122E-3</c:v>
                </c:pt>
                <c:pt idx="94">
                  <c:v>-2.6070763500931201E-3</c:v>
                </c:pt>
                <c:pt idx="95">
                  <c:v>-3.7216226274656276E-3</c:v>
                </c:pt>
                <c:pt idx="96">
                  <c:v>-6.3103192279139455E-3</c:v>
                </c:pt>
                <c:pt idx="97">
                  <c:v>-6.298629121896931E-3</c:v>
                </c:pt>
                <c:pt idx="98">
                  <c:v>-5.1986632008912204E-3</c:v>
                </c:pt>
                <c:pt idx="99">
                  <c:v>-2.6061057334326241E-3</c:v>
                </c:pt>
                <c:pt idx="100">
                  <c:v>-5.9413293724470901E-3</c:v>
                </c:pt>
                <c:pt idx="101">
                  <c:v>-8.5374907201187979E-3</c:v>
                </c:pt>
                <c:pt idx="102">
                  <c:v>-3.7230081906179401E-3</c:v>
                </c:pt>
                <c:pt idx="103">
                  <c:v>-4.8417132216015844E-3</c:v>
                </c:pt>
                <c:pt idx="104">
                  <c:v>1.4919806042522454E-3</c:v>
                </c:pt>
                <c:pt idx="105">
                  <c:v>3.7425149700599336E-3</c:v>
                </c:pt>
                <c:pt idx="106">
                  <c:v>3.734129947722101E-3</c:v>
                </c:pt>
                <c:pt idx="107">
                  <c:v>3.7355248412402472E-3</c:v>
                </c:pt>
                <c:pt idx="108">
                  <c:v>2.2413149047440686E-3</c:v>
                </c:pt>
                <c:pt idx="109">
                  <c:v>1.4914243102162248E-3</c:v>
                </c:pt>
                <c:pt idx="110">
                  <c:v>3.7327360955580974E-3</c:v>
                </c:pt>
                <c:pt idx="111">
                  <c:v>5.2258305337812829E-3</c:v>
                </c:pt>
                <c:pt idx="112">
                  <c:v>9.7123645872245635E-3</c:v>
                </c:pt>
                <c:pt idx="113">
                  <c:v>1.6473230999625523E-2</c:v>
                </c:pt>
                <c:pt idx="114">
                  <c:v>1.9805680119581375E-2</c:v>
                </c:pt>
                <c:pt idx="115">
                  <c:v>2.2080838323353291E-2</c:v>
                </c:pt>
                <c:pt idx="116">
                  <c:v>1.8621973929236497E-2</c:v>
                </c:pt>
                <c:pt idx="117">
                  <c:v>2.5727069351230474E-2</c:v>
                </c:pt>
                <c:pt idx="118">
                  <c:v>2.3437500000000097E-2</c:v>
                </c:pt>
                <c:pt idx="119">
                  <c:v>2.8284331968738294E-2</c:v>
                </c:pt>
                <c:pt idx="120">
                  <c:v>3.1308237048080639E-2</c:v>
                </c:pt>
                <c:pt idx="121">
                  <c:v>3.4996276991809433E-2</c:v>
                </c:pt>
                <c:pt idx="122">
                  <c:v>3.6072889550018548E-2</c:v>
                </c:pt>
                <c:pt idx="123">
                  <c:v>3.7133308577794281E-2</c:v>
                </c:pt>
                <c:pt idx="124">
                  <c:v>3.588605253422119E-2</c:v>
                </c:pt>
                <c:pt idx="125">
                  <c:v>3.5359116022099478E-2</c:v>
                </c:pt>
                <c:pt idx="126">
                  <c:v>3.297911322828883E-2</c:v>
                </c:pt>
                <c:pt idx="127">
                  <c:v>3.5518125228853989E-2</c:v>
                </c:pt>
                <c:pt idx="128">
                  <c:v>3.5466179159049316E-2</c:v>
                </c:pt>
                <c:pt idx="129">
                  <c:v>2.9443838604143898E-2</c:v>
                </c:pt>
                <c:pt idx="130">
                  <c:v>3.2715376226826555E-2</c:v>
                </c:pt>
                <c:pt idx="131">
                  <c:v>3.0401737242128118E-2</c:v>
                </c:pt>
                <c:pt idx="132">
                  <c:v>3.5056017347307511E-2</c:v>
                </c:pt>
                <c:pt idx="133">
                  <c:v>3.2374100719424412E-2</c:v>
                </c:pt>
                <c:pt idx="134">
                  <c:v>3.6252692031586563E-2</c:v>
                </c:pt>
                <c:pt idx="135">
                  <c:v>3.6161833154314413E-2</c:v>
                </c:pt>
                <c:pt idx="136">
                  <c:v>3.357142857142862E-2</c:v>
                </c:pt>
                <c:pt idx="137">
                  <c:v>2.8459622909996467E-2</c:v>
                </c:pt>
                <c:pt idx="138">
                  <c:v>2.4831500532103555E-2</c:v>
                </c:pt>
                <c:pt idx="139">
                  <c:v>2.3338048090523342E-2</c:v>
                </c:pt>
                <c:pt idx="140">
                  <c:v>2.0833333333333329E-2</c:v>
                </c:pt>
                <c:pt idx="141">
                  <c:v>2.0833333333333329E-2</c:v>
                </c:pt>
                <c:pt idx="142">
                  <c:v>1.9007391763463537E-2</c:v>
                </c:pt>
                <c:pt idx="143">
                  <c:v>1.7562346329469618E-2</c:v>
                </c:pt>
                <c:pt idx="144">
                  <c:v>1.2918994413407856E-2</c:v>
                </c:pt>
                <c:pt idx="145">
                  <c:v>1.0452961672473893E-2</c:v>
                </c:pt>
                <c:pt idx="146">
                  <c:v>3.4638032559749865E-3</c:v>
                </c:pt>
                <c:pt idx="147">
                  <c:v>1.3821700069108205E-3</c:v>
                </c:pt>
                <c:pt idx="148">
                  <c:v>3.4554250172770511E-3</c:v>
                </c:pt>
                <c:pt idx="149">
                  <c:v>6.9180214458664574E-3</c:v>
                </c:pt>
                <c:pt idx="150">
                  <c:v>8.9996538594668742E-3</c:v>
                </c:pt>
                <c:pt idx="151">
                  <c:v>8.2930200414650466E-3</c:v>
                </c:pt>
                <c:pt idx="152">
                  <c:v>1.1760636457973015E-2</c:v>
                </c:pt>
                <c:pt idx="153">
                  <c:v>1.5219647180906305E-2</c:v>
                </c:pt>
                <c:pt idx="154">
                  <c:v>1.3816925734024254E-2</c:v>
                </c:pt>
                <c:pt idx="155">
                  <c:v>1.5188125647221308E-2</c:v>
                </c:pt>
                <c:pt idx="156">
                  <c:v>1.2409513960703186E-2</c:v>
                </c:pt>
                <c:pt idx="157">
                  <c:v>1.4137931034482763E-2</c:v>
                </c:pt>
                <c:pt idx="158">
                  <c:v>1.5188125647221308E-2</c:v>
                </c:pt>
                <c:pt idx="159">
                  <c:v>1.9323671497584495E-2</c:v>
                </c:pt>
                <c:pt idx="160">
                  <c:v>1.8250688705234198E-2</c:v>
                </c:pt>
                <c:pt idx="161">
                  <c:v>1.7176228100309172E-2</c:v>
                </c:pt>
                <c:pt idx="162">
                  <c:v>1.3722126929674174E-2</c:v>
                </c:pt>
                <c:pt idx="163">
                  <c:v>1.4736120630568873E-2</c:v>
                </c:pt>
                <c:pt idx="164">
                  <c:v>1.2307692307692289E-2</c:v>
                </c:pt>
                <c:pt idx="165">
                  <c:v>1.3628620102214602E-2</c:v>
                </c:pt>
                <c:pt idx="166">
                  <c:v>1.4650766609880739E-2</c:v>
                </c:pt>
                <c:pt idx="167">
                  <c:v>1.3600816048962889E-2</c:v>
                </c:pt>
                <c:pt idx="168">
                  <c:v>1.6002723867892369E-2</c:v>
                </c:pt>
                <c:pt idx="169">
                  <c:v>1.4620877252635148E-2</c:v>
                </c:pt>
                <c:pt idx="170">
                  <c:v>1.4620877252635148E-2</c:v>
                </c:pt>
                <c:pt idx="171">
                  <c:v>9.1401489505754767E-3</c:v>
                </c:pt>
                <c:pt idx="172">
                  <c:v>9.1308758877240298E-3</c:v>
                </c:pt>
                <c:pt idx="173">
                  <c:v>7.7676460655184201E-3</c:v>
                </c:pt>
                <c:pt idx="174">
                  <c:v>1.2521150592216616E-2</c:v>
                </c:pt>
                <c:pt idx="175">
                  <c:v>1.1144883485309081E-2</c:v>
                </c:pt>
                <c:pt idx="176">
                  <c:v>1.2495778453225295E-2</c:v>
                </c:pt>
                <c:pt idx="177">
                  <c:v>7.7310924369748046E-3</c:v>
                </c:pt>
                <c:pt idx="178">
                  <c:v>6.7159167226326149E-3</c:v>
                </c:pt>
                <c:pt idx="179">
                  <c:v>6.7091580006710116E-3</c:v>
                </c:pt>
                <c:pt idx="180">
                  <c:v>6.7024128686326836E-3</c:v>
                </c:pt>
                <c:pt idx="181">
                  <c:v>9.0482573726541407E-3</c:v>
                </c:pt>
                <c:pt idx="182">
                  <c:v>1.1058981233244029E-2</c:v>
                </c:pt>
                <c:pt idx="183">
                  <c:v>1.3418316001341904E-2</c:v>
                </c:pt>
                <c:pt idx="184">
                  <c:v>1.3404825737265367E-2</c:v>
                </c:pt>
                <c:pt idx="185">
                  <c:v>1.2399463806970542E-2</c:v>
                </c:pt>
                <c:pt idx="186">
                  <c:v>1.0026737967914343E-2</c:v>
                </c:pt>
                <c:pt idx="187">
                  <c:v>1.1356045424181692E-2</c:v>
                </c:pt>
                <c:pt idx="188">
                  <c:v>1.4676450967311584E-2</c:v>
                </c:pt>
                <c:pt idx="189">
                  <c:v>1.3342228152101353E-2</c:v>
                </c:pt>
                <c:pt idx="190">
                  <c:v>1.3342228152101353E-2</c:v>
                </c:pt>
                <c:pt idx="191">
                  <c:v>1.2329223592135868E-2</c:v>
                </c:pt>
                <c:pt idx="192">
                  <c:v>1.3315579227696476E-2</c:v>
                </c:pt>
                <c:pt idx="193">
                  <c:v>1.2288276320159448E-2</c:v>
                </c:pt>
                <c:pt idx="194">
                  <c:v>1.1269472986410336E-2</c:v>
                </c:pt>
                <c:pt idx="195">
                  <c:v>8.9374379344587737E-3</c:v>
                </c:pt>
                <c:pt idx="196">
                  <c:v>8.9285714285715322E-3</c:v>
                </c:pt>
                <c:pt idx="197">
                  <c:v>1.324064879179075E-2</c:v>
                </c:pt>
                <c:pt idx="198">
                  <c:v>1.5552614162806169E-2</c:v>
                </c:pt>
                <c:pt idx="199">
                  <c:v>1.5521796565389658E-2</c:v>
                </c:pt>
                <c:pt idx="200">
                  <c:v>9.8619329388559222E-3</c:v>
                </c:pt>
                <c:pt idx="201">
                  <c:v>1.2179065174456914E-2</c:v>
                </c:pt>
                <c:pt idx="202">
                  <c:v>1.316655694535886E-2</c:v>
                </c:pt>
                <c:pt idx="203">
                  <c:v>1.6458196181698487E-2</c:v>
                </c:pt>
                <c:pt idx="204">
                  <c:v>1.6425755584756899E-2</c:v>
                </c:pt>
                <c:pt idx="205">
                  <c:v>1.4107611548556422E-2</c:v>
                </c:pt>
                <c:pt idx="206">
                  <c:v>1.4093739757456562E-2</c:v>
                </c:pt>
                <c:pt idx="207">
                  <c:v>1.5419947506561641E-2</c:v>
                </c:pt>
                <c:pt idx="208">
                  <c:v>1.5404785316289703E-2</c:v>
                </c:pt>
                <c:pt idx="209">
                  <c:v>1.3067624959163741E-2</c:v>
                </c:pt>
                <c:pt idx="210">
                  <c:v>1.0752688172042954E-2</c:v>
                </c:pt>
                <c:pt idx="211">
                  <c:v>9.7560975609756323E-3</c:v>
                </c:pt>
                <c:pt idx="212">
                  <c:v>1.1718749999999983E-2</c:v>
                </c:pt>
                <c:pt idx="213">
                  <c:v>1.2032520325203284E-2</c:v>
                </c:pt>
                <c:pt idx="214">
                  <c:v>1.3970110461338522E-2</c:v>
                </c:pt>
                <c:pt idx="215">
                  <c:v>1.1981865284974125E-2</c:v>
                </c:pt>
                <c:pt idx="216">
                  <c:v>1.0989010989010985E-2</c:v>
                </c:pt>
                <c:pt idx="217">
                  <c:v>1.1970236169524457E-2</c:v>
                </c:pt>
                <c:pt idx="218">
                  <c:v>1.1958629605688347E-2</c:v>
                </c:pt>
                <c:pt idx="219">
                  <c:v>1.3893376413570266E-2</c:v>
                </c:pt>
                <c:pt idx="220">
                  <c:v>1.6139444803098774E-2</c:v>
                </c:pt>
                <c:pt idx="221">
                  <c:v>1.9348597226700993E-2</c:v>
                </c:pt>
                <c:pt idx="222">
                  <c:v>1.8052869116698862E-2</c:v>
                </c:pt>
                <c:pt idx="223">
                  <c:v>1.610305958132045E-2</c:v>
                </c:pt>
                <c:pt idx="224">
                  <c:v>1.7374517374517461E-2</c:v>
                </c:pt>
                <c:pt idx="225">
                  <c:v>1.7030848329048765E-2</c:v>
                </c:pt>
                <c:pt idx="226">
                  <c:v>1.7302146747837203E-2</c:v>
                </c:pt>
                <c:pt idx="227">
                  <c:v>1.9200000000000047E-2</c:v>
                </c:pt>
                <c:pt idx="228">
                  <c:v>1.9181585677749292E-2</c:v>
                </c:pt>
                <c:pt idx="229">
                  <c:v>2.557544757033239E-2</c:v>
                </c:pt>
                <c:pt idx="230">
                  <c:v>2.7786649632705239E-2</c:v>
                </c:pt>
                <c:pt idx="231">
                  <c:v>2.8680688336520144E-2</c:v>
                </c:pt>
                <c:pt idx="232">
                  <c:v>2.7636594663278304E-2</c:v>
                </c:pt>
                <c:pt idx="233">
                  <c:v>2.4359379943056095E-2</c:v>
                </c:pt>
                <c:pt idx="234">
                  <c:v>2.7549081697276902E-2</c:v>
                </c:pt>
                <c:pt idx="235">
                  <c:v>3.48652931854199E-2</c:v>
                </c:pt>
                <c:pt idx="236">
                  <c:v>3.5736875395319383E-2</c:v>
                </c:pt>
                <c:pt idx="237">
                  <c:v>3.7914691943128055E-2</c:v>
                </c:pt>
                <c:pt idx="238">
                  <c:v>3.5590551181102444E-2</c:v>
                </c:pt>
                <c:pt idx="239">
                  <c:v>3.359497645211932E-2</c:v>
                </c:pt>
                <c:pt idx="240">
                  <c:v>3.1994981179422823E-2</c:v>
                </c:pt>
                <c:pt idx="241">
                  <c:v>2.8678304239401552E-2</c:v>
                </c:pt>
                <c:pt idx="242">
                  <c:v>2.548166563082661E-2</c:v>
                </c:pt>
                <c:pt idx="243">
                  <c:v>2.5402726146220578E-2</c:v>
                </c:pt>
                <c:pt idx="244">
                  <c:v>2.3183925811437401E-2</c:v>
                </c:pt>
                <c:pt idx="245">
                  <c:v>2.8412600370598968E-2</c:v>
                </c:pt>
                <c:pt idx="246">
                  <c:v>2.9275808936825753E-2</c:v>
                </c:pt>
                <c:pt idx="247">
                  <c:v>2.6033690658499278E-2</c:v>
                </c:pt>
                <c:pt idx="248">
                  <c:v>2.5954198473282487E-2</c:v>
                </c:pt>
                <c:pt idx="249">
                  <c:v>2.5875190258751946E-2</c:v>
                </c:pt>
                <c:pt idx="250">
                  <c:v>3.1021897810218853E-2</c:v>
                </c:pt>
                <c:pt idx="251">
                  <c:v>3.2806804374240529E-2</c:v>
                </c:pt>
                <c:pt idx="252">
                  <c:v>3.647416413373869E-2</c:v>
                </c:pt>
                <c:pt idx="253">
                  <c:v>3.6363636363636452E-2</c:v>
                </c:pt>
                <c:pt idx="254">
                  <c:v>3.9393939393939308E-2</c:v>
                </c:pt>
                <c:pt idx="255">
                  <c:v>3.9274924471299009E-2</c:v>
                </c:pt>
                <c:pt idx="256">
                  <c:v>4.2296072507552823E-2</c:v>
                </c:pt>
                <c:pt idx="257">
                  <c:v>4.2042042042042219E-2</c:v>
                </c:pt>
                <c:pt idx="258">
                  <c:v>4.4910179640718563E-2</c:v>
                </c:pt>
                <c:pt idx="259">
                  <c:v>4.4776119402985072E-2</c:v>
                </c:pt>
                <c:pt idx="260">
                  <c:v>4.4642857142857144E-2</c:v>
                </c:pt>
                <c:pt idx="261">
                  <c:v>4.747774480712149E-2</c:v>
                </c:pt>
                <c:pt idx="262">
                  <c:v>4.4247787610619468E-2</c:v>
                </c:pt>
                <c:pt idx="263">
                  <c:v>4.7058823529411806E-2</c:v>
                </c:pt>
                <c:pt idx="264">
                  <c:v>4.6920821114369543E-2</c:v>
                </c:pt>
                <c:pt idx="265">
                  <c:v>4.6783625730993983E-2</c:v>
                </c:pt>
                <c:pt idx="266">
                  <c:v>5.2478134110787299E-2</c:v>
                </c:pt>
                <c:pt idx="267">
                  <c:v>5.5232558139534843E-2</c:v>
                </c:pt>
                <c:pt idx="268">
                  <c:v>5.5072463768115899E-2</c:v>
                </c:pt>
                <c:pt idx="269">
                  <c:v>5.475504322766566E-2</c:v>
                </c:pt>
                <c:pt idx="270">
                  <c:v>5.4441260744985634E-2</c:v>
                </c:pt>
                <c:pt idx="271">
                  <c:v>5.4285714285714243E-2</c:v>
                </c:pt>
                <c:pt idx="272">
                  <c:v>5.6980056980056981E-2</c:v>
                </c:pt>
                <c:pt idx="273">
                  <c:v>5.6657223796034002E-2</c:v>
                </c:pt>
                <c:pt idx="274">
                  <c:v>5.9322033898305128E-2</c:v>
                </c:pt>
                <c:pt idx="275">
                  <c:v>5.898876404494386E-2</c:v>
                </c:pt>
                <c:pt idx="276">
                  <c:v>6.1624649859943856E-2</c:v>
                </c:pt>
                <c:pt idx="277">
                  <c:v>6.4245810055866048E-2</c:v>
                </c:pt>
                <c:pt idx="278">
                  <c:v>6.0941828254847522E-2</c:v>
                </c:pt>
                <c:pt idx="279">
                  <c:v>6.0606060606060691E-2</c:v>
                </c:pt>
                <c:pt idx="280">
                  <c:v>6.0439560439560523E-2</c:v>
                </c:pt>
                <c:pt idx="281">
                  <c:v>6.0109289617486218E-2</c:v>
                </c:pt>
                <c:pt idx="282">
                  <c:v>5.7065217391304393E-2</c:v>
                </c:pt>
                <c:pt idx="283">
                  <c:v>5.6910569105691096E-2</c:v>
                </c:pt>
                <c:pt idx="284">
                  <c:v>5.6603773584905696E-2</c:v>
                </c:pt>
                <c:pt idx="285">
                  <c:v>5.630026809651479E-2</c:v>
                </c:pt>
                <c:pt idx="286">
                  <c:v>5.6000000000000036E-2</c:v>
                </c:pt>
                <c:pt idx="287">
                  <c:v>5.5702917771883131E-2</c:v>
                </c:pt>
                <c:pt idx="288">
                  <c:v>5.2770448548812667E-2</c:v>
                </c:pt>
                <c:pt idx="289">
                  <c:v>4.7244094488188899E-2</c:v>
                </c:pt>
                <c:pt idx="290">
                  <c:v>4.4386422976501382E-2</c:v>
                </c:pt>
                <c:pt idx="291">
                  <c:v>4.1558441558441593E-2</c:v>
                </c:pt>
                <c:pt idx="292">
                  <c:v>4.4041450777201958E-2</c:v>
                </c:pt>
                <c:pt idx="293">
                  <c:v>4.3814432989690795E-2</c:v>
                </c:pt>
                <c:pt idx="294">
                  <c:v>4.370179948586126E-2</c:v>
                </c:pt>
                <c:pt idx="295">
                  <c:v>4.3589743589743664E-2</c:v>
                </c:pt>
                <c:pt idx="296">
                  <c:v>4.0816326530612096E-2</c:v>
                </c:pt>
                <c:pt idx="297">
                  <c:v>3.8071065989847719E-2</c:v>
                </c:pt>
                <c:pt idx="298">
                  <c:v>3.5353535353535318E-2</c:v>
                </c:pt>
                <c:pt idx="299">
                  <c:v>3.266331658291468E-2</c:v>
                </c:pt>
                <c:pt idx="300">
                  <c:v>3.2581453634085322E-2</c:v>
                </c:pt>
                <c:pt idx="301">
                  <c:v>3.7593984962406013E-2</c:v>
                </c:pt>
                <c:pt idx="302">
                  <c:v>3.4999999999999962E-2</c:v>
                </c:pt>
                <c:pt idx="303">
                  <c:v>3.4912718204488741E-2</c:v>
                </c:pt>
                <c:pt idx="304">
                  <c:v>3.2258064516129142E-2</c:v>
                </c:pt>
                <c:pt idx="305">
                  <c:v>2.96296296296297E-2</c:v>
                </c:pt>
                <c:pt idx="306">
                  <c:v>2.9556650246305313E-2</c:v>
                </c:pt>
                <c:pt idx="307">
                  <c:v>2.9484029484029377E-2</c:v>
                </c:pt>
                <c:pt idx="308">
                  <c:v>3.1862745098039325E-2</c:v>
                </c:pt>
                <c:pt idx="309">
                  <c:v>3.1784841075794726E-2</c:v>
                </c:pt>
                <c:pt idx="310">
                  <c:v>3.4146341463414602E-2</c:v>
                </c:pt>
                <c:pt idx="311">
                  <c:v>3.4063260340632569E-2</c:v>
                </c:pt>
                <c:pt idx="312">
                  <c:v>3.640776699029126E-2</c:v>
                </c:pt>
                <c:pt idx="313">
                  <c:v>3.8647342995169115E-2</c:v>
                </c:pt>
                <c:pt idx="314">
                  <c:v>4.8309178743961352E-2</c:v>
                </c:pt>
                <c:pt idx="315">
                  <c:v>5.3012048192771152E-2</c:v>
                </c:pt>
                <c:pt idx="316">
                  <c:v>5.5288461538461467E-2</c:v>
                </c:pt>
                <c:pt idx="317">
                  <c:v>5.9952038369304551E-2</c:v>
                </c:pt>
                <c:pt idx="318">
                  <c:v>5.7416267942583872E-2</c:v>
                </c:pt>
                <c:pt idx="319">
                  <c:v>7.3985680190930825E-2</c:v>
                </c:pt>
                <c:pt idx="320">
                  <c:v>7.3634204275534479E-2</c:v>
                </c:pt>
                <c:pt idx="321">
                  <c:v>8.0568720379146877E-2</c:v>
                </c:pt>
                <c:pt idx="322">
                  <c:v>8.2547169811320764E-2</c:v>
                </c:pt>
                <c:pt idx="323">
                  <c:v>8.9411764705882288E-2</c:v>
                </c:pt>
                <c:pt idx="324">
                  <c:v>9.6018735362997515E-2</c:v>
                </c:pt>
                <c:pt idx="325">
                  <c:v>9.9999999999999936E-2</c:v>
                </c:pt>
                <c:pt idx="326">
                  <c:v>0.10138248847926265</c:v>
                </c:pt>
                <c:pt idx="327">
                  <c:v>0.10068649885583521</c:v>
                </c:pt>
                <c:pt idx="328">
                  <c:v>0.10706150341685657</c:v>
                </c:pt>
                <c:pt idx="329">
                  <c:v>0.10859728506787324</c:v>
                </c:pt>
                <c:pt idx="330">
                  <c:v>0.11538461538461525</c:v>
                </c:pt>
                <c:pt idx="331">
                  <c:v>0.10888888888888885</c:v>
                </c:pt>
                <c:pt idx="332">
                  <c:v>0.11946902654867253</c:v>
                </c:pt>
                <c:pt idx="333">
                  <c:v>0.11842105263157891</c:v>
                </c:pt>
                <c:pt idx="334">
                  <c:v>0.12200435729847497</c:v>
                </c:pt>
                <c:pt idx="335">
                  <c:v>0.12095032397408211</c:v>
                </c:pt>
                <c:pt idx="336">
                  <c:v>0.11752136752136753</c:v>
                </c:pt>
                <c:pt idx="337">
                  <c:v>0.11205073995771681</c:v>
                </c:pt>
                <c:pt idx="338">
                  <c:v>0.10460251046025106</c:v>
                </c:pt>
                <c:pt idx="339">
                  <c:v>0.10187110187110184</c:v>
                </c:pt>
                <c:pt idx="340">
                  <c:v>9.2592592592592587E-2</c:v>
                </c:pt>
                <c:pt idx="341">
                  <c:v>9.1836734693877556E-2</c:v>
                </c:pt>
                <c:pt idx="342">
                  <c:v>9.533468559837735E-2</c:v>
                </c:pt>
                <c:pt idx="343">
                  <c:v>8.6172344689378844E-2</c:v>
                </c:pt>
                <c:pt idx="344">
                  <c:v>7.9051383399209488E-2</c:v>
                </c:pt>
                <c:pt idx="345">
                  <c:v>7.6470588235294096E-2</c:v>
                </c:pt>
                <c:pt idx="346">
                  <c:v>7.3786407766990234E-2</c:v>
                </c:pt>
                <c:pt idx="347">
                  <c:v>7.1290944123314118E-2</c:v>
                </c:pt>
                <c:pt idx="348">
                  <c:v>6.6921606118546847E-2</c:v>
                </c:pt>
                <c:pt idx="349">
                  <c:v>6.273764258555127E-2</c:v>
                </c:pt>
                <c:pt idx="350">
                  <c:v>6.0606060606060663E-2</c:v>
                </c:pt>
                <c:pt idx="351">
                  <c:v>5.8490566037735878E-2</c:v>
                </c:pt>
                <c:pt idx="352">
                  <c:v>6.2146892655367179E-2</c:v>
                </c:pt>
                <c:pt idx="353">
                  <c:v>5.9813084112149584E-2</c:v>
                </c:pt>
                <c:pt idx="354">
                  <c:v>5.5555555555555552E-2</c:v>
                </c:pt>
                <c:pt idx="355">
                  <c:v>5.7195571955719449E-2</c:v>
                </c:pt>
                <c:pt idx="356">
                  <c:v>5.4945054945054944E-2</c:v>
                </c:pt>
                <c:pt idx="357">
                  <c:v>5.4644808743169397E-2</c:v>
                </c:pt>
                <c:pt idx="358">
                  <c:v>5.0632911392405146E-2</c:v>
                </c:pt>
                <c:pt idx="359">
                  <c:v>5.0359712230215778E-2</c:v>
                </c:pt>
                <c:pt idx="360">
                  <c:v>5.1971326164874654E-2</c:v>
                </c:pt>
                <c:pt idx="361">
                  <c:v>6.0822898032200333E-2</c:v>
                </c:pt>
                <c:pt idx="362">
                  <c:v>6.4285714285714307E-2</c:v>
                </c:pt>
                <c:pt idx="363">
                  <c:v>6.9518716577540079E-2</c:v>
                </c:pt>
                <c:pt idx="364">
                  <c:v>6.7375886524822778E-2</c:v>
                </c:pt>
                <c:pt idx="365">
                  <c:v>6.7019400352733627E-2</c:v>
                </c:pt>
                <c:pt idx="366">
                  <c:v>6.666666666666661E-2</c:v>
                </c:pt>
                <c:pt idx="367">
                  <c:v>6.6317626527050685E-2</c:v>
                </c:pt>
                <c:pt idx="368">
                  <c:v>6.4236111111111036E-2</c:v>
                </c:pt>
                <c:pt idx="369">
                  <c:v>6.3903281519861882E-2</c:v>
                </c:pt>
                <c:pt idx="370">
                  <c:v>6.7125645438898429E-2</c:v>
                </c:pt>
                <c:pt idx="371">
                  <c:v>6.6780821917808195E-2</c:v>
                </c:pt>
                <c:pt idx="372">
                  <c:v>6.8143100511073251E-2</c:v>
                </c:pt>
                <c:pt idx="373">
                  <c:v>6.239460370994946E-2</c:v>
                </c:pt>
                <c:pt idx="374">
                  <c:v>6.3758389261744916E-2</c:v>
                </c:pt>
                <c:pt idx="375">
                  <c:v>6.4999999999999974E-2</c:v>
                </c:pt>
                <c:pt idx="376">
                  <c:v>7.1428571428571383E-2</c:v>
                </c:pt>
                <c:pt idx="377">
                  <c:v>7.43801652892562E-2</c:v>
                </c:pt>
                <c:pt idx="378">
                  <c:v>7.7302631578947414E-2</c:v>
                </c:pt>
                <c:pt idx="379">
                  <c:v>7.8559738134206289E-2</c:v>
                </c:pt>
                <c:pt idx="380">
                  <c:v>8.4828711256117503E-2</c:v>
                </c:pt>
                <c:pt idx="381">
                  <c:v>8.9285714285714163E-2</c:v>
                </c:pt>
                <c:pt idx="382">
                  <c:v>8.8709677419354843E-2</c:v>
                </c:pt>
                <c:pt idx="383">
                  <c:v>8.9887640449438339E-2</c:v>
                </c:pt>
                <c:pt idx="384">
                  <c:v>9.2503987240829297E-2</c:v>
                </c:pt>
                <c:pt idx="385">
                  <c:v>9.8412698412698452E-2</c:v>
                </c:pt>
                <c:pt idx="386">
                  <c:v>0.1025236593059938</c:v>
                </c:pt>
                <c:pt idx="387">
                  <c:v>0.10485133020344281</c:v>
                </c:pt>
                <c:pt idx="388">
                  <c:v>0.10697674418604659</c:v>
                </c:pt>
                <c:pt idx="389">
                  <c:v>0.11076923076923081</c:v>
                </c:pt>
                <c:pt idx="390">
                  <c:v>0.11450381679389313</c:v>
                </c:pt>
                <c:pt idx="391">
                  <c:v>0.11836115326251892</c:v>
                </c:pt>
                <c:pt idx="392">
                  <c:v>0.1187969924812031</c:v>
                </c:pt>
                <c:pt idx="393">
                  <c:v>0.12071535022354708</c:v>
                </c:pt>
                <c:pt idx="394">
                  <c:v>0.12592592592592591</c:v>
                </c:pt>
                <c:pt idx="395">
                  <c:v>0.13254786450662739</c:v>
                </c:pt>
                <c:pt idx="396">
                  <c:v>0.13868613138686131</c:v>
                </c:pt>
                <c:pt idx="397">
                  <c:v>0.14161849710982655</c:v>
                </c:pt>
                <c:pt idx="398">
                  <c:v>0.14592274678111569</c:v>
                </c:pt>
                <c:pt idx="399">
                  <c:v>0.1458923512747877</c:v>
                </c:pt>
                <c:pt idx="400">
                  <c:v>0.14425770308123245</c:v>
                </c:pt>
                <c:pt idx="401">
                  <c:v>0.14265927977839329</c:v>
                </c:pt>
                <c:pt idx="402">
                  <c:v>0.13150684931506842</c:v>
                </c:pt>
                <c:pt idx="403">
                  <c:v>0.12890094979647218</c:v>
                </c:pt>
                <c:pt idx="404">
                  <c:v>0.12768817204301075</c:v>
                </c:pt>
                <c:pt idx="405">
                  <c:v>0.12632978723404256</c:v>
                </c:pt>
                <c:pt idx="406">
                  <c:v>0.12631578947368413</c:v>
                </c:pt>
                <c:pt idx="407">
                  <c:v>0.1235370611183355</c:v>
                </c:pt>
                <c:pt idx="408">
                  <c:v>0.11794871794871799</c:v>
                </c:pt>
                <c:pt idx="409">
                  <c:v>0.11392405063291139</c:v>
                </c:pt>
                <c:pt idx="410">
                  <c:v>0.10611735330836455</c:v>
                </c:pt>
                <c:pt idx="411">
                  <c:v>0.10135970333745351</c:v>
                </c:pt>
                <c:pt idx="412">
                  <c:v>9.7919216646266821E-2</c:v>
                </c:pt>
                <c:pt idx="413">
                  <c:v>9.696969696969697E-2</c:v>
                </c:pt>
                <c:pt idx="414">
                  <c:v>0.10774818401937053</c:v>
                </c:pt>
                <c:pt idx="415">
                  <c:v>0.10817307692307691</c:v>
                </c:pt>
                <c:pt idx="416">
                  <c:v>0.10965435041716315</c:v>
                </c:pt>
                <c:pt idx="417">
                  <c:v>0.10271546635183001</c:v>
                </c:pt>
                <c:pt idx="418">
                  <c:v>9.5794392523364524E-2</c:v>
                </c:pt>
                <c:pt idx="419">
                  <c:v>8.9120370370370239E-2</c:v>
                </c:pt>
                <c:pt idx="420">
                  <c:v>8.2568807339449574E-2</c:v>
                </c:pt>
                <c:pt idx="421">
                  <c:v>7.6136363636363669E-2</c:v>
                </c:pt>
                <c:pt idx="422">
                  <c:v>6.8848758465011387E-2</c:v>
                </c:pt>
                <c:pt idx="423">
                  <c:v>6.6217732884399624E-2</c:v>
                </c:pt>
                <c:pt idx="424">
                  <c:v>6.9119286510590891E-2</c:v>
                </c:pt>
                <c:pt idx="425">
                  <c:v>7.18232044198895E-2</c:v>
                </c:pt>
                <c:pt idx="426">
                  <c:v>6.5573770491803282E-2</c:v>
                </c:pt>
                <c:pt idx="427">
                  <c:v>5.9652928416485895E-2</c:v>
                </c:pt>
                <c:pt idx="428">
                  <c:v>4.9409237379162287E-2</c:v>
                </c:pt>
                <c:pt idx="429">
                  <c:v>5.0321199143468824E-2</c:v>
                </c:pt>
                <c:pt idx="430">
                  <c:v>4.4776119402985107E-2</c:v>
                </c:pt>
                <c:pt idx="431">
                  <c:v>3.8257173219978839E-2</c:v>
                </c:pt>
                <c:pt idx="432">
                  <c:v>3.7076271186440676E-2</c:v>
                </c:pt>
                <c:pt idx="433">
                  <c:v>3.4846884899683177E-2</c:v>
                </c:pt>
                <c:pt idx="434">
                  <c:v>3.5902851108764428E-2</c:v>
                </c:pt>
                <c:pt idx="435">
                  <c:v>3.9999999999999973E-2</c:v>
                </c:pt>
                <c:pt idx="436">
                  <c:v>3.4410844629822697E-2</c:v>
                </c:pt>
                <c:pt idx="437">
                  <c:v>2.4742268041237171E-2</c:v>
                </c:pt>
                <c:pt idx="438">
                  <c:v>2.3589743589743559E-2</c:v>
                </c:pt>
                <c:pt idx="439">
                  <c:v>2.4564994882292645E-2</c:v>
                </c:pt>
                <c:pt idx="440">
                  <c:v>2.7635619242579353E-2</c:v>
                </c:pt>
                <c:pt idx="441">
                  <c:v>2.7522935779816543E-2</c:v>
                </c:pt>
                <c:pt idx="442">
                  <c:v>3.1632653061224432E-2</c:v>
                </c:pt>
                <c:pt idx="443">
                  <c:v>3.7871033776867992E-2</c:v>
                </c:pt>
                <c:pt idx="444">
                  <c:v>4.2900919305413572E-2</c:v>
                </c:pt>
                <c:pt idx="445">
                  <c:v>4.6938775510204027E-2</c:v>
                </c:pt>
                <c:pt idx="446">
                  <c:v>4.8929663608562809E-2</c:v>
                </c:pt>
                <c:pt idx="447">
                  <c:v>4.5546558704453441E-2</c:v>
                </c:pt>
                <c:pt idx="448">
                  <c:v>4.3346774193548356E-2</c:v>
                </c:pt>
                <c:pt idx="449">
                  <c:v>4.3259557344064357E-2</c:v>
                </c:pt>
                <c:pt idx="450">
                  <c:v>4.3086172344689352E-2</c:v>
                </c:pt>
                <c:pt idx="451">
                  <c:v>4.2957042957043071E-2</c:v>
                </c:pt>
                <c:pt idx="452">
                  <c:v>4.2828685258964112E-2</c:v>
                </c:pt>
                <c:pt idx="453">
                  <c:v>4.2658730158730132E-2</c:v>
                </c:pt>
                <c:pt idx="454">
                  <c:v>4.1543026706231487E-2</c:v>
                </c:pt>
                <c:pt idx="455">
                  <c:v>4.0433925049309608E-2</c:v>
                </c:pt>
                <c:pt idx="456">
                  <c:v>3.5259549461312524E-2</c:v>
                </c:pt>
                <c:pt idx="457">
                  <c:v>3.6062378167641358E-2</c:v>
                </c:pt>
                <c:pt idx="458">
                  <c:v>3.7900874635568425E-2</c:v>
                </c:pt>
                <c:pt idx="459">
                  <c:v>3.5818005808325296E-2</c:v>
                </c:pt>
                <c:pt idx="460">
                  <c:v>3.5748792270531425E-2</c:v>
                </c:pt>
                <c:pt idx="461">
                  <c:v>3.6644165863066507E-2</c:v>
                </c:pt>
                <c:pt idx="462">
                  <c:v>3.4582132564841585E-2</c:v>
                </c:pt>
                <c:pt idx="463">
                  <c:v>3.3524904214559385E-2</c:v>
                </c:pt>
                <c:pt idx="464">
                  <c:v>3.2473734479465055E-2</c:v>
                </c:pt>
                <c:pt idx="465">
                  <c:v>3.2350142721217945E-2</c:v>
                </c:pt>
                <c:pt idx="466">
                  <c:v>3.5137701804368496E-2</c:v>
                </c:pt>
                <c:pt idx="467">
                  <c:v>3.7914691943127965E-2</c:v>
                </c:pt>
                <c:pt idx="468">
                  <c:v>3.9735099337748367E-2</c:v>
                </c:pt>
                <c:pt idx="469">
                  <c:v>3.1984948259642577E-2</c:v>
                </c:pt>
                <c:pt idx="470">
                  <c:v>2.1535580524344542E-2</c:v>
                </c:pt>
                <c:pt idx="471">
                  <c:v>1.5887850467289747E-2</c:v>
                </c:pt>
                <c:pt idx="472">
                  <c:v>1.6791044776119375E-2</c:v>
                </c:pt>
                <c:pt idx="473">
                  <c:v>1.7674418604651215E-2</c:v>
                </c:pt>
                <c:pt idx="474">
                  <c:v>1.6713091922005544E-2</c:v>
                </c:pt>
                <c:pt idx="475">
                  <c:v>1.5755329008340951E-2</c:v>
                </c:pt>
                <c:pt idx="476">
                  <c:v>1.7576318223866842E-2</c:v>
                </c:pt>
                <c:pt idx="477">
                  <c:v>1.5668202764976984E-2</c:v>
                </c:pt>
                <c:pt idx="478">
                  <c:v>1.2844036697247759E-2</c:v>
                </c:pt>
                <c:pt idx="479">
                  <c:v>1.1872146118721436E-2</c:v>
                </c:pt>
                <c:pt idx="480">
                  <c:v>1.364877161055505E-2</c:v>
                </c:pt>
                <c:pt idx="481">
                  <c:v>1.9143117593436593E-2</c:v>
                </c:pt>
                <c:pt idx="482">
                  <c:v>2.8414298808432711E-2</c:v>
                </c:pt>
                <c:pt idx="483">
                  <c:v>3.6798528058877643E-2</c:v>
                </c:pt>
                <c:pt idx="484">
                  <c:v>3.669724770642202E-2</c:v>
                </c:pt>
                <c:pt idx="485">
                  <c:v>3.7477148080438706E-2</c:v>
                </c:pt>
                <c:pt idx="486">
                  <c:v>3.9269406392694037E-2</c:v>
                </c:pt>
                <c:pt idx="487">
                  <c:v>4.2883211678832148E-2</c:v>
                </c:pt>
                <c:pt idx="488">
                  <c:v>4.2727272727272753E-2</c:v>
                </c:pt>
                <c:pt idx="489">
                  <c:v>4.3557168784029009E-2</c:v>
                </c:pt>
                <c:pt idx="490">
                  <c:v>4.5289855072463768E-2</c:v>
                </c:pt>
                <c:pt idx="491">
                  <c:v>4.3321299638989147E-2</c:v>
                </c:pt>
                <c:pt idx="492">
                  <c:v>4.1292639138240522E-2</c:v>
                </c:pt>
                <c:pt idx="493">
                  <c:v>3.9355992844364987E-2</c:v>
                </c:pt>
                <c:pt idx="494">
                  <c:v>3.8324420677361824E-2</c:v>
                </c:pt>
                <c:pt idx="495">
                  <c:v>3.9929015084294583E-2</c:v>
                </c:pt>
                <c:pt idx="496">
                  <c:v>3.9823008849557522E-2</c:v>
                </c:pt>
                <c:pt idx="497">
                  <c:v>3.9647577092511016E-2</c:v>
                </c:pt>
                <c:pt idx="498">
                  <c:v>4.1300527240773315E-2</c:v>
                </c:pt>
                <c:pt idx="499">
                  <c:v>4.1119860017497838E-2</c:v>
                </c:pt>
                <c:pt idx="500">
                  <c:v>4.1848299912816016E-2</c:v>
                </c:pt>
                <c:pt idx="501">
                  <c:v>4.2608695652173963E-2</c:v>
                </c:pt>
                <c:pt idx="502">
                  <c:v>4.2461005199306685E-2</c:v>
                </c:pt>
                <c:pt idx="503">
                  <c:v>4.4117647058823609E-2</c:v>
                </c:pt>
                <c:pt idx="504">
                  <c:v>4.4827586206896579E-2</c:v>
                </c:pt>
                <c:pt idx="505">
                  <c:v>4.6471600688468083E-2</c:v>
                </c:pt>
                <c:pt idx="506">
                  <c:v>4.8927038626609465E-2</c:v>
                </c:pt>
                <c:pt idx="507">
                  <c:v>5.0341296928327568E-2</c:v>
                </c:pt>
                <c:pt idx="508">
                  <c:v>5.2765957446808537E-2</c:v>
                </c:pt>
                <c:pt idx="509">
                  <c:v>5.1694915254237243E-2</c:v>
                </c:pt>
                <c:pt idx="510">
                  <c:v>5.0632911392405063E-2</c:v>
                </c:pt>
                <c:pt idx="511">
                  <c:v>4.6218487394957986E-2</c:v>
                </c:pt>
                <c:pt idx="512">
                  <c:v>4.4351464435146419E-2</c:v>
                </c:pt>
                <c:pt idx="513">
                  <c:v>4.5871559633027519E-2</c:v>
                </c:pt>
                <c:pt idx="514">
                  <c:v>4.6550290939318444E-2</c:v>
                </c:pt>
                <c:pt idx="515">
                  <c:v>4.6396023198011553E-2</c:v>
                </c:pt>
                <c:pt idx="516">
                  <c:v>5.1980198019801957E-2</c:v>
                </c:pt>
                <c:pt idx="517">
                  <c:v>5.2631578947368474E-2</c:v>
                </c:pt>
                <c:pt idx="518">
                  <c:v>5.2373158756137406E-2</c:v>
                </c:pt>
                <c:pt idx="519">
                  <c:v>4.7116165718927794E-2</c:v>
                </c:pt>
                <c:pt idx="520">
                  <c:v>4.3654001616814805E-2</c:v>
                </c:pt>
                <c:pt idx="521">
                  <c:v>4.6736502820306301E-2</c:v>
                </c:pt>
                <c:pt idx="522">
                  <c:v>4.8192771084337352E-2</c:v>
                </c:pt>
                <c:pt idx="523">
                  <c:v>5.7028112449799148E-2</c:v>
                </c:pt>
                <c:pt idx="524">
                  <c:v>6.1698717948717972E-2</c:v>
                </c:pt>
                <c:pt idx="525">
                  <c:v>6.3795853269537475E-2</c:v>
                </c:pt>
                <c:pt idx="526">
                  <c:v>6.1953931691818766E-2</c:v>
                </c:pt>
                <c:pt idx="527">
                  <c:v>6.2549485352335649E-2</c:v>
                </c:pt>
                <c:pt idx="528">
                  <c:v>5.6470588235294029E-2</c:v>
                </c:pt>
                <c:pt idx="529">
                  <c:v>5.3125000000000089E-2</c:v>
                </c:pt>
                <c:pt idx="530">
                  <c:v>4.8211508553654879E-2</c:v>
                </c:pt>
                <c:pt idx="531">
                  <c:v>4.8099301784328849E-2</c:v>
                </c:pt>
                <c:pt idx="532">
                  <c:v>5.0348567002323784E-2</c:v>
                </c:pt>
                <c:pt idx="533">
                  <c:v>4.6959199384141601E-2</c:v>
                </c:pt>
                <c:pt idx="534">
                  <c:v>4.3678160919540146E-2</c:v>
                </c:pt>
                <c:pt idx="535">
                  <c:v>3.7993920972644375E-2</c:v>
                </c:pt>
                <c:pt idx="536">
                  <c:v>3.3962264150943396E-2</c:v>
                </c:pt>
                <c:pt idx="537">
                  <c:v>2.8485757121439151E-2</c:v>
                </c:pt>
                <c:pt idx="538">
                  <c:v>3.0665669409125081E-2</c:v>
                </c:pt>
                <c:pt idx="539">
                  <c:v>2.9806259314456039E-2</c:v>
                </c:pt>
                <c:pt idx="540">
                  <c:v>2.6726057906458968E-2</c:v>
                </c:pt>
                <c:pt idx="541">
                  <c:v>2.8189910979228357E-2</c:v>
                </c:pt>
                <c:pt idx="542">
                  <c:v>3.189910979228474E-2</c:v>
                </c:pt>
                <c:pt idx="543">
                  <c:v>3.1828275351591502E-2</c:v>
                </c:pt>
                <c:pt idx="544">
                  <c:v>3.0235988200589928E-2</c:v>
                </c:pt>
                <c:pt idx="545">
                  <c:v>3.0147058823529371E-2</c:v>
                </c:pt>
                <c:pt idx="546">
                  <c:v>3.1571218795888485E-2</c:v>
                </c:pt>
                <c:pt idx="547">
                  <c:v>3.0746705710102615E-2</c:v>
                </c:pt>
                <c:pt idx="548">
                  <c:v>2.9927007299270031E-2</c:v>
                </c:pt>
                <c:pt idx="549">
                  <c:v>3.2798833819241986E-2</c:v>
                </c:pt>
                <c:pt idx="550">
                  <c:v>3.1204644412191455E-2</c:v>
                </c:pt>
                <c:pt idx="551">
                  <c:v>2.9667149059334465E-2</c:v>
                </c:pt>
                <c:pt idx="552">
                  <c:v>3.2537960954446853E-2</c:v>
                </c:pt>
                <c:pt idx="553">
                  <c:v>3.2467532467532471E-2</c:v>
                </c:pt>
                <c:pt idx="554">
                  <c:v>3.0194104960460225E-2</c:v>
                </c:pt>
                <c:pt idx="555">
                  <c:v>3.1563845050215249E-2</c:v>
                </c:pt>
                <c:pt idx="556">
                  <c:v>3.2211882605583393E-2</c:v>
                </c:pt>
                <c:pt idx="557">
                  <c:v>2.9978586723768859E-2</c:v>
                </c:pt>
                <c:pt idx="558">
                  <c:v>2.8469750889679714E-2</c:v>
                </c:pt>
                <c:pt idx="559">
                  <c:v>2.8409090909090908E-2</c:v>
                </c:pt>
                <c:pt idx="560">
                  <c:v>2.7639971651311167E-2</c:v>
                </c:pt>
                <c:pt idx="561">
                  <c:v>2.7522935779816557E-2</c:v>
                </c:pt>
                <c:pt idx="562">
                  <c:v>2.7445460942997931E-2</c:v>
                </c:pt>
                <c:pt idx="563">
                  <c:v>2.8109627547434995E-2</c:v>
                </c:pt>
                <c:pt idx="564">
                  <c:v>2.4509803921568627E-2</c:v>
                </c:pt>
                <c:pt idx="565">
                  <c:v>2.5157232704402475E-2</c:v>
                </c:pt>
                <c:pt idx="566">
                  <c:v>2.6517794836008253E-2</c:v>
                </c:pt>
                <c:pt idx="567">
                  <c:v>2.3643949930458812E-2</c:v>
                </c:pt>
                <c:pt idx="568">
                  <c:v>2.2884882108183159E-2</c:v>
                </c:pt>
                <c:pt idx="569">
                  <c:v>2.4948024948024908E-2</c:v>
                </c:pt>
                <c:pt idx="570">
                  <c:v>2.6989619377162669E-2</c:v>
                </c:pt>
                <c:pt idx="571">
                  <c:v>2.9005524861878372E-2</c:v>
                </c:pt>
                <c:pt idx="572">
                  <c:v>2.9655172413793181E-2</c:v>
                </c:pt>
                <c:pt idx="573">
                  <c:v>2.609890109890118E-2</c:v>
                </c:pt>
                <c:pt idx="574">
                  <c:v>2.602739726027405E-2</c:v>
                </c:pt>
                <c:pt idx="575">
                  <c:v>2.5974025974025854E-2</c:v>
                </c:pt>
                <c:pt idx="576">
                  <c:v>2.8708133971291787E-2</c:v>
                </c:pt>
                <c:pt idx="577">
                  <c:v>2.8629856850715864E-2</c:v>
                </c:pt>
                <c:pt idx="578">
                  <c:v>2.7872195785180111E-2</c:v>
                </c:pt>
                <c:pt idx="579">
                  <c:v>3.125000000000016E-2</c:v>
                </c:pt>
                <c:pt idx="580">
                  <c:v>3.1186440677966065E-2</c:v>
                </c:pt>
                <c:pt idx="581">
                  <c:v>3.0425963488843813E-2</c:v>
                </c:pt>
                <c:pt idx="582">
                  <c:v>2.8301886792452751E-2</c:v>
                </c:pt>
                <c:pt idx="583">
                  <c:v>2.6174496644295341E-2</c:v>
                </c:pt>
                <c:pt idx="584">
                  <c:v>2.5452109845947639E-2</c:v>
                </c:pt>
                <c:pt idx="585">
                  <c:v>2.7443105756358728E-2</c:v>
                </c:pt>
                <c:pt idx="586">
                  <c:v>2.6034712950600648E-2</c:v>
                </c:pt>
                <c:pt idx="587">
                  <c:v>2.5316455696202608E-2</c:v>
                </c:pt>
                <c:pt idx="588">
                  <c:v>2.790697674418597E-2</c:v>
                </c:pt>
                <c:pt idx="589">
                  <c:v>2.7170311464546019E-2</c:v>
                </c:pt>
                <c:pt idx="590">
                  <c:v>2.8439153439153517E-2</c:v>
                </c:pt>
                <c:pt idx="591">
                  <c:v>2.832674571804995E-2</c:v>
                </c:pt>
                <c:pt idx="592">
                  <c:v>2.8270874424720656E-2</c:v>
                </c:pt>
                <c:pt idx="593">
                  <c:v>2.8215223097112749E-2</c:v>
                </c:pt>
                <c:pt idx="594">
                  <c:v>2.8833551769331625E-2</c:v>
                </c:pt>
                <c:pt idx="595">
                  <c:v>2.8122956180510025E-2</c:v>
                </c:pt>
                <c:pt idx="596">
                  <c:v>3.0045721750489841E-2</c:v>
                </c:pt>
                <c:pt idx="597">
                  <c:v>3.0618892508143248E-2</c:v>
                </c:pt>
                <c:pt idx="598">
                  <c:v>3.2530904359141188E-2</c:v>
                </c:pt>
                <c:pt idx="599">
                  <c:v>3.3788174139051254E-2</c:v>
                </c:pt>
                <c:pt idx="600">
                  <c:v>3.0381383322559907E-2</c:v>
                </c:pt>
                <c:pt idx="601">
                  <c:v>3.0322580645161218E-2</c:v>
                </c:pt>
                <c:pt idx="602">
                  <c:v>2.7652733118971134E-2</c:v>
                </c:pt>
                <c:pt idx="603">
                  <c:v>2.4343369634849531E-2</c:v>
                </c:pt>
                <c:pt idx="604">
                  <c:v>2.2378516624040921E-2</c:v>
                </c:pt>
                <c:pt idx="605">
                  <c:v>2.2335673261008299E-2</c:v>
                </c:pt>
                <c:pt idx="606">
                  <c:v>2.165605095541405E-2</c:v>
                </c:pt>
                <c:pt idx="607">
                  <c:v>2.2900763358778772E-2</c:v>
                </c:pt>
                <c:pt idx="608">
                  <c:v>2.2194039315155359E-2</c:v>
                </c:pt>
                <c:pt idx="609">
                  <c:v>2.0859671302149253E-2</c:v>
                </c:pt>
                <c:pt idx="610">
                  <c:v>1.890359168241966E-2</c:v>
                </c:pt>
                <c:pt idx="611">
                  <c:v>1.6970458830924056E-2</c:v>
                </c:pt>
                <c:pt idx="612">
                  <c:v>1.6311166875784155E-2</c:v>
                </c:pt>
                <c:pt idx="613">
                  <c:v>1.4402003757044531E-2</c:v>
                </c:pt>
                <c:pt idx="614">
                  <c:v>1.3767209011264008E-2</c:v>
                </c:pt>
                <c:pt idx="615">
                  <c:v>1.4383989993745985E-2</c:v>
                </c:pt>
                <c:pt idx="616">
                  <c:v>1.6885553470919253E-2</c:v>
                </c:pt>
                <c:pt idx="617">
                  <c:v>1.6229712858926486E-2</c:v>
                </c:pt>
                <c:pt idx="618">
                  <c:v>1.7456359102244284E-2</c:v>
                </c:pt>
                <c:pt idx="619">
                  <c:v>1.6169154228855686E-2</c:v>
                </c:pt>
                <c:pt idx="620">
                  <c:v>1.426799007444176E-2</c:v>
                </c:pt>
                <c:pt idx="621">
                  <c:v>1.4860681114551119E-2</c:v>
                </c:pt>
                <c:pt idx="622">
                  <c:v>1.4842300556586308E-2</c:v>
                </c:pt>
                <c:pt idx="623">
                  <c:v>1.6069221260815787E-2</c:v>
                </c:pt>
                <c:pt idx="624">
                  <c:v>1.6666666666666597E-2</c:v>
                </c:pt>
                <c:pt idx="625">
                  <c:v>1.6666666666666597E-2</c:v>
                </c:pt>
                <c:pt idx="626">
                  <c:v>1.7283950617284022E-2</c:v>
                </c:pt>
                <c:pt idx="627">
                  <c:v>2.2811344019728837E-2</c:v>
                </c:pt>
                <c:pt idx="628">
                  <c:v>2.0910209102091057E-2</c:v>
                </c:pt>
                <c:pt idx="629">
                  <c:v>1.9656019656019586E-2</c:v>
                </c:pt>
                <c:pt idx="630">
                  <c:v>2.1446078431372549E-2</c:v>
                </c:pt>
                <c:pt idx="631">
                  <c:v>2.2643818849449136E-2</c:v>
                </c:pt>
                <c:pt idx="632">
                  <c:v>2.6299694189602516E-2</c:v>
                </c:pt>
                <c:pt idx="633">
                  <c:v>2.5625381330079248E-2</c:v>
                </c:pt>
                <c:pt idx="634">
                  <c:v>2.6203534430225543E-2</c:v>
                </c:pt>
                <c:pt idx="635">
                  <c:v>2.6763990267639936E-2</c:v>
                </c:pt>
                <c:pt idx="636">
                  <c:v>2.792956891317561E-2</c:v>
                </c:pt>
                <c:pt idx="637">
                  <c:v>3.2179720704310938E-2</c:v>
                </c:pt>
                <c:pt idx="638">
                  <c:v>3.7621359223300899E-2</c:v>
                </c:pt>
                <c:pt idx="639">
                  <c:v>3.013863773357444E-2</c:v>
                </c:pt>
                <c:pt idx="640">
                  <c:v>3.132530120481921E-2</c:v>
                </c:pt>
                <c:pt idx="641">
                  <c:v>3.7349397590361377E-2</c:v>
                </c:pt>
                <c:pt idx="642">
                  <c:v>3.5992801439712063E-2</c:v>
                </c:pt>
                <c:pt idx="643">
                  <c:v>3.3512866546977826E-2</c:v>
                </c:pt>
                <c:pt idx="644">
                  <c:v>3.4564958283670934E-2</c:v>
                </c:pt>
                <c:pt idx="645">
                  <c:v>3.4503271861986984E-2</c:v>
                </c:pt>
                <c:pt idx="646">
                  <c:v>3.4441805225653106E-2</c:v>
                </c:pt>
                <c:pt idx="647">
                  <c:v>3.4360189573459612E-2</c:v>
                </c:pt>
                <c:pt idx="648">
                  <c:v>3.7212049616066049E-2</c:v>
                </c:pt>
                <c:pt idx="649">
                  <c:v>3.5294117647058823E-2</c:v>
                </c:pt>
                <c:pt idx="650">
                  <c:v>2.982456140350874E-2</c:v>
                </c:pt>
                <c:pt idx="651">
                  <c:v>3.2182562902282039E-2</c:v>
                </c:pt>
                <c:pt idx="652">
                  <c:v>3.5630841121495463E-2</c:v>
                </c:pt>
                <c:pt idx="653">
                  <c:v>3.1939605110336819E-2</c:v>
                </c:pt>
                <c:pt idx="654">
                  <c:v>2.7214823393167442E-2</c:v>
                </c:pt>
                <c:pt idx="655">
                  <c:v>2.7214823393167442E-2</c:v>
                </c:pt>
                <c:pt idx="656">
                  <c:v>2.5921658986175117E-2</c:v>
                </c:pt>
                <c:pt idx="657">
                  <c:v>2.1276595744680785E-2</c:v>
                </c:pt>
                <c:pt idx="658">
                  <c:v>1.8943742824339905E-2</c:v>
                </c:pt>
                <c:pt idx="659">
                  <c:v>1.6036655211913008E-2</c:v>
                </c:pt>
                <c:pt idx="660">
                  <c:v>1.1958997722095639E-2</c:v>
                </c:pt>
                <c:pt idx="661">
                  <c:v>1.1363636363636364E-2</c:v>
                </c:pt>
                <c:pt idx="662">
                  <c:v>1.3628620102214684E-2</c:v>
                </c:pt>
                <c:pt idx="663">
                  <c:v>1.6439909297052187E-2</c:v>
                </c:pt>
                <c:pt idx="664">
                  <c:v>1.240834743372808E-2</c:v>
                </c:pt>
                <c:pt idx="665">
                  <c:v>1.0692177827799696E-2</c:v>
                </c:pt>
                <c:pt idx="666">
                  <c:v>1.4656144306651603E-2</c:v>
                </c:pt>
                <c:pt idx="667">
                  <c:v>1.74746335963923E-2</c:v>
                </c:pt>
                <c:pt idx="668">
                  <c:v>1.5160022459292629E-2</c:v>
                </c:pt>
                <c:pt idx="669">
                  <c:v>2.027027027027024E-2</c:v>
                </c:pt>
                <c:pt idx="670">
                  <c:v>2.2535211267605635E-2</c:v>
                </c:pt>
                <c:pt idx="671">
                  <c:v>2.4802705749718181E-2</c:v>
                </c:pt>
                <c:pt idx="672">
                  <c:v>2.7574563871693901E-2</c:v>
                </c:pt>
                <c:pt idx="673">
                  <c:v>3.1460674157303338E-2</c:v>
                </c:pt>
                <c:pt idx="674">
                  <c:v>3.0252100840336166E-2</c:v>
                </c:pt>
                <c:pt idx="675">
                  <c:v>2.1751254880089107E-2</c:v>
                </c:pt>
                <c:pt idx="676">
                  <c:v>1.8941504178273012E-2</c:v>
                </c:pt>
                <c:pt idx="677">
                  <c:v>1.9487750556792874E-2</c:v>
                </c:pt>
                <c:pt idx="678">
                  <c:v>2.0555555555555494E-2</c:v>
                </c:pt>
                <c:pt idx="679">
                  <c:v>2.2160664819944598E-2</c:v>
                </c:pt>
                <c:pt idx="680">
                  <c:v>2.378318584070787E-2</c:v>
                </c:pt>
                <c:pt idx="681">
                  <c:v>2.0419426048565215E-2</c:v>
                </c:pt>
                <c:pt idx="682">
                  <c:v>1.928374655647383E-2</c:v>
                </c:pt>
                <c:pt idx="683">
                  <c:v>2.0352035203520288E-2</c:v>
                </c:pt>
                <c:pt idx="684">
                  <c:v>2.0262869660460116E-2</c:v>
                </c:pt>
                <c:pt idx="685">
                  <c:v>1.6884531590413913E-2</c:v>
                </c:pt>
                <c:pt idx="686">
                  <c:v>1.7400761283306081E-2</c:v>
                </c:pt>
                <c:pt idx="687">
                  <c:v>2.2925764192139833E-2</c:v>
                </c:pt>
                <c:pt idx="688">
                  <c:v>2.8977583378895479E-2</c:v>
                </c:pt>
                <c:pt idx="689">
                  <c:v>3.1676679410158448E-2</c:v>
                </c:pt>
                <c:pt idx="690">
                  <c:v>2.9395753946652184E-2</c:v>
                </c:pt>
                <c:pt idx="691">
                  <c:v>2.5474254742547362E-2</c:v>
                </c:pt>
                <c:pt idx="692">
                  <c:v>2.5391680172879617E-2</c:v>
                </c:pt>
                <c:pt idx="693">
                  <c:v>3.190914007571663E-2</c:v>
                </c:pt>
                <c:pt idx="694">
                  <c:v>3.6216216216216152E-2</c:v>
                </c:pt>
                <c:pt idx="695">
                  <c:v>3.3423180592991854E-2</c:v>
                </c:pt>
                <c:pt idx="696">
                  <c:v>2.8448738593666038E-2</c:v>
                </c:pt>
                <c:pt idx="697">
                  <c:v>3.0530262453133464E-2</c:v>
                </c:pt>
                <c:pt idx="698">
                  <c:v>3.2068412613575632E-2</c:v>
                </c:pt>
                <c:pt idx="699">
                  <c:v>3.3617929562433209E-2</c:v>
                </c:pt>
                <c:pt idx="700">
                  <c:v>2.8692879914984093E-2</c:v>
                </c:pt>
                <c:pt idx="701">
                  <c:v>2.5410269984118491E-2</c:v>
                </c:pt>
                <c:pt idx="702">
                  <c:v>3.0671602326811272E-2</c:v>
                </c:pt>
                <c:pt idx="703">
                  <c:v>3.6469344608879524E-2</c:v>
                </c:pt>
                <c:pt idx="704">
                  <c:v>4.7418335089567963E-2</c:v>
                </c:pt>
                <c:pt idx="705">
                  <c:v>4.3501048218029255E-2</c:v>
                </c:pt>
                <c:pt idx="706">
                  <c:v>3.3385498174230602E-2</c:v>
                </c:pt>
                <c:pt idx="707">
                  <c:v>3.3385498174230602E-2</c:v>
                </c:pt>
                <c:pt idx="708">
                  <c:v>4.0187891440501132E-2</c:v>
                </c:pt>
                <c:pt idx="709">
                  <c:v>3.6382536382536385E-2</c:v>
                </c:pt>
                <c:pt idx="710">
                  <c:v>3.4179181771103025E-2</c:v>
                </c:pt>
                <c:pt idx="711">
                  <c:v>3.6138358286009295E-2</c:v>
                </c:pt>
                <c:pt idx="712">
                  <c:v>3.9772727272727362E-2</c:v>
                </c:pt>
                <c:pt idx="713">
                  <c:v>4.1817243159525161E-2</c:v>
                </c:pt>
                <c:pt idx="714">
                  <c:v>4.1046690610569522E-2</c:v>
                </c:pt>
                <c:pt idx="715">
                  <c:v>3.9265680775114824E-2</c:v>
                </c:pt>
                <c:pt idx="716">
                  <c:v>2.0120724346076459E-2</c:v>
                </c:pt>
                <c:pt idx="717">
                  <c:v>1.4063284781516883E-2</c:v>
                </c:pt>
                <c:pt idx="718">
                  <c:v>1.9687026754164592E-2</c:v>
                </c:pt>
                <c:pt idx="719">
                  <c:v>2.523977788995457E-2</c:v>
                </c:pt>
                <c:pt idx="720">
                  <c:v>2.0757651781234322E-2</c:v>
                </c:pt>
                <c:pt idx="721">
                  <c:v>2.4202607823470376E-2</c:v>
                </c:pt>
                <c:pt idx="722">
                  <c:v>2.7981972959439272E-2</c:v>
                </c:pt>
                <c:pt idx="723">
                  <c:v>2.5929247633283546E-2</c:v>
                </c:pt>
                <c:pt idx="724">
                  <c:v>2.70988574267262E-2</c:v>
                </c:pt>
                <c:pt idx="725">
                  <c:v>2.6927651139742305E-2</c:v>
                </c:pt>
                <c:pt idx="726">
                  <c:v>2.3178905864958122E-2</c:v>
                </c:pt>
                <c:pt idx="727">
                  <c:v>1.8974484789008782E-2</c:v>
                </c:pt>
                <c:pt idx="728">
                  <c:v>2.8338264299802688E-2</c:v>
                </c:pt>
                <c:pt idx="729">
                  <c:v>3.610698365527485E-2</c:v>
                </c:pt>
                <c:pt idx="730">
                  <c:v>4.3732673267326751E-2</c:v>
                </c:pt>
                <c:pt idx="731">
                  <c:v>4.1088133924175277E-2</c:v>
                </c:pt>
                <c:pt idx="732">
                  <c:v>4.2946956551659698E-2</c:v>
                </c:pt>
                <c:pt idx="733">
                  <c:v>4.1429592706119754E-2</c:v>
                </c:pt>
                <c:pt idx="734">
                  <c:v>3.9749035501344433E-2</c:v>
                </c:pt>
                <c:pt idx="735">
                  <c:v>3.903760975988816E-2</c:v>
                </c:pt>
                <c:pt idx="736">
                  <c:v>4.0884138231239889E-2</c:v>
                </c:pt>
                <c:pt idx="737">
                  <c:v>4.9359661059478581E-2</c:v>
                </c:pt>
                <c:pt idx="738">
                  <c:v>5.4975120783418263E-2</c:v>
                </c:pt>
                <c:pt idx="739">
                  <c:v>5.308017162091231E-2</c:v>
                </c:pt>
                <c:pt idx="740">
                  <c:v>4.9533198751360669E-2</c:v>
                </c:pt>
                <c:pt idx="741">
                  <c:v>3.7310578899565024E-2</c:v>
                </c:pt>
                <c:pt idx="742">
                  <c:v>1.0999174706166882E-2</c:v>
                </c:pt>
                <c:pt idx="743">
                  <c:v>-2.2228002553854217E-4</c:v>
                </c:pt>
                <c:pt idx="744">
                  <c:v>-1.1358601902212988E-3</c:v>
                </c:pt>
                <c:pt idx="745">
                  <c:v>8.4631406715035155E-5</c:v>
                </c:pt>
                <c:pt idx="746">
                  <c:v>-4.4647876766238286E-3</c:v>
                </c:pt>
                <c:pt idx="747">
                  <c:v>-5.7632442437670212E-3</c:v>
                </c:pt>
                <c:pt idx="748">
                  <c:v>-1.0157614958551759E-2</c:v>
                </c:pt>
                <c:pt idx="749">
                  <c:v>-1.229174618210915E-2</c:v>
                </c:pt>
                <c:pt idx="750">
                  <c:v>-1.9587610037622785E-2</c:v>
                </c:pt>
                <c:pt idx="751">
                  <c:v>-1.4838355663267661E-2</c:v>
                </c:pt>
                <c:pt idx="752">
                  <c:v>-1.3779428628864701E-2</c:v>
                </c:pt>
                <c:pt idx="753">
                  <c:v>-2.2396829420033566E-3</c:v>
                </c:pt>
                <c:pt idx="754">
                  <c:v>1.9145871744709282E-2</c:v>
                </c:pt>
                <c:pt idx="755">
                  <c:v>2.8141231232083615E-2</c:v>
                </c:pt>
                <c:pt idx="756">
                  <c:v>2.6211113889767081E-2</c:v>
                </c:pt>
                <c:pt idx="757">
                  <c:v>2.1513363578665255E-2</c:v>
                </c:pt>
                <c:pt idx="758">
                  <c:v>2.2861714393279862E-2</c:v>
                </c:pt>
                <c:pt idx="759">
                  <c:v>2.2067707525304469E-2</c:v>
                </c:pt>
                <c:pt idx="760">
                  <c:v>2.0035489292185786E-2</c:v>
                </c:pt>
                <c:pt idx="761">
                  <c:v>1.1215605940686347E-2</c:v>
                </c:pt>
                <c:pt idx="762">
                  <c:v>1.3407784804820985E-2</c:v>
                </c:pt>
                <c:pt idx="763">
                  <c:v>1.1501775395112481E-2</c:v>
                </c:pt>
                <c:pt idx="764">
                  <c:v>1.1183122472331806E-2</c:v>
                </c:pt>
                <c:pt idx="765">
                  <c:v>1.166695148931458E-2</c:v>
                </c:pt>
                <c:pt idx="766">
                  <c:v>1.0845447766003454E-2</c:v>
                </c:pt>
                <c:pt idx="767">
                  <c:v>1.4377930222179279E-2</c:v>
                </c:pt>
                <c:pt idx="768">
                  <c:v>1.700783491502985E-2</c:v>
                </c:pt>
                <c:pt idx="769">
                  <c:v>2.1248981733331448E-2</c:v>
                </c:pt>
                <c:pt idx="770">
                  <c:v>2.6192415103541169E-2</c:v>
                </c:pt>
                <c:pt idx="771">
                  <c:v>3.0772344447868697E-2</c:v>
                </c:pt>
                <c:pt idx="772">
                  <c:v>3.4589718808965067E-2</c:v>
                </c:pt>
                <c:pt idx="773">
                  <c:v>3.5023181506360523E-2</c:v>
                </c:pt>
                <c:pt idx="774">
                  <c:v>3.5798809769996193E-2</c:v>
                </c:pt>
                <c:pt idx="775">
                  <c:v>3.754996030708091E-2</c:v>
                </c:pt>
                <c:pt idx="776">
                  <c:v>3.8126216928186935E-2</c:v>
                </c:pt>
                <c:pt idx="777">
                  <c:v>3.522268130664051E-2</c:v>
                </c:pt>
                <c:pt idx="778">
                  <c:v>3.451432214581724E-2</c:v>
                </c:pt>
                <c:pt idx="779">
                  <c:v>3.062066838419393E-2</c:v>
                </c:pt>
                <c:pt idx="780">
                  <c:v>3.0087663379855058E-2</c:v>
                </c:pt>
                <c:pt idx="781">
                  <c:v>2.8981784423473902E-2</c:v>
                </c:pt>
                <c:pt idx="782">
                  <c:v>2.5828752813321001E-2</c:v>
                </c:pt>
                <c:pt idx="783">
                  <c:v>2.273163374134856E-2</c:v>
                </c:pt>
                <c:pt idx="784">
                  <c:v>1.7379429374660738E-2</c:v>
                </c:pt>
                <c:pt idx="785">
                  <c:v>1.6538704482976386E-2</c:v>
                </c:pt>
                <c:pt idx="786">
                  <c:v>1.4175114798464887E-2</c:v>
                </c:pt>
                <c:pt idx="787">
                  <c:v>1.6859349154821242E-2</c:v>
                </c:pt>
                <c:pt idx="788">
                  <c:v>1.9497168982819623E-2</c:v>
                </c:pt>
                <c:pt idx="789">
                  <c:v>2.1556780595369373E-2</c:v>
                </c:pt>
                <c:pt idx="790">
                  <c:v>1.7960197033926213E-2</c:v>
                </c:pt>
                <c:pt idx="791">
                  <c:v>1.7595049796895516E-2</c:v>
                </c:pt>
                <c:pt idx="792">
                  <c:v>1.6840617620982913E-2</c:v>
                </c:pt>
                <c:pt idx="793">
                  <c:v>2.018140490257481E-2</c:v>
                </c:pt>
                <c:pt idx="794">
                  <c:v>1.518747241124626E-2</c:v>
                </c:pt>
                <c:pt idx="795">
                  <c:v>1.1388080475768631E-2</c:v>
                </c:pt>
                <c:pt idx="796">
                  <c:v>1.3903888279197103E-2</c:v>
                </c:pt>
                <c:pt idx="797">
                  <c:v>1.7157935271568815E-2</c:v>
                </c:pt>
                <c:pt idx="798">
                  <c:v>1.8854718054158108E-2</c:v>
                </c:pt>
                <c:pt idx="799">
                  <c:v>1.5388094886002759E-2</c:v>
                </c:pt>
                <c:pt idx="800">
                  <c:v>1.0947341081748047E-2</c:v>
                </c:pt>
                <c:pt idx="801">
                  <c:v>8.7679914349113961E-3</c:v>
                </c:pt>
                <c:pt idx="802">
                  <c:v>1.2328701961954427E-2</c:v>
                </c:pt>
                <c:pt idx="803">
                  <c:v>1.5128383667573405E-2</c:v>
                </c:pt>
                <c:pt idx="804">
                  <c:v>1.5577587955749157E-2</c:v>
                </c:pt>
                <c:pt idx="805">
                  <c:v>1.1204746347724857E-2</c:v>
                </c:pt>
                <c:pt idx="806">
                  <c:v>1.6126949139408049E-2</c:v>
                </c:pt>
                <c:pt idx="807">
                  <c:v>2.0151253036061693E-2</c:v>
                </c:pt>
                <c:pt idx="808">
                  <c:v>2.1669476870798194E-2</c:v>
                </c:pt>
                <c:pt idx="809">
                  <c:v>2.0589816945944209E-2</c:v>
                </c:pt>
                <c:pt idx="810">
                  <c:v>1.9742378703306074E-2</c:v>
                </c:pt>
                <c:pt idx="811">
                  <c:v>1.7150983482969034E-2</c:v>
                </c:pt>
                <c:pt idx="812">
                  <c:v>1.6840509711232111E-2</c:v>
                </c:pt>
                <c:pt idx="813">
                  <c:v>1.609541702151332E-2</c:v>
                </c:pt>
                <c:pt idx="814">
                  <c:v>1.2315249893208072E-2</c:v>
                </c:pt>
                <c:pt idx="815">
                  <c:v>6.5312139196231044E-3</c:v>
                </c:pt>
                <c:pt idx="816">
                  <c:v>-2.29930978205432E-3</c:v>
                </c:pt>
                <c:pt idx="817">
                  <c:v>-8.7031462935203627E-4</c:v>
                </c:pt>
                <c:pt idx="818">
                  <c:v>-2.2031284423878735E-4</c:v>
                </c:pt>
                <c:pt idx="819">
                  <c:v>-1.040309893939057E-3</c:v>
                </c:pt>
                <c:pt idx="820">
                  <c:v>3.5033218244286379E-4</c:v>
                </c:pt>
                <c:pt idx="821">
                  <c:v>1.7957180975505568E-3</c:v>
                </c:pt>
                <c:pt idx="822">
                  <c:v>2.2568611104093568E-3</c:v>
                </c:pt>
                <c:pt idx="823">
                  <c:v>2.4130379853448121E-3</c:v>
                </c:pt>
                <c:pt idx="824">
                  <c:v>8.8429616341736603E-5</c:v>
                </c:pt>
                <c:pt idx="825">
                  <c:v>1.2761656067051227E-3</c:v>
                </c:pt>
                <c:pt idx="826">
                  <c:v>4.3631821691850967E-3</c:v>
                </c:pt>
                <c:pt idx="827">
                  <c:v>6.3872475153648901E-3</c:v>
                </c:pt>
                <c:pt idx="828">
                  <c:v>1.2375025026943784E-2</c:v>
                </c:pt>
                <c:pt idx="829">
                  <c:v>8.4727757901267072E-3</c:v>
                </c:pt>
                <c:pt idx="830">
                  <c:v>8.9161609655219742E-3</c:v>
                </c:pt>
                <c:pt idx="831">
                  <c:v>1.1726257503534733E-2</c:v>
                </c:pt>
                <c:pt idx="832">
                  <c:v>1.0784764621246253E-2</c:v>
                </c:pt>
                <c:pt idx="833">
                  <c:v>1.0792865347959445E-2</c:v>
                </c:pt>
                <c:pt idx="834">
                  <c:v>8.6836334305183602E-3</c:v>
                </c:pt>
                <c:pt idx="835">
                  <c:v>1.0553158595656907E-2</c:v>
                </c:pt>
                <c:pt idx="836">
                  <c:v>1.5486446201652213E-2</c:v>
                </c:pt>
                <c:pt idx="837">
                  <c:v>1.685924966243647E-2</c:v>
                </c:pt>
                <c:pt idx="838">
                  <c:v>1.6843334719788983E-2</c:v>
                </c:pt>
                <c:pt idx="839">
                  <c:v>2.0507989115119824E-2</c:v>
                </c:pt>
                <c:pt idx="840">
                  <c:v>2.5112349149176181E-2</c:v>
                </c:pt>
                <c:pt idx="841">
                  <c:v>2.7539016415545896E-2</c:v>
                </c:pt>
                <c:pt idx="842">
                  <c:v>2.3882728494623563E-2</c:v>
                </c:pt>
                <c:pt idx="843">
                  <c:v>2.2101158197763988E-2</c:v>
                </c:pt>
                <c:pt idx="844">
                  <c:v>1.8834765838610438E-2</c:v>
                </c:pt>
                <c:pt idx="845">
                  <c:v>1.6634612982990654E-2</c:v>
                </c:pt>
                <c:pt idx="846">
                  <c:v>1.7405175322051977E-2</c:v>
                </c:pt>
                <c:pt idx="847">
                  <c:v>1.9372674551539317E-2</c:v>
                </c:pt>
                <c:pt idx="848">
                  <c:v>2.2286628851958735E-2</c:v>
                </c:pt>
                <c:pt idx="849">
                  <c:v>2.0335813949640302E-2</c:v>
                </c:pt>
                <c:pt idx="850">
                  <c:v>2.2113326667382742E-2</c:v>
                </c:pt>
                <c:pt idx="851">
                  <c:v>2.1014931770504869E-2</c:v>
                </c:pt>
                <c:pt idx="852">
                  <c:v>2.0938346605369012E-2</c:v>
                </c:pt>
                <c:pt idx="853">
                  <c:v>2.225757774570265E-2</c:v>
                </c:pt>
                <c:pt idx="854">
                  <c:v>2.3592297531238995E-2</c:v>
                </c:pt>
                <c:pt idx="855">
                  <c:v>2.4566675127111377E-2</c:v>
                </c:pt>
                <c:pt idx="856">
                  <c:v>2.7520905973310882E-2</c:v>
                </c:pt>
                <c:pt idx="857">
                  <c:v>2.8392665569286449E-2</c:v>
                </c:pt>
                <c:pt idx="858">
                  <c:v>2.8921729163255271E-2</c:v>
                </c:pt>
                <c:pt idx="859">
                  <c:v>2.6630778328337518E-2</c:v>
                </c:pt>
                <c:pt idx="860">
                  <c:v>2.2843144014828596E-2</c:v>
                </c:pt>
                <c:pt idx="861">
                  <c:v>2.5306397142590684E-2</c:v>
                </c:pt>
                <c:pt idx="862">
                  <c:v>2.200680739596899E-2</c:v>
                </c:pt>
                <c:pt idx="863">
                  <c:v>1.920189233700393E-2</c:v>
                </c:pt>
                <c:pt idx="864">
                  <c:v>1.495651754375384E-2</c:v>
                </c:pt>
                <c:pt idx="865">
                  <c:v>1.4717208182912084E-2</c:v>
                </c:pt>
                <c:pt idx="866">
                  <c:v>1.8555849902010667E-2</c:v>
                </c:pt>
                <c:pt idx="867">
                  <c:v>2.0181800019977974E-2</c:v>
                </c:pt>
                <c:pt idx="868">
                  <c:v>1.8282519757881251E-2</c:v>
                </c:pt>
                <c:pt idx="869">
                  <c:v>1.7005638020003884E-2</c:v>
                </c:pt>
                <c:pt idx="870">
                  <c:v>1.822196582386764E-2</c:v>
                </c:pt>
                <c:pt idx="871">
                  <c:v>1.741116650445898E-2</c:v>
                </c:pt>
                <c:pt idx="872">
                  <c:v>1.724541305321925E-2</c:v>
                </c:pt>
                <c:pt idx="873">
                  <c:v>1.7746214892111079E-2</c:v>
                </c:pt>
                <c:pt idx="874">
                  <c:v>2.0437303715657551E-2</c:v>
                </c:pt>
                <c:pt idx="875">
                  <c:v>2.2614488322448462E-2</c:v>
                </c:pt>
                <c:pt idx="876">
                  <c:v>2.474241505936044E-2</c:v>
                </c:pt>
                <c:pt idx="877">
                  <c:v>2.3145128454474733E-2</c:v>
                </c:pt>
                <c:pt idx="878">
                  <c:v>1.5117235300829774E-2</c:v>
                </c:pt>
                <c:pt idx="879">
                  <c:v>3.3917423215810922E-3</c:v>
                </c:pt>
                <c:pt idx="880">
                  <c:v>2.2359625799327171E-3</c:v>
                </c:pt>
                <c:pt idx="881">
                  <c:v>7.2781229568205695E-3</c:v>
                </c:pt>
                <c:pt idx="882">
                  <c:v>1.0467910520660246E-2</c:v>
                </c:pt>
                <c:pt idx="883">
                  <c:v>1.3247799842260322E-2</c:v>
                </c:pt>
                <c:pt idx="884">
                  <c:v>1.4099605507305206E-2</c:v>
                </c:pt>
                <c:pt idx="885">
                  <c:v>1.1946990329736888E-2</c:v>
                </c:pt>
                <c:pt idx="886">
                  <c:v>1.1388082437623485E-2</c:v>
                </c:pt>
                <c:pt idx="887">
                  <c:v>1.3001398124731424E-2</c:v>
                </c:pt>
                <c:pt idx="888">
                  <c:v>1.3699953998461394E-2</c:v>
                </c:pt>
                <c:pt idx="889">
                  <c:v>1.6756560442617335E-2</c:v>
                </c:pt>
                <c:pt idx="890">
                  <c:v>2.6373217462760161E-2</c:v>
                </c:pt>
                <c:pt idx="891">
                  <c:v>4.1531351486385155E-2</c:v>
                </c:pt>
                <c:pt idx="892">
                  <c:v>4.9265067866938524E-2</c:v>
                </c:pt>
                <c:pt idx="893">
                  <c:v>5.3245077385903457E-2</c:v>
                </c:pt>
                <c:pt idx="894">
                  <c:v>5.282594236748079E-2</c:v>
                </c:pt>
                <c:pt idx="895">
                  <c:v>5.20247696629429E-2</c:v>
                </c:pt>
                <c:pt idx="896">
                  <c:v>5.3773030071228321E-2</c:v>
                </c:pt>
                <c:pt idx="897">
                  <c:v>6.2435211278420659E-2</c:v>
                </c:pt>
                <c:pt idx="898">
                  <c:v>6.8804684835222008E-2</c:v>
                </c:pt>
                <c:pt idx="899">
                  <c:v>7.1234133659580992E-2</c:v>
                </c:pt>
              </c:numCache>
            </c:numRef>
          </c:val>
          <c:smooth val="0"/>
          <c:extLst>
            <c:ext xmlns:c16="http://schemas.microsoft.com/office/drawing/2014/chart" uri="{C3380CC4-5D6E-409C-BE32-E72D297353CC}">
              <c16:uniqueId val="{00000000-788F-8A4D-89C6-999037086CAF}"/>
            </c:ext>
          </c:extLst>
        </c:ser>
        <c:dLbls>
          <c:showLegendKey val="0"/>
          <c:showVal val="0"/>
          <c:showCatName val="0"/>
          <c:showSerName val="0"/>
          <c:showPercent val="0"/>
          <c:showBubbleSize val="0"/>
        </c:dLbls>
        <c:smooth val="0"/>
        <c:axId val="750214224"/>
        <c:axId val="750138176"/>
      </c:lineChart>
      <c:dateAx>
        <c:axId val="750214224"/>
        <c:scaling>
          <c:orientation val="minMax"/>
        </c:scaling>
        <c:delete val="0"/>
        <c:axPos val="b"/>
        <c:numFmt formatCode="[$-409]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138176"/>
        <c:crosses val="autoZero"/>
        <c:auto val="0"/>
        <c:lblOffset val="100"/>
        <c:baseTimeUnit val="months"/>
      </c:dateAx>
      <c:valAx>
        <c:axId val="750138176"/>
        <c:scaling>
          <c:orientation val="minMax"/>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214224"/>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strike="noStrike" kern="1200" spc="0" baseline="0">
                <a:solidFill>
                  <a:schemeClr val="tx1">
                    <a:lumMod val="65000"/>
                    <a:lumOff val="35000"/>
                  </a:schemeClr>
                </a:solidFill>
                <a:latin typeface="+mn-lt"/>
                <a:ea typeface="+mn-ea"/>
                <a:cs typeface="+mn-cs"/>
              </a:defRPr>
            </a:pPr>
            <a:r>
              <a:rPr lang="en-US" b="1"/>
              <a:t>Consumer Price Index y/y % since 1948</a:t>
            </a:r>
          </a:p>
        </c:rich>
      </c:tx>
      <c:overlay val="0"/>
      <c:spPr>
        <a:noFill/>
        <a:ln>
          <a:noFill/>
          <a:prstDash val="solid"/>
        </a:ln>
      </c:spPr>
    </c:title>
    <c:autoTitleDeleted val="0"/>
    <c:plotArea>
      <c:layout/>
      <c:lineChart>
        <c:grouping val="standard"/>
        <c:varyColors val="0"/>
        <c:ser>
          <c:idx val="2"/>
          <c:order val="0"/>
          <c:tx>
            <c:strRef>
              <c:f>CPI!$D$4</c:f>
              <c:strCache>
                <c:ptCount val="1"/>
                <c:pt idx="0">
                  <c:v>Consumer Price Index y/y %</c:v>
                </c:pt>
              </c:strCache>
            </c:strRef>
          </c:tx>
          <c:spPr>
            <a:ln w="28575" cap="rnd">
              <a:solidFill>
                <a:schemeClr val="accent3"/>
              </a:solidFill>
              <a:prstDash val="solid"/>
              <a:round/>
            </a:ln>
          </c:spPr>
          <c:marker>
            <c:symbol val="none"/>
          </c:marker>
          <c:cat>
            <c:numRef>
              <c:f>CPI!$A$17:$A$912</c:f>
              <c:numCache>
                <c:formatCode>[$-409]mmm\-yy;@</c:formatCode>
                <c:ptCount val="896"/>
                <c:pt idx="0">
                  <c:v>17533</c:v>
                </c:pt>
                <c:pt idx="1">
                  <c:v>17564</c:v>
                </c:pt>
                <c:pt idx="2">
                  <c:v>17593</c:v>
                </c:pt>
                <c:pt idx="3">
                  <c:v>17624</c:v>
                </c:pt>
                <c:pt idx="4">
                  <c:v>17654</c:v>
                </c:pt>
                <c:pt idx="5">
                  <c:v>17685</c:v>
                </c:pt>
                <c:pt idx="6">
                  <c:v>17715</c:v>
                </c:pt>
                <c:pt idx="7">
                  <c:v>17746</c:v>
                </c:pt>
                <c:pt idx="8">
                  <c:v>17777</c:v>
                </c:pt>
                <c:pt idx="9">
                  <c:v>17807</c:v>
                </c:pt>
                <c:pt idx="10">
                  <c:v>17838</c:v>
                </c:pt>
                <c:pt idx="11">
                  <c:v>17868</c:v>
                </c:pt>
                <c:pt idx="12">
                  <c:v>17899</c:v>
                </c:pt>
                <c:pt idx="13">
                  <c:v>17930</c:v>
                </c:pt>
                <c:pt idx="14">
                  <c:v>17958</c:v>
                </c:pt>
                <c:pt idx="15">
                  <c:v>17989</c:v>
                </c:pt>
                <c:pt idx="16">
                  <c:v>18019</c:v>
                </c:pt>
                <c:pt idx="17">
                  <c:v>18050</c:v>
                </c:pt>
                <c:pt idx="18">
                  <c:v>18080</c:v>
                </c:pt>
                <c:pt idx="19">
                  <c:v>18111</c:v>
                </c:pt>
                <c:pt idx="20">
                  <c:v>18142</c:v>
                </c:pt>
                <c:pt idx="21">
                  <c:v>18172</c:v>
                </c:pt>
                <c:pt idx="22">
                  <c:v>18203</c:v>
                </c:pt>
                <c:pt idx="23">
                  <c:v>18233</c:v>
                </c:pt>
                <c:pt idx="24">
                  <c:v>18264</c:v>
                </c:pt>
                <c:pt idx="25">
                  <c:v>18295</c:v>
                </c:pt>
                <c:pt idx="26">
                  <c:v>18323</c:v>
                </c:pt>
                <c:pt idx="27">
                  <c:v>18354</c:v>
                </c:pt>
                <c:pt idx="28">
                  <c:v>18384</c:v>
                </c:pt>
                <c:pt idx="29">
                  <c:v>18415</c:v>
                </c:pt>
                <c:pt idx="30">
                  <c:v>18445</c:v>
                </c:pt>
                <c:pt idx="31">
                  <c:v>18476</c:v>
                </c:pt>
                <c:pt idx="32">
                  <c:v>18507</c:v>
                </c:pt>
                <c:pt idx="33">
                  <c:v>18537</c:v>
                </c:pt>
                <c:pt idx="34">
                  <c:v>18568</c:v>
                </c:pt>
                <c:pt idx="35">
                  <c:v>18598</c:v>
                </c:pt>
                <c:pt idx="36">
                  <c:v>18629</c:v>
                </c:pt>
                <c:pt idx="37">
                  <c:v>18660</c:v>
                </c:pt>
                <c:pt idx="38">
                  <c:v>18688</c:v>
                </c:pt>
                <c:pt idx="39">
                  <c:v>18719</c:v>
                </c:pt>
                <c:pt idx="40">
                  <c:v>18749</c:v>
                </c:pt>
                <c:pt idx="41">
                  <c:v>18780</c:v>
                </c:pt>
                <c:pt idx="42">
                  <c:v>18810</c:v>
                </c:pt>
                <c:pt idx="43">
                  <c:v>18841</c:v>
                </c:pt>
                <c:pt idx="44">
                  <c:v>18872</c:v>
                </c:pt>
                <c:pt idx="45">
                  <c:v>18902</c:v>
                </c:pt>
                <c:pt idx="46">
                  <c:v>18933</c:v>
                </c:pt>
                <c:pt idx="47">
                  <c:v>18963</c:v>
                </c:pt>
                <c:pt idx="48">
                  <c:v>18994</c:v>
                </c:pt>
                <c:pt idx="49">
                  <c:v>19025</c:v>
                </c:pt>
                <c:pt idx="50">
                  <c:v>19054</c:v>
                </c:pt>
                <c:pt idx="51">
                  <c:v>19085</c:v>
                </c:pt>
                <c:pt idx="52">
                  <c:v>19115</c:v>
                </c:pt>
                <c:pt idx="53">
                  <c:v>19146</c:v>
                </c:pt>
                <c:pt idx="54">
                  <c:v>19176</c:v>
                </c:pt>
                <c:pt idx="55">
                  <c:v>19207</c:v>
                </c:pt>
                <c:pt idx="56">
                  <c:v>19238</c:v>
                </c:pt>
                <c:pt idx="57">
                  <c:v>19268</c:v>
                </c:pt>
                <c:pt idx="58">
                  <c:v>19299</c:v>
                </c:pt>
                <c:pt idx="59">
                  <c:v>19329</c:v>
                </c:pt>
                <c:pt idx="60">
                  <c:v>19360</c:v>
                </c:pt>
                <c:pt idx="61">
                  <c:v>19391</c:v>
                </c:pt>
                <c:pt idx="62">
                  <c:v>19419</c:v>
                </c:pt>
                <c:pt idx="63">
                  <c:v>19450</c:v>
                </c:pt>
                <c:pt idx="64">
                  <c:v>19480</c:v>
                </c:pt>
                <c:pt idx="65">
                  <c:v>19511</c:v>
                </c:pt>
                <c:pt idx="66">
                  <c:v>19541</c:v>
                </c:pt>
                <c:pt idx="67">
                  <c:v>19572</c:v>
                </c:pt>
                <c:pt idx="68">
                  <c:v>19603</c:v>
                </c:pt>
                <c:pt idx="69">
                  <c:v>19633</c:v>
                </c:pt>
                <c:pt idx="70">
                  <c:v>19664</c:v>
                </c:pt>
                <c:pt idx="71">
                  <c:v>19694</c:v>
                </c:pt>
                <c:pt idx="72">
                  <c:v>19725</c:v>
                </c:pt>
                <c:pt idx="73">
                  <c:v>19756</c:v>
                </c:pt>
                <c:pt idx="74">
                  <c:v>19784</c:v>
                </c:pt>
                <c:pt idx="75">
                  <c:v>19815</c:v>
                </c:pt>
                <c:pt idx="76">
                  <c:v>19845</c:v>
                </c:pt>
                <c:pt idx="77">
                  <c:v>19876</c:v>
                </c:pt>
                <c:pt idx="78">
                  <c:v>19906</c:v>
                </c:pt>
                <c:pt idx="79">
                  <c:v>19937</c:v>
                </c:pt>
                <c:pt idx="80">
                  <c:v>19968</c:v>
                </c:pt>
                <c:pt idx="81">
                  <c:v>19998</c:v>
                </c:pt>
                <c:pt idx="82">
                  <c:v>20029</c:v>
                </c:pt>
                <c:pt idx="83">
                  <c:v>20059</c:v>
                </c:pt>
                <c:pt idx="84">
                  <c:v>20090</c:v>
                </c:pt>
                <c:pt idx="85">
                  <c:v>20121</c:v>
                </c:pt>
                <c:pt idx="86">
                  <c:v>20149</c:v>
                </c:pt>
                <c:pt idx="87">
                  <c:v>20180</c:v>
                </c:pt>
                <c:pt idx="88">
                  <c:v>20210</c:v>
                </c:pt>
                <c:pt idx="89">
                  <c:v>20241</c:v>
                </c:pt>
                <c:pt idx="90">
                  <c:v>20271</c:v>
                </c:pt>
                <c:pt idx="91">
                  <c:v>20302</c:v>
                </c:pt>
                <c:pt idx="92">
                  <c:v>20333</c:v>
                </c:pt>
                <c:pt idx="93">
                  <c:v>20363</c:v>
                </c:pt>
                <c:pt idx="94">
                  <c:v>20394</c:v>
                </c:pt>
                <c:pt idx="95">
                  <c:v>20424</c:v>
                </c:pt>
                <c:pt idx="96">
                  <c:v>20455</c:v>
                </c:pt>
                <c:pt idx="97">
                  <c:v>20486</c:v>
                </c:pt>
                <c:pt idx="98">
                  <c:v>20515</c:v>
                </c:pt>
                <c:pt idx="99">
                  <c:v>20546</c:v>
                </c:pt>
                <c:pt idx="100">
                  <c:v>20576</c:v>
                </c:pt>
                <c:pt idx="101">
                  <c:v>20607</c:v>
                </c:pt>
                <c:pt idx="102">
                  <c:v>20637</c:v>
                </c:pt>
                <c:pt idx="103">
                  <c:v>20668</c:v>
                </c:pt>
                <c:pt idx="104">
                  <c:v>20699</c:v>
                </c:pt>
                <c:pt idx="105">
                  <c:v>20729</c:v>
                </c:pt>
                <c:pt idx="106">
                  <c:v>20760</c:v>
                </c:pt>
                <c:pt idx="107">
                  <c:v>20790</c:v>
                </c:pt>
                <c:pt idx="108">
                  <c:v>20821</c:v>
                </c:pt>
                <c:pt idx="109">
                  <c:v>20852</c:v>
                </c:pt>
                <c:pt idx="110">
                  <c:v>20880</c:v>
                </c:pt>
                <c:pt idx="111">
                  <c:v>20911</c:v>
                </c:pt>
                <c:pt idx="112">
                  <c:v>20941</c:v>
                </c:pt>
                <c:pt idx="113">
                  <c:v>20972</c:v>
                </c:pt>
                <c:pt idx="114">
                  <c:v>21002</c:v>
                </c:pt>
                <c:pt idx="115">
                  <c:v>21033</c:v>
                </c:pt>
                <c:pt idx="116">
                  <c:v>21064</c:v>
                </c:pt>
                <c:pt idx="117">
                  <c:v>21094</c:v>
                </c:pt>
                <c:pt idx="118">
                  <c:v>21125</c:v>
                </c:pt>
                <c:pt idx="119">
                  <c:v>21155</c:v>
                </c:pt>
                <c:pt idx="120">
                  <c:v>21186</c:v>
                </c:pt>
                <c:pt idx="121">
                  <c:v>21217</c:v>
                </c:pt>
                <c:pt idx="122">
                  <c:v>21245</c:v>
                </c:pt>
                <c:pt idx="123">
                  <c:v>21276</c:v>
                </c:pt>
                <c:pt idx="124">
                  <c:v>21306</c:v>
                </c:pt>
                <c:pt idx="125">
                  <c:v>21337</c:v>
                </c:pt>
                <c:pt idx="126">
                  <c:v>21367</c:v>
                </c:pt>
                <c:pt idx="127">
                  <c:v>21398</c:v>
                </c:pt>
                <c:pt idx="128">
                  <c:v>21429</c:v>
                </c:pt>
                <c:pt idx="129">
                  <c:v>21459</c:v>
                </c:pt>
                <c:pt idx="130">
                  <c:v>21490</c:v>
                </c:pt>
                <c:pt idx="131">
                  <c:v>21520</c:v>
                </c:pt>
                <c:pt idx="132">
                  <c:v>21551</c:v>
                </c:pt>
                <c:pt idx="133">
                  <c:v>21582</c:v>
                </c:pt>
                <c:pt idx="134">
                  <c:v>21610</c:v>
                </c:pt>
                <c:pt idx="135">
                  <c:v>21641</c:v>
                </c:pt>
                <c:pt idx="136">
                  <c:v>21671</c:v>
                </c:pt>
                <c:pt idx="137">
                  <c:v>21702</c:v>
                </c:pt>
                <c:pt idx="138">
                  <c:v>21732</c:v>
                </c:pt>
                <c:pt idx="139">
                  <c:v>21763</c:v>
                </c:pt>
                <c:pt idx="140">
                  <c:v>21794</c:v>
                </c:pt>
                <c:pt idx="141">
                  <c:v>21824</c:v>
                </c:pt>
                <c:pt idx="142">
                  <c:v>21855</c:v>
                </c:pt>
                <c:pt idx="143">
                  <c:v>21885</c:v>
                </c:pt>
                <c:pt idx="144">
                  <c:v>21916</c:v>
                </c:pt>
                <c:pt idx="145">
                  <c:v>21947</c:v>
                </c:pt>
                <c:pt idx="146">
                  <c:v>21976</c:v>
                </c:pt>
                <c:pt idx="147">
                  <c:v>22007</c:v>
                </c:pt>
                <c:pt idx="148">
                  <c:v>22037</c:v>
                </c:pt>
                <c:pt idx="149">
                  <c:v>22068</c:v>
                </c:pt>
                <c:pt idx="150">
                  <c:v>22098</c:v>
                </c:pt>
                <c:pt idx="151">
                  <c:v>22129</c:v>
                </c:pt>
                <c:pt idx="152">
                  <c:v>22160</c:v>
                </c:pt>
                <c:pt idx="153">
                  <c:v>22190</c:v>
                </c:pt>
                <c:pt idx="154">
                  <c:v>22221</c:v>
                </c:pt>
                <c:pt idx="155">
                  <c:v>22251</c:v>
                </c:pt>
                <c:pt idx="156">
                  <c:v>22282</c:v>
                </c:pt>
                <c:pt idx="157">
                  <c:v>22313</c:v>
                </c:pt>
                <c:pt idx="158">
                  <c:v>22341</c:v>
                </c:pt>
                <c:pt idx="159">
                  <c:v>22372</c:v>
                </c:pt>
                <c:pt idx="160">
                  <c:v>22402</c:v>
                </c:pt>
                <c:pt idx="161">
                  <c:v>22433</c:v>
                </c:pt>
                <c:pt idx="162">
                  <c:v>22463</c:v>
                </c:pt>
                <c:pt idx="163">
                  <c:v>22494</c:v>
                </c:pt>
                <c:pt idx="164">
                  <c:v>22525</c:v>
                </c:pt>
                <c:pt idx="165">
                  <c:v>22555</c:v>
                </c:pt>
                <c:pt idx="166">
                  <c:v>22586</c:v>
                </c:pt>
                <c:pt idx="167">
                  <c:v>22616</c:v>
                </c:pt>
                <c:pt idx="168">
                  <c:v>22647</c:v>
                </c:pt>
                <c:pt idx="169">
                  <c:v>22678</c:v>
                </c:pt>
                <c:pt idx="170">
                  <c:v>22706</c:v>
                </c:pt>
                <c:pt idx="171">
                  <c:v>22737</c:v>
                </c:pt>
                <c:pt idx="172">
                  <c:v>22767</c:v>
                </c:pt>
                <c:pt idx="173">
                  <c:v>22798</c:v>
                </c:pt>
                <c:pt idx="174">
                  <c:v>22828</c:v>
                </c:pt>
                <c:pt idx="175">
                  <c:v>22859</c:v>
                </c:pt>
                <c:pt idx="176">
                  <c:v>22890</c:v>
                </c:pt>
                <c:pt idx="177">
                  <c:v>22920</c:v>
                </c:pt>
                <c:pt idx="178">
                  <c:v>22951</c:v>
                </c:pt>
                <c:pt idx="179">
                  <c:v>22981</c:v>
                </c:pt>
                <c:pt idx="180">
                  <c:v>23012</c:v>
                </c:pt>
                <c:pt idx="181">
                  <c:v>23043</c:v>
                </c:pt>
                <c:pt idx="182">
                  <c:v>23071</c:v>
                </c:pt>
                <c:pt idx="183">
                  <c:v>23102</c:v>
                </c:pt>
                <c:pt idx="184">
                  <c:v>23132</c:v>
                </c:pt>
                <c:pt idx="185">
                  <c:v>23163</c:v>
                </c:pt>
                <c:pt idx="186">
                  <c:v>23193</c:v>
                </c:pt>
                <c:pt idx="187">
                  <c:v>23224</c:v>
                </c:pt>
                <c:pt idx="188">
                  <c:v>23255</c:v>
                </c:pt>
                <c:pt idx="189">
                  <c:v>23285</c:v>
                </c:pt>
                <c:pt idx="190">
                  <c:v>23316</c:v>
                </c:pt>
                <c:pt idx="191">
                  <c:v>23346</c:v>
                </c:pt>
                <c:pt idx="192">
                  <c:v>23377</c:v>
                </c:pt>
                <c:pt idx="193">
                  <c:v>23408</c:v>
                </c:pt>
                <c:pt idx="194">
                  <c:v>23437</c:v>
                </c:pt>
                <c:pt idx="195">
                  <c:v>23468</c:v>
                </c:pt>
                <c:pt idx="196">
                  <c:v>23498</c:v>
                </c:pt>
                <c:pt idx="197">
                  <c:v>23529</c:v>
                </c:pt>
                <c:pt idx="198">
                  <c:v>23559</c:v>
                </c:pt>
                <c:pt idx="199">
                  <c:v>23590</c:v>
                </c:pt>
                <c:pt idx="200">
                  <c:v>23621</c:v>
                </c:pt>
                <c:pt idx="201">
                  <c:v>23651</c:v>
                </c:pt>
                <c:pt idx="202">
                  <c:v>23682</c:v>
                </c:pt>
                <c:pt idx="203">
                  <c:v>23712</c:v>
                </c:pt>
                <c:pt idx="204">
                  <c:v>23743</c:v>
                </c:pt>
                <c:pt idx="205">
                  <c:v>23774</c:v>
                </c:pt>
                <c:pt idx="206">
                  <c:v>23802</c:v>
                </c:pt>
                <c:pt idx="207">
                  <c:v>23833</c:v>
                </c:pt>
                <c:pt idx="208">
                  <c:v>23863</c:v>
                </c:pt>
                <c:pt idx="209">
                  <c:v>23894</c:v>
                </c:pt>
                <c:pt idx="210">
                  <c:v>23924</c:v>
                </c:pt>
                <c:pt idx="211">
                  <c:v>23955</c:v>
                </c:pt>
                <c:pt idx="212">
                  <c:v>23986</c:v>
                </c:pt>
                <c:pt idx="213">
                  <c:v>24016</c:v>
                </c:pt>
                <c:pt idx="214">
                  <c:v>24047</c:v>
                </c:pt>
                <c:pt idx="215">
                  <c:v>24077</c:v>
                </c:pt>
                <c:pt idx="216">
                  <c:v>24108</c:v>
                </c:pt>
                <c:pt idx="217">
                  <c:v>24139</c:v>
                </c:pt>
                <c:pt idx="218">
                  <c:v>24167</c:v>
                </c:pt>
                <c:pt idx="219">
                  <c:v>24198</c:v>
                </c:pt>
                <c:pt idx="220">
                  <c:v>24228</c:v>
                </c:pt>
                <c:pt idx="221">
                  <c:v>24259</c:v>
                </c:pt>
                <c:pt idx="222">
                  <c:v>24289</c:v>
                </c:pt>
                <c:pt idx="223">
                  <c:v>24320</c:v>
                </c:pt>
                <c:pt idx="224">
                  <c:v>24351</c:v>
                </c:pt>
                <c:pt idx="225">
                  <c:v>24381</c:v>
                </c:pt>
                <c:pt idx="226">
                  <c:v>24412</c:v>
                </c:pt>
                <c:pt idx="227">
                  <c:v>24442</c:v>
                </c:pt>
                <c:pt idx="228">
                  <c:v>24473</c:v>
                </c:pt>
                <c:pt idx="229">
                  <c:v>24504</c:v>
                </c:pt>
                <c:pt idx="230">
                  <c:v>24532</c:v>
                </c:pt>
                <c:pt idx="231">
                  <c:v>24563</c:v>
                </c:pt>
                <c:pt idx="232">
                  <c:v>24593</c:v>
                </c:pt>
                <c:pt idx="233">
                  <c:v>24624</c:v>
                </c:pt>
                <c:pt idx="234">
                  <c:v>24654</c:v>
                </c:pt>
                <c:pt idx="235">
                  <c:v>24685</c:v>
                </c:pt>
                <c:pt idx="236">
                  <c:v>24716</c:v>
                </c:pt>
                <c:pt idx="237">
                  <c:v>24746</c:v>
                </c:pt>
                <c:pt idx="238">
                  <c:v>24777</c:v>
                </c:pt>
                <c:pt idx="239">
                  <c:v>24807</c:v>
                </c:pt>
                <c:pt idx="240">
                  <c:v>24838</c:v>
                </c:pt>
                <c:pt idx="241">
                  <c:v>24869</c:v>
                </c:pt>
                <c:pt idx="242">
                  <c:v>24898</c:v>
                </c:pt>
                <c:pt idx="243">
                  <c:v>24929</c:v>
                </c:pt>
                <c:pt idx="244">
                  <c:v>24959</c:v>
                </c:pt>
                <c:pt idx="245">
                  <c:v>24990</c:v>
                </c:pt>
                <c:pt idx="246">
                  <c:v>25020</c:v>
                </c:pt>
                <c:pt idx="247">
                  <c:v>25051</c:v>
                </c:pt>
                <c:pt idx="248">
                  <c:v>25082</c:v>
                </c:pt>
                <c:pt idx="249">
                  <c:v>25112</c:v>
                </c:pt>
                <c:pt idx="250">
                  <c:v>25143</c:v>
                </c:pt>
                <c:pt idx="251">
                  <c:v>25173</c:v>
                </c:pt>
                <c:pt idx="252">
                  <c:v>25204</c:v>
                </c:pt>
                <c:pt idx="253">
                  <c:v>25235</c:v>
                </c:pt>
                <c:pt idx="254">
                  <c:v>25263</c:v>
                </c:pt>
                <c:pt idx="255">
                  <c:v>25294</c:v>
                </c:pt>
                <c:pt idx="256">
                  <c:v>25324</c:v>
                </c:pt>
                <c:pt idx="257">
                  <c:v>25355</c:v>
                </c:pt>
                <c:pt idx="258">
                  <c:v>25385</c:v>
                </c:pt>
                <c:pt idx="259">
                  <c:v>25416</c:v>
                </c:pt>
                <c:pt idx="260">
                  <c:v>25447</c:v>
                </c:pt>
                <c:pt idx="261">
                  <c:v>25477</c:v>
                </c:pt>
                <c:pt idx="262">
                  <c:v>25508</c:v>
                </c:pt>
                <c:pt idx="263">
                  <c:v>25538</c:v>
                </c:pt>
                <c:pt idx="264">
                  <c:v>25569</c:v>
                </c:pt>
                <c:pt idx="265">
                  <c:v>25600</c:v>
                </c:pt>
                <c:pt idx="266">
                  <c:v>25628</c:v>
                </c:pt>
                <c:pt idx="267">
                  <c:v>25659</c:v>
                </c:pt>
                <c:pt idx="268">
                  <c:v>25689</c:v>
                </c:pt>
                <c:pt idx="269">
                  <c:v>25720</c:v>
                </c:pt>
                <c:pt idx="270">
                  <c:v>25750</c:v>
                </c:pt>
                <c:pt idx="271">
                  <c:v>25781</c:v>
                </c:pt>
                <c:pt idx="272">
                  <c:v>25812</c:v>
                </c:pt>
                <c:pt idx="273">
                  <c:v>25842</c:v>
                </c:pt>
                <c:pt idx="274">
                  <c:v>25873</c:v>
                </c:pt>
                <c:pt idx="275">
                  <c:v>25903</c:v>
                </c:pt>
                <c:pt idx="276">
                  <c:v>25934</c:v>
                </c:pt>
                <c:pt idx="277">
                  <c:v>25965</c:v>
                </c:pt>
                <c:pt idx="278">
                  <c:v>25993</c:v>
                </c:pt>
                <c:pt idx="279">
                  <c:v>26024</c:v>
                </c:pt>
                <c:pt idx="280">
                  <c:v>26054</c:v>
                </c:pt>
                <c:pt idx="281">
                  <c:v>26085</c:v>
                </c:pt>
                <c:pt idx="282">
                  <c:v>26115</c:v>
                </c:pt>
                <c:pt idx="283">
                  <c:v>26146</c:v>
                </c:pt>
                <c:pt idx="284">
                  <c:v>26177</c:v>
                </c:pt>
                <c:pt idx="285">
                  <c:v>26207</c:v>
                </c:pt>
                <c:pt idx="286">
                  <c:v>26238</c:v>
                </c:pt>
                <c:pt idx="287">
                  <c:v>26268</c:v>
                </c:pt>
                <c:pt idx="288">
                  <c:v>26299</c:v>
                </c:pt>
                <c:pt idx="289">
                  <c:v>26330</c:v>
                </c:pt>
                <c:pt idx="290">
                  <c:v>26359</c:v>
                </c:pt>
                <c:pt idx="291">
                  <c:v>26390</c:v>
                </c:pt>
                <c:pt idx="292">
                  <c:v>26420</c:v>
                </c:pt>
                <c:pt idx="293">
                  <c:v>26451</c:v>
                </c:pt>
                <c:pt idx="294">
                  <c:v>26481</c:v>
                </c:pt>
                <c:pt idx="295">
                  <c:v>26512</c:v>
                </c:pt>
                <c:pt idx="296">
                  <c:v>26543</c:v>
                </c:pt>
                <c:pt idx="297">
                  <c:v>26573</c:v>
                </c:pt>
                <c:pt idx="298">
                  <c:v>26604</c:v>
                </c:pt>
                <c:pt idx="299">
                  <c:v>26634</c:v>
                </c:pt>
                <c:pt idx="300">
                  <c:v>26665</c:v>
                </c:pt>
                <c:pt idx="301">
                  <c:v>26696</c:v>
                </c:pt>
                <c:pt idx="302">
                  <c:v>26724</c:v>
                </c:pt>
                <c:pt idx="303">
                  <c:v>26755</c:v>
                </c:pt>
                <c:pt idx="304">
                  <c:v>26785</c:v>
                </c:pt>
                <c:pt idx="305">
                  <c:v>26816</c:v>
                </c:pt>
                <c:pt idx="306">
                  <c:v>26846</c:v>
                </c:pt>
                <c:pt idx="307">
                  <c:v>26877</c:v>
                </c:pt>
                <c:pt idx="308">
                  <c:v>26908</c:v>
                </c:pt>
                <c:pt idx="309">
                  <c:v>26938</c:v>
                </c:pt>
                <c:pt idx="310">
                  <c:v>26969</c:v>
                </c:pt>
                <c:pt idx="311">
                  <c:v>26999</c:v>
                </c:pt>
                <c:pt idx="312">
                  <c:v>27030</c:v>
                </c:pt>
                <c:pt idx="313">
                  <c:v>27061</c:v>
                </c:pt>
                <c:pt idx="314">
                  <c:v>27089</c:v>
                </c:pt>
                <c:pt idx="315">
                  <c:v>27120</c:v>
                </c:pt>
                <c:pt idx="316">
                  <c:v>27150</c:v>
                </c:pt>
                <c:pt idx="317">
                  <c:v>27181</c:v>
                </c:pt>
                <c:pt idx="318">
                  <c:v>27211</c:v>
                </c:pt>
                <c:pt idx="319">
                  <c:v>27242</c:v>
                </c:pt>
                <c:pt idx="320">
                  <c:v>27273</c:v>
                </c:pt>
                <c:pt idx="321">
                  <c:v>27303</c:v>
                </c:pt>
                <c:pt idx="322">
                  <c:v>27334</c:v>
                </c:pt>
                <c:pt idx="323">
                  <c:v>27364</c:v>
                </c:pt>
                <c:pt idx="324">
                  <c:v>27395</c:v>
                </c:pt>
                <c:pt idx="325">
                  <c:v>27426</c:v>
                </c:pt>
                <c:pt idx="326">
                  <c:v>27454</c:v>
                </c:pt>
                <c:pt idx="327">
                  <c:v>27485</c:v>
                </c:pt>
                <c:pt idx="328">
                  <c:v>27515</c:v>
                </c:pt>
                <c:pt idx="329">
                  <c:v>27546</c:v>
                </c:pt>
                <c:pt idx="330">
                  <c:v>27576</c:v>
                </c:pt>
                <c:pt idx="331">
                  <c:v>27607</c:v>
                </c:pt>
                <c:pt idx="332">
                  <c:v>27638</c:v>
                </c:pt>
                <c:pt idx="333">
                  <c:v>27668</c:v>
                </c:pt>
                <c:pt idx="334">
                  <c:v>27699</c:v>
                </c:pt>
                <c:pt idx="335">
                  <c:v>27729</c:v>
                </c:pt>
                <c:pt idx="336">
                  <c:v>27760</c:v>
                </c:pt>
                <c:pt idx="337">
                  <c:v>27791</c:v>
                </c:pt>
                <c:pt idx="338">
                  <c:v>27820</c:v>
                </c:pt>
                <c:pt idx="339">
                  <c:v>27851</c:v>
                </c:pt>
                <c:pt idx="340">
                  <c:v>27881</c:v>
                </c:pt>
                <c:pt idx="341">
                  <c:v>27912</c:v>
                </c:pt>
                <c:pt idx="342">
                  <c:v>27942</c:v>
                </c:pt>
                <c:pt idx="343">
                  <c:v>27973</c:v>
                </c:pt>
                <c:pt idx="344">
                  <c:v>28004</c:v>
                </c:pt>
                <c:pt idx="345">
                  <c:v>28034</c:v>
                </c:pt>
                <c:pt idx="346">
                  <c:v>28065</c:v>
                </c:pt>
                <c:pt idx="347">
                  <c:v>28095</c:v>
                </c:pt>
                <c:pt idx="348">
                  <c:v>28126</c:v>
                </c:pt>
                <c:pt idx="349">
                  <c:v>28157</c:v>
                </c:pt>
                <c:pt idx="350">
                  <c:v>28185</c:v>
                </c:pt>
                <c:pt idx="351">
                  <c:v>28216</c:v>
                </c:pt>
                <c:pt idx="352">
                  <c:v>28246</c:v>
                </c:pt>
                <c:pt idx="353">
                  <c:v>28277</c:v>
                </c:pt>
                <c:pt idx="354">
                  <c:v>28307</c:v>
                </c:pt>
                <c:pt idx="355">
                  <c:v>28338</c:v>
                </c:pt>
                <c:pt idx="356">
                  <c:v>28369</c:v>
                </c:pt>
                <c:pt idx="357">
                  <c:v>28399</c:v>
                </c:pt>
                <c:pt idx="358">
                  <c:v>28430</c:v>
                </c:pt>
                <c:pt idx="359">
                  <c:v>28460</c:v>
                </c:pt>
                <c:pt idx="360">
                  <c:v>28491</c:v>
                </c:pt>
                <c:pt idx="361">
                  <c:v>28522</c:v>
                </c:pt>
                <c:pt idx="362">
                  <c:v>28550</c:v>
                </c:pt>
                <c:pt idx="363">
                  <c:v>28581</c:v>
                </c:pt>
                <c:pt idx="364">
                  <c:v>28611</c:v>
                </c:pt>
                <c:pt idx="365">
                  <c:v>28642</c:v>
                </c:pt>
                <c:pt idx="366">
                  <c:v>28672</c:v>
                </c:pt>
                <c:pt idx="367">
                  <c:v>28703</c:v>
                </c:pt>
                <c:pt idx="368">
                  <c:v>28734</c:v>
                </c:pt>
                <c:pt idx="369">
                  <c:v>28764</c:v>
                </c:pt>
                <c:pt idx="370">
                  <c:v>28795</c:v>
                </c:pt>
                <c:pt idx="371">
                  <c:v>28825</c:v>
                </c:pt>
                <c:pt idx="372">
                  <c:v>28856</c:v>
                </c:pt>
                <c:pt idx="373">
                  <c:v>28887</c:v>
                </c:pt>
                <c:pt idx="374">
                  <c:v>28915</c:v>
                </c:pt>
                <c:pt idx="375">
                  <c:v>28946</c:v>
                </c:pt>
                <c:pt idx="376">
                  <c:v>28976</c:v>
                </c:pt>
                <c:pt idx="377">
                  <c:v>29007</c:v>
                </c:pt>
                <c:pt idx="378">
                  <c:v>29037</c:v>
                </c:pt>
                <c:pt idx="379">
                  <c:v>29068</c:v>
                </c:pt>
                <c:pt idx="380">
                  <c:v>29099</c:v>
                </c:pt>
                <c:pt idx="381">
                  <c:v>29129</c:v>
                </c:pt>
                <c:pt idx="382">
                  <c:v>29160</c:v>
                </c:pt>
                <c:pt idx="383">
                  <c:v>29190</c:v>
                </c:pt>
                <c:pt idx="384">
                  <c:v>29221</c:v>
                </c:pt>
                <c:pt idx="385">
                  <c:v>29252</c:v>
                </c:pt>
                <c:pt idx="386">
                  <c:v>29281</c:v>
                </c:pt>
                <c:pt idx="387">
                  <c:v>29312</c:v>
                </c:pt>
                <c:pt idx="388">
                  <c:v>29342</c:v>
                </c:pt>
                <c:pt idx="389">
                  <c:v>29373</c:v>
                </c:pt>
                <c:pt idx="390">
                  <c:v>29403</c:v>
                </c:pt>
                <c:pt idx="391">
                  <c:v>29434</c:v>
                </c:pt>
                <c:pt idx="392">
                  <c:v>29465</c:v>
                </c:pt>
                <c:pt idx="393">
                  <c:v>29495</c:v>
                </c:pt>
                <c:pt idx="394">
                  <c:v>29526</c:v>
                </c:pt>
                <c:pt idx="395">
                  <c:v>29556</c:v>
                </c:pt>
                <c:pt idx="396">
                  <c:v>29587</c:v>
                </c:pt>
                <c:pt idx="397">
                  <c:v>29618</c:v>
                </c:pt>
                <c:pt idx="398">
                  <c:v>29646</c:v>
                </c:pt>
                <c:pt idx="399">
                  <c:v>29677</c:v>
                </c:pt>
                <c:pt idx="400">
                  <c:v>29707</c:v>
                </c:pt>
                <c:pt idx="401">
                  <c:v>29738</c:v>
                </c:pt>
                <c:pt idx="402">
                  <c:v>29768</c:v>
                </c:pt>
                <c:pt idx="403">
                  <c:v>29799</c:v>
                </c:pt>
                <c:pt idx="404">
                  <c:v>29830</c:v>
                </c:pt>
                <c:pt idx="405">
                  <c:v>29860</c:v>
                </c:pt>
                <c:pt idx="406">
                  <c:v>29891</c:v>
                </c:pt>
                <c:pt idx="407">
                  <c:v>29921</c:v>
                </c:pt>
                <c:pt idx="408">
                  <c:v>29952</c:v>
                </c:pt>
                <c:pt idx="409">
                  <c:v>29983</c:v>
                </c:pt>
                <c:pt idx="410">
                  <c:v>30011</c:v>
                </c:pt>
                <c:pt idx="411">
                  <c:v>30042</c:v>
                </c:pt>
                <c:pt idx="412">
                  <c:v>30072</c:v>
                </c:pt>
                <c:pt idx="413">
                  <c:v>30103</c:v>
                </c:pt>
                <c:pt idx="414">
                  <c:v>30133</c:v>
                </c:pt>
                <c:pt idx="415">
                  <c:v>30164</c:v>
                </c:pt>
                <c:pt idx="416">
                  <c:v>30195</c:v>
                </c:pt>
                <c:pt idx="417">
                  <c:v>30225</c:v>
                </c:pt>
                <c:pt idx="418">
                  <c:v>30256</c:v>
                </c:pt>
                <c:pt idx="419">
                  <c:v>30286</c:v>
                </c:pt>
                <c:pt idx="420">
                  <c:v>30317</c:v>
                </c:pt>
                <c:pt idx="421">
                  <c:v>30348</c:v>
                </c:pt>
                <c:pt idx="422">
                  <c:v>30376</c:v>
                </c:pt>
                <c:pt idx="423">
                  <c:v>30407</c:v>
                </c:pt>
                <c:pt idx="424">
                  <c:v>30437</c:v>
                </c:pt>
                <c:pt idx="425">
                  <c:v>30468</c:v>
                </c:pt>
                <c:pt idx="426">
                  <c:v>30498</c:v>
                </c:pt>
                <c:pt idx="427">
                  <c:v>30529</c:v>
                </c:pt>
                <c:pt idx="428">
                  <c:v>30560</c:v>
                </c:pt>
                <c:pt idx="429">
                  <c:v>30590</c:v>
                </c:pt>
                <c:pt idx="430">
                  <c:v>30621</c:v>
                </c:pt>
                <c:pt idx="431">
                  <c:v>30651</c:v>
                </c:pt>
                <c:pt idx="432">
                  <c:v>30682</c:v>
                </c:pt>
                <c:pt idx="433">
                  <c:v>30713</c:v>
                </c:pt>
                <c:pt idx="434">
                  <c:v>30742</c:v>
                </c:pt>
                <c:pt idx="435">
                  <c:v>30773</c:v>
                </c:pt>
                <c:pt idx="436">
                  <c:v>30803</c:v>
                </c:pt>
                <c:pt idx="437">
                  <c:v>30834</c:v>
                </c:pt>
                <c:pt idx="438">
                  <c:v>30864</c:v>
                </c:pt>
                <c:pt idx="439">
                  <c:v>30895</c:v>
                </c:pt>
                <c:pt idx="440">
                  <c:v>30926</c:v>
                </c:pt>
                <c:pt idx="441">
                  <c:v>30956</c:v>
                </c:pt>
                <c:pt idx="442">
                  <c:v>30987</c:v>
                </c:pt>
                <c:pt idx="443">
                  <c:v>31017</c:v>
                </c:pt>
                <c:pt idx="444">
                  <c:v>31048</c:v>
                </c:pt>
                <c:pt idx="445">
                  <c:v>31079</c:v>
                </c:pt>
                <c:pt idx="446">
                  <c:v>31107</c:v>
                </c:pt>
                <c:pt idx="447">
                  <c:v>31138</c:v>
                </c:pt>
                <c:pt idx="448">
                  <c:v>31168</c:v>
                </c:pt>
                <c:pt idx="449">
                  <c:v>31199</c:v>
                </c:pt>
                <c:pt idx="450">
                  <c:v>31229</c:v>
                </c:pt>
                <c:pt idx="451">
                  <c:v>31260</c:v>
                </c:pt>
                <c:pt idx="452">
                  <c:v>31291</c:v>
                </c:pt>
                <c:pt idx="453">
                  <c:v>31321</c:v>
                </c:pt>
                <c:pt idx="454">
                  <c:v>31352</c:v>
                </c:pt>
                <c:pt idx="455">
                  <c:v>31382</c:v>
                </c:pt>
                <c:pt idx="456">
                  <c:v>31413</c:v>
                </c:pt>
                <c:pt idx="457">
                  <c:v>31444</c:v>
                </c:pt>
                <c:pt idx="458">
                  <c:v>31472</c:v>
                </c:pt>
                <c:pt idx="459">
                  <c:v>31503</c:v>
                </c:pt>
                <c:pt idx="460">
                  <c:v>31533</c:v>
                </c:pt>
                <c:pt idx="461">
                  <c:v>31564</c:v>
                </c:pt>
                <c:pt idx="462">
                  <c:v>31594</c:v>
                </c:pt>
                <c:pt idx="463">
                  <c:v>31625</c:v>
                </c:pt>
                <c:pt idx="464">
                  <c:v>31656</c:v>
                </c:pt>
                <c:pt idx="465">
                  <c:v>31686</c:v>
                </c:pt>
                <c:pt idx="466">
                  <c:v>31717</c:v>
                </c:pt>
                <c:pt idx="467">
                  <c:v>31747</c:v>
                </c:pt>
                <c:pt idx="468">
                  <c:v>31778</c:v>
                </c:pt>
                <c:pt idx="469">
                  <c:v>31809</c:v>
                </c:pt>
                <c:pt idx="470">
                  <c:v>31837</c:v>
                </c:pt>
                <c:pt idx="471">
                  <c:v>31868</c:v>
                </c:pt>
                <c:pt idx="472">
                  <c:v>31898</c:v>
                </c:pt>
                <c:pt idx="473">
                  <c:v>31929</c:v>
                </c:pt>
                <c:pt idx="474">
                  <c:v>31959</c:v>
                </c:pt>
                <c:pt idx="475">
                  <c:v>31990</c:v>
                </c:pt>
                <c:pt idx="476">
                  <c:v>32021</c:v>
                </c:pt>
                <c:pt idx="477">
                  <c:v>32051</c:v>
                </c:pt>
                <c:pt idx="478">
                  <c:v>32082</c:v>
                </c:pt>
                <c:pt idx="479">
                  <c:v>32112</c:v>
                </c:pt>
                <c:pt idx="480">
                  <c:v>32143</c:v>
                </c:pt>
                <c:pt idx="481">
                  <c:v>32174</c:v>
                </c:pt>
                <c:pt idx="482">
                  <c:v>32203</c:v>
                </c:pt>
                <c:pt idx="483">
                  <c:v>32234</c:v>
                </c:pt>
                <c:pt idx="484">
                  <c:v>32264</c:v>
                </c:pt>
                <c:pt idx="485">
                  <c:v>32295</c:v>
                </c:pt>
                <c:pt idx="486">
                  <c:v>32325</c:v>
                </c:pt>
                <c:pt idx="487">
                  <c:v>32356</c:v>
                </c:pt>
                <c:pt idx="488">
                  <c:v>32387</c:v>
                </c:pt>
                <c:pt idx="489">
                  <c:v>32417</c:v>
                </c:pt>
                <c:pt idx="490">
                  <c:v>32448</c:v>
                </c:pt>
                <c:pt idx="491">
                  <c:v>32478</c:v>
                </c:pt>
                <c:pt idx="492">
                  <c:v>32509</c:v>
                </c:pt>
                <c:pt idx="493">
                  <c:v>32540</c:v>
                </c:pt>
                <c:pt idx="494">
                  <c:v>32568</c:v>
                </c:pt>
                <c:pt idx="495">
                  <c:v>32599</c:v>
                </c:pt>
                <c:pt idx="496">
                  <c:v>32629</c:v>
                </c:pt>
                <c:pt idx="497">
                  <c:v>32660</c:v>
                </c:pt>
                <c:pt idx="498">
                  <c:v>32690</c:v>
                </c:pt>
                <c:pt idx="499">
                  <c:v>32721</c:v>
                </c:pt>
                <c:pt idx="500">
                  <c:v>32752</c:v>
                </c:pt>
                <c:pt idx="501">
                  <c:v>32782</c:v>
                </c:pt>
                <c:pt idx="502">
                  <c:v>32813</c:v>
                </c:pt>
                <c:pt idx="503">
                  <c:v>32843</c:v>
                </c:pt>
                <c:pt idx="504">
                  <c:v>32874</c:v>
                </c:pt>
                <c:pt idx="505">
                  <c:v>32905</c:v>
                </c:pt>
                <c:pt idx="506">
                  <c:v>32933</c:v>
                </c:pt>
                <c:pt idx="507">
                  <c:v>32964</c:v>
                </c:pt>
                <c:pt idx="508">
                  <c:v>32994</c:v>
                </c:pt>
                <c:pt idx="509">
                  <c:v>33025</c:v>
                </c:pt>
                <c:pt idx="510">
                  <c:v>33055</c:v>
                </c:pt>
                <c:pt idx="511">
                  <c:v>33086</c:v>
                </c:pt>
                <c:pt idx="512">
                  <c:v>33117</c:v>
                </c:pt>
                <c:pt idx="513">
                  <c:v>33147</c:v>
                </c:pt>
                <c:pt idx="514">
                  <c:v>33178</c:v>
                </c:pt>
                <c:pt idx="515">
                  <c:v>33208</c:v>
                </c:pt>
                <c:pt idx="516">
                  <c:v>33239</c:v>
                </c:pt>
                <c:pt idx="517">
                  <c:v>33270</c:v>
                </c:pt>
                <c:pt idx="518">
                  <c:v>33298</c:v>
                </c:pt>
                <c:pt idx="519">
                  <c:v>33329</c:v>
                </c:pt>
                <c:pt idx="520">
                  <c:v>33359</c:v>
                </c:pt>
                <c:pt idx="521">
                  <c:v>33390</c:v>
                </c:pt>
                <c:pt idx="522">
                  <c:v>33420</c:v>
                </c:pt>
                <c:pt idx="523">
                  <c:v>33451</c:v>
                </c:pt>
                <c:pt idx="524">
                  <c:v>33482</c:v>
                </c:pt>
                <c:pt idx="525">
                  <c:v>33512</c:v>
                </c:pt>
                <c:pt idx="526">
                  <c:v>33543</c:v>
                </c:pt>
                <c:pt idx="527">
                  <c:v>33573</c:v>
                </c:pt>
                <c:pt idx="528">
                  <c:v>33604</c:v>
                </c:pt>
                <c:pt idx="529">
                  <c:v>33635</c:v>
                </c:pt>
                <c:pt idx="530">
                  <c:v>33664</c:v>
                </c:pt>
                <c:pt idx="531">
                  <c:v>33695</c:v>
                </c:pt>
                <c:pt idx="532">
                  <c:v>33725</c:v>
                </c:pt>
                <c:pt idx="533">
                  <c:v>33756</c:v>
                </c:pt>
                <c:pt idx="534">
                  <c:v>33786</c:v>
                </c:pt>
                <c:pt idx="535">
                  <c:v>33817</c:v>
                </c:pt>
                <c:pt idx="536">
                  <c:v>33848</c:v>
                </c:pt>
                <c:pt idx="537">
                  <c:v>33878</c:v>
                </c:pt>
                <c:pt idx="538">
                  <c:v>33909</c:v>
                </c:pt>
                <c:pt idx="539">
                  <c:v>33939</c:v>
                </c:pt>
                <c:pt idx="540">
                  <c:v>33970</c:v>
                </c:pt>
                <c:pt idx="541">
                  <c:v>34001</c:v>
                </c:pt>
                <c:pt idx="542">
                  <c:v>34029</c:v>
                </c:pt>
                <c:pt idx="543">
                  <c:v>34060</c:v>
                </c:pt>
                <c:pt idx="544">
                  <c:v>34090</c:v>
                </c:pt>
                <c:pt idx="545">
                  <c:v>34121</c:v>
                </c:pt>
                <c:pt idx="546">
                  <c:v>34151</c:v>
                </c:pt>
                <c:pt idx="547">
                  <c:v>34182</c:v>
                </c:pt>
                <c:pt idx="548">
                  <c:v>34213</c:v>
                </c:pt>
                <c:pt idx="549">
                  <c:v>34243</c:v>
                </c:pt>
                <c:pt idx="550">
                  <c:v>34274</c:v>
                </c:pt>
                <c:pt idx="551">
                  <c:v>34304</c:v>
                </c:pt>
                <c:pt idx="552">
                  <c:v>34335</c:v>
                </c:pt>
                <c:pt idx="553">
                  <c:v>34366</c:v>
                </c:pt>
                <c:pt idx="554">
                  <c:v>34394</c:v>
                </c:pt>
                <c:pt idx="555">
                  <c:v>34425</c:v>
                </c:pt>
                <c:pt idx="556">
                  <c:v>34455</c:v>
                </c:pt>
                <c:pt idx="557">
                  <c:v>34486</c:v>
                </c:pt>
                <c:pt idx="558">
                  <c:v>34516</c:v>
                </c:pt>
                <c:pt idx="559">
                  <c:v>34547</c:v>
                </c:pt>
                <c:pt idx="560">
                  <c:v>34578</c:v>
                </c:pt>
                <c:pt idx="561">
                  <c:v>34608</c:v>
                </c:pt>
                <c:pt idx="562">
                  <c:v>34639</c:v>
                </c:pt>
                <c:pt idx="563">
                  <c:v>34669</c:v>
                </c:pt>
                <c:pt idx="564">
                  <c:v>34700</c:v>
                </c:pt>
                <c:pt idx="565">
                  <c:v>34731</c:v>
                </c:pt>
                <c:pt idx="566">
                  <c:v>34759</c:v>
                </c:pt>
                <c:pt idx="567">
                  <c:v>34790</c:v>
                </c:pt>
                <c:pt idx="568">
                  <c:v>34820</c:v>
                </c:pt>
                <c:pt idx="569">
                  <c:v>34851</c:v>
                </c:pt>
                <c:pt idx="570">
                  <c:v>34881</c:v>
                </c:pt>
                <c:pt idx="571">
                  <c:v>34912</c:v>
                </c:pt>
                <c:pt idx="572">
                  <c:v>34943</c:v>
                </c:pt>
                <c:pt idx="573">
                  <c:v>34973</c:v>
                </c:pt>
                <c:pt idx="574">
                  <c:v>35004</c:v>
                </c:pt>
                <c:pt idx="575">
                  <c:v>35034</c:v>
                </c:pt>
                <c:pt idx="576">
                  <c:v>35065</c:v>
                </c:pt>
                <c:pt idx="577">
                  <c:v>35096</c:v>
                </c:pt>
                <c:pt idx="578">
                  <c:v>35125</c:v>
                </c:pt>
                <c:pt idx="579">
                  <c:v>35156</c:v>
                </c:pt>
                <c:pt idx="580">
                  <c:v>35186</c:v>
                </c:pt>
                <c:pt idx="581">
                  <c:v>35217</c:v>
                </c:pt>
                <c:pt idx="582">
                  <c:v>35247</c:v>
                </c:pt>
                <c:pt idx="583">
                  <c:v>35278</c:v>
                </c:pt>
                <c:pt idx="584">
                  <c:v>35309</c:v>
                </c:pt>
                <c:pt idx="585">
                  <c:v>35339</c:v>
                </c:pt>
                <c:pt idx="586">
                  <c:v>35370</c:v>
                </c:pt>
                <c:pt idx="587">
                  <c:v>35400</c:v>
                </c:pt>
                <c:pt idx="588">
                  <c:v>35431</c:v>
                </c:pt>
                <c:pt idx="589">
                  <c:v>35462</c:v>
                </c:pt>
                <c:pt idx="590">
                  <c:v>35490</c:v>
                </c:pt>
                <c:pt idx="591">
                  <c:v>35521</c:v>
                </c:pt>
                <c:pt idx="592">
                  <c:v>35551</c:v>
                </c:pt>
                <c:pt idx="593">
                  <c:v>35582</c:v>
                </c:pt>
                <c:pt idx="594">
                  <c:v>35612</c:v>
                </c:pt>
                <c:pt idx="595">
                  <c:v>35643</c:v>
                </c:pt>
                <c:pt idx="596">
                  <c:v>35674</c:v>
                </c:pt>
                <c:pt idx="597">
                  <c:v>35704</c:v>
                </c:pt>
                <c:pt idx="598">
                  <c:v>35735</c:v>
                </c:pt>
                <c:pt idx="599">
                  <c:v>35765</c:v>
                </c:pt>
                <c:pt idx="600">
                  <c:v>35796</c:v>
                </c:pt>
                <c:pt idx="601">
                  <c:v>35827</c:v>
                </c:pt>
                <c:pt idx="602">
                  <c:v>35855</c:v>
                </c:pt>
                <c:pt idx="603">
                  <c:v>35886</c:v>
                </c:pt>
                <c:pt idx="604">
                  <c:v>35916</c:v>
                </c:pt>
                <c:pt idx="605">
                  <c:v>35947</c:v>
                </c:pt>
                <c:pt idx="606">
                  <c:v>35977</c:v>
                </c:pt>
                <c:pt idx="607">
                  <c:v>36008</c:v>
                </c:pt>
                <c:pt idx="608">
                  <c:v>36039</c:v>
                </c:pt>
                <c:pt idx="609">
                  <c:v>36069</c:v>
                </c:pt>
                <c:pt idx="610">
                  <c:v>36100</c:v>
                </c:pt>
                <c:pt idx="611">
                  <c:v>36130</c:v>
                </c:pt>
                <c:pt idx="612">
                  <c:v>36161</c:v>
                </c:pt>
                <c:pt idx="613">
                  <c:v>36192</c:v>
                </c:pt>
                <c:pt idx="614">
                  <c:v>36220</c:v>
                </c:pt>
                <c:pt idx="615">
                  <c:v>36251</c:v>
                </c:pt>
                <c:pt idx="616">
                  <c:v>36281</c:v>
                </c:pt>
                <c:pt idx="617">
                  <c:v>36312</c:v>
                </c:pt>
                <c:pt idx="618">
                  <c:v>36342</c:v>
                </c:pt>
                <c:pt idx="619">
                  <c:v>36373</c:v>
                </c:pt>
                <c:pt idx="620">
                  <c:v>36404</c:v>
                </c:pt>
                <c:pt idx="621">
                  <c:v>36434</c:v>
                </c:pt>
                <c:pt idx="622">
                  <c:v>36465</c:v>
                </c:pt>
                <c:pt idx="623">
                  <c:v>36495</c:v>
                </c:pt>
                <c:pt idx="624">
                  <c:v>36526</c:v>
                </c:pt>
                <c:pt idx="625">
                  <c:v>36557</c:v>
                </c:pt>
                <c:pt idx="626">
                  <c:v>36586</c:v>
                </c:pt>
                <c:pt idx="627">
                  <c:v>36617</c:v>
                </c:pt>
                <c:pt idx="628">
                  <c:v>36647</c:v>
                </c:pt>
                <c:pt idx="629">
                  <c:v>36678</c:v>
                </c:pt>
                <c:pt idx="630">
                  <c:v>36708</c:v>
                </c:pt>
                <c:pt idx="631">
                  <c:v>36739</c:v>
                </c:pt>
                <c:pt idx="632">
                  <c:v>36770</c:v>
                </c:pt>
                <c:pt idx="633">
                  <c:v>36800</c:v>
                </c:pt>
                <c:pt idx="634">
                  <c:v>36831</c:v>
                </c:pt>
                <c:pt idx="635">
                  <c:v>36861</c:v>
                </c:pt>
                <c:pt idx="636">
                  <c:v>36892</c:v>
                </c:pt>
                <c:pt idx="637">
                  <c:v>36923</c:v>
                </c:pt>
                <c:pt idx="638">
                  <c:v>36951</c:v>
                </c:pt>
                <c:pt idx="639">
                  <c:v>36982</c:v>
                </c:pt>
                <c:pt idx="640">
                  <c:v>37012</c:v>
                </c:pt>
                <c:pt idx="641">
                  <c:v>37043</c:v>
                </c:pt>
                <c:pt idx="642">
                  <c:v>37073</c:v>
                </c:pt>
                <c:pt idx="643">
                  <c:v>37104</c:v>
                </c:pt>
                <c:pt idx="644">
                  <c:v>37135</c:v>
                </c:pt>
                <c:pt idx="645">
                  <c:v>37165</c:v>
                </c:pt>
                <c:pt idx="646">
                  <c:v>37196</c:v>
                </c:pt>
                <c:pt idx="647">
                  <c:v>37226</c:v>
                </c:pt>
                <c:pt idx="648">
                  <c:v>37257</c:v>
                </c:pt>
                <c:pt idx="649">
                  <c:v>37288</c:v>
                </c:pt>
                <c:pt idx="650">
                  <c:v>37316</c:v>
                </c:pt>
                <c:pt idx="651">
                  <c:v>37347</c:v>
                </c:pt>
                <c:pt idx="652">
                  <c:v>37377</c:v>
                </c:pt>
                <c:pt idx="653">
                  <c:v>37408</c:v>
                </c:pt>
                <c:pt idx="654">
                  <c:v>37438</c:v>
                </c:pt>
                <c:pt idx="655">
                  <c:v>37469</c:v>
                </c:pt>
                <c:pt idx="656">
                  <c:v>37500</c:v>
                </c:pt>
                <c:pt idx="657">
                  <c:v>37530</c:v>
                </c:pt>
                <c:pt idx="658">
                  <c:v>37561</c:v>
                </c:pt>
                <c:pt idx="659">
                  <c:v>37591</c:v>
                </c:pt>
                <c:pt idx="660">
                  <c:v>37622</c:v>
                </c:pt>
                <c:pt idx="661">
                  <c:v>37653</c:v>
                </c:pt>
                <c:pt idx="662">
                  <c:v>37681</c:v>
                </c:pt>
                <c:pt idx="663">
                  <c:v>37712</c:v>
                </c:pt>
                <c:pt idx="664">
                  <c:v>37742</c:v>
                </c:pt>
                <c:pt idx="665">
                  <c:v>37773</c:v>
                </c:pt>
                <c:pt idx="666">
                  <c:v>37803</c:v>
                </c:pt>
                <c:pt idx="667">
                  <c:v>37834</c:v>
                </c:pt>
                <c:pt idx="668">
                  <c:v>37865</c:v>
                </c:pt>
                <c:pt idx="669">
                  <c:v>37895</c:v>
                </c:pt>
                <c:pt idx="670">
                  <c:v>37926</c:v>
                </c:pt>
                <c:pt idx="671">
                  <c:v>37956</c:v>
                </c:pt>
                <c:pt idx="672">
                  <c:v>37987</c:v>
                </c:pt>
                <c:pt idx="673">
                  <c:v>38018</c:v>
                </c:pt>
                <c:pt idx="674">
                  <c:v>38047</c:v>
                </c:pt>
                <c:pt idx="675">
                  <c:v>38078</c:v>
                </c:pt>
                <c:pt idx="676">
                  <c:v>38108</c:v>
                </c:pt>
                <c:pt idx="677">
                  <c:v>38139</c:v>
                </c:pt>
                <c:pt idx="678">
                  <c:v>38169</c:v>
                </c:pt>
                <c:pt idx="679">
                  <c:v>38200</c:v>
                </c:pt>
                <c:pt idx="680">
                  <c:v>38231</c:v>
                </c:pt>
                <c:pt idx="681">
                  <c:v>38261</c:v>
                </c:pt>
                <c:pt idx="682">
                  <c:v>38292</c:v>
                </c:pt>
                <c:pt idx="683">
                  <c:v>38322</c:v>
                </c:pt>
                <c:pt idx="684">
                  <c:v>38353</c:v>
                </c:pt>
                <c:pt idx="685">
                  <c:v>38384</c:v>
                </c:pt>
                <c:pt idx="686">
                  <c:v>38412</c:v>
                </c:pt>
                <c:pt idx="687">
                  <c:v>38443</c:v>
                </c:pt>
                <c:pt idx="688">
                  <c:v>38473</c:v>
                </c:pt>
                <c:pt idx="689">
                  <c:v>38504</c:v>
                </c:pt>
                <c:pt idx="690">
                  <c:v>38534</c:v>
                </c:pt>
                <c:pt idx="691">
                  <c:v>38565</c:v>
                </c:pt>
                <c:pt idx="692">
                  <c:v>38596</c:v>
                </c:pt>
                <c:pt idx="693">
                  <c:v>38626</c:v>
                </c:pt>
                <c:pt idx="694">
                  <c:v>38657</c:v>
                </c:pt>
                <c:pt idx="695">
                  <c:v>38687</c:v>
                </c:pt>
                <c:pt idx="696">
                  <c:v>38718</c:v>
                </c:pt>
                <c:pt idx="697">
                  <c:v>38749</c:v>
                </c:pt>
                <c:pt idx="698">
                  <c:v>38777</c:v>
                </c:pt>
                <c:pt idx="699">
                  <c:v>38808</c:v>
                </c:pt>
                <c:pt idx="700">
                  <c:v>38838</c:v>
                </c:pt>
                <c:pt idx="701">
                  <c:v>38869</c:v>
                </c:pt>
                <c:pt idx="702">
                  <c:v>38899</c:v>
                </c:pt>
                <c:pt idx="703">
                  <c:v>38930</c:v>
                </c:pt>
                <c:pt idx="704">
                  <c:v>38961</c:v>
                </c:pt>
                <c:pt idx="705">
                  <c:v>38991</c:v>
                </c:pt>
                <c:pt idx="706">
                  <c:v>39022</c:v>
                </c:pt>
                <c:pt idx="707">
                  <c:v>39052</c:v>
                </c:pt>
                <c:pt idx="708">
                  <c:v>39083</c:v>
                </c:pt>
                <c:pt idx="709">
                  <c:v>39114</c:v>
                </c:pt>
                <c:pt idx="710">
                  <c:v>39142</c:v>
                </c:pt>
                <c:pt idx="711">
                  <c:v>39173</c:v>
                </c:pt>
                <c:pt idx="712">
                  <c:v>39203</c:v>
                </c:pt>
                <c:pt idx="713">
                  <c:v>39234</c:v>
                </c:pt>
                <c:pt idx="714">
                  <c:v>39264</c:v>
                </c:pt>
                <c:pt idx="715">
                  <c:v>39295</c:v>
                </c:pt>
                <c:pt idx="716">
                  <c:v>39326</c:v>
                </c:pt>
                <c:pt idx="717">
                  <c:v>39356</c:v>
                </c:pt>
                <c:pt idx="718">
                  <c:v>39387</c:v>
                </c:pt>
                <c:pt idx="719">
                  <c:v>39417</c:v>
                </c:pt>
                <c:pt idx="720">
                  <c:v>39448</c:v>
                </c:pt>
                <c:pt idx="721">
                  <c:v>39479</c:v>
                </c:pt>
                <c:pt idx="722">
                  <c:v>39508</c:v>
                </c:pt>
                <c:pt idx="723">
                  <c:v>39539</c:v>
                </c:pt>
                <c:pt idx="724">
                  <c:v>39569</c:v>
                </c:pt>
                <c:pt idx="725">
                  <c:v>39600</c:v>
                </c:pt>
                <c:pt idx="726">
                  <c:v>39630</c:v>
                </c:pt>
                <c:pt idx="727">
                  <c:v>39661</c:v>
                </c:pt>
                <c:pt idx="728">
                  <c:v>39692</c:v>
                </c:pt>
                <c:pt idx="729">
                  <c:v>39722</c:v>
                </c:pt>
                <c:pt idx="730">
                  <c:v>39753</c:v>
                </c:pt>
                <c:pt idx="731">
                  <c:v>39783</c:v>
                </c:pt>
                <c:pt idx="732">
                  <c:v>39814</c:v>
                </c:pt>
                <c:pt idx="733">
                  <c:v>39845</c:v>
                </c:pt>
                <c:pt idx="734">
                  <c:v>39873</c:v>
                </c:pt>
                <c:pt idx="735">
                  <c:v>39904</c:v>
                </c:pt>
                <c:pt idx="736">
                  <c:v>39934</c:v>
                </c:pt>
                <c:pt idx="737">
                  <c:v>39965</c:v>
                </c:pt>
                <c:pt idx="738">
                  <c:v>39995</c:v>
                </c:pt>
                <c:pt idx="739">
                  <c:v>40026</c:v>
                </c:pt>
                <c:pt idx="740">
                  <c:v>40057</c:v>
                </c:pt>
                <c:pt idx="741">
                  <c:v>40087</c:v>
                </c:pt>
                <c:pt idx="742">
                  <c:v>40118</c:v>
                </c:pt>
                <c:pt idx="743">
                  <c:v>40148</c:v>
                </c:pt>
                <c:pt idx="744">
                  <c:v>40179</c:v>
                </c:pt>
                <c:pt idx="745">
                  <c:v>40210</c:v>
                </c:pt>
                <c:pt idx="746">
                  <c:v>40238</c:v>
                </c:pt>
                <c:pt idx="747">
                  <c:v>40269</c:v>
                </c:pt>
                <c:pt idx="748">
                  <c:v>40299</c:v>
                </c:pt>
                <c:pt idx="749">
                  <c:v>40330</c:v>
                </c:pt>
                <c:pt idx="750">
                  <c:v>40360</c:v>
                </c:pt>
                <c:pt idx="751">
                  <c:v>40391</c:v>
                </c:pt>
                <c:pt idx="752">
                  <c:v>40422</c:v>
                </c:pt>
                <c:pt idx="753">
                  <c:v>40452</c:v>
                </c:pt>
                <c:pt idx="754">
                  <c:v>40483</c:v>
                </c:pt>
                <c:pt idx="755">
                  <c:v>40513</c:v>
                </c:pt>
                <c:pt idx="756">
                  <c:v>40544</c:v>
                </c:pt>
                <c:pt idx="757">
                  <c:v>40575</c:v>
                </c:pt>
                <c:pt idx="758">
                  <c:v>40603</c:v>
                </c:pt>
                <c:pt idx="759">
                  <c:v>40634</c:v>
                </c:pt>
                <c:pt idx="760">
                  <c:v>40664</c:v>
                </c:pt>
                <c:pt idx="761">
                  <c:v>40695</c:v>
                </c:pt>
                <c:pt idx="762">
                  <c:v>40725</c:v>
                </c:pt>
                <c:pt idx="763">
                  <c:v>40756</c:v>
                </c:pt>
                <c:pt idx="764">
                  <c:v>40787</c:v>
                </c:pt>
                <c:pt idx="765">
                  <c:v>40817</c:v>
                </c:pt>
                <c:pt idx="766">
                  <c:v>40848</c:v>
                </c:pt>
                <c:pt idx="767">
                  <c:v>40878</c:v>
                </c:pt>
                <c:pt idx="768">
                  <c:v>40909</c:v>
                </c:pt>
                <c:pt idx="769">
                  <c:v>40940</c:v>
                </c:pt>
                <c:pt idx="770">
                  <c:v>40969</c:v>
                </c:pt>
                <c:pt idx="771">
                  <c:v>41000</c:v>
                </c:pt>
                <c:pt idx="772">
                  <c:v>41030</c:v>
                </c:pt>
                <c:pt idx="773">
                  <c:v>41061</c:v>
                </c:pt>
                <c:pt idx="774">
                  <c:v>41091</c:v>
                </c:pt>
                <c:pt idx="775">
                  <c:v>41122</c:v>
                </c:pt>
                <c:pt idx="776">
                  <c:v>41153</c:v>
                </c:pt>
                <c:pt idx="777">
                  <c:v>41183</c:v>
                </c:pt>
                <c:pt idx="778">
                  <c:v>41214</c:v>
                </c:pt>
                <c:pt idx="779">
                  <c:v>41244</c:v>
                </c:pt>
                <c:pt idx="780">
                  <c:v>41275</c:v>
                </c:pt>
                <c:pt idx="781">
                  <c:v>41306</c:v>
                </c:pt>
                <c:pt idx="782">
                  <c:v>41334</c:v>
                </c:pt>
                <c:pt idx="783">
                  <c:v>41365</c:v>
                </c:pt>
                <c:pt idx="784">
                  <c:v>41395</c:v>
                </c:pt>
                <c:pt idx="785">
                  <c:v>41426</c:v>
                </c:pt>
                <c:pt idx="786">
                  <c:v>41456</c:v>
                </c:pt>
                <c:pt idx="787">
                  <c:v>41487</c:v>
                </c:pt>
                <c:pt idx="788">
                  <c:v>41518</c:v>
                </c:pt>
                <c:pt idx="789">
                  <c:v>41548</c:v>
                </c:pt>
                <c:pt idx="790">
                  <c:v>41579</c:v>
                </c:pt>
                <c:pt idx="791">
                  <c:v>41609</c:v>
                </c:pt>
                <c:pt idx="792">
                  <c:v>41640</c:v>
                </c:pt>
                <c:pt idx="793">
                  <c:v>41671</c:v>
                </c:pt>
                <c:pt idx="794">
                  <c:v>41699</c:v>
                </c:pt>
                <c:pt idx="795">
                  <c:v>41730</c:v>
                </c:pt>
                <c:pt idx="796">
                  <c:v>41760</c:v>
                </c:pt>
                <c:pt idx="797">
                  <c:v>41791</c:v>
                </c:pt>
                <c:pt idx="798">
                  <c:v>41821</c:v>
                </c:pt>
                <c:pt idx="799">
                  <c:v>41852</c:v>
                </c:pt>
                <c:pt idx="800">
                  <c:v>41883</c:v>
                </c:pt>
                <c:pt idx="801">
                  <c:v>41913</c:v>
                </c:pt>
                <c:pt idx="802">
                  <c:v>41944</c:v>
                </c:pt>
                <c:pt idx="803">
                  <c:v>41974</c:v>
                </c:pt>
                <c:pt idx="804">
                  <c:v>42005</c:v>
                </c:pt>
                <c:pt idx="805">
                  <c:v>42036</c:v>
                </c:pt>
                <c:pt idx="806">
                  <c:v>42064</c:v>
                </c:pt>
                <c:pt idx="807">
                  <c:v>42095</c:v>
                </c:pt>
                <c:pt idx="808">
                  <c:v>42125</c:v>
                </c:pt>
                <c:pt idx="809">
                  <c:v>42156</c:v>
                </c:pt>
                <c:pt idx="810">
                  <c:v>42186</c:v>
                </c:pt>
                <c:pt idx="811">
                  <c:v>42217</c:v>
                </c:pt>
                <c:pt idx="812">
                  <c:v>42248</c:v>
                </c:pt>
                <c:pt idx="813">
                  <c:v>42278</c:v>
                </c:pt>
                <c:pt idx="814">
                  <c:v>42309</c:v>
                </c:pt>
                <c:pt idx="815">
                  <c:v>42339</c:v>
                </c:pt>
                <c:pt idx="816">
                  <c:v>42370</c:v>
                </c:pt>
                <c:pt idx="817">
                  <c:v>42401</c:v>
                </c:pt>
                <c:pt idx="818">
                  <c:v>42430</c:v>
                </c:pt>
                <c:pt idx="819">
                  <c:v>42461</c:v>
                </c:pt>
                <c:pt idx="820">
                  <c:v>42491</c:v>
                </c:pt>
                <c:pt idx="821">
                  <c:v>42522</c:v>
                </c:pt>
                <c:pt idx="822">
                  <c:v>42552</c:v>
                </c:pt>
                <c:pt idx="823">
                  <c:v>42583</c:v>
                </c:pt>
                <c:pt idx="824">
                  <c:v>42614</c:v>
                </c:pt>
                <c:pt idx="825">
                  <c:v>42644</c:v>
                </c:pt>
                <c:pt idx="826">
                  <c:v>42675</c:v>
                </c:pt>
                <c:pt idx="827">
                  <c:v>42705</c:v>
                </c:pt>
                <c:pt idx="828">
                  <c:v>42736</c:v>
                </c:pt>
                <c:pt idx="829">
                  <c:v>42767</c:v>
                </c:pt>
                <c:pt idx="830">
                  <c:v>42795</c:v>
                </c:pt>
                <c:pt idx="831">
                  <c:v>42826</c:v>
                </c:pt>
                <c:pt idx="832">
                  <c:v>42856</c:v>
                </c:pt>
                <c:pt idx="833">
                  <c:v>42887</c:v>
                </c:pt>
                <c:pt idx="834">
                  <c:v>42917</c:v>
                </c:pt>
                <c:pt idx="835">
                  <c:v>42948</c:v>
                </c:pt>
                <c:pt idx="836">
                  <c:v>42979</c:v>
                </c:pt>
                <c:pt idx="837">
                  <c:v>43009</c:v>
                </c:pt>
                <c:pt idx="838">
                  <c:v>43040</c:v>
                </c:pt>
                <c:pt idx="839">
                  <c:v>43070</c:v>
                </c:pt>
                <c:pt idx="840">
                  <c:v>43101</c:v>
                </c:pt>
                <c:pt idx="841">
                  <c:v>43132</c:v>
                </c:pt>
                <c:pt idx="842">
                  <c:v>43160</c:v>
                </c:pt>
                <c:pt idx="843">
                  <c:v>43191</c:v>
                </c:pt>
                <c:pt idx="844">
                  <c:v>43221</c:v>
                </c:pt>
                <c:pt idx="845">
                  <c:v>43252</c:v>
                </c:pt>
                <c:pt idx="846">
                  <c:v>43282</c:v>
                </c:pt>
                <c:pt idx="847">
                  <c:v>43313</c:v>
                </c:pt>
                <c:pt idx="848">
                  <c:v>43344</c:v>
                </c:pt>
                <c:pt idx="849">
                  <c:v>43374</c:v>
                </c:pt>
                <c:pt idx="850">
                  <c:v>43405</c:v>
                </c:pt>
                <c:pt idx="851">
                  <c:v>43435</c:v>
                </c:pt>
                <c:pt idx="852">
                  <c:v>43466</c:v>
                </c:pt>
                <c:pt idx="853">
                  <c:v>43497</c:v>
                </c:pt>
                <c:pt idx="854">
                  <c:v>43525</c:v>
                </c:pt>
                <c:pt idx="855">
                  <c:v>43556</c:v>
                </c:pt>
                <c:pt idx="856">
                  <c:v>43586</c:v>
                </c:pt>
                <c:pt idx="857">
                  <c:v>43617</c:v>
                </c:pt>
                <c:pt idx="858">
                  <c:v>43647</c:v>
                </c:pt>
                <c:pt idx="859">
                  <c:v>43678</c:v>
                </c:pt>
                <c:pt idx="860">
                  <c:v>43709</c:v>
                </c:pt>
                <c:pt idx="861">
                  <c:v>43739</c:v>
                </c:pt>
                <c:pt idx="862">
                  <c:v>43770</c:v>
                </c:pt>
                <c:pt idx="863">
                  <c:v>43800</c:v>
                </c:pt>
                <c:pt idx="864">
                  <c:v>43831</c:v>
                </c:pt>
                <c:pt idx="865">
                  <c:v>43862</c:v>
                </c:pt>
                <c:pt idx="866">
                  <c:v>43891</c:v>
                </c:pt>
                <c:pt idx="867">
                  <c:v>43922</c:v>
                </c:pt>
                <c:pt idx="868">
                  <c:v>43952</c:v>
                </c:pt>
                <c:pt idx="869">
                  <c:v>43983</c:v>
                </c:pt>
                <c:pt idx="870">
                  <c:v>44013</c:v>
                </c:pt>
                <c:pt idx="871">
                  <c:v>44044</c:v>
                </c:pt>
                <c:pt idx="872">
                  <c:v>44075</c:v>
                </c:pt>
                <c:pt idx="873">
                  <c:v>44105</c:v>
                </c:pt>
                <c:pt idx="874">
                  <c:v>44136</c:v>
                </c:pt>
                <c:pt idx="875">
                  <c:v>44166</c:v>
                </c:pt>
                <c:pt idx="876">
                  <c:v>44197</c:v>
                </c:pt>
                <c:pt idx="877">
                  <c:v>44228</c:v>
                </c:pt>
                <c:pt idx="878">
                  <c:v>44256</c:v>
                </c:pt>
                <c:pt idx="879">
                  <c:v>44287</c:v>
                </c:pt>
                <c:pt idx="880">
                  <c:v>44317</c:v>
                </c:pt>
                <c:pt idx="881">
                  <c:v>44348</c:v>
                </c:pt>
                <c:pt idx="882">
                  <c:v>44378</c:v>
                </c:pt>
                <c:pt idx="883">
                  <c:v>44409</c:v>
                </c:pt>
                <c:pt idx="884">
                  <c:v>44440</c:v>
                </c:pt>
                <c:pt idx="885">
                  <c:v>44470</c:v>
                </c:pt>
                <c:pt idx="886">
                  <c:v>44501</c:v>
                </c:pt>
                <c:pt idx="887">
                  <c:v>44531</c:v>
                </c:pt>
              </c:numCache>
            </c:numRef>
          </c:cat>
          <c:val>
            <c:numRef>
              <c:f>CPI!$D$17:$D$912</c:f>
              <c:numCache>
                <c:formatCode>0.00%</c:formatCode>
                <c:ptCount val="896"/>
                <c:pt idx="0">
                  <c:v>0.10242085661080071</c:v>
                </c:pt>
                <c:pt idx="1">
                  <c:v>9.4819611470860349E-2</c:v>
                </c:pt>
                <c:pt idx="2">
                  <c:v>6.8181818181818177E-2</c:v>
                </c:pt>
                <c:pt idx="3">
                  <c:v>8.2727272727272746E-2</c:v>
                </c:pt>
                <c:pt idx="4">
                  <c:v>9.3849658314350909E-2</c:v>
                </c:pt>
                <c:pt idx="5">
                  <c:v>9.3750000000000014E-2</c:v>
                </c:pt>
                <c:pt idx="6">
                  <c:v>9.7615834457939629E-2</c:v>
                </c:pt>
                <c:pt idx="7">
                  <c:v>9.0625000000000053E-2</c:v>
                </c:pt>
                <c:pt idx="8">
                  <c:v>6.6549912434325731E-2</c:v>
                </c:pt>
                <c:pt idx="9">
                  <c:v>6.1108686163247425E-2</c:v>
                </c:pt>
                <c:pt idx="10">
                  <c:v>4.7701647875108479E-2</c:v>
                </c:pt>
                <c:pt idx="11">
                  <c:v>2.7338744126441716E-2</c:v>
                </c:pt>
                <c:pt idx="12">
                  <c:v>1.3935810810810889E-2</c:v>
                </c:pt>
                <c:pt idx="13">
                  <c:v>1.0139416983523381E-2</c:v>
                </c:pt>
                <c:pt idx="14">
                  <c:v>1.7446808510638304E-2</c:v>
                </c:pt>
                <c:pt idx="15">
                  <c:v>4.1981528127624443E-3</c:v>
                </c:pt>
                <c:pt idx="16">
                  <c:v>-4.1649312786339616E-3</c:v>
                </c:pt>
                <c:pt idx="17">
                  <c:v>-9.5238095238093946E-3</c:v>
                </c:pt>
                <c:pt idx="18">
                  <c:v>-2.8688524590163907E-2</c:v>
                </c:pt>
                <c:pt idx="19">
                  <c:v>-2.9881293491608694E-2</c:v>
                </c:pt>
                <c:pt idx="20">
                  <c:v>-2.5041050903119845E-2</c:v>
                </c:pt>
                <c:pt idx="21">
                  <c:v>-2.632661456190856E-2</c:v>
                </c:pt>
                <c:pt idx="22">
                  <c:v>-1.9039735099337783E-2</c:v>
                </c:pt>
                <c:pt idx="23">
                  <c:v>-1.8295218295218348E-2</c:v>
                </c:pt>
                <c:pt idx="24">
                  <c:v>-2.0824656393169511E-2</c:v>
                </c:pt>
                <c:pt idx="25">
                  <c:v>-1.2547051442910946E-2</c:v>
                </c:pt>
                <c:pt idx="26">
                  <c:v>-1.1292346298619806E-2</c:v>
                </c:pt>
                <c:pt idx="27">
                  <c:v>-1.128762541806033E-2</c:v>
                </c:pt>
                <c:pt idx="28">
                  <c:v>-5.8552906733584514E-3</c:v>
                </c:pt>
                <c:pt idx="29">
                  <c:v>-1.672240802675698E-3</c:v>
                </c:pt>
                <c:pt idx="30">
                  <c:v>1.5611814345991603E-2</c:v>
                </c:pt>
                <c:pt idx="31">
                  <c:v>2.1097046413502109E-2</c:v>
                </c:pt>
                <c:pt idx="32">
                  <c:v>2.4842105263157888E-2</c:v>
                </c:pt>
                <c:pt idx="33">
                  <c:v>3.5065483734685182E-2</c:v>
                </c:pt>
                <c:pt idx="34">
                  <c:v>3.7974683544303889E-2</c:v>
                </c:pt>
                <c:pt idx="35">
                  <c:v>5.8026260059296952E-2</c:v>
                </c:pt>
                <c:pt idx="36">
                  <c:v>7.9540621012335069E-2</c:v>
                </c:pt>
                <c:pt idx="37">
                  <c:v>9.4027954256670862E-2</c:v>
                </c:pt>
                <c:pt idx="38">
                  <c:v>9.4754653130287581E-2</c:v>
                </c:pt>
                <c:pt idx="39">
                  <c:v>9.5983086680761234E-2</c:v>
                </c:pt>
                <c:pt idx="40">
                  <c:v>9.3395035759360492E-2</c:v>
                </c:pt>
                <c:pt idx="41">
                  <c:v>8.5845896147403719E-2</c:v>
                </c:pt>
                <c:pt idx="42">
                  <c:v>7.6443705857914407E-2</c:v>
                </c:pt>
                <c:pt idx="43">
                  <c:v>6.859504132231406E-2</c:v>
                </c:pt>
                <c:pt idx="44">
                  <c:v>6.943303204601485E-2</c:v>
                </c:pt>
                <c:pt idx="45">
                  <c:v>6.7755102040816334E-2</c:v>
                </c:pt>
                <c:pt idx="46">
                  <c:v>6.9918699186991826E-2</c:v>
                </c:pt>
                <c:pt idx="47">
                  <c:v>5.9647718174539566E-2</c:v>
                </c:pt>
                <c:pt idx="48">
                  <c:v>4.215918045705281E-2</c:v>
                </c:pt>
                <c:pt idx="49">
                  <c:v>2.2454510259388383E-2</c:v>
                </c:pt>
                <c:pt idx="50">
                  <c:v>1.9706336939721854E-2</c:v>
                </c:pt>
                <c:pt idx="51">
                  <c:v>2.0833333333333297E-2</c:v>
                </c:pt>
                <c:pt idx="52">
                  <c:v>1.8468641785302057E-2</c:v>
                </c:pt>
                <c:pt idx="53">
                  <c:v>2.313922097956041E-2</c:v>
                </c:pt>
                <c:pt idx="54">
                  <c:v>2.9718255499807007E-2</c:v>
                </c:pt>
                <c:pt idx="55">
                  <c:v>3.2095901005413839E-2</c:v>
                </c:pt>
                <c:pt idx="56">
                  <c:v>2.3050326546292656E-2</c:v>
                </c:pt>
                <c:pt idx="57">
                  <c:v>2.0259938837920533E-2</c:v>
                </c:pt>
                <c:pt idx="58">
                  <c:v>1.4057750759878458E-2</c:v>
                </c:pt>
                <c:pt idx="59">
                  <c:v>9.0668681526256886E-3</c:v>
                </c:pt>
                <c:pt idx="60">
                  <c:v>7.1833648393195195E-3</c:v>
                </c:pt>
                <c:pt idx="61">
                  <c:v>6.8156001514577706E-3</c:v>
                </c:pt>
                <c:pt idx="62">
                  <c:v>9.0943539219400689E-3</c:v>
                </c:pt>
                <c:pt idx="63">
                  <c:v>8.6923658352229937E-3</c:v>
                </c:pt>
                <c:pt idx="64">
                  <c:v>8.6890819795995625E-3</c:v>
                </c:pt>
                <c:pt idx="65">
                  <c:v>9.0463626083678254E-3</c:v>
                </c:pt>
                <c:pt idx="66">
                  <c:v>4.1229385307346112E-3</c:v>
                </c:pt>
                <c:pt idx="67">
                  <c:v>5.9947545897339879E-3</c:v>
                </c:pt>
                <c:pt idx="68">
                  <c:v>9.7634247089748993E-3</c:v>
                </c:pt>
                <c:pt idx="69">
                  <c:v>9.7414762083176468E-3</c:v>
                </c:pt>
                <c:pt idx="70">
                  <c:v>5.9947545897339879E-3</c:v>
                </c:pt>
                <c:pt idx="71">
                  <c:v>5.9902658180456805E-3</c:v>
                </c:pt>
                <c:pt idx="72">
                  <c:v>1.1261261261261288E-2</c:v>
                </c:pt>
                <c:pt idx="73">
                  <c:v>1.5043249341857788E-2</c:v>
                </c:pt>
                <c:pt idx="74">
                  <c:v>1.1265490048817151E-2</c:v>
                </c:pt>
                <c:pt idx="75">
                  <c:v>6.3694267515922868E-3</c:v>
                </c:pt>
                <c:pt idx="76">
                  <c:v>8.6142322097378446E-3</c:v>
                </c:pt>
                <c:pt idx="77">
                  <c:v>6.350392230108394E-3</c:v>
                </c:pt>
                <c:pt idx="78">
                  <c:v>2.6129152668906415E-3</c:v>
                </c:pt>
                <c:pt idx="79">
                  <c:v>0</c:v>
                </c:pt>
                <c:pt idx="80">
                  <c:v>-2.9750836742284065E-3</c:v>
                </c:pt>
                <c:pt idx="81">
                  <c:v>-8.534322820037122E-3</c:v>
                </c:pt>
                <c:pt idx="82">
                  <c:v>-2.6070763500931201E-3</c:v>
                </c:pt>
                <c:pt idx="83">
                  <c:v>-3.7216226274656276E-3</c:v>
                </c:pt>
                <c:pt idx="84">
                  <c:v>-6.3103192279139455E-3</c:v>
                </c:pt>
                <c:pt idx="85">
                  <c:v>-6.298629121896931E-3</c:v>
                </c:pt>
                <c:pt idx="86">
                  <c:v>-5.1986632008912204E-3</c:v>
                </c:pt>
                <c:pt idx="87">
                  <c:v>-2.6061057334326241E-3</c:v>
                </c:pt>
                <c:pt idx="88">
                  <c:v>-5.9413293724470901E-3</c:v>
                </c:pt>
                <c:pt idx="89">
                  <c:v>-8.5374907201187979E-3</c:v>
                </c:pt>
                <c:pt idx="90">
                  <c:v>-3.7230081906179401E-3</c:v>
                </c:pt>
                <c:pt idx="91">
                  <c:v>-4.8417132216015844E-3</c:v>
                </c:pt>
                <c:pt idx="92">
                  <c:v>1.4919806042522454E-3</c:v>
                </c:pt>
                <c:pt idx="93">
                  <c:v>3.7425149700599336E-3</c:v>
                </c:pt>
                <c:pt idx="94">
                  <c:v>3.734129947722101E-3</c:v>
                </c:pt>
                <c:pt idx="95">
                  <c:v>3.7355248412402472E-3</c:v>
                </c:pt>
                <c:pt idx="96">
                  <c:v>2.2413149047440686E-3</c:v>
                </c:pt>
                <c:pt idx="97">
                  <c:v>1.4914243102162248E-3</c:v>
                </c:pt>
                <c:pt idx="98">
                  <c:v>3.7327360955580974E-3</c:v>
                </c:pt>
                <c:pt idx="99">
                  <c:v>5.2258305337812829E-3</c:v>
                </c:pt>
                <c:pt idx="100">
                  <c:v>9.7123645872245635E-3</c:v>
                </c:pt>
                <c:pt idx="101">
                  <c:v>1.6473230999625523E-2</c:v>
                </c:pt>
                <c:pt idx="102">
                  <c:v>1.9805680119581375E-2</c:v>
                </c:pt>
                <c:pt idx="103">
                  <c:v>2.2080838323353291E-2</c:v>
                </c:pt>
                <c:pt idx="104">
                  <c:v>1.8621973929236497E-2</c:v>
                </c:pt>
                <c:pt idx="105">
                  <c:v>2.5727069351230474E-2</c:v>
                </c:pt>
                <c:pt idx="106">
                  <c:v>2.3437500000000097E-2</c:v>
                </c:pt>
                <c:pt idx="107">
                  <c:v>2.8284331968738294E-2</c:v>
                </c:pt>
                <c:pt idx="108">
                  <c:v>3.1308237048080639E-2</c:v>
                </c:pt>
                <c:pt idx="109">
                  <c:v>3.4996276991809433E-2</c:v>
                </c:pt>
                <c:pt idx="110">
                  <c:v>3.6072889550018548E-2</c:v>
                </c:pt>
                <c:pt idx="111">
                  <c:v>3.7133308577794281E-2</c:v>
                </c:pt>
                <c:pt idx="112">
                  <c:v>3.588605253422119E-2</c:v>
                </c:pt>
                <c:pt idx="113">
                  <c:v>3.5359116022099478E-2</c:v>
                </c:pt>
                <c:pt idx="114">
                  <c:v>3.297911322828883E-2</c:v>
                </c:pt>
                <c:pt idx="115">
                  <c:v>3.5518125228853989E-2</c:v>
                </c:pt>
                <c:pt idx="116">
                  <c:v>3.5466179159049316E-2</c:v>
                </c:pt>
                <c:pt idx="117">
                  <c:v>2.9443838604143898E-2</c:v>
                </c:pt>
                <c:pt idx="118">
                  <c:v>3.2715376226826555E-2</c:v>
                </c:pt>
                <c:pt idx="119">
                  <c:v>3.0401737242128118E-2</c:v>
                </c:pt>
                <c:pt idx="120">
                  <c:v>3.5056017347307511E-2</c:v>
                </c:pt>
                <c:pt idx="121">
                  <c:v>3.2374100719424412E-2</c:v>
                </c:pt>
                <c:pt idx="122">
                  <c:v>3.6252692031586563E-2</c:v>
                </c:pt>
                <c:pt idx="123">
                  <c:v>3.6161833154314413E-2</c:v>
                </c:pt>
                <c:pt idx="124">
                  <c:v>3.357142857142862E-2</c:v>
                </c:pt>
                <c:pt idx="125">
                  <c:v>2.8459622909996467E-2</c:v>
                </c:pt>
                <c:pt idx="126">
                  <c:v>2.4831500532103555E-2</c:v>
                </c:pt>
                <c:pt idx="127">
                  <c:v>2.3338048090523342E-2</c:v>
                </c:pt>
                <c:pt idx="128">
                  <c:v>2.0833333333333329E-2</c:v>
                </c:pt>
                <c:pt idx="129">
                  <c:v>2.0833333333333329E-2</c:v>
                </c:pt>
                <c:pt idx="130">
                  <c:v>1.9007391763463537E-2</c:v>
                </c:pt>
                <c:pt idx="131">
                  <c:v>1.7562346329469618E-2</c:v>
                </c:pt>
                <c:pt idx="132">
                  <c:v>1.2918994413407856E-2</c:v>
                </c:pt>
                <c:pt idx="133">
                  <c:v>1.0452961672473893E-2</c:v>
                </c:pt>
                <c:pt idx="134">
                  <c:v>3.4638032559749865E-3</c:v>
                </c:pt>
                <c:pt idx="135">
                  <c:v>1.3821700069108205E-3</c:v>
                </c:pt>
                <c:pt idx="136">
                  <c:v>3.4554250172770511E-3</c:v>
                </c:pt>
                <c:pt idx="137">
                  <c:v>6.9180214458664574E-3</c:v>
                </c:pt>
                <c:pt idx="138">
                  <c:v>8.9996538594668742E-3</c:v>
                </c:pt>
                <c:pt idx="139">
                  <c:v>8.2930200414650466E-3</c:v>
                </c:pt>
                <c:pt idx="140">
                  <c:v>1.1760636457973015E-2</c:v>
                </c:pt>
                <c:pt idx="141">
                  <c:v>1.5219647180906305E-2</c:v>
                </c:pt>
                <c:pt idx="142">
                  <c:v>1.3816925734024254E-2</c:v>
                </c:pt>
                <c:pt idx="143">
                  <c:v>1.5188125647221308E-2</c:v>
                </c:pt>
                <c:pt idx="144">
                  <c:v>1.2409513960703186E-2</c:v>
                </c:pt>
                <c:pt idx="145">
                  <c:v>1.4137931034482763E-2</c:v>
                </c:pt>
                <c:pt idx="146">
                  <c:v>1.5188125647221308E-2</c:v>
                </c:pt>
                <c:pt idx="147">
                  <c:v>1.9323671497584495E-2</c:v>
                </c:pt>
                <c:pt idx="148">
                  <c:v>1.8250688705234198E-2</c:v>
                </c:pt>
                <c:pt idx="149">
                  <c:v>1.7176228100309172E-2</c:v>
                </c:pt>
                <c:pt idx="150">
                  <c:v>1.3722126929674174E-2</c:v>
                </c:pt>
                <c:pt idx="151">
                  <c:v>1.4736120630568873E-2</c:v>
                </c:pt>
                <c:pt idx="152">
                  <c:v>1.2307692307692289E-2</c:v>
                </c:pt>
                <c:pt idx="153">
                  <c:v>1.3628620102214602E-2</c:v>
                </c:pt>
                <c:pt idx="154">
                  <c:v>1.4650766609880739E-2</c:v>
                </c:pt>
                <c:pt idx="155">
                  <c:v>1.3600816048962889E-2</c:v>
                </c:pt>
                <c:pt idx="156">
                  <c:v>1.6002723867892369E-2</c:v>
                </c:pt>
                <c:pt idx="157">
                  <c:v>1.4620877252635148E-2</c:v>
                </c:pt>
                <c:pt idx="158">
                  <c:v>1.4620877252635148E-2</c:v>
                </c:pt>
                <c:pt idx="159">
                  <c:v>9.1401489505754767E-3</c:v>
                </c:pt>
                <c:pt idx="160">
                  <c:v>9.1308758877240298E-3</c:v>
                </c:pt>
                <c:pt idx="161">
                  <c:v>7.7676460655184201E-3</c:v>
                </c:pt>
                <c:pt idx="162">
                  <c:v>1.2521150592216616E-2</c:v>
                </c:pt>
                <c:pt idx="163">
                  <c:v>1.1144883485309081E-2</c:v>
                </c:pt>
                <c:pt idx="164">
                  <c:v>1.2495778453225295E-2</c:v>
                </c:pt>
                <c:pt idx="165">
                  <c:v>7.7310924369748046E-3</c:v>
                </c:pt>
                <c:pt idx="166">
                  <c:v>6.7159167226326149E-3</c:v>
                </c:pt>
                <c:pt idx="167">
                  <c:v>6.7091580006710116E-3</c:v>
                </c:pt>
                <c:pt idx="168">
                  <c:v>6.7024128686326836E-3</c:v>
                </c:pt>
                <c:pt idx="169">
                  <c:v>9.0482573726541407E-3</c:v>
                </c:pt>
                <c:pt idx="170">
                  <c:v>1.1058981233244029E-2</c:v>
                </c:pt>
                <c:pt idx="171">
                  <c:v>1.3418316001341904E-2</c:v>
                </c:pt>
                <c:pt idx="172">
                  <c:v>1.3404825737265367E-2</c:v>
                </c:pt>
                <c:pt idx="173">
                  <c:v>1.2399463806970542E-2</c:v>
                </c:pt>
                <c:pt idx="174">
                  <c:v>1.0026737967914343E-2</c:v>
                </c:pt>
                <c:pt idx="175">
                  <c:v>1.1356045424181692E-2</c:v>
                </c:pt>
                <c:pt idx="176">
                  <c:v>1.4676450967311584E-2</c:v>
                </c:pt>
                <c:pt idx="177">
                  <c:v>1.3342228152101353E-2</c:v>
                </c:pt>
                <c:pt idx="178">
                  <c:v>1.3342228152101353E-2</c:v>
                </c:pt>
                <c:pt idx="179">
                  <c:v>1.2329223592135868E-2</c:v>
                </c:pt>
                <c:pt idx="180">
                  <c:v>1.3315579227696476E-2</c:v>
                </c:pt>
                <c:pt idx="181">
                  <c:v>1.2288276320159448E-2</c:v>
                </c:pt>
                <c:pt idx="182">
                  <c:v>1.1269472986410336E-2</c:v>
                </c:pt>
                <c:pt idx="183">
                  <c:v>8.9374379344587737E-3</c:v>
                </c:pt>
                <c:pt idx="184">
                  <c:v>8.9285714285715322E-3</c:v>
                </c:pt>
                <c:pt idx="185">
                  <c:v>1.324064879179075E-2</c:v>
                </c:pt>
                <c:pt idx="186">
                  <c:v>1.5552614162806169E-2</c:v>
                </c:pt>
                <c:pt idx="187">
                  <c:v>1.5521796565389658E-2</c:v>
                </c:pt>
                <c:pt idx="188">
                  <c:v>9.8619329388559222E-3</c:v>
                </c:pt>
                <c:pt idx="189">
                  <c:v>1.2179065174456914E-2</c:v>
                </c:pt>
                <c:pt idx="190">
                  <c:v>1.316655694535886E-2</c:v>
                </c:pt>
                <c:pt idx="191">
                  <c:v>1.6458196181698487E-2</c:v>
                </c:pt>
                <c:pt idx="192">
                  <c:v>1.6425755584756899E-2</c:v>
                </c:pt>
                <c:pt idx="193">
                  <c:v>1.4107611548556422E-2</c:v>
                </c:pt>
                <c:pt idx="194">
                  <c:v>1.4093739757456562E-2</c:v>
                </c:pt>
                <c:pt idx="195">
                  <c:v>1.5419947506561641E-2</c:v>
                </c:pt>
                <c:pt idx="196">
                  <c:v>1.5404785316289703E-2</c:v>
                </c:pt>
                <c:pt idx="197">
                  <c:v>1.3067624959163741E-2</c:v>
                </c:pt>
                <c:pt idx="198">
                  <c:v>1.0752688172042954E-2</c:v>
                </c:pt>
                <c:pt idx="199">
                  <c:v>9.7560975609756323E-3</c:v>
                </c:pt>
                <c:pt idx="200">
                  <c:v>1.1718749999999983E-2</c:v>
                </c:pt>
                <c:pt idx="201">
                  <c:v>1.2032520325203284E-2</c:v>
                </c:pt>
                <c:pt idx="202">
                  <c:v>1.3970110461338522E-2</c:v>
                </c:pt>
                <c:pt idx="203">
                  <c:v>1.1981865284974125E-2</c:v>
                </c:pt>
                <c:pt idx="204">
                  <c:v>1.0989010989010985E-2</c:v>
                </c:pt>
                <c:pt idx="205">
                  <c:v>1.1970236169524457E-2</c:v>
                </c:pt>
                <c:pt idx="206">
                  <c:v>1.1958629605688347E-2</c:v>
                </c:pt>
                <c:pt idx="207">
                  <c:v>1.3893376413570266E-2</c:v>
                </c:pt>
                <c:pt idx="208">
                  <c:v>1.6139444803098774E-2</c:v>
                </c:pt>
                <c:pt idx="209">
                  <c:v>1.9348597226700993E-2</c:v>
                </c:pt>
                <c:pt idx="210">
                  <c:v>1.8052869116698862E-2</c:v>
                </c:pt>
                <c:pt idx="211">
                  <c:v>1.610305958132045E-2</c:v>
                </c:pt>
                <c:pt idx="212">
                  <c:v>1.7374517374517461E-2</c:v>
                </c:pt>
                <c:pt idx="213">
                  <c:v>1.7030848329048765E-2</c:v>
                </c:pt>
                <c:pt idx="214">
                  <c:v>1.7302146747837203E-2</c:v>
                </c:pt>
                <c:pt idx="215">
                  <c:v>1.9200000000000047E-2</c:v>
                </c:pt>
                <c:pt idx="216">
                  <c:v>1.9181585677749292E-2</c:v>
                </c:pt>
                <c:pt idx="217">
                  <c:v>2.557544757033239E-2</c:v>
                </c:pt>
                <c:pt idx="218">
                  <c:v>2.7786649632705239E-2</c:v>
                </c:pt>
                <c:pt idx="219">
                  <c:v>2.8680688336520144E-2</c:v>
                </c:pt>
                <c:pt idx="220">
                  <c:v>2.7636594663278304E-2</c:v>
                </c:pt>
                <c:pt idx="221">
                  <c:v>2.4359379943056095E-2</c:v>
                </c:pt>
                <c:pt idx="222">
                  <c:v>2.7549081697276902E-2</c:v>
                </c:pt>
                <c:pt idx="223">
                  <c:v>3.48652931854199E-2</c:v>
                </c:pt>
                <c:pt idx="224">
                  <c:v>3.5736875395319383E-2</c:v>
                </c:pt>
                <c:pt idx="225">
                  <c:v>3.7914691943128055E-2</c:v>
                </c:pt>
                <c:pt idx="226">
                  <c:v>3.5590551181102444E-2</c:v>
                </c:pt>
                <c:pt idx="227">
                  <c:v>3.359497645211932E-2</c:v>
                </c:pt>
                <c:pt idx="228">
                  <c:v>3.1994981179422823E-2</c:v>
                </c:pt>
                <c:pt idx="229">
                  <c:v>2.8678304239401552E-2</c:v>
                </c:pt>
                <c:pt idx="230">
                  <c:v>2.548166563082661E-2</c:v>
                </c:pt>
                <c:pt idx="231">
                  <c:v>2.5402726146220578E-2</c:v>
                </c:pt>
                <c:pt idx="232">
                  <c:v>2.3183925811437401E-2</c:v>
                </c:pt>
                <c:pt idx="233">
                  <c:v>2.8412600370598968E-2</c:v>
                </c:pt>
                <c:pt idx="234">
                  <c:v>2.9275808936825753E-2</c:v>
                </c:pt>
                <c:pt idx="235">
                  <c:v>2.6033690658499278E-2</c:v>
                </c:pt>
                <c:pt idx="236">
                  <c:v>2.5954198473282487E-2</c:v>
                </c:pt>
                <c:pt idx="237">
                  <c:v>2.5875190258751946E-2</c:v>
                </c:pt>
                <c:pt idx="238">
                  <c:v>3.1021897810218853E-2</c:v>
                </c:pt>
                <c:pt idx="239">
                  <c:v>3.2806804374240529E-2</c:v>
                </c:pt>
                <c:pt idx="240">
                  <c:v>3.647416413373869E-2</c:v>
                </c:pt>
                <c:pt idx="241">
                  <c:v>3.6363636363636452E-2</c:v>
                </c:pt>
                <c:pt idx="242">
                  <c:v>3.9393939393939308E-2</c:v>
                </c:pt>
                <c:pt idx="243">
                  <c:v>3.9274924471299009E-2</c:v>
                </c:pt>
                <c:pt idx="244">
                  <c:v>4.2296072507552823E-2</c:v>
                </c:pt>
                <c:pt idx="245">
                  <c:v>4.2042042042042219E-2</c:v>
                </c:pt>
                <c:pt idx="246">
                  <c:v>4.4910179640718563E-2</c:v>
                </c:pt>
                <c:pt idx="247">
                  <c:v>4.4776119402985072E-2</c:v>
                </c:pt>
                <c:pt idx="248">
                  <c:v>4.4642857142857144E-2</c:v>
                </c:pt>
                <c:pt idx="249">
                  <c:v>4.747774480712149E-2</c:v>
                </c:pt>
                <c:pt idx="250">
                  <c:v>4.4247787610619468E-2</c:v>
                </c:pt>
                <c:pt idx="251">
                  <c:v>4.7058823529411806E-2</c:v>
                </c:pt>
                <c:pt idx="252">
                  <c:v>4.6920821114369543E-2</c:v>
                </c:pt>
                <c:pt idx="253">
                  <c:v>4.6783625730993983E-2</c:v>
                </c:pt>
                <c:pt idx="254">
                  <c:v>5.2478134110787299E-2</c:v>
                </c:pt>
                <c:pt idx="255">
                  <c:v>5.5232558139534843E-2</c:v>
                </c:pt>
                <c:pt idx="256">
                  <c:v>5.5072463768115899E-2</c:v>
                </c:pt>
                <c:pt idx="257">
                  <c:v>5.475504322766566E-2</c:v>
                </c:pt>
                <c:pt idx="258">
                  <c:v>5.4441260744985634E-2</c:v>
                </c:pt>
                <c:pt idx="259">
                  <c:v>5.4285714285714243E-2</c:v>
                </c:pt>
                <c:pt idx="260">
                  <c:v>5.6980056980056981E-2</c:v>
                </c:pt>
                <c:pt idx="261">
                  <c:v>5.6657223796034002E-2</c:v>
                </c:pt>
                <c:pt idx="262">
                  <c:v>5.9322033898305128E-2</c:v>
                </c:pt>
                <c:pt idx="263">
                  <c:v>5.898876404494386E-2</c:v>
                </c:pt>
                <c:pt idx="264">
                  <c:v>6.1624649859943856E-2</c:v>
                </c:pt>
                <c:pt idx="265">
                  <c:v>6.4245810055866048E-2</c:v>
                </c:pt>
                <c:pt idx="266">
                  <c:v>6.0941828254847522E-2</c:v>
                </c:pt>
                <c:pt idx="267">
                  <c:v>6.0606060606060691E-2</c:v>
                </c:pt>
                <c:pt idx="268">
                  <c:v>6.0439560439560523E-2</c:v>
                </c:pt>
                <c:pt idx="269">
                  <c:v>6.0109289617486218E-2</c:v>
                </c:pt>
                <c:pt idx="270">
                  <c:v>5.7065217391304393E-2</c:v>
                </c:pt>
                <c:pt idx="271">
                  <c:v>5.6910569105691096E-2</c:v>
                </c:pt>
                <c:pt idx="272">
                  <c:v>5.6603773584905696E-2</c:v>
                </c:pt>
                <c:pt idx="273">
                  <c:v>5.630026809651479E-2</c:v>
                </c:pt>
                <c:pt idx="274">
                  <c:v>5.6000000000000036E-2</c:v>
                </c:pt>
                <c:pt idx="275">
                  <c:v>5.5702917771883131E-2</c:v>
                </c:pt>
                <c:pt idx="276">
                  <c:v>5.2770448548812667E-2</c:v>
                </c:pt>
                <c:pt idx="277">
                  <c:v>4.7244094488188899E-2</c:v>
                </c:pt>
                <c:pt idx="278">
                  <c:v>4.4386422976501382E-2</c:v>
                </c:pt>
                <c:pt idx="279">
                  <c:v>4.1558441558441593E-2</c:v>
                </c:pt>
                <c:pt idx="280">
                  <c:v>4.4041450777201958E-2</c:v>
                </c:pt>
                <c:pt idx="281">
                  <c:v>4.3814432989690795E-2</c:v>
                </c:pt>
                <c:pt idx="282">
                  <c:v>4.370179948586126E-2</c:v>
                </c:pt>
                <c:pt idx="283">
                  <c:v>4.3589743589743664E-2</c:v>
                </c:pt>
                <c:pt idx="284">
                  <c:v>4.0816326530612096E-2</c:v>
                </c:pt>
                <c:pt idx="285">
                  <c:v>3.8071065989847719E-2</c:v>
                </c:pt>
                <c:pt idx="286">
                  <c:v>3.5353535353535318E-2</c:v>
                </c:pt>
                <c:pt idx="287">
                  <c:v>3.266331658291468E-2</c:v>
                </c:pt>
                <c:pt idx="288">
                  <c:v>3.2581453634085322E-2</c:v>
                </c:pt>
                <c:pt idx="289">
                  <c:v>3.7593984962406013E-2</c:v>
                </c:pt>
                <c:pt idx="290">
                  <c:v>3.4999999999999962E-2</c:v>
                </c:pt>
                <c:pt idx="291">
                  <c:v>3.4912718204488741E-2</c:v>
                </c:pt>
                <c:pt idx="292">
                  <c:v>3.2258064516129142E-2</c:v>
                </c:pt>
                <c:pt idx="293">
                  <c:v>2.96296296296297E-2</c:v>
                </c:pt>
                <c:pt idx="294">
                  <c:v>2.9556650246305313E-2</c:v>
                </c:pt>
                <c:pt idx="295">
                  <c:v>2.9484029484029377E-2</c:v>
                </c:pt>
                <c:pt idx="296">
                  <c:v>3.1862745098039325E-2</c:v>
                </c:pt>
                <c:pt idx="297">
                  <c:v>3.1784841075794726E-2</c:v>
                </c:pt>
                <c:pt idx="298">
                  <c:v>3.4146341463414602E-2</c:v>
                </c:pt>
                <c:pt idx="299">
                  <c:v>3.4063260340632569E-2</c:v>
                </c:pt>
                <c:pt idx="300">
                  <c:v>3.640776699029126E-2</c:v>
                </c:pt>
                <c:pt idx="301">
                  <c:v>3.8647342995169115E-2</c:v>
                </c:pt>
                <c:pt idx="302">
                  <c:v>4.8309178743961352E-2</c:v>
                </c:pt>
                <c:pt idx="303">
                  <c:v>5.3012048192771152E-2</c:v>
                </c:pt>
                <c:pt idx="304">
                  <c:v>5.5288461538461467E-2</c:v>
                </c:pt>
                <c:pt idx="305">
                  <c:v>5.9952038369304551E-2</c:v>
                </c:pt>
                <c:pt idx="306">
                  <c:v>5.7416267942583872E-2</c:v>
                </c:pt>
                <c:pt idx="307">
                  <c:v>7.3985680190930825E-2</c:v>
                </c:pt>
                <c:pt idx="308">
                  <c:v>7.3634204275534479E-2</c:v>
                </c:pt>
                <c:pt idx="309">
                  <c:v>8.0568720379146877E-2</c:v>
                </c:pt>
                <c:pt idx="310">
                  <c:v>8.2547169811320764E-2</c:v>
                </c:pt>
                <c:pt idx="311">
                  <c:v>8.9411764705882288E-2</c:v>
                </c:pt>
                <c:pt idx="312">
                  <c:v>9.6018735362997515E-2</c:v>
                </c:pt>
                <c:pt idx="313">
                  <c:v>9.9999999999999936E-2</c:v>
                </c:pt>
                <c:pt idx="314">
                  <c:v>0.10138248847926265</c:v>
                </c:pt>
                <c:pt idx="315">
                  <c:v>0.10068649885583521</c:v>
                </c:pt>
                <c:pt idx="316">
                  <c:v>0.10706150341685657</c:v>
                </c:pt>
                <c:pt idx="317">
                  <c:v>0.10859728506787324</c:v>
                </c:pt>
                <c:pt idx="318">
                  <c:v>0.11538461538461525</c:v>
                </c:pt>
                <c:pt idx="319">
                  <c:v>0.10888888888888885</c:v>
                </c:pt>
                <c:pt idx="320">
                  <c:v>0.11946902654867253</c:v>
                </c:pt>
                <c:pt idx="321">
                  <c:v>0.11842105263157891</c:v>
                </c:pt>
                <c:pt idx="322">
                  <c:v>0.12200435729847497</c:v>
                </c:pt>
                <c:pt idx="323">
                  <c:v>0.12095032397408211</c:v>
                </c:pt>
                <c:pt idx="324">
                  <c:v>0.11752136752136753</c:v>
                </c:pt>
                <c:pt idx="325">
                  <c:v>0.11205073995771681</c:v>
                </c:pt>
                <c:pt idx="326">
                  <c:v>0.10460251046025106</c:v>
                </c:pt>
                <c:pt idx="327">
                  <c:v>0.10187110187110184</c:v>
                </c:pt>
                <c:pt idx="328">
                  <c:v>9.2592592592592587E-2</c:v>
                </c:pt>
                <c:pt idx="329">
                  <c:v>9.1836734693877556E-2</c:v>
                </c:pt>
                <c:pt idx="330">
                  <c:v>9.533468559837735E-2</c:v>
                </c:pt>
                <c:pt idx="331">
                  <c:v>8.6172344689378844E-2</c:v>
                </c:pt>
                <c:pt idx="332">
                  <c:v>7.9051383399209488E-2</c:v>
                </c:pt>
                <c:pt idx="333">
                  <c:v>7.6470588235294096E-2</c:v>
                </c:pt>
                <c:pt idx="334">
                  <c:v>7.3786407766990234E-2</c:v>
                </c:pt>
                <c:pt idx="335">
                  <c:v>7.1290944123314118E-2</c:v>
                </c:pt>
                <c:pt idx="336">
                  <c:v>6.6921606118546847E-2</c:v>
                </c:pt>
                <c:pt idx="337">
                  <c:v>6.273764258555127E-2</c:v>
                </c:pt>
                <c:pt idx="338">
                  <c:v>6.0606060606060663E-2</c:v>
                </c:pt>
                <c:pt idx="339">
                  <c:v>5.8490566037735878E-2</c:v>
                </c:pt>
                <c:pt idx="340">
                  <c:v>6.2146892655367179E-2</c:v>
                </c:pt>
                <c:pt idx="341">
                  <c:v>5.9813084112149584E-2</c:v>
                </c:pt>
                <c:pt idx="342">
                  <c:v>5.5555555555555552E-2</c:v>
                </c:pt>
                <c:pt idx="343">
                  <c:v>5.7195571955719449E-2</c:v>
                </c:pt>
                <c:pt idx="344">
                  <c:v>5.4945054945054944E-2</c:v>
                </c:pt>
                <c:pt idx="345">
                  <c:v>5.4644808743169397E-2</c:v>
                </c:pt>
                <c:pt idx="346">
                  <c:v>5.0632911392405146E-2</c:v>
                </c:pt>
                <c:pt idx="347">
                  <c:v>5.0359712230215778E-2</c:v>
                </c:pt>
                <c:pt idx="348">
                  <c:v>5.1971326164874654E-2</c:v>
                </c:pt>
                <c:pt idx="349">
                  <c:v>6.0822898032200333E-2</c:v>
                </c:pt>
                <c:pt idx="350">
                  <c:v>6.4285714285714307E-2</c:v>
                </c:pt>
                <c:pt idx="351">
                  <c:v>6.9518716577540079E-2</c:v>
                </c:pt>
                <c:pt idx="352">
                  <c:v>6.7375886524822778E-2</c:v>
                </c:pt>
                <c:pt idx="353">
                  <c:v>6.7019400352733627E-2</c:v>
                </c:pt>
                <c:pt idx="354">
                  <c:v>6.666666666666661E-2</c:v>
                </c:pt>
                <c:pt idx="355">
                  <c:v>6.6317626527050685E-2</c:v>
                </c:pt>
                <c:pt idx="356">
                  <c:v>6.4236111111111036E-2</c:v>
                </c:pt>
                <c:pt idx="357">
                  <c:v>6.3903281519861882E-2</c:v>
                </c:pt>
                <c:pt idx="358">
                  <c:v>6.7125645438898429E-2</c:v>
                </c:pt>
                <c:pt idx="359">
                  <c:v>6.6780821917808195E-2</c:v>
                </c:pt>
                <c:pt idx="360">
                  <c:v>6.8143100511073251E-2</c:v>
                </c:pt>
                <c:pt idx="361">
                  <c:v>6.239460370994946E-2</c:v>
                </c:pt>
                <c:pt idx="362">
                  <c:v>6.3758389261744916E-2</c:v>
                </c:pt>
                <c:pt idx="363">
                  <c:v>6.4999999999999974E-2</c:v>
                </c:pt>
                <c:pt idx="364">
                  <c:v>7.1428571428571383E-2</c:v>
                </c:pt>
                <c:pt idx="365">
                  <c:v>7.43801652892562E-2</c:v>
                </c:pt>
                <c:pt idx="366">
                  <c:v>7.7302631578947414E-2</c:v>
                </c:pt>
                <c:pt idx="367">
                  <c:v>7.8559738134206289E-2</c:v>
                </c:pt>
                <c:pt idx="368">
                  <c:v>8.4828711256117503E-2</c:v>
                </c:pt>
                <c:pt idx="369">
                  <c:v>8.9285714285714163E-2</c:v>
                </c:pt>
                <c:pt idx="370">
                  <c:v>8.8709677419354843E-2</c:v>
                </c:pt>
                <c:pt idx="371">
                  <c:v>8.9887640449438339E-2</c:v>
                </c:pt>
                <c:pt idx="372">
                  <c:v>9.2503987240829297E-2</c:v>
                </c:pt>
                <c:pt idx="373">
                  <c:v>9.8412698412698452E-2</c:v>
                </c:pt>
                <c:pt idx="374">
                  <c:v>0.1025236593059938</c:v>
                </c:pt>
                <c:pt idx="375">
                  <c:v>0.10485133020344281</c:v>
                </c:pt>
                <c:pt idx="376">
                  <c:v>0.10697674418604659</c:v>
                </c:pt>
                <c:pt idx="377">
                  <c:v>0.11076923076923081</c:v>
                </c:pt>
                <c:pt idx="378">
                  <c:v>0.11450381679389313</c:v>
                </c:pt>
                <c:pt idx="379">
                  <c:v>0.11836115326251892</c:v>
                </c:pt>
                <c:pt idx="380">
                  <c:v>0.1187969924812031</c:v>
                </c:pt>
                <c:pt idx="381">
                  <c:v>0.12071535022354708</c:v>
                </c:pt>
                <c:pt idx="382">
                  <c:v>0.12592592592592591</c:v>
                </c:pt>
                <c:pt idx="383">
                  <c:v>0.13254786450662739</c:v>
                </c:pt>
                <c:pt idx="384">
                  <c:v>0.13868613138686131</c:v>
                </c:pt>
                <c:pt idx="385">
                  <c:v>0.14161849710982655</c:v>
                </c:pt>
                <c:pt idx="386">
                  <c:v>0.14592274678111569</c:v>
                </c:pt>
                <c:pt idx="387">
                  <c:v>0.1458923512747877</c:v>
                </c:pt>
                <c:pt idx="388">
                  <c:v>0.14425770308123245</c:v>
                </c:pt>
                <c:pt idx="389">
                  <c:v>0.14265927977839329</c:v>
                </c:pt>
                <c:pt idx="390">
                  <c:v>0.13150684931506842</c:v>
                </c:pt>
                <c:pt idx="391">
                  <c:v>0.12890094979647218</c:v>
                </c:pt>
                <c:pt idx="392">
                  <c:v>0.12768817204301075</c:v>
                </c:pt>
                <c:pt idx="393">
                  <c:v>0.12632978723404256</c:v>
                </c:pt>
                <c:pt idx="394">
                  <c:v>0.12631578947368413</c:v>
                </c:pt>
                <c:pt idx="395">
                  <c:v>0.1235370611183355</c:v>
                </c:pt>
                <c:pt idx="396">
                  <c:v>0.11794871794871799</c:v>
                </c:pt>
                <c:pt idx="397">
                  <c:v>0.11392405063291139</c:v>
                </c:pt>
                <c:pt idx="398">
                  <c:v>0.10611735330836455</c:v>
                </c:pt>
                <c:pt idx="399">
                  <c:v>0.10135970333745351</c:v>
                </c:pt>
                <c:pt idx="400">
                  <c:v>9.7919216646266821E-2</c:v>
                </c:pt>
                <c:pt idx="401">
                  <c:v>9.696969696969697E-2</c:v>
                </c:pt>
                <c:pt idx="402">
                  <c:v>0.10774818401937053</c:v>
                </c:pt>
                <c:pt idx="403">
                  <c:v>0.10817307692307691</c:v>
                </c:pt>
                <c:pt idx="404">
                  <c:v>0.10965435041716315</c:v>
                </c:pt>
                <c:pt idx="405">
                  <c:v>0.10271546635183001</c:v>
                </c:pt>
                <c:pt idx="406">
                  <c:v>9.5794392523364524E-2</c:v>
                </c:pt>
                <c:pt idx="407">
                  <c:v>8.9120370370370239E-2</c:v>
                </c:pt>
                <c:pt idx="408">
                  <c:v>8.2568807339449574E-2</c:v>
                </c:pt>
                <c:pt idx="409">
                  <c:v>7.6136363636363669E-2</c:v>
                </c:pt>
                <c:pt idx="410">
                  <c:v>6.8848758465011387E-2</c:v>
                </c:pt>
                <c:pt idx="411">
                  <c:v>6.6217732884399624E-2</c:v>
                </c:pt>
                <c:pt idx="412">
                  <c:v>6.9119286510590891E-2</c:v>
                </c:pt>
                <c:pt idx="413">
                  <c:v>7.18232044198895E-2</c:v>
                </c:pt>
                <c:pt idx="414">
                  <c:v>6.5573770491803282E-2</c:v>
                </c:pt>
                <c:pt idx="415">
                  <c:v>5.9652928416485895E-2</c:v>
                </c:pt>
                <c:pt idx="416">
                  <c:v>4.9409237379162287E-2</c:v>
                </c:pt>
                <c:pt idx="417">
                  <c:v>5.0321199143468824E-2</c:v>
                </c:pt>
                <c:pt idx="418">
                  <c:v>4.4776119402985107E-2</c:v>
                </c:pt>
                <c:pt idx="419">
                  <c:v>3.8257173219978839E-2</c:v>
                </c:pt>
                <c:pt idx="420">
                  <c:v>3.7076271186440676E-2</c:v>
                </c:pt>
                <c:pt idx="421">
                  <c:v>3.4846884899683177E-2</c:v>
                </c:pt>
                <c:pt idx="422">
                  <c:v>3.5902851108764428E-2</c:v>
                </c:pt>
                <c:pt idx="423">
                  <c:v>3.9999999999999973E-2</c:v>
                </c:pt>
                <c:pt idx="424">
                  <c:v>3.4410844629822697E-2</c:v>
                </c:pt>
                <c:pt idx="425">
                  <c:v>2.4742268041237171E-2</c:v>
                </c:pt>
                <c:pt idx="426">
                  <c:v>2.3589743589743559E-2</c:v>
                </c:pt>
                <c:pt idx="427">
                  <c:v>2.4564994882292645E-2</c:v>
                </c:pt>
                <c:pt idx="428">
                  <c:v>2.7635619242579353E-2</c:v>
                </c:pt>
                <c:pt idx="429">
                  <c:v>2.7522935779816543E-2</c:v>
                </c:pt>
                <c:pt idx="430">
                  <c:v>3.1632653061224432E-2</c:v>
                </c:pt>
                <c:pt idx="431">
                  <c:v>3.7871033776867992E-2</c:v>
                </c:pt>
                <c:pt idx="432">
                  <c:v>4.2900919305413572E-2</c:v>
                </c:pt>
                <c:pt idx="433">
                  <c:v>4.6938775510204027E-2</c:v>
                </c:pt>
                <c:pt idx="434">
                  <c:v>4.8929663608562809E-2</c:v>
                </c:pt>
                <c:pt idx="435">
                  <c:v>4.5546558704453441E-2</c:v>
                </c:pt>
                <c:pt idx="436">
                  <c:v>4.3346774193548356E-2</c:v>
                </c:pt>
                <c:pt idx="437">
                  <c:v>4.3259557344064357E-2</c:v>
                </c:pt>
                <c:pt idx="438">
                  <c:v>4.3086172344689352E-2</c:v>
                </c:pt>
                <c:pt idx="439">
                  <c:v>4.2957042957043071E-2</c:v>
                </c:pt>
                <c:pt idx="440">
                  <c:v>4.2828685258964112E-2</c:v>
                </c:pt>
                <c:pt idx="441">
                  <c:v>4.2658730158730132E-2</c:v>
                </c:pt>
                <c:pt idx="442">
                  <c:v>4.1543026706231487E-2</c:v>
                </c:pt>
                <c:pt idx="443">
                  <c:v>4.0433925049309608E-2</c:v>
                </c:pt>
                <c:pt idx="444">
                  <c:v>3.5259549461312524E-2</c:v>
                </c:pt>
                <c:pt idx="445">
                  <c:v>3.6062378167641358E-2</c:v>
                </c:pt>
                <c:pt idx="446">
                  <c:v>3.7900874635568425E-2</c:v>
                </c:pt>
                <c:pt idx="447">
                  <c:v>3.5818005808325296E-2</c:v>
                </c:pt>
                <c:pt idx="448">
                  <c:v>3.5748792270531425E-2</c:v>
                </c:pt>
                <c:pt idx="449">
                  <c:v>3.6644165863066507E-2</c:v>
                </c:pt>
                <c:pt idx="450">
                  <c:v>3.4582132564841585E-2</c:v>
                </c:pt>
                <c:pt idx="451">
                  <c:v>3.3524904214559385E-2</c:v>
                </c:pt>
                <c:pt idx="452">
                  <c:v>3.2473734479465055E-2</c:v>
                </c:pt>
                <c:pt idx="453">
                  <c:v>3.2350142721217945E-2</c:v>
                </c:pt>
                <c:pt idx="454">
                  <c:v>3.5137701804368496E-2</c:v>
                </c:pt>
                <c:pt idx="455">
                  <c:v>3.7914691943127965E-2</c:v>
                </c:pt>
                <c:pt idx="456">
                  <c:v>3.9735099337748367E-2</c:v>
                </c:pt>
                <c:pt idx="457">
                  <c:v>3.1984948259642577E-2</c:v>
                </c:pt>
                <c:pt idx="458">
                  <c:v>2.1535580524344542E-2</c:v>
                </c:pt>
                <c:pt idx="459">
                  <c:v>1.5887850467289747E-2</c:v>
                </c:pt>
                <c:pt idx="460">
                  <c:v>1.6791044776119375E-2</c:v>
                </c:pt>
                <c:pt idx="461">
                  <c:v>1.7674418604651215E-2</c:v>
                </c:pt>
                <c:pt idx="462">
                  <c:v>1.6713091922005544E-2</c:v>
                </c:pt>
                <c:pt idx="463">
                  <c:v>1.5755329008340951E-2</c:v>
                </c:pt>
                <c:pt idx="464">
                  <c:v>1.7576318223866842E-2</c:v>
                </c:pt>
                <c:pt idx="465">
                  <c:v>1.5668202764976984E-2</c:v>
                </c:pt>
                <c:pt idx="466">
                  <c:v>1.2844036697247759E-2</c:v>
                </c:pt>
                <c:pt idx="467">
                  <c:v>1.1872146118721436E-2</c:v>
                </c:pt>
                <c:pt idx="468">
                  <c:v>1.364877161055505E-2</c:v>
                </c:pt>
                <c:pt idx="469">
                  <c:v>1.9143117593436593E-2</c:v>
                </c:pt>
                <c:pt idx="470">
                  <c:v>2.8414298808432711E-2</c:v>
                </c:pt>
                <c:pt idx="471">
                  <c:v>3.6798528058877643E-2</c:v>
                </c:pt>
                <c:pt idx="472">
                  <c:v>3.669724770642202E-2</c:v>
                </c:pt>
                <c:pt idx="473">
                  <c:v>3.7477148080438706E-2</c:v>
                </c:pt>
                <c:pt idx="474">
                  <c:v>3.9269406392694037E-2</c:v>
                </c:pt>
                <c:pt idx="475">
                  <c:v>4.2883211678832148E-2</c:v>
                </c:pt>
                <c:pt idx="476">
                  <c:v>4.2727272727272753E-2</c:v>
                </c:pt>
                <c:pt idx="477">
                  <c:v>4.3557168784029009E-2</c:v>
                </c:pt>
                <c:pt idx="478">
                  <c:v>4.5289855072463768E-2</c:v>
                </c:pt>
                <c:pt idx="479">
                  <c:v>4.3321299638989147E-2</c:v>
                </c:pt>
                <c:pt idx="480">
                  <c:v>4.1292639138240522E-2</c:v>
                </c:pt>
                <c:pt idx="481">
                  <c:v>3.9355992844364987E-2</c:v>
                </c:pt>
                <c:pt idx="482">
                  <c:v>3.8324420677361824E-2</c:v>
                </c:pt>
                <c:pt idx="483">
                  <c:v>3.9929015084294583E-2</c:v>
                </c:pt>
                <c:pt idx="484">
                  <c:v>3.9823008849557522E-2</c:v>
                </c:pt>
                <c:pt idx="485">
                  <c:v>3.9647577092511016E-2</c:v>
                </c:pt>
                <c:pt idx="486">
                  <c:v>4.1300527240773315E-2</c:v>
                </c:pt>
                <c:pt idx="487">
                  <c:v>4.1119860017497838E-2</c:v>
                </c:pt>
                <c:pt idx="488">
                  <c:v>4.1848299912816016E-2</c:v>
                </c:pt>
                <c:pt idx="489">
                  <c:v>4.2608695652173963E-2</c:v>
                </c:pt>
                <c:pt idx="490">
                  <c:v>4.2461005199306685E-2</c:v>
                </c:pt>
                <c:pt idx="491">
                  <c:v>4.4117647058823609E-2</c:v>
                </c:pt>
                <c:pt idx="492">
                  <c:v>4.4827586206896579E-2</c:v>
                </c:pt>
                <c:pt idx="493">
                  <c:v>4.6471600688468083E-2</c:v>
                </c:pt>
                <c:pt idx="494">
                  <c:v>4.8927038626609465E-2</c:v>
                </c:pt>
                <c:pt idx="495">
                  <c:v>5.0341296928327568E-2</c:v>
                </c:pt>
                <c:pt idx="496">
                  <c:v>5.2765957446808537E-2</c:v>
                </c:pt>
                <c:pt idx="497">
                  <c:v>5.1694915254237243E-2</c:v>
                </c:pt>
                <c:pt idx="498">
                  <c:v>5.0632911392405063E-2</c:v>
                </c:pt>
                <c:pt idx="499">
                  <c:v>4.6218487394957986E-2</c:v>
                </c:pt>
                <c:pt idx="500">
                  <c:v>4.4351464435146419E-2</c:v>
                </c:pt>
                <c:pt idx="501">
                  <c:v>4.5871559633027519E-2</c:v>
                </c:pt>
                <c:pt idx="502">
                  <c:v>4.6550290939318444E-2</c:v>
                </c:pt>
                <c:pt idx="503">
                  <c:v>4.6396023198011553E-2</c:v>
                </c:pt>
                <c:pt idx="504">
                  <c:v>5.1980198019801957E-2</c:v>
                </c:pt>
                <c:pt idx="505">
                  <c:v>5.2631578947368474E-2</c:v>
                </c:pt>
                <c:pt idx="506">
                  <c:v>5.2373158756137406E-2</c:v>
                </c:pt>
                <c:pt idx="507">
                  <c:v>4.7116165718927794E-2</c:v>
                </c:pt>
                <c:pt idx="508">
                  <c:v>4.3654001616814805E-2</c:v>
                </c:pt>
                <c:pt idx="509">
                  <c:v>4.6736502820306301E-2</c:v>
                </c:pt>
                <c:pt idx="510">
                  <c:v>4.8192771084337352E-2</c:v>
                </c:pt>
                <c:pt idx="511">
                  <c:v>5.7028112449799148E-2</c:v>
                </c:pt>
                <c:pt idx="512">
                  <c:v>6.1698717948717972E-2</c:v>
                </c:pt>
                <c:pt idx="513">
                  <c:v>6.3795853269537475E-2</c:v>
                </c:pt>
                <c:pt idx="514">
                  <c:v>6.1953931691818766E-2</c:v>
                </c:pt>
                <c:pt idx="515">
                  <c:v>6.2549485352335649E-2</c:v>
                </c:pt>
                <c:pt idx="516">
                  <c:v>5.6470588235294029E-2</c:v>
                </c:pt>
                <c:pt idx="517">
                  <c:v>5.3125000000000089E-2</c:v>
                </c:pt>
                <c:pt idx="518">
                  <c:v>4.8211508553654879E-2</c:v>
                </c:pt>
                <c:pt idx="519">
                  <c:v>4.8099301784328849E-2</c:v>
                </c:pt>
                <c:pt idx="520">
                  <c:v>5.0348567002323784E-2</c:v>
                </c:pt>
                <c:pt idx="521">
                  <c:v>4.6959199384141601E-2</c:v>
                </c:pt>
                <c:pt idx="522">
                  <c:v>4.3678160919540146E-2</c:v>
                </c:pt>
                <c:pt idx="523">
                  <c:v>3.7993920972644375E-2</c:v>
                </c:pt>
                <c:pt idx="524">
                  <c:v>3.3962264150943396E-2</c:v>
                </c:pt>
                <c:pt idx="525">
                  <c:v>2.8485757121439151E-2</c:v>
                </c:pt>
                <c:pt idx="526">
                  <c:v>3.0665669409125081E-2</c:v>
                </c:pt>
                <c:pt idx="527">
                  <c:v>2.9806259314456039E-2</c:v>
                </c:pt>
                <c:pt idx="528">
                  <c:v>2.6726057906458968E-2</c:v>
                </c:pt>
                <c:pt idx="529">
                  <c:v>2.8189910979228357E-2</c:v>
                </c:pt>
                <c:pt idx="530">
                  <c:v>3.189910979228474E-2</c:v>
                </c:pt>
                <c:pt idx="531">
                  <c:v>3.1828275351591502E-2</c:v>
                </c:pt>
                <c:pt idx="532">
                  <c:v>3.0235988200589928E-2</c:v>
                </c:pt>
                <c:pt idx="533">
                  <c:v>3.0147058823529371E-2</c:v>
                </c:pt>
                <c:pt idx="534">
                  <c:v>3.1571218795888485E-2</c:v>
                </c:pt>
                <c:pt idx="535">
                  <c:v>3.0746705710102615E-2</c:v>
                </c:pt>
                <c:pt idx="536">
                  <c:v>2.9927007299270031E-2</c:v>
                </c:pt>
                <c:pt idx="537">
                  <c:v>3.2798833819241986E-2</c:v>
                </c:pt>
                <c:pt idx="538">
                  <c:v>3.1204644412191455E-2</c:v>
                </c:pt>
                <c:pt idx="539">
                  <c:v>2.9667149059334465E-2</c:v>
                </c:pt>
                <c:pt idx="540">
                  <c:v>3.2537960954446853E-2</c:v>
                </c:pt>
                <c:pt idx="541">
                  <c:v>3.2467532467532471E-2</c:v>
                </c:pt>
                <c:pt idx="542">
                  <c:v>3.0194104960460225E-2</c:v>
                </c:pt>
                <c:pt idx="543">
                  <c:v>3.1563845050215249E-2</c:v>
                </c:pt>
                <c:pt idx="544">
                  <c:v>3.2211882605583393E-2</c:v>
                </c:pt>
                <c:pt idx="545">
                  <c:v>2.9978586723768859E-2</c:v>
                </c:pt>
                <c:pt idx="546">
                  <c:v>2.8469750889679714E-2</c:v>
                </c:pt>
                <c:pt idx="547">
                  <c:v>2.8409090909090908E-2</c:v>
                </c:pt>
                <c:pt idx="548">
                  <c:v>2.7639971651311167E-2</c:v>
                </c:pt>
                <c:pt idx="549">
                  <c:v>2.7522935779816557E-2</c:v>
                </c:pt>
                <c:pt idx="550">
                  <c:v>2.7445460942997931E-2</c:v>
                </c:pt>
                <c:pt idx="551">
                  <c:v>2.8109627547434995E-2</c:v>
                </c:pt>
                <c:pt idx="552">
                  <c:v>2.4509803921568627E-2</c:v>
                </c:pt>
                <c:pt idx="553">
                  <c:v>2.5157232704402475E-2</c:v>
                </c:pt>
                <c:pt idx="554">
                  <c:v>2.6517794836008253E-2</c:v>
                </c:pt>
                <c:pt idx="555">
                  <c:v>2.3643949930458812E-2</c:v>
                </c:pt>
                <c:pt idx="556">
                  <c:v>2.2884882108183159E-2</c:v>
                </c:pt>
                <c:pt idx="557">
                  <c:v>2.4948024948024908E-2</c:v>
                </c:pt>
                <c:pt idx="558">
                  <c:v>2.6989619377162669E-2</c:v>
                </c:pt>
                <c:pt idx="559">
                  <c:v>2.9005524861878372E-2</c:v>
                </c:pt>
                <c:pt idx="560">
                  <c:v>2.9655172413793181E-2</c:v>
                </c:pt>
                <c:pt idx="561">
                  <c:v>2.609890109890118E-2</c:v>
                </c:pt>
                <c:pt idx="562">
                  <c:v>2.602739726027405E-2</c:v>
                </c:pt>
                <c:pt idx="563">
                  <c:v>2.5974025974025854E-2</c:v>
                </c:pt>
                <c:pt idx="564">
                  <c:v>2.8708133971291787E-2</c:v>
                </c:pt>
                <c:pt idx="565">
                  <c:v>2.8629856850715864E-2</c:v>
                </c:pt>
                <c:pt idx="566">
                  <c:v>2.7872195785180111E-2</c:v>
                </c:pt>
                <c:pt idx="567">
                  <c:v>3.125000000000016E-2</c:v>
                </c:pt>
                <c:pt idx="568">
                  <c:v>3.1186440677966065E-2</c:v>
                </c:pt>
                <c:pt idx="569">
                  <c:v>3.0425963488843813E-2</c:v>
                </c:pt>
                <c:pt idx="570">
                  <c:v>2.8301886792452751E-2</c:v>
                </c:pt>
                <c:pt idx="571">
                  <c:v>2.6174496644295341E-2</c:v>
                </c:pt>
                <c:pt idx="572">
                  <c:v>2.5452109845947639E-2</c:v>
                </c:pt>
                <c:pt idx="573">
                  <c:v>2.7443105756358728E-2</c:v>
                </c:pt>
                <c:pt idx="574">
                  <c:v>2.6034712950600648E-2</c:v>
                </c:pt>
                <c:pt idx="575">
                  <c:v>2.5316455696202608E-2</c:v>
                </c:pt>
                <c:pt idx="576">
                  <c:v>2.790697674418597E-2</c:v>
                </c:pt>
                <c:pt idx="577">
                  <c:v>2.7170311464546019E-2</c:v>
                </c:pt>
                <c:pt idx="578">
                  <c:v>2.8439153439153517E-2</c:v>
                </c:pt>
                <c:pt idx="579">
                  <c:v>2.832674571804995E-2</c:v>
                </c:pt>
                <c:pt idx="580">
                  <c:v>2.8270874424720656E-2</c:v>
                </c:pt>
                <c:pt idx="581">
                  <c:v>2.8215223097112749E-2</c:v>
                </c:pt>
                <c:pt idx="582">
                  <c:v>2.8833551769331625E-2</c:v>
                </c:pt>
                <c:pt idx="583">
                  <c:v>2.8122956180510025E-2</c:v>
                </c:pt>
                <c:pt idx="584">
                  <c:v>3.0045721750489841E-2</c:v>
                </c:pt>
                <c:pt idx="585">
                  <c:v>3.0618892508143248E-2</c:v>
                </c:pt>
                <c:pt idx="586">
                  <c:v>3.2530904359141188E-2</c:v>
                </c:pt>
                <c:pt idx="587">
                  <c:v>3.3788174139051254E-2</c:v>
                </c:pt>
                <c:pt idx="588">
                  <c:v>3.0381383322559907E-2</c:v>
                </c:pt>
                <c:pt idx="589">
                  <c:v>3.0322580645161218E-2</c:v>
                </c:pt>
                <c:pt idx="590">
                  <c:v>2.7652733118971134E-2</c:v>
                </c:pt>
                <c:pt idx="591">
                  <c:v>2.4343369634849531E-2</c:v>
                </c:pt>
                <c:pt idx="592">
                  <c:v>2.2378516624040921E-2</c:v>
                </c:pt>
                <c:pt idx="593">
                  <c:v>2.2335673261008299E-2</c:v>
                </c:pt>
                <c:pt idx="594">
                  <c:v>2.165605095541405E-2</c:v>
                </c:pt>
                <c:pt idx="595">
                  <c:v>2.2900763358778772E-2</c:v>
                </c:pt>
                <c:pt idx="596">
                  <c:v>2.2194039315155359E-2</c:v>
                </c:pt>
                <c:pt idx="597">
                  <c:v>2.0859671302149253E-2</c:v>
                </c:pt>
                <c:pt idx="598">
                  <c:v>1.890359168241966E-2</c:v>
                </c:pt>
                <c:pt idx="599">
                  <c:v>1.6970458830924056E-2</c:v>
                </c:pt>
                <c:pt idx="600">
                  <c:v>1.6311166875784155E-2</c:v>
                </c:pt>
                <c:pt idx="601">
                  <c:v>1.4402003757044531E-2</c:v>
                </c:pt>
                <c:pt idx="602">
                  <c:v>1.3767209011264008E-2</c:v>
                </c:pt>
                <c:pt idx="603">
                  <c:v>1.4383989993745985E-2</c:v>
                </c:pt>
                <c:pt idx="604">
                  <c:v>1.6885553470919253E-2</c:v>
                </c:pt>
                <c:pt idx="605">
                  <c:v>1.6229712858926486E-2</c:v>
                </c:pt>
                <c:pt idx="606">
                  <c:v>1.7456359102244284E-2</c:v>
                </c:pt>
                <c:pt idx="607">
                  <c:v>1.6169154228855686E-2</c:v>
                </c:pt>
                <c:pt idx="608">
                  <c:v>1.426799007444176E-2</c:v>
                </c:pt>
                <c:pt idx="609">
                  <c:v>1.4860681114551119E-2</c:v>
                </c:pt>
                <c:pt idx="610">
                  <c:v>1.4842300556586308E-2</c:v>
                </c:pt>
                <c:pt idx="611">
                  <c:v>1.6069221260815787E-2</c:v>
                </c:pt>
                <c:pt idx="612">
                  <c:v>1.6666666666666597E-2</c:v>
                </c:pt>
                <c:pt idx="613">
                  <c:v>1.6666666666666597E-2</c:v>
                </c:pt>
                <c:pt idx="614">
                  <c:v>1.7283950617284022E-2</c:v>
                </c:pt>
                <c:pt idx="615">
                  <c:v>2.2811344019728837E-2</c:v>
                </c:pt>
                <c:pt idx="616">
                  <c:v>2.0910209102091057E-2</c:v>
                </c:pt>
                <c:pt idx="617">
                  <c:v>1.9656019656019586E-2</c:v>
                </c:pt>
                <c:pt idx="618">
                  <c:v>2.1446078431372549E-2</c:v>
                </c:pt>
                <c:pt idx="619">
                  <c:v>2.2643818849449136E-2</c:v>
                </c:pt>
                <c:pt idx="620">
                  <c:v>2.6299694189602516E-2</c:v>
                </c:pt>
                <c:pt idx="621">
                  <c:v>2.5625381330079248E-2</c:v>
                </c:pt>
                <c:pt idx="622">
                  <c:v>2.6203534430225543E-2</c:v>
                </c:pt>
                <c:pt idx="623">
                  <c:v>2.6763990267639936E-2</c:v>
                </c:pt>
                <c:pt idx="624">
                  <c:v>2.792956891317561E-2</c:v>
                </c:pt>
                <c:pt idx="625">
                  <c:v>3.2179720704310938E-2</c:v>
                </c:pt>
                <c:pt idx="626">
                  <c:v>3.7621359223300899E-2</c:v>
                </c:pt>
                <c:pt idx="627">
                  <c:v>3.013863773357444E-2</c:v>
                </c:pt>
                <c:pt idx="628">
                  <c:v>3.132530120481921E-2</c:v>
                </c:pt>
                <c:pt idx="629">
                  <c:v>3.7349397590361377E-2</c:v>
                </c:pt>
                <c:pt idx="630">
                  <c:v>3.5992801439712063E-2</c:v>
                </c:pt>
                <c:pt idx="631">
                  <c:v>3.3512866546977826E-2</c:v>
                </c:pt>
                <c:pt idx="632">
                  <c:v>3.4564958283670934E-2</c:v>
                </c:pt>
                <c:pt idx="633">
                  <c:v>3.4503271861986984E-2</c:v>
                </c:pt>
                <c:pt idx="634">
                  <c:v>3.4441805225653106E-2</c:v>
                </c:pt>
                <c:pt idx="635">
                  <c:v>3.4360189573459612E-2</c:v>
                </c:pt>
                <c:pt idx="636">
                  <c:v>3.7212049616066049E-2</c:v>
                </c:pt>
                <c:pt idx="637">
                  <c:v>3.5294117647058823E-2</c:v>
                </c:pt>
                <c:pt idx="638">
                  <c:v>2.982456140350874E-2</c:v>
                </c:pt>
                <c:pt idx="639">
                  <c:v>3.2182562902282039E-2</c:v>
                </c:pt>
                <c:pt idx="640">
                  <c:v>3.5630841121495463E-2</c:v>
                </c:pt>
                <c:pt idx="641">
                  <c:v>3.1939605110336819E-2</c:v>
                </c:pt>
                <c:pt idx="642">
                  <c:v>2.7214823393167442E-2</c:v>
                </c:pt>
                <c:pt idx="643">
                  <c:v>2.7214823393167442E-2</c:v>
                </c:pt>
                <c:pt idx="644">
                  <c:v>2.5921658986175117E-2</c:v>
                </c:pt>
                <c:pt idx="645">
                  <c:v>2.1276595744680785E-2</c:v>
                </c:pt>
                <c:pt idx="646">
                  <c:v>1.8943742824339905E-2</c:v>
                </c:pt>
                <c:pt idx="647">
                  <c:v>1.6036655211913008E-2</c:v>
                </c:pt>
                <c:pt idx="648">
                  <c:v>1.1958997722095639E-2</c:v>
                </c:pt>
                <c:pt idx="649">
                  <c:v>1.1363636363636364E-2</c:v>
                </c:pt>
                <c:pt idx="650">
                  <c:v>1.3628620102214684E-2</c:v>
                </c:pt>
                <c:pt idx="651">
                  <c:v>1.6439909297052187E-2</c:v>
                </c:pt>
                <c:pt idx="652">
                  <c:v>1.240834743372808E-2</c:v>
                </c:pt>
                <c:pt idx="653">
                  <c:v>1.0692177827799696E-2</c:v>
                </c:pt>
                <c:pt idx="654">
                  <c:v>1.4656144306651603E-2</c:v>
                </c:pt>
                <c:pt idx="655">
                  <c:v>1.74746335963923E-2</c:v>
                </c:pt>
                <c:pt idx="656">
                  <c:v>1.5160022459292629E-2</c:v>
                </c:pt>
                <c:pt idx="657">
                  <c:v>2.027027027027024E-2</c:v>
                </c:pt>
                <c:pt idx="658">
                  <c:v>2.2535211267605635E-2</c:v>
                </c:pt>
                <c:pt idx="659">
                  <c:v>2.4802705749718181E-2</c:v>
                </c:pt>
                <c:pt idx="660">
                  <c:v>2.7574563871693901E-2</c:v>
                </c:pt>
                <c:pt idx="661">
                  <c:v>3.1460674157303338E-2</c:v>
                </c:pt>
                <c:pt idx="662">
                  <c:v>3.0252100840336166E-2</c:v>
                </c:pt>
                <c:pt idx="663">
                  <c:v>2.1751254880089107E-2</c:v>
                </c:pt>
                <c:pt idx="664">
                  <c:v>1.8941504178273012E-2</c:v>
                </c:pt>
                <c:pt idx="665">
                  <c:v>1.9487750556792874E-2</c:v>
                </c:pt>
                <c:pt idx="666">
                  <c:v>2.0555555555555494E-2</c:v>
                </c:pt>
                <c:pt idx="667">
                  <c:v>2.2160664819944598E-2</c:v>
                </c:pt>
                <c:pt idx="668">
                  <c:v>2.378318584070787E-2</c:v>
                </c:pt>
                <c:pt idx="669">
                  <c:v>2.0419426048565215E-2</c:v>
                </c:pt>
                <c:pt idx="670">
                  <c:v>1.928374655647383E-2</c:v>
                </c:pt>
                <c:pt idx="671">
                  <c:v>2.0352035203520288E-2</c:v>
                </c:pt>
                <c:pt idx="672">
                  <c:v>2.0262869660460116E-2</c:v>
                </c:pt>
                <c:pt idx="673">
                  <c:v>1.6884531590413913E-2</c:v>
                </c:pt>
                <c:pt idx="674">
                  <c:v>1.7400761283306081E-2</c:v>
                </c:pt>
                <c:pt idx="675">
                  <c:v>2.2925764192139833E-2</c:v>
                </c:pt>
                <c:pt idx="676">
                  <c:v>2.8977583378895479E-2</c:v>
                </c:pt>
                <c:pt idx="677">
                  <c:v>3.1676679410158448E-2</c:v>
                </c:pt>
                <c:pt idx="678">
                  <c:v>2.9395753946652184E-2</c:v>
                </c:pt>
                <c:pt idx="679">
                  <c:v>2.5474254742547362E-2</c:v>
                </c:pt>
                <c:pt idx="680">
                  <c:v>2.5391680172879617E-2</c:v>
                </c:pt>
                <c:pt idx="681">
                  <c:v>3.190914007571663E-2</c:v>
                </c:pt>
                <c:pt idx="682">
                  <c:v>3.6216216216216152E-2</c:v>
                </c:pt>
                <c:pt idx="683">
                  <c:v>3.3423180592991854E-2</c:v>
                </c:pt>
                <c:pt idx="684">
                  <c:v>2.8448738593666038E-2</c:v>
                </c:pt>
                <c:pt idx="685">
                  <c:v>3.0530262453133464E-2</c:v>
                </c:pt>
                <c:pt idx="686">
                  <c:v>3.2068412613575632E-2</c:v>
                </c:pt>
                <c:pt idx="687">
                  <c:v>3.3617929562433209E-2</c:v>
                </c:pt>
                <c:pt idx="688">
                  <c:v>2.8692879914984093E-2</c:v>
                </c:pt>
                <c:pt idx="689">
                  <c:v>2.5410269984118491E-2</c:v>
                </c:pt>
                <c:pt idx="690">
                  <c:v>3.0671602326811272E-2</c:v>
                </c:pt>
                <c:pt idx="691">
                  <c:v>3.6469344608879524E-2</c:v>
                </c:pt>
                <c:pt idx="692">
                  <c:v>4.7418335089567963E-2</c:v>
                </c:pt>
                <c:pt idx="693">
                  <c:v>4.3501048218029255E-2</c:v>
                </c:pt>
                <c:pt idx="694">
                  <c:v>3.3385498174230602E-2</c:v>
                </c:pt>
                <c:pt idx="695">
                  <c:v>3.3385498174230602E-2</c:v>
                </c:pt>
                <c:pt idx="696">
                  <c:v>4.0187891440501132E-2</c:v>
                </c:pt>
                <c:pt idx="697">
                  <c:v>3.6382536382536385E-2</c:v>
                </c:pt>
                <c:pt idx="698">
                  <c:v>3.4179181771103025E-2</c:v>
                </c:pt>
                <c:pt idx="699">
                  <c:v>3.6138358286009295E-2</c:v>
                </c:pt>
                <c:pt idx="700">
                  <c:v>3.9772727272727362E-2</c:v>
                </c:pt>
                <c:pt idx="701">
                  <c:v>4.1817243159525161E-2</c:v>
                </c:pt>
                <c:pt idx="702">
                  <c:v>4.1046690610569522E-2</c:v>
                </c:pt>
                <c:pt idx="703">
                  <c:v>3.9265680775114824E-2</c:v>
                </c:pt>
                <c:pt idx="704">
                  <c:v>2.0120724346076459E-2</c:v>
                </c:pt>
                <c:pt idx="705">
                  <c:v>1.4063284781516883E-2</c:v>
                </c:pt>
                <c:pt idx="706">
                  <c:v>1.9687026754164592E-2</c:v>
                </c:pt>
                <c:pt idx="707">
                  <c:v>2.523977788995457E-2</c:v>
                </c:pt>
                <c:pt idx="708">
                  <c:v>2.0757651781234322E-2</c:v>
                </c:pt>
                <c:pt idx="709">
                  <c:v>2.4202607823470376E-2</c:v>
                </c:pt>
                <c:pt idx="710">
                  <c:v>2.7981972959439272E-2</c:v>
                </c:pt>
                <c:pt idx="711">
                  <c:v>2.5929247633283546E-2</c:v>
                </c:pt>
                <c:pt idx="712">
                  <c:v>2.70988574267262E-2</c:v>
                </c:pt>
                <c:pt idx="713">
                  <c:v>2.6927651139742305E-2</c:v>
                </c:pt>
                <c:pt idx="714">
                  <c:v>2.3178905864958122E-2</c:v>
                </c:pt>
                <c:pt idx="715">
                  <c:v>1.8974484789008782E-2</c:v>
                </c:pt>
                <c:pt idx="716">
                  <c:v>2.8338264299802688E-2</c:v>
                </c:pt>
                <c:pt idx="717">
                  <c:v>3.610698365527485E-2</c:v>
                </c:pt>
                <c:pt idx="718">
                  <c:v>4.3732673267326751E-2</c:v>
                </c:pt>
                <c:pt idx="719">
                  <c:v>4.1088133924175277E-2</c:v>
                </c:pt>
                <c:pt idx="720">
                  <c:v>4.2946956551659698E-2</c:v>
                </c:pt>
                <c:pt idx="721">
                  <c:v>4.1429592706119754E-2</c:v>
                </c:pt>
                <c:pt idx="722">
                  <c:v>3.9749035501344433E-2</c:v>
                </c:pt>
                <c:pt idx="723">
                  <c:v>3.903760975988816E-2</c:v>
                </c:pt>
                <c:pt idx="724">
                  <c:v>4.0884138231239889E-2</c:v>
                </c:pt>
                <c:pt idx="725">
                  <c:v>4.9359661059478581E-2</c:v>
                </c:pt>
                <c:pt idx="726">
                  <c:v>5.4975120783418263E-2</c:v>
                </c:pt>
                <c:pt idx="727">
                  <c:v>5.308017162091231E-2</c:v>
                </c:pt>
                <c:pt idx="728">
                  <c:v>4.9533198751360669E-2</c:v>
                </c:pt>
                <c:pt idx="729">
                  <c:v>3.7310578899565024E-2</c:v>
                </c:pt>
                <c:pt idx="730">
                  <c:v>1.0999174706166882E-2</c:v>
                </c:pt>
                <c:pt idx="731">
                  <c:v>-2.2228002553854217E-4</c:v>
                </c:pt>
                <c:pt idx="732">
                  <c:v>-1.1358601902212988E-3</c:v>
                </c:pt>
                <c:pt idx="733">
                  <c:v>8.4631406715035155E-5</c:v>
                </c:pt>
                <c:pt idx="734">
                  <c:v>-4.4647876766238286E-3</c:v>
                </c:pt>
                <c:pt idx="735">
                  <c:v>-5.7632442437670212E-3</c:v>
                </c:pt>
                <c:pt idx="736">
                  <c:v>-1.0157614958551759E-2</c:v>
                </c:pt>
                <c:pt idx="737">
                  <c:v>-1.229174618210915E-2</c:v>
                </c:pt>
                <c:pt idx="738">
                  <c:v>-1.9587610037622785E-2</c:v>
                </c:pt>
                <c:pt idx="739">
                  <c:v>-1.4838355663267661E-2</c:v>
                </c:pt>
                <c:pt idx="740">
                  <c:v>-1.3779428628864701E-2</c:v>
                </c:pt>
                <c:pt idx="741">
                  <c:v>-2.2396829420033566E-3</c:v>
                </c:pt>
                <c:pt idx="742">
                  <c:v>1.9145871744709282E-2</c:v>
                </c:pt>
                <c:pt idx="743">
                  <c:v>2.8141231232083615E-2</c:v>
                </c:pt>
                <c:pt idx="744">
                  <c:v>2.6211113889767081E-2</c:v>
                </c:pt>
                <c:pt idx="745">
                  <c:v>2.1513363578665255E-2</c:v>
                </c:pt>
                <c:pt idx="746">
                  <c:v>2.2861714393279862E-2</c:v>
                </c:pt>
                <c:pt idx="747">
                  <c:v>2.2067707525304469E-2</c:v>
                </c:pt>
                <c:pt idx="748">
                  <c:v>2.0035489292185786E-2</c:v>
                </c:pt>
                <c:pt idx="749">
                  <c:v>1.1215605940686347E-2</c:v>
                </c:pt>
                <c:pt idx="750">
                  <c:v>1.3407784804820985E-2</c:v>
                </c:pt>
                <c:pt idx="751">
                  <c:v>1.1501775395112481E-2</c:v>
                </c:pt>
                <c:pt idx="752">
                  <c:v>1.1183122472331806E-2</c:v>
                </c:pt>
                <c:pt idx="753">
                  <c:v>1.166695148931458E-2</c:v>
                </c:pt>
                <c:pt idx="754">
                  <c:v>1.0845447766003454E-2</c:v>
                </c:pt>
                <c:pt idx="755">
                  <c:v>1.4377930222179279E-2</c:v>
                </c:pt>
                <c:pt idx="756">
                  <c:v>1.700783491502985E-2</c:v>
                </c:pt>
                <c:pt idx="757">
                  <c:v>2.1248981733331448E-2</c:v>
                </c:pt>
                <c:pt idx="758">
                  <c:v>2.6192415103541169E-2</c:v>
                </c:pt>
                <c:pt idx="759">
                  <c:v>3.0772344447868697E-2</c:v>
                </c:pt>
                <c:pt idx="760">
                  <c:v>3.4589718808965067E-2</c:v>
                </c:pt>
                <c:pt idx="761">
                  <c:v>3.5023181506360523E-2</c:v>
                </c:pt>
                <c:pt idx="762">
                  <c:v>3.5798809769996193E-2</c:v>
                </c:pt>
                <c:pt idx="763">
                  <c:v>3.754996030708091E-2</c:v>
                </c:pt>
                <c:pt idx="764">
                  <c:v>3.8126216928186935E-2</c:v>
                </c:pt>
                <c:pt idx="765">
                  <c:v>3.522268130664051E-2</c:v>
                </c:pt>
                <c:pt idx="766">
                  <c:v>3.451432214581724E-2</c:v>
                </c:pt>
                <c:pt idx="767">
                  <c:v>3.062066838419393E-2</c:v>
                </c:pt>
                <c:pt idx="768">
                  <c:v>3.0087663379855058E-2</c:v>
                </c:pt>
                <c:pt idx="769">
                  <c:v>2.8981784423473902E-2</c:v>
                </c:pt>
                <c:pt idx="770">
                  <c:v>2.5828752813321001E-2</c:v>
                </c:pt>
                <c:pt idx="771">
                  <c:v>2.273163374134856E-2</c:v>
                </c:pt>
                <c:pt idx="772">
                  <c:v>1.7379429374660738E-2</c:v>
                </c:pt>
                <c:pt idx="773">
                  <c:v>1.6538704482976386E-2</c:v>
                </c:pt>
                <c:pt idx="774">
                  <c:v>1.4175114798464887E-2</c:v>
                </c:pt>
                <c:pt idx="775">
                  <c:v>1.6859349154821242E-2</c:v>
                </c:pt>
                <c:pt idx="776">
                  <c:v>1.9497168982819623E-2</c:v>
                </c:pt>
                <c:pt idx="777">
                  <c:v>2.1556780595369373E-2</c:v>
                </c:pt>
                <c:pt idx="778">
                  <c:v>1.7960197033926213E-2</c:v>
                </c:pt>
                <c:pt idx="779">
                  <c:v>1.7595049796895516E-2</c:v>
                </c:pt>
                <c:pt idx="780">
                  <c:v>1.6840617620982913E-2</c:v>
                </c:pt>
                <c:pt idx="781">
                  <c:v>2.018140490257481E-2</c:v>
                </c:pt>
                <c:pt idx="782">
                  <c:v>1.518747241124626E-2</c:v>
                </c:pt>
                <c:pt idx="783">
                  <c:v>1.1388080475768631E-2</c:v>
                </c:pt>
                <c:pt idx="784">
                  <c:v>1.3903888279197103E-2</c:v>
                </c:pt>
                <c:pt idx="785">
                  <c:v>1.7157935271568815E-2</c:v>
                </c:pt>
                <c:pt idx="786">
                  <c:v>1.8854718054158108E-2</c:v>
                </c:pt>
                <c:pt idx="787">
                  <c:v>1.5388094886002759E-2</c:v>
                </c:pt>
                <c:pt idx="788">
                  <c:v>1.0947341081748047E-2</c:v>
                </c:pt>
                <c:pt idx="789">
                  <c:v>8.7679914349113961E-3</c:v>
                </c:pt>
                <c:pt idx="790">
                  <c:v>1.2328701961954427E-2</c:v>
                </c:pt>
                <c:pt idx="791">
                  <c:v>1.5128383667573405E-2</c:v>
                </c:pt>
                <c:pt idx="792">
                  <c:v>1.5577587955749157E-2</c:v>
                </c:pt>
                <c:pt idx="793">
                  <c:v>1.1204746347724857E-2</c:v>
                </c:pt>
                <c:pt idx="794">
                  <c:v>1.6126949139408049E-2</c:v>
                </c:pt>
                <c:pt idx="795">
                  <c:v>2.0151253036061693E-2</c:v>
                </c:pt>
                <c:pt idx="796">
                  <c:v>2.1669476870798194E-2</c:v>
                </c:pt>
                <c:pt idx="797">
                  <c:v>2.0589816945944209E-2</c:v>
                </c:pt>
                <c:pt idx="798">
                  <c:v>1.9742378703306074E-2</c:v>
                </c:pt>
                <c:pt idx="799">
                  <c:v>1.7150983482969034E-2</c:v>
                </c:pt>
                <c:pt idx="800">
                  <c:v>1.6840509711232111E-2</c:v>
                </c:pt>
                <c:pt idx="801">
                  <c:v>1.609541702151332E-2</c:v>
                </c:pt>
                <c:pt idx="802">
                  <c:v>1.2315249893208072E-2</c:v>
                </c:pt>
                <c:pt idx="803">
                  <c:v>6.5312139196231044E-3</c:v>
                </c:pt>
                <c:pt idx="804">
                  <c:v>-2.29930978205432E-3</c:v>
                </c:pt>
                <c:pt idx="805">
                  <c:v>-8.7031462935203627E-4</c:v>
                </c:pt>
                <c:pt idx="806">
                  <c:v>-2.2031284423878735E-4</c:v>
                </c:pt>
                <c:pt idx="807">
                  <c:v>-1.040309893939057E-3</c:v>
                </c:pt>
                <c:pt idx="808">
                  <c:v>3.5033218244286379E-4</c:v>
                </c:pt>
                <c:pt idx="809">
                  <c:v>1.7957180975505568E-3</c:v>
                </c:pt>
                <c:pt idx="810">
                  <c:v>2.2568611104093568E-3</c:v>
                </c:pt>
                <c:pt idx="811">
                  <c:v>2.4130379853448121E-3</c:v>
                </c:pt>
                <c:pt idx="812">
                  <c:v>8.8429616341736603E-5</c:v>
                </c:pt>
                <c:pt idx="813">
                  <c:v>1.2761656067051227E-3</c:v>
                </c:pt>
                <c:pt idx="814">
                  <c:v>4.3631821691850967E-3</c:v>
                </c:pt>
                <c:pt idx="815">
                  <c:v>6.3872475153648901E-3</c:v>
                </c:pt>
                <c:pt idx="816">
                  <c:v>1.2375025026943784E-2</c:v>
                </c:pt>
                <c:pt idx="817">
                  <c:v>8.4727757901267072E-3</c:v>
                </c:pt>
                <c:pt idx="818">
                  <c:v>8.9161609655219742E-3</c:v>
                </c:pt>
                <c:pt idx="819">
                  <c:v>1.1726257503534733E-2</c:v>
                </c:pt>
                <c:pt idx="820">
                  <c:v>1.0784764621246253E-2</c:v>
                </c:pt>
                <c:pt idx="821">
                  <c:v>1.0792865347959445E-2</c:v>
                </c:pt>
                <c:pt idx="822">
                  <c:v>8.6836334305183602E-3</c:v>
                </c:pt>
                <c:pt idx="823">
                  <c:v>1.0553158595656907E-2</c:v>
                </c:pt>
                <c:pt idx="824">
                  <c:v>1.5486446201652213E-2</c:v>
                </c:pt>
                <c:pt idx="825">
                  <c:v>1.685924966243647E-2</c:v>
                </c:pt>
                <c:pt idx="826">
                  <c:v>1.6843334719788983E-2</c:v>
                </c:pt>
                <c:pt idx="827">
                  <c:v>2.0507989115119824E-2</c:v>
                </c:pt>
                <c:pt idx="828">
                  <c:v>2.5112349149176181E-2</c:v>
                </c:pt>
                <c:pt idx="829">
                  <c:v>2.7539016415545896E-2</c:v>
                </c:pt>
                <c:pt idx="830">
                  <c:v>2.3882728494623563E-2</c:v>
                </c:pt>
                <c:pt idx="831">
                  <c:v>2.2101158197763988E-2</c:v>
                </c:pt>
                <c:pt idx="832">
                  <c:v>1.8834765838610438E-2</c:v>
                </c:pt>
                <c:pt idx="833">
                  <c:v>1.6634612982990654E-2</c:v>
                </c:pt>
                <c:pt idx="834">
                  <c:v>1.7405175322051977E-2</c:v>
                </c:pt>
                <c:pt idx="835">
                  <c:v>1.9372674551539317E-2</c:v>
                </c:pt>
                <c:pt idx="836">
                  <c:v>2.2286628851958735E-2</c:v>
                </c:pt>
                <c:pt idx="837">
                  <c:v>2.0335813949640302E-2</c:v>
                </c:pt>
                <c:pt idx="838">
                  <c:v>2.2113326667382742E-2</c:v>
                </c:pt>
                <c:pt idx="839">
                  <c:v>2.1014931770504869E-2</c:v>
                </c:pt>
                <c:pt idx="840">
                  <c:v>2.0938346605369012E-2</c:v>
                </c:pt>
                <c:pt idx="841">
                  <c:v>2.225757774570265E-2</c:v>
                </c:pt>
                <c:pt idx="842">
                  <c:v>2.3592297531238995E-2</c:v>
                </c:pt>
                <c:pt idx="843">
                  <c:v>2.4566675127111377E-2</c:v>
                </c:pt>
                <c:pt idx="844">
                  <c:v>2.7520905973310882E-2</c:v>
                </c:pt>
                <c:pt idx="845">
                  <c:v>2.8392665569286449E-2</c:v>
                </c:pt>
                <c:pt idx="846">
                  <c:v>2.8921729163255271E-2</c:v>
                </c:pt>
                <c:pt idx="847">
                  <c:v>2.6630778328337518E-2</c:v>
                </c:pt>
                <c:pt idx="848">
                  <c:v>2.2843144014828596E-2</c:v>
                </c:pt>
                <c:pt idx="849">
                  <c:v>2.5306397142590684E-2</c:v>
                </c:pt>
                <c:pt idx="850">
                  <c:v>2.200680739596899E-2</c:v>
                </c:pt>
                <c:pt idx="851">
                  <c:v>1.920189233700393E-2</c:v>
                </c:pt>
                <c:pt idx="852">
                  <c:v>1.495651754375384E-2</c:v>
                </c:pt>
                <c:pt idx="853">
                  <c:v>1.4717208182912084E-2</c:v>
                </c:pt>
                <c:pt idx="854">
                  <c:v>1.8555849902010667E-2</c:v>
                </c:pt>
                <c:pt idx="855">
                  <c:v>2.0181800019977974E-2</c:v>
                </c:pt>
                <c:pt idx="856">
                  <c:v>1.8282519757881251E-2</c:v>
                </c:pt>
                <c:pt idx="857">
                  <c:v>1.7005638020003884E-2</c:v>
                </c:pt>
                <c:pt idx="858">
                  <c:v>1.822196582386764E-2</c:v>
                </c:pt>
                <c:pt idx="859">
                  <c:v>1.741116650445898E-2</c:v>
                </c:pt>
                <c:pt idx="860">
                  <c:v>1.724541305321925E-2</c:v>
                </c:pt>
                <c:pt idx="861">
                  <c:v>1.7746214892111079E-2</c:v>
                </c:pt>
                <c:pt idx="862">
                  <c:v>2.0437303715657551E-2</c:v>
                </c:pt>
                <c:pt idx="863">
                  <c:v>2.2614488322448462E-2</c:v>
                </c:pt>
                <c:pt idx="864">
                  <c:v>2.474241505936044E-2</c:v>
                </c:pt>
                <c:pt idx="865">
                  <c:v>2.3145128454474733E-2</c:v>
                </c:pt>
                <c:pt idx="866">
                  <c:v>1.5117235300829774E-2</c:v>
                </c:pt>
                <c:pt idx="867">
                  <c:v>3.3917423215810922E-3</c:v>
                </c:pt>
                <c:pt idx="868">
                  <c:v>2.2359625799327171E-3</c:v>
                </c:pt>
                <c:pt idx="869">
                  <c:v>7.2781229568205695E-3</c:v>
                </c:pt>
                <c:pt idx="870">
                  <c:v>1.0467910520660246E-2</c:v>
                </c:pt>
                <c:pt idx="871">
                  <c:v>1.3247799842260322E-2</c:v>
                </c:pt>
                <c:pt idx="872">
                  <c:v>1.4099605507305206E-2</c:v>
                </c:pt>
                <c:pt idx="873">
                  <c:v>1.1946990329736888E-2</c:v>
                </c:pt>
                <c:pt idx="874">
                  <c:v>1.1388082437623485E-2</c:v>
                </c:pt>
                <c:pt idx="875">
                  <c:v>1.3001398124731424E-2</c:v>
                </c:pt>
                <c:pt idx="876">
                  <c:v>1.3699953998461394E-2</c:v>
                </c:pt>
                <c:pt idx="877">
                  <c:v>1.6756560442617335E-2</c:v>
                </c:pt>
                <c:pt idx="878">
                  <c:v>2.6373217462760161E-2</c:v>
                </c:pt>
                <c:pt idx="879">
                  <c:v>4.1531351486385155E-2</c:v>
                </c:pt>
                <c:pt idx="880">
                  <c:v>4.9265067866938524E-2</c:v>
                </c:pt>
                <c:pt idx="881">
                  <c:v>5.3245077385903457E-2</c:v>
                </c:pt>
                <c:pt idx="882">
                  <c:v>5.282594236748079E-2</c:v>
                </c:pt>
                <c:pt idx="883">
                  <c:v>5.20247696629429E-2</c:v>
                </c:pt>
                <c:pt idx="884">
                  <c:v>5.3773030071228321E-2</c:v>
                </c:pt>
                <c:pt idx="885">
                  <c:v>6.2435211278420659E-2</c:v>
                </c:pt>
                <c:pt idx="886">
                  <c:v>6.8804684835222008E-2</c:v>
                </c:pt>
                <c:pt idx="887">
                  <c:v>7.1234133659580992E-2</c:v>
                </c:pt>
              </c:numCache>
            </c:numRef>
          </c:val>
          <c:smooth val="0"/>
          <c:extLst>
            <c:ext xmlns:c16="http://schemas.microsoft.com/office/drawing/2014/chart" uri="{C3380CC4-5D6E-409C-BE32-E72D297353CC}">
              <c16:uniqueId val="{00000000-6175-5D40-A98B-38A504512956}"/>
            </c:ext>
          </c:extLst>
        </c:ser>
        <c:dLbls>
          <c:showLegendKey val="0"/>
          <c:showVal val="0"/>
          <c:showCatName val="0"/>
          <c:showSerName val="0"/>
          <c:showPercent val="0"/>
          <c:showBubbleSize val="0"/>
        </c:dLbls>
        <c:smooth val="0"/>
        <c:axId val="441892151"/>
        <c:axId val="441886247"/>
      </c:lineChart>
      <c:dateAx>
        <c:axId val="441892151"/>
        <c:scaling>
          <c:orientation val="minMax"/>
        </c:scaling>
        <c:delete val="0"/>
        <c:axPos val="b"/>
        <c:numFmt formatCode="[$-409]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1886247"/>
        <c:crosses val="autoZero"/>
        <c:auto val="0"/>
        <c:lblOffset val="100"/>
        <c:baseTimeUnit val="months"/>
      </c:dateAx>
      <c:valAx>
        <c:axId val="441886247"/>
        <c:scaling>
          <c:orientation val="minMax"/>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1892151"/>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strike="noStrike" kern="1200" spc="0" baseline="0">
                <a:solidFill>
                  <a:schemeClr val="tx1">
                    <a:lumMod val="65000"/>
                    <a:lumOff val="35000"/>
                  </a:schemeClr>
                </a:solidFill>
                <a:latin typeface="+mn-lt"/>
                <a:ea typeface="+mn-ea"/>
                <a:cs typeface="+mn-cs"/>
              </a:defRPr>
            </a:pPr>
            <a:r>
              <a:rPr lang="en-US" b="1"/>
              <a:t>Consumer Price Index y/y % since 2000</a:t>
            </a:r>
          </a:p>
        </c:rich>
      </c:tx>
      <c:overlay val="0"/>
      <c:spPr>
        <a:noFill/>
        <a:ln>
          <a:noFill/>
          <a:prstDash val="solid"/>
        </a:ln>
      </c:spPr>
    </c:title>
    <c:autoTitleDeleted val="0"/>
    <c:plotArea>
      <c:layout/>
      <c:lineChart>
        <c:grouping val="standard"/>
        <c:varyColors val="0"/>
        <c:ser>
          <c:idx val="2"/>
          <c:order val="0"/>
          <c:tx>
            <c:strRef>
              <c:f>CPI!$D$4</c:f>
              <c:strCache>
                <c:ptCount val="1"/>
                <c:pt idx="0">
                  <c:v>Consumer Price Index y/y %</c:v>
                </c:pt>
              </c:strCache>
            </c:strRef>
          </c:tx>
          <c:spPr>
            <a:ln w="28575" cap="rnd">
              <a:solidFill>
                <a:schemeClr val="bg2">
                  <a:lumMod val="10000"/>
                </a:schemeClr>
              </a:solidFill>
              <a:prstDash val="solid"/>
              <a:round/>
            </a:ln>
          </c:spPr>
          <c:marker>
            <c:symbol val="none"/>
          </c:marker>
          <c:cat>
            <c:numRef>
              <c:f>CPI!$A$641:$A$912</c:f>
              <c:numCache>
                <c:formatCode>[$-409]mmm\-yy;@</c:formatCode>
                <c:ptCount val="272"/>
                <c:pt idx="0">
                  <c:v>36526</c:v>
                </c:pt>
                <c:pt idx="1">
                  <c:v>36557</c:v>
                </c:pt>
                <c:pt idx="2">
                  <c:v>36586</c:v>
                </c:pt>
                <c:pt idx="3">
                  <c:v>36617</c:v>
                </c:pt>
                <c:pt idx="4">
                  <c:v>36647</c:v>
                </c:pt>
                <c:pt idx="5">
                  <c:v>36678</c:v>
                </c:pt>
                <c:pt idx="6">
                  <c:v>36708</c:v>
                </c:pt>
                <c:pt idx="7">
                  <c:v>36739</c:v>
                </c:pt>
                <c:pt idx="8">
                  <c:v>36770</c:v>
                </c:pt>
                <c:pt idx="9">
                  <c:v>36800</c:v>
                </c:pt>
                <c:pt idx="10">
                  <c:v>36831</c:v>
                </c:pt>
                <c:pt idx="11">
                  <c:v>36861</c:v>
                </c:pt>
                <c:pt idx="12">
                  <c:v>36892</c:v>
                </c:pt>
                <c:pt idx="13">
                  <c:v>36923</c:v>
                </c:pt>
                <c:pt idx="14">
                  <c:v>36951</c:v>
                </c:pt>
                <c:pt idx="15">
                  <c:v>36982</c:v>
                </c:pt>
                <c:pt idx="16">
                  <c:v>37012</c:v>
                </c:pt>
                <c:pt idx="17">
                  <c:v>37043</c:v>
                </c:pt>
                <c:pt idx="18">
                  <c:v>37073</c:v>
                </c:pt>
                <c:pt idx="19">
                  <c:v>37104</c:v>
                </c:pt>
                <c:pt idx="20">
                  <c:v>37135</c:v>
                </c:pt>
                <c:pt idx="21">
                  <c:v>37165</c:v>
                </c:pt>
                <c:pt idx="22">
                  <c:v>37196</c:v>
                </c:pt>
                <c:pt idx="23">
                  <c:v>37226</c:v>
                </c:pt>
                <c:pt idx="24">
                  <c:v>37257</c:v>
                </c:pt>
                <c:pt idx="25">
                  <c:v>37288</c:v>
                </c:pt>
                <c:pt idx="26">
                  <c:v>37316</c:v>
                </c:pt>
                <c:pt idx="27">
                  <c:v>37347</c:v>
                </c:pt>
                <c:pt idx="28">
                  <c:v>37377</c:v>
                </c:pt>
                <c:pt idx="29">
                  <c:v>37408</c:v>
                </c:pt>
                <c:pt idx="30">
                  <c:v>37438</c:v>
                </c:pt>
                <c:pt idx="31">
                  <c:v>37469</c:v>
                </c:pt>
                <c:pt idx="32">
                  <c:v>37500</c:v>
                </c:pt>
                <c:pt idx="33">
                  <c:v>37530</c:v>
                </c:pt>
                <c:pt idx="34">
                  <c:v>37561</c:v>
                </c:pt>
                <c:pt idx="35">
                  <c:v>37591</c:v>
                </c:pt>
                <c:pt idx="36">
                  <c:v>37622</c:v>
                </c:pt>
                <c:pt idx="37">
                  <c:v>37653</c:v>
                </c:pt>
                <c:pt idx="38">
                  <c:v>37681</c:v>
                </c:pt>
                <c:pt idx="39">
                  <c:v>37712</c:v>
                </c:pt>
                <c:pt idx="40">
                  <c:v>37742</c:v>
                </c:pt>
                <c:pt idx="41">
                  <c:v>37773</c:v>
                </c:pt>
                <c:pt idx="42">
                  <c:v>37803</c:v>
                </c:pt>
                <c:pt idx="43">
                  <c:v>37834</c:v>
                </c:pt>
                <c:pt idx="44">
                  <c:v>37865</c:v>
                </c:pt>
                <c:pt idx="45">
                  <c:v>37895</c:v>
                </c:pt>
                <c:pt idx="46">
                  <c:v>37926</c:v>
                </c:pt>
                <c:pt idx="47">
                  <c:v>37956</c:v>
                </c:pt>
                <c:pt idx="48">
                  <c:v>37987</c:v>
                </c:pt>
                <c:pt idx="49">
                  <c:v>38018</c:v>
                </c:pt>
                <c:pt idx="50">
                  <c:v>38047</c:v>
                </c:pt>
                <c:pt idx="51">
                  <c:v>38078</c:v>
                </c:pt>
                <c:pt idx="52">
                  <c:v>38108</c:v>
                </c:pt>
                <c:pt idx="53">
                  <c:v>38139</c:v>
                </c:pt>
                <c:pt idx="54">
                  <c:v>38169</c:v>
                </c:pt>
                <c:pt idx="55">
                  <c:v>38200</c:v>
                </c:pt>
                <c:pt idx="56">
                  <c:v>38231</c:v>
                </c:pt>
                <c:pt idx="57">
                  <c:v>38261</c:v>
                </c:pt>
                <c:pt idx="58">
                  <c:v>38292</c:v>
                </c:pt>
                <c:pt idx="59">
                  <c:v>38322</c:v>
                </c:pt>
                <c:pt idx="60">
                  <c:v>38353</c:v>
                </c:pt>
                <c:pt idx="61">
                  <c:v>38384</c:v>
                </c:pt>
                <c:pt idx="62">
                  <c:v>38412</c:v>
                </c:pt>
                <c:pt idx="63">
                  <c:v>38443</c:v>
                </c:pt>
                <c:pt idx="64">
                  <c:v>38473</c:v>
                </c:pt>
                <c:pt idx="65">
                  <c:v>38504</c:v>
                </c:pt>
                <c:pt idx="66">
                  <c:v>38534</c:v>
                </c:pt>
                <c:pt idx="67">
                  <c:v>38565</c:v>
                </c:pt>
                <c:pt idx="68">
                  <c:v>38596</c:v>
                </c:pt>
                <c:pt idx="69">
                  <c:v>38626</c:v>
                </c:pt>
                <c:pt idx="70">
                  <c:v>38657</c:v>
                </c:pt>
                <c:pt idx="71">
                  <c:v>38687</c:v>
                </c:pt>
                <c:pt idx="72">
                  <c:v>38718</c:v>
                </c:pt>
                <c:pt idx="73">
                  <c:v>38749</c:v>
                </c:pt>
                <c:pt idx="74">
                  <c:v>38777</c:v>
                </c:pt>
                <c:pt idx="75">
                  <c:v>38808</c:v>
                </c:pt>
                <c:pt idx="76">
                  <c:v>38838</c:v>
                </c:pt>
                <c:pt idx="77">
                  <c:v>38869</c:v>
                </c:pt>
                <c:pt idx="78">
                  <c:v>38899</c:v>
                </c:pt>
                <c:pt idx="79">
                  <c:v>38930</c:v>
                </c:pt>
                <c:pt idx="80">
                  <c:v>38961</c:v>
                </c:pt>
                <c:pt idx="81">
                  <c:v>38991</c:v>
                </c:pt>
                <c:pt idx="82">
                  <c:v>39022</c:v>
                </c:pt>
                <c:pt idx="83">
                  <c:v>39052</c:v>
                </c:pt>
                <c:pt idx="84">
                  <c:v>39083</c:v>
                </c:pt>
                <c:pt idx="85">
                  <c:v>39114</c:v>
                </c:pt>
                <c:pt idx="86">
                  <c:v>39142</c:v>
                </c:pt>
                <c:pt idx="87">
                  <c:v>39173</c:v>
                </c:pt>
                <c:pt idx="88">
                  <c:v>39203</c:v>
                </c:pt>
                <c:pt idx="89">
                  <c:v>39234</c:v>
                </c:pt>
                <c:pt idx="90">
                  <c:v>39264</c:v>
                </c:pt>
                <c:pt idx="91">
                  <c:v>39295</c:v>
                </c:pt>
                <c:pt idx="92">
                  <c:v>39326</c:v>
                </c:pt>
                <c:pt idx="93">
                  <c:v>39356</c:v>
                </c:pt>
                <c:pt idx="94">
                  <c:v>39387</c:v>
                </c:pt>
                <c:pt idx="95">
                  <c:v>39417</c:v>
                </c:pt>
                <c:pt idx="96">
                  <c:v>39448</c:v>
                </c:pt>
                <c:pt idx="97">
                  <c:v>39479</c:v>
                </c:pt>
                <c:pt idx="98">
                  <c:v>39508</c:v>
                </c:pt>
                <c:pt idx="99">
                  <c:v>39539</c:v>
                </c:pt>
                <c:pt idx="100">
                  <c:v>39569</c:v>
                </c:pt>
                <c:pt idx="101">
                  <c:v>39600</c:v>
                </c:pt>
                <c:pt idx="102">
                  <c:v>39630</c:v>
                </c:pt>
                <c:pt idx="103">
                  <c:v>39661</c:v>
                </c:pt>
                <c:pt idx="104">
                  <c:v>39692</c:v>
                </c:pt>
                <c:pt idx="105">
                  <c:v>39722</c:v>
                </c:pt>
                <c:pt idx="106">
                  <c:v>39753</c:v>
                </c:pt>
                <c:pt idx="107">
                  <c:v>39783</c:v>
                </c:pt>
                <c:pt idx="108">
                  <c:v>39814</c:v>
                </c:pt>
                <c:pt idx="109">
                  <c:v>39845</c:v>
                </c:pt>
                <c:pt idx="110">
                  <c:v>39873</c:v>
                </c:pt>
                <c:pt idx="111">
                  <c:v>39904</c:v>
                </c:pt>
                <c:pt idx="112">
                  <c:v>39934</c:v>
                </c:pt>
                <c:pt idx="113">
                  <c:v>39965</c:v>
                </c:pt>
                <c:pt idx="114">
                  <c:v>39995</c:v>
                </c:pt>
                <c:pt idx="115">
                  <c:v>40026</c:v>
                </c:pt>
                <c:pt idx="116">
                  <c:v>40057</c:v>
                </c:pt>
                <c:pt idx="117">
                  <c:v>40087</c:v>
                </c:pt>
                <c:pt idx="118">
                  <c:v>40118</c:v>
                </c:pt>
                <c:pt idx="119">
                  <c:v>40148</c:v>
                </c:pt>
                <c:pt idx="120">
                  <c:v>40179</c:v>
                </c:pt>
                <c:pt idx="121">
                  <c:v>40210</c:v>
                </c:pt>
                <c:pt idx="122">
                  <c:v>40238</c:v>
                </c:pt>
                <c:pt idx="123">
                  <c:v>40269</c:v>
                </c:pt>
                <c:pt idx="124">
                  <c:v>40299</c:v>
                </c:pt>
                <c:pt idx="125">
                  <c:v>40330</c:v>
                </c:pt>
                <c:pt idx="126">
                  <c:v>40360</c:v>
                </c:pt>
                <c:pt idx="127">
                  <c:v>40391</c:v>
                </c:pt>
                <c:pt idx="128">
                  <c:v>40422</c:v>
                </c:pt>
                <c:pt idx="129">
                  <c:v>40452</c:v>
                </c:pt>
                <c:pt idx="130">
                  <c:v>40483</c:v>
                </c:pt>
                <c:pt idx="131">
                  <c:v>40513</c:v>
                </c:pt>
                <c:pt idx="132">
                  <c:v>40544</c:v>
                </c:pt>
                <c:pt idx="133">
                  <c:v>40575</c:v>
                </c:pt>
                <c:pt idx="134">
                  <c:v>40603</c:v>
                </c:pt>
                <c:pt idx="135">
                  <c:v>40634</c:v>
                </c:pt>
                <c:pt idx="136">
                  <c:v>40664</c:v>
                </c:pt>
                <c:pt idx="137">
                  <c:v>40695</c:v>
                </c:pt>
                <c:pt idx="138">
                  <c:v>40725</c:v>
                </c:pt>
                <c:pt idx="139">
                  <c:v>40756</c:v>
                </c:pt>
                <c:pt idx="140">
                  <c:v>40787</c:v>
                </c:pt>
                <c:pt idx="141">
                  <c:v>40817</c:v>
                </c:pt>
                <c:pt idx="142">
                  <c:v>40848</c:v>
                </c:pt>
                <c:pt idx="143">
                  <c:v>40878</c:v>
                </c:pt>
                <c:pt idx="144">
                  <c:v>40909</c:v>
                </c:pt>
                <c:pt idx="145">
                  <c:v>40940</c:v>
                </c:pt>
                <c:pt idx="146">
                  <c:v>40969</c:v>
                </c:pt>
                <c:pt idx="147">
                  <c:v>41000</c:v>
                </c:pt>
                <c:pt idx="148">
                  <c:v>41030</c:v>
                </c:pt>
                <c:pt idx="149">
                  <c:v>41061</c:v>
                </c:pt>
                <c:pt idx="150">
                  <c:v>41091</c:v>
                </c:pt>
                <c:pt idx="151">
                  <c:v>41122</c:v>
                </c:pt>
                <c:pt idx="152">
                  <c:v>41153</c:v>
                </c:pt>
                <c:pt idx="153">
                  <c:v>41183</c:v>
                </c:pt>
                <c:pt idx="154">
                  <c:v>41214</c:v>
                </c:pt>
                <c:pt idx="155">
                  <c:v>41244</c:v>
                </c:pt>
                <c:pt idx="156">
                  <c:v>41275</c:v>
                </c:pt>
                <c:pt idx="157">
                  <c:v>41306</c:v>
                </c:pt>
                <c:pt idx="158">
                  <c:v>41334</c:v>
                </c:pt>
                <c:pt idx="159">
                  <c:v>41365</c:v>
                </c:pt>
                <c:pt idx="160">
                  <c:v>41395</c:v>
                </c:pt>
                <c:pt idx="161">
                  <c:v>41426</c:v>
                </c:pt>
                <c:pt idx="162">
                  <c:v>41456</c:v>
                </c:pt>
                <c:pt idx="163">
                  <c:v>41487</c:v>
                </c:pt>
                <c:pt idx="164">
                  <c:v>41518</c:v>
                </c:pt>
                <c:pt idx="165">
                  <c:v>41548</c:v>
                </c:pt>
                <c:pt idx="166">
                  <c:v>41579</c:v>
                </c:pt>
                <c:pt idx="167">
                  <c:v>41609</c:v>
                </c:pt>
                <c:pt idx="168">
                  <c:v>41640</c:v>
                </c:pt>
                <c:pt idx="169">
                  <c:v>41671</c:v>
                </c:pt>
                <c:pt idx="170">
                  <c:v>41699</c:v>
                </c:pt>
                <c:pt idx="171">
                  <c:v>41730</c:v>
                </c:pt>
                <c:pt idx="172">
                  <c:v>41760</c:v>
                </c:pt>
                <c:pt idx="173">
                  <c:v>41791</c:v>
                </c:pt>
                <c:pt idx="174">
                  <c:v>41821</c:v>
                </c:pt>
                <c:pt idx="175">
                  <c:v>41852</c:v>
                </c:pt>
                <c:pt idx="176">
                  <c:v>41883</c:v>
                </c:pt>
                <c:pt idx="177">
                  <c:v>41913</c:v>
                </c:pt>
                <c:pt idx="178">
                  <c:v>41944</c:v>
                </c:pt>
                <c:pt idx="179">
                  <c:v>41974</c:v>
                </c:pt>
                <c:pt idx="180">
                  <c:v>42005</c:v>
                </c:pt>
                <c:pt idx="181">
                  <c:v>42036</c:v>
                </c:pt>
                <c:pt idx="182">
                  <c:v>42064</c:v>
                </c:pt>
                <c:pt idx="183">
                  <c:v>42095</c:v>
                </c:pt>
                <c:pt idx="184">
                  <c:v>42125</c:v>
                </c:pt>
                <c:pt idx="185">
                  <c:v>42156</c:v>
                </c:pt>
                <c:pt idx="186">
                  <c:v>42186</c:v>
                </c:pt>
                <c:pt idx="187">
                  <c:v>42217</c:v>
                </c:pt>
                <c:pt idx="188">
                  <c:v>42248</c:v>
                </c:pt>
                <c:pt idx="189">
                  <c:v>42278</c:v>
                </c:pt>
                <c:pt idx="190">
                  <c:v>42309</c:v>
                </c:pt>
                <c:pt idx="191">
                  <c:v>42339</c:v>
                </c:pt>
                <c:pt idx="192">
                  <c:v>42370</c:v>
                </c:pt>
                <c:pt idx="193">
                  <c:v>42401</c:v>
                </c:pt>
                <c:pt idx="194">
                  <c:v>42430</c:v>
                </c:pt>
                <c:pt idx="195">
                  <c:v>42461</c:v>
                </c:pt>
                <c:pt idx="196">
                  <c:v>42491</c:v>
                </c:pt>
                <c:pt idx="197">
                  <c:v>42522</c:v>
                </c:pt>
                <c:pt idx="198">
                  <c:v>42552</c:v>
                </c:pt>
                <c:pt idx="199">
                  <c:v>42583</c:v>
                </c:pt>
                <c:pt idx="200">
                  <c:v>42614</c:v>
                </c:pt>
                <c:pt idx="201">
                  <c:v>42644</c:v>
                </c:pt>
                <c:pt idx="202">
                  <c:v>42675</c:v>
                </c:pt>
                <c:pt idx="203">
                  <c:v>42705</c:v>
                </c:pt>
                <c:pt idx="204">
                  <c:v>42736</c:v>
                </c:pt>
                <c:pt idx="205">
                  <c:v>42767</c:v>
                </c:pt>
                <c:pt idx="206">
                  <c:v>42795</c:v>
                </c:pt>
                <c:pt idx="207">
                  <c:v>42826</c:v>
                </c:pt>
                <c:pt idx="208">
                  <c:v>42856</c:v>
                </c:pt>
                <c:pt idx="209">
                  <c:v>42887</c:v>
                </c:pt>
                <c:pt idx="210">
                  <c:v>42917</c:v>
                </c:pt>
                <c:pt idx="211">
                  <c:v>42948</c:v>
                </c:pt>
                <c:pt idx="212">
                  <c:v>42979</c:v>
                </c:pt>
                <c:pt idx="213">
                  <c:v>43009</c:v>
                </c:pt>
                <c:pt idx="214">
                  <c:v>43040</c:v>
                </c:pt>
                <c:pt idx="215">
                  <c:v>43070</c:v>
                </c:pt>
                <c:pt idx="216">
                  <c:v>43101</c:v>
                </c:pt>
                <c:pt idx="217">
                  <c:v>43132</c:v>
                </c:pt>
                <c:pt idx="218">
                  <c:v>43160</c:v>
                </c:pt>
                <c:pt idx="219">
                  <c:v>43191</c:v>
                </c:pt>
                <c:pt idx="220">
                  <c:v>43221</c:v>
                </c:pt>
                <c:pt idx="221">
                  <c:v>43252</c:v>
                </c:pt>
                <c:pt idx="222">
                  <c:v>43282</c:v>
                </c:pt>
                <c:pt idx="223">
                  <c:v>43313</c:v>
                </c:pt>
                <c:pt idx="224">
                  <c:v>43344</c:v>
                </c:pt>
                <c:pt idx="225">
                  <c:v>43374</c:v>
                </c:pt>
                <c:pt idx="226">
                  <c:v>43405</c:v>
                </c:pt>
                <c:pt idx="227">
                  <c:v>43435</c:v>
                </c:pt>
                <c:pt idx="228">
                  <c:v>43466</c:v>
                </c:pt>
                <c:pt idx="229">
                  <c:v>43497</c:v>
                </c:pt>
                <c:pt idx="230">
                  <c:v>43525</c:v>
                </c:pt>
                <c:pt idx="231">
                  <c:v>43556</c:v>
                </c:pt>
                <c:pt idx="232">
                  <c:v>43586</c:v>
                </c:pt>
                <c:pt idx="233">
                  <c:v>43617</c:v>
                </c:pt>
                <c:pt idx="234">
                  <c:v>43647</c:v>
                </c:pt>
                <c:pt idx="235">
                  <c:v>43678</c:v>
                </c:pt>
                <c:pt idx="236">
                  <c:v>43709</c:v>
                </c:pt>
                <c:pt idx="237">
                  <c:v>43739</c:v>
                </c:pt>
                <c:pt idx="238">
                  <c:v>43770</c:v>
                </c:pt>
                <c:pt idx="239">
                  <c:v>43800</c:v>
                </c:pt>
                <c:pt idx="240">
                  <c:v>43831</c:v>
                </c:pt>
                <c:pt idx="241">
                  <c:v>43862</c:v>
                </c:pt>
                <c:pt idx="242">
                  <c:v>43891</c:v>
                </c:pt>
                <c:pt idx="243">
                  <c:v>43922</c:v>
                </c:pt>
                <c:pt idx="244">
                  <c:v>43952</c:v>
                </c:pt>
                <c:pt idx="245">
                  <c:v>43983</c:v>
                </c:pt>
                <c:pt idx="246">
                  <c:v>44013</c:v>
                </c:pt>
                <c:pt idx="247">
                  <c:v>44044</c:v>
                </c:pt>
                <c:pt idx="248">
                  <c:v>44075</c:v>
                </c:pt>
                <c:pt idx="249">
                  <c:v>44105</c:v>
                </c:pt>
                <c:pt idx="250">
                  <c:v>44136</c:v>
                </c:pt>
                <c:pt idx="251">
                  <c:v>44166</c:v>
                </c:pt>
                <c:pt idx="252">
                  <c:v>44197</c:v>
                </c:pt>
                <c:pt idx="253">
                  <c:v>44228</c:v>
                </c:pt>
                <c:pt idx="254">
                  <c:v>44256</c:v>
                </c:pt>
                <c:pt idx="255">
                  <c:v>44287</c:v>
                </c:pt>
                <c:pt idx="256">
                  <c:v>44317</c:v>
                </c:pt>
                <c:pt idx="257">
                  <c:v>44348</c:v>
                </c:pt>
                <c:pt idx="258">
                  <c:v>44378</c:v>
                </c:pt>
                <c:pt idx="259">
                  <c:v>44409</c:v>
                </c:pt>
                <c:pt idx="260">
                  <c:v>44440</c:v>
                </c:pt>
                <c:pt idx="261">
                  <c:v>44470</c:v>
                </c:pt>
                <c:pt idx="262">
                  <c:v>44501</c:v>
                </c:pt>
                <c:pt idx="263">
                  <c:v>44531</c:v>
                </c:pt>
              </c:numCache>
            </c:numRef>
          </c:cat>
          <c:val>
            <c:numRef>
              <c:f>CPI!$D$641:$D$912</c:f>
              <c:numCache>
                <c:formatCode>0.00%</c:formatCode>
                <c:ptCount val="272"/>
                <c:pt idx="0">
                  <c:v>2.792956891317561E-2</c:v>
                </c:pt>
                <c:pt idx="1">
                  <c:v>3.2179720704310938E-2</c:v>
                </c:pt>
                <c:pt idx="2">
                  <c:v>3.7621359223300899E-2</c:v>
                </c:pt>
                <c:pt idx="3">
                  <c:v>3.013863773357444E-2</c:v>
                </c:pt>
                <c:pt idx="4">
                  <c:v>3.132530120481921E-2</c:v>
                </c:pt>
                <c:pt idx="5">
                  <c:v>3.7349397590361377E-2</c:v>
                </c:pt>
                <c:pt idx="6">
                  <c:v>3.5992801439712063E-2</c:v>
                </c:pt>
                <c:pt idx="7">
                  <c:v>3.3512866546977826E-2</c:v>
                </c:pt>
                <c:pt idx="8">
                  <c:v>3.4564958283670934E-2</c:v>
                </c:pt>
                <c:pt idx="9">
                  <c:v>3.4503271861986984E-2</c:v>
                </c:pt>
                <c:pt idx="10">
                  <c:v>3.4441805225653106E-2</c:v>
                </c:pt>
                <c:pt idx="11">
                  <c:v>3.4360189573459612E-2</c:v>
                </c:pt>
                <c:pt idx="12">
                  <c:v>3.7212049616066049E-2</c:v>
                </c:pt>
                <c:pt idx="13">
                  <c:v>3.5294117647058823E-2</c:v>
                </c:pt>
                <c:pt idx="14">
                  <c:v>2.982456140350874E-2</c:v>
                </c:pt>
                <c:pt idx="15">
                  <c:v>3.2182562902282039E-2</c:v>
                </c:pt>
                <c:pt idx="16">
                  <c:v>3.5630841121495463E-2</c:v>
                </c:pt>
                <c:pt idx="17">
                  <c:v>3.1939605110336819E-2</c:v>
                </c:pt>
                <c:pt idx="18">
                  <c:v>2.7214823393167442E-2</c:v>
                </c:pt>
                <c:pt idx="19">
                  <c:v>2.7214823393167442E-2</c:v>
                </c:pt>
                <c:pt idx="20">
                  <c:v>2.5921658986175117E-2</c:v>
                </c:pt>
                <c:pt idx="21">
                  <c:v>2.1276595744680785E-2</c:v>
                </c:pt>
                <c:pt idx="22">
                  <c:v>1.8943742824339905E-2</c:v>
                </c:pt>
                <c:pt idx="23">
                  <c:v>1.6036655211913008E-2</c:v>
                </c:pt>
                <c:pt idx="24">
                  <c:v>1.1958997722095639E-2</c:v>
                </c:pt>
                <c:pt idx="25">
                  <c:v>1.1363636363636364E-2</c:v>
                </c:pt>
                <c:pt idx="26">
                  <c:v>1.3628620102214684E-2</c:v>
                </c:pt>
                <c:pt idx="27">
                  <c:v>1.6439909297052187E-2</c:v>
                </c:pt>
                <c:pt idx="28">
                  <c:v>1.240834743372808E-2</c:v>
                </c:pt>
                <c:pt idx="29">
                  <c:v>1.0692177827799696E-2</c:v>
                </c:pt>
                <c:pt idx="30">
                  <c:v>1.4656144306651603E-2</c:v>
                </c:pt>
                <c:pt idx="31">
                  <c:v>1.74746335963923E-2</c:v>
                </c:pt>
                <c:pt idx="32">
                  <c:v>1.5160022459292629E-2</c:v>
                </c:pt>
                <c:pt idx="33">
                  <c:v>2.027027027027024E-2</c:v>
                </c:pt>
                <c:pt idx="34">
                  <c:v>2.2535211267605635E-2</c:v>
                </c:pt>
                <c:pt idx="35">
                  <c:v>2.4802705749718181E-2</c:v>
                </c:pt>
                <c:pt idx="36">
                  <c:v>2.7574563871693901E-2</c:v>
                </c:pt>
                <c:pt idx="37">
                  <c:v>3.1460674157303338E-2</c:v>
                </c:pt>
                <c:pt idx="38">
                  <c:v>3.0252100840336166E-2</c:v>
                </c:pt>
                <c:pt idx="39">
                  <c:v>2.1751254880089107E-2</c:v>
                </c:pt>
                <c:pt idx="40">
                  <c:v>1.8941504178273012E-2</c:v>
                </c:pt>
                <c:pt idx="41">
                  <c:v>1.9487750556792874E-2</c:v>
                </c:pt>
                <c:pt idx="42">
                  <c:v>2.0555555555555494E-2</c:v>
                </c:pt>
                <c:pt idx="43">
                  <c:v>2.2160664819944598E-2</c:v>
                </c:pt>
                <c:pt idx="44">
                  <c:v>2.378318584070787E-2</c:v>
                </c:pt>
                <c:pt idx="45">
                  <c:v>2.0419426048565215E-2</c:v>
                </c:pt>
                <c:pt idx="46">
                  <c:v>1.928374655647383E-2</c:v>
                </c:pt>
                <c:pt idx="47">
                  <c:v>2.0352035203520288E-2</c:v>
                </c:pt>
                <c:pt idx="48">
                  <c:v>2.0262869660460116E-2</c:v>
                </c:pt>
                <c:pt idx="49">
                  <c:v>1.6884531590413913E-2</c:v>
                </c:pt>
                <c:pt idx="50">
                  <c:v>1.7400761283306081E-2</c:v>
                </c:pt>
                <c:pt idx="51">
                  <c:v>2.2925764192139833E-2</c:v>
                </c:pt>
                <c:pt idx="52">
                  <c:v>2.8977583378895479E-2</c:v>
                </c:pt>
                <c:pt idx="53">
                  <c:v>3.1676679410158448E-2</c:v>
                </c:pt>
                <c:pt idx="54">
                  <c:v>2.9395753946652184E-2</c:v>
                </c:pt>
                <c:pt idx="55">
                  <c:v>2.5474254742547362E-2</c:v>
                </c:pt>
                <c:pt idx="56">
                  <c:v>2.5391680172879617E-2</c:v>
                </c:pt>
                <c:pt idx="57">
                  <c:v>3.190914007571663E-2</c:v>
                </c:pt>
                <c:pt idx="58">
                  <c:v>3.6216216216216152E-2</c:v>
                </c:pt>
                <c:pt idx="59">
                  <c:v>3.3423180592991854E-2</c:v>
                </c:pt>
                <c:pt idx="60">
                  <c:v>2.8448738593666038E-2</c:v>
                </c:pt>
                <c:pt idx="61">
                  <c:v>3.0530262453133464E-2</c:v>
                </c:pt>
                <c:pt idx="62">
                  <c:v>3.2068412613575632E-2</c:v>
                </c:pt>
                <c:pt idx="63">
                  <c:v>3.3617929562433209E-2</c:v>
                </c:pt>
                <c:pt idx="64">
                  <c:v>2.8692879914984093E-2</c:v>
                </c:pt>
                <c:pt idx="65">
                  <c:v>2.5410269984118491E-2</c:v>
                </c:pt>
                <c:pt idx="66">
                  <c:v>3.0671602326811272E-2</c:v>
                </c:pt>
                <c:pt idx="67">
                  <c:v>3.6469344608879524E-2</c:v>
                </c:pt>
                <c:pt idx="68">
                  <c:v>4.7418335089567963E-2</c:v>
                </c:pt>
                <c:pt idx="69">
                  <c:v>4.3501048218029255E-2</c:v>
                </c:pt>
                <c:pt idx="70">
                  <c:v>3.3385498174230602E-2</c:v>
                </c:pt>
                <c:pt idx="71">
                  <c:v>3.3385498174230602E-2</c:v>
                </c:pt>
                <c:pt idx="72">
                  <c:v>4.0187891440501132E-2</c:v>
                </c:pt>
                <c:pt idx="73">
                  <c:v>3.6382536382536385E-2</c:v>
                </c:pt>
                <c:pt idx="74">
                  <c:v>3.4179181771103025E-2</c:v>
                </c:pt>
                <c:pt idx="75">
                  <c:v>3.6138358286009295E-2</c:v>
                </c:pt>
                <c:pt idx="76">
                  <c:v>3.9772727272727362E-2</c:v>
                </c:pt>
                <c:pt idx="77">
                  <c:v>4.1817243159525161E-2</c:v>
                </c:pt>
                <c:pt idx="78">
                  <c:v>4.1046690610569522E-2</c:v>
                </c:pt>
                <c:pt idx="79">
                  <c:v>3.9265680775114824E-2</c:v>
                </c:pt>
                <c:pt idx="80">
                  <c:v>2.0120724346076459E-2</c:v>
                </c:pt>
                <c:pt idx="81">
                  <c:v>1.4063284781516883E-2</c:v>
                </c:pt>
                <c:pt idx="82">
                  <c:v>1.9687026754164592E-2</c:v>
                </c:pt>
                <c:pt idx="83">
                  <c:v>2.523977788995457E-2</c:v>
                </c:pt>
                <c:pt idx="84">
                  <c:v>2.0757651781234322E-2</c:v>
                </c:pt>
                <c:pt idx="85">
                  <c:v>2.4202607823470376E-2</c:v>
                </c:pt>
                <c:pt idx="86">
                  <c:v>2.7981972959439272E-2</c:v>
                </c:pt>
                <c:pt idx="87">
                  <c:v>2.5929247633283546E-2</c:v>
                </c:pt>
                <c:pt idx="88">
                  <c:v>2.70988574267262E-2</c:v>
                </c:pt>
                <c:pt idx="89">
                  <c:v>2.6927651139742305E-2</c:v>
                </c:pt>
                <c:pt idx="90">
                  <c:v>2.3178905864958122E-2</c:v>
                </c:pt>
                <c:pt idx="91">
                  <c:v>1.8974484789008782E-2</c:v>
                </c:pt>
                <c:pt idx="92">
                  <c:v>2.8338264299802688E-2</c:v>
                </c:pt>
                <c:pt idx="93">
                  <c:v>3.610698365527485E-2</c:v>
                </c:pt>
                <c:pt idx="94">
                  <c:v>4.3732673267326751E-2</c:v>
                </c:pt>
                <c:pt idx="95">
                  <c:v>4.1088133924175277E-2</c:v>
                </c:pt>
                <c:pt idx="96">
                  <c:v>4.2946956551659698E-2</c:v>
                </c:pt>
                <c:pt idx="97">
                  <c:v>4.1429592706119754E-2</c:v>
                </c:pt>
                <c:pt idx="98">
                  <c:v>3.9749035501344433E-2</c:v>
                </c:pt>
                <c:pt idx="99">
                  <c:v>3.903760975988816E-2</c:v>
                </c:pt>
                <c:pt idx="100">
                  <c:v>4.0884138231239889E-2</c:v>
                </c:pt>
                <c:pt idx="101">
                  <c:v>4.9359661059478581E-2</c:v>
                </c:pt>
                <c:pt idx="102">
                  <c:v>5.4975120783418263E-2</c:v>
                </c:pt>
                <c:pt idx="103">
                  <c:v>5.308017162091231E-2</c:v>
                </c:pt>
                <c:pt idx="104">
                  <c:v>4.9533198751360669E-2</c:v>
                </c:pt>
                <c:pt idx="105">
                  <c:v>3.7310578899565024E-2</c:v>
                </c:pt>
                <c:pt idx="106">
                  <c:v>1.0999174706166882E-2</c:v>
                </c:pt>
                <c:pt idx="107">
                  <c:v>-2.2228002553854217E-4</c:v>
                </c:pt>
                <c:pt idx="108">
                  <c:v>-1.1358601902212988E-3</c:v>
                </c:pt>
                <c:pt idx="109">
                  <c:v>8.4631406715035155E-5</c:v>
                </c:pt>
                <c:pt idx="110">
                  <c:v>-4.4647876766238286E-3</c:v>
                </c:pt>
                <c:pt idx="111">
                  <c:v>-5.7632442437670212E-3</c:v>
                </c:pt>
                <c:pt idx="112">
                  <c:v>-1.0157614958551759E-2</c:v>
                </c:pt>
                <c:pt idx="113">
                  <c:v>-1.229174618210915E-2</c:v>
                </c:pt>
                <c:pt idx="114">
                  <c:v>-1.9587610037622785E-2</c:v>
                </c:pt>
                <c:pt idx="115">
                  <c:v>-1.4838355663267661E-2</c:v>
                </c:pt>
                <c:pt idx="116">
                  <c:v>-1.3779428628864701E-2</c:v>
                </c:pt>
                <c:pt idx="117">
                  <c:v>-2.2396829420033566E-3</c:v>
                </c:pt>
                <c:pt idx="118">
                  <c:v>1.9145871744709282E-2</c:v>
                </c:pt>
                <c:pt idx="119">
                  <c:v>2.8141231232083615E-2</c:v>
                </c:pt>
                <c:pt idx="120">
                  <c:v>2.6211113889767081E-2</c:v>
                </c:pt>
                <c:pt idx="121">
                  <c:v>2.1513363578665255E-2</c:v>
                </c:pt>
                <c:pt idx="122">
                  <c:v>2.2861714393279862E-2</c:v>
                </c:pt>
                <c:pt idx="123">
                  <c:v>2.2067707525304469E-2</c:v>
                </c:pt>
                <c:pt idx="124">
                  <c:v>2.0035489292185786E-2</c:v>
                </c:pt>
                <c:pt idx="125">
                  <c:v>1.1215605940686347E-2</c:v>
                </c:pt>
                <c:pt idx="126">
                  <c:v>1.3407784804820985E-2</c:v>
                </c:pt>
                <c:pt idx="127">
                  <c:v>1.1501775395112481E-2</c:v>
                </c:pt>
                <c:pt idx="128">
                  <c:v>1.1183122472331806E-2</c:v>
                </c:pt>
                <c:pt idx="129">
                  <c:v>1.166695148931458E-2</c:v>
                </c:pt>
                <c:pt idx="130">
                  <c:v>1.0845447766003454E-2</c:v>
                </c:pt>
                <c:pt idx="131">
                  <c:v>1.4377930222179279E-2</c:v>
                </c:pt>
                <c:pt idx="132">
                  <c:v>1.700783491502985E-2</c:v>
                </c:pt>
                <c:pt idx="133">
                  <c:v>2.1248981733331448E-2</c:v>
                </c:pt>
                <c:pt idx="134">
                  <c:v>2.6192415103541169E-2</c:v>
                </c:pt>
                <c:pt idx="135">
                  <c:v>3.0772344447868697E-2</c:v>
                </c:pt>
                <c:pt idx="136">
                  <c:v>3.4589718808965067E-2</c:v>
                </c:pt>
                <c:pt idx="137">
                  <c:v>3.5023181506360523E-2</c:v>
                </c:pt>
                <c:pt idx="138">
                  <c:v>3.5798809769996193E-2</c:v>
                </c:pt>
                <c:pt idx="139">
                  <c:v>3.754996030708091E-2</c:v>
                </c:pt>
                <c:pt idx="140">
                  <c:v>3.8126216928186935E-2</c:v>
                </c:pt>
                <c:pt idx="141">
                  <c:v>3.522268130664051E-2</c:v>
                </c:pt>
                <c:pt idx="142">
                  <c:v>3.451432214581724E-2</c:v>
                </c:pt>
                <c:pt idx="143">
                  <c:v>3.062066838419393E-2</c:v>
                </c:pt>
                <c:pt idx="144">
                  <c:v>3.0087663379855058E-2</c:v>
                </c:pt>
                <c:pt idx="145">
                  <c:v>2.8981784423473902E-2</c:v>
                </c:pt>
                <c:pt idx="146">
                  <c:v>2.5828752813321001E-2</c:v>
                </c:pt>
                <c:pt idx="147">
                  <c:v>2.273163374134856E-2</c:v>
                </c:pt>
                <c:pt idx="148">
                  <c:v>1.7379429374660738E-2</c:v>
                </c:pt>
                <c:pt idx="149">
                  <c:v>1.6538704482976386E-2</c:v>
                </c:pt>
                <c:pt idx="150">
                  <c:v>1.4175114798464887E-2</c:v>
                </c:pt>
                <c:pt idx="151">
                  <c:v>1.6859349154821242E-2</c:v>
                </c:pt>
                <c:pt idx="152">
                  <c:v>1.9497168982819623E-2</c:v>
                </c:pt>
                <c:pt idx="153">
                  <c:v>2.1556780595369373E-2</c:v>
                </c:pt>
                <c:pt idx="154">
                  <c:v>1.7960197033926213E-2</c:v>
                </c:pt>
                <c:pt idx="155">
                  <c:v>1.7595049796895516E-2</c:v>
                </c:pt>
                <c:pt idx="156">
                  <c:v>1.6840617620982913E-2</c:v>
                </c:pt>
                <c:pt idx="157">
                  <c:v>2.018140490257481E-2</c:v>
                </c:pt>
                <c:pt idx="158">
                  <c:v>1.518747241124626E-2</c:v>
                </c:pt>
                <c:pt idx="159">
                  <c:v>1.1388080475768631E-2</c:v>
                </c:pt>
                <c:pt idx="160">
                  <c:v>1.3903888279197103E-2</c:v>
                </c:pt>
                <c:pt idx="161">
                  <c:v>1.7157935271568815E-2</c:v>
                </c:pt>
                <c:pt idx="162">
                  <c:v>1.8854718054158108E-2</c:v>
                </c:pt>
                <c:pt idx="163">
                  <c:v>1.5388094886002759E-2</c:v>
                </c:pt>
                <c:pt idx="164">
                  <c:v>1.0947341081748047E-2</c:v>
                </c:pt>
                <c:pt idx="165">
                  <c:v>8.7679914349113961E-3</c:v>
                </c:pt>
                <c:pt idx="166">
                  <c:v>1.2328701961954427E-2</c:v>
                </c:pt>
                <c:pt idx="167">
                  <c:v>1.5128383667573405E-2</c:v>
                </c:pt>
                <c:pt idx="168">
                  <c:v>1.5577587955749157E-2</c:v>
                </c:pt>
                <c:pt idx="169">
                  <c:v>1.1204746347724857E-2</c:v>
                </c:pt>
                <c:pt idx="170">
                  <c:v>1.6126949139408049E-2</c:v>
                </c:pt>
                <c:pt idx="171">
                  <c:v>2.0151253036061693E-2</c:v>
                </c:pt>
                <c:pt idx="172">
                  <c:v>2.1669476870798194E-2</c:v>
                </c:pt>
                <c:pt idx="173">
                  <c:v>2.0589816945944209E-2</c:v>
                </c:pt>
                <c:pt idx="174">
                  <c:v>1.9742378703306074E-2</c:v>
                </c:pt>
                <c:pt idx="175">
                  <c:v>1.7150983482969034E-2</c:v>
                </c:pt>
                <c:pt idx="176">
                  <c:v>1.6840509711232111E-2</c:v>
                </c:pt>
                <c:pt idx="177">
                  <c:v>1.609541702151332E-2</c:v>
                </c:pt>
                <c:pt idx="178">
                  <c:v>1.2315249893208072E-2</c:v>
                </c:pt>
                <c:pt idx="179">
                  <c:v>6.5312139196231044E-3</c:v>
                </c:pt>
                <c:pt idx="180">
                  <c:v>-2.29930978205432E-3</c:v>
                </c:pt>
                <c:pt idx="181">
                  <c:v>-8.7031462935203627E-4</c:v>
                </c:pt>
                <c:pt idx="182">
                  <c:v>-2.2031284423878735E-4</c:v>
                </c:pt>
                <c:pt idx="183">
                  <c:v>-1.040309893939057E-3</c:v>
                </c:pt>
                <c:pt idx="184">
                  <c:v>3.5033218244286379E-4</c:v>
                </c:pt>
                <c:pt idx="185">
                  <c:v>1.7957180975505568E-3</c:v>
                </c:pt>
                <c:pt idx="186">
                  <c:v>2.2568611104093568E-3</c:v>
                </c:pt>
                <c:pt idx="187">
                  <c:v>2.4130379853448121E-3</c:v>
                </c:pt>
                <c:pt idx="188">
                  <c:v>8.8429616341736603E-5</c:v>
                </c:pt>
                <c:pt idx="189">
                  <c:v>1.2761656067051227E-3</c:v>
                </c:pt>
                <c:pt idx="190">
                  <c:v>4.3631821691850967E-3</c:v>
                </c:pt>
                <c:pt idx="191">
                  <c:v>6.3872475153648901E-3</c:v>
                </c:pt>
                <c:pt idx="192">
                  <c:v>1.2375025026943784E-2</c:v>
                </c:pt>
                <c:pt idx="193">
                  <c:v>8.4727757901267072E-3</c:v>
                </c:pt>
                <c:pt idx="194">
                  <c:v>8.9161609655219742E-3</c:v>
                </c:pt>
                <c:pt idx="195">
                  <c:v>1.1726257503534733E-2</c:v>
                </c:pt>
                <c:pt idx="196">
                  <c:v>1.0784764621246253E-2</c:v>
                </c:pt>
                <c:pt idx="197">
                  <c:v>1.0792865347959445E-2</c:v>
                </c:pt>
                <c:pt idx="198">
                  <c:v>8.6836334305183602E-3</c:v>
                </c:pt>
                <c:pt idx="199">
                  <c:v>1.0553158595656907E-2</c:v>
                </c:pt>
                <c:pt idx="200">
                  <c:v>1.5486446201652213E-2</c:v>
                </c:pt>
                <c:pt idx="201">
                  <c:v>1.685924966243647E-2</c:v>
                </c:pt>
                <c:pt idx="202">
                  <c:v>1.6843334719788983E-2</c:v>
                </c:pt>
                <c:pt idx="203">
                  <c:v>2.0507989115119824E-2</c:v>
                </c:pt>
                <c:pt idx="204">
                  <c:v>2.5112349149176181E-2</c:v>
                </c:pt>
                <c:pt idx="205">
                  <c:v>2.7539016415545896E-2</c:v>
                </c:pt>
                <c:pt idx="206">
                  <c:v>2.3882728494623563E-2</c:v>
                </c:pt>
                <c:pt idx="207">
                  <c:v>2.2101158197763988E-2</c:v>
                </c:pt>
                <c:pt idx="208">
                  <c:v>1.8834765838610438E-2</c:v>
                </c:pt>
                <c:pt idx="209">
                  <c:v>1.6634612982990654E-2</c:v>
                </c:pt>
                <c:pt idx="210">
                  <c:v>1.7405175322051977E-2</c:v>
                </c:pt>
                <c:pt idx="211">
                  <c:v>1.9372674551539317E-2</c:v>
                </c:pt>
                <c:pt idx="212">
                  <c:v>2.2286628851958735E-2</c:v>
                </c:pt>
                <c:pt idx="213">
                  <c:v>2.0335813949640302E-2</c:v>
                </c:pt>
                <c:pt idx="214">
                  <c:v>2.2113326667382742E-2</c:v>
                </c:pt>
                <c:pt idx="215">
                  <c:v>2.1014931770504869E-2</c:v>
                </c:pt>
                <c:pt idx="216">
                  <c:v>2.0938346605369012E-2</c:v>
                </c:pt>
                <c:pt idx="217">
                  <c:v>2.225757774570265E-2</c:v>
                </c:pt>
                <c:pt idx="218">
                  <c:v>2.3592297531238995E-2</c:v>
                </c:pt>
                <c:pt idx="219">
                  <c:v>2.4566675127111377E-2</c:v>
                </c:pt>
                <c:pt idx="220">
                  <c:v>2.7520905973310882E-2</c:v>
                </c:pt>
                <c:pt idx="221">
                  <c:v>2.8392665569286449E-2</c:v>
                </c:pt>
                <c:pt idx="222">
                  <c:v>2.8921729163255271E-2</c:v>
                </c:pt>
                <c:pt idx="223">
                  <c:v>2.6630778328337518E-2</c:v>
                </c:pt>
                <c:pt idx="224">
                  <c:v>2.2843144014828596E-2</c:v>
                </c:pt>
                <c:pt idx="225">
                  <c:v>2.5306397142590684E-2</c:v>
                </c:pt>
                <c:pt idx="226">
                  <c:v>2.200680739596899E-2</c:v>
                </c:pt>
                <c:pt idx="227">
                  <c:v>1.920189233700393E-2</c:v>
                </c:pt>
                <c:pt idx="228">
                  <c:v>1.495651754375384E-2</c:v>
                </c:pt>
                <c:pt idx="229">
                  <c:v>1.4717208182912084E-2</c:v>
                </c:pt>
                <c:pt idx="230">
                  <c:v>1.8555849902010667E-2</c:v>
                </c:pt>
                <c:pt idx="231">
                  <c:v>2.0181800019977974E-2</c:v>
                </c:pt>
                <c:pt idx="232">
                  <c:v>1.8282519757881251E-2</c:v>
                </c:pt>
                <c:pt idx="233">
                  <c:v>1.7005638020003884E-2</c:v>
                </c:pt>
                <c:pt idx="234">
                  <c:v>1.822196582386764E-2</c:v>
                </c:pt>
                <c:pt idx="235">
                  <c:v>1.741116650445898E-2</c:v>
                </c:pt>
                <c:pt idx="236">
                  <c:v>1.724541305321925E-2</c:v>
                </c:pt>
                <c:pt idx="237">
                  <c:v>1.7746214892111079E-2</c:v>
                </c:pt>
                <c:pt idx="238">
                  <c:v>2.0437303715657551E-2</c:v>
                </c:pt>
                <c:pt idx="239">
                  <c:v>2.2614488322448462E-2</c:v>
                </c:pt>
                <c:pt idx="240">
                  <c:v>2.474241505936044E-2</c:v>
                </c:pt>
                <c:pt idx="241">
                  <c:v>2.3145128454474733E-2</c:v>
                </c:pt>
                <c:pt idx="242">
                  <c:v>1.5117235300829774E-2</c:v>
                </c:pt>
                <c:pt idx="243">
                  <c:v>3.3917423215810922E-3</c:v>
                </c:pt>
                <c:pt idx="244">
                  <c:v>2.2359625799327171E-3</c:v>
                </c:pt>
                <c:pt idx="245">
                  <c:v>7.2781229568205695E-3</c:v>
                </c:pt>
                <c:pt idx="246">
                  <c:v>1.0467910520660246E-2</c:v>
                </c:pt>
                <c:pt idx="247">
                  <c:v>1.3247799842260322E-2</c:v>
                </c:pt>
                <c:pt idx="248">
                  <c:v>1.4099605507305206E-2</c:v>
                </c:pt>
                <c:pt idx="249">
                  <c:v>1.1946990329736888E-2</c:v>
                </c:pt>
                <c:pt idx="250">
                  <c:v>1.1388082437623485E-2</c:v>
                </c:pt>
                <c:pt idx="251">
                  <c:v>1.3001398124731424E-2</c:v>
                </c:pt>
                <c:pt idx="252">
                  <c:v>1.3699953998461394E-2</c:v>
                </c:pt>
                <c:pt idx="253">
                  <c:v>1.6756560442617335E-2</c:v>
                </c:pt>
                <c:pt idx="254">
                  <c:v>2.6373217462760161E-2</c:v>
                </c:pt>
                <c:pt idx="255">
                  <c:v>4.1531351486385155E-2</c:v>
                </c:pt>
                <c:pt idx="256">
                  <c:v>4.9265067866938524E-2</c:v>
                </c:pt>
                <c:pt idx="257">
                  <c:v>5.3245077385903457E-2</c:v>
                </c:pt>
                <c:pt idx="258">
                  <c:v>5.282594236748079E-2</c:v>
                </c:pt>
                <c:pt idx="259">
                  <c:v>5.20247696629429E-2</c:v>
                </c:pt>
                <c:pt idx="260">
                  <c:v>5.3773030071228321E-2</c:v>
                </c:pt>
                <c:pt idx="261">
                  <c:v>6.2435211278420659E-2</c:v>
                </c:pt>
                <c:pt idx="262">
                  <c:v>6.8804684835222008E-2</c:v>
                </c:pt>
                <c:pt idx="263">
                  <c:v>7.1234133659580992E-2</c:v>
                </c:pt>
              </c:numCache>
            </c:numRef>
          </c:val>
          <c:smooth val="0"/>
          <c:extLst>
            <c:ext xmlns:c16="http://schemas.microsoft.com/office/drawing/2014/chart" uri="{C3380CC4-5D6E-409C-BE32-E72D297353CC}">
              <c16:uniqueId val="{00000000-07D5-404B-BCB7-ECC5A89387F8}"/>
            </c:ext>
          </c:extLst>
        </c:ser>
        <c:dLbls>
          <c:showLegendKey val="0"/>
          <c:showVal val="0"/>
          <c:showCatName val="0"/>
          <c:showSerName val="0"/>
          <c:showPercent val="0"/>
          <c:showBubbleSize val="0"/>
        </c:dLbls>
        <c:smooth val="0"/>
        <c:axId val="441892151"/>
        <c:axId val="441886247"/>
      </c:lineChart>
      <c:dateAx>
        <c:axId val="441892151"/>
        <c:scaling>
          <c:orientation val="minMax"/>
        </c:scaling>
        <c:delete val="0"/>
        <c:axPos val="b"/>
        <c:numFmt formatCode="[$-409]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1886247"/>
        <c:crosses val="autoZero"/>
        <c:auto val="0"/>
        <c:lblOffset val="100"/>
        <c:baseTimeUnit val="months"/>
      </c:dateAx>
      <c:valAx>
        <c:axId val="441886247"/>
        <c:scaling>
          <c:orientation val="minMax"/>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1892151"/>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strike="noStrike" kern="1200" spc="0" baseline="0">
                <a:solidFill>
                  <a:schemeClr val="tx1">
                    <a:lumMod val="65000"/>
                    <a:lumOff val="35000"/>
                  </a:schemeClr>
                </a:solidFill>
                <a:latin typeface="+mn-lt"/>
                <a:ea typeface="+mn-ea"/>
                <a:cs typeface="+mn-cs"/>
              </a:defRPr>
            </a:pPr>
            <a:r>
              <a:rPr lang="en-US" b="1"/>
              <a:t>Consumer Price Index y/y % since 2014</a:t>
            </a:r>
          </a:p>
        </c:rich>
      </c:tx>
      <c:overlay val="0"/>
      <c:spPr>
        <a:noFill/>
        <a:ln>
          <a:noFill/>
          <a:prstDash val="solid"/>
        </a:ln>
      </c:spPr>
    </c:title>
    <c:autoTitleDeleted val="0"/>
    <c:plotArea>
      <c:layout/>
      <c:lineChart>
        <c:grouping val="standard"/>
        <c:varyColors val="0"/>
        <c:ser>
          <c:idx val="2"/>
          <c:order val="0"/>
          <c:tx>
            <c:strRef>
              <c:f>CPI!$D$4</c:f>
              <c:strCache>
                <c:ptCount val="1"/>
                <c:pt idx="0">
                  <c:v>Consumer Price Index y/y %</c:v>
                </c:pt>
              </c:strCache>
            </c:strRef>
          </c:tx>
          <c:spPr>
            <a:ln w="28575" cap="rnd">
              <a:solidFill>
                <a:srgbClr val="0070C0"/>
              </a:solidFill>
              <a:prstDash val="solid"/>
              <a:round/>
            </a:ln>
          </c:spPr>
          <c:marker>
            <c:symbol val="none"/>
          </c:marker>
          <c:cat>
            <c:numRef>
              <c:f>CPI!$A$809:$A$912</c:f>
              <c:numCache>
                <c:formatCode>[$-409]mmm\-yy;@</c:formatCode>
                <c:ptCount val="104"/>
                <c:pt idx="0">
                  <c:v>41640</c:v>
                </c:pt>
                <c:pt idx="1">
                  <c:v>41671</c:v>
                </c:pt>
                <c:pt idx="2">
                  <c:v>41699</c:v>
                </c:pt>
                <c:pt idx="3">
                  <c:v>41730</c:v>
                </c:pt>
                <c:pt idx="4">
                  <c:v>41760</c:v>
                </c:pt>
                <c:pt idx="5">
                  <c:v>41791</c:v>
                </c:pt>
                <c:pt idx="6">
                  <c:v>41821</c:v>
                </c:pt>
                <c:pt idx="7">
                  <c:v>41852</c:v>
                </c:pt>
                <c:pt idx="8">
                  <c:v>41883</c:v>
                </c:pt>
                <c:pt idx="9">
                  <c:v>41913</c:v>
                </c:pt>
                <c:pt idx="10">
                  <c:v>41944</c:v>
                </c:pt>
                <c:pt idx="11">
                  <c:v>41974</c:v>
                </c:pt>
                <c:pt idx="12">
                  <c:v>42005</c:v>
                </c:pt>
                <c:pt idx="13">
                  <c:v>42036</c:v>
                </c:pt>
                <c:pt idx="14">
                  <c:v>42064</c:v>
                </c:pt>
                <c:pt idx="15">
                  <c:v>42095</c:v>
                </c:pt>
                <c:pt idx="16">
                  <c:v>42125</c:v>
                </c:pt>
                <c:pt idx="17">
                  <c:v>42156</c:v>
                </c:pt>
                <c:pt idx="18">
                  <c:v>42186</c:v>
                </c:pt>
                <c:pt idx="19">
                  <c:v>42217</c:v>
                </c:pt>
                <c:pt idx="20">
                  <c:v>42248</c:v>
                </c:pt>
                <c:pt idx="21">
                  <c:v>42278</c:v>
                </c:pt>
                <c:pt idx="22">
                  <c:v>42309</c:v>
                </c:pt>
                <c:pt idx="23">
                  <c:v>42339</c:v>
                </c:pt>
                <c:pt idx="24">
                  <c:v>42370</c:v>
                </c:pt>
                <c:pt idx="25">
                  <c:v>42401</c:v>
                </c:pt>
                <c:pt idx="26">
                  <c:v>42430</c:v>
                </c:pt>
                <c:pt idx="27">
                  <c:v>42461</c:v>
                </c:pt>
                <c:pt idx="28">
                  <c:v>42491</c:v>
                </c:pt>
                <c:pt idx="29">
                  <c:v>42522</c:v>
                </c:pt>
                <c:pt idx="30">
                  <c:v>42552</c:v>
                </c:pt>
                <c:pt idx="31">
                  <c:v>42583</c:v>
                </c:pt>
                <c:pt idx="32">
                  <c:v>42614</c:v>
                </c:pt>
                <c:pt idx="33">
                  <c:v>42644</c:v>
                </c:pt>
                <c:pt idx="34">
                  <c:v>42675</c:v>
                </c:pt>
                <c:pt idx="35">
                  <c:v>42705</c:v>
                </c:pt>
                <c:pt idx="36">
                  <c:v>42736</c:v>
                </c:pt>
                <c:pt idx="37">
                  <c:v>42767</c:v>
                </c:pt>
                <c:pt idx="38">
                  <c:v>42795</c:v>
                </c:pt>
                <c:pt idx="39">
                  <c:v>42826</c:v>
                </c:pt>
                <c:pt idx="40">
                  <c:v>42856</c:v>
                </c:pt>
                <c:pt idx="41">
                  <c:v>42887</c:v>
                </c:pt>
                <c:pt idx="42">
                  <c:v>42917</c:v>
                </c:pt>
                <c:pt idx="43">
                  <c:v>42948</c:v>
                </c:pt>
                <c:pt idx="44">
                  <c:v>42979</c:v>
                </c:pt>
                <c:pt idx="45">
                  <c:v>43009</c:v>
                </c:pt>
                <c:pt idx="46">
                  <c:v>43040</c:v>
                </c:pt>
                <c:pt idx="47">
                  <c:v>43070</c:v>
                </c:pt>
                <c:pt idx="48">
                  <c:v>43101</c:v>
                </c:pt>
                <c:pt idx="49">
                  <c:v>43132</c:v>
                </c:pt>
                <c:pt idx="50">
                  <c:v>43160</c:v>
                </c:pt>
                <c:pt idx="51">
                  <c:v>43191</c:v>
                </c:pt>
                <c:pt idx="52">
                  <c:v>43221</c:v>
                </c:pt>
                <c:pt idx="53">
                  <c:v>43252</c:v>
                </c:pt>
                <c:pt idx="54">
                  <c:v>43282</c:v>
                </c:pt>
                <c:pt idx="55">
                  <c:v>43313</c:v>
                </c:pt>
                <c:pt idx="56">
                  <c:v>43344</c:v>
                </c:pt>
                <c:pt idx="57">
                  <c:v>43374</c:v>
                </c:pt>
                <c:pt idx="58">
                  <c:v>43405</c:v>
                </c:pt>
                <c:pt idx="59">
                  <c:v>43435</c:v>
                </c:pt>
                <c:pt idx="60">
                  <c:v>43466</c:v>
                </c:pt>
                <c:pt idx="61">
                  <c:v>43497</c:v>
                </c:pt>
                <c:pt idx="62">
                  <c:v>43525</c:v>
                </c:pt>
                <c:pt idx="63">
                  <c:v>43556</c:v>
                </c:pt>
                <c:pt idx="64">
                  <c:v>43586</c:v>
                </c:pt>
                <c:pt idx="65">
                  <c:v>43617</c:v>
                </c:pt>
                <c:pt idx="66">
                  <c:v>43647</c:v>
                </c:pt>
                <c:pt idx="67">
                  <c:v>43678</c:v>
                </c:pt>
                <c:pt idx="68">
                  <c:v>43709</c:v>
                </c:pt>
                <c:pt idx="69">
                  <c:v>43739</c:v>
                </c:pt>
                <c:pt idx="70">
                  <c:v>43770</c:v>
                </c:pt>
                <c:pt idx="71">
                  <c:v>43800</c:v>
                </c:pt>
                <c:pt idx="72">
                  <c:v>43831</c:v>
                </c:pt>
                <c:pt idx="73">
                  <c:v>43862</c:v>
                </c:pt>
                <c:pt idx="74">
                  <c:v>43891</c:v>
                </c:pt>
                <c:pt idx="75">
                  <c:v>43922</c:v>
                </c:pt>
                <c:pt idx="76">
                  <c:v>43952</c:v>
                </c:pt>
                <c:pt idx="77">
                  <c:v>43983</c:v>
                </c:pt>
                <c:pt idx="78">
                  <c:v>44013</c:v>
                </c:pt>
                <c:pt idx="79">
                  <c:v>44044</c:v>
                </c:pt>
                <c:pt idx="80">
                  <c:v>44075</c:v>
                </c:pt>
                <c:pt idx="81">
                  <c:v>44105</c:v>
                </c:pt>
                <c:pt idx="82">
                  <c:v>44136</c:v>
                </c:pt>
                <c:pt idx="83">
                  <c:v>44166</c:v>
                </c:pt>
                <c:pt idx="84">
                  <c:v>44197</c:v>
                </c:pt>
                <c:pt idx="85">
                  <c:v>44228</c:v>
                </c:pt>
                <c:pt idx="86">
                  <c:v>44256</c:v>
                </c:pt>
                <c:pt idx="87">
                  <c:v>44287</c:v>
                </c:pt>
                <c:pt idx="88">
                  <c:v>44317</c:v>
                </c:pt>
                <c:pt idx="89">
                  <c:v>44348</c:v>
                </c:pt>
                <c:pt idx="90">
                  <c:v>44378</c:v>
                </c:pt>
                <c:pt idx="91">
                  <c:v>44409</c:v>
                </c:pt>
                <c:pt idx="92">
                  <c:v>44440</c:v>
                </c:pt>
                <c:pt idx="93">
                  <c:v>44470</c:v>
                </c:pt>
                <c:pt idx="94">
                  <c:v>44501</c:v>
                </c:pt>
                <c:pt idx="95">
                  <c:v>44531</c:v>
                </c:pt>
              </c:numCache>
            </c:numRef>
          </c:cat>
          <c:val>
            <c:numRef>
              <c:f>CPI!$D$809:$D$912</c:f>
              <c:numCache>
                <c:formatCode>0.00%</c:formatCode>
                <c:ptCount val="104"/>
                <c:pt idx="0">
                  <c:v>1.5577587955749157E-2</c:v>
                </c:pt>
                <c:pt idx="1">
                  <c:v>1.1204746347724857E-2</c:v>
                </c:pt>
                <c:pt idx="2">
                  <c:v>1.6126949139408049E-2</c:v>
                </c:pt>
                <c:pt idx="3">
                  <c:v>2.0151253036061693E-2</c:v>
                </c:pt>
                <c:pt idx="4">
                  <c:v>2.1669476870798194E-2</c:v>
                </c:pt>
                <c:pt idx="5">
                  <c:v>2.0589816945944209E-2</c:v>
                </c:pt>
                <c:pt idx="6">
                  <c:v>1.9742378703306074E-2</c:v>
                </c:pt>
                <c:pt idx="7">
                  <c:v>1.7150983482969034E-2</c:v>
                </c:pt>
                <c:pt idx="8">
                  <c:v>1.6840509711232111E-2</c:v>
                </c:pt>
                <c:pt idx="9">
                  <c:v>1.609541702151332E-2</c:v>
                </c:pt>
                <c:pt idx="10">
                  <c:v>1.2315249893208072E-2</c:v>
                </c:pt>
                <c:pt idx="11">
                  <c:v>6.5312139196231044E-3</c:v>
                </c:pt>
                <c:pt idx="12">
                  <c:v>-2.29930978205432E-3</c:v>
                </c:pt>
                <c:pt idx="13">
                  <c:v>-8.7031462935203627E-4</c:v>
                </c:pt>
                <c:pt idx="14">
                  <c:v>-2.2031284423878735E-4</c:v>
                </c:pt>
                <c:pt idx="15">
                  <c:v>-1.040309893939057E-3</c:v>
                </c:pt>
                <c:pt idx="16">
                  <c:v>3.5033218244286379E-4</c:v>
                </c:pt>
                <c:pt idx="17">
                  <c:v>1.7957180975505568E-3</c:v>
                </c:pt>
                <c:pt idx="18">
                  <c:v>2.2568611104093568E-3</c:v>
                </c:pt>
                <c:pt idx="19">
                  <c:v>2.4130379853448121E-3</c:v>
                </c:pt>
                <c:pt idx="20">
                  <c:v>8.8429616341736603E-5</c:v>
                </c:pt>
                <c:pt idx="21">
                  <c:v>1.2761656067051227E-3</c:v>
                </c:pt>
                <c:pt idx="22">
                  <c:v>4.3631821691850967E-3</c:v>
                </c:pt>
                <c:pt idx="23">
                  <c:v>6.3872475153648901E-3</c:v>
                </c:pt>
                <c:pt idx="24">
                  <c:v>1.2375025026943784E-2</c:v>
                </c:pt>
                <c:pt idx="25">
                  <c:v>8.4727757901267072E-3</c:v>
                </c:pt>
                <c:pt idx="26">
                  <c:v>8.9161609655219742E-3</c:v>
                </c:pt>
                <c:pt idx="27">
                  <c:v>1.1726257503534733E-2</c:v>
                </c:pt>
                <c:pt idx="28">
                  <c:v>1.0784764621246253E-2</c:v>
                </c:pt>
                <c:pt idx="29">
                  <c:v>1.0792865347959445E-2</c:v>
                </c:pt>
                <c:pt idx="30">
                  <c:v>8.6836334305183602E-3</c:v>
                </c:pt>
                <c:pt idx="31">
                  <c:v>1.0553158595656907E-2</c:v>
                </c:pt>
                <c:pt idx="32">
                  <c:v>1.5486446201652213E-2</c:v>
                </c:pt>
                <c:pt idx="33">
                  <c:v>1.685924966243647E-2</c:v>
                </c:pt>
                <c:pt idx="34">
                  <c:v>1.6843334719788983E-2</c:v>
                </c:pt>
                <c:pt idx="35">
                  <c:v>2.0507989115119824E-2</c:v>
                </c:pt>
                <c:pt idx="36">
                  <c:v>2.5112349149176181E-2</c:v>
                </c:pt>
                <c:pt idx="37">
                  <c:v>2.7539016415545896E-2</c:v>
                </c:pt>
                <c:pt idx="38">
                  <c:v>2.3882728494623563E-2</c:v>
                </c:pt>
                <c:pt idx="39">
                  <c:v>2.2101158197763988E-2</c:v>
                </c:pt>
                <c:pt idx="40">
                  <c:v>1.8834765838610438E-2</c:v>
                </c:pt>
                <c:pt idx="41">
                  <c:v>1.6634612982990654E-2</c:v>
                </c:pt>
                <c:pt idx="42">
                  <c:v>1.7405175322051977E-2</c:v>
                </c:pt>
                <c:pt idx="43">
                  <c:v>1.9372674551539317E-2</c:v>
                </c:pt>
                <c:pt idx="44">
                  <c:v>2.2286628851958735E-2</c:v>
                </c:pt>
                <c:pt idx="45">
                  <c:v>2.0335813949640302E-2</c:v>
                </c:pt>
                <c:pt idx="46">
                  <c:v>2.2113326667382742E-2</c:v>
                </c:pt>
                <c:pt idx="47">
                  <c:v>2.1014931770504869E-2</c:v>
                </c:pt>
                <c:pt idx="48">
                  <c:v>2.0938346605369012E-2</c:v>
                </c:pt>
                <c:pt idx="49">
                  <c:v>2.225757774570265E-2</c:v>
                </c:pt>
                <c:pt idx="50">
                  <c:v>2.3592297531238995E-2</c:v>
                </c:pt>
                <c:pt idx="51">
                  <c:v>2.4566675127111377E-2</c:v>
                </c:pt>
                <c:pt idx="52">
                  <c:v>2.7520905973310882E-2</c:v>
                </c:pt>
                <c:pt idx="53">
                  <c:v>2.8392665569286449E-2</c:v>
                </c:pt>
                <c:pt idx="54">
                  <c:v>2.8921729163255271E-2</c:v>
                </c:pt>
                <c:pt idx="55">
                  <c:v>2.6630778328337518E-2</c:v>
                </c:pt>
                <c:pt idx="56">
                  <c:v>2.2843144014828596E-2</c:v>
                </c:pt>
                <c:pt idx="57">
                  <c:v>2.5306397142590684E-2</c:v>
                </c:pt>
                <c:pt idx="58">
                  <c:v>2.200680739596899E-2</c:v>
                </c:pt>
                <c:pt idx="59">
                  <c:v>1.920189233700393E-2</c:v>
                </c:pt>
                <c:pt idx="60">
                  <c:v>1.495651754375384E-2</c:v>
                </c:pt>
                <c:pt idx="61">
                  <c:v>1.4717208182912084E-2</c:v>
                </c:pt>
                <c:pt idx="62">
                  <c:v>1.8555849902010667E-2</c:v>
                </c:pt>
                <c:pt idx="63">
                  <c:v>2.0181800019977974E-2</c:v>
                </c:pt>
                <c:pt idx="64">
                  <c:v>1.8282519757881251E-2</c:v>
                </c:pt>
                <c:pt idx="65">
                  <c:v>1.7005638020003884E-2</c:v>
                </c:pt>
                <c:pt idx="66">
                  <c:v>1.822196582386764E-2</c:v>
                </c:pt>
                <c:pt idx="67">
                  <c:v>1.741116650445898E-2</c:v>
                </c:pt>
                <c:pt idx="68">
                  <c:v>1.724541305321925E-2</c:v>
                </c:pt>
                <c:pt idx="69">
                  <c:v>1.7746214892111079E-2</c:v>
                </c:pt>
                <c:pt idx="70">
                  <c:v>2.0437303715657551E-2</c:v>
                </c:pt>
                <c:pt idx="71">
                  <c:v>2.2614488322448462E-2</c:v>
                </c:pt>
                <c:pt idx="72">
                  <c:v>2.474241505936044E-2</c:v>
                </c:pt>
                <c:pt idx="73">
                  <c:v>2.3145128454474733E-2</c:v>
                </c:pt>
                <c:pt idx="74">
                  <c:v>1.5117235300829774E-2</c:v>
                </c:pt>
                <c:pt idx="75">
                  <c:v>3.3917423215810922E-3</c:v>
                </c:pt>
                <c:pt idx="76">
                  <c:v>2.2359625799327171E-3</c:v>
                </c:pt>
                <c:pt idx="77">
                  <c:v>7.2781229568205695E-3</c:v>
                </c:pt>
                <c:pt idx="78">
                  <c:v>1.0467910520660246E-2</c:v>
                </c:pt>
                <c:pt idx="79">
                  <c:v>1.3247799842260322E-2</c:v>
                </c:pt>
                <c:pt idx="80">
                  <c:v>1.4099605507305206E-2</c:v>
                </c:pt>
                <c:pt idx="81">
                  <c:v>1.1946990329736888E-2</c:v>
                </c:pt>
                <c:pt idx="82">
                  <c:v>1.1388082437623485E-2</c:v>
                </c:pt>
                <c:pt idx="83">
                  <c:v>1.3001398124731424E-2</c:v>
                </c:pt>
                <c:pt idx="84">
                  <c:v>1.3699953998461394E-2</c:v>
                </c:pt>
                <c:pt idx="85">
                  <c:v>1.6756560442617335E-2</c:v>
                </c:pt>
                <c:pt idx="86">
                  <c:v>2.6373217462760161E-2</c:v>
                </c:pt>
                <c:pt idx="87">
                  <c:v>4.1531351486385155E-2</c:v>
                </c:pt>
                <c:pt idx="88">
                  <c:v>4.9265067866938524E-2</c:v>
                </c:pt>
                <c:pt idx="89">
                  <c:v>5.3245077385903457E-2</c:v>
                </c:pt>
                <c:pt idx="90">
                  <c:v>5.282594236748079E-2</c:v>
                </c:pt>
                <c:pt idx="91">
                  <c:v>5.20247696629429E-2</c:v>
                </c:pt>
                <c:pt idx="92">
                  <c:v>5.3773030071228321E-2</c:v>
                </c:pt>
                <c:pt idx="93">
                  <c:v>6.2435211278420659E-2</c:v>
                </c:pt>
                <c:pt idx="94">
                  <c:v>6.8804684835222008E-2</c:v>
                </c:pt>
                <c:pt idx="95">
                  <c:v>7.1234133659580992E-2</c:v>
                </c:pt>
              </c:numCache>
            </c:numRef>
          </c:val>
          <c:smooth val="0"/>
          <c:extLst>
            <c:ext xmlns:c16="http://schemas.microsoft.com/office/drawing/2014/chart" uri="{C3380CC4-5D6E-409C-BE32-E72D297353CC}">
              <c16:uniqueId val="{00000000-5973-A64D-AD1F-7BB33DCE89BF}"/>
            </c:ext>
          </c:extLst>
        </c:ser>
        <c:dLbls>
          <c:showLegendKey val="0"/>
          <c:showVal val="0"/>
          <c:showCatName val="0"/>
          <c:showSerName val="0"/>
          <c:showPercent val="0"/>
          <c:showBubbleSize val="0"/>
        </c:dLbls>
        <c:smooth val="0"/>
        <c:axId val="441892151"/>
        <c:axId val="441886247"/>
      </c:lineChart>
      <c:dateAx>
        <c:axId val="441892151"/>
        <c:scaling>
          <c:orientation val="minMax"/>
        </c:scaling>
        <c:delete val="0"/>
        <c:axPos val="b"/>
        <c:numFmt formatCode="[$-409]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1886247"/>
        <c:crosses val="autoZero"/>
        <c:auto val="0"/>
        <c:lblOffset val="100"/>
        <c:baseTimeUnit val="months"/>
      </c:dateAx>
      <c:valAx>
        <c:axId val="441886247"/>
        <c:scaling>
          <c:orientation val="minMax"/>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1892151"/>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r>
              <a:rPr lang="en-GB"/>
              <a:t>CPI yoy vs Fed Funds Rate</a:t>
            </a:r>
          </a:p>
        </c:rich>
      </c:tx>
      <c:overlay val="0"/>
      <c:spPr>
        <a:noFill/>
        <a:ln>
          <a:noFill/>
          <a:prstDash val="solid"/>
        </a:ln>
      </c:spPr>
    </c:title>
    <c:autoTitleDeleted val="0"/>
    <c:plotArea>
      <c:layout/>
      <c:lineChart>
        <c:grouping val="standard"/>
        <c:varyColors val="0"/>
        <c:ser>
          <c:idx val="2"/>
          <c:order val="0"/>
          <c:tx>
            <c:strRef>
              <c:f>CPI!$D$4</c:f>
              <c:strCache>
                <c:ptCount val="1"/>
                <c:pt idx="0">
                  <c:v>Consumer Price Index y/y %</c:v>
                </c:pt>
              </c:strCache>
            </c:strRef>
          </c:tx>
          <c:spPr>
            <a:ln w="28575" cap="rnd">
              <a:solidFill>
                <a:schemeClr val="accent3"/>
              </a:solidFill>
              <a:prstDash val="solid"/>
              <a:round/>
            </a:ln>
          </c:spPr>
          <c:marker>
            <c:symbol val="none"/>
          </c:marker>
          <c:cat>
            <c:numRef>
              <c:f>CPI!$A$293:$A$923</c:f>
              <c:numCache>
                <c:formatCode>[$-409]mmm\-yy;@</c:formatCode>
                <c:ptCount val="631"/>
                <c:pt idx="0">
                  <c:v>25934</c:v>
                </c:pt>
                <c:pt idx="1">
                  <c:v>25965</c:v>
                </c:pt>
                <c:pt idx="2">
                  <c:v>25993</c:v>
                </c:pt>
                <c:pt idx="3">
                  <c:v>26024</c:v>
                </c:pt>
                <c:pt idx="4">
                  <c:v>26054</c:v>
                </c:pt>
                <c:pt idx="5">
                  <c:v>26085</c:v>
                </c:pt>
                <c:pt idx="6">
                  <c:v>26115</c:v>
                </c:pt>
                <c:pt idx="7">
                  <c:v>26146</c:v>
                </c:pt>
                <c:pt idx="8">
                  <c:v>26177</c:v>
                </c:pt>
                <c:pt idx="9">
                  <c:v>26207</c:v>
                </c:pt>
                <c:pt idx="10">
                  <c:v>26238</c:v>
                </c:pt>
                <c:pt idx="11">
                  <c:v>26268</c:v>
                </c:pt>
                <c:pt idx="12">
                  <c:v>26299</c:v>
                </c:pt>
                <c:pt idx="13">
                  <c:v>26330</c:v>
                </c:pt>
                <c:pt idx="14">
                  <c:v>26359</c:v>
                </c:pt>
                <c:pt idx="15">
                  <c:v>26390</c:v>
                </c:pt>
                <c:pt idx="16">
                  <c:v>26420</c:v>
                </c:pt>
                <c:pt idx="17">
                  <c:v>26451</c:v>
                </c:pt>
                <c:pt idx="18">
                  <c:v>26481</c:v>
                </c:pt>
                <c:pt idx="19">
                  <c:v>26512</c:v>
                </c:pt>
                <c:pt idx="20">
                  <c:v>26543</c:v>
                </c:pt>
                <c:pt idx="21">
                  <c:v>26573</c:v>
                </c:pt>
                <c:pt idx="22">
                  <c:v>26604</c:v>
                </c:pt>
                <c:pt idx="23">
                  <c:v>26634</c:v>
                </c:pt>
                <c:pt idx="24">
                  <c:v>26665</c:v>
                </c:pt>
                <c:pt idx="25">
                  <c:v>26696</c:v>
                </c:pt>
                <c:pt idx="26">
                  <c:v>26724</c:v>
                </c:pt>
                <c:pt idx="27">
                  <c:v>26755</c:v>
                </c:pt>
                <c:pt idx="28">
                  <c:v>26785</c:v>
                </c:pt>
                <c:pt idx="29">
                  <c:v>26816</c:v>
                </c:pt>
                <c:pt idx="30">
                  <c:v>26846</c:v>
                </c:pt>
                <c:pt idx="31">
                  <c:v>26877</c:v>
                </c:pt>
                <c:pt idx="32">
                  <c:v>26908</c:v>
                </c:pt>
                <c:pt idx="33">
                  <c:v>26938</c:v>
                </c:pt>
                <c:pt idx="34">
                  <c:v>26969</c:v>
                </c:pt>
                <c:pt idx="35">
                  <c:v>26999</c:v>
                </c:pt>
                <c:pt idx="36">
                  <c:v>27030</c:v>
                </c:pt>
                <c:pt idx="37">
                  <c:v>27061</c:v>
                </c:pt>
                <c:pt idx="38">
                  <c:v>27089</c:v>
                </c:pt>
                <c:pt idx="39">
                  <c:v>27120</c:v>
                </c:pt>
                <c:pt idx="40">
                  <c:v>27150</c:v>
                </c:pt>
                <c:pt idx="41">
                  <c:v>27181</c:v>
                </c:pt>
                <c:pt idx="42">
                  <c:v>27211</c:v>
                </c:pt>
                <c:pt idx="43">
                  <c:v>27242</c:v>
                </c:pt>
                <c:pt idx="44">
                  <c:v>27273</c:v>
                </c:pt>
                <c:pt idx="45">
                  <c:v>27303</c:v>
                </c:pt>
                <c:pt idx="46">
                  <c:v>27334</c:v>
                </c:pt>
                <c:pt idx="47">
                  <c:v>27364</c:v>
                </c:pt>
                <c:pt idx="48">
                  <c:v>27395</c:v>
                </c:pt>
                <c:pt idx="49">
                  <c:v>27426</c:v>
                </c:pt>
                <c:pt idx="50">
                  <c:v>27454</c:v>
                </c:pt>
                <c:pt idx="51">
                  <c:v>27485</c:v>
                </c:pt>
                <c:pt idx="52">
                  <c:v>27515</c:v>
                </c:pt>
                <c:pt idx="53">
                  <c:v>27546</c:v>
                </c:pt>
                <c:pt idx="54">
                  <c:v>27576</c:v>
                </c:pt>
                <c:pt idx="55">
                  <c:v>27607</c:v>
                </c:pt>
                <c:pt idx="56">
                  <c:v>27638</c:v>
                </c:pt>
                <c:pt idx="57">
                  <c:v>27668</c:v>
                </c:pt>
                <c:pt idx="58">
                  <c:v>27699</c:v>
                </c:pt>
                <c:pt idx="59">
                  <c:v>27729</c:v>
                </c:pt>
                <c:pt idx="60">
                  <c:v>27760</c:v>
                </c:pt>
                <c:pt idx="61">
                  <c:v>27791</c:v>
                </c:pt>
                <c:pt idx="62">
                  <c:v>27820</c:v>
                </c:pt>
                <c:pt idx="63">
                  <c:v>27851</c:v>
                </c:pt>
                <c:pt idx="64">
                  <c:v>27881</c:v>
                </c:pt>
                <c:pt idx="65">
                  <c:v>27912</c:v>
                </c:pt>
                <c:pt idx="66">
                  <c:v>27942</c:v>
                </c:pt>
                <c:pt idx="67">
                  <c:v>27973</c:v>
                </c:pt>
                <c:pt idx="68">
                  <c:v>28004</c:v>
                </c:pt>
                <c:pt idx="69">
                  <c:v>28034</c:v>
                </c:pt>
                <c:pt idx="70">
                  <c:v>28065</c:v>
                </c:pt>
                <c:pt idx="71">
                  <c:v>28095</c:v>
                </c:pt>
                <c:pt idx="72">
                  <c:v>28126</c:v>
                </c:pt>
                <c:pt idx="73">
                  <c:v>28157</c:v>
                </c:pt>
                <c:pt idx="74">
                  <c:v>28185</c:v>
                </c:pt>
                <c:pt idx="75">
                  <c:v>28216</c:v>
                </c:pt>
                <c:pt idx="76">
                  <c:v>28246</c:v>
                </c:pt>
                <c:pt idx="77">
                  <c:v>28277</c:v>
                </c:pt>
                <c:pt idx="78">
                  <c:v>28307</c:v>
                </c:pt>
                <c:pt idx="79">
                  <c:v>28338</c:v>
                </c:pt>
                <c:pt idx="80">
                  <c:v>28369</c:v>
                </c:pt>
                <c:pt idx="81">
                  <c:v>28399</c:v>
                </c:pt>
                <c:pt idx="82">
                  <c:v>28430</c:v>
                </c:pt>
                <c:pt idx="83">
                  <c:v>28460</c:v>
                </c:pt>
                <c:pt idx="84">
                  <c:v>28491</c:v>
                </c:pt>
                <c:pt idx="85">
                  <c:v>28522</c:v>
                </c:pt>
                <c:pt idx="86">
                  <c:v>28550</c:v>
                </c:pt>
                <c:pt idx="87">
                  <c:v>28581</c:v>
                </c:pt>
                <c:pt idx="88">
                  <c:v>28611</c:v>
                </c:pt>
                <c:pt idx="89">
                  <c:v>28642</c:v>
                </c:pt>
                <c:pt idx="90">
                  <c:v>28672</c:v>
                </c:pt>
                <c:pt idx="91">
                  <c:v>28703</c:v>
                </c:pt>
                <c:pt idx="92">
                  <c:v>28734</c:v>
                </c:pt>
                <c:pt idx="93">
                  <c:v>28764</c:v>
                </c:pt>
                <c:pt idx="94">
                  <c:v>28795</c:v>
                </c:pt>
                <c:pt idx="95">
                  <c:v>28825</c:v>
                </c:pt>
                <c:pt idx="96">
                  <c:v>28856</c:v>
                </c:pt>
                <c:pt idx="97">
                  <c:v>28887</c:v>
                </c:pt>
                <c:pt idx="98">
                  <c:v>28915</c:v>
                </c:pt>
                <c:pt idx="99">
                  <c:v>28946</c:v>
                </c:pt>
                <c:pt idx="100">
                  <c:v>28976</c:v>
                </c:pt>
                <c:pt idx="101">
                  <c:v>29007</c:v>
                </c:pt>
                <c:pt idx="102">
                  <c:v>29037</c:v>
                </c:pt>
                <c:pt idx="103">
                  <c:v>29068</c:v>
                </c:pt>
                <c:pt idx="104">
                  <c:v>29099</c:v>
                </c:pt>
                <c:pt idx="105">
                  <c:v>29129</c:v>
                </c:pt>
                <c:pt idx="106">
                  <c:v>29160</c:v>
                </c:pt>
                <c:pt idx="107">
                  <c:v>29190</c:v>
                </c:pt>
                <c:pt idx="108">
                  <c:v>29221</c:v>
                </c:pt>
                <c:pt idx="109">
                  <c:v>29252</c:v>
                </c:pt>
                <c:pt idx="110">
                  <c:v>29281</c:v>
                </c:pt>
                <c:pt idx="111">
                  <c:v>29312</c:v>
                </c:pt>
                <c:pt idx="112">
                  <c:v>29342</c:v>
                </c:pt>
                <c:pt idx="113">
                  <c:v>29373</c:v>
                </c:pt>
                <c:pt idx="114">
                  <c:v>29403</c:v>
                </c:pt>
                <c:pt idx="115">
                  <c:v>29434</c:v>
                </c:pt>
                <c:pt idx="116">
                  <c:v>29465</c:v>
                </c:pt>
                <c:pt idx="117">
                  <c:v>29495</c:v>
                </c:pt>
                <c:pt idx="118">
                  <c:v>29526</c:v>
                </c:pt>
                <c:pt idx="119">
                  <c:v>29556</c:v>
                </c:pt>
                <c:pt idx="120">
                  <c:v>29587</c:v>
                </c:pt>
                <c:pt idx="121">
                  <c:v>29618</c:v>
                </c:pt>
                <c:pt idx="122">
                  <c:v>29646</c:v>
                </c:pt>
                <c:pt idx="123">
                  <c:v>29677</c:v>
                </c:pt>
                <c:pt idx="124">
                  <c:v>29707</c:v>
                </c:pt>
                <c:pt idx="125">
                  <c:v>29738</c:v>
                </c:pt>
                <c:pt idx="126">
                  <c:v>29768</c:v>
                </c:pt>
                <c:pt idx="127">
                  <c:v>29799</c:v>
                </c:pt>
                <c:pt idx="128">
                  <c:v>29830</c:v>
                </c:pt>
                <c:pt idx="129">
                  <c:v>29860</c:v>
                </c:pt>
                <c:pt idx="130">
                  <c:v>29891</c:v>
                </c:pt>
                <c:pt idx="131">
                  <c:v>29921</c:v>
                </c:pt>
                <c:pt idx="132">
                  <c:v>29952</c:v>
                </c:pt>
                <c:pt idx="133">
                  <c:v>29983</c:v>
                </c:pt>
                <c:pt idx="134">
                  <c:v>30011</c:v>
                </c:pt>
                <c:pt idx="135">
                  <c:v>30042</c:v>
                </c:pt>
                <c:pt idx="136">
                  <c:v>30072</c:v>
                </c:pt>
                <c:pt idx="137">
                  <c:v>30103</c:v>
                </c:pt>
                <c:pt idx="138">
                  <c:v>30133</c:v>
                </c:pt>
                <c:pt idx="139">
                  <c:v>30164</c:v>
                </c:pt>
                <c:pt idx="140">
                  <c:v>30195</c:v>
                </c:pt>
                <c:pt idx="141">
                  <c:v>30225</c:v>
                </c:pt>
                <c:pt idx="142">
                  <c:v>30256</c:v>
                </c:pt>
                <c:pt idx="143">
                  <c:v>30286</c:v>
                </c:pt>
                <c:pt idx="144">
                  <c:v>30317</c:v>
                </c:pt>
                <c:pt idx="145">
                  <c:v>30348</c:v>
                </c:pt>
                <c:pt idx="146">
                  <c:v>30376</c:v>
                </c:pt>
                <c:pt idx="147">
                  <c:v>30407</c:v>
                </c:pt>
                <c:pt idx="148">
                  <c:v>30437</c:v>
                </c:pt>
                <c:pt idx="149">
                  <c:v>30468</c:v>
                </c:pt>
                <c:pt idx="150">
                  <c:v>30498</c:v>
                </c:pt>
                <c:pt idx="151">
                  <c:v>30529</c:v>
                </c:pt>
                <c:pt idx="152">
                  <c:v>30560</c:v>
                </c:pt>
                <c:pt idx="153">
                  <c:v>30590</c:v>
                </c:pt>
                <c:pt idx="154">
                  <c:v>30621</c:v>
                </c:pt>
                <c:pt idx="155">
                  <c:v>30651</c:v>
                </c:pt>
                <c:pt idx="156">
                  <c:v>30682</c:v>
                </c:pt>
                <c:pt idx="157">
                  <c:v>30713</c:v>
                </c:pt>
                <c:pt idx="158">
                  <c:v>30742</c:v>
                </c:pt>
                <c:pt idx="159">
                  <c:v>30773</c:v>
                </c:pt>
                <c:pt idx="160">
                  <c:v>30803</c:v>
                </c:pt>
                <c:pt idx="161">
                  <c:v>30834</c:v>
                </c:pt>
                <c:pt idx="162">
                  <c:v>30864</c:v>
                </c:pt>
                <c:pt idx="163">
                  <c:v>30895</c:v>
                </c:pt>
                <c:pt idx="164">
                  <c:v>30926</c:v>
                </c:pt>
                <c:pt idx="165">
                  <c:v>30956</c:v>
                </c:pt>
                <c:pt idx="166">
                  <c:v>30987</c:v>
                </c:pt>
                <c:pt idx="167">
                  <c:v>31017</c:v>
                </c:pt>
                <c:pt idx="168">
                  <c:v>31048</c:v>
                </c:pt>
                <c:pt idx="169">
                  <c:v>31079</c:v>
                </c:pt>
                <c:pt idx="170">
                  <c:v>31107</c:v>
                </c:pt>
                <c:pt idx="171">
                  <c:v>31138</c:v>
                </c:pt>
                <c:pt idx="172">
                  <c:v>31168</c:v>
                </c:pt>
                <c:pt idx="173">
                  <c:v>31199</c:v>
                </c:pt>
                <c:pt idx="174">
                  <c:v>31229</c:v>
                </c:pt>
                <c:pt idx="175">
                  <c:v>31260</c:v>
                </c:pt>
                <c:pt idx="176">
                  <c:v>31291</c:v>
                </c:pt>
                <c:pt idx="177">
                  <c:v>31321</c:v>
                </c:pt>
                <c:pt idx="178">
                  <c:v>31352</c:v>
                </c:pt>
                <c:pt idx="179">
                  <c:v>31382</c:v>
                </c:pt>
                <c:pt idx="180">
                  <c:v>31413</c:v>
                </c:pt>
                <c:pt idx="181">
                  <c:v>31444</c:v>
                </c:pt>
                <c:pt idx="182">
                  <c:v>31472</c:v>
                </c:pt>
                <c:pt idx="183">
                  <c:v>31503</c:v>
                </c:pt>
                <c:pt idx="184">
                  <c:v>31533</c:v>
                </c:pt>
                <c:pt idx="185">
                  <c:v>31564</c:v>
                </c:pt>
                <c:pt idx="186">
                  <c:v>31594</c:v>
                </c:pt>
                <c:pt idx="187">
                  <c:v>31625</c:v>
                </c:pt>
                <c:pt idx="188">
                  <c:v>31656</c:v>
                </c:pt>
                <c:pt idx="189">
                  <c:v>31686</c:v>
                </c:pt>
                <c:pt idx="190">
                  <c:v>31717</c:v>
                </c:pt>
                <c:pt idx="191">
                  <c:v>31747</c:v>
                </c:pt>
                <c:pt idx="192">
                  <c:v>31778</c:v>
                </c:pt>
                <c:pt idx="193">
                  <c:v>31809</c:v>
                </c:pt>
                <c:pt idx="194">
                  <c:v>31837</c:v>
                </c:pt>
                <c:pt idx="195">
                  <c:v>31868</c:v>
                </c:pt>
                <c:pt idx="196">
                  <c:v>31898</c:v>
                </c:pt>
                <c:pt idx="197">
                  <c:v>31929</c:v>
                </c:pt>
                <c:pt idx="198">
                  <c:v>31959</c:v>
                </c:pt>
                <c:pt idx="199">
                  <c:v>31990</c:v>
                </c:pt>
                <c:pt idx="200">
                  <c:v>32021</c:v>
                </c:pt>
                <c:pt idx="201">
                  <c:v>32051</c:v>
                </c:pt>
                <c:pt idx="202">
                  <c:v>32082</c:v>
                </c:pt>
                <c:pt idx="203">
                  <c:v>32112</c:v>
                </c:pt>
                <c:pt idx="204">
                  <c:v>32143</c:v>
                </c:pt>
                <c:pt idx="205">
                  <c:v>32174</c:v>
                </c:pt>
                <c:pt idx="206">
                  <c:v>32203</c:v>
                </c:pt>
                <c:pt idx="207">
                  <c:v>32234</c:v>
                </c:pt>
                <c:pt idx="208">
                  <c:v>32264</c:v>
                </c:pt>
                <c:pt idx="209">
                  <c:v>32295</c:v>
                </c:pt>
                <c:pt idx="210">
                  <c:v>32325</c:v>
                </c:pt>
                <c:pt idx="211">
                  <c:v>32356</c:v>
                </c:pt>
                <c:pt idx="212">
                  <c:v>32387</c:v>
                </c:pt>
                <c:pt idx="213">
                  <c:v>32417</c:v>
                </c:pt>
                <c:pt idx="214">
                  <c:v>32448</c:v>
                </c:pt>
                <c:pt idx="215">
                  <c:v>32478</c:v>
                </c:pt>
                <c:pt idx="216">
                  <c:v>32509</c:v>
                </c:pt>
                <c:pt idx="217">
                  <c:v>32540</c:v>
                </c:pt>
                <c:pt idx="218">
                  <c:v>32568</c:v>
                </c:pt>
                <c:pt idx="219">
                  <c:v>32599</c:v>
                </c:pt>
                <c:pt idx="220">
                  <c:v>32629</c:v>
                </c:pt>
                <c:pt idx="221">
                  <c:v>32660</c:v>
                </c:pt>
                <c:pt idx="222">
                  <c:v>32690</c:v>
                </c:pt>
                <c:pt idx="223">
                  <c:v>32721</c:v>
                </c:pt>
                <c:pt idx="224">
                  <c:v>32752</c:v>
                </c:pt>
                <c:pt idx="225">
                  <c:v>32782</c:v>
                </c:pt>
                <c:pt idx="226">
                  <c:v>32813</c:v>
                </c:pt>
                <c:pt idx="227">
                  <c:v>32843</c:v>
                </c:pt>
                <c:pt idx="228">
                  <c:v>32874</c:v>
                </c:pt>
                <c:pt idx="229">
                  <c:v>32905</c:v>
                </c:pt>
                <c:pt idx="230">
                  <c:v>32933</c:v>
                </c:pt>
                <c:pt idx="231">
                  <c:v>32964</c:v>
                </c:pt>
                <c:pt idx="232">
                  <c:v>32994</c:v>
                </c:pt>
                <c:pt idx="233">
                  <c:v>33025</c:v>
                </c:pt>
                <c:pt idx="234">
                  <c:v>33055</c:v>
                </c:pt>
                <c:pt idx="235">
                  <c:v>33086</c:v>
                </c:pt>
                <c:pt idx="236">
                  <c:v>33117</c:v>
                </c:pt>
                <c:pt idx="237">
                  <c:v>33147</c:v>
                </c:pt>
                <c:pt idx="238">
                  <c:v>33178</c:v>
                </c:pt>
                <c:pt idx="239">
                  <c:v>33208</c:v>
                </c:pt>
                <c:pt idx="240">
                  <c:v>33239</c:v>
                </c:pt>
                <c:pt idx="241">
                  <c:v>33270</c:v>
                </c:pt>
                <c:pt idx="242">
                  <c:v>33298</c:v>
                </c:pt>
                <c:pt idx="243">
                  <c:v>33329</c:v>
                </c:pt>
                <c:pt idx="244">
                  <c:v>33359</c:v>
                </c:pt>
                <c:pt idx="245">
                  <c:v>33390</c:v>
                </c:pt>
                <c:pt idx="246">
                  <c:v>33420</c:v>
                </c:pt>
                <c:pt idx="247">
                  <c:v>33451</c:v>
                </c:pt>
                <c:pt idx="248">
                  <c:v>33482</c:v>
                </c:pt>
                <c:pt idx="249">
                  <c:v>33512</c:v>
                </c:pt>
                <c:pt idx="250">
                  <c:v>33543</c:v>
                </c:pt>
                <c:pt idx="251">
                  <c:v>33573</c:v>
                </c:pt>
                <c:pt idx="252">
                  <c:v>33604</c:v>
                </c:pt>
                <c:pt idx="253">
                  <c:v>33635</c:v>
                </c:pt>
                <c:pt idx="254">
                  <c:v>33664</c:v>
                </c:pt>
                <c:pt idx="255">
                  <c:v>33695</c:v>
                </c:pt>
                <c:pt idx="256">
                  <c:v>33725</c:v>
                </c:pt>
                <c:pt idx="257">
                  <c:v>33756</c:v>
                </c:pt>
                <c:pt idx="258">
                  <c:v>33786</c:v>
                </c:pt>
                <c:pt idx="259">
                  <c:v>33817</c:v>
                </c:pt>
                <c:pt idx="260">
                  <c:v>33848</c:v>
                </c:pt>
                <c:pt idx="261">
                  <c:v>33878</c:v>
                </c:pt>
                <c:pt idx="262">
                  <c:v>33909</c:v>
                </c:pt>
                <c:pt idx="263">
                  <c:v>33939</c:v>
                </c:pt>
                <c:pt idx="264">
                  <c:v>33970</c:v>
                </c:pt>
                <c:pt idx="265">
                  <c:v>34001</c:v>
                </c:pt>
                <c:pt idx="266">
                  <c:v>34029</c:v>
                </c:pt>
                <c:pt idx="267">
                  <c:v>34060</c:v>
                </c:pt>
                <c:pt idx="268">
                  <c:v>34090</c:v>
                </c:pt>
                <c:pt idx="269">
                  <c:v>34121</c:v>
                </c:pt>
                <c:pt idx="270">
                  <c:v>34151</c:v>
                </c:pt>
                <c:pt idx="271">
                  <c:v>34182</c:v>
                </c:pt>
                <c:pt idx="272">
                  <c:v>34213</c:v>
                </c:pt>
                <c:pt idx="273">
                  <c:v>34243</c:v>
                </c:pt>
                <c:pt idx="274">
                  <c:v>34274</c:v>
                </c:pt>
                <c:pt idx="275">
                  <c:v>34304</c:v>
                </c:pt>
                <c:pt idx="276">
                  <c:v>34335</c:v>
                </c:pt>
                <c:pt idx="277">
                  <c:v>34366</c:v>
                </c:pt>
                <c:pt idx="278">
                  <c:v>34394</c:v>
                </c:pt>
                <c:pt idx="279">
                  <c:v>34425</c:v>
                </c:pt>
                <c:pt idx="280">
                  <c:v>34455</c:v>
                </c:pt>
                <c:pt idx="281">
                  <c:v>34486</c:v>
                </c:pt>
                <c:pt idx="282">
                  <c:v>34516</c:v>
                </c:pt>
                <c:pt idx="283">
                  <c:v>34547</c:v>
                </c:pt>
                <c:pt idx="284">
                  <c:v>34578</c:v>
                </c:pt>
                <c:pt idx="285">
                  <c:v>34608</c:v>
                </c:pt>
                <c:pt idx="286">
                  <c:v>34639</c:v>
                </c:pt>
                <c:pt idx="287">
                  <c:v>34669</c:v>
                </c:pt>
                <c:pt idx="288">
                  <c:v>34700</c:v>
                </c:pt>
                <c:pt idx="289">
                  <c:v>34731</c:v>
                </c:pt>
                <c:pt idx="290">
                  <c:v>34759</c:v>
                </c:pt>
                <c:pt idx="291">
                  <c:v>34790</c:v>
                </c:pt>
                <c:pt idx="292">
                  <c:v>34820</c:v>
                </c:pt>
                <c:pt idx="293">
                  <c:v>34851</c:v>
                </c:pt>
                <c:pt idx="294">
                  <c:v>34881</c:v>
                </c:pt>
                <c:pt idx="295">
                  <c:v>34912</c:v>
                </c:pt>
                <c:pt idx="296">
                  <c:v>34943</c:v>
                </c:pt>
                <c:pt idx="297">
                  <c:v>34973</c:v>
                </c:pt>
                <c:pt idx="298">
                  <c:v>35004</c:v>
                </c:pt>
                <c:pt idx="299">
                  <c:v>35034</c:v>
                </c:pt>
                <c:pt idx="300">
                  <c:v>35065</c:v>
                </c:pt>
                <c:pt idx="301">
                  <c:v>35096</c:v>
                </c:pt>
                <c:pt idx="302">
                  <c:v>35125</c:v>
                </c:pt>
                <c:pt idx="303">
                  <c:v>35156</c:v>
                </c:pt>
                <c:pt idx="304">
                  <c:v>35186</c:v>
                </c:pt>
                <c:pt idx="305">
                  <c:v>35217</c:v>
                </c:pt>
                <c:pt idx="306">
                  <c:v>35247</c:v>
                </c:pt>
                <c:pt idx="307">
                  <c:v>35278</c:v>
                </c:pt>
                <c:pt idx="308">
                  <c:v>35309</c:v>
                </c:pt>
                <c:pt idx="309">
                  <c:v>35339</c:v>
                </c:pt>
                <c:pt idx="310">
                  <c:v>35370</c:v>
                </c:pt>
                <c:pt idx="311">
                  <c:v>35400</c:v>
                </c:pt>
                <c:pt idx="312">
                  <c:v>35431</c:v>
                </c:pt>
                <c:pt idx="313">
                  <c:v>35462</c:v>
                </c:pt>
                <c:pt idx="314">
                  <c:v>35490</c:v>
                </c:pt>
                <c:pt idx="315">
                  <c:v>35521</c:v>
                </c:pt>
                <c:pt idx="316">
                  <c:v>35551</c:v>
                </c:pt>
                <c:pt idx="317">
                  <c:v>35582</c:v>
                </c:pt>
                <c:pt idx="318">
                  <c:v>35612</c:v>
                </c:pt>
                <c:pt idx="319">
                  <c:v>35643</c:v>
                </c:pt>
                <c:pt idx="320">
                  <c:v>35674</c:v>
                </c:pt>
                <c:pt idx="321">
                  <c:v>35704</c:v>
                </c:pt>
                <c:pt idx="322">
                  <c:v>35735</c:v>
                </c:pt>
                <c:pt idx="323">
                  <c:v>35765</c:v>
                </c:pt>
                <c:pt idx="324">
                  <c:v>35796</c:v>
                </c:pt>
                <c:pt idx="325">
                  <c:v>35827</c:v>
                </c:pt>
                <c:pt idx="326">
                  <c:v>35855</c:v>
                </c:pt>
                <c:pt idx="327">
                  <c:v>35886</c:v>
                </c:pt>
                <c:pt idx="328">
                  <c:v>35916</c:v>
                </c:pt>
                <c:pt idx="329">
                  <c:v>35947</c:v>
                </c:pt>
                <c:pt idx="330">
                  <c:v>35977</c:v>
                </c:pt>
                <c:pt idx="331">
                  <c:v>36008</c:v>
                </c:pt>
                <c:pt idx="332">
                  <c:v>36039</c:v>
                </c:pt>
                <c:pt idx="333">
                  <c:v>36069</c:v>
                </c:pt>
                <c:pt idx="334">
                  <c:v>36100</c:v>
                </c:pt>
                <c:pt idx="335">
                  <c:v>36130</c:v>
                </c:pt>
                <c:pt idx="336">
                  <c:v>36161</c:v>
                </c:pt>
                <c:pt idx="337">
                  <c:v>36192</c:v>
                </c:pt>
                <c:pt idx="338">
                  <c:v>36220</c:v>
                </c:pt>
                <c:pt idx="339">
                  <c:v>36251</c:v>
                </c:pt>
                <c:pt idx="340">
                  <c:v>36281</c:v>
                </c:pt>
                <c:pt idx="341">
                  <c:v>36312</c:v>
                </c:pt>
                <c:pt idx="342">
                  <c:v>36342</c:v>
                </c:pt>
                <c:pt idx="343">
                  <c:v>36373</c:v>
                </c:pt>
                <c:pt idx="344">
                  <c:v>36404</c:v>
                </c:pt>
                <c:pt idx="345">
                  <c:v>36434</c:v>
                </c:pt>
                <c:pt idx="346">
                  <c:v>36465</c:v>
                </c:pt>
                <c:pt idx="347">
                  <c:v>36495</c:v>
                </c:pt>
                <c:pt idx="348">
                  <c:v>36526</c:v>
                </c:pt>
                <c:pt idx="349">
                  <c:v>36557</c:v>
                </c:pt>
                <c:pt idx="350">
                  <c:v>36586</c:v>
                </c:pt>
                <c:pt idx="351">
                  <c:v>36617</c:v>
                </c:pt>
                <c:pt idx="352">
                  <c:v>36647</c:v>
                </c:pt>
                <c:pt idx="353">
                  <c:v>36678</c:v>
                </c:pt>
                <c:pt idx="354">
                  <c:v>36708</c:v>
                </c:pt>
                <c:pt idx="355">
                  <c:v>36739</c:v>
                </c:pt>
                <c:pt idx="356">
                  <c:v>36770</c:v>
                </c:pt>
                <c:pt idx="357">
                  <c:v>36800</c:v>
                </c:pt>
                <c:pt idx="358">
                  <c:v>36831</c:v>
                </c:pt>
                <c:pt idx="359">
                  <c:v>36861</c:v>
                </c:pt>
                <c:pt idx="360">
                  <c:v>36892</c:v>
                </c:pt>
                <c:pt idx="361">
                  <c:v>36923</c:v>
                </c:pt>
                <c:pt idx="362">
                  <c:v>36951</c:v>
                </c:pt>
                <c:pt idx="363">
                  <c:v>36982</c:v>
                </c:pt>
                <c:pt idx="364">
                  <c:v>37012</c:v>
                </c:pt>
                <c:pt idx="365">
                  <c:v>37043</c:v>
                </c:pt>
                <c:pt idx="366">
                  <c:v>37073</c:v>
                </c:pt>
                <c:pt idx="367">
                  <c:v>37104</c:v>
                </c:pt>
                <c:pt idx="368">
                  <c:v>37135</c:v>
                </c:pt>
                <c:pt idx="369">
                  <c:v>37165</c:v>
                </c:pt>
                <c:pt idx="370">
                  <c:v>37196</c:v>
                </c:pt>
                <c:pt idx="371">
                  <c:v>37226</c:v>
                </c:pt>
                <c:pt idx="372">
                  <c:v>37257</c:v>
                </c:pt>
                <c:pt idx="373">
                  <c:v>37288</c:v>
                </c:pt>
                <c:pt idx="374">
                  <c:v>37316</c:v>
                </c:pt>
                <c:pt idx="375">
                  <c:v>37347</c:v>
                </c:pt>
                <c:pt idx="376">
                  <c:v>37377</c:v>
                </c:pt>
                <c:pt idx="377">
                  <c:v>37408</c:v>
                </c:pt>
                <c:pt idx="378">
                  <c:v>37438</c:v>
                </c:pt>
                <c:pt idx="379">
                  <c:v>37469</c:v>
                </c:pt>
                <c:pt idx="380">
                  <c:v>37500</c:v>
                </c:pt>
                <c:pt idx="381">
                  <c:v>37530</c:v>
                </c:pt>
                <c:pt idx="382">
                  <c:v>37561</c:v>
                </c:pt>
                <c:pt idx="383">
                  <c:v>37591</c:v>
                </c:pt>
                <c:pt idx="384">
                  <c:v>37622</c:v>
                </c:pt>
                <c:pt idx="385">
                  <c:v>37653</c:v>
                </c:pt>
                <c:pt idx="386">
                  <c:v>37681</c:v>
                </c:pt>
                <c:pt idx="387">
                  <c:v>37712</c:v>
                </c:pt>
                <c:pt idx="388">
                  <c:v>37742</c:v>
                </c:pt>
                <c:pt idx="389">
                  <c:v>37773</c:v>
                </c:pt>
                <c:pt idx="390">
                  <c:v>37803</c:v>
                </c:pt>
                <c:pt idx="391">
                  <c:v>37834</c:v>
                </c:pt>
                <c:pt idx="392">
                  <c:v>37865</c:v>
                </c:pt>
                <c:pt idx="393">
                  <c:v>37895</c:v>
                </c:pt>
                <c:pt idx="394">
                  <c:v>37926</c:v>
                </c:pt>
                <c:pt idx="395">
                  <c:v>37956</c:v>
                </c:pt>
                <c:pt idx="396">
                  <c:v>37987</c:v>
                </c:pt>
                <c:pt idx="397">
                  <c:v>38018</c:v>
                </c:pt>
                <c:pt idx="398">
                  <c:v>38047</c:v>
                </c:pt>
                <c:pt idx="399">
                  <c:v>38078</c:v>
                </c:pt>
                <c:pt idx="400">
                  <c:v>38108</c:v>
                </c:pt>
                <c:pt idx="401">
                  <c:v>38139</c:v>
                </c:pt>
                <c:pt idx="402">
                  <c:v>38169</c:v>
                </c:pt>
                <c:pt idx="403">
                  <c:v>38200</c:v>
                </c:pt>
                <c:pt idx="404">
                  <c:v>38231</c:v>
                </c:pt>
                <c:pt idx="405">
                  <c:v>38261</c:v>
                </c:pt>
                <c:pt idx="406">
                  <c:v>38292</c:v>
                </c:pt>
                <c:pt idx="407">
                  <c:v>38322</c:v>
                </c:pt>
                <c:pt idx="408">
                  <c:v>38353</c:v>
                </c:pt>
                <c:pt idx="409">
                  <c:v>38384</c:v>
                </c:pt>
                <c:pt idx="410">
                  <c:v>38412</c:v>
                </c:pt>
                <c:pt idx="411">
                  <c:v>38443</c:v>
                </c:pt>
                <c:pt idx="412">
                  <c:v>38473</c:v>
                </c:pt>
                <c:pt idx="413">
                  <c:v>38504</c:v>
                </c:pt>
                <c:pt idx="414">
                  <c:v>38534</c:v>
                </c:pt>
                <c:pt idx="415">
                  <c:v>38565</c:v>
                </c:pt>
                <c:pt idx="416">
                  <c:v>38596</c:v>
                </c:pt>
                <c:pt idx="417">
                  <c:v>38626</c:v>
                </c:pt>
                <c:pt idx="418">
                  <c:v>38657</c:v>
                </c:pt>
                <c:pt idx="419">
                  <c:v>38687</c:v>
                </c:pt>
                <c:pt idx="420">
                  <c:v>38718</c:v>
                </c:pt>
                <c:pt idx="421">
                  <c:v>38749</c:v>
                </c:pt>
                <c:pt idx="422">
                  <c:v>38777</c:v>
                </c:pt>
                <c:pt idx="423">
                  <c:v>38808</c:v>
                </c:pt>
                <c:pt idx="424">
                  <c:v>38838</c:v>
                </c:pt>
                <c:pt idx="425">
                  <c:v>38869</c:v>
                </c:pt>
                <c:pt idx="426">
                  <c:v>38899</c:v>
                </c:pt>
                <c:pt idx="427">
                  <c:v>38930</c:v>
                </c:pt>
                <c:pt idx="428">
                  <c:v>38961</c:v>
                </c:pt>
                <c:pt idx="429">
                  <c:v>38991</c:v>
                </c:pt>
                <c:pt idx="430">
                  <c:v>39022</c:v>
                </c:pt>
                <c:pt idx="431">
                  <c:v>39052</c:v>
                </c:pt>
                <c:pt idx="432">
                  <c:v>39083</c:v>
                </c:pt>
                <c:pt idx="433">
                  <c:v>39114</c:v>
                </c:pt>
                <c:pt idx="434">
                  <c:v>39142</c:v>
                </c:pt>
                <c:pt idx="435">
                  <c:v>39173</c:v>
                </c:pt>
                <c:pt idx="436">
                  <c:v>39203</c:v>
                </c:pt>
                <c:pt idx="437">
                  <c:v>39234</c:v>
                </c:pt>
                <c:pt idx="438">
                  <c:v>39264</c:v>
                </c:pt>
                <c:pt idx="439">
                  <c:v>39295</c:v>
                </c:pt>
                <c:pt idx="440">
                  <c:v>39326</c:v>
                </c:pt>
                <c:pt idx="441">
                  <c:v>39356</c:v>
                </c:pt>
                <c:pt idx="442">
                  <c:v>39387</c:v>
                </c:pt>
                <c:pt idx="443">
                  <c:v>39417</c:v>
                </c:pt>
                <c:pt idx="444">
                  <c:v>39448</c:v>
                </c:pt>
                <c:pt idx="445">
                  <c:v>39479</c:v>
                </c:pt>
                <c:pt idx="446">
                  <c:v>39508</c:v>
                </c:pt>
                <c:pt idx="447">
                  <c:v>39539</c:v>
                </c:pt>
                <c:pt idx="448">
                  <c:v>39569</c:v>
                </c:pt>
                <c:pt idx="449">
                  <c:v>39600</c:v>
                </c:pt>
                <c:pt idx="450">
                  <c:v>39630</c:v>
                </c:pt>
                <c:pt idx="451">
                  <c:v>39661</c:v>
                </c:pt>
                <c:pt idx="452">
                  <c:v>39692</c:v>
                </c:pt>
                <c:pt idx="453">
                  <c:v>39722</c:v>
                </c:pt>
                <c:pt idx="454">
                  <c:v>39753</c:v>
                </c:pt>
                <c:pt idx="455">
                  <c:v>39783</c:v>
                </c:pt>
                <c:pt idx="456">
                  <c:v>39814</c:v>
                </c:pt>
                <c:pt idx="457">
                  <c:v>39845</c:v>
                </c:pt>
                <c:pt idx="458">
                  <c:v>39873</c:v>
                </c:pt>
                <c:pt idx="459">
                  <c:v>39904</c:v>
                </c:pt>
                <c:pt idx="460">
                  <c:v>39934</c:v>
                </c:pt>
                <c:pt idx="461">
                  <c:v>39965</c:v>
                </c:pt>
                <c:pt idx="462">
                  <c:v>39995</c:v>
                </c:pt>
                <c:pt idx="463">
                  <c:v>40026</c:v>
                </c:pt>
                <c:pt idx="464">
                  <c:v>40057</c:v>
                </c:pt>
                <c:pt idx="465">
                  <c:v>40087</c:v>
                </c:pt>
                <c:pt idx="466">
                  <c:v>40118</c:v>
                </c:pt>
                <c:pt idx="467">
                  <c:v>40148</c:v>
                </c:pt>
                <c:pt idx="468">
                  <c:v>40179</c:v>
                </c:pt>
                <c:pt idx="469">
                  <c:v>40210</c:v>
                </c:pt>
                <c:pt idx="470">
                  <c:v>40238</c:v>
                </c:pt>
                <c:pt idx="471">
                  <c:v>40269</c:v>
                </c:pt>
                <c:pt idx="472">
                  <c:v>40299</c:v>
                </c:pt>
                <c:pt idx="473">
                  <c:v>40330</c:v>
                </c:pt>
                <c:pt idx="474">
                  <c:v>40360</c:v>
                </c:pt>
                <c:pt idx="475">
                  <c:v>40391</c:v>
                </c:pt>
                <c:pt idx="476">
                  <c:v>40422</c:v>
                </c:pt>
                <c:pt idx="477">
                  <c:v>40452</c:v>
                </c:pt>
                <c:pt idx="478">
                  <c:v>40483</c:v>
                </c:pt>
                <c:pt idx="479">
                  <c:v>40513</c:v>
                </c:pt>
                <c:pt idx="480">
                  <c:v>40544</c:v>
                </c:pt>
                <c:pt idx="481">
                  <c:v>40575</c:v>
                </c:pt>
                <c:pt idx="482">
                  <c:v>40603</c:v>
                </c:pt>
                <c:pt idx="483">
                  <c:v>40634</c:v>
                </c:pt>
                <c:pt idx="484">
                  <c:v>40664</c:v>
                </c:pt>
                <c:pt idx="485">
                  <c:v>40695</c:v>
                </c:pt>
                <c:pt idx="486">
                  <c:v>40725</c:v>
                </c:pt>
                <c:pt idx="487">
                  <c:v>40756</c:v>
                </c:pt>
                <c:pt idx="488">
                  <c:v>40787</c:v>
                </c:pt>
                <c:pt idx="489">
                  <c:v>40817</c:v>
                </c:pt>
                <c:pt idx="490">
                  <c:v>40848</c:v>
                </c:pt>
                <c:pt idx="491">
                  <c:v>40878</c:v>
                </c:pt>
                <c:pt idx="492">
                  <c:v>40909</c:v>
                </c:pt>
                <c:pt idx="493">
                  <c:v>40940</c:v>
                </c:pt>
                <c:pt idx="494">
                  <c:v>40969</c:v>
                </c:pt>
                <c:pt idx="495">
                  <c:v>41000</c:v>
                </c:pt>
                <c:pt idx="496">
                  <c:v>41030</c:v>
                </c:pt>
                <c:pt idx="497">
                  <c:v>41061</c:v>
                </c:pt>
                <c:pt idx="498">
                  <c:v>41091</c:v>
                </c:pt>
                <c:pt idx="499">
                  <c:v>41122</c:v>
                </c:pt>
                <c:pt idx="500">
                  <c:v>41153</c:v>
                </c:pt>
                <c:pt idx="501">
                  <c:v>41183</c:v>
                </c:pt>
                <c:pt idx="502">
                  <c:v>41214</c:v>
                </c:pt>
                <c:pt idx="503">
                  <c:v>41244</c:v>
                </c:pt>
                <c:pt idx="504">
                  <c:v>41275</c:v>
                </c:pt>
                <c:pt idx="505">
                  <c:v>41306</c:v>
                </c:pt>
                <c:pt idx="506">
                  <c:v>41334</c:v>
                </c:pt>
                <c:pt idx="507">
                  <c:v>41365</c:v>
                </c:pt>
                <c:pt idx="508">
                  <c:v>41395</c:v>
                </c:pt>
                <c:pt idx="509">
                  <c:v>41426</c:v>
                </c:pt>
                <c:pt idx="510">
                  <c:v>41456</c:v>
                </c:pt>
                <c:pt idx="511">
                  <c:v>41487</c:v>
                </c:pt>
                <c:pt idx="512">
                  <c:v>41518</c:v>
                </c:pt>
                <c:pt idx="513">
                  <c:v>41548</c:v>
                </c:pt>
                <c:pt idx="514">
                  <c:v>41579</c:v>
                </c:pt>
                <c:pt idx="515">
                  <c:v>41609</c:v>
                </c:pt>
                <c:pt idx="516">
                  <c:v>41640</c:v>
                </c:pt>
                <c:pt idx="517">
                  <c:v>41671</c:v>
                </c:pt>
                <c:pt idx="518">
                  <c:v>41699</c:v>
                </c:pt>
                <c:pt idx="519">
                  <c:v>41730</c:v>
                </c:pt>
                <c:pt idx="520">
                  <c:v>41760</c:v>
                </c:pt>
                <c:pt idx="521">
                  <c:v>41791</c:v>
                </c:pt>
                <c:pt idx="522">
                  <c:v>41821</c:v>
                </c:pt>
                <c:pt idx="523">
                  <c:v>41852</c:v>
                </c:pt>
                <c:pt idx="524">
                  <c:v>41883</c:v>
                </c:pt>
                <c:pt idx="525">
                  <c:v>41913</c:v>
                </c:pt>
                <c:pt idx="526">
                  <c:v>41944</c:v>
                </c:pt>
                <c:pt idx="527">
                  <c:v>41974</c:v>
                </c:pt>
                <c:pt idx="528">
                  <c:v>42005</c:v>
                </c:pt>
                <c:pt idx="529">
                  <c:v>42036</c:v>
                </c:pt>
                <c:pt idx="530">
                  <c:v>42064</c:v>
                </c:pt>
                <c:pt idx="531">
                  <c:v>42095</c:v>
                </c:pt>
                <c:pt idx="532">
                  <c:v>42125</c:v>
                </c:pt>
                <c:pt idx="533">
                  <c:v>42156</c:v>
                </c:pt>
                <c:pt idx="534">
                  <c:v>42186</c:v>
                </c:pt>
                <c:pt idx="535">
                  <c:v>42217</c:v>
                </c:pt>
                <c:pt idx="536">
                  <c:v>42248</c:v>
                </c:pt>
                <c:pt idx="537">
                  <c:v>42278</c:v>
                </c:pt>
                <c:pt idx="538">
                  <c:v>42309</c:v>
                </c:pt>
                <c:pt idx="539">
                  <c:v>42339</c:v>
                </c:pt>
                <c:pt idx="540">
                  <c:v>42370</c:v>
                </c:pt>
                <c:pt idx="541">
                  <c:v>42401</c:v>
                </c:pt>
                <c:pt idx="542">
                  <c:v>42430</c:v>
                </c:pt>
                <c:pt idx="543">
                  <c:v>42461</c:v>
                </c:pt>
                <c:pt idx="544">
                  <c:v>42491</c:v>
                </c:pt>
                <c:pt idx="545">
                  <c:v>42522</c:v>
                </c:pt>
                <c:pt idx="546">
                  <c:v>42552</c:v>
                </c:pt>
                <c:pt idx="547">
                  <c:v>42583</c:v>
                </c:pt>
                <c:pt idx="548">
                  <c:v>42614</c:v>
                </c:pt>
                <c:pt idx="549">
                  <c:v>42644</c:v>
                </c:pt>
                <c:pt idx="550">
                  <c:v>42675</c:v>
                </c:pt>
                <c:pt idx="551">
                  <c:v>42705</c:v>
                </c:pt>
                <c:pt idx="552">
                  <c:v>42736</c:v>
                </c:pt>
                <c:pt idx="553">
                  <c:v>42767</c:v>
                </c:pt>
                <c:pt idx="554">
                  <c:v>42795</c:v>
                </c:pt>
                <c:pt idx="555">
                  <c:v>42826</c:v>
                </c:pt>
                <c:pt idx="556">
                  <c:v>42856</c:v>
                </c:pt>
                <c:pt idx="557">
                  <c:v>42887</c:v>
                </c:pt>
                <c:pt idx="558">
                  <c:v>42917</c:v>
                </c:pt>
                <c:pt idx="559">
                  <c:v>42948</c:v>
                </c:pt>
                <c:pt idx="560">
                  <c:v>42979</c:v>
                </c:pt>
                <c:pt idx="561">
                  <c:v>43009</c:v>
                </c:pt>
                <c:pt idx="562">
                  <c:v>43040</c:v>
                </c:pt>
                <c:pt idx="563">
                  <c:v>43070</c:v>
                </c:pt>
                <c:pt idx="564">
                  <c:v>43101</c:v>
                </c:pt>
                <c:pt idx="565">
                  <c:v>43132</c:v>
                </c:pt>
                <c:pt idx="566">
                  <c:v>43160</c:v>
                </c:pt>
                <c:pt idx="567">
                  <c:v>43191</c:v>
                </c:pt>
                <c:pt idx="568">
                  <c:v>43221</c:v>
                </c:pt>
                <c:pt idx="569">
                  <c:v>43252</c:v>
                </c:pt>
                <c:pt idx="570">
                  <c:v>43282</c:v>
                </c:pt>
                <c:pt idx="571">
                  <c:v>43313</c:v>
                </c:pt>
                <c:pt idx="572">
                  <c:v>43344</c:v>
                </c:pt>
                <c:pt idx="573">
                  <c:v>43374</c:v>
                </c:pt>
                <c:pt idx="574">
                  <c:v>43405</c:v>
                </c:pt>
                <c:pt idx="575">
                  <c:v>43435</c:v>
                </c:pt>
                <c:pt idx="576">
                  <c:v>43466</c:v>
                </c:pt>
                <c:pt idx="577">
                  <c:v>43497</c:v>
                </c:pt>
                <c:pt idx="578">
                  <c:v>43525</c:v>
                </c:pt>
                <c:pt idx="579">
                  <c:v>43556</c:v>
                </c:pt>
                <c:pt idx="580">
                  <c:v>43586</c:v>
                </c:pt>
                <c:pt idx="581">
                  <c:v>43617</c:v>
                </c:pt>
                <c:pt idx="582">
                  <c:v>43647</c:v>
                </c:pt>
                <c:pt idx="583">
                  <c:v>43678</c:v>
                </c:pt>
                <c:pt idx="584">
                  <c:v>43709</c:v>
                </c:pt>
                <c:pt idx="585">
                  <c:v>43739</c:v>
                </c:pt>
                <c:pt idx="586">
                  <c:v>43770</c:v>
                </c:pt>
                <c:pt idx="587">
                  <c:v>43800</c:v>
                </c:pt>
                <c:pt idx="588">
                  <c:v>43831</c:v>
                </c:pt>
                <c:pt idx="589">
                  <c:v>43862</c:v>
                </c:pt>
                <c:pt idx="590">
                  <c:v>43891</c:v>
                </c:pt>
                <c:pt idx="591">
                  <c:v>43922</c:v>
                </c:pt>
                <c:pt idx="592">
                  <c:v>43952</c:v>
                </c:pt>
                <c:pt idx="593">
                  <c:v>43983</c:v>
                </c:pt>
                <c:pt idx="594">
                  <c:v>44013</c:v>
                </c:pt>
                <c:pt idx="595">
                  <c:v>44044</c:v>
                </c:pt>
                <c:pt idx="596">
                  <c:v>44075</c:v>
                </c:pt>
                <c:pt idx="597">
                  <c:v>44105</c:v>
                </c:pt>
                <c:pt idx="598">
                  <c:v>44136</c:v>
                </c:pt>
                <c:pt idx="599">
                  <c:v>44166</c:v>
                </c:pt>
                <c:pt idx="600">
                  <c:v>44197</c:v>
                </c:pt>
                <c:pt idx="601">
                  <c:v>44228</c:v>
                </c:pt>
                <c:pt idx="602">
                  <c:v>44256</c:v>
                </c:pt>
                <c:pt idx="603">
                  <c:v>44287</c:v>
                </c:pt>
                <c:pt idx="604">
                  <c:v>44317</c:v>
                </c:pt>
                <c:pt idx="605">
                  <c:v>44348</c:v>
                </c:pt>
                <c:pt idx="606">
                  <c:v>44378</c:v>
                </c:pt>
                <c:pt idx="607">
                  <c:v>44409</c:v>
                </c:pt>
                <c:pt idx="608">
                  <c:v>44440</c:v>
                </c:pt>
                <c:pt idx="609">
                  <c:v>44470</c:v>
                </c:pt>
                <c:pt idx="610">
                  <c:v>44501</c:v>
                </c:pt>
                <c:pt idx="611">
                  <c:v>44531</c:v>
                </c:pt>
              </c:numCache>
            </c:numRef>
          </c:cat>
          <c:val>
            <c:numRef>
              <c:f>CPI!$D$293:$D$923</c:f>
              <c:numCache>
                <c:formatCode>0.00%</c:formatCode>
                <c:ptCount val="631"/>
                <c:pt idx="0">
                  <c:v>5.2770448548812667E-2</c:v>
                </c:pt>
                <c:pt idx="1">
                  <c:v>4.7244094488188899E-2</c:v>
                </c:pt>
                <c:pt idx="2">
                  <c:v>4.4386422976501382E-2</c:v>
                </c:pt>
                <c:pt idx="3">
                  <c:v>4.1558441558441593E-2</c:v>
                </c:pt>
                <c:pt idx="4">
                  <c:v>4.4041450777201958E-2</c:v>
                </c:pt>
                <c:pt idx="5">
                  <c:v>4.3814432989690795E-2</c:v>
                </c:pt>
                <c:pt idx="6">
                  <c:v>4.370179948586126E-2</c:v>
                </c:pt>
                <c:pt idx="7">
                  <c:v>4.3589743589743664E-2</c:v>
                </c:pt>
                <c:pt idx="8">
                  <c:v>4.0816326530612096E-2</c:v>
                </c:pt>
                <c:pt idx="9">
                  <c:v>3.8071065989847719E-2</c:v>
                </c:pt>
                <c:pt idx="10">
                  <c:v>3.5353535353535318E-2</c:v>
                </c:pt>
                <c:pt idx="11">
                  <c:v>3.266331658291468E-2</c:v>
                </c:pt>
                <c:pt idx="12">
                  <c:v>3.2581453634085322E-2</c:v>
                </c:pt>
                <c:pt idx="13">
                  <c:v>3.7593984962406013E-2</c:v>
                </c:pt>
                <c:pt idx="14">
                  <c:v>3.4999999999999962E-2</c:v>
                </c:pt>
                <c:pt idx="15">
                  <c:v>3.4912718204488741E-2</c:v>
                </c:pt>
                <c:pt idx="16">
                  <c:v>3.2258064516129142E-2</c:v>
                </c:pt>
                <c:pt idx="17">
                  <c:v>2.96296296296297E-2</c:v>
                </c:pt>
                <c:pt idx="18">
                  <c:v>2.9556650246305313E-2</c:v>
                </c:pt>
                <c:pt idx="19">
                  <c:v>2.9484029484029377E-2</c:v>
                </c:pt>
                <c:pt idx="20">
                  <c:v>3.1862745098039325E-2</c:v>
                </c:pt>
                <c:pt idx="21">
                  <c:v>3.1784841075794726E-2</c:v>
                </c:pt>
                <c:pt idx="22">
                  <c:v>3.4146341463414602E-2</c:v>
                </c:pt>
                <c:pt idx="23">
                  <c:v>3.4063260340632569E-2</c:v>
                </c:pt>
                <c:pt idx="24">
                  <c:v>3.640776699029126E-2</c:v>
                </c:pt>
                <c:pt idx="25">
                  <c:v>3.8647342995169115E-2</c:v>
                </c:pt>
                <c:pt idx="26">
                  <c:v>4.8309178743961352E-2</c:v>
                </c:pt>
                <c:pt idx="27">
                  <c:v>5.3012048192771152E-2</c:v>
                </c:pt>
                <c:pt idx="28">
                  <c:v>5.5288461538461467E-2</c:v>
                </c:pt>
                <c:pt idx="29">
                  <c:v>5.9952038369304551E-2</c:v>
                </c:pt>
                <c:pt idx="30">
                  <c:v>5.7416267942583872E-2</c:v>
                </c:pt>
                <c:pt idx="31">
                  <c:v>7.3985680190930825E-2</c:v>
                </c:pt>
                <c:pt idx="32">
                  <c:v>7.3634204275534479E-2</c:v>
                </c:pt>
                <c:pt idx="33">
                  <c:v>8.0568720379146877E-2</c:v>
                </c:pt>
                <c:pt idx="34">
                  <c:v>8.2547169811320764E-2</c:v>
                </c:pt>
                <c:pt idx="35">
                  <c:v>8.9411764705882288E-2</c:v>
                </c:pt>
                <c:pt idx="36">
                  <c:v>9.6018735362997515E-2</c:v>
                </c:pt>
                <c:pt idx="37">
                  <c:v>9.9999999999999936E-2</c:v>
                </c:pt>
                <c:pt idx="38">
                  <c:v>0.10138248847926265</c:v>
                </c:pt>
                <c:pt idx="39">
                  <c:v>0.10068649885583521</c:v>
                </c:pt>
                <c:pt idx="40">
                  <c:v>0.10706150341685657</c:v>
                </c:pt>
                <c:pt idx="41">
                  <c:v>0.10859728506787324</c:v>
                </c:pt>
                <c:pt idx="42">
                  <c:v>0.11538461538461525</c:v>
                </c:pt>
                <c:pt idx="43">
                  <c:v>0.10888888888888885</c:v>
                </c:pt>
                <c:pt idx="44">
                  <c:v>0.11946902654867253</c:v>
                </c:pt>
                <c:pt idx="45">
                  <c:v>0.11842105263157891</c:v>
                </c:pt>
                <c:pt idx="46">
                  <c:v>0.12200435729847497</c:v>
                </c:pt>
                <c:pt idx="47">
                  <c:v>0.12095032397408211</c:v>
                </c:pt>
                <c:pt idx="48">
                  <c:v>0.11752136752136753</c:v>
                </c:pt>
                <c:pt idx="49">
                  <c:v>0.11205073995771681</c:v>
                </c:pt>
                <c:pt idx="50">
                  <c:v>0.10460251046025106</c:v>
                </c:pt>
                <c:pt idx="51">
                  <c:v>0.10187110187110184</c:v>
                </c:pt>
                <c:pt idx="52">
                  <c:v>9.2592592592592587E-2</c:v>
                </c:pt>
                <c:pt idx="53">
                  <c:v>9.1836734693877556E-2</c:v>
                </c:pt>
                <c:pt idx="54">
                  <c:v>9.533468559837735E-2</c:v>
                </c:pt>
                <c:pt idx="55">
                  <c:v>8.6172344689378844E-2</c:v>
                </c:pt>
                <c:pt idx="56">
                  <c:v>7.9051383399209488E-2</c:v>
                </c:pt>
                <c:pt idx="57">
                  <c:v>7.6470588235294096E-2</c:v>
                </c:pt>
                <c:pt idx="58">
                  <c:v>7.3786407766990234E-2</c:v>
                </c:pt>
                <c:pt idx="59">
                  <c:v>7.1290944123314118E-2</c:v>
                </c:pt>
                <c:pt idx="60">
                  <c:v>6.6921606118546847E-2</c:v>
                </c:pt>
                <c:pt idx="61">
                  <c:v>6.273764258555127E-2</c:v>
                </c:pt>
                <c:pt idx="62">
                  <c:v>6.0606060606060663E-2</c:v>
                </c:pt>
                <c:pt idx="63">
                  <c:v>5.8490566037735878E-2</c:v>
                </c:pt>
                <c:pt idx="64">
                  <c:v>6.2146892655367179E-2</c:v>
                </c:pt>
                <c:pt idx="65">
                  <c:v>5.9813084112149584E-2</c:v>
                </c:pt>
                <c:pt idx="66">
                  <c:v>5.5555555555555552E-2</c:v>
                </c:pt>
                <c:pt idx="67">
                  <c:v>5.7195571955719449E-2</c:v>
                </c:pt>
                <c:pt idx="68">
                  <c:v>5.4945054945054944E-2</c:v>
                </c:pt>
                <c:pt idx="69">
                  <c:v>5.4644808743169397E-2</c:v>
                </c:pt>
                <c:pt idx="70">
                  <c:v>5.0632911392405146E-2</c:v>
                </c:pt>
                <c:pt idx="71">
                  <c:v>5.0359712230215778E-2</c:v>
                </c:pt>
                <c:pt idx="72">
                  <c:v>5.1971326164874654E-2</c:v>
                </c:pt>
                <c:pt idx="73">
                  <c:v>6.0822898032200333E-2</c:v>
                </c:pt>
                <c:pt idx="74">
                  <c:v>6.4285714285714307E-2</c:v>
                </c:pt>
                <c:pt idx="75">
                  <c:v>6.9518716577540079E-2</c:v>
                </c:pt>
                <c:pt idx="76">
                  <c:v>6.7375886524822778E-2</c:v>
                </c:pt>
                <c:pt idx="77">
                  <c:v>6.7019400352733627E-2</c:v>
                </c:pt>
                <c:pt idx="78">
                  <c:v>6.666666666666661E-2</c:v>
                </c:pt>
                <c:pt idx="79">
                  <c:v>6.6317626527050685E-2</c:v>
                </c:pt>
                <c:pt idx="80">
                  <c:v>6.4236111111111036E-2</c:v>
                </c:pt>
                <c:pt idx="81">
                  <c:v>6.3903281519861882E-2</c:v>
                </c:pt>
                <c:pt idx="82">
                  <c:v>6.7125645438898429E-2</c:v>
                </c:pt>
                <c:pt idx="83">
                  <c:v>6.6780821917808195E-2</c:v>
                </c:pt>
                <c:pt idx="84">
                  <c:v>6.8143100511073251E-2</c:v>
                </c:pt>
                <c:pt idx="85">
                  <c:v>6.239460370994946E-2</c:v>
                </c:pt>
                <c:pt idx="86">
                  <c:v>6.3758389261744916E-2</c:v>
                </c:pt>
                <c:pt idx="87">
                  <c:v>6.4999999999999974E-2</c:v>
                </c:pt>
                <c:pt idx="88">
                  <c:v>7.1428571428571383E-2</c:v>
                </c:pt>
                <c:pt idx="89">
                  <c:v>7.43801652892562E-2</c:v>
                </c:pt>
                <c:pt idx="90">
                  <c:v>7.7302631578947414E-2</c:v>
                </c:pt>
                <c:pt idx="91">
                  <c:v>7.8559738134206289E-2</c:v>
                </c:pt>
                <c:pt idx="92">
                  <c:v>8.4828711256117503E-2</c:v>
                </c:pt>
                <c:pt idx="93">
                  <c:v>8.9285714285714163E-2</c:v>
                </c:pt>
                <c:pt idx="94">
                  <c:v>8.8709677419354843E-2</c:v>
                </c:pt>
                <c:pt idx="95">
                  <c:v>8.9887640449438339E-2</c:v>
                </c:pt>
                <c:pt idx="96">
                  <c:v>9.2503987240829297E-2</c:v>
                </c:pt>
                <c:pt idx="97">
                  <c:v>9.8412698412698452E-2</c:v>
                </c:pt>
                <c:pt idx="98">
                  <c:v>0.1025236593059938</c:v>
                </c:pt>
                <c:pt idx="99">
                  <c:v>0.10485133020344281</c:v>
                </c:pt>
                <c:pt idx="100">
                  <c:v>0.10697674418604659</c:v>
                </c:pt>
                <c:pt idx="101">
                  <c:v>0.11076923076923081</c:v>
                </c:pt>
                <c:pt idx="102">
                  <c:v>0.11450381679389313</c:v>
                </c:pt>
                <c:pt idx="103">
                  <c:v>0.11836115326251892</c:v>
                </c:pt>
                <c:pt idx="104">
                  <c:v>0.1187969924812031</c:v>
                </c:pt>
                <c:pt idx="105">
                  <c:v>0.12071535022354708</c:v>
                </c:pt>
                <c:pt idx="106">
                  <c:v>0.12592592592592591</c:v>
                </c:pt>
                <c:pt idx="107">
                  <c:v>0.13254786450662739</c:v>
                </c:pt>
                <c:pt idx="108">
                  <c:v>0.13868613138686131</c:v>
                </c:pt>
                <c:pt idx="109">
                  <c:v>0.14161849710982655</c:v>
                </c:pt>
                <c:pt idx="110">
                  <c:v>0.14592274678111569</c:v>
                </c:pt>
                <c:pt idx="111">
                  <c:v>0.1458923512747877</c:v>
                </c:pt>
                <c:pt idx="112">
                  <c:v>0.14425770308123245</c:v>
                </c:pt>
                <c:pt idx="113">
                  <c:v>0.14265927977839329</c:v>
                </c:pt>
                <c:pt idx="114">
                  <c:v>0.13150684931506842</c:v>
                </c:pt>
                <c:pt idx="115">
                  <c:v>0.12890094979647218</c:v>
                </c:pt>
                <c:pt idx="116">
                  <c:v>0.12768817204301075</c:v>
                </c:pt>
                <c:pt idx="117">
                  <c:v>0.12632978723404256</c:v>
                </c:pt>
                <c:pt idx="118">
                  <c:v>0.12631578947368413</c:v>
                </c:pt>
                <c:pt idx="119">
                  <c:v>0.1235370611183355</c:v>
                </c:pt>
                <c:pt idx="120">
                  <c:v>0.11794871794871799</c:v>
                </c:pt>
                <c:pt idx="121">
                  <c:v>0.11392405063291139</c:v>
                </c:pt>
                <c:pt idx="122">
                  <c:v>0.10611735330836455</c:v>
                </c:pt>
                <c:pt idx="123">
                  <c:v>0.10135970333745351</c:v>
                </c:pt>
                <c:pt idx="124">
                  <c:v>9.7919216646266821E-2</c:v>
                </c:pt>
                <c:pt idx="125">
                  <c:v>9.696969696969697E-2</c:v>
                </c:pt>
                <c:pt idx="126">
                  <c:v>0.10774818401937053</c:v>
                </c:pt>
                <c:pt idx="127">
                  <c:v>0.10817307692307691</c:v>
                </c:pt>
                <c:pt idx="128">
                  <c:v>0.10965435041716315</c:v>
                </c:pt>
                <c:pt idx="129">
                  <c:v>0.10271546635183001</c:v>
                </c:pt>
                <c:pt idx="130">
                  <c:v>9.5794392523364524E-2</c:v>
                </c:pt>
                <c:pt idx="131">
                  <c:v>8.9120370370370239E-2</c:v>
                </c:pt>
                <c:pt idx="132">
                  <c:v>8.2568807339449574E-2</c:v>
                </c:pt>
                <c:pt idx="133">
                  <c:v>7.6136363636363669E-2</c:v>
                </c:pt>
                <c:pt idx="134">
                  <c:v>6.8848758465011387E-2</c:v>
                </c:pt>
                <c:pt idx="135">
                  <c:v>6.6217732884399624E-2</c:v>
                </c:pt>
                <c:pt idx="136">
                  <c:v>6.9119286510590891E-2</c:v>
                </c:pt>
                <c:pt idx="137">
                  <c:v>7.18232044198895E-2</c:v>
                </c:pt>
                <c:pt idx="138">
                  <c:v>6.5573770491803282E-2</c:v>
                </c:pt>
                <c:pt idx="139">
                  <c:v>5.9652928416485895E-2</c:v>
                </c:pt>
                <c:pt idx="140">
                  <c:v>4.9409237379162287E-2</c:v>
                </c:pt>
                <c:pt idx="141">
                  <c:v>5.0321199143468824E-2</c:v>
                </c:pt>
                <c:pt idx="142">
                  <c:v>4.4776119402985107E-2</c:v>
                </c:pt>
                <c:pt idx="143">
                  <c:v>3.8257173219978839E-2</c:v>
                </c:pt>
                <c:pt idx="144">
                  <c:v>3.7076271186440676E-2</c:v>
                </c:pt>
                <c:pt idx="145">
                  <c:v>3.4846884899683177E-2</c:v>
                </c:pt>
                <c:pt idx="146">
                  <c:v>3.5902851108764428E-2</c:v>
                </c:pt>
                <c:pt idx="147">
                  <c:v>3.9999999999999973E-2</c:v>
                </c:pt>
                <c:pt idx="148">
                  <c:v>3.4410844629822697E-2</c:v>
                </c:pt>
                <c:pt idx="149">
                  <c:v>2.4742268041237171E-2</c:v>
                </c:pt>
                <c:pt idx="150">
                  <c:v>2.3589743589743559E-2</c:v>
                </c:pt>
                <c:pt idx="151">
                  <c:v>2.4564994882292645E-2</c:v>
                </c:pt>
                <c:pt idx="152">
                  <c:v>2.7635619242579353E-2</c:v>
                </c:pt>
                <c:pt idx="153">
                  <c:v>2.7522935779816543E-2</c:v>
                </c:pt>
                <c:pt idx="154">
                  <c:v>3.1632653061224432E-2</c:v>
                </c:pt>
                <c:pt idx="155">
                  <c:v>3.7871033776867992E-2</c:v>
                </c:pt>
                <c:pt idx="156">
                  <c:v>4.2900919305413572E-2</c:v>
                </c:pt>
                <c:pt idx="157">
                  <c:v>4.6938775510204027E-2</c:v>
                </c:pt>
                <c:pt idx="158">
                  <c:v>4.8929663608562809E-2</c:v>
                </c:pt>
                <c:pt idx="159">
                  <c:v>4.5546558704453441E-2</c:v>
                </c:pt>
                <c:pt idx="160">
                  <c:v>4.3346774193548356E-2</c:v>
                </c:pt>
                <c:pt idx="161">
                  <c:v>4.3259557344064357E-2</c:v>
                </c:pt>
                <c:pt idx="162">
                  <c:v>4.3086172344689352E-2</c:v>
                </c:pt>
                <c:pt idx="163">
                  <c:v>4.2957042957043071E-2</c:v>
                </c:pt>
                <c:pt idx="164">
                  <c:v>4.2828685258964112E-2</c:v>
                </c:pt>
                <c:pt idx="165">
                  <c:v>4.2658730158730132E-2</c:v>
                </c:pt>
                <c:pt idx="166">
                  <c:v>4.1543026706231487E-2</c:v>
                </c:pt>
                <c:pt idx="167">
                  <c:v>4.0433925049309608E-2</c:v>
                </c:pt>
                <c:pt idx="168">
                  <c:v>3.5259549461312524E-2</c:v>
                </c:pt>
                <c:pt idx="169">
                  <c:v>3.6062378167641358E-2</c:v>
                </c:pt>
                <c:pt idx="170">
                  <c:v>3.7900874635568425E-2</c:v>
                </c:pt>
                <c:pt idx="171">
                  <c:v>3.5818005808325296E-2</c:v>
                </c:pt>
                <c:pt idx="172">
                  <c:v>3.5748792270531425E-2</c:v>
                </c:pt>
                <c:pt idx="173">
                  <c:v>3.6644165863066507E-2</c:v>
                </c:pt>
                <c:pt idx="174">
                  <c:v>3.4582132564841585E-2</c:v>
                </c:pt>
                <c:pt idx="175">
                  <c:v>3.3524904214559385E-2</c:v>
                </c:pt>
                <c:pt idx="176">
                  <c:v>3.2473734479465055E-2</c:v>
                </c:pt>
                <c:pt idx="177">
                  <c:v>3.2350142721217945E-2</c:v>
                </c:pt>
                <c:pt idx="178">
                  <c:v>3.5137701804368496E-2</c:v>
                </c:pt>
                <c:pt idx="179">
                  <c:v>3.7914691943127965E-2</c:v>
                </c:pt>
                <c:pt idx="180">
                  <c:v>3.9735099337748367E-2</c:v>
                </c:pt>
                <c:pt idx="181">
                  <c:v>3.1984948259642577E-2</c:v>
                </c:pt>
                <c:pt idx="182">
                  <c:v>2.1535580524344542E-2</c:v>
                </c:pt>
                <c:pt idx="183">
                  <c:v>1.5887850467289747E-2</c:v>
                </c:pt>
                <c:pt idx="184">
                  <c:v>1.6791044776119375E-2</c:v>
                </c:pt>
                <c:pt idx="185">
                  <c:v>1.7674418604651215E-2</c:v>
                </c:pt>
                <c:pt idx="186">
                  <c:v>1.6713091922005544E-2</c:v>
                </c:pt>
                <c:pt idx="187">
                  <c:v>1.5755329008340951E-2</c:v>
                </c:pt>
                <c:pt idx="188">
                  <c:v>1.7576318223866842E-2</c:v>
                </c:pt>
                <c:pt idx="189">
                  <c:v>1.5668202764976984E-2</c:v>
                </c:pt>
                <c:pt idx="190">
                  <c:v>1.2844036697247759E-2</c:v>
                </c:pt>
                <c:pt idx="191">
                  <c:v>1.1872146118721436E-2</c:v>
                </c:pt>
                <c:pt idx="192">
                  <c:v>1.364877161055505E-2</c:v>
                </c:pt>
                <c:pt idx="193">
                  <c:v>1.9143117593436593E-2</c:v>
                </c:pt>
                <c:pt idx="194">
                  <c:v>2.8414298808432711E-2</c:v>
                </c:pt>
                <c:pt idx="195">
                  <c:v>3.6798528058877643E-2</c:v>
                </c:pt>
                <c:pt idx="196">
                  <c:v>3.669724770642202E-2</c:v>
                </c:pt>
                <c:pt idx="197">
                  <c:v>3.7477148080438706E-2</c:v>
                </c:pt>
                <c:pt idx="198">
                  <c:v>3.9269406392694037E-2</c:v>
                </c:pt>
                <c:pt idx="199">
                  <c:v>4.2883211678832148E-2</c:v>
                </c:pt>
                <c:pt idx="200">
                  <c:v>4.2727272727272753E-2</c:v>
                </c:pt>
                <c:pt idx="201">
                  <c:v>4.3557168784029009E-2</c:v>
                </c:pt>
                <c:pt idx="202">
                  <c:v>4.5289855072463768E-2</c:v>
                </c:pt>
                <c:pt idx="203">
                  <c:v>4.3321299638989147E-2</c:v>
                </c:pt>
                <c:pt idx="204">
                  <c:v>4.1292639138240522E-2</c:v>
                </c:pt>
                <c:pt idx="205">
                  <c:v>3.9355992844364987E-2</c:v>
                </c:pt>
                <c:pt idx="206">
                  <c:v>3.8324420677361824E-2</c:v>
                </c:pt>
                <c:pt idx="207">
                  <c:v>3.9929015084294583E-2</c:v>
                </c:pt>
                <c:pt idx="208">
                  <c:v>3.9823008849557522E-2</c:v>
                </c:pt>
                <c:pt idx="209">
                  <c:v>3.9647577092511016E-2</c:v>
                </c:pt>
                <c:pt idx="210">
                  <c:v>4.1300527240773315E-2</c:v>
                </c:pt>
                <c:pt idx="211">
                  <c:v>4.1119860017497838E-2</c:v>
                </c:pt>
                <c:pt idx="212">
                  <c:v>4.1848299912816016E-2</c:v>
                </c:pt>
                <c:pt idx="213">
                  <c:v>4.2608695652173963E-2</c:v>
                </c:pt>
                <c:pt idx="214">
                  <c:v>4.2461005199306685E-2</c:v>
                </c:pt>
                <c:pt idx="215">
                  <c:v>4.4117647058823609E-2</c:v>
                </c:pt>
                <c:pt idx="216">
                  <c:v>4.4827586206896579E-2</c:v>
                </c:pt>
                <c:pt idx="217">
                  <c:v>4.6471600688468083E-2</c:v>
                </c:pt>
                <c:pt idx="218">
                  <c:v>4.8927038626609465E-2</c:v>
                </c:pt>
                <c:pt idx="219">
                  <c:v>5.0341296928327568E-2</c:v>
                </c:pt>
                <c:pt idx="220">
                  <c:v>5.2765957446808537E-2</c:v>
                </c:pt>
                <c:pt idx="221">
                  <c:v>5.1694915254237243E-2</c:v>
                </c:pt>
                <c:pt idx="222">
                  <c:v>5.0632911392405063E-2</c:v>
                </c:pt>
                <c:pt idx="223">
                  <c:v>4.6218487394957986E-2</c:v>
                </c:pt>
                <c:pt idx="224">
                  <c:v>4.4351464435146419E-2</c:v>
                </c:pt>
                <c:pt idx="225">
                  <c:v>4.5871559633027519E-2</c:v>
                </c:pt>
                <c:pt idx="226">
                  <c:v>4.6550290939318444E-2</c:v>
                </c:pt>
                <c:pt idx="227">
                  <c:v>4.6396023198011553E-2</c:v>
                </c:pt>
                <c:pt idx="228">
                  <c:v>5.1980198019801957E-2</c:v>
                </c:pt>
                <c:pt idx="229">
                  <c:v>5.2631578947368474E-2</c:v>
                </c:pt>
                <c:pt idx="230">
                  <c:v>5.2373158756137406E-2</c:v>
                </c:pt>
                <c:pt idx="231">
                  <c:v>4.7116165718927794E-2</c:v>
                </c:pt>
                <c:pt idx="232">
                  <c:v>4.3654001616814805E-2</c:v>
                </c:pt>
                <c:pt idx="233">
                  <c:v>4.6736502820306301E-2</c:v>
                </c:pt>
                <c:pt idx="234">
                  <c:v>4.8192771084337352E-2</c:v>
                </c:pt>
                <c:pt idx="235">
                  <c:v>5.7028112449799148E-2</c:v>
                </c:pt>
                <c:pt idx="236">
                  <c:v>6.1698717948717972E-2</c:v>
                </c:pt>
                <c:pt idx="237">
                  <c:v>6.3795853269537475E-2</c:v>
                </c:pt>
                <c:pt idx="238">
                  <c:v>6.1953931691818766E-2</c:v>
                </c:pt>
                <c:pt idx="239">
                  <c:v>6.2549485352335649E-2</c:v>
                </c:pt>
                <c:pt idx="240">
                  <c:v>5.6470588235294029E-2</c:v>
                </c:pt>
                <c:pt idx="241">
                  <c:v>5.3125000000000089E-2</c:v>
                </c:pt>
                <c:pt idx="242">
                  <c:v>4.8211508553654879E-2</c:v>
                </c:pt>
                <c:pt idx="243">
                  <c:v>4.8099301784328849E-2</c:v>
                </c:pt>
                <c:pt idx="244">
                  <c:v>5.0348567002323784E-2</c:v>
                </c:pt>
                <c:pt idx="245">
                  <c:v>4.6959199384141601E-2</c:v>
                </c:pt>
                <c:pt idx="246">
                  <c:v>4.3678160919540146E-2</c:v>
                </c:pt>
                <c:pt idx="247">
                  <c:v>3.7993920972644375E-2</c:v>
                </c:pt>
                <c:pt idx="248">
                  <c:v>3.3962264150943396E-2</c:v>
                </c:pt>
                <c:pt idx="249">
                  <c:v>2.8485757121439151E-2</c:v>
                </c:pt>
                <c:pt idx="250">
                  <c:v>3.0665669409125081E-2</c:v>
                </c:pt>
                <c:pt idx="251">
                  <c:v>2.9806259314456039E-2</c:v>
                </c:pt>
                <c:pt idx="252">
                  <c:v>2.6726057906458968E-2</c:v>
                </c:pt>
                <c:pt idx="253">
                  <c:v>2.8189910979228357E-2</c:v>
                </c:pt>
                <c:pt idx="254">
                  <c:v>3.189910979228474E-2</c:v>
                </c:pt>
                <c:pt idx="255">
                  <c:v>3.1828275351591502E-2</c:v>
                </c:pt>
                <c:pt idx="256">
                  <c:v>3.0235988200589928E-2</c:v>
                </c:pt>
                <c:pt idx="257">
                  <c:v>3.0147058823529371E-2</c:v>
                </c:pt>
                <c:pt idx="258">
                  <c:v>3.1571218795888485E-2</c:v>
                </c:pt>
                <c:pt idx="259">
                  <c:v>3.0746705710102615E-2</c:v>
                </c:pt>
                <c:pt idx="260">
                  <c:v>2.9927007299270031E-2</c:v>
                </c:pt>
                <c:pt idx="261">
                  <c:v>3.2798833819241986E-2</c:v>
                </c:pt>
                <c:pt idx="262">
                  <c:v>3.1204644412191455E-2</c:v>
                </c:pt>
                <c:pt idx="263">
                  <c:v>2.9667149059334465E-2</c:v>
                </c:pt>
                <c:pt idx="264">
                  <c:v>3.2537960954446853E-2</c:v>
                </c:pt>
                <c:pt idx="265">
                  <c:v>3.2467532467532471E-2</c:v>
                </c:pt>
                <c:pt idx="266">
                  <c:v>3.0194104960460225E-2</c:v>
                </c:pt>
                <c:pt idx="267">
                  <c:v>3.1563845050215249E-2</c:v>
                </c:pt>
                <c:pt idx="268">
                  <c:v>3.2211882605583393E-2</c:v>
                </c:pt>
                <c:pt idx="269">
                  <c:v>2.9978586723768859E-2</c:v>
                </c:pt>
                <c:pt idx="270">
                  <c:v>2.8469750889679714E-2</c:v>
                </c:pt>
                <c:pt idx="271">
                  <c:v>2.8409090909090908E-2</c:v>
                </c:pt>
                <c:pt idx="272">
                  <c:v>2.7639971651311167E-2</c:v>
                </c:pt>
                <c:pt idx="273">
                  <c:v>2.7522935779816557E-2</c:v>
                </c:pt>
                <c:pt idx="274">
                  <c:v>2.7445460942997931E-2</c:v>
                </c:pt>
                <c:pt idx="275">
                  <c:v>2.8109627547434995E-2</c:v>
                </c:pt>
                <c:pt idx="276">
                  <c:v>2.4509803921568627E-2</c:v>
                </c:pt>
                <c:pt idx="277">
                  <c:v>2.5157232704402475E-2</c:v>
                </c:pt>
                <c:pt idx="278">
                  <c:v>2.6517794836008253E-2</c:v>
                </c:pt>
                <c:pt idx="279">
                  <c:v>2.3643949930458812E-2</c:v>
                </c:pt>
                <c:pt idx="280">
                  <c:v>2.2884882108183159E-2</c:v>
                </c:pt>
                <c:pt idx="281">
                  <c:v>2.4948024948024908E-2</c:v>
                </c:pt>
                <c:pt idx="282">
                  <c:v>2.6989619377162669E-2</c:v>
                </c:pt>
                <c:pt idx="283">
                  <c:v>2.9005524861878372E-2</c:v>
                </c:pt>
                <c:pt idx="284">
                  <c:v>2.9655172413793181E-2</c:v>
                </c:pt>
                <c:pt idx="285">
                  <c:v>2.609890109890118E-2</c:v>
                </c:pt>
                <c:pt idx="286">
                  <c:v>2.602739726027405E-2</c:v>
                </c:pt>
                <c:pt idx="287">
                  <c:v>2.5974025974025854E-2</c:v>
                </c:pt>
                <c:pt idx="288">
                  <c:v>2.8708133971291787E-2</c:v>
                </c:pt>
                <c:pt idx="289">
                  <c:v>2.8629856850715864E-2</c:v>
                </c:pt>
                <c:pt idx="290">
                  <c:v>2.7872195785180111E-2</c:v>
                </c:pt>
                <c:pt idx="291">
                  <c:v>3.125000000000016E-2</c:v>
                </c:pt>
                <c:pt idx="292">
                  <c:v>3.1186440677966065E-2</c:v>
                </c:pt>
                <c:pt idx="293">
                  <c:v>3.0425963488843813E-2</c:v>
                </c:pt>
                <c:pt idx="294">
                  <c:v>2.8301886792452751E-2</c:v>
                </c:pt>
                <c:pt idx="295">
                  <c:v>2.6174496644295341E-2</c:v>
                </c:pt>
                <c:pt idx="296">
                  <c:v>2.5452109845947639E-2</c:v>
                </c:pt>
                <c:pt idx="297">
                  <c:v>2.7443105756358728E-2</c:v>
                </c:pt>
                <c:pt idx="298">
                  <c:v>2.6034712950600648E-2</c:v>
                </c:pt>
                <c:pt idx="299">
                  <c:v>2.5316455696202608E-2</c:v>
                </c:pt>
                <c:pt idx="300">
                  <c:v>2.790697674418597E-2</c:v>
                </c:pt>
                <c:pt idx="301">
                  <c:v>2.7170311464546019E-2</c:v>
                </c:pt>
                <c:pt idx="302">
                  <c:v>2.8439153439153517E-2</c:v>
                </c:pt>
                <c:pt idx="303">
                  <c:v>2.832674571804995E-2</c:v>
                </c:pt>
                <c:pt idx="304">
                  <c:v>2.8270874424720656E-2</c:v>
                </c:pt>
                <c:pt idx="305">
                  <c:v>2.8215223097112749E-2</c:v>
                </c:pt>
                <c:pt idx="306">
                  <c:v>2.8833551769331625E-2</c:v>
                </c:pt>
                <c:pt idx="307">
                  <c:v>2.8122956180510025E-2</c:v>
                </c:pt>
                <c:pt idx="308">
                  <c:v>3.0045721750489841E-2</c:v>
                </c:pt>
                <c:pt idx="309">
                  <c:v>3.0618892508143248E-2</c:v>
                </c:pt>
                <c:pt idx="310">
                  <c:v>3.2530904359141188E-2</c:v>
                </c:pt>
                <c:pt idx="311">
                  <c:v>3.3788174139051254E-2</c:v>
                </c:pt>
                <c:pt idx="312">
                  <c:v>3.0381383322559907E-2</c:v>
                </c:pt>
                <c:pt idx="313">
                  <c:v>3.0322580645161218E-2</c:v>
                </c:pt>
                <c:pt idx="314">
                  <c:v>2.7652733118971134E-2</c:v>
                </c:pt>
                <c:pt idx="315">
                  <c:v>2.4343369634849531E-2</c:v>
                </c:pt>
                <c:pt idx="316">
                  <c:v>2.2378516624040921E-2</c:v>
                </c:pt>
                <c:pt idx="317">
                  <c:v>2.2335673261008299E-2</c:v>
                </c:pt>
                <c:pt idx="318">
                  <c:v>2.165605095541405E-2</c:v>
                </c:pt>
                <c:pt idx="319">
                  <c:v>2.2900763358778772E-2</c:v>
                </c:pt>
                <c:pt idx="320">
                  <c:v>2.2194039315155359E-2</c:v>
                </c:pt>
                <c:pt idx="321">
                  <c:v>2.0859671302149253E-2</c:v>
                </c:pt>
                <c:pt idx="322">
                  <c:v>1.890359168241966E-2</c:v>
                </c:pt>
                <c:pt idx="323">
                  <c:v>1.6970458830924056E-2</c:v>
                </c:pt>
                <c:pt idx="324">
                  <c:v>1.6311166875784155E-2</c:v>
                </c:pt>
                <c:pt idx="325">
                  <c:v>1.4402003757044531E-2</c:v>
                </c:pt>
                <c:pt idx="326">
                  <c:v>1.3767209011264008E-2</c:v>
                </c:pt>
                <c:pt idx="327">
                  <c:v>1.4383989993745985E-2</c:v>
                </c:pt>
                <c:pt idx="328">
                  <c:v>1.6885553470919253E-2</c:v>
                </c:pt>
                <c:pt idx="329">
                  <c:v>1.6229712858926486E-2</c:v>
                </c:pt>
                <c:pt idx="330">
                  <c:v>1.7456359102244284E-2</c:v>
                </c:pt>
                <c:pt idx="331">
                  <c:v>1.6169154228855686E-2</c:v>
                </c:pt>
                <c:pt idx="332">
                  <c:v>1.426799007444176E-2</c:v>
                </c:pt>
                <c:pt idx="333">
                  <c:v>1.4860681114551119E-2</c:v>
                </c:pt>
                <c:pt idx="334">
                  <c:v>1.4842300556586308E-2</c:v>
                </c:pt>
                <c:pt idx="335">
                  <c:v>1.6069221260815787E-2</c:v>
                </c:pt>
                <c:pt idx="336">
                  <c:v>1.6666666666666597E-2</c:v>
                </c:pt>
                <c:pt idx="337">
                  <c:v>1.6666666666666597E-2</c:v>
                </c:pt>
                <c:pt idx="338">
                  <c:v>1.7283950617284022E-2</c:v>
                </c:pt>
                <c:pt idx="339">
                  <c:v>2.2811344019728837E-2</c:v>
                </c:pt>
                <c:pt idx="340">
                  <c:v>2.0910209102091057E-2</c:v>
                </c:pt>
                <c:pt idx="341">
                  <c:v>1.9656019656019586E-2</c:v>
                </c:pt>
                <c:pt idx="342">
                  <c:v>2.1446078431372549E-2</c:v>
                </c:pt>
                <c:pt idx="343">
                  <c:v>2.2643818849449136E-2</c:v>
                </c:pt>
                <c:pt idx="344">
                  <c:v>2.6299694189602516E-2</c:v>
                </c:pt>
                <c:pt idx="345">
                  <c:v>2.5625381330079248E-2</c:v>
                </c:pt>
                <c:pt idx="346">
                  <c:v>2.6203534430225543E-2</c:v>
                </c:pt>
                <c:pt idx="347">
                  <c:v>2.6763990267639936E-2</c:v>
                </c:pt>
                <c:pt idx="348">
                  <c:v>2.792956891317561E-2</c:v>
                </c:pt>
                <c:pt idx="349">
                  <c:v>3.2179720704310938E-2</c:v>
                </c:pt>
                <c:pt idx="350">
                  <c:v>3.7621359223300899E-2</c:v>
                </c:pt>
                <c:pt idx="351">
                  <c:v>3.013863773357444E-2</c:v>
                </c:pt>
                <c:pt idx="352">
                  <c:v>3.132530120481921E-2</c:v>
                </c:pt>
                <c:pt idx="353">
                  <c:v>3.7349397590361377E-2</c:v>
                </c:pt>
                <c:pt idx="354">
                  <c:v>3.5992801439712063E-2</c:v>
                </c:pt>
                <c:pt idx="355">
                  <c:v>3.3512866546977826E-2</c:v>
                </c:pt>
                <c:pt idx="356">
                  <c:v>3.4564958283670934E-2</c:v>
                </c:pt>
                <c:pt idx="357">
                  <c:v>3.4503271861986984E-2</c:v>
                </c:pt>
                <c:pt idx="358">
                  <c:v>3.4441805225653106E-2</c:v>
                </c:pt>
                <c:pt idx="359">
                  <c:v>3.4360189573459612E-2</c:v>
                </c:pt>
                <c:pt idx="360">
                  <c:v>3.7212049616066049E-2</c:v>
                </c:pt>
                <c:pt idx="361">
                  <c:v>3.5294117647058823E-2</c:v>
                </c:pt>
                <c:pt idx="362">
                  <c:v>2.982456140350874E-2</c:v>
                </c:pt>
                <c:pt idx="363">
                  <c:v>3.2182562902282039E-2</c:v>
                </c:pt>
                <c:pt idx="364">
                  <c:v>3.5630841121495463E-2</c:v>
                </c:pt>
                <c:pt idx="365">
                  <c:v>3.1939605110336819E-2</c:v>
                </c:pt>
                <c:pt idx="366">
                  <c:v>2.7214823393167442E-2</c:v>
                </c:pt>
                <c:pt idx="367">
                  <c:v>2.7214823393167442E-2</c:v>
                </c:pt>
                <c:pt idx="368">
                  <c:v>2.5921658986175117E-2</c:v>
                </c:pt>
                <c:pt idx="369">
                  <c:v>2.1276595744680785E-2</c:v>
                </c:pt>
                <c:pt idx="370">
                  <c:v>1.8943742824339905E-2</c:v>
                </c:pt>
                <c:pt idx="371">
                  <c:v>1.6036655211913008E-2</c:v>
                </c:pt>
                <c:pt idx="372">
                  <c:v>1.1958997722095639E-2</c:v>
                </c:pt>
                <c:pt idx="373">
                  <c:v>1.1363636363636364E-2</c:v>
                </c:pt>
                <c:pt idx="374">
                  <c:v>1.3628620102214684E-2</c:v>
                </c:pt>
                <c:pt idx="375">
                  <c:v>1.6439909297052187E-2</c:v>
                </c:pt>
                <c:pt idx="376">
                  <c:v>1.240834743372808E-2</c:v>
                </c:pt>
                <c:pt idx="377">
                  <c:v>1.0692177827799696E-2</c:v>
                </c:pt>
                <c:pt idx="378">
                  <c:v>1.4656144306651603E-2</c:v>
                </c:pt>
                <c:pt idx="379">
                  <c:v>1.74746335963923E-2</c:v>
                </c:pt>
                <c:pt idx="380">
                  <c:v>1.5160022459292629E-2</c:v>
                </c:pt>
                <c:pt idx="381">
                  <c:v>2.027027027027024E-2</c:v>
                </c:pt>
                <c:pt idx="382">
                  <c:v>2.2535211267605635E-2</c:v>
                </c:pt>
                <c:pt idx="383">
                  <c:v>2.4802705749718181E-2</c:v>
                </c:pt>
                <c:pt idx="384">
                  <c:v>2.7574563871693901E-2</c:v>
                </c:pt>
                <c:pt idx="385">
                  <c:v>3.1460674157303338E-2</c:v>
                </c:pt>
                <c:pt idx="386">
                  <c:v>3.0252100840336166E-2</c:v>
                </c:pt>
                <c:pt idx="387">
                  <c:v>2.1751254880089107E-2</c:v>
                </c:pt>
                <c:pt idx="388">
                  <c:v>1.8941504178273012E-2</c:v>
                </c:pt>
                <c:pt idx="389">
                  <c:v>1.9487750556792874E-2</c:v>
                </c:pt>
                <c:pt idx="390">
                  <c:v>2.0555555555555494E-2</c:v>
                </c:pt>
                <c:pt idx="391">
                  <c:v>2.2160664819944598E-2</c:v>
                </c:pt>
                <c:pt idx="392">
                  <c:v>2.378318584070787E-2</c:v>
                </c:pt>
                <c:pt idx="393">
                  <c:v>2.0419426048565215E-2</c:v>
                </c:pt>
                <c:pt idx="394">
                  <c:v>1.928374655647383E-2</c:v>
                </c:pt>
                <c:pt idx="395">
                  <c:v>2.0352035203520288E-2</c:v>
                </c:pt>
                <c:pt idx="396">
                  <c:v>2.0262869660460116E-2</c:v>
                </c:pt>
                <c:pt idx="397">
                  <c:v>1.6884531590413913E-2</c:v>
                </c:pt>
                <c:pt idx="398">
                  <c:v>1.7400761283306081E-2</c:v>
                </c:pt>
                <c:pt idx="399">
                  <c:v>2.2925764192139833E-2</c:v>
                </c:pt>
                <c:pt idx="400">
                  <c:v>2.8977583378895479E-2</c:v>
                </c:pt>
                <c:pt idx="401">
                  <c:v>3.1676679410158448E-2</c:v>
                </c:pt>
                <c:pt idx="402">
                  <c:v>2.9395753946652184E-2</c:v>
                </c:pt>
                <c:pt idx="403">
                  <c:v>2.5474254742547362E-2</c:v>
                </c:pt>
                <c:pt idx="404">
                  <c:v>2.5391680172879617E-2</c:v>
                </c:pt>
                <c:pt idx="405">
                  <c:v>3.190914007571663E-2</c:v>
                </c:pt>
                <c:pt idx="406">
                  <c:v>3.6216216216216152E-2</c:v>
                </c:pt>
                <c:pt idx="407">
                  <c:v>3.3423180592991854E-2</c:v>
                </c:pt>
                <c:pt idx="408">
                  <c:v>2.8448738593666038E-2</c:v>
                </c:pt>
                <c:pt idx="409">
                  <c:v>3.0530262453133464E-2</c:v>
                </c:pt>
                <c:pt idx="410">
                  <c:v>3.2068412613575632E-2</c:v>
                </c:pt>
                <c:pt idx="411">
                  <c:v>3.3617929562433209E-2</c:v>
                </c:pt>
                <c:pt idx="412">
                  <c:v>2.8692879914984093E-2</c:v>
                </c:pt>
                <c:pt idx="413">
                  <c:v>2.5410269984118491E-2</c:v>
                </c:pt>
                <c:pt idx="414">
                  <c:v>3.0671602326811272E-2</c:v>
                </c:pt>
                <c:pt idx="415">
                  <c:v>3.6469344608879524E-2</c:v>
                </c:pt>
                <c:pt idx="416">
                  <c:v>4.7418335089567963E-2</c:v>
                </c:pt>
                <c:pt idx="417">
                  <c:v>4.3501048218029255E-2</c:v>
                </c:pt>
                <c:pt idx="418">
                  <c:v>3.3385498174230602E-2</c:v>
                </c:pt>
                <c:pt idx="419">
                  <c:v>3.3385498174230602E-2</c:v>
                </c:pt>
                <c:pt idx="420">
                  <c:v>4.0187891440501132E-2</c:v>
                </c:pt>
                <c:pt idx="421">
                  <c:v>3.6382536382536385E-2</c:v>
                </c:pt>
                <c:pt idx="422">
                  <c:v>3.4179181771103025E-2</c:v>
                </c:pt>
                <c:pt idx="423">
                  <c:v>3.6138358286009295E-2</c:v>
                </c:pt>
                <c:pt idx="424">
                  <c:v>3.9772727272727362E-2</c:v>
                </c:pt>
                <c:pt idx="425">
                  <c:v>4.1817243159525161E-2</c:v>
                </c:pt>
                <c:pt idx="426">
                  <c:v>4.1046690610569522E-2</c:v>
                </c:pt>
                <c:pt idx="427">
                  <c:v>3.9265680775114824E-2</c:v>
                </c:pt>
                <c:pt idx="428">
                  <c:v>2.0120724346076459E-2</c:v>
                </c:pt>
                <c:pt idx="429">
                  <c:v>1.4063284781516883E-2</c:v>
                </c:pt>
                <c:pt idx="430">
                  <c:v>1.9687026754164592E-2</c:v>
                </c:pt>
                <c:pt idx="431">
                  <c:v>2.523977788995457E-2</c:v>
                </c:pt>
                <c:pt idx="432">
                  <c:v>2.0757651781234322E-2</c:v>
                </c:pt>
                <c:pt idx="433">
                  <c:v>2.4202607823470376E-2</c:v>
                </c:pt>
                <c:pt idx="434">
                  <c:v>2.7981972959439272E-2</c:v>
                </c:pt>
                <c:pt idx="435">
                  <c:v>2.5929247633283546E-2</c:v>
                </c:pt>
                <c:pt idx="436">
                  <c:v>2.70988574267262E-2</c:v>
                </c:pt>
                <c:pt idx="437">
                  <c:v>2.6927651139742305E-2</c:v>
                </c:pt>
                <c:pt idx="438">
                  <c:v>2.3178905864958122E-2</c:v>
                </c:pt>
                <c:pt idx="439">
                  <c:v>1.8974484789008782E-2</c:v>
                </c:pt>
                <c:pt idx="440">
                  <c:v>2.8338264299802688E-2</c:v>
                </c:pt>
                <c:pt idx="441">
                  <c:v>3.610698365527485E-2</c:v>
                </c:pt>
                <c:pt idx="442">
                  <c:v>4.3732673267326751E-2</c:v>
                </c:pt>
                <c:pt idx="443">
                  <c:v>4.1088133924175277E-2</c:v>
                </c:pt>
                <c:pt idx="444">
                  <c:v>4.2946956551659698E-2</c:v>
                </c:pt>
                <c:pt idx="445">
                  <c:v>4.1429592706119754E-2</c:v>
                </c:pt>
                <c:pt idx="446">
                  <c:v>3.9749035501344433E-2</c:v>
                </c:pt>
                <c:pt idx="447">
                  <c:v>3.903760975988816E-2</c:v>
                </c:pt>
                <c:pt idx="448">
                  <c:v>4.0884138231239889E-2</c:v>
                </c:pt>
                <c:pt idx="449">
                  <c:v>4.9359661059478581E-2</c:v>
                </c:pt>
                <c:pt idx="450">
                  <c:v>5.4975120783418263E-2</c:v>
                </c:pt>
                <c:pt idx="451">
                  <c:v>5.308017162091231E-2</c:v>
                </c:pt>
                <c:pt idx="452">
                  <c:v>4.9533198751360669E-2</c:v>
                </c:pt>
                <c:pt idx="453">
                  <c:v>3.7310578899565024E-2</c:v>
                </c:pt>
                <c:pt idx="454">
                  <c:v>1.0999174706166882E-2</c:v>
                </c:pt>
                <c:pt idx="455">
                  <c:v>-2.2228002553854217E-4</c:v>
                </c:pt>
                <c:pt idx="456">
                  <c:v>-1.1358601902212988E-3</c:v>
                </c:pt>
                <c:pt idx="457">
                  <c:v>8.4631406715035155E-5</c:v>
                </c:pt>
                <c:pt idx="458">
                  <c:v>-4.4647876766238286E-3</c:v>
                </c:pt>
                <c:pt idx="459">
                  <c:v>-5.7632442437670212E-3</c:v>
                </c:pt>
                <c:pt idx="460">
                  <c:v>-1.0157614958551759E-2</c:v>
                </c:pt>
                <c:pt idx="461">
                  <c:v>-1.229174618210915E-2</c:v>
                </c:pt>
                <c:pt idx="462">
                  <c:v>-1.9587610037622785E-2</c:v>
                </c:pt>
                <c:pt idx="463">
                  <c:v>-1.4838355663267661E-2</c:v>
                </c:pt>
                <c:pt idx="464">
                  <c:v>-1.3779428628864701E-2</c:v>
                </c:pt>
                <c:pt idx="465">
                  <c:v>-2.2396829420033566E-3</c:v>
                </c:pt>
                <c:pt idx="466">
                  <c:v>1.9145871744709282E-2</c:v>
                </c:pt>
                <c:pt idx="467">
                  <c:v>2.8141231232083615E-2</c:v>
                </c:pt>
                <c:pt idx="468">
                  <c:v>2.6211113889767081E-2</c:v>
                </c:pt>
                <c:pt idx="469">
                  <c:v>2.1513363578665255E-2</c:v>
                </c:pt>
                <c:pt idx="470">
                  <c:v>2.2861714393279862E-2</c:v>
                </c:pt>
                <c:pt idx="471">
                  <c:v>2.2067707525304469E-2</c:v>
                </c:pt>
                <c:pt idx="472">
                  <c:v>2.0035489292185786E-2</c:v>
                </c:pt>
                <c:pt idx="473">
                  <c:v>1.1215605940686347E-2</c:v>
                </c:pt>
                <c:pt idx="474">
                  <c:v>1.3407784804820985E-2</c:v>
                </c:pt>
                <c:pt idx="475">
                  <c:v>1.1501775395112481E-2</c:v>
                </c:pt>
                <c:pt idx="476">
                  <c:v>1.1183122472331806E-2</c:v>
                </c:pt>
                <c:pt idx="477">
                  <c:v>1.166695148931458E-2</c:v>
                </c:pt>
                <c:pt idx="478">
                  <c:v>1.0845447766003454E-2</c:v>
                </c:pt>
                <c:pt idx="479">
                  <c:v>1.4377930222179279E-2</c:v>
                </c:pt>
                <c:pt idx="480">
                  <c:v>1.700783491502985E-2</c:v>
                </c:pt>
                <c:pt idx="481">
                  <c:v>2.1248981733331448E-2</c:v>
                </c:pt>
                <c:pt idx="482">
                  <c:v>2.6192415103541169E-2</c:v>
                </c:pt>
                <c:pt idx="483">
                  <c:v>3.0772344447868697E-2</c:v>
                </c:pt>
                <c:pt idx="484">
                  <c:v>3.4589718808965067E-2</c:v>
                </c:pt>
                <c:pt idx="485">
                  <c:v>3.5023181506360523E-2</c:v>
                </c:pt>
                <c:pt idx="486">
                  <c:v>3.5798809769996193E-2</c:v>
                </c:pt>
                <c:pt idx="487">
                  <c:v>3.754996030708091E-2</c:v>
                </c:pt>
                <c:pt idx="488">
                  <c:v>3.8126216928186935E-2</c:v>
                </c:pt>
                <c:pt idx="489">
                  <c:v>3.522268130664051E-2</c:v>
                </c:pt>
                <c:pt idx="490">
                  <c:v>3.451432214581724E-2</c:v>
                </c:pt>
                <c:pt idx="491">
                  <c:v>3.062066838419393E-2</c:v>
                </c:pt>
                <c:pt idx="492">
                  <c:v>3.0087663379855058E-2</c:v>
                </c:pt>
                <c:pt idx="493">
                  <c:v>2.8981784423473902E-2</c:v>
                </c:pt>
                <c:pt idx="494">
                  <c:v>2.5828752813321001E-2</c:v>
                </c:pt>
                <c:pt idx="495">
                  <c:v>2.273163374134856E-2</c:v>
                </c:pt>
                <c:pt idx="496">
                  <c:v>1.7379429374660738E-2</c:v>
                </c:pt>
                <c:pt idx="497">
                  <c:v>1.6538704482976386E-2</c:v>
                </c:pt>
                <c:pt idx="498">
                  <c:v>1.4175114798464887E-2</c:v>
                </c:pt>
                <c:pt idx="499">
                  <c:v>1.6859349154821242E-2</c:v>
                </c:pt>
                <c:pt idx="500">
                  <c:v>1.9497168982819623E-2</c:v>
                </c:pt>
                <c:pt idx="501">
                  <c:v>2.1556780595369373E-2</c:v>
                </c:pt>
                <c:pt idx="502">
                  <c:v>1.7960197033926213E-2</c:v>
                </c:pt>
                <c:pt idx="503">
                  <c:v>1.7595049796895516E-2</c:v>
                </c:pt>
                <c:pt idx="504">
                  <c:v>1.6840617620982913E-2</c:v>
                </c:pt>
                <c:pt idx="505">
                  <c:v>2.018140490257481E-2</c:v>
                </c:pt>
                <c:pt idx="506">
                  <c:v>1.518747241124626E-2</c:v>
                </c:pt>
                <c:pt idx="507">
                  <c:v>1.1388080475768631E-2</c:v>
                </c:pt>
                <c:pt idx="508">
                  <c:v>1.3903888279197103E-2</c:v>
                </c:pt>
                <c:pt idx="509">
                  <c:v>1.7157935271568815E-2</c:v>
                </c:pt>
                <c:pt idx="510">
                  <c:v>1.8854718054158108E-2</c:v>
                </c:pt>
                <c:pt idx="511">
                  <c:v>1.5388094886002759E-2</c:v>
                </c:pt>
                <c:pt idx="512">
                  <c:v>1.0947341081748047E-2</c:v>
                </c:pt>
                <c:pt idx="513">
                  <c:v>8.7679914349113961E-3</c:v>
                </c:pt>
                <c:pt idx="514">
                  <c:v>1.2328701961954427E-2</c:v>
                </c:pt>
                <c:pt idx="515">
                  <c:v>1.5128383667573405E-2</c:v>
                </c:pt>
                <c:pt idx="516">
                  <c:v>1.5577587955749157E-2</c:v>
                </c:pt>
                <c:pt idx="517">
                  <c:v>1.1204746347724857E-2</c:v>
                </c:pt>
                <c:pt idx="518">
                  <c:v>1.6126949139408049E-2</c:v>
                </c:pt>
                <c:pt idx="519">
                  <c:v>2.0151253036061693E-2</c:v>
                </c:pt>
                <c:pt idx="520">
                  <c:v>2.1669476870798194E-2</c:v>
                </c:pt>
                <c:pt idx="521">
                  <c:v>2.0589816945944209E-2</c:v>
                </c:pt>
                <c:pt idx="522">
                  <c:v>1.9742378703306074E-2</c:v>
                </c:pt>
                <c:pt idx="523">
                  <c:v>1.7150983482969034E-2</c:v>
                </c:pt>
                <c:pt idx="524">
                  <c:v>1.6840509711232111E-2</c:v>
                </c:pt>
                <c:pt idx="525">
                  <c:v>1.609541702151332E-2</c:v>
                </c:pt>
                <c:pt idx="526">
                  <c:v>1.2315249893208072E-2</c:v>
                </c:pt>
                <c:pt idx="527">
                  <c:v>6.5312139196231044E-3</c:v>
                </c:pt>
                <c:pt idx="528">
                  <c:v>-2.29930978205432E-3</c:v>
                </c:pt>
                <c:pt idx="529">
                  <c:v>-8.7031462935203627E-4</c:v>
                </c:pt>
                <c:pt idx="530">
                  <c:v>-2.2031284423878735E-4</c:v>
                </c:pt>
                <c:pt idx="531">
                  <c:v>-1.040309893939057E-3</c:v>
                </c:pt>
                <c:pt idx="532">
                  <c:v>3.5033218244286379E-4</c:v>
                </c:pt>
                <c:pt idx="533">
                  <c:v>1.7957180975505568E-3</c:v>
                </c:pt>
                <c:pt idx="534">
                  <c:v>2.2568611104093568E-3</c:v>
                </c:pt>
                <c:pt idx="535">
                  <c:v>2.4130379853448121E-3</c:v>
                </c:pt>
                <c:pt idx="536">
                  <c:v>8.8429616341736603E-5</c:v>
                </c:pt>
                <c:pt idx="537">
                  <c:v>1.2761656067051227E-3</c:v>
                </c:pt>
                <c:pt idx="538">
                  <c:v>4.3631821691850967E-3</c:v>
                </c:pt>
                <c:pt idx="539">
                  <c:v>6.3872475153648901E-3</c:v>
                </c:pt>
                <c:pt idx="540">
                  <c:v>1.2375025026943784E-2</c:v>
                </c:pt>
                <c:pt idx="541">
                  <c:v>8.4727757901267072E-3</c:v>
                </c:pt>
                <c:pt idx="542">
                  <c:v>8.9161609655219742E-3</c:v>
                </c:pt>
                <c:pt idx="543">
                  <c:v>1.1726257503534733E-2</c:v>
                </c:pt>
                <c:pt idx="544">
                  <c:v>1.0784764621246253E-2</c:v>
                </c:pt>
                <c:pt idx="545">
                  <c:v>1.0792865347959445E-2</c:v>
                </c:pt>
                <c:pt idx="546">
                  <c:v>8.6836334305183602E-3</c:v>
                </c:pt>
                <c:pt idx="547">
                  <c:v>1.0553158595656907E-2</c:v>
                </c:pt>
                <c:pt idx="548">
                  <c:v>1.5486446201652213E-2</c:v>
                </c:pt>
                <c:pt idx="549">
                  <c:v>1.685924966243647E-2</c:v>
                </c:pt>
                <c:pt idx="550">
                  <c:v>1.6843334719788983E-2</c:v>
                </c:pt>
                <c:pt idx="551">
                  <c:v>2.0507989115119824E-2</c:v>
                </c:pt>
                <c:pt idx="552">
                  <c:v>2.5112349149176181E-2</c:v>
                </c:pt>
                <c:pt idx="553">
                  <c:v>2.7539016415545896E-2</c:v>
                </c:pt>
                <c:pt idx="554">
                  <c:v>2.3882728494623563E-2</c:v>
                </c:pt>
                <c:pt idx="555">
                  <c:v>2.2101158197763988E-2</c:v>
                </c:pt>
                <c:pt idx="556">
                  <c:v>1.8834765838610438E-2</c:v>
                </c:pt>
                <c:pt idx="557">
                  <c:v>1.6634612982990654E-2</c:v>
                </c:pt>
                <c:pt idx="558">
                  <c:v>1.7405175322051977E-2</c:v>
                </c:pt>
                <c:pt idx="559">
                  <c:v>1.9372674551539317E-2</c:v>
                </c:pt>
                <c:pt idx="560">
                  <c:v>2.2286628851958735E-2</c:v>
                </c:pt>
                <c:pt idx="561">
                  <c:v>2.0335813949640302E-2</c:v>
                </c:pt>
                <c:pt idx="562">
                  <c:v>2.2113326667382742E-2</c:v>
                </c:pt>
                <c:pt idx="563">
                  <c:v>2.1014931770504869E-2</c:v>
                </c:pt>
                <c:pt idx="564">
                  <c:v>2.0938346605369012E-2</c:v>
                </c:pt>
                <c:pt idx="565">
                  <c:v>2.225757774570265E-2</c:v>
                </c:pt>
                <c:pt idx="566">
                  <c:v>2.3592297531238995E-2</c:v>
                </c:pt>
                <c:pt idx="567">
                  <c:v>2.4566675127111377E-2</c:v>
                </c:pt>
                <c:pt idx="568">
                  <c:v>2.7520905973310882E-2</c:v>
                </c:pt>
                <c:pt idx="569">
                  <c:v>2.8392665569286449E-2</c:v>
                </c:pt>
                <c:pt idx="570">
                  <c:v>2.8921729163255271E-2</c:v>
                </c:pt>
                <c:pt idx="571">
                  <c:v>2.6630778328337518E-2</c:v>
                </c:pt>
                <c:pt idx="572">
                  <c:v>2.2843144014828596E-2</c:v>
                </c:pt>
                <c:pt idx="573">
                  <c:v>2.5306397142590684E-2</c:v>
                </c:pt>
                <c:pt idx="574">
                  <c:v>2.200680739596899E-2</c:v>
                </c:pt>
                <c:pt idx="575">
                  <c:v>1.920189233700393E-2</c:v>
                </c:pt>
                <c:pt idx="576">
                  <c:v>1.495651754375384E-2</c:v>
                </c:pt>
                <c:pt idx="577">
                  <c:v>1.4717208182912084E-2</c:v>
                </c:pt>
                <c:pt idx="578">
                  <c:v>1.8555849902010667E-2</c:v>
                </c:pt>
                <c:pt idx="579">
                  <c:v>2.0181800019977974E-2</c:v>
                </c:pt>
                <c:pt idx="580">
                  <c:v>1.8282519757881251E-2</c:v>
                </c:pt>
                <c:pt idx="581">
                  <c:v>1.7005638020003884E-2</c:v>
                </c:pt>
                <c:pt idx="582">
                  <c:v>1.822196582386764E-2</c:v>
                </c:pt>
                <c:pt idx="583">
                  <c:v>1.741116650445898E-2</c:v>
                </c:pt>
                <c:pt idx="584">
                  <c:v>1.724541305321925E-2</c:v>
                </c:pt>
                <c:pt idx="585">
                  <c:v>1.7746214892111079E-2</c:v>
                </c:pt>
                <c:pt idx="586">
                  <c:v>2.0437303715657551E-2</c:v>
                </c:pt>
                <c:pt idx="587">
                  <c:v>2.2614488322448462E-2</c:v>
                </c:pt>
                <c:pt idx="588">
                  <c:v>2.474241505936044E-2</c:v>
                </c:pt>
                <c:pt idx="589">
                  <c:v>2.3145128454474733E-2</c:v>
                </c:pt>
                <c:pt idx="590">
                  <c:v>1.5117235300829774E-2</c:v>
                </c:pt>
                <c:pt idx="591">
                  <c:v>3.3917423215810922E-3</c:v>
                </c:pt>
                <c:pt idx="592">
                  <c:v>2.2359625799327171E-3</c:v>
                </c:pt>
                <c:pt idx="593">
                  <c:v>7.2781229568205695E-3</c:v>
                </c:pt>
                <c:pt idx="594">
                  <c:v>1.0467910520660246E-2</c:v>
                </c:pt>
                <c:pt idx="595">
                  <c:v>1.3247799842260322E-2</c:v>
                </c:pt>
                <c:pt idx="596">
                  <c:v>1.4099605507305206E-2</c:v>
                </c:pt>
                <c:pt idx="597">
                  <c:v>1.1946990329736888E-2</c:v>
                </c:pt>
                <c:pt idx="598">
                  <c:v>1.1388082437623485E-2</c:v>
                </c:pt>
                <c:pt idx="599">
                  <c:v>1.3001398124731424E-2</c:v>
                </c:pt>
                <c:pt idx="600">
                  <c:v>1.3699953998461394E-2</c:v>
                </c:pt>
                <c:pt idx="601">
                  <c:v>1.6756560442617335E-2</c:v>
                </c:pt>
                <c:pt idx="602">
                  <c:v>2.6373217462760161E-2</c:v>
                </c:pt>
                <c:pt idx="603">
                  <c:v>4.1531351486385155E-2</c:v>
                </c:pt>
                <c:pt idx="604">
                  <c:v>4.9265067866938524E-2</c:v>
                </c:pt>
                <c:pt idx="605">
                  <c:v>5.3245077385903457E-2</c:v>
                </c:pt>
                <c:pt idx="606">
                  <c:v>5.282594236748079E-2</c:v>
                </c:pt>
                <c:pt idx="607">
                  <c:v>5.20247696629429E-2</c:v>
                </c:pt>
                <c:pt idx="608">
                  <c:v>5.3773030071228321E-2</c:v>
                </c:pt>
                <c:pt idx="609">
                  <c:v>6.2435211278420659E-2</c:v>
                </c:pt>
                <c:pt idx="610">
                  <c:v>6.8804684835222008E-2</c:v>
                </c:pt>
                <c:pt idx="611">
                  <c:v>7.1234133659580992E-2</c:v>
                </c:pt>
              </c:numCache>
            </c:numRef>
          </c:val>
          <c:smooth val="0"/>
          <c:extLst>
            <c:ext xmlns:c16="http://schemas.microsoft.com/office/drawing/2014/chart" uri="{C3380CC4-5D6E-409C-BE32-E72D297353CC}">
              <c16:uniqueId val="{00000000-AD1C-E84B-B5FD-2CC66822FE81}"/>
            </c:ext>
          </c:extLst>
        </c:ser>
        <c:dLbls>
          <c:showLegendKey val="0"/>
          <c:showVal val="0"/>
          <c:showCatName val="0"/>
          <c:showSerName val="0"/>
          <c:showPercent val="0"/>
          <c:showBubbleSize val="0"/>
        </c:dLbls>
        <c:marker val="1"/>
        <c:smooth val="0"/>
        <c:axId val="1459840560"/>
        <c:axId val="1459841872"/>
      </c:lineChart>
      <c:lineChart>
        <c:grouping val="standard"/>
        <c:varyColors val="0"/>
        <c:ser>
          <c:idx val="3"/>
          <c:order val="1"/>
          <c:tx>
            <c:strRef>
              <c:f>CPI!$E$4</c:f>
              <c:strCache>
                <c:ptCount val="1"/>
                <c:pt idx="0">
                  <c:v>FED Funds Rate</c:v>
                </c:pt>
              </c:strCache>
            </c:strRef>
          </c:tx>
          <c:spPr>
            <a:ln w="28575" cap="rnd">
              <a:solidFill>
                <a:schemeClr val="accent4"/>
              </a:solidFill>
              <a:prstDash val="solid"/>
              <a:round/>
            </a:ln>
          </c:spPr>
          <c:marker>
            <c:symbol val="none"/>
          </c:marker>
          <c:cat>
            <c:numRef>
              <c:f>CPI!$A$293:$A$905</c:f>
              <c:numCache>
                <c:formatCode>[$-409]mmm\-yy;@</c:formatCode>
                <c:ptCount val="613"/>
                <c:pt idx="0">
                  <c:v>25934</c:v>
                </c:pt>
                <c:pt idx="1">
                  <c:v>25965</c:v>
                </c:pt>
                <c:pt idx="2">
                  <c:v>25993</c:v>
                </c:pt>
                <c:pt idx="3">
                  <c:v>26024</c:v>
                </c:pt>
                <c:pt idx="4">
                  <c:v>26054</c:v>
                </c:pt>
                <c:pt idx="5">
                  <c:v>26085</c:v>
                </c:pt>
                <c:pt idx="6">
                  <c:v>26115</c:v>
                </c:pt>
                <c:pt idx="7">
                  <c:v>26146</c:v>
                </c:pt>
                <c:pt idx="8">
                  <c:v>26177</c:v>
                </c:pt>
                <c:pt idx="9">
                  <c:v>26207</c:v>
                </c:pt>
                <c:pt idx="10">
                  <c:v>26238</c:v>
                </c:pt>
                <c:pt idx="11">
                  <c:v>26268</c:v>
                </c:pt>
                <c:pt idx="12">
                  <c:v>26299</c:v>
                </c:pt>
                <c:pt idx="13">
                  <c:v>26330</c:v>
                </c:pt>
                <c:pt idx="14">
                  <c:v>26359</c:v>
                </c:pt>
                <c:pt idx="15">
                  <c:v>26390</c:v>
                </c:pt>
                <c:pt idx="16">
                  <c:v>26420</c:v>
                </c:pt>
                <c:pt idx="17">
                  <c:v>26451</c:v>
                </c:pt>
                <c:pt idx="18">
                  <c:v>26481</c:v>
                </c:pt>
                <c:pt idx="19">
                  <c:v>26512</c:v>
                </c:pt>
                <c:pt idx="20">
                  <c:v>26543</c:v>
                </c:pt>
                <c:pt idx="21">
                  <c:v>26573</c:v>
                </c:pt>
                <c:pt idx="22">
                  <c:v>26604</c:v>
                </c:pt>
                <c:pt idx="23">
                  <c:v>26634</c:v>
                </c:pt>
                <c:pt idx="24">
                  <c:v>26665</c:v>
                </c:pt>
                <c:pt idx="25">
                  <c:v>26696</c:v>
                </c:pt>
                <c:pt idx="26">
                  <c:v>26724</c:v>
                </c:pt>
                <c:pt idx="27">
                  <c:v>26755</c:v>
                </c:pt>
                <c:pt idx="28">
                  <c:v>26785</c:v>
                </c:pt>
                <c:pt idx="29">
                  <c:v>26816</c:v>
                </c:pt>
                <c:pt idx="30">
                  <c:v>26846</c:v>
                </c:pt>
                <c:pt idx="31">
                  <c:v>26877</c:v>
                </c:pt>
                <c:pt idx="32">
                  <c:v>26908</c:v>
                </c:pt>
                <c:pt idx="33">
                  <c:v>26938</c:v>
                </c:pt>
                <c:pt idx="34">
                  <c:v>26969</c:v>
                </c:pt>
                <c:pt idx="35">
                  <c:v>26999</c:v>
                </c:pt>
                <c:pt idx="36">
                  <c:v>27030</c:v>
                </c:pt>
                <c:pt idx="37">
                  <c:v>27061</c:v>
                </c:pt>
                <c:pt idx="38">
                  <c:v>27089</c:v>
                </c:pt>
                <c:pt idx="39">
                  <c:v>27120</c:v>
                </c:pt>
                <c:pt idx="40">
                  <c:v>27150</c:v>
                </c:pt>
                <c:pt idx="41">
                  <c:v>27181</c:v>
                </c:pt>
                <c:pt idx="42">
                  <c:v>27211</c:v>
                </c:pt>
                <c:pt idx="43">
                  <c:v>27242</c:v>
                </c:pt>
                <c:pt idx="44">
                  <c:v>27273</c:v>
                </c:pt>
                <c:pt idx="45">
                  <c:v>27303</c:v>
                </c:pt>
                <c:pt idx="46">
                  <c:v>27334</c:v>
                </c:pt>
                <c:pt idx="47">
                  <c:v>27364</c:v>
                </c:pt>
                <c:pt idx="48">
                  <c:v>27395</c:v>
                </c:pt>
                <c:pt idx="49">
                  <c:v>27426</c:v>
                </c:pt>
                <c:pt idx="50">
                  <c:v>27454</c:v>
                </c:pt>
                <c:pt idx="51">
                  <c:v>27485</c:v>
                </c:pt>
                <c:pt idx="52">
                  <c:v>27515</c:v>
                </c:pt>
                <c:pt idx="53">
                  <c:v>27546</c:v>
                </c:pt>
                <c:pt idx="54">
                  <c:v>27576</c:v>
                </c:pt>
                <c:pt idx="55">
                  <c:v>27607</c:v>
                </c:pt>
                <c:pt idx="56">
                  <c:v>27638</c:v>
                </c:pt>
                <c:pt idx="57">
                  <c:v>27668</c:v>
                </c:pt>
                <c:pt idx="58">
                  <c:v>27699</c:v>
                </c:pt>
                <c:pt idx="59">
                  <c:v>27729</c:v>
                </c:pt>
                <c:pt idx="60">
                  <c:v>27760</c:v>
                </c:pt>
                <c:pt idx="61">
                  <c:v>27791</c:v>
                </c:pt>
                <c:pt idx="62">
                  <c:v>27820</c:v>
                </c:pt>
                <c:pt idx="63">
                  <c:v>27851</c:v>
                </c:pt>
                <c:pt idx="64">
                  <c:v>27881</c:v>
                </c:pt>
                <c:pt idx="65">
                  <c:v>27912</c:v>
                </c:pt>
                <c:pt idx="66">
                  <c:v>27942</c:v>
                </c:pt>
                <c:pt idx="67">
                  <c:v>27973</c:v>
                </c:pt>
                <c:pt idx="68">
                  <c:v>28004</c:v>
                </c:pt>
                <c:pt idx="69">
                  <c:v>28034</c:v>
                </c:pt>
                <c:pt idx="70">
                  <c:v>28065</c:v>
                </c:pt>
                <c:pt idx="71">
                  <c:v>28095</c:v>
                </c:pt>
                <c:pt idx="72">
                  <c:v>28126</c:v>
                </c:pt>
                <c:pt idx="73">
                  <c:v>28157</c:v>
                </c:pt>
                <c:pt idx="74">
                  <c:v>28185</c:v>
                </c:pt>
                <c:pt idx="75">
                  <c:v>28216</c:v>
                </c:pt>
                <c:pt idx="76">
                  <c:v>28246</c:v>
                </c:pt>
                <c:pt idx="77">
                  <c:v>28277</c:v>
                </c:pt>
                <c:pt idx="78">
                  <c:v>28307</c:v>
                </c:pt>
                <c:pt idx="79">
                  <c:v>28338</c:v>
                </c:pt>
                <c:pt idx="80">
                  <c:v>28369</c:v>
                </c:pt>
                <c:pt idx="81">
                  <c:v>28399</c:v>
                </c:pt>
                <c:pt idx="82">
                  <c:v>28430</c:v>
                </c:pt>
                <c:pt idx="83">
                  <c:v>28460</c:v>
                </c:pt>
                <c:pt idx="84">
                  <c:v>28491</c:v>
                </c:pt>
                <c:pt idx="85">
                  <c:v>28522</c:v>
                </c:pt>
                <c:pt idx="86">
                  <c:v>28550</c:v>
                </c:pt>
                <c:pt idx="87">
                  <c:v>28581</c:v>
                </c:pt>
                <c:pt idx="88">
                  <c:v>28611</c:v>
                </c:pt>
                <c:pt idx="89">
                  <c:v>28642</c:v>
                </c:pt>
                <c:pt idx="90">
                  <c:v>28672</c:v>
                </c:pt>
                <c:pt idx="91">
                  <c:v>28703</c:v>
                </c:pt>
                <c:pt idx="92">
                  <c:v>28734</c:v>
                </c:pt>
                <c:pt idx="93">
                  <c:v>28764</c:v>
                </c:pt>
                <c:pt idx="94">
                  <c:v>28795</c:v>
                </c:pt>
                <c:pt idx="95">
                  <c:v>28825</c:v>
                </c:pt>
                <c:pt idx="96">
                  <c:v>28856</c:v>
                </c:pt>
                <c:pt idx="97">
                  <c:v>28887</c:v>
                </c:pt>
                <c:pt idx="98">
                  <c:v>28915</c:v>
                </c:pt>
                <c:pt idx="99">
                  <c:v>28946</c:v>
                </c:pt>
                <c:pt idx="100">
                  <c:v>28976</c:v>
                </c:pt>
                <c:pt idx="101">
                  <c:v>29007</c:v>
                </c:pt>
                <c:pt idx="102">
                  <c:v>29037</c:v>
                </c:pt>
                <c:pt idx="103">
                  <c:v>29068</c:v>
                </c:pt>
                <c:pt idx="104">
                  <c:v>29099</c:v>
                </c:pt>
                <c:pt idx="105">
                  <c:v>29129</c:v>
                </c:pt>
                <c:pt idx="106">
                  <c:v>29160</c:v>
                </c:pt>
                <c:pt idx="107">
                  <c:v>29190</c:v>
                </c:pt>
                <c:pt idx="108">
                  <c:v>29221</c:v>
                </c:pt>
                <c:pt idx="109">
                  <c:v>29252</c:v>
                </c:pt>
                <c:pt idx="110">
                  <c:v>29281</c:v>
                </c:pt>
                <c:pt idx="111">
                  <c:v>29312</c:v>
                </c:pt>
                <c:pt idx="112">
                  <c:v>29342</c:v>
                </c:pt>
                <c:pt idx="113">
                  <c:v>29373</c:v>
                </c:pt>
                <c:pt idx="114">
                  <c:v>29403</c:v>
                </c:pt>
                <c:pt idx="115">
                  <c:v>29434</c:v>
                </c:pt>
                <c:pt idx="116">
                  <c:v>29465</c:v>
                </c:pt>
                <c:pt idx="117">
                  <c:v>29495</c:v>
                </c:pt>
                <c:pt idx="118">
                  <c:v>29526</c:v>
                </c:pt>
                <c:pt idx="119">
                  <c:v>29556</c:v>
                </c:pt>
                <c:pt idx="120">
                  <c:v>29587</c:v>
                </c:pt>
                <c:pt idx="121">
                  <c:v>29618</c:v>
                </c:pt>
                <c:pt idx="122">
                  <c:v>29646</c:v>
                </c:pt>
                <c:pt idx="123">
                  <c:v>29677</c:v>
                </c:pt>
                <c:pt idx="124">
                  <c:v>29707</c:v>
                </c:pt>
                <c:pt idx="125">
                  <c:v>29738</c:v>
                </c:pt>
                <c:pt idx="126">
                  <c:v>29768</c:v>
                </c:pt>
                <c:pt idx="127">
                  <c:v>29799</c:v>
                </c:pt>
                <c:pt idx="128">
                  <c:v>29830</c:v>
                </c:pt>
                <c:pt idx="129">
                  <c:v>29860</c:v>
                </c:pt>
                <c:pt idx="130">
                  <c:v>29891</c:v>
                </c:pt>
                <c:pt idx="131">
                  <c:v>29921</c:v>
                </c:pt>
                <c:pt idx="132">
                  <c:v>29952</c:v>
                </c:pt>
                <c:pt idx="133">
                  <c:v>29983</c:v>
                </c:pt>
                <c:pt idx="134">
                  <c:v>30011</c:v>
                </c:pt>
                <c:pt idx="135">
                  <c:v>30042</c:v>
                </c:pt>
                <c:pt idx="136">
                  <c:v>30072</c:v>
                </c:pt>
                <c:pt idx="137">
                  <c:v>30103</c:v>
                </c:pt>
                <c:pt idx="138">
                  <c:v>30133</c:v>
                </c:pt>
                <c:pt idx="139">
                  <c:v>30164</c:v>
                </c:pt>
                <c:pt idx="140">
                  <c:v>30195</c:v>
                </c:pt>
                <c:pt idx="141">
                  <c:v>30225</c:v>
                </c:pt>
                <c:pt idx="142">
                  <c:v>30256</c:v>
                </c:pt>
                <c:pt idx="143">
                  <c:v>30286</c:v>
                </c:pt>
                <c:pt idx="144">
                  <c:v>30317</c:v>
                </c:pt>
                <c:pt idx="145">
                  <c:v>30348</c:v>
                </c:pt>
                <c:pt idx="146">
                  <c:v>30376</c:v>
                </c:pt>
                <c:pt idx="147">
                  <c:v>30407</c:v>
                </c:pt>
                <c:pt idx="148">
                  <c:v>30437</c:v>
                </c:pt>
                <c:pt idx="149">
                  <c:v>30468</c:v>
                </c:pt>
                <c:pt idx="150">
                  <c:v>30498</c:v>
                </c:pt>
                <c:pt idx="151">
                  <c:v>30529</c:v>
                </c:pt>
                <c:pt idx="152">
                  <c:v>30560</c:v>
                </c:pt>
                <c:pt idx="153">
                  <c:v>30590</c:v>
                </c:pt>
                <c:pt idx="154">
                  <c:v>30621</c:v>
                </c:pt>
                <c:pt idx="155">
                  <c:v>30651</c:v>
                </c:pt>
                <c:pt idx="156">
                  <c:v>30682</c:v>
                </c:pt>
                <c:pt idx="157">
                  <c:v>30713</c:v>
                </c:pt>
                <c:pt idx="158">
                  <c:v>30742</c:v>
                </c:pt>
                <c:pt idx="159">
                  <c:v>30773</c:v>
                </c:pt>
                <c:pt idx="160">
                  <c:v>30803</c:v>
                </c:pt>
                <c:pt idx="161">
                  <c:v>30834</c:v>
                </c:pt>
                <c:pt idx="162">
                  <c:v>30864</c:v>
                </c:pt>
                <c:pt idx="163">
                  <c:v>30895</c:v>
                </c:pt>
                <c:pt idx="164">
                  <c:v>30926</c:v>
                </c:pt>
                <c:pt idx="165">
                  <c:v>30956</c:v>
                </c:pt>
                <c:pt idx="166">
                  <c:v>30987</c:v>
                </c:pt>
                <c:pt idx="167">
                  <c:v>31017</c:v>
                </c:pt>
                <c:pt idx="168">
                  <c:v>31048</c:v>
                </c:pt>
                <c:pt idx="169">
                  <c:v>31079</c:v>
                </c:pt>
                <c:pt idx="170">
                  <c:v>31107</c:v>
                </c:pt>
                <c:pt idx="171">
                  <c:v>31138</c:v>
                </c:pt>
                <c:pt idx="172">
                  <c:v>31168</c:v>
                </c:pt>
                <c:pt idx="173">
                  <c:v>31199</c:v>
                </c:pt>
                <c:pt idx="174">
                  <c:v>31229</c:v>
                </c:pt>
                <c:pt idx="175">
                  <c:v>31260</c:v>
                </c:pt>
                <c:pt idx="176">
                  <c:v>31291</c:v>
                </c:pt>
                <c:pt idx="177">
                  <c:v>31321</c:v>
                </c:pt>
                <c:pt idx="178">
                  <c:v>31352</c:v>
                </c:pt>
                <c:pt idx="179">
                  <c:v>31382</c:v>
                </c:pt>
                <c:pt idx="180">
                  <c:v>31413</c:v>
                </c:pt>
                <c:pt idx="181">
                  <c:v>31444</c:v>
                </c:pt>
                <c:pt idx="182">
                  <c:v>31472</c:v>
                </c:pt>
                <c:pt idx="183">
                  <c:v>31503</c:v>
                </c:pt>
                <c:pt idx="184">
                  <c:v>31533</c:v>
                </c:pt>
                <c:pt idx="185">
                  <c:v>31564</c:v>
                </c:pt>
                <c:pt idx="186">
                  <c:v>31594</c:v>
                </c:pt>
                <c:pt idx="187">
                  <c:v>31625</c:v>
                </c:pt>
                <c:pt idx="188">
                  <c:v>31656</c:v>
                </c:pt>
                <c:pt idx="189">
                  <c:v>31686</c:v>
                </c:pt>
                <c:pt idx="190">
                  <c:v>31717</c:v>
                </c:pt>
                <c:pt idx="191">
                  <c:v>31747</c:v>
                </c:pt>
                <c:pt idx="192">
                  <c:v>31778</c:v>
                </c:pt>
                <c:pt idx="193">
                  <c:v>31809</c:v>
                </c:pt>
                <c:pt idx="194">
                  <c:v>31837</c:v>
                </c:pt>
                <c:pt idx="195">
                  <c:v>31868</c:v>
                </c:pt>
                <c:pt idx="196">
                  <c:v>31898</c:v>
                </c:pt>
                <c:pt idx="197">
                  <c:v>31929</c:v>
                </c:pt>
                <c:pt idx="198">
                  <c:v>31959</c:v>
                </c:pt>
                <c:pt idx="199">
                  <c:v>31990</c:v>
                </c:pt>
                <c:pt idx="200">
                  <c:v>32021</c:v>
                </c:pt>
                <c:pt idx="201">
                  <c:v>32051</c:v>
                </c:pt>
                <c:pt idx="202">
                  <c:v>32082</c:v>
                </c:pt>
                <c:pt idx="203">
                  <c:v>32112</c:v>
                </c:pt>
                <c:pt idx="204">
                  <c:v>32143</c:v>
                </c:pt>
                <c:pt idx="205">
                  <c:v>32174</c:v>
                </c:pt>
                <c:pt idx="206">
                  <c:v>32203</c:v>
                </c:pt>
                <c:pt idx="207">
                  <c:v>32234</c:v>
                </c:pt>
                <c:pt idx="208">
                  <c:v>32264</c:v>
                </c:pt>
                <c:pt idx="209">
                  <c:v>32295</c:v>
                </c:pt>
                <c:pt idx="210">
                  <c:v>32325</c:v>
                </c:pt>
                <c:pt idx="211">
                  <c:v>32356</c:v>
                </c:pt>
                <c:pt idx="212">
                  <c:v>32387</c:v>
                </c:pt>
                <c:pt idx="213">
                  <c:v>32417</c:v>
                </c:pt>
                <c:pt idx="214">
                  <c:v>32448</c:v>
                </c:pt>
                <c:pt idx="215">
                  <c:v>32478</c:v>
                </c:pt>
                <c:pt idx="216">
                  <c:v>32509</c:v>
                </c:pt>
                <c:pt idx="217">
                  <c:v>32540</c:v>
                </c:pt>
                <c:pt idx="218">
                  <c:v>32568</c:v>
                </c:pt>
                <c:pt idx="219">
                  <c:v>32599</c:v>
                </c:pt>
                <c:pt idx="220">
                  <c:v>32629</c:v>
                </c:pt>
                <c:pt idx="221">
                  <c:v>32660</c:v>
                </c:pt>
                <c:pt idx="222">
                  <c:v>32690</c:v>
                </c:pt>
                <c:pt idx="223">
                  <c:v>32721</c:v>
                </c:pt>
                <c:pt idx="224">
                  <c:v>32752</c:v>
                </c:pt>
                <c:pt idx="225">
                  <c:v>32782</c:v>
                </c:pt>
                <c:pt idx="226">
                  <c:v>32813</c:v>
                </c:pt>
                <c:pt idx="227">
                  <c:v>32843</c:v>
                </c:pt>
                <c:pt idx="228">
                  <c:v>32874</c:v>
                </c:pt>
                <c:pt idx="229">
                  <c:v>32905</c:v>
                </c:pt>
                <c:pt idx="230">
                  <c:v>32933</c:v>
                </c:pt>
                <c:pt idx="231">
                  <c:v>32964</c:v>
                </c:pt>
                <c:pt idx="232">
                  <c:v>32994</c:v>
                </c:pt>
                <c:pt idx="233">
                  <c:v>33025</c:v>
                </c:pt>
                <c:pt idx="234">
                  <c:v>33055</c:v>
                </c:pt>
                <c:pt idx="235">
                  <c:v>33086</c:v>
                </c:pt>
                <c:pt idx="236">
                  <c:v>33117</c:v>
                </c:pt>
                <c:pt idx="237">
                  <c:v>33147</c:v>
                </c:pt>
                <c:pt idx="238">
                  <c:v>33178</c:v>
                </c:pt>
                <c:pt idx="239">
                  <c:v>33208</c:v>
                </c:pt>
                <c:pt idx="240">
                  <c:v>33239</c:v>
                </c:pt>
                <c:pt idx="241">
                  <c:v>33270</c:v>
                </c:pt>
                <c:pt idx="242">
                  <c:v>33298</c:v>
                </c:pt>
                <c:pt idx="243">
                  <c:v>33329</c:v>
                </c:pt>
                <c:pt idx="244">
                  <c:v>33359</c:v>
                </c:pt>
                <c:pt idx="245">
                  <c:v>33390</c:v>
                </c:pt>
                <c:pt idx="246">
                  <c:v>33420</c:v>
                </c:pt>
                <c:pt idx="247">
                  <c:v>33451</c:v>
                </c:pt>
                <c:pt idx="248">
                  <c:v>33482</c:v>
                </c:pt>
                <c:pt idx="249">
                  <c:v>33512</c:v>
                </c:pt>
                <c:pt idx="250">
                  <c:v>33543</c:v>
                </c:pt>
                <c:pt idx="251">
                  <c:v>33573</c:v>
                </c:pt>
                <c:pt idx="252">
                  <c:v>33604</c:v>
                </c:pt>
                <c:pt idx="253">
                  <c:v>33635</c:v>
                </c:pt>
                <c:pt idx="254">
                  <c:v>33664</c:v>
                </c:pt>
                <c:pt idx="255">
                  <c:v>33695</c:v>
                </c:pt>
                <c:pt idx="256">
                  <c:v>33725</c:v>
                </c:pt>
                <c:pt idx="257">
                  <c:v>33756</c:v>
                </c:pt>
                <c:pt idx="258">
                  <c:v>33786</c:v>
                </c:pt>
                <c:pt idx="259">
                  <c:v>33817</c:v>
                </c:pt>
                <c:pt idx="260">
                  <c:v>33848</c:v>
                </c:pt>
                <c:pt idx="261">
                  <c:v>33878</c:v>
                </c:pt>
                <c:pt idx="262">
                  <c:v>33909</c:v>
                </c:pt>
                <c:pt idx="263">
                  <c:v>33939</c:v>
                </c:pt>
                <c:pt idx="264">
                  <c:v>33970</c:v>
                </c:pt>
                <c:pt idx="265">
                  <c:v>34001</c:v>
                </c:pt>
                <c:pt idx="266">
                  <c:v>34029</c:v>
                </c:pt>
                <c:pt idx="267">
                  <c:v>34060</c:v>
                </c:pt>
                <c:pt idx="268">
                  <c:v>34090</c:v>
                </c:pt>
                <c:pt idx="269">
                  <c:v>34121</c:v>
                </c:pt>
                <c:pt idx="270">
                  <c:v>34151</c:v>
                </c:pt>
                <c:pt idx="271">
                  <c:v>34182</c:v>
                </c:pt>
                <c:pt idx="272">
                  <c:v>34213</c:v>
                </c:pt>
                <c:pt idx="273">
                  <c:v>34243</c:v>
                </c:pt>
                <c:pt idx="274">
                  <c:v>34274</c:v>
                </c:pt>
                <c:pt idx="275">
                  <c:v>34304</c:v>
                </c:pt>
                <c:pt idx="276">
                  <c:v>34335</c:v>
                </c:pt>
                <c:pt idx="277">
                  <c:v>34366</c:v>
                </c:pt>
                <c:pt idx="278">
                  <c:v>34394</c:v>
                </c:pt>
                <c:pt idx="279">
                  <c:v>34425</c:v>
                </c:pt>
                <c:pt idx="280">
                  <c:v>34455</c:v>
                </c:pt>
                <c:pt idx="281">
                  <c:v>34486</c:v>
                </c:pt>
                <c:pt idx="282">
                  <c:v>34516</c:v>
                </c:pt>
                <c:pt idx="283">
                  <c:v>34547</c:v>
                </c:pt>
                <c:pt idx="284">
                  <c:v>34578</c:v>
                </c:pt>
                <c:pt idx="285">
                  <c:v>34608</c:v>
                </c:pt>
                <c:pt idx="286">
                  <c:v>34639</c:v>
                </c:pt>
                <c:pt idx="287">
                  <c:v>34669</c:v>
                </c:pt>
                <c:pt idx="288">
                  <c:v>34700</c:v>
                </c:pt>
                <c:pt idx="289">
                  <c:v>34731</c:v>
                </c:pt>
                <c:pt idx="290">
                  <c:v>34759</c:v>
                </c:pt>
                <c:pt idx="291">
                  <c:v>34790</c:v>
                </c:pt>
                <c:pt idx="292">
                  <c:v>34820</c:v>
                </c:pt>
                <c:pt idx="293">
                  <c:v>34851</c:v>
                </c:pt>
                <c:pt idx="294">
                  <c:v>34881</c:v>
                </c:pt>
                <c:pt idx="295">
                  <c:v>34912</c:v>
                </c:pt>
                <c:pt idx="296">
                  <c:v>34943</c:v>
                </c:pt>
                <c:pt idx="297">
                  <c:v>34973</c:v>
                </c:pt>
                <c:pt idx="298">
                  <c:v>35004</c:v>
                </c:pt>
                <c:pt idx="299">
                  <c:v>35034</c:v>
                </c:pt>
                <c:pt idx="300">
                  <c:v>35065</c:v>
                </c:pt>
                <c:pt idx="301">
                  <c:v>35096</c:v>
                </c:pt>
                <c:pt idx="302">
                  <c:v>35125</c:v>
                </c:pt>
                <c:pt idx="303">
                  <c:v>35156</c:v>
                </c:pt>
                <c:pt idx="304">
                  <c:v>35186</c:v>
                </c:pt>
                <c:pt idx="305">
                  <c:v>35217</c:v>
                </c:pt>
                <c:pt idx="306">
                  <c:v>35247</c:v>
                </c:pt>
                <c:pt idx="307">
                  <c:v>35278</c:v>
                </c:pt>
                <c:pt idx="308">
                  <c:v>35309</c:v>
                </c:pt>
                <c:pt idx="309">
                  <c:v>35339</c:v>
                </c:pt>
                <c:pt idx="310">
                  <c:v>35370</c:v>
                </c:pt>
                <c:pt idx="311">
                  <c:v>35400</c:v>
                </c:pt>
                <c:pt idx="312">
                  <c:v>35431</c:v>
                </c:pt>
                <c:pt idx="313">
                  <c:v>35462</c:v>
                </c:pt>
                <c:pt idx="314">
                  <c:v>35490</c:v>
                </c:pt>
                <c:pt idx="315">
                  <c:v>35521</c:v>
                </c:pt>
                <c:pt idx="316">
                  <c:v>35551</c:v>
                </c:pt>
                <c:pt idx="317">
                  <c:v>35582</c:v>
                </c:pt>
                <c:pt idx="318">
                  <c:v>35612</c:v>
                </c:pt>
                <c:pt idx="319">
                  <c:v>35643</c:v>
                </c:pt>
                <c:pt idx="320">
                  <c:v>35674</c:v>
                </c:pt>
                <c:pt idx="321">
                  <c:v>35704</c:v>
                </c:pt>
                <c:pt idx="322">
                  <c:v>35735</c:v>
                </c:pt>
                <c:pt idx="323">
                  <c:v>35765</c:v>
                </c:pt>
                <c:pt idx="324">
                  <c:v>35796</c:v>
                </c:pt>
                <c:pt idx="325">
                  <c:v>35827</c:v>
                </c:pt>
                <c:pt idx="326">
                  <c:v>35855</c:v>
                </c:pt>
                <c:pt idx="327">
                  <c:v>35886</c:v>
                </c:pt>
                <c:pt idx="328">
                  <c:v>35916</c:v>
                </c:pt>
                <c:pt idx="329">
                  <c:v>35947</c:v>
                </c:pt>
                <c:pt idx="330">
                  <c:v>35977</c:v>
                </c:pt>
                <c:pt idx="331">
                  <c:v>36008</c:v>
                </c:pt>
                <c:pt idx="332">
                  <c:v>36039</c:v>
                </c:pt>
                <c:pt idx="333">
                  <c:v>36069</c:v>
                </c:pt>
                <c:pt idx="334">
                  <c:v>36100</c:v>
                </c:pt>
                <c:pt idx="335">
                  <c:v>36130</c:v>
                </c:pt>
                <c:pt idx="336">
                  <c:v>36161</c:v>
                </c:pt>
                <c:pt idx="337">
                  <c:v>36192</c:v>
                </c:pt>
                <c:pt idx="338">
                  <c:v>36220</c:v>
                </c:pt>
                <c:pt idx="339">
                  <c:v>36251</c:v>
                </c:pt>
                <c:pt idx="340">
                  <c:v>36281</c:v>
                </c:pt>
                <c:pt idx="341">
                  <c:v>36312</c:v>
                </c:pt>
                <c:pt idx="342">
                  <c:v>36342</c:v>
                </c:pt>
                <c:pt idx="343">
                  <c:v>36373</c:v>
                </c:pt>
                <c:pt idx="344">
                  <c:v>36404</c:v>
                </c:pt>
                <c:pt idx="345">
                  <c:v>36434</c:v>
                </c:pt>
                <c:pt idx="346">
                  <c:v>36465</c:v>
                </c:pt>
                <c:pt idx="347">
                  <c:v>36495</c:v>
                </c:pt>
                <c:pt idx="348">
                  <c:v>36526</c:v>
                </c:pt>
                <c:pt idx="349">
                  <c:v>36557</c:v>
                </c:pt>
                <c:pt idx="350">
                  <c:v>36586</c:v>
                </c:pt>
                <c:pt idx="351">
                  <c:v>36617</c:v>
                </c:pt>
                <c:pt idx="352">
                  <c:v>36647</c:v>
                </c:pt>
                <c:pt idx="353">
                  <c:v>36678</c:v>
                </c:pt>
                <c:pt idx="354">
                  <c:v>36708</c:v>
                </c:pt>
                <c:pt idx="355">
                  <c:v>36739</c:v>
                </c:pt>
                <c:pt idx="356">
                  <c:v>36770</c:v>
                </c:pt>
                <c:pt idx="357">
                  <c:v>36800</c:v>
                </c:pt>
                <c:pt idx="358">
                  <c:v>36831</c:v>
                </c:pt>
                <c:pt idx="359">
                  <c:v>36861</c:v>
                </c:pt>
                <c:pt idx="360">
                  <c:v>36892</c:v>
                </c:pt>
                <c:pt idx="361">
                  <c:v>36923</c:v>
                </c:pt>
                <c:pt idx="362">
                  <c:v>36951</c:v>
                </c:pt>
                <c:pt idx="363">
                  <c:v>36982</c:v>
                </c:pt>
                <c:pt idx="364">
                  <c:v>37012</c:v>
                </c:pt>
                <c:pt idx="365">
                  <c:v>37043</c:v>
                </c:pt>
                <c:pt idx="366">
                  <c:v>37073</c:v>
                </c:pt>
                <c:pt idx="367">
                  <c:v>37104</c:v>
                </c:pt>
                <c:pt idx="368">
                  <c:v>37135</c:v>
                </c:pt>
                <c:pt idx="369">
                  <c:v>37165</c:v>
                </c:pt>
                <c:pt idx="370">
                  <c:v>37196</c:v>
                </c:pt>
                <c:pt idx="371">
                  <c:v>37226</c:v>
                </c:pt>
                <c:pt idx="372">
                  <c:v>37257</c:v>
                </c:pt>
                <c:pt idx="373">
                  <c:v>37288</c:v>
                </c:pt>
                <c:pt idx="374">
                  <c:v>37316</c:v>
                </c:pt>
                <c:pt idx="375">
                  <c:v>37347</c:v>
                </c:pt>
                <c:pt idx="376">
                  <c:v>37377</c:v>
                </c:pt>
                <c:pt idx="377">
                  <c:v>37408</c:v>
                </c:pt>
                <c:pt idx="378">
                  <c:v>37438</c:v>
                </c:pt>
                <c:pt idx="379">
                  <c:v>37469</c:v>
                </c:pt>
                <c:pt idx="380">
                  <c:v>37500</c:v>
                </c:pt>
                <c:pt idx="381">
                  <c:v>37530</c:v>
                </c:pt>
                <c:pt idx="382">
                  <c:v>37561</c:v>
                </c:pt>
                <c:pt idx="383">
                  <c:v>37591</c:v>
                </c:pt>
                <c:pt idx="384">
                  <c:v>37622</c:v>
                </c:pt>
                <c:pt idx="385">
                  <c:v>37653</c:v>
                </c:pt>
                <c:pt idx="386">
                  <c:v>37681</c:v>
                </c:pt>
                <c:pt idx="387">
                  <c:v>37712</c:v>
                </c:pt>
                <c:pt idx="388">
                  <c:v>37742</c:v>
                </c:pt>
                <c:pt idx="389">
                  <c:v>37773</c:v>
                </c:pt>
                <c:pt idx="390">
                  <c:v>37803</c:v>
                </c:pt>
                <c:pt idx="391">
                  <c:v>37834</c:v>
                </c:pt>
                <c:pt idx="392">
                  <c:v>37865</c:v>
                </c:pt>
                <c:pt idx="393">
                  <c:v>37895</c:v>
                </c:pt>
                <c:pt idx="394">
                  <c:v>37926</c:v>
                </c:pt>
                <c:pt idx="395">
                  <c:v>37956</c:v>
                </c:pt>
                <c:pt idx="396">
                  <c:v>37987</c:v>
                </c:pt>
                <c:pt idx="397">
                  <c:v>38018</c:v>
                </c:pt>
                <c:pt idx="398">
                  <c:v>38047</c:v>
                </c:pt>
                <c:pt idx="399">
                  <c:v>38078</c:v>
                </c:pt>
                <c:pt idx="400">
                  <c:v>38108</c:v>
                </c:pt>
                <c:pt idx="401">
                  <c:v>38139</c:v>
                </c:pt>
                <c:pt idx="402">
                  <c:v>38169</c:v>
                </c:pt>
                <c:pt idx="403">
                  <c:v>38200</c:v>
                </c:pt>
                <c:pt idx="404">
                  <c:v>38231</c:v>
                </c:pt>
                <c:pt idx="405">
                  <c:v>38261</c:v>
                </c:pt>
                <c:pt idx="406">
                  <c:v>38292</c:v>
                </c:pt>
                <c:pt idx="407">
                  <c:v>38322</c:v>
                </c:pt>
                <c:pt idx="408">
                  <c:v>38353</c:v>
                </c:pt>
                <c:pt idx="409">
                  <c:v>38384</c:v>
                </c:pt>
                <c:pt idx="410">
                  <c:v>38412</c:v>
                </c:pt>
                <c:pt idx="411">
                  <c:v>38443</c:v>
                </c:pt>
                <c:pt idx="412">
                  <c:v>38473</c:v>
                </c:pt>
                <c:pt idx="413">
                  <c:v>38504</c:v>
                </c:pt>
                <c:pt idx="414">
                  <c:v>38534</c:v>
                </c:pt>
                <c:pt idx="415">
                  <c:v>38565</c:v>
                </c:pt>
                <c:pt idx="416">
                  <c:v>38596</c:v>
                </c:pt>
                <c:pt idx="417">
                  <c:v>38626</c:v>
                </c:pt>
                <c:pt idx="418">
                  <c:v>38657</c:v>
                </c:pt>
                <c:pt idx="419">
                  <c:v>38687</c:v>
                </c:pt>
                <c:pt idx="420">
                  <c:v>38718</c:v>
                </c:pt>
                <c:pt idx="421">
                  <c:v>38749</c:v>
                </c:pt>
                <c:pt idx="422">
                  <c:v>38777</c:v>
                </c:pt>
                <c:pt idx="423">
                  <c:v>38808</c:v>
                </c:pt>
                <c:pt idx="424">
                  <c:v>38838</c:v>
                </c:pt>
                <c:pt idx="425">
                  <c:v>38869</c:v>
                </c:pt>
                <c:pt idx="426">
                  <c:v>38899</c:v>
                </c:pt>
                <c:pt idx="427">
                  <c:v>38930</c:v>
                </c:pt>
                <c:pt idx="428">
                  <c:v>38961</c:v>
                </c:pt>
                <c:pt idx="429">
                  <c:v>38991</c:v>
                </c:pt>
                <c:pt idx="430">
                  <c:v>39022</c:v>
                </c:pt>
                <c:pt idx="431">
                  <c:v>39052</c:v>
                </c:pt>
                <c:pt idx="432">
                  <c:v>39083</c:v>
                </c:pt>
                <c:pt idx="433">
                  <c:v>39114</c:v>
                </c:pt>
                <c:pt idx="434">
                  <c:v>39142</c:v>
                </c:pt>
                <c:pt idx="435">
                  <c:v>39173</c:v>
                </c:pt>
                <c:pt idx="436">
                  <c:v>39203</c:v>
                </c:pt>
                <c:pt idx="437">
                  <c:v>39234</c:v>
                </c:pt>
                <c:pt idx="438">
                  <c:v>39264</c:v>
                </c:pt>
                <c:pt idx="439">
                  <c:v>39295</c:v>
                </c:pt>
                <c:pt idx="440">
                  <c:v>39326</c:v>
                </c:pt>
                <c:pt idx="441">
                  <c:v>39356</c:v>
                </c:pt>
                <c:pt idx="442">
                  <c:v>39387</c:v>
                </c:pt>
                <c:pt idx="443">
                  <c:v>39417</c:v>
                </c:pt>
                <c:pt idx="444">
                  <c:v>39448</c:v>
                </c:pt>
                <c:pt idx="445">
                  <c:v>39479</c:v>
                </c:pt>
                <c:pt idx="446">
                  <c:v>39508</c:v>
                </c:pt>
                <c:pt idx="447">
                  <c:v>39539</c:v>
                </c:pt>
                <c:pt idx="448">
                  <c:v>39569</c:v>
                </c:pt>
                <c:pt idx="449">
                  <c:v>39600</c:v>
                </c:pt>
                <c:pt idx="450">
                  <c:v>39630</c:v>
                </c:pt>
                <c:pt idx="451">
                  <c:v>39661</c:v>
                </c:pt>
                <c:pt idx="452">
                  <c:v>39692</c:v>
                </c:pt>
                <c:pt idx="453">
                  <c:v>39722</c:v>
                </c:pt>
                <c:pt idx="454">
                  <c:v>39753</c:v>
                </c:pt>
                <c:pt idx="455">
                  <c:v>39783</c:v>
                </c:pt>
                <c:pt idx="456">
                  <c:v>39814</c:v>
                </c:pt>
                <c:pt idx="457">
                  <c:v>39845</c:v>
                </c:pt>
                <c:pt idx="458">
                  <c:v>39873</c:v>
                </c:pt>
                <c:pt idx="459">
                  <c:v>39904</c:v>
                </c:pt>
                <c:pt idx="460">
                  <c:v>39934</c:v>
                </c:pt>
                <c:pt idx="461">
                  <c:v>39965</c:v>
                </c:pt>
                <c:pt idx="462">
                  <c:v>39995</c:v>
                </c:pt>
                <c:pt idx="463">
                  <c:v>40026</c:v>
                </c:pt>
                <c:pt idx="464">
                  <c:v>40057</c:v>
                </c:pt>
                <c:pt idx="465">
                  <c:v>40087</c:v>
                </c:pt>
                <c:pt idx="466">
                  <c:v>40118</c:v>
                </c:pt>
                <c:pt idx="467">
                  <c:v>40148</c:v>
                </c:pt>
                <c:pt idx="468">
                  <c:v>40179</c:v>
                </c:pt>
                <c:pt idx="469">
                  <c:v>40210</c:v>
                </c:pt>
                <c:pt idx="470">
                  <c:v>40238</c:v>
                </c:pt>
                <c:pt idx="471">
                  <c:v>40269</c:v>
                </c:pt>
                <c:pt idx="472">
                  <c:v>40299</c:v>
                </c:pt>
                <c:pt idx="473">
                  <c:v>40330</c:v>
                </c:pt>
                <c:pt idx="474">
                  <c:v>40360</c:v>
                </c:pt>
                <c:pt idx="475">
                  <c:v>40391</c:v>
                </c:pt>
                <c:pt idx="476">
                  <c:v>40422</c:v>
                </c:pt>
                <c:pt idx="477">
                  <c:v>40452</c:v>
                </c:pt>
                <c:pt idx="478">
                  <c:v>40483</c:v>
                </c:pt>
                <c:pt idx="479">
                  <c:v>40513</c:v>
                </c:pt>
                <c:pt idx="480">
                  <c:v>40544</c:v>
                </c:pt>
                <c:pt idx="481">
                  <c:v>40575</c:v>
                </c:pt>
                <c:pt idx="482">
                  <c:v>40603</c:v>
                </c:pt>
                <c:pt idx="483">
                  <c:v>40634</c:v>
                </c:pt>
                <c:pt idx="484">
                  <c:v>40664</c:v>
                </c:pt>
                <c:pt idx="485">
                  <c:v>40695</c:v>
                </c:pt>
                <c:pt idx="486">
                  <c:v>40725</c:v>
                </c:pt>
                <c:pt idx="487">
                  <c:v>40756</c:v>
                </c:pt>
                <c:pt idx="488">
                  <c:v>40787</c:v>
                </c:pt>
                <c:pt idx="489">
                  <c:v>40817</c:v>
                </c:pt>
                <c:pt idx="490">
                  <c:v>40848</c:v>
                </c:pt>
                <c:pt idx="491">
                  <c:v>40878</c:v>
                </c:pt>
                <c:pt idx="492">
                  <c:v>40909</c:v>
                </c:pt>
                <c:pt idx="493">
                  <c:v>40940</c:v>
                </c:pt>
                <c:pt idx="494">
                  <c:v>40969</c:v>
                </c:pt>
                <c:pt idx="495">
                  <c:v>41000</c:v>
                </c:pt>
                <c:pt idx="496">
                  <c:v>41030</c:v>
                </c:pt>
                <c:pt idx="497">
                  <c:v>41061</c:v>
                </c:pt>
                <c:pt idx="498">
                  <c:v>41091</c:v>
                </c:pt>
                <c:pt idx="499">
                  <c:v>41122</c:v>
                </c:pt>
                <c:pt idx="500">
                  <c:v>41153</c:v>
                </c:pt>
                <c:pt idx="501">
                  <c:v>41183</c:v>
                </c:pt>
                <c:pt idx="502">
                  <c:v>41214</c:v>
                </c:pt>
                <c:pt idx="503">
                  <c:v>41244</c:v>
                </c:pt>
                <c:pt idx="504">
                  <c:v>41275</c:v>
                </c:pt>
                <c:pt idx="505">
                  <c:v>41306</c:v>
                </c:pt>
                <c:pt idx="506">
                  <c:v>41334</c:v>
                </c:pt>
                <c:pt idx="507">
                  <c:v>41365</c:v>
                </c:pt>
                <c:pt idx="508">
                  <c:v>41395</c:v>
                </c:pt>
                <c:pt idx="509">
                  <c:v>41426</c:v>
                </c:pt>
                <c:pt idx="510">
                  <c:v>41456</c:v>
                </c:pt>
                <c:pt idx="511">
                  <c:v>41487</c:v>
                </c:pt>
                <c:pt idx="512">
                  <c:v>41518</c:v>
                </c:pt>
                <c:pt idx="513">
                  <c:v>41548</c:v>
                </c:pt>
                <c:pt idx="514">
                  <c:v>41579</c:v>
                </c:pt>
                <c:pt idx="515">
                  <c:v>41609</c:v>
                </c:pt>
                <c:pt idx="516">
                  <c:v>41640</c:v>
                </c:pt>
                <c:pt idx="517">
                  <c:v>41671</c:v>
                </c:pt>
                <c:pt idx="518">
                  <c:v>41699</c:v>
                </c:pt>
                <c:pt idx="519">
                  <c:v>41730</c:v>
                </c:pt>
                <c:pt idx="520">
                  <c:v>41760</c:v>
                </c:pt>
                <c:pt idx="521">
                  <c:v>41791</c:v>
                </c:pt>
                <c:pt idx="522">
                  <c:v>41821</c:v>
                </c:pt>
                <c:pt idx="523">
                  <c:v>41852</c:v>
                </c:pt>
                <c:pt idx="524">
                  <c:v>41883</c:v>
                </c:pt>
                <c:pt idx="525">
                  <c:v>41913</c:v>
                </c:pt>
                <c:pt idx="526">
                  <c:v>41944</c:v>
                </c:pt>
                <c:pt idx="527">
                  <c:v>41974</c:v>
                </c:pt>
                <c:pt idx="528">
                  <c:v>42005</c:v>
                </c:pt>
                <c:pt idx="529">
                  <c:v>42036</c:v>
                </c:pt>
                <c:pt idx="530">
                  <c:v>42064</c:v>
                </c:pt>
                <c:pt idx="531">
                  <c:v>42095</c:v>
                </c:pt>
                <c:pt idx="532">
                  <c:v>42125</c:v>
                </c:pt>
                <c:pt idx="533">
                  <c:v>42156</c:v>
                </c:pt>
                <c:pt idx="534">
                  <c:v>42186</c:v>
                </c:pt>
                <c:pt idx="535">
                  <c:v>42217</c:v>
                </c:pt>
                <c:pt idx="536">
                  <c:v>42248</c:v>
                </c:pt>
                <c:pt idx="537">
                  <c:v>42278</c:v>
                </c:pt>
                <c:pt idx="538">
                  <c:v>42309</c:v>
                </c:pt>
                <c:pt idx="539">
                  <c:v>42339</c:v>
                </c:pt>
                <c:pt idx="540">
                  <c:v>42370</c:v>
                </c:pt>
                <c:pt idx="541">
                  <c:v>42401</c:v>
                </c:pt>
                <c:pt idx="542">
                  <c:v>42430</c:v>
                </c:pt>
                <c:pt idx="543">
                  <c:v>42461</c:v>
                </c:pt>
                <c:pt idx="544">
                  <c:v>42491</c:v>
                </c:pt>
                <c:pt idx="545">
                  <c:v>42522</c:v>
                </c:pt>
                <c:pt idx="546">
                  <c:v>42552</c:v>
                </c:pt>
                <c:pt idx="547">
                  <c:v>42583</c:v>
                </c:pt>
                <c:pt idx="548">
                  <c:v>42614</c:v>
                </c:pt>
                <c:pt idx="549">
                  <c:v>42644</c:v>
                </c:pt>
                <c:pt idx="550">
                  <c:v>42675</c:v>
                </c:pt>
                <c:pt idx="551">
                  <c:v>42705</c:v>
                </c:pt>
                <c:pt idx="552">
                  <c:v>42736</c:v>
                </c:pt>
                <c:pt idx="553">
                  <c:v>42767</c:v>
                </c:pt>
                <c:pt idx="554">
                  <c:v>42795</c:v>
                </c:pt>
                <c:pt idx="555">
                  <c:v>42826</c:v>
                </c:pt>
                <c:pt idx="556">
                  <c:v>42856</c:v>
                </c:pt>
                <c:pt idx="557">
                  <c:v>42887</c:v>
                </c:pt>
                <c:pt idx="558">
                  <c:v>42917</c:v>
                </c:pt>
                <c:pt idx="559">
                  <c:v>42948</c:v>
                </c:pt>
                <c:pt idx="560">
                  <c:v>42979</c:v>
                </c:pt>
                <c:pt idx="561">
                  <c:v>43009</c:v>
                </c:pt>
                <c:pt idx="562">
                  <c:v>43040</c:v>
                </c:pt>
                <c:pt idx="563">
                  <c:v>43070</c:v>
                </c:pt>
                <c:pt idx="564">
                  <c:v>43101</c:v>
                </c:pt>
                <c:pt idx="565">
                  <c:v>43132</c:v>
                </c:pt>
                <c:pt idx="566">
                  <c:v>43160</c:v>
                </c:pt>
                <c:pt idx="567">
                  <c:v>43191</c:v>
                </c:pt>
                <c:pt idx="568">
                  <c:v>43221</c:v>
                </c:pt>
                <c:pt idx="569">
                  <c:v>43252</c:v>
                </c:pt>
                <c:pt idx="570">
                  <c:v>43282</c:v>
                </c:pt>
                <c:pt idx="571">
                  <c:v>43313</c:v>
                </c:pt>
                <c:pt idx="572">
                  <c:v>43344</c:v>
                </c:pt>
                <c:pt idx="573">
                  <c:v>43374</c:v>
                </c:pt>
                <c:pt idx="574">
                  <c:v>43405</c:v>
                </c:pt>
                <c:pt idx="575">
                  <c:v>43435</c:v>
                </c:pt>
                <c:pt idx="576">
                  <c:v>43466</c:v>
                </c:pt>
                <c:pt idx="577">
                  <c:v>43497</c:v>
                </c:pt>
                <c:pt idx="578">
                  <c:v>43525</c:v>
                </c:pt>
                <c:pt idx="579">
                  <c:v>43556</c:v>
                </c:pt>
                <c:pt idx="580">
                  <c:v>43586</c:v>
                </c:pt>
                <c:pt idx="581">
                  <c:v>43617</c:v>
                </c:pt>
                <c:pt idx="582">
                  <c:v>43647</c:v>
                </c:pt>
                <c:pt idx="583">
                  <c:v>43678</c:v>
                </c:pt>
                <c:pt idx="584">
                  <c:v>43709</c:v>
                </c:pt>
                <c:pt idx="585">
                  <c:v>43739</c:v>
                </c:pt>
                <c:pt idx="586">
                  <c:v>43770</c:v>
                </c:pt>
                <c:pt idx="587">
                  <c:v>43800</c:v>
                </c:pt>
                <c:pt idx="588">
                  <c:v>43831</c:v>
                </c:pt>
                <c:pt idx="589">
                  <c:v>43862</c:v>
                </c:pt>
                <c:pt idx="590">
                  <c:v>43891</c:v>
                </c:pt>
                <c:pt idx="591">
                  <c:v>43922</c:v>
                </c:pt>
                <c:pt idx="592">
                  <c:v>43952</c:v>
                </c:pt>
                <c:pt idx="593">
                  <c:v>43983</c:v>
                </c:pt>
                <c:pt idx="594">
                  <c:v>44013</c:v>
                </c:pt>
                <c:pt idx="595">
                  <c:v>44044</c:v>
                </c:pt>
                <c:pt idx="596">
                  <c:v>44075</c:v>
                </c:pt>
                <c:pt idx="597">
                  <c:v>44105</c:v>
                </c:pt>
                <c:pt idx="598">
                  <c:v>44136</c:v>
                </c:pt>
                <c:pt idx="599">
                  <c:v>44166</c:v>
                </c:pt>
                <c:pt idx="600">
                  <c:v>44197</c:v>
                </c:pt>
                <c:pt idx="601">
                  <c:v>44228</c:v>
                </c:pt>
                <c:pt idx="602">
                  <c:v>44256</c:v>
                </c:pt>
                <c:pt idx="603">
                  <c:v>44287</c:v>
                </c:pt>
                <c:pt idx="604">
                  <c:v>44317</c:v>
                </c:pt>
                <c:pt idx="605">
                  <c:v>44348</c:v>
                </c:pt>
                <c:pt idx="606">
                  <c:v>44378</c:v>
                </c:pt>
                <c:pt idx="607">
                  <c:v>44409</c:v>
                </c:pt>
                <c:pt idx="608">
                  <c:v>44440</c:v>
                </c:pt>
                <c:pt idx="609">
                  <c:v>44470</c:v>
                </c:pt>
                <c:pt idx="610">
                  <c:v>44501</c:v>
                </c:pt>
                <c:pt idx="611">
                  <c:v>44531</c:v>
                </c:pt>
              </c:numCache>
            </c:numRef>
          </c:cat>
          <c:val>
            <c:numRef>
              <c:f>CPI!$E$293:$E$905</c:f>
              <c:numCache>
                <c:formatCode>0.00</c:formatCode>
                <c:ptCount val="613"/>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6.5</c:v>
                </c:pt>
                <c:pt idx="355">
                  <c:v>6.5</c:v>
                </c:pt>
                <c:pt idx="356">
                  <c:v>6.5</c:v>
                </c:pt>
                <c:pt idx="357">
                  <c:v>6.5</c:v>
                </c:pt>
                <c:pt idx="358">
                  <c:v>6.5</c:v>
                </c:pt>
                <c:pt idx="359">
                  <c:v>6.5</c:v>
                </c:pt>
                <c:pt idx="360">
                  <c:v>5.5</c:v>
                </c:pt>
                <c:pt idx="361">
                  <c:v>5.5</c:v>
                </c:pt>
                <c:pt idx="362">
                  <c:v>5</c:v>
                </c:pt>
                <c:pt idx="363">
                  <c:v>4.5</c:v>
                </c:pt>
                <c:pt idx="364">
                  <c:v>4</c:v>
                </c:pt>
                <c:pt idx="365">
                  <c:v>3.75</c:v>
                </c:pt>
                <c:pt idx="366">
                  <c:v>3.75</c:v>
                </c:pt>
                <c:pt idx="367">
                  <c:v>3.5</c:v>
                </c:pt>
                <c:pt idx="368">
                  <c:v>3</c:v>
                </c:pt>
                <c:pt idx="369">
                  <c:v>2.5</c:v>
                </c:pt>
                <c:pt idx="370">
                  <c:v>2</c:v>
                </c:pt>
                <c:pt idx="371">
                  <c:v>1.75</c:v>
                </c:pt>
                <c:pt idx="372">
                  <c:v>1.75</c:v>
                </c:pt>
                <c:pt idx="373">
                  <c:v>1.75</c:v>
                </c:pt>
                <c:pt idx="374">
                  <c:v>1.75</c:v>
                </c:pt>
                <c:pt idx="375">
                  <c:v>1.75</c:v>
                </c:pt>
                <c:pt idx="376">
                  <c:v>1.75</c:v>
                </c:pt>
                <c:pt idx="377">
                  <c:v>1.75</c:v>
                </c:pt>
                <c:pt idx="378">
                  <c:v>1.75</c:v>
                </c:pt>
                <c:pt idx="379">
                  <c:v>1.75</c:v>
                </c:pt>
                <c:pt idx="380">
                  <c:v>1.75</c:v>
                </c:pt>
                <c:pt idx="381">
                  <c:v>1.75</c:v>
                </c:pt>
                <c:pt idx="382">
                  <c:v>1.25</c:v>
                </c:pt>
                <c:pt idx="383">
                  <c:v>1.25</c:v>
                </c:pt>
                <c:pt idx="384">
                  <c:v>1.25</c:v>
                </c:pt>
                <c:pt idx="385">
                  <c:v>1.25</c:v>
                </c:pt>
                <c:pt idx="386">
                  <c:v>1.25</c:v>
                </c:pt>
                <c:pt idx="387">
                  <c:v>1.25</c:v>
                </c:pt>
                <c:pt idx="388">
                  <c:v>1.25</c:v>
                </c:pt>
                <c:pt idx="389">
                  <c:v>1</c:v>
                </c:pt>
                <c:pt idx="390">
                  <c:v>1</c:v>
                </c:pt>
                <c:pt idx="391">
                  <c:v>1</c:v>
                </c:pt>
                <c:pt idx="392">
                  <c:v>1</c:v>
                </c:pt>
                <c:pt idx="393">
                  <c:v>1</c:v>
                </c:pt>
                <c:pt idx="394">
                  <c:v>1</c:v>
                </c:pt>
                <c:pt idx="395">
                  <c:v>1</c:v>
                </c:pt>
                <c:pt idx="396">
                  <c:v>1</c:v>
                </c:pt>
                <c:pt idx="397">
                  <c:v>1</c:v>
                </c:pt>
                <c:pt idx="398">
                  <c:v>1</c:v>
                </c:pt>
                <c:pt idx="399">
                  <c:v>1</c:v>
                </c:pt>
                <c:pt idx="400">
                  <c:v>1</c:v>
                </c:pt>
                <c:pt idx="401">
                  <c:v>1.25</c:v>
                </c:pt>
                <c:pt idx="402">
                  <c:v>1.25</c:v>
                </c:pt>
                <c:pt idx="403">
                  <c:v>1.5</c:v>
                </c:pt>
                <c:pt idx="404">
                  <c:v>1.75</c:v>
                </c:pt>
                <c:pt idx="405">
                  <c:v>1.75</c:v>
                </c:pt>
                <c:pt idx="406">
                  <c:v>2</c:v>
                </c:pt>
                <c:pt idx="407">
                  <c:v>2.25</c:v>
                </c:pt>
                <c:pt idx="408">
                  <c:v>2.25</c:v>
                </c:pt>
                <c:pt idx="409">
                  <c:v>2.5</c:v>
                </c:pt>
                <c:pt idx="410">
                  <c:v>2.75</c:v>
                </c:pt>
                <c:pt idx="411">
                  <c:v>2.75</c:v>
                </c:pt>
                <c:pt idx="412">
                  <c:v>3</c:v>
                </c:pt>
                <c:pt idx="413">
                  <c:v>3.25</c:v>
                </c:pt>
                <c:pt idx="414">
                  <c:v>3.25</c:v>
                </c:pt>
                <c:pt idx="415">
                  <c:v>3.5</c:v>
                </c:pt>
                <c:pt idx="416">
                  <c:v>3.75</c:v>
                </c:pt>
                <c:pt idx="417">
                  <c:v>3.75</c:v>
                </c:pt>
                <c:pt idx="418">
                  <c:v>4</c:v>
                </c:pt>
                <c:pt idx="419">
                  <c:v>4.25</c:v>
                </c:pt>
                <c:pt idx="420">
                  <c:v>4.5</c:v>
                </c:pt>
                <c:pt idx="421">
                  <c:v>4.5</c:v>
                </c:pt>
                <c:pt idx="422">
                  <c:v>4.75</c:v>
                </c:pt>
                <c:pt idx="423">
                  <c:v>4.75</c:v>
                </c:pt>
                <c:pt idx="424">
                  <c:v>5</c:v>
                </c:pt>
                <c:pt idx="425">
                  <c:v>5.25</c:v>
                </c:pt>
                <c:pt idx="426">
                  <c:v>5.25</c:v>
                </c:pt>
                <c:pt idx="427">
                  <c:v>5.25</c:v>
                </c:pt>
                <c:pt idx="428">
                  <c:v>5.25</c:v>
                </c:pt>
                <c:pt idx="429">
                  <c:v>5.25</c:v>
                </c:pt>
                <c:pt idx="430">
                  <c:v>5.25</c:v>
                </c:pt>
                <c:pt idx="431">
                  <c:v>5.25</c:v>
                </c:pt>
                <c:pt idx="432">
                  <c:v>5.25</c:v>
                </c:pt>
                <c:pt idx="433">
                  <c:v>5.25</c:v>
                </c:pt>
                <c:pt idx="434">
                  <c:v>5.25</c:v>
                </c:pt>
                <c:pt idx="435">
                  <c:v>5.25</c:v>
                </c:pt>
                <c:pt idx="436">
                  <c:v>5.25</c:v>
                </c:pt>
                <c:pt idx="437">
                  <c:v>5.25</c:v>
                </c:pt>
                <c:pt idx="438">
                  <c:v>5.25</c:v>
                </c:pt>
                <c:pt idx="439">
                  <c:v>5.25</c:v>
                </c:pt>
                <c:pt idx="440">
                  <c:v>4.75</c:v>
                </c:pt>
                <c:pt idx="441">
                  <c:v>4.5</c:v>
                </c:pt>
                <c:pt idx="442">
                  <c:v>4.5</c:v>
                </c:pt>
                <c:pt idx="443">
                  <c:v>4.25</c:v>
                </c:pt>
                <c:pt idx="444">
                  <c:v>3</c:v>
                </c:pt>
                <c:pt idx="445">
                  <c:v>3</c:v>
                </c:pt>
                <c:pt idx="446">
                  <c:v>2.25</c:v>
                </c:pt>
                <c:pt idx="447">
                  <c:v>2</c:v>
                </c:pt>
                <c:pt idx="448">
                  <c:v>2</c:v>
                </c:pt>
                <c:pt idx="449">
                  <c:v>2</c:v>
                </c:pt>
                <c:pt idx="450">
                  <c:v>2</c:v>
                </c:pt>
                <c:pt idx="451">
                  <c:v>2</c:v>
                </c:pt>
                <c:pt idx="452">
                  <c:v>2</c:v>
                </c:pt>
                <c:pt idx="453">
                  <c:v>1</c:v>
                </c:pt>
                <c:pt idx="454">
                  <c:v>1</c:v>
                </c:pt>
                <c:pt idx="455">
                  <c:v>0.25</c:v>
                </c:pt>
                <c:pt idx="456">
                  <c:v>0.25</c:v>
                </c:pt>
                <c:pt idx="457">
                  <c:v>0.25</c:v>
                </c:pt>
                <c:pt idx="458">
                  <c:v>0.25</c:v>
                </c:pt>
                <c:pt idx="459">
                  <c:v>0.25</c:v>
                </c:pt>
                <c:pt idx="460">
                  <c:v>0.25</c:v>
                </c:pt>
                <c:pt idx="461">
                  <c:v>0.25</c:v>
                </c:pt>
                <c:pt idx="462">
                  <c:v>0.25</c:v>
                </c:pt>
                <c:pt idx="463">
                  <c:v>0.25</c:v>
                </c:pt>
                <c:pt idx="464">
                  <c:v>0.25</c:v>
                </c:pt>
                <c:pt idx="465">
                  <c:v>0.25</c:v>
                </c:pt>
                <c:pt idx="466">
                  <c:v>0.25</c:v>
                </c:pt>
                <c:pt idx="467">
                  <c:v>0.25</c:v>
                </c:pt>
                <c:pt idx="468">
                  <c:v>0.25</c:v>
                </c:pt>
                <c:pt idx="469">
                  <c:v>0.25</c:v>
                </c:pt>
                <c:pt idx="470">
                  <c:v>0.25</c:v>
                </c:pt>
                <c:pt idx="471">
                  <c:v>0.25</c:v>
                </c:pt>
                <c:pt idx="472">
                  <c:v>0.25</c:v>
                </c:pt>
                <c:pt idx="473">
                  <c:v>0.25</c:v>
                </c:pt>
                <c:pt idx="474">
                  <c:v>0.25</c:v>
                </c:pt>
                <c:pt idx="475">
                  <c:v>0.25</c:v>
                </c:pt>
                <c:pt idx="476">
                  <c:v>0.25</c:v>
                </c:pt>
                <c:pt idx="477">
                  <c:v>0.25</c:v>
                </c:pt>
                <c:pt idx="478">
                  <c:v>0.25</c:v>
                </c:pt>
                <c:pt idx="479">
                  <c:v>0.25</c:v>
                </c:pt>
                <c:pt idx="480">
                  <c:v>0.25</c:v>
                </c:pt>
                <c:pt idx="481">
                  <c:v>0.25</c:v>
                </c:pt>
                <c:pt idx="482">
                  <c:v>0.25</c:v>
                </c:pt>
                <c:pt idx="483">
                  <c:v>0.25</c:v>
                </c:pt>
                <c:pt idx="484">
                  <c:v>0.25</c:v>
                </c:pt>
                <c:pt idx="485">
                  <c:v>0.25</c:v>
                </c:pt>
                <c:pt idx="486">
                  <c:v>0.25</c:v>
                </c:pt>
                <c:pt idx="487">
                  <c:v>0.25</c:v>
                </c:pt>
                <c:pt idx="488">
                  <c:v>0.25</c:v>
                </c:pt>
                <c:pt idx="489">
                  <c:v>0.25</c:v>
                </c:pt>
                <c:pt idx="490">
                  <c:v>0.25</c:v>
                </c:pt>
                <c:pt idx="491">
                  <c:v>0.25</c:v>
                </c:pt>
                <c:pt idx="492">
                  <c:v>0.25</c:v>
                </c:pt>
                <c:pt idx="493">
                  <c:v>0.25</c:v>
                </c:pt>
                <c:pt idx="494">
                  <c:v>0.25</c:v>
                </c:pt>
                <c:pt idx="495">
                  <c:v>0.25</c:v>
                </c:pt>
                <c:pt idx="496">
                  <c:v>0.25</c:v>
                </c:pt>
                <c:pt idx="497">
                  <c:v>0.25</c:v>
                </c:pt>
                <c:pt idx="498">
                  <c:v>0.25</c:v>
                </c:pt>
                <c:pt idx="499">
                  <c:v>0.25</c:v>
                </c:pt>
                <c:pt idx="500">
                  <c:v>0.25</c:v>
                </c:pt>
                <c:pt idx="501">
                  <c:v>0.25</c:v>
                </c:pt>
                <c:pt idx="502">
                  <c:v>0.25</c:v>
                </c:pt>
                <c:pt idx="503">
                  <c:v>0.25</c:v>
                </c:pt>
                <c:pt idx="504">
                  <c:v>0.25</c:v>
                </c:pt>
                <c:pt idx="505">
                  <c:v>0.25</c:v>
                </c:pt>
                <c:pt idx="506">
                  <c:v>0.25</c:v>
                </c:pt>
                <c:pt idx="507">
                  <c:v>0.25</c:v>
                </c:pt>
                <c:pt idx="508">
                  <c:v>0.25</c:v>
                </c:pt>
                <c:pt idx="509">
                  <c:v>0.25</c:v>
                </c:pt>
                <c:pt idx="510">
                  <c:v>0.25</c:v>
                </c:pt>
                <c:pt idx="511">
                  <c:v>0.25</c:v>
                </c:pt>
                <c:pt idx="512">
                  <c:v>0.25</c:v>
                </c:pt>
                <c:pt idx="513">
                  <c:v>0.25</c:v>
                </c:pt>
                <c:pt idx="514">
                  <c:v>0.25</c:v>
                </c:pt>
                <c:pt idx="515">
                  <c:v>0.25</c:v>
                </c:pt>
                <c:pt idx="516">
                  <c:v>0.25</c:v>
                </c:pt>
                <c:pt idx="517">
                  <c:v>0.25</c:v>
                </c:pt>
                <c:pt idx="518">
                  <c:v>0.25</c:v>
                </c:pt>
                <c:pt idx="519">
                  <c:v>0.25</c:v>
                </c:pt>
                <c:pt idx="520">
                  <c:v>0.25</c:v>
                </c:pt>
                <c:pt idx="521">
                  <c:v>0.25</c:v>
                </c:pt>
                <c:pt idx="522">
                  <c:v>0.25</c:v>
                </c:pt>
                <c:pt idx="523">
                  <c:v>0.25</c:v>
                </c:pt>
                <c:pt idx="524">
                  <c:v>0.25</c:v>
                </c:pt>
                <c:pt idx="525">
                  <c:v>0.25</c:v>
                </c:pt>
                <c:pt idx="526">
                  <c:v>0.25</c:v>
                </c:pt>
                <c:pt idx="527">
                  <c:v>0.25</c:v>
                </c:pt>
                <c:pt idx="528">
                  <c:v>0.25</c:v>
                </c:pt>
                <c:pt idx="529">
                  <c:v>0.25</c:v>
                </c:pt>
                <c:pt idx="530">
                  <c:v>0.25</c:v>
                </c:pt>
                <c:pt idx="531">
                  <c:v>0.25</c:v>
                </c:pt>
                <c:pt idx="532">
                  <c:v>0.25</c:v>
                </c:pt>
                <c:pt idx="533">
                  <c:v>0.25</c:v>
                </c:pt>
                <c:pt idx="534">
                  <c:v>0.25</c:v>
                </c:pt>
                <c:pt idx="535">
                  <c:v>0.25</c:v>
                </c:pt>
                <c:pt idx="536">
                  <c:v>0.25</c:v>
                </c:pt>
                <c:pt idx="537">
                  <c:v>0.25</c:v>
                </c:pt>
                <c:pt idx="538">
                  <c:v>0.25</c:v>
                </c:pt>
                <c:pt idx="539">
                  <c:v>0.5</c:v>
                </c:pt>
                <c:pt idx="540">
                  <c:v>0.5</c:v>
                </c:pt>
                <c:pt idx="541">
                  <c:v>0.5</c:v>
                </c:pt>
                <c:pt idx="542">
                  <c:v>0.5</c:v>
                </c:pt>
                <c:pt idx="543">
                  <c:v>0.5</c:v>
                </c:pt>
                <c:pt idx="544">
                  <c:v>0.5</c:v>
                </c:pt>
                <c:pt idx="545">
                  <c:v>0.5</c:v>
                </c:pt>
                <c:pt idx="546">
                  <c:v>0.5</c:v>
                </c:pt>
                <c:pt idx="547">
                  <c:v>0.5</c:v>
                </c:pt>
                <c:pt idx="548">
                  <c:v>0.5</c:v>
                </c:pt>
                <c:pt idx="549">
                  <c:v>0.5</c:v>
                </c:pt>
                <c:pt idx="550">
                  <c:v>0.5</c:v>
                </c:pt>
                <c:pt idx="551">
                  <c:v>0.75</c:v>
                </c:pt>
                <c:pt idx="552">
                  <c:v>0.75</c:v>
                </c:pt>
                <c:pt idx="553">
                  <c:v>0.75</c:v>
                </c:pt>
                <c:pt idx="554">
                  <c:v>1</c:v>
                </c:pt>
                <c:pt idx="555">
                  <c:v>1</c:v>
                </c:pt>
                <c:pt idx="556">
                  <c:v>1</c:v>
                </c:pt>
                <c:pt idx="557">
                  <c:v>1.25</c:v>
                </c:pt>
                <c:pt idx="558">
                  <c:v>1.25</c:v>
                </c:pt>
                <c:pt idx="559">
                  <c:v>1.25</c:v>
                </c:pt>
                <c:pt idx="560">
                  <c:v>1.25</c:v>
                </c:pt>
                <c:pt idx="561">
                  <c:v>1.25</c:v>
                </c:pt>
                <c:pt idx="562">
                  <c:v>1.25</c:v>
                </c:pt>
                <c:pt idx="563">
                  <c:v>1.5</c:v>
                </c:pt>
                <c:pt idx="564">
                  <c:v>1.5</c:v>
                </c:pt>
                <c:pt idx="565">
                  <c:v>1.5</c:v>
                </c:pt>
                <c:pt idx="566">
                  <c:v>1.75</c:v>
                </c:pt>
                <c:pt idx="567">
                  <c:v>1.75</c:v>
                </c:pt>
                <c:pt idx="568">
                  <c:v>1.75</c:v>
                </c:pt>
                <c:pt idx="569">
                  <c:v>2</c:v>
                </c:pt>
                <c:pt idx="570">
                  <c:v>2</c:v>
                </c:pt>
                <c:pt idx="571">
                  <c:v>2</c:v>
                </c:pt>
                <c:pt idx="572">
                  <c:v>2.25</c:v>
                </c:pt>
                <c:pt idx="573">
                  <c:v>2.25</c:v>
                </c:pt>
                <c:pt idx="574">
                  <c:v>2.25</c:v>
                </c:pt>
                <c:pt idx="575">
                  <c:v>2.5</c:v>
                </c:pt>
                <c:pt idx="576">
                  <c:v>2.5</c:v>
                </c:pt>
                <c:pt idx="577">
                  <c:v>2.5</c:v>
                </c:pt>
                <c:pt idx="578">
                  <c:v>2.5</c:v>
                </c:pt>
                <c:pt idx="579">
                  <c:v>2.5</c:v>
                </c:pt>
                <c:pt idx="580">
                  <c:v>2.5</c:v>
                </c:pt>
                <c:pt idx="581">
                  <c:v>2.5</c:v>
                </c:pt>
                <c:pt idx="582">
                  <c:v>2.5</c:v>
                </c:pt>
                <c:pt idx="583">
                  <c:v>2.25</c:v>
                </c:pt>
                <c:pt idx="584">
                  <c:v>2</c:v>
                </c:pt>
                <c:pt idx="585">
                  <c:v>1.75</c:v>
                </c:pt>
                <c:pt idx="586">
                  <c:v>1.75</c:v>
                </c:pt>
                <c:pt idx="587">
                  <c:v>1.75</c:v>
                </c:pt>
                <c:pt idx="588">
                  <c:v>1.75</c:v>
                </c:pt>
                <c:pt idx="589">
                  <c:v>1.75</c:v>
                </c:pt>
                <c:pt idx="590">
                  <c:v>0.25</c:v>
                </c:pt>
                <c:pt idx="591">
                  <c:v>0.25</c:v>
                </c:pt>
                <c:pt idx="592">
                  <c:v>0.25</c:v>
                </c:pt>
                <c:pt idx="593">
                  <c:v>0.25</c:v>
                </c:pt>
                <c:pt idx="594">
                  <c:v>0.25</c:v>
                </c:pt>
                <c:pt idx="595">
                  <c:v>0.25</c:v>
                </c:pt>
                <c:pt idx="596">
                  <c:v>0.25</c:v>
                </c:pt>
                <c:pt idx="597">
                  <c:v>0.25</c:v>
                </c:pt>
                <c:pt idx="598">
                  <c:v>0.25</c:v>
                </c:pt>
                <c:pt idx="599">
                  <c:v>0.25</c:v>
                </c:pt>
                <c:pt idx="600">
                  <c:v>0.25</c:v>
                </c:pt>
                <c:pt idx="601">
                  <c:v>0.25</c:v>
                </c:pt>
                <c:pt idx="602">
                  <c:v>0.25</c:v>
                </c:pt>
                <c:pt idx="603">
                  <c:v>0.25</c:v>
                </c:pt>
                <c:pt idx="604">
                  <c:v>0.25</c:v>
                </c:pt>
                <c:pt idx="605">
                  <c:v>0.25</c:v>
                </c:pt>
                <c:pt idx="606">
                  <c:v>0.25</c:v>
                </c:pt>
                <c:pt idx="607">
                  <c:v>0.25</c:v>
                </c:pt>
                <c:pt idx="608">
                  <c:v>0.25</c:v>
                </c:pt>
                <c:pt idx="609">
                  <c:v>0.25</c:v>
                </c:pt>
                <c:pt idx="610">
                  <c:v>0.25</c:v>
                </c:pt>
                <c:pt idx="611">
                  <c:v>0.25</c:v>
                </c:pt>
              </c:numCache>
            </c:numRef>
          </c:val>
          <c:smooth val="0"/>
          <c:extLst>
            <c:ext xmlns:c16="http://schemas.microsoft.com/office/drawing/2014/chart" uri="{C3380CC4-5D6E-409C-BE32-E72D297353CC}">
              <c16:uniqueId val="{00000001-AD1C-E84B-B5FD-2CC66822FE81}"/>
            </c:ext>
          </c:extLst>
        </c:ser>
        <c:dLbls>
          <c:showLegendKey val="0"/>
          <c:showVal val="0"/>
          <c:showCatName val="0"/>
          <c:showSerName val="0"/>
          <c:showPercent val="0"/>
          <c:showBubbleSize val="0"/>
        </c:dLbls>
        <c:marker val="1"/>
        <c:smooth val="0"/>
        <c:axId val="1459838592"/>
        <c:axId val="1459837280"/>
      </c:lineChart>
      <c:dateAx>
        <c:axId val="1459840560"/>
        <c:scaling>
          <c:orientation val="minMax"/>
          <c:min val="26115"/>
        </c:scaling>
        <c:delete val="0"/>
        <c:axPos val="b"/>
        <c:numFmt formatCode="[$-409]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459841872"/>
        <c:crosses val="autoZero"/>
        <c:auto val="0"/>
        <c:lblOffset val="100"/>
        <c:baseTimeUnit val="months"/>
        <c:majorUnit val="24"/>
        <c:majorTimeUnit val="months"/>
      </c:dateAx>
      <c:valAx>
        <c:axId val="1459841872"/>
        <c:scaling>
          <c:orientation val="minMax"/>
          <c:min val="0"/>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459840560"/>
        <c:crosses val="autoZero"/>
        <c:crossBetween val="between"/>
      </c:valAx>
      <c:dateAx>
        <c:axId val="1459838592"/>
        <c:scaling>
          <c:orientation val="minMax"/>
        </c:scaling>
        <c:delete val="1"/>
        <c:axPos val="b"/>
        <c:numFmt formatCode="[$-409]mmm\-yy;@" sourceLinked="1"/>
        <c:majorTickMark val="out"/>
        <c:minorTickMark val="none"/>
        <c:tickLblPos val="nextTo"/>
        <c:crossAx val="1459837280"/>
        <c:crosses val="autoZero"/>
        <c:auto val="0"/>
        <c:lblOffset val="100"/>
        <c:baseTimeUnit val="months"/>
      </c:dateAx>
      <c:valAx>
        <c:axId val="1459837280"/>
        <c:scaling>
          <c:orientation val="minMax"/>
          <c:max val="20"/>
        </c:scaling>
        <c:delete val="0"/>
        <c:axPos val="r"/>
        <c:numFmt formatCode="0.00" sourceLinked="1"/>
        <c:majorTickMark val="out"/>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459838592"/>
        <c:crosses val="max"/>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strike="noStrike" kern="1200" spc="0" baseline="0">
                <a:solidFill>
                  <a:schemeClr val="tx1">
                    <a:lumMod val="65000"/>
                    <a:lumOff val="35000"/>
                  </a:schemeClr>
                </a:solidFill>
                <a:latin typeface="+mn-lt"/>
                <a:ea typeface="+mn-ea"/>
                <a:cs typeface="+mn-cs"/>
              </a:defRPr>
            </a:pPr>
            <a:r>
              <a:rPr lang="en-US" b="1"/>
              <a:t>CPI Food y/y % since 1968</a:t>
            </a:r>
          </a:p>
        </c:rich>
      </c:tx>
      <c:overlay val="0"/>
      <c:spPr>
        <a:noFill/>
        <a:ln>
          <a:noFill/>
          <a:prstDash val="solid"/>
        </a:ln>
      </c:spPr>
    </c:title>
    <c:autoTitleDeleted val="0"/>
    <c:plotArea>
      <c:layout/>
      <c:lineChart>
        <c:grouping val="standard"/>
        <c:varyColors val="0"/>
        <c:ser>
          <c:idx val="2"/>
          <c:order val="0"/>
          <c:tx>
            <c:strRef>
              <c:f>'CPI Food'!$D$4</c:f>
              <c:strCache>
                <c:ptCount val="1"/>
                <c:pt idx="0">
                  <c:v>Food and Beverages y/y %</c:v>
                </c:pt>
              </c:strCache>
            </c:strRef>
          </c:tx>
          <c:spPr>
            <a:ln w="28575" cap="rnd">
              <a:solidFill>
                <a:schemeClr val="accent3"/>
              </a:solidFill>
              <a:prstDash val="solid"/>
              <a:round/>
            </a:ln>
          </c:spPr>
          <c:marker>
            <c:symbol val="none"/>
          </c:marker>
          <c:cat>
            <c:numRef>
              <c:f>'CPI Food'!$A$17:$A$902</c:f>
              <c:numCache>
                <c:formatCode>[$-409]mmm\-yy;@</c:formatCode>
                <c:ptCount val="886"/>
                <c:pt idx="0">
                  <c:v>24838</c:v>
                </c:pt>
                <c:pt idx="1">
                  <c:v>24869</c:v>
                </c:pt>
                <c:pt idx="2">
                  <c:v>24898</c:v>
                </c:pt>
                <c:pt idx="3">
                  <c:v>24929</c:v>
                </c:pt>
                <c:pt idx="4">
                  <c:v>24959</c:v>
                </c:pt>
                <c:pt idx="5">
                  <c:v>24990</c:v>
                </c:pt>
                <c:pt idx="6">
                  <c:v>25020</c:v>
                </c:pt>
                <c:pt idx="7">
                  <c:v>25051</c:v>
                </c:pt>
                <c:pt idx="8">
                  <c:v>25082</c:v>
                </c:pt>
                <c:pt idx="9">
                  <c:v>25112</c:v>
                </c:pt>
                <c:pt idx="10">
                  <c:v>25143</c:v>
                </c:pt>
                <c:pt idx="11">
                  <c:v>25173</c:v>
                </c:pt>
                <c:pt idx="12">
                  <c:v>25204</c:v>
                </c:pt>
                <c:pt idx="13">
                  <c:v>25235</c:v>
                </c:pt>
                <c:pt idx="14">
                  <c:v>25263</c:v>
                </c:pt>
                <c:pt idx="15">
                  <c:v>25294</c:v>
                </c:pt>
                <c:pt idx="16">
                  <c:v>25324</c:v>
                </c:pt>
                <c:pt idx="17">
                  <c:v>25355</c:v>
                </c:pt>
                <c:pt idx="18">
                  <c:v>25385</c:v>
                </c:pt>
                <c:pt idx="19">
                  <c:v>25416</c:v>
                </c:pt>
                <c:pt idx="20">
                  <c:v>25447</c:v>
                </c:pt>
                <c:pt idx="21">
                  <c:v>25477</c:v>
                </c:pt>
                <c:pt idx="22">
                  <c:v>25508</c:v>
                </c:pt>
                <c:pt idx="23">
                  <c:v>25538</c:v>
                </c:pt>
                <c:pt idx="24">
                  <c:v>25569</c:v>
                </c:pt>
                <c:pt idx="25">
                  <c:v>25600</c:v>
                </c:pt>
                <c:pt idx="26">
                  <c:v>25628</c:v>
                </c:pt>
                <c:pt idx="27">
                  <c:v>25659</c:v>
                </c:pt>
                <c:pt idx="28">
                  <c:v>25689</c:v>
                </c:pt>
                <c:pt idx="29">
                  <c:v>25720</c:v>
                </c:pt>
                <c:pt idx="30">
                  <c:v>25750</c:v>
                </c:pt>
                <c:pt idx="31">
                  <c:v>25781</c:v>
                </c:pt>
                <c:pt idx="32">
                  <c:v>25812</c:v>
                </c:pt>
                <c:pt idx="33">
                  <c:v>25842</c:v>
                </c:pt>
                <c:pt idx="34">
                  <c:v>25873</c:v>
                </c:pt>
                <c:pt idx="35">
                  <c:v>25903</c:v>
                </c:pt>
                <c:pt idx="36">
                  <c:v>25934</c:v>
                </c:pt>
                <c:pt idx="37">
                  <c:v>25965</c:v>
                </c:pt>
                <c:pt idx="38">
                  <c:v>25993</c:v>
                </c:pt>
                <c:pt idx="39">
                  <c:v>26024</c:v>
                </c:pt>
                <c:pt idx="40">
                  <c:v>26054</c:v>
                </c:pt>
                <c:pt idx="41">
                  <c:v>26085</c:v>
                </c:pt>
                <c:pt idx="42">
                  <c:v>26115</c:v>
                </c:pt>
                <c:pt idx="43">
                  <c:v>26146</c:v>
                </c:pt>
                <c:pt idx="44">
                  <c:v>26177</c:v>
                </c:pt>
                <c:pt idx="45">
                  <c:v>26207</c:v>
                </c:pt>
                <c:pt idx="46">
                  <c:v>26238</c:v>
                </c:pt>
                <c:pt idx="47">
                  <c:v>26268</c:v>
                </c:pt>
                <c:pt idx="48">
                  <c:v>26299</c:v>
                </c:pt>
                <c:pt idx="49">
                  <c:v>26330</c:v>
                </c:pt>
                <c:pt idx="50">
                  <c:v>26359</c:v>
                </c:pt>
                <c:pt idx="51">
                  <c:v>26390</c:v>
                </c:pt>
                <c:pt idx="52">
                  <c:v>26420</c:v>
                </c:pt>
                <c:pt idx="53">
                  <c:v>26451</c:v>
                </c:pt>
                <c:pt idx="54">
                  <c:v>26481</c:v>
                </c:pt>
                <c:pt idx="55">
                  <c:v>26512</c:v>
                </c:pt>
                <c:pt idx="56">
                  <c:v>26543</c:v>
                </c:pt>
                <c:pt idx="57">
                  <c:v>26573</c:v>
                </c:pt>
                <c:pt idx="58">
                  <c:v>26604</c:v>
                </c:pt>
                <c:pt idx="59">
                  <c:v>26634</c:v>
                </c:pt>
                <c:pt idx="60">
                  <c:v>26665</c:v>
                </c:pt>
                <c:pt idx="61">
                  <c:v>26696</c:v>
                </c:pt>
                <c:pt idx="62">
                  <c:v>26724</c:v>
                </c:pt>
                <c:pt idx="63">
                  <c:v>26755</c:v>
                </c:pt>
                <c:pt idx="64">
                  <c:v>26785</c:v>
                </c:pt>
                <c:pt idx="65">
                  <c:v>26816</c:v>
                </c:pt>
                <c:pt idx="66">
                  <c:v>26846</c:v>
                </c:pt>
                <c:pt idx="67">
                  <c:v>26877</c:v>
                </c:pt>
                <c:pt idx="68">
                  <c:v>26908</c:v>
                </c:pt>
                <c:pt idx="69">
                  <c:v>26938</c:v>
                </c:pt>
                <c:pt idx="70">
                  <c:v>26969</c:v>
                </c:pt>
                <c:pt idx="71">
                  <c:v>26999</c:v>
                </c:pt>
                <c:pt idx="72">
                  <c:v>27030</c:v>
                </c:pt>
                <c:pt idx="73">
                  <c:v>27061</c:v>
                </c:pt>
                <c:pt idx="74">
                  <c:v>27089</c:v>
                </c:pt>
                <c:pt idx="75">
                  <c:v>27120</c:v>
                </c:pt>
                <c:pt idx="76">
                  <c:v>27150</c:v>
                </c:pt>
                <c:pt idx="77">
                  <c:v>27181</c:v>
                </c:pt>
                <c:pt idx="78">
                  <c:v>27211</c:v>
                </c:pt>
                <c:pt idx="79">
                  <c:v>27242</c:v>
                </c:pt>
                <c:pt idx="80">
                  <c:v>27273</c:v>
                </c:pt>
                <c:pt idx="81">
                  <c:v>27303</c:v>
                </c:pt>
                <c:pt idx="82">
                  <c:v>27334</c:v>
                </c:pt>
                <c:pt idx="83">
                  <c:v>27364</c:v>
                </c:pt>
                <c:pt idx="84">
                  <c:v>27395</c:v>
                </c:pt>
                <c:pt idx="85">
                  <c:v>27426</c:v>
                </c:pt>
                <c:pt idx="86">
                  <c:v>27454</c:v>
                </c:pt>
                <c:pt idx="87">
                  <c:v>27485</c:v>
                </c:pt>
                <c:pt idx="88">
                  <c:v>27515</c:v>
                </c:pt>
                <c:pt idx="89">
                  <c:v>27546</c:v>
                </c:pt>
                <c:pt idx="90">
                  <c:v>27576</c:v>
                </c:pt>
                <c:pt idx="91">
                  <c:v>27607</c:v>
                </c:pt>
                <c:pt idx="92">
                  <c:v>27638</c:v>
                </c:pt>
                <c:pt idx="93">
                  <c:v>27668</c:v>
                </c:pt>
                <c:pt idx="94">
                  <c:v>27699</c:v>
                </c:pt>
                <c:pt idx="95">
                  <c:v>27729</c:v>
                </c:pt>
                <c:pt idx="96">
                  <c:v>27760</c:v>
                </c:pt>
                <c:pt idx="97">
                  <c:v>27791</c:v>
                </c:pt>
                <c:pt idx="98">
                  <c:v>27820</c:v>
                </c:pt>
                <c:pt idx="99">
                  <c:v>27851</c:v>
                </c:pt>
                <c:pt idx="100">
                  <c:v>27881</c:v>
                </c:pt>
                <c:pt idx="101">
                  <c:v>27912</c:v>
                </c:pt>
                <c:pt idx="102">
                  <c:v>27942</c:v>
                </c:pt>
                <c:pt idx="103">
                  <c:v>27973</c:v>
                </c:pt>
                <c:pt idx="104">
                  <c:v>28004</c:v>
                </c:pt>
                <c:pt idx="105">
                  <c:v>28034</c:v>
                </c:pt>
                <c:pt idx="106">
                  <c:v>28065</c:v>
                </c:pt>
                <c:pt idx="107">
                  <c:v>28095</c:v>
                </c:pt>
                <c:pt idx="108">
                  <c:v>28126</c:v>
                </c:pt>
                <c:pt idx="109">
                  <c:v>28157</c:v>
                </c:pt>
                <c:pt idx="110">
                  <c:v>28185</c:v>
                </c:pt>
                <c:pt idx="111">
                  <c:v>28216</c:v>
                </c:pt>
                <c:pt idx="112">
                  <c:v>28246</c:v>
                </c:pt>
                <c:pt idx="113">
                  <c:v>28277</c:v>
                </c:pt>
                <c:pt idx="114">
                  <c:v>28307</c:v>
                </c:pt>
                <c:pt idx="115">
                  <c:v>28338</c:v>
                </c:pt>
                <c:pt idx="116">
                  <c:v>28369</c:v>
                </c:pt>
                <c:pt idx="117">
                  <c:v>28399</c:v>
                </c:pt>
                <c:pt idx="118">
                  <c:v>28430</c:v>
                </c:pt>
                <c:pt idx="119">
                  <c:v>28460</c:v>
                </c:pt>
                <c:pt idx="120">
                  <c:v>28491</c:v>
                </c:pt>
                <c:pt idx="121">
                  <c:v>28522</c:v>
                </c:pt>
                <c:pt idx="122">
                  <c:v>28550</c:v>
                </c:pt>
                <c:pt idx="123">
                  <c:v>28581</c:v>
                </c:pt>
                <c:pt idx="124">
                  <c:v>28611</c:v>
                </c:pt>
                <c:pt idx="125">
                  <c:v>28642</c:v>
                </c:pt>
                <c:pt idx="126">
                  <c:v>28672</c:v>
                </c:pt>
                <c:pt idx="127">
                  <c:v>28703</c:v>
                </c:pt>
                <c:pt idx="128">
                  <c:v>28734</c:v>
                </c:pt>
                <c:pt idx="129">
                  <c:v>28764</c:v>
                </c:pt>
                <c:pt idx="130">
                  <c:v>28795</c:v>
                </c:pt>
                <c:pt idx="131">
                  <c:v>28825</c:v>
                </c:pt>
                <c:pt idx="132">
                  <c:v>28856</c:v>
                </c:pt>
                <c:pt idx="133">
                  <c:v>28887</c:v>
                </c:pt>
                <c:pt idx="134">
                  <c:v>28915</c:v>
                </c:pt>
                <c:pt idx="135">
                  <c:v>28946</c:v>
                </c:pt>
                <c:pt idx="136">
                  <c:v>28976</c:v>
                </c:pt>
                <c:pt idx="137">
                  <c:v>29007</c:v>
                </c:pt>
                <c:pt idx="138">
                  <c:v>29037</c:v>
                </c:pt>
                <c:pt idx="139">
                  <c:v>29068</c:v>
                </c:pt>
                <c:pt idx="140">
                  <c:v>29099</c:v>
                </c:pt>
                <c:pt idx="141">
                  <c:v>29129</c:v>
                </c:pt>
                <c:pt idx="142">
                  <c:v>29160</c:v>
                </c:pt>
                <c:pt idx="143">
                  <c:v>29190</c:v>
                </c:pt>
                <c:pt idx="144">
                  <c:v>29221</c:v>
                </c:pt>
                <c:pt idx="145">
                  <c:v>29252</c:v>
                </c:pt>
                <c:pt idx="146">
                  <c:v>29281</c:v>
                </c:pt>
                <c:pt idx="147">
                  <c:v>29312</c:v>
                </c:pt>
                <c:pt idx="148">
                  <c:v>29342</c:v>
                </c:pt>
                <c:pt idx="149">
                  <c:v>29373</c:v>
                </c:pt>
                <c:pt idx="150">
                  <c:v>29403</c:v>
                </c:pt>
                <c:pt idx="151">
                  <c:v>29434</c:v>
                </c:pt>
                <c:pt idx="152">
                  <c:v>29465</c:v>
                </c:pt>
                <c:pt idx="153">
                  <c:v>29495</c:v>
                </c:pt>
                <c:pt idx="154">
                  <c:v>29526</c:v>
                </c:pt>
                <c:pt idx="155">
                  <c:v>29556</c:v>
                </c:pt>
                <c:pt idx="156">
                  <c:v>29587</c:v>
                </c:pt>
                <c:pt idx="157">
                  <c:v>29618</c:v>
                </c:pt>
                <c:pt idx="158">
                  <c:v>29646</c:v>
                </c:pt>
                <c:pt idx="159">
                  <c:v>29677</c:v>
                </c:pt>
                <c:pt idx="160">
                  <c:v>29707</c:v>
                </c:pt>
                <c:pt idx="161">
                  <c:v>29738</c:v>
                </c:pt>
                <c:pt idx="162">
                  <c:v>29768</c:v>
                </c:pt>
                <c:pt idx="163">
                  <c:v>29799</c:v>
                </c:pt>
                <c:pt idx="164">
                  <c:v>29830</c:v>
                </c:pt>
                <c:pt idx="165">
                  <c:v>29860</c:v>
                </c:pt>
                <c:pt idx="166">
                  <c:v>29891</c:v>
                </c:pt>
                <c:pt idx="167">
                  <c:v>29921</c:v>
                </c:pt>
                <c:pt idx="168">
                  <c:v>29952</c:v>
                </c:pt>
                <c:pt idx="169">
                  <c:v>29983</c:v>
                </c:pt>
                <c:pt idx="170">
                  <c:v>30011</c:v>
                </c:pt>
                <c:pt idx="171">
                  <c:v>30042</c:v>
                </c:pt>
                <c:pt idx="172">
                  <c:v>30072</c:v>
                </c:pt>
                <c:pt idx="173">
                  <c:v>30103</c:v>
                </c:pt>
                <c:pt idx="174">
                  <c:v>30133</c:v>
                </c:pt>
                <c:pt idx="175">
                  <c:v>30164</c:v>
                </c:pt>
                <c:pt idx="176">
                  <c:v>30195</c:v>
                </c:pt>
                <c:pt idx="177">
                  <c:v>30225</c:v>
                </c:pt>
                <c:pt idx="178">
                  <c:v>30256</c:v>
                </c:pt>
                <c:pt idx="179">
                  <c:v>30286</c:v>
                </c:pt>
                <c:pt idx="180">
                  <c:v>30317</c:v>
                </c:pt>
                <c:pt idx="181">
                  <c:v>30348</c:v>
                </c:pt>
                <c:pt idx="182">
                  <c:v>30376</c:v>
                </c:pt>
                <c:pt idx="183">
                  <c:v>30407</c:v>
                </c:pt>
                <c:pt idx="184">
                  <c:v>30437</c:v>
                </c:pt>
                <c:pt idx="185">
                  <c:v>30468</c:v>
                </c:pt>
                <c:pt idx="186">
                  <c:v>30498</c:v>
                </c:pt>
                <c:pt idx="187">
                  <c:v>30529</c:v>
                </c:pt>
                <c:pt idx="188">
                  <c:v>30560</c:v>
                </c:pt>
                <c:pt idx="189">
                  <c:v>30590</c:v>
                </c:pt>
                <c:pt idx="190">
                  <c:v>30621</c:v>
                </c:pt>
                <c:pt idx="191">
                  <c:v>30651</c:v>
                </c:pt>
                <c:pt idx="192">
                  <c:v>30682</c:v>
                </c:pt>
                <c:pt idx="193">
                  <c:v>30713</c:v>
                </c:pt>
                <c:pt idx="194">
                  <c:v>30742</c:v>
                </c:pt>
                <c:pt idx="195">
                  <c:v>30773</c:v>
                </c:pt>
                <c:pt idx="196">
                  <c:v>30803</c:v>
                </c:pt>
                <c:pt idx="197">
                  <c:v>30834</c:v>
                </c:pt>
                <c:pt idx="198">
                  <c:v>30864</c:v>
                </c:pt>
                <c:pt idx="199">
                  <c:v>30895</c:v>
                </c:pt>
                <c:pt idx="200">
                  <c:v>30926</c:v>
                </c:pt>
                <c:pt idx="201">
                  <c:v>30956</c:v>
                </c:pt>
                <c:pt idx="202">
                  <c:v>30987</c:v>
                </c:pt>
                <c:pt idx="203">
                  <c:v>31017</c:v>
                </c:pt>
                <c:pt idx="204">
                  <c:v>31048</c:v>
                </c:pt>
                <c:pt idx="205">
                  <c:v>31079</c:v>
                </c:pt>
                <c:pt idx="206">
                  <c:v>31107</c:v>
                </c:pt>
                <c:pt idx="207">
                  <c:v>31138</c:v>
                </c:pt>
                <c:pt idx="208">
                  <c:v>31168</c:v>
                </c:pt>
                <c:pt idx="209">
                  <c:v>31199</c:v>
                </c:pt>
                <c:pt idx="210">
                  <c:v>31229</c:v>
                </c:pt>
                <c:pt idx="211">
                  <c:v>31260</c:v>
                </c:pt>
                <c:pt idx="212">
                  <c:v>31291</c:v>
                </c:pt>
                <c:pt idx="213">
                  <c:v>31321</c:v>
                </c:pt>
                <c:pt idx="214">
                  <c:v>31352</c:v>
                </c:pt>
                <c:pt idx="215">
                  <c:v>31382</c:v>
                </c:pt>
                <c:pt idx="216">
                  <c:v>31413</c:v>
                </c:pt>
                <c:pt idx="217">
                  <c:v>31444</c:v>
                </c:pt>
                <c:pt idx="218">
                  <c:v>31472</c:v>
                </c:pt>
                <c:pt idx="219">
                  <c:v>31503</c:v>
                </c:pt>
                <c:pt idx="220">
                  <c:v>31533</c:v>
                </c:pt>
                <c:pt idx="221">
                  <c:v>31564</c:v>
                </c:pt>
                <c:pt idx="222">
                  <c:v>31594</c:v>
                </c:pt>
                <c:pt idx="223">
                  <c:v>31625</c:v>
                </c:pt>
                <c:pt idx="224">
                  <c:v>31656</c:v>
                </c:pt>
                <c:pt idx="225">
                  <c:v>31686</c:v>
                </c:pt>
                <c:pt idx="226">
                  <c:v>31717</c:v>
                </c:pt>
                <c:pt idx="227">
                  <c:v>31747</c:v>
                </c:pt>
                <c:pt idx="228">
                  <c:v>31778</c:v>
                </c:pt>
                <c:pt idx="229">
                  <c:v>31809</c:v>
                </c:pt>
                <c:pt idx="230">
                  <c:v>31837</c:v>
                </c:pt>
                <c:pt idx="231">
                  <c:v>31868</c:v>
                </c:pt>
                <c:pt idx="232">
                  <c:v>31898</c:v>
                </c:pt>
                <c:pt idx="233">
                  <c:v>31929</c:v>
                </c:pt>
                <c:pt idx="234">
                  <c:v>31959</c:v>
                </c:pt>
                <c:pt idx="235">
                  <c:v>31990</c:v>
                </c:pt>
                <c:pt idx="236">
                  <c:v>32021</c:v>
                </c:pt>
                <c:pt idx="237">
                  <c:v>32051</c:v>
                </c:pt>
                <c:pt idx="238">
                  <c:v>32082</c:v>
                </c:pt>
                <c:pt idx="239">
                  <c:v>32112</c:v>
                </c:pt>
                <c:pt idx="240">
                  <c:v>32143</c:v>
                </c:pt>
                <c:pt idx="241">
                  <c:v>32174</c:v>
                </c:pt>
                <c:pt idx="242">
                  <c:v>32203</c:v>
                </c:pt>
                <c:pt idx="243">
                  <c:v>32234</c:v>
                </c:pt>
                <c:pt idx="244">
                  <c:v>32264</c:v>
                </c:pt>
                <c:pt idx="245">
                  <c:v>32295</c:v>
                </c:pt>
                <c:pt idx="246">
                  <c:v>32325</c:v>
                </c:pt>
                <c:pt idx="247">
                  <c:v>32356</c:v>
                </c:pt>
                <c:pt idx="248">
                  <c:v>32387</c:v>
                </c:pt>
                <c:pt idx="249">
                  <c:v>32417</c:v>
                </c:pt>
                <c:pt idx="250">
                  <c:v>32448</c:v>
                </c:pt>
                <c:pt idx="251">
                  <c:v>32478</c:v>
                </c:pt>
                <c:pt idx="252">
                  <c:v>32509</c:v>
                </c:pt>
                <c:pt idx="253">
                  <c:v>32540</c:v>
                </c:pt>
                <c:pt idx="254">
                  <c:v>32568</c:v>
                </c:pt>
                <c:pt idx="255">
                  <c:v>32599</c:v>
                </c:pt>
                <c:pt idx="256">
                  <c:v>32629</c:v>
                </c:pt>
                <c:pt idx="257">
                  <c:v>32660</c:v>
                </c:pt>
                <c:pt idx="258">
                  <c:v>32690</c:v>
                </c:pt>
                <c:pt idx="259">
                  <c:v>32721</c:v>
                </c:pt>
                <c:pt idx="260">
                  <c:v>32752</c:v>
                </c:pt>
                <c:pt idx="261">
                  <c:v>32782</c:v>
                </c:pt>
                <c:pt idx="262">
                  <c:v>32813</c:v>
                </c:pt>
                <c:pt idx="263">
                  <c:v>32843</c:v>
                </c:pt>
                <c:pt idx="264">
                  <c:v>32874</c:v>
                </c:pt>
                <c:pt idx="265">
                  <c:v>32905</c:v>
                </c:pt>
                <c:pt idx="266">
                  <c:v>32933</c:v>
                </c:pt>
                <c:pt idx="267">
                  <c:v>32964</c:v>
                </c:pt>
                <c:pt idx="268">
                  <c:v>32994</c:v>
                </c:pt>
                <c:pt idx="269">
                  <c:v>33025</c:v>
                </c:pt>
                <c:pt idx="270">
                  <c:v>33055</c:v>
                </c:pt>
                <c:pt idx="271">
                  <c:v>33086</c:v>
                </c:pt>
                <c:pt idx="272">
                  <c:v>33117</c:v>
                </c:pt>
                <c:pt idx="273">
                  <c:v>33147</c:v>
                </c:pt>
                <c:pt idx="274">
                  <c:v>33178</c:v>
                </c:pt>
                <c:pt idx="275">
                  <c:v>33208</c:v>
                </c:pt>
                <c:pt idx="276">
                  <c:v>33239</c:v>
                </c:pt>
                <c:pt idx="277">
                  <c:v>33270</c:v>
                </c:pt>
                <c:pt idx="278">
                  <c:v>33298</c:v>
                </c:pt>
                <c:pt idx="279">
                  <c:v>33329</c:v>
                </c:pt>
                <c:pt idx="280">
                  <c:v>33359</c:v>
                </c:pt>
                <c:pt idx="281">
                  <c:v>33390</c:v>
                </c:pt>
                <c:pt idx="282">
                  <c:v>33420</c:v>
                </c:pt>
                <c:pt idx="283">
                  <c:v>33451</c:v>
                </c:pt>
                <c:pt idx="284">
                  <c:v>33482</c:v>
                </c:pt>
                <c:pt idx="285">
                  <c:v>33512</c:v>
                </c:pt>
                <c:pt idx="286">
                  <c:v>33543</c:v>
                </c:pt>
                <c:pt idx="287">
                  <c:v>33573</c:v>
                </c:pt>
                <c:pt idx="288">
                  <c:v>33604</c:v>
                </c:pt>
                <c:pt idx="289">
                  <c:v>33635</c:v>
                </c:pt>
                <c:pt idx="290">
                  <c:v>33664</c:v>
                </c:pt>
                <c:pt idx="291">
                  <c:v>33695</c:v>
                </c:pt>
                <c:pt idx="292">
                  <c:v>33725</c:v>
                </c:pt>
                <c:pt idx="293">
                  <c:v>33756</c:v>
                </c:pt>
                <c:pt idx="294">
                  <c:v>33786</c:v>
                </c:pt>
                <c:pt idx="295">
                  <c:v>33817</c:v>
                </c:pt>
                <c:pt idx="296">
                  <c:v>33848</c:v>
                </c:pt>
                <c:pt idx="297">
                  <c:v>33878</c:v>
                </c:pt>
                <c:pt idx="298">
                  <c:v>33909</c:v>
                </c:pt>
                <c:pt idx="299">
                  <c:v>33939</c:v>
                </c:pt>
                <c:pt idx="300">
                  <c:v>33970</c:v>
                </c:pt>
                <c:pt idx="301">
                  <c:v>34001</c:v>
                </c:pt>
                <c:pt idx="302">
                  <c:v>34029</c:v>
                </c:pt>
                <c:pt idx="303">
                  <c:v>34060</c:v>
                </c:pt>
                <c:pt idx="304">
                  <c:v>34090</c:v>
                </c:pt>
                <c:pt idx="305">
                  <c:v>34121</c:v>
                </c:pt>
                <c:pt idx="306">
                  <c:v>34151</c:v>
                </c:pt>
                <c:pt idx="307">
                  <c:v>34182</c:v>
                </c:pt>
                <c:pt idx="308">
                  <c:v>34213</c:v>
                </c:pt>
                <c:pt idx="309">
                  <c:v>34243</c:v>
                </c:pt>
                <c:pt idx="310">
                  <c:v>34274</c:v>
                </c:pt>
                <c:pt idx="311">
                  <c:v>34304</c:v>
                </c:pt>
                <c:pt idx="312">
                  <c:v>34335</c:v>
                </c:pt>
                <c:pt idx="313">
                  <c:v>34366</c:v>
                </c:pt>
                <c:pt idx="314">
                  <c:v>34394</c:v>
                </c:pt>
                <c:pt idx="315">
                  <c:v>34425</c:v>
                </c:pt>
                <c:pt idx="316">
                  <c:v>34455</c:v>
                </c:pt>
                <c:pt idx="317">
                  <c:v>34486</c:v>
                </c:pt>
                <c:pt idx="318">
                  <c:v>34516</c:v>
                </c:pt>
                <c:pt idx="319">
                  <c:v>34547</c:v>
                </c:pt>
                <c:pt idx="320">
                  <c:v>34578</c:v>
                </c:pt>
                <c:pt idx="321">
                  <c:v>34608</c:v>
                </c:pt>
                <c:pt idx="322">
                  <c:v>34639</c:v>
                </c:pt>
                <c:pt idx="323">
                  <c:v>34669</c:v>
                </c:pt>
                <c:pt idx="324">
                  <c:v>34700</c:v>
                </c:pt>
                <c:pt idx="325">
                  <c:v>34731</c:v>
                </c:pt>
                <c:pt idx="326">
                  <c:v>34759</c:v>
                </c:pt>
                <c:pt idx="327">
                  <c:v>34790</c:v>
                </c:pt>
                <c:pt idx="328">
                  <c:v>34820</c:v>
                </c:pt>
                <c:pt idx="329">
                  <c:v>34851</c:v>
                </c:pt>
                <c:pt idx="330">
                  <c:v>34881</c:v>
                </c:pt>
                <c:pt idx="331">
                  <c:v>34912</c:v>
                </c:pt>
                <c:pt idx="332">
                  <c:v>34943</c:v>
                </c:pt>
                <c:pt idx="333">
                  <c:v>34973</c:v>
                </c:pt>
                <c:pt idx="334">
                  <c:v>35004</c:v>
                </c:pt>
                <c:pt idx="335">
                  <c:v>35034</c:v>
                </c:pt>
                <c:pt idx="336">
                  <c:v>35065</c:v>
                </c:pt>
                <c:pt idx="337">
                  <c:v>35096</c:v>
                </c:pt>
                <c:pt idx="338">
                  <c:v>35125</c:v>
                </c:pt>
                <c:pt idx="339">
                  <c:v>35156</c:v>
                </c:pt>
                <c:pt idx="340">
                  <c:v>35186</c:v>
                </c:pt>
                <c:pt idx="341">
                  <c:v>35217</c:v>
                </c:pt>
                <c:pt idx="342">
                  <c:v>35247</c:v>
                </c:pt>
                <c:pt idx="343">
                  <c:v>35278</c:v>
                </c:pt>
                <c:pt idx="344">
                  <c:v>35309</c:v>
                </c:pt>
                <c:pt idx="345">
                  <c:v>35339</c:v>
                </c:pt>
                <c:pt idx="346">
                  <c:v>35370</c:v>
                </c:pt>
                <c:pt idx="347">
                  <c:v>35400</c:v>
                </c:pt>
                <c:pt idx="348">
                  <c:v>35431</c:v>
                </c:pt>
                <c:pt idx="349">
                  <c:v>35462</c:v>
                </c:pt>
                <c:pt idx="350">
                  <c:v>35490</c:v>
                </c:pt>
                <c:pt idx="351">
                  <c:v>35521</c:v>
                </c:pt>
                <c:pt idx="352">
                  <c:v>35551</c:v>
                </c:pt>
                <c:pt idx="353">
                  <c:v>35582</c:v>
                </c:pt>
                <c:pt idx="354">
                  <c:v>35612</c:v>
                </c:pt>
                <c:pt idx="355">
                  <c:v>35643</c:v>
                </c:pt>
                <c:pt idx="356">
                  <c:v>35674</c:v>
                </c:pt>
                <c:pt idx="357">
                  <c:v>35704</c:v>
                </c:pt>
                <c:pt idx="358">
                  <c:v>35735</c:v>
                </c:pt>
                <c:pt idx="359">
                  <c:v>35765</c:v>
                </c:pt>
                <c:pt idx="360">
                  <c:v>35796</c:v>
                </c:pt>
                <c:pt idx="361">
                  <c:v>35827</c:v>
                </c:pt>
                <c:pt idx="362">
                  <c:v>35855</c:v>
                </c:pt>
                <c:pt idx="363">
                  <c:v>35886</c:v>
                </c:pt>
                <c:pt idx="364">
                  <c:v>35916</c:v>
                </c:pt>
                <c:pt idx="365">
                  <c:v>35947</c:v>
                </c:pt>
                <c:pt idx="366">
                  <c:v>35977</c:v>
                </c:pt>
                <c:pt idx="367">
                  <c:v>36008</c:v>
                </c:pt>
                <c:pt idx="368">
                  <c:v>36039</c:v>
                </c:pt>
                <c:pt idx="369">
                  <c:v>36069</c:v>
                </c:pt>
                <c:pt idx="370">
                  <c:v>36100</c:v>
                </c:pt>
                <c:pt idx="371">
                  <c:v>36130</c:v>
                </c:pt>
                <c:pt idx="372">
                  <c:v>36161</c:v>
                </c:pt>
                <c:pt idx="373">
                  <c:v>36192</c:v>
                </c:pt>
                <c:pt idx="374">
                  <c:v>36220</c:v>
                </c:pt>
                <c:pt idx="375">
                  <c:v>36251</c:v>
                </c:pt>
                <c:pt idx="376">
                  <c:v>36281</c:v>
                </c:pt>
                <c:pt idx="377">
                  <c:v>36312</c:v>
                </c:pt>
                <c:pt idx="378">
                  <c:v>36342</c:v>
                </c:pt>
                <c:pt idx="379">
                  <c:v>36373</c:v>
                </c:pt>
                <c:pt idx="380">
                  <c:v>36404</c:v>
                </c:pt>
                <c:pt idx="381">
                  <c:v>36434</c:v>
                </c:pt>
                <c:pt idx="382">
                  <c:v>36465</c:v>
                </c:pt>
                <c:pt idx="383">
                  <c:v>36495</c:v>
                </c:pt>
                <c:pt idx="384">
                  <c:v>36526</c:v>
                </c:pt>
                <c:pt idx="385">
                  <c:v>36557</c:v>
                </c:pt>
                <c:pt idx="386">
                  <c:v>36586</c:v>
                </c:pt>
                <c:pt idx="387">
                  <c:v>36617</c:v>
                </c:pt>
                <c:pt idx="388">
                  <c:v>36647</c:v>
                </c:pt>
                <c:pt idx="389">
                  <c:v>36678</c:v>
                </c:pt>
                <c:pt idx="390">
                  <c:v>36708</c:v>
                </c:pt>
                <c:pt idx="391">
                  <c:v>36739</c:v>
                </c:pt>
                <c:pt idx="392">
                  <c:v>36770</c:v>
                </c:pt>
                <c:pt idx="393">
                  <c:v>36800</c:v>
                </c:pt>
                <c:pt idx="394">
                  <c:v>36831</c:v>
                </c:pt>
                <c:pt idx="395">
                  <c:v>36861</c:v>
                </c:pt>
                <c:pt idx="396">
                  <c:v>36892</c:v>
                </c:pt>
                <c:pt idx="397">
                  <c:v>36923</c:v>
                </c:pt>
                <c:pt idx="398">
                  <c:v>36951</c:v>
                </c:pt>
                <c:pt idx="399">
                  <c:v>36982</c:v>
                </c:pt>
                <c:pt idx="400">
                  <c:v>37012</c:v>
                </c:pt>
                <c:pt idx="401">
                  <c:v>37043</c:v>
                </c:pt>
                <c:pt idx="402">
                  <c:v>37073</c:v>
                </c:pt>
                <c:pt idx="403">
                  <c:v>37104</c:v>
                </c:pt>
                <c:pt idx="404">
                  <c:v>37135</c:v>
                </c:pt>
                <c:pt idx="405">
                  <c:v>37165</c:v>
                </c:pt>
                <c:pt idx="406">
                  <c:v>37196</c:v>
                </c:pt>
                <c:pt idx="407">
                  <c:v>37226</c:v>
                </c:pt>
                <c:pt idx="408">
                  <c:v>37257</c:v>
                </c:pt>
                <c:pt idx="409">
                  <c:v>37288</c:v>
                </c:pt>
                <c:pt idx="410">
                  <c:v>37316</c:v>
                </c:pt>
                <c:pt idx="411">
                  <c:v>37347</c:v>
                </c:pt>
                <c:pt idx="412">
                  <c:v>37377</c:v>
                </c:pt>
                <c:pt idx="413">
                  <c:v>37408</c:v>
                </c:pt>
                <c:pt idx="414">
                  <c:v>37438</c:v>
                </c:pt>
                <c:pt idx="415">
                  <c:v>37469</c:v>
                </c:pt>
                <c:pt idx="416">
                  <c:v>37500</c:v>
                </c:pt>
                <c:pt idx="417">
                  <c:v>37530</c:v>
                </c:pt>
                <c:pt idx="418">
                  <c:v>37561</c:v>
                </c:pt>
                <c:pt idx="419">
                  <c:v>37591</c:v>
                </c:pt>
                <c:pt idx="420">
                  <c:v>37622</c:v>
                </c:pt>
                <c:pt idx="421">
                  <c:v>37653</c:v>
                </c:pt>
                <c:pt idx="422">
                  <c:v>37681</c:v>
                </c:pt>
                <c:pt idx="423">
                  <c:v>37712</c:v>
                </c:pt>
                <c:pt idx="424">
                  <c:v>37742</c:v>
                </c:pt>
                <c:pt idx="425">
                  <c:v>37773</c:v>
                </c:pt>
                <c:pt idx="426">
                  <c:v>37803</c:v>
                </c:pt>
                <c:pt idx="427">
                  <c:v>37834</c:v>
                </c:pt>
                <c:pt idx="428">
                  <c:v>37865</c:v>
                </c:pt>
                <c:pt idx="429">
                  <c:v>37895</c:v>
                </c:pt>
                <c:pt idx="430">
                  <c:v>37926</c:v>
                </c:pt>
                <c:pt idx="431">
                  <c:v>37956</c:v>
                </c:pt>
                <c:pt idx="432">
                  <c:v>37987</c:v>
                </c:pt>
                <c:pt idx="433">
                  <c:v>38018</c:v>
                </c:pt>
                <c:pt idx="434">
                  <c:v>38047</c:v>
                </c:pt>
                <c:pt idx="435">
                  <c:v>38078</c:v>
                </c:pt>
                <c:pt idx="436">
                  <c:v>38108</c:v>
                </c:pt>
                <c:pt idx="437">
                  <c:v>38139</c:v>
                </c:pt>
                <c:pt idx="438">
                  <c:v>38169</c:v>
                </c:pt>
                <c:pt idx="439">
                  <c:v>38200</c:v>
                </c:pt>
                <c:pt idx="440">
                  <c:v>38231</c:v>
                </c:pt>
                <c:pt idx="441">
                  <c:v>38261</c:v>
                </c:pt>
                <c:pt idx="442">
                  <c:v>38292</c:v>
                </c:pt>
                <c:pt idx="443">
                  <c:v>38322</c:v>
                </c:pt>
                <c:pt idx="444">
                  <c:v>38353</c:v>
                </c:pt>
                <c:pt idx="445">
                  <c:v>38384</c:v>
                </c:pt>
                <c:pt idx="446">
                  <c:v>38412</c:v>
                </c:pt>
                <c:pt idx="447">
                  <c:v>38443</c:v>
                </c:pt>
                <c:pt idx="448">
                  <c:v>38473</c:v>
                </c:pt>
                <c:pt idx="449">
                  <c:v>38504</c:v>
                </c:pt>
                <c:pt idx="450">
                  <c:v>38534</c:v>
                </c:pt>
                <c:pt idx="451">
                  <c:v>38565</c:v>
                </c:pt>
                <c:pt idx="452">
                  <c:v>38596</c:v>
                </c:pt>
                <c:pt idx="453">
                  <c:v>38626</c:v>
                </c:pt>
                <c:pt idx="454">
                  <c:v>38657</c:v>
                </c:pt>
                <c:pt idx="455">
                  <c:v>38687</c:v>
                </c:pt>
                <c:pt idx="456">
                  <c:v>38718</c:v>
                </c:pt>
                <c:pt idx="457">
                  <c:v>38749</c:v>
                </c:pt>
                <c:pt idx="458">
                  <c:v>38777</c:v>
                </c:pt>
                <c:pt idx="459">
                  <c:v>38808</c:v>
                </c:pt>
                <c:pt idx="460">
                  <c:v>38838</c:v>
                </c:pt>
                <c:pt idx="461">
                  <c:v>38869</c:v>
                </c:pt>
                <c:pt idx="462">
                  <c:v>38899</c:v>
                </c:pt>
                <c:pt idx="463">
                  <c:v>38930</c:v>
                </c:pt>
                <c:pt idx="464">
                  <c:v>38961</c:v>
                </c:pt>
                <c:pt idx="465">
                  <c:v>38991</c:v>
                </c:pt>
                <c:pt idx="466">
                  <c:v>39022</c:v>
                </c:pt>
                <c:pt idx="467">
                  <c:v>39052</c:v>
                </c:pt>
                <c:pt idx="468">
                  <c:v>39083</c:v>
                </c:pt>
                <c:pt idx="469">
                  <c:v>39114</c:v>
                </c:pt>
                <c:pt idx="470">
                  <c:v>39142</c:v>
                </c:pt>
                <c:pt idx="471">
                  <c:v>39173</c:v>
                </c:pt>
                <c:pt idx="472">
                  <c:v>39203</c:v>
                </c:pt>
                <c:pt idx="473">
                  <c:v>39234</c:v>
                </c:pt>
                <c:pt idx="474">
                  <c:v>39264</c:v>
                </c:pt>
                <c:pt idx="475">
                  <c:v>39295</c:v>
                </c:pt>
                <c:pt idx="476">
                  <c:v>39326</c:v>
                </c:pt>
                <c:pt idx="477">
                  <c:v>39356</c:v>
                </c:pt>
                <c:pt idx="478">
                  <c:v>39387</c:v>
                </c:pt>
                <c:pt idx="479">
                  <c:v>39417</c:v>
                </c:pt>
                <c:pt idx="480">
                  <c:v>39448</c:v>
                </c:pt>
                <c:pt idx="481">
                  <c:v>39479</c:v>
                </c:pt>
                <c:pt idx="482">
                  <c:v>39508</c:v>
                </c:pt>
                <c:pt idx="483">
                  <c:v>39539</c:v>
                </c:pt>
                <c:pt idx="484">
                  <c:v>39569</c:v>
                </c:pt>
                <c:pt idx="485">
                  <c:v>39600</c:v>
                </c:pt>
                <c:pt idx="486">
                  <c:v>39630</c:v>
                </c:pt>
                <c:pt idx="487">
                  <c:v>39661</c:v>
                </c:pt>
                <c:pt idx="488">
                  <c:v>39692</c:v>
                </c:pt>
                <c:pt idx="489">
                  <c:v>39722</c:v>
                </c:pt>
                <c:pt idx="490">
                  <c:v>39753</c:v>
                </c:pt>
                <c:pt idx="491">
                  <c:v>39783</c:v>
                </c:pt>
                <c:pt idx="492">
                  <c:v>39814</c:v>
                </c:pt>
                <c:pt idx="493">
                  <c:v>39845</c:v>
                </c:pt>
                <c:pt idx="494">
                  <c:v>39873</c:v>
                </c:pt>
                <c:pt idx="495">
                  <c:v>39904</c:v>
                </c:pt>
                <c:pt idx="496">
                  <c:v>39934</c:v>
                </c:pt>
                <c:pt idx="497">
                  <c:v>39965</c:v>
                </c:pt>
                <c:pt idx="498">
                  <c:v>39995</c:v>
                </c:pt>
                <c:pt idx="499">
                  <c:v>40026</c:v>
                </c:pt>
                <c:pt idx="500">
                  <c:v>40057</c:v>
                </c:pt>
                <c:pt idx="501">
                  <c:v>40087</c:v>
                </c:pt>
                <c:pt idx="502">
                  <c:v>40118</c:v>
                </c:pt>
                <c:pt idx="503">
                  <c:v>40148</c:v>
                </c:pt>
                <c:pt idx="504">
                  <c:v>40179</c:v>
                </c:pt>
                <c:pt idx="505">
                  <c:v>40210</c:v>
                </c:pt>
                <c:pt idx="506">
                  <c:v>40238</c:v>
                </c:pt>
                <c:pt idx="507">
                  <c:v>40269</c:v>
                </c:pt>
                <c:pt idx="508">
                  <c:v>40299</c:v>
                </c:pt>
                <c:pt idx="509">
                  <c:v>40330</c:v>
                </c:pt>
                <c:pt idx="510">
                  <c:v>40360</c:v>
                </c:pt>
                <c:pt idx="511">
                  <c:v>40391</c:v>
                </c:pt>
                <c:pt idx="512">
                  <c:v>40422</c:v>
                </c:pt>
                <c:pt idx="513">
                  <c:v>40452</c:v>
                </c:pt>
                <c:pt idx="514">
                  <c:v>40483</c:v>
                </c:pt>
                <c:pt idx="515">
                  <c:v>40513</c:v>
                </c:pt>
                <c:pt idx="516">
                  <c:v>40544</c:v>
                </c:pt>
                <c:pt idx="517">
                  <c:v>40575</c:v>
                </c:pt>
                <c:pt idx="518">
                  <c:v>40603</c:v>
                </c:pt>
                <c:pt idx="519">
                  <c:v>40634</c:v>
                </c:pt>
                <c:pt idx="520">
                  <c:v>40664</c:v>
                </c:pt>
                <c:pt idx="521">
                  <c:v>40695</c:v>
                </c:pt>
                <c:pt idx="522">
                  <c:v>40725</c:v>
                </c:pt>
                <c:pt idx="523">
                  <c:v>40756</c:v>
                </c:pt>
                <c:pt idx="524">
                  <c:v>40787</c:v>
                </c:pt>
                <c:pt idx="525">
                  <c:v>40817</c:v>
                </c:pt>
                <c:pt idx="526">
                  <c:v>40848</c:v>
                </c:pt>
                <c:pt idx="527">
                  <c:v>40878</c:v>
                </c:pt>
                <c:pt idx="528">
                  <c:v>40909</c:v>
                </c:pt>
                <c:pt idx="529">
                  <c:v>40940</c:v>
                </c:pt>
                <c:pt idx="530">
                  <c:v>40969</c:v>
                </c:pt>
                <c:pt idx="531">
                  <c:v>41000</c:v>
                </c:pt>
                <c:pt idx="532">
                  <c:v>41030</c:v>
                </c:pt>
                <c:pt idx="533">
                  <c:v>41061</c:v>
                </c:pt>
                <c:pt idx="534">
                  <c:v>41091</c:v>
                </c:pt>
                <c:pt idx="535">
                  <c:v>41122</c:v>
                </c:pt>
                <c:pt idx="536">
                  <c:v>41153</c:v>
                </c:pt>
                <c:pt idx="537">
                  <c:v>41183</c:v>
                </c:pt>
                <c:pt idx="538">
                  <c:v>41214</c:v>
                </c:pt>
                <c:pt idx="539">
                  <c:v>41244</c:v>
                </c:pt>
                <c:pt idx="540">
                  <c:v>41275</c:v>
                </c:pt>
                <c:pt idx="541">
                  <c:v>41306</c:v>
                </c:pt>
                <c:pt idx="542">
                  <c:v>41334</c:v>
                </c:pt>
                <c:pt idx="543">
                  <c:v>41365</c:v>
                </c:pt>
                <c:pt idx="544">
                  <c:v>41395</c:v>
                </c:pt>
                <c:pt idx="545">
                  <c:v>41426</c:v>
                </c:pt>
                <c:pt idx="546">
                  <c:v>41456</c:v>
                </c:pt>
                <c:pt idx="547">
                  <c:v>41487</c:v>
                </c:pt>
                <c:pt idx="548">
                  <c:v>41518</c:v>
                </c:pt>
                <c:pt idx="549">
                  <c:v>41548</c:v>
                </c:pt>
                <c:pt idx="550">
                  <c:v>41579</c:v>
                </c:pt>
                <c:pt idx="551">
                  <c:v>41609</c:v>
                </c:pt>
                <c:pt idx="552">
                  <c:v>41640</c:v>
                </c:pt>
                <c:pt idx="553">
                  <c:v>41671</c:v>
                </c:pt>
                <c:pt idx="554">
                  <c:v>41699</c:v>
                </c:pt>
                <c:pt idx="555">
                  <c:v>41730</c:v>
                </c:pt>
                <c:pt idx="556">
                  <c:v>41760</c:v>
                </c:pt>
                <c:pt idx="557">
                  <c:v>41791</c:v>
                </c:pt>
                <c:pt idx="558">
                  <c:v>41821</c:v>
                </c:pt>
                <c:pt idx="559">
                  <c:v>41852</c:v>
                </c:pt>
                <c:pt idx="560">
                  <c:v>41883</c:v>
                </c:pt>
                <c:pt idx="561">
                  <c:v>41913</c:v>
                </c:pt>
                <c:pt idx="562">
                  <c:v>41944</c:v>
                </c:pt>
                <c:pt idx="563">
                  <c:v>41974</c:v>
                </c:pt>
                <c:pt idx="564">
                  <c:v>42005</c:v>
                </c:pt>
                <c:pt idx="565">
                  <c:v>42036</c:v>
                </c:pt>
                <c:pt idx="566">
                  <c:v>42064</c:v>
                </c:pt>
                <c:pt idx="567">
                  <c:v>42095</c:v>
                </c:pt>
                <c:pt idx="568">
                  <c:v>42125</c:v>
                </c:pt>
                <c:pt idx="569">
                  <c:v>42156</c:v>
                </c:pt>
                <c:pt idx="570">
                  <c:v>42186</c:v>
                </c:pt>
                <c:pt idx="571">
                  <c:v>42217</c:v>
                </c:pt>
                <c:pt idx="572">
                  <c:v>42248</c:v>
                </c:pt>
                <c:pt idx="573">
                  <c:v>42278</c:v>
                </c:pt>
                <c:pt idx="574">
                  <c:v>42309</c:v>
                </c:pt>
                <c:pt idx="575">
                  <c:v>42339</c:v>
                </c:pt>
                <c:pt idx="576">
                  <c:v>42370</c:v>
                </c:pt>
                <c:pt idx="577">
                  <c:v>42401</c:v>
                </c:pt>
                <c:pt idx="578">
                  <c:v>42430</c:v>
                </c:pt>
                <c:pt idx="579">
                  <c:v>42461</c:v>
                </c:pt>
                <c:pt idx="580">
                  <c:v>42491</c:v>
                </c:pt>
                <c:pt idx="581">
                  <c:v>42522</c:v>
                </c:pt>
                <c:pt idx="582">
                  <c:v>42552</c:v>
                </c:pt>
                <c:pt idx="583">
                  <c:v>42583</c:v>
                </c:pt>
                <c:pt idx="584">
                  <c:v>42614</c:v>
                </c:pt>
                <c:pt idx="585">
                  <c:v>42644</c:v>
                </c:pt>
                <c:pt idx="586">
                  <c:v>42675</c:v>
                </c:pt>
                <c:pt idx="587">
                  <c:v>42705</c:v>
                </c:pt>
                <c:pt idx="588">
                  <c:v>42736</c:v>
                </c:pt>
                <c:pt idx="589">
                  <c:v>42767</c:v>
                </c:pt>
                <c:pt idx="590">
                  <c:v>42795</c:v>
                </c:pt>
                <c:pt idx="591">
                  <c:v>42826</c:v>
                </c:pt>
                <c:pt idx="592">
                  <c:v>42856</c:v>
                </c:pt>
                <c:pt idx="593">
                  <c:v>42887</c:v>
                </c:pt>
                <c:pt idx="594">
                  <c:v>42917</c:v>
                </c:pt>
                <c:pt idx="595">
                  <c:v>42948</c:v>
                </c:pt>
                <c:pt idx="596">
                  <c:v>42979</c:v>
                </c:pt>
                <c:pt idx="597">
                  <c:v>43009</c:v>
                </c:pt>
                <c:pt idx="598">
                  <c:v>43040</c:v>
                </c:pt>
                <c:pt idx="599">
                  <c:v>43070</c:v>
                </c:pt>
                <c:pt idx="600">
                  <c:v>43101</c:v>
                </c:pt>
                <c:pt idx="601">
                  <c:v>43132</c:v>
                </c:pt>
                <c:pt idx="602">
                  <c:v>43160</c:v>
                </c:pt>
                <c:pt idx="603">
                  <c:v>43191</c:v>
                </c:pt>
                <c:pt idx="604">
                  <c:v>43221</c:v>
                </c:pt>
                <c:pt idx="605">
                  <c:v>43252</c:v>
                </c:pt>
                <c:pt idx="606">
                  <c:v>43282</c:v>
                </c:pt>
                <c:pt idx="607">
                  <c:v>43313</c:v>
                </c:pt>
                <c:pt idx="608">
                  <c:v>43344</c:v>
                </c:pt>
                <c:pt idx="609">
                  <c:v>43374</c:v>
                </c:pt>
                <c:pt idx="610">
                  <c:v>43405</c:v>
                </c:pt>
                <c:pt idx="611">
                  <c:v>43435</c:v>
                </c:pt>
                <c:pt idx="612">
                  <c:v>43466</c:v>
                </c:pt>
                <c:pt idx="613">
                  <c:v>43497</c:v>
                </c:pt>
                <c:pt idx="614">
                  <c:v>43525</c:v>
                </c:pt>
                <c:pt idx="615">
                  <c:v>43556</c:v>
                </c:pt>
                <c:pt idx="616">
                  <c:v>43586</c:v>
                </c:pt>
                <c:pt idx="617">
                  <c:v>43617</c:v>
                </c:pt>
                <c:pt idx="618">
                  <c:v>43647</c:v>
                </c:pt>
                <c:pt idx="619">
                  <c:v>43678</c:v>
                </c:pt>
                <c:pt idx="620">
                  <c:v>43709</c:v>
                </c:pt>
                <c:pt idx="621">
                  <c:v>43739</c:v>
                </c:pt>
                <c:pt idx="622">
                  <c:v>43770</c:v>
                </c:pt>
                <c:pt idx="623">
                  <c:v>43800</c:v>
                </c:pt>
                <c:pt idx="624">
                  <c:v>43831</c:v>
                </c:pt>
                <c:pt idx="625">
                  <c:v>43862</c:v>
                </c:pt>
                <c:pt idx="626">
                  <c:v>43891</c:v>
                </c:pt>
                <c:pt idx="627">
                  <c:v>43922</c:v>
                </c:pt>
                <c:pt idx="628">
                  <c:v>43952</c:v>
                </c:pt>
                <c:pt idx="629">
                  <c:v>43983</c:v>
                </c:pt>
                <c:pt idx="630">
                  <c:v>44013</c:v>
                </c:pt>
                <c:pt idx="631">
                  <c:v>44044</c:v>
                </c:pt>
                <c:pt idx="632">
                  <c:v>44075</c:v>
                </c:pt>
                <c:pt idx="633">
                  <c:v>44105</c:v>
                </c:pt>
                <c:pt idx="634">
                  <c:v>44136</c:v>
                </c:pt>
                <c:pt idx="635">
                  <c:v>44166</c:v>
                </c:pt>
                <c:pt idx="636">
                  <c:v>44197</c:v>
                </c:pt>
                <c:pt idx="637">
                  <c:v>44228</c:v>
                </c:pt>
                <c:pt idx="638">
                  <c:v>44256</c:v>
                </c:pt>
                <c:pt idx="639">
                  <c:v>44287</c:v>
                </c:pt>
                <c:pt idx="640">
                  <c:v>44317</c:v>
                </c:pt>
                <c:pt idx="641">
                  <c:v>44348</c:v>
                </c:pt>
                <c:pt idx="642">
                  <c:v>44378</c:v>
                </c:pt>
                <c:pt idx="643">
                  <c:v>44409</c:v>
                </c:pt>
                <c:pt idx="644">
                  <c:v>44440</c:v>
                </c:pt>
                <c:pt idx="645">
                  <c:v>44470</c:v>
                </c:pt>
                <c:pt idx="646">
                  <c:v>44501</c:v>
                </c:pt>
                <c:pt idx="647">
                  <c:v>44531</c:v>
                </c:pt>
              </c:numCache>
            </c:numRef>
          </c:cat>
          <c:val>
            <c:numRef>
              <c:f>'CPI Food'!$D$17:$D$902</c:f>
              <c:numCache>
                <c:formatCode>0.00%</c:formatCode>
                <c:ptCount val="886"/>
                <c:pt idx="0">
                  <c:v>2.0114942528735715E-2</c:v>
                </c:pt>
                <c:pt idx="1">
                  <c:v>2.8818443804034581E-2</c:v>
                </c:pt>
                <c:pt idx="2">
                  <c:v>3.1700288184437875E-2</c:v>
                </c:pt>
                <c:pt idx="3">
                  <c:v>4.0462427745664699E-2</c:v>
                </c:pt>
                <c:pt idx="4">
                  <c:v>4.3352601156069363E-2</c:v>
                </c:pt>
                <c:pt idx="5">
                  <c:v>3.4383954154727878E-2</c:v>
                </c:pt>
                <c:pt idx="6">
                  <c:v>3.4285714285714364E-2</c:v>
                </c:pt>
                <c:pt idx="7">
                  <c:v>3.1249999999999837E-2</c:v>
                </c:pt>
                <c:pt idx="8">
                  <c:v>3.69318181818181E-2</c:v>
                </c:pt>
                <c:pt idx="9">
                  <c:v>4.2492917847025496E-2</c:v>
                </c:pt>
                <c:pt idx="10">
                  <c:v>3.9548022598870018E-2</c:v>
                </c:pt>
                <c:pt idx="11">
                  <c:v>4.2253521126760563E-2</c:v>
                </c:pt>
                <c:pt idx="12">
                  <c:v>4.2253521126760563E-2</c:v>
                </c:pt>
                <c:pt idx="13">
                  <c:v>3.6414565826330451E-2</c:v>
                </c:pt>
                <c:pt idx="14">
                  <c:v>3.6312849162011294E-2</c:v>
                </c:pt>
                <c:pt idx="15">
                  <c:v>3.8888888888888848E-2</c:v>
                </c:pt>
                <c:pt idx="16">
                  <c:v>4.1551246537396121E-2</c:v>
                </c:pt>
                <c:pt idx="17">
                  <c:v>5.2631578947368376E-2</c:v>
                </c:pt>
                <c:pt idx="18">
                  <c:v>5.5248618784530384E-2</c:v>
                </c:pt>
                <c:pt idx="19">
                  <c:v>5.7851239669421531E-2</c:v>
                </c:pt>
                <c:pt idx="20">
                  <c:v>5.7534246575342507E-2</c:v>
                </c:pt>
                <c:pt idx="21">
                  <c:v>5.1630434782608856E-2</c:v>
                </c:pt>
                <c:pt idx="22">
                  <c:v>6.2500000000000125E-2</c:v>
                </c:pt>
                <c:pt idx="23">
                  <c:v>6.7567567567567571E-2</c:v>
                </c:pt>
                <c:pt idx="24">
                  <c:v>7.0270270270270302E-2</c:v>
                </c:pt>
                <c:pt idx="25">
                  <c:v>7.5675675675675597E-2</c:v>
                </c:pt>
                <c:pt idx="26">
                  <c:v>7.2776280323450016E-2</c:v>
                </c:pt>
                <c:pt idx="27">
                  <c:v>6.684491978609626E-2</c:v>
                </c:pt>
                <c:pt idx="28">
                  <c:v>6.6489361702127658E-2</c:v>
                </c:pt>
                <c:pt idx="29">
                  <c:v>5.5263157894736882E-2</c:v>
                </c:pt>
                <c:pt idx="30">
                  <c:v>5.235602094240837E-2</c:v>
                </c:pt>
                <c:pt idx="31">
                  <c:v>4.6875000000000111E-2</c:v>
                </c:pt>
                <c:pt idx="32">
                  <c:v>4.6632124352331529E-2</c:v>
                </c:pt>
                <c:pt idx="33">
                  <c:v>4.6511627906976667E-2</c:v>
                </c:pt>
                <c:pt idx="34">
                  <c:v>3.3248081841432152E-2</c:v>
                </c:pt>
                <c:pt idx="35">
                  <c:v>2.5316455696202531E-2</c:v>
                </c:pt>
                <c:pt idx="36">
                  <c:v>2.272727272727269E-2</c:v>
                </c:pt>
                <c:pt idx="37">
                  <c:v>1.7587939698492535E-2</c:v>
                </c:pt>
                <c:pt idx="38">
                  <c:v>2.7638190954773906E-2</c:v>
                </c:pt>
                <c:pt idx="39">
                  <c:v>3.0075187969924883E-2</c:v>
                </c:pt>
                <c:pt idx="40">
                  <c:v>2.9925187032418844E-2</c:v>
                </c:pt>
                <c:pt idx="41">
                  <c:v>3.4912718204488741E-2</c:v>
                </c:pt>
                <c:pt idx="42">
                  <c:v>3.4825870646766129E-2</c:v>
                </c:pt>
                <c:pt idx="43">
                  <c:v>3.4825870646766129E-2</c:v>
                </c:pt>
                <c:pt idx="44">
                  <c:v>2.9702970297029774E-2</c:v>
                </c:pt>
                <c:pt idx="45">
                  <c:v>2.96296296296297E-2</c:v>
                </c:pt>
                <c:pt idx="46">
                  <c:v>3.7128712871287127E-2</c:v>
                </c:pt>
                <c:pt idx="47">
                  <c:v>4.4444444444444377E-2</c:v>
                </c:pt>
                <c:pt idx="48">
                  <c:v>4.1975308641975378E-2</c:v>
                </c:pt>
                <c:pt idx="49">
                  <c:v>5.1851851851851885E-2</c:v>
                </c:pt>
                <c:pt idx="50">
                  <c:v>4.1564792176039193E-2</c:v>
                </c:pt>
                <c:pt idx="51">
                  <c:v>3.6496350364963501E-2</c:v>
                </c:pt>
                <c:pt idx="52">
                  <c:v>3.3898305084745901E-2</c:v>
                </c:pt>
                <c:pt idx="53">
                  <c:v>3.132530120481921E-2</c:v>
                </c:pt>
                <c:pt idx="54">
                  <c:v>3.6057692307692304E-2</c:v>
                </c:pt>
                <c:pt idx="55">
                  <c:v>3.6057692307692304E-2</c:v>
                </c:pt>
                <c:pt idx="56">
                  <c:v>4.5673076923076886E-2</c:v>
                </c:pt>
                <c:pt idx="57">
                  <c:v>4.7961630695443645E-2</c:v>
                </c:pt>
                <c:pt idx="58">
                  <c:v>4.77326968973747E-2</c:v>
                </c:pt>
                <c:pt idx="59">
                  <c:v>4.2553191489361805E-2</c:v>
                </c:pt>
                <c:pt idx="60">
                  <c:v>6.1611374407582797E-2</c:v>
                </c:pt>
                <c:pt idx="61">
                  <c:v>6.8075117370891988E-2</c:v>
                </c:pt>
                <c:pt idx="62">
                  <c:v>9.1549295774647849E-2</c:v>
                </c:pt>
                <c:pt idx="63">
                  <c:v>0.10798122065727703</c:v>
                </c:pt>
                <c:pt idx="64">
                  <c:v>0.11943793911007011</c:v>
                </c:pt>
                <c:pt idx="65">
                  <c:v>0.12850467289719628</c:v>
                </c:pt>
                <c:pt idx="66">
                  <c:v>0.12296983758700689</c:v>
                </c:pt>
                <c:pt idx="67">
                  <c:v>0.1809744779582366</c:v>
                </c:pt>
                <c:pt idx="68">
                  <c:v>0.1701149425287356</c:v>
                </c:pt>
                <c:pt idx="69">
                  <c:v>0.17162471395881007</c:v>
                </c:pt>
                <c:pt idx="70">
                  <c:v>0.17995444191343962</c:v>
                </c:pt>
                <c:pt idx="71">
                  <c:v>0.18594104308390014</c:v>
                </c:pt>
                <c:pt idx="72">
                  <c:v>0.18080357142857148</c:v>
                </c:pt>
                <c:pt idx="73">
                  <c:v>0.18681318681318682</c:v>
                </c:pt>
                <c:pt idx="74">
                  <c:v>0.17204301075268819</c:v>
                </c:pt>
                <c:pt idx="75">
                  <c:v>0.15254237288135583</c:v>
                </c:pt>
                <c:pt idx="76">
                  <c:v>0.14644351464435149</c:v>
                </c:pt>
                <c:pt idx="77">
                  <c:v>0.13664596273291929</c:v>
                </c:pt>
                <c:pt idx="78">
                  <c:v>0.13223140495867766</c:v>
                </c:pt>
                <c:pt idx="79">
                  <c:v>9.0373280943025575E-2</c:v>
                </c:pt>
                <c:pt idx="80">
                  <c:v>0.11198428290766214</c:v>
                </c:pt>
                <c:pt idx="81">
                  <c:v>0.1171875</c:v>
                </c:pt>
                <c:pt idx="82">
                  <c:v>0.11776061776061779</c:v>
                </c:pt>
                <c:pt idx="83">
                  <c:v>0.1204588910133844</c:v>
                </c:pt>
                <c:pt idx="84">
                  <c:v>0.11153119092627597</c:v>
                </c:pt>
                <c:pt idx="85">
                  <c:v>9.2592592592592587E-2</c:v>
                </c:pt>
                <c:pt idx="86">
                  <c:v>8.0733944954128417E-2</c:v>
                </c:pt>
                <c:pt idx="87">
                  <c:v>8.0882352941176447E-2</c:v>
                </c:pt>
                <c:pt idx="88">
                  <c:v>7.6642335766423417E-2</c:v>
                </c:pt>
                <c:pt idx="89">
                  <c:v>8.5610200364298783E-2</c:v>
                </c:pt>
                <c:pt idx="90">
                  <c:v>0.10583941605839424</c:v>
                </c:pt>
                <c:pt idx="91">
                  <c:v>9.369369369369375E-2</c:v>
                </c:pt>
                <c:pt idx="92">
                  <c:v>7.773851590106004E-2</c:v>
                </c:pt>
                <c:pt idx="93">
                  <c:v>7.69230769230769E-2</c:v>
                </c:pt>
                <c:pt idx="94">
                  <c:v>7.0811744386873945E-2</c:v>
                </c:pt>
                <c:pt idx="95">
                  <c:v>6.3139931740614261E-2</c:v>
                </c:pt>
                <c:pt idx="96">
                  <c:v>5.7823129251700779E-2</c:v>
                </c:pt>
                <c:pt idx="97">
                  <c:v>4.4067796610169518E-2</c:v>
                </c:pt>
                <c:pt idx="98">
                  <c:v>4.0747028862478753E-2</c:v>
                </c:pt>
                <c:pt idx="99">
                  <c:v>4.2517006802721087E-2</c:v>
                </c:pt>
                <c:pt idx="100">
                  <c:v>4.4067796610169518E-2</c:v>
                </c:pt>
                <c:pt idx="101">
                  <c:v>3.5234899328859086E-2</c:v>
                </c:pt>
                <c:pt idx="102">
                  <c:v>2.310231023102308E-2</c:v>
                </c:pt>
                <c:pt idx="103">
                  <c:v>2.4711696869851727E-2</c:v>
                </c:pt>
                <c:pt idx="104">
                  <c:v>2.4590163934426229E-2</c:v>
                </c:pt>
                <c:pt idx="105">
                  <c:v>1.9480519480519411E-2</c:v>
                </c:pt>
                <c:pt idx="106">
                  <c:v>1.2903225806451568E-2</c:v>
                </c:pt>
                <c:pt idx="107">
                  <c:v>9.6308186195826883E-3</c:v>
                </c:pt>
                <c:pt idx="108">
                  <c:v>1.4469453376205765E-2</c:v>
                </c:pt>
                <c:pt idx="109">
                  <c:v>4.2207792207792229E-2</c:v>
                </c:pt>
                <c:pt idx="110">
                  <c:v>5.2202283849918485E-2</c:v>
                </c:pt>
                <c:pt idx="111">
                  <c:v>6.3621533442088193E-2</c:v>
                </c:pt>
                <c:pt idx="112">
                  <c:v>6.3311688311688291E-2</c:v>
                </c:pt>
                <c:pt idx="113">
                  <c:v>6.8071312803889839E-2</c:v>
                </c:pt>
                <c:pt idx="114">
                  <c:v>6.6129032258064421E-2</c:v>
                </c:pt>
                <c:pt idx="115">
                  <c:v>6.7524115755627057E-2</c:v>
                </c:pt>
                <c:pt idx="116">
                  <c:v>6.5599999999999908E-2</c:v>
                </c:pt>
                <c:pt idx="117">
                  <c:v>6.3694267515923567E-2</c:v>
                </c:pt>
                <c:pt idx="118">
                  <c:v>7.3248407643312238E-2</c:v>
                </c:pt>
                <c:pt idx="119">
                  <c:v>7.3131955484896691E-2</c:v>
                </c:pt>
                <c:pt idx="120">
                  <c:v>7.9239302694136177E-2</c:v>
                </c:pt>
                <c:pt idx="121">
                  <c:v>7.1651090342679039E-2</c:v>
                </c:pt>
                <c:pt idx="122">
                  <c:v>7.9069767441860381E-2</c:v>
                </c:pt>
                <c:pt idx="123">
                  <c:v>8.4355828220858894E-2</c:v>
                </c:pt>
                <c:pt idx="124">
                  <c:v>9.4656488549618362E-2</c:v>
                </c:pt>
                <c:pt idx="125">
                  <c:v>0.10470409711684356</c:v>
                </c:pt>
                <c:pt idx="126">
                  <c:v>0.10590015128593042</c:v>
                </c:pt>
                <c:pt idx="127">
                  <c:v>0.10542168674698794</c:v>
                </c:pt>
                <c:pt idx="128">
                  <c:v>0.10660660660660674</c:v>
                </c:pt>
                <c:pt idx="129">
                  <c:v>0.11227544910179642</c:v>
                </c:pt>
                <c:pt idx="130">
                  <c:v>0.10979228486646871</c:v>
                </c:pt>
                <c:pt idx="131">
                  <c:v>0.11407407407407412</c:v>
                </c:pt>
                <c:pt idx="132">
                  <c:v>0.12334801762114547</c:v>
                </c:pt>
                <c:pt idx="133">
                  <c:v>0.12936046511627916</c:v>
                </c:pt>
                <c:pt idx="134">
                  <c:v>0.12643678160919558</c:v>
                </c:pt>
                <c:pt idx="135">
                  <c:v>0.11598302687411602</c:v>
                </c:pt>
                <c:pt idx="136">
                  <c:v>0.11157601115760112</c:v>
                </c:pt>
                <c:pt idx="137">
                  <c:v>9.8901098901098938E-2</c:v>
                </c:pt>
                <c:pt idx="138">
                  <c:v>9.986320109439141E-2</c:v>
                </c:pt>
                <c:pt idx="139">
                  <c:v>9.4005449591280529E-2</c:v>
                </c:pt>
                <c:pt idx="140">
                  <c:v>9.7693351424694749E-2</c:v>
                </c:pt>
                <c:pt idx="141">
                  <c:v>9.6904441453566664E-2</c:v>
                </c:pt>
                <c:pt idx="142">
                  <c:v>9.7593582887700495E-2</c:v>
                </c:pt>
                <c:pt idx="143">
                  <c:v>0.10106382978723397</c:v>
                </c:pt>
                <c:pt idx="144">
                  <c:v>8.8888888888888851E-2</c:v>
                </c:pt>
                <c:pt idx="145">
                  <c:v>7.3359073359073393E-2</c:v>
                </c:pt>
                <c:pt idx="146">
                  <c:v>7.2704081632652906E-2</c:v>
                </c:pt>
                <c:pt idx="147">
                  <c:v>7.2243346007604417E-2</c:v>
                </c:pt>
                <c:pt idx="148">
                  <c:v>6.9008782936010038E-2</c:v>
                </c:pt>
                <c:pt idx="149">
                  <c:v>7.1250000000000036E-2</c:v>
                </c:pt>
                <c:pt idx="150">
                  <c:v>7.5870646766169073E-2</c:v>
                </c:pt>
                <c:pt idx="151">
                  <c:v>9.4645080946450924E-2</c:v>
                </c:pt>
                <c:pt idx="152">
                  <c:v>9.8887515451174288E-2</c:v>
                </c:pt>
                <c:pt idx="153">
                  <c:v>9.9386503067484588E-2</c:v>
                </c:pt>
                <c:pt idx="154">
                  <c:v>0.10353227771010963</c:v>
                </c:pt>
                <c:pt idx="155">
                  <c:v>0.10144927536231892</c:v>
                </c:pt>
                <c:pt idx="156">
                  <c:v>9.8439375750300151E-2</c:v>
                </c:pt>
                <c:pt idx="157">
                  <c:v>0.10311750599520376</c:v>
                </c:pt>
                <c:pt idx="158">
                  <c:v>9.9881093935790796E-2</c:v>
                </c:pt>
                <c:pt idx="159">
                  <c:v>9.4562647754137127E-2</c:v>
                </c:pt>
                <c:pt idx="160">
                  <c:v>8.8028169014084501E-2</c:v>
                </c:pt>
                <c:pt idx="161">
                  <c:v>8.6347724620770019E-2</c:v>
                </c:pt>
                <c:pt idx="162">
                  <c:v>8.4393063583815001E-2</c:v>
                </c:pt>
                <c:pt idx="163">
                  <c:v>7.2810011376564177E-2</c:v>
                </c:pt>
                <c:pt idx="164">
                  <c:v>6.5241844769403784E-2</c:v>
                </c:pt>
                <c:pt idx="165">
                  <c:v>5.8035714285714322E-2</c:v>
                </c:pt>
                <c:pt idx="166">
                  <c:v>4.85651214128036E-2</c:v>
                </c:pt>
                <c:pt idx="167">
                  <c:v>4.3859649122807015E-2</c:v>
                </c:pt>
                <c:pt idx="168">
                  <c:v>4.3715846994535519E-2</c:v>
                </c:pt>
                <c:pt idx="169">
                  <c:v>4.5652173913043506E-2</c:v>
                </c:pt>
                <c:pt idx="170">
                  <c:v>3.8918918918918854E-2</c:v>
                </c:pt>
                <c:pt idx="171">
                  <c:v>3.9956803455723576E-2</c:v>
                </c:pt>
                <c:pt idx="172">
                  <c:v>4.746494066882407E-2</c:v>
                </c:pt>
                <c:pt idx="173">
                  <c:v>5.2631578947368488E-2</c:v>
                </c:pt>
                <c:pt idx="174">
                  <c:v>4.5842217484008498E-2</c:v>
                </c:pt>
                <c:pt idx="175">
                  <c:v>3.8176033934252479E-2</c:v>
                </c:pt>
                <c:pt idx="176">
                  <c:v>3.4846884899683177E-2</c:v>
                </c:pt>
                <c:pt idx="177">
                  <c:v>3.4810126582278451E-2</c:v>
                </c:pt>
                <c:pt idx="178">
                  <c:v>3.3684210526315816E-2</c:v>
                </c:pt>
                <c:pt idx="179">
                  <c:v>3.0462184873949489E-2</c:v>
                </c:pt>
                <c:pt idx="180">
                  <c:v>2.6178010471204188E-2</c:v>
                </c:pt>
                <c:pt idx="181">
                  <c:v>2.0790020790020788E-2</c:v>
                </c:pt>
                <c:pt idx="182">
                  <c:v>2.8095733610822092E-2</c:v>
                </c:pt>
                <c:pt idx="183">
                  <c:v>3.011422637590868E-2</c:v>
                </c:pt>
                <c:pt idx="184">
                  <c:v>2.4716786817713759E-2</c:v>
                </c:pt>
                <c:pt idx="185">
                  <c:v>1.632653061224484E-2</c:v>
                </c:pt>
                <c:pt idx="186">
                  <c:v>1.5290519877675842E-2</c:v>
                </c:pt>
                <c:pt idx="187">
                  <c:v>1.73646578140959E-2</c:v>
                </c:pt>
                <c:pt idx="188">
                  <c:v>2.0408163265306121E-2</c:v>
                </c:pt>
                <c:pt idx="189">
                  <c:v>2.2426095820591265E-2</c:v>
                </c:pt>
                <c:pt idx="190">
                  <c:v>2.1384928716904218E-2</c:v>
                </c:pt>
                <c:pt idx="191">
                  <c:v>2.5484199796126403E-2</c:v>
                </c:pt>
                <c:pt idx="192">
                  <c:v>3.9795918367347E-2</c:v>
                </c:pt>
                <c:pt idx="193">
                  <c:v>4.3788187372708724E-2</c:v>
                </c:pt>
                <c:pt idx="194">
                  <c:v>4.048582995951417E-2</c:v>
                </c:pt>
                <c:pt idx="195">
                  <c:v>3.6290322580645101E-2</c:v>
                </c:pt>
                <c:pt idx="196">
                  <c:v>3.1155778894472304E-2</c:v>
                </c:pt>
                <c:pt idx="197">
                  <c:v>3.4136546184739013E-2</c:v>
                </c:pt>
                <c:pt idx="198">
                  <c:v>3.6144578313253101E-2</c:v>
                </c:pt>
                <c:pt idx="199">
                  <c:v>4.2168674698795212E-2</c:v>
                </c:pt>
                <c:pt idx="200">
                  <c:v>3.7000000000000026E-2</c:v>
                </c:pt>
                <c:pt idx="201">
                  <c:v>3.5892323030907364E-2</c:v>
                </c:pt>
                <c:pt idx="202">
                  <c:v>3.6889332003988064E-2</c:v>
                </c:pt>
                <c:pt idx="203">
                  <c:v>3.7773359840954389E-2</c:v>
                </c:pt>
                <c:pt idx="204">
                  <c:v>2.5515210991167755E-2</c:v>
                </c:pt>
                <c:pt idx="205">
                  <c:v>2.4390243902439025E-2</c:v>
                </c:pt>
                <c:pt idx="206">
                  <c:v>2.5291828793774403E-2</c:v>
                </c:pt>
                <c:pt idx="207">
                  <c:v>2.4319066147859923E-2</c:v>
                </c:pt>
                <c:pt idx="208">
                  <c:v>2.436647173489279E-2</c:v>
                </c:pt>
                <c:pt idx="209">
                  <c:v>2.3300970873786464E-2</c:v>
                </c:pt>
                <c:pt idx="210">
                  <c:v>2.1317829457364369E-2</c:v>
                </c:pt>
                <c:pt idx="211">
                  <c:v>1.6377649325626232E-2</c:v>
                </c:pt>
                <c:pt idx="212">
                  <c:v>1.9286403085824494E-2</c:v>
                </c:pt>
                <c:pt idx="213">
                  <c:v>1.9249278152069296E-2</c:v>
                </c:pt>
                <c:pt idx="214">
                  <c:v>2.403846153846154E-2</c:v>
                </c:pt>
                <c:pt idx="215">
                  <c:v>2.7777777777777693E-2</c:v>
                </c:pt>
                <c:pt idx="216">
                  <c:v>2.8708133971291867E-2</c:v>
                </c:pt>
                <c:pt idx="217">
                  <c:v>2.2857142857142913E-2</c:v>
                </c:pt>
                <c:pt idx="218">
                  <c:v>2.0872865275142205E-2</c:v>
                </c:pt>
                <c:pt idx="219">
                  <c:v>2.3741690408357077E-2</c:v>
                </c:pt>
                <c:pt idx="220">
                  <c:v>2.9495718363463451E-2</c:v>
                </c:pt>
                <c:pt idx="221">
                  <c:v>2.7514231499051151E-2</c:v>
                </c:pt>
                <c:pt idx="222">
                  <c:v>3.5104364326375599E-2</c:v>
                </c:pt>
                <c:pt idx="223">
                  <c:v>4.2654028436018961E-2</c:v>
                </c:pt>
                <c:pt idx="224">
                  <c:v>4.162724692526009E-2</c:v>
                </c:pt>
                <c:pt idx="225">
                  <c:v>4.2492917847025496E-2</c:v>
                </c:pt>
                <c:pt idx="226">
                  <c:v>4.2253521126760563E-2</c:v>
                </c:pt>
                <c:pt idx="227">
                  <c:v>3.7278657968313145E-2</c:v>
                </c:pt>
                <c:pt idx="228">
                  <c:v>4.0930232558139587E-2</c:v>
                </c:pt>
                <c:pt idx="229">
                  <c:v>4.4692737430167571E-2</c:v>
                </c:pt>
                <c:pt idx="230">
                  <c:v>4.4609665427509403E-2</c:v>
                </c:pt>
                <c:pt idx="231">
                  <c:v>4.4526901669758791E-2</c:v>
                </c:pt>
                <c:pt idx="232">
                  <c:v>4.6210720887245843E-2</c:v>
                </c:pt>
                <c:pt idx="233">
                  <c:v>5.0784856879039705E-2</c:v>
                </c:pt>
                <c:pt idx="234">
                  <c:v>4.2163153070577532E-2</c:v>
                </c:pt>
                <c:pt idx="235">
                  <c:v>3.5454545454545509E-2</c:v>
                </c:pt>
                <c:pt idx="236">
                  <c:v>3.9055404178020087E-2</c:v>
                </c:pt>
                <c:pt idx="237">
                  <c:v>3.8043478260869464E-2</c:v>
                </c:pt>
                <c:pt idx="238">
                  <c:v>3.3333333333333361E-2</c:v>
                </c:pt>
                <c:pt idx="239">
                  <c:v>3.504043126684641E-2</c:v>
                </c:pt>
                <c:pt idx="240">
                  <c:v>3.3065236818587924E-2</c:v>
                </c:pt>
                <c:pt idx="241">
                  <c:v>3.1194295900178252E-2</c:v>
                </c:pt>
                <c:pt idx="242">
                  <c:v>3.1138790035587186E-2</c:v>
                </c:pt>
                <c:pt idx="243">
                  <c:v>3.4635879218472519E-2</c:v>
                </c:pt>
                <c:pt idx="244">
                  <c:v>3.268551236749119E-2</c:v>
                </c:pt>
                <c:pt idx="245">
                  <c:v>3.3391915641476248E-2</c:v>
                </c:pt>
                <c:pt idx="246">
                  <c:v>4.4854881266490711E-2</c:v>
                </c:pt>
                <c:pt idx="247">
                  <c:v>4.8287971905179979E-2</c:v>
                </c:pt>
                <c:pt idx="248">
                  <c:v>4.8951048951048896E-2</c:v>
                </c:pt>
                <c:pt idx="249">
                  <c:v>4.9738219895287983E-2</c:v>
                </c:pt>
                <c:pt idx="250">
                  <c:v>5.0566695727986027E-2</c:v>
                </c:pt>
                <c:pt idx="251">
                  <c:v>5.0347222222222196E-2</c:v>
                </c:pt>
                <c:pt idx="252">
                  <c:v>5.1038062283737078E-2</c:v>
                </c:pt>
                <c:pt idx="253">
                  <c:v>5.7044079515989575E-2</c:v>
                </c:pt>
                <c:pt idx="254">
                  <c:v>6.2122519413287218E-2</c:v>
                </c:pt>
                <c:pt idx="255">
                  <c:v>6.1802575107296163E-2</c:v>
                </c:pt>
                <c:pt idx="256">
                  <c:v>6.5868263473053787E-2</c:v>
                </c:pt>
                <c:pt idx="257">
                  <c:v>6.2074829931972886E-2</c:v>
                </c:pt>
                <c:pt idx="258">
                  <c:v>5.5555555555555629E-2</c:v>
                </c:pt>
                <c:pt idx="259">
                  <c:v>5.2763819095477359E-2</c:v>
                </c:pt>
                <c:pt idx="260">
                  <c:v>5.0833333333333286E-2</c:v>
                </c:pt>
                <c:pt idx="261">
                  <c:v>5.3200332502078188E-2</c:v>
                </c:pt>
                <c:pt idx="262">
                  <c:v>5.5601659751037369E-2</c:v>
                </c:pt>
                <c:pt idx="263">
                  <c:v>5.5371900826446302E-2</c:v>
                </c:pt>
                <c:pt idx="264">
                  <c:v>6.5020576131687283E-2</c:v>
                </c:pt>
                <c:pt idx="265">
                  <c:v>6.704824202780052E-2</c:v>
                </c:pt>
                <c:pt idx="266">
                  <c:v>6.173842404549143E-2</c:v>
                </c:pt>
                <c:pt idx="267">
                  <c:v>5.5780113177041159E-2</c:v>
                </c:pt>
                <c:pt idx="268">
                  <c:v>5.0561797752809085E-2</c:v>
                </c:pt>
                <c:pt idx="269">
                  <c:v>5.5244195356285074E-2</c:v>
                </c:pt>
                <c:pt idx="270">
                  <c:v>5.6618819776714464E-2</c:v>
                </c:pt>
                <c:pt idx="271">
                  <c:v>5.7279236276849665E-2</c:v>
                </c:pt>
                <c:pt idx="272">
                  <c:v>5.7097541633624245E-2</c:v>
                </c:pt>
                <c:pt idx="273">
                  <c:v>5.6037884767166604E-2</c:v>
                </c:pt>
                <c:pt idx="274">
                  <c:v>5.5031446540880387E-2</c:v>
                </c:pt>
                <c:pt idx="275">
                  <c:v>5.1683633516053318E-2</c:v>
                </c:pt>
                <c:pt idx="276">
                  <c:v>4.4822256568778848E-2</c:v>
                </c:pt>
                <c:pt idx="277">
                  <c:v>3.9846743295019069E-2</c:v>
                </c:pt>
                <c:pt idx="278">
                  <c:v>3.9785768936495929E-2</c:v>
                </c:pt>
                <c:pt idx="279">
                  <c:v>4.5941807044410414E-2</c:v>
                </c:pt>
                <c:pt idx="280">
                  <c:v>4.736440030557669E-2</c:v>
                </c:pt>
                <c:pt idx="281">
                  <c:v>4.5523520485584217E-2</c:v>
                </c:pt>
                <c:pt idx="282">
                  <c:v>3.547169811320746E-2</c:v>
                </c:pt>
                <c:pt idx="283">
                  <c:v>2.9345372460496656E-2</c:v>
                </c:pt>
                <c:pt idx="284">
                  <c:v>2.7756939234808615E-2</c:v>
                </c:pt>
                <c:pt idx="285">
                  <c:v>2.3168908819132989E-2</c:v>
                </c:pt>
                <c:pt idx="286">
                  <c:v>2.3845007451564957E-2</c:v>
                </c:pt>
                <c:pt idx="287">
                  <c:v>2.4571854058078799E-2</c:v>
                </c:pt>
                <c:pt idx="288">
                  <c:v>1.5532544378698394E-2</c:v>
                </c:pt>
                <c:pt idx="289">
                  <c:v>1.5475313190862365E-2</c:v>
                </c:pt>
                <c:pt idx="290">
                  <c:v>1.7660044150110417E-2</c:v>
                </c:pt>
                <c:pt idx="291">
                  <c:v>1.1713030746705669E-2</c:v>
                </c:pt>
                <c:pt idx="292">
                  <c:v>7.2939460247994168E-3</c:v>
                </c:pt>
                <c:pt idx="293">
                  <c:v>4.3541364296080859E-3</c:v>
                </c:pt>
                <c:pt idx="294">
                  <c:v>8.0174927113704289E-3</c:v>
                </c:pt>
                <c:pt idx="295">
                  <c:v>1.6812865497075898E-2</c:v>
                </c:pt>
                <c:pt idx="296">
                  <c:v>1.9708029197080208E-2</c:v>
                </c:pt>
                <c:pt idx="297">
                  <c:v>2.0452885317750056E-2</c:v>
                </c:pt>
                <c:pt idx="298">
                  <c:v>1.6011644832605448E-2</c:v>
                </c:pt>
                <c:pt idx="299">
                  <c:v>1.4534883720930232E-2</c:v>
                </c:pt>
                <c:pt idx="300">
                  <c:v>1.9664967225054539E-2</c:v>
                </c:pt>
                <c:pt idx="301">
                  <c:v>1.8867924528301844E-2</c:v>
                </c:pt>
                <c:pt idx="302">
                  <c:v>1.5184381778741823E-2</c:v>
                </c:pt>
                <c:pt idx="303">
                  <c:v>1.8813314037626795E-2</c:v>
                </c:pt>
                <c:pt idx="304">
                  <c:v>2.6068066618392428E-2</c:v>
                </c:pt>
                <c:pt idx="305">
                  <c:v>2.1676300578034682E-2</c:v>
                </c:pt>
                <c:pt idx="306">
                  <c:v>2.2415039768618902E-2</c:v>
                </c:pt>
                <c:pt idx="307">
                  <c:v>2.0129403306973482E-2</c:v>
                </c:pt>
                <c:pt idx="308">
                  <c:v>1.7179670722977852E-2</c:v>
                </c:pt>
                <c:pt idx="309">
                  <c:v>2.1474588403722263E-2</c:v>
                </c:pt>
                <c:pt idx="310">
                  <c:v>2.4355300859598895E-2</c:v>
                </c:pt>
                <c:pt idx="311">
                  <c:v>2.7936962750716374E-2</c:v>
                </c:pt>
                <c:pt idx="312">
                  <c:v>2.5714285714285672E-2</c:v>
                </c:pt>
                <c:pt idx="313">
                  <c:v>2.1367521367521368E-2</c:v>
                </c:pt>
                <c:pt idx="314">
                  <c:v>2.1367521367521368E-2</c:v>
                </c:pt>
                <c:pt idx="315">
                  <c:v>2.0596590909090745E-2</c:v>
                </c:pt>
                <c:pt idx="316">
                  <c:v>1.6231474947071358E-2</c:v>
                </c:pt>
                <c:pt idx="317">
                  <c:v>2.1216407355021217E-2</c:v>
                </c:pt>
                <c:pt idx="318">
                  <c:v>2.6874115983026751E-2</c:v>
                </c:pt>
                <c:pt idx="319">
                  <c:v>2.6074700493305063E-2</c:v>
                </c:pt>
                <c:pt idx="320">
                  <c:v>2.6038001407459658E-2</c:v>
                </c:pt>
                <c:pt idx="321">
                  <c:v>2.1723896285914666E-2</c:v>
                </c:pt>
                <c:pt idx="322">
                  <c:v>2.2377622377622298E-2</c:v>
                </c:pt>
                <c:pt idx="323">
                  <c:v>2.5783972125435459E-2</c:v>
                </c:pt>
                <c:pt idx="324">
                  <c:v>2.5069637883008318E-2</c:v>
                </c:pt>
                <c:pt idx="325">
                  <c:v>2.998605299860518E-2</c:v>
                </c:pt>
                <c:pt idx="326">
                  <c:v>2.8591352859135246E-2</c:v>
                </c:pt>
                <c:pt idx="327">
                  <c:v>3.3402922755741207E-2</c:v>
                </c:pt>
                <c:pt idx="328">
                  <c:v>3.2638888888888808E-2</c:v>
                </c:pt>
                <c:pt idx="329">
                  <c:v>3.0470914127423861E-2</c:v>
                </c:pt>
                <c:pt idx="330">
                  <c:v>2.6170798898071706E-2</c:v>
                </c:pt>
                <c:pt idx="331">
                  <c:v>2.403846153846154E-2</c:v>
                </c:pt>
                <c:pt idx="332">
                  <c:v>2.6063100137174094E-2</c:v>
                </c:pt>
                <c:pt idx="333">
                  <c:v>2.8806584362139839E-2</c:v>
                </c:pt>
                <c:pt idx="334">
                  <c:v>2.5991792065663554E-2</c:v>
                </c:pt>
                <c:pt idx="335">
                  <c:v>2.1059782608695808E-2</c:v>
                </c:pt>
                <c:pt idx="336">
                  <c:v>2.4456521739130592E-2</c:v>
                </c:pt>
                <c:pt idx="337">
                  <c:v>2.3696682464454978E-2</c:v>
                </c:pt>
                <c:pt idx="338">
                  <c:v>2.9830508474576311E-2</c:v>
                </c:pt>
                <c:pt idx="339">
                  <c:v>2.6936026936026935E-2</c:v>
                </c:pt>
                <c:pt idx="340">
                  <c:v>2.4882313382649748E-2</c:v>
                </c:pt>
                <c:pt idx="341">
                  <c:v>3.0241935483870965E-2</c:v>
                </c:pt>
                <c:pt idx="342">
                  <c:v>3.2214765100671214E-2</c:v>
                </c:pt>
                <c:pt idx="343">
                  <c:v>3.4875922199865975E-2</c:v>
                </c:pt>
                <c:pt idx="344">
                  <c:v>3.6096256684492019E-2</c:v>
                </c:pt>
                <c:pt idx="345">
                  <c:v>3.9333333333333373E-2</c:v>
                </c:pt>
                <c:pt idx="346">
                  <c:v>4.2666666666666707E-2</c:v>
                </c:pt>
                <c:pt idx="347">
                  <c:v>4.1916167664670545E-2</c:v>
                </c:pt>
                <c:pt idx="348">
                  <c:v>3.6472148541114052E-2</c:v>
                </c:pt>
                <c:pt idx="349">
                  <c:v>3.7698412698412814E-2</c:v>
                </c:pt>
                <c:pt idx="350">
                  <c:v>3.357472021066487E-2</c:v>
                </c:pt>
                <c:pt idx="351">
                  <c:v>2.9508196721311476E-2</c:v>
                </c:pt>
                <c:pt idx="352">
                  <c:v>3.0839895013123283E-2</c:v>
                </c:pt>
                <c:pt idx="353">
                  <c:v>2.6744944553163692E-2</c:v>
                </c:pt>
                <c:pt idx="354">
                  <c:v>2.5357607282184506E-2</c:v>
                </c:pt>
                <c:pt idx="355">
                  <c:v>2.5275437459494343E-2</c:v>
                </c:pt>
                <c:pt idx="356">
                  <c:v>2.1935483870967779E-2</c:v>
                </c:pt>
                <c:pt idx="357">
                  <c:v>1.796023091725454E-2</c:v>
                </c:pt>
                <c:pt idx="358">
                  <c:v>1.6624040920716076E-2</c:v>
                </c:pt>
                <c:pt idx="359">
                  <c:v>1.6602809706257948E-2</c:v>
                </c:pt>
                <c:pt idx="360">
                  <c:v>2.303262955854123E-2</c:v>
                </c:pt>
                <c:pt idx="361">
                  <c:v>1.9120458891013385E-2</c:v>
                </c:pt>
                <c:pt idx="362">
                  <c:v>1.974522292993627E-2</c:v>
                </c:pt>
                <c:pt idx="363">
                  <c:v>2.0382165605095467E-2</c:v>
                </c:pt>
                <c:pt idx="364">
                  <c:v>2.2915340547421989E-2</c:v>
                </c:pt>
                <c:pt idx="365">
                  <c:v>2.0330368487928772E-2</c:v>
                </c:pt>
                <c:pt idx="366">
                  <c:v>2.0925808497146554E-2</c:v>
                </c:pt>
                <c:pt idx="367">
                  <c:v>2.0227560050569009E-2</c:v>
                </c:pt>
                <c:pt idx="368">
                  <c:v>1.9570707070707034E-2</c:v>
                </c:pt>
                <c:pt idx="369">
                  <c:v>2.3314429741651023E-2</c:v>
                </c:pt>
                <c:pt idx="370">
                  <c:v>2.3270440251572256E-2</c:v>
                </c:pt>
                <c:pt idx="371">
                  <c:v>2.2613065326633309E-2</c:v>
                </c:pt>
                <c:pt idx="372">
                  <c:v>2.1888680425265792E-2</c:v>
                </c:pt>
                <c:pt idx="373">
                  <c:v>2.439024390243906E-2</c:v>
                </c:pt>
                <c:pt idx="374">
                  <c:v>2.2485946283572731E-2</c:v>
                </c:pt>
                <c:pt idx="375">
                  <c:v>2.309612983770298E-2</c:v>
                </c:pt>
                <c:pt idx="376">
                  <c:v>2.1779713752333542E-2</c:v>
                </c:pt>
                <c:pt idx="377">
                  <c:v>2.1793275217932753E-2</c:v>
                </c:pt>
                <c:pt idx="378">
                  <c:v>2.1118012422360284E-2</c:v>
                </c:pt>
                <c:pt idx="379">
                  <c:v>2.0446096654274985E-2</c:v>
                </c:pt>
                <c:pt idx="380">
                  <c:v>2.2291021671826589E-2</c:v>
                </c:pt>
                <c:pt idx="381">
                  <c:v>1.9088669950738879E-2</c:v>
                </c:pt>
                <c:pt idx="382">
                  <c:v>1.9053472649047467E-2</c:v>
                </c:pt>
                <c:pt idx="383">
                  <c:v>1.9656019656019586E-2</c:v>
                </c:pt>
                <c:pt idx="384">
                  <c:v>1.6523867809057458E-2</c:v>
                </c:pt>
                <c:pt idx="385">
                  <c:v>1.7704517704517565E-2</c:v>
                </c:pt>
                <c:pt idx="386">
                  <c:v>2.076970067196094E-2</c:v>
                </c:pt>
                <c:pt idx="387">
                  <c:v>2.0134228187919358E-2</c:v>
                </c:pt>
                <c:pt idx="388">
                  <c:v>2.1924482338611589E-2</c:v>
                </c:pt>
                <c:pt idx="389">
                  <c:v>2.3765996343692905E-2</c:v>
                </c:pt>
                <c:pt idx="390">
                  <c:v>2.6763990267639936E-2</c:v>
                </c:pt>
                <c:pt idx="391">
                  <c:v>2.792956891317561E-2</c:v>
                </c:pt>
                <c:pt idx="392">
                  <c:v>2.6044821320411943E-2</c:v>
                </c:pt>
                <c:pt idx="393">
                  <c:v>2.4773413897280931E-2</c:v>
                </c:pt>
                <c:pt idx="394">
                  <c:v>2.3522316043425674E-2</c:v>
                </c:pt>
                <c:pt idx="395">
                  <c:v>2.710843373493976E-2</c:v>
                </c:pt>
                <c:pt idx="396">
                  <c:v>2.8898254063817047E-2</c:v>
                </c:pt>
                <c:pt idx="397">
                  <c:v>2.9994001199760052E-2</c:v>
                </c:pt>
                <c:pt idx="398">
                  <c:v>3.0520646319569088E-2</c:v>
                </c:pt>
                <c:pt idx="399">
                  <c:v>3.2296650717703386E-2</c:v>
                </c:pt>
                <c:pt idx="400">
                  <c:v>3.0393325387365874E-2</c:v>
                </c:pt>
                <c:pt idx="401">
                  <c:v>3.273809523809524E-2</c:v>
                </c:pt>
                <c:pt idx="402">
                  <c:v>3.1398104265402738E-2</c:v>
                </c:pt>
                <c:pt idx="403">
                  <c:v>3.071470761961009E-2</c:v>
                </c:pt>
                <c:pt idx="404">
                  <c:v>3.1286894923258458E-2</c:v>
                </c:pt>
                <c:pt idx="405">
                  <c:v>3.3608490566037839E-2</c:v>
                </c:pt>
                <c:pt idx="406">
                  <c:v>3.3588685916323024E-2</c:v>
                </c:pt>
                <c:pt idx="407">
                  <c:v>2.7565982404692015E-2</c:v>
                </c:pt>
                <c:pt idx="408">
                  <c:v>2.8671737858396756E-2</c:v>
                </c:pt>
                <c:pt idx="409">
                  <c:v>2.6208503203261506E-2</c:v>
                </c:pt>
                <c:pt idx="410">
                  <c:v>2.5551684088269491E-2</c:v>
                </c:pt>
                <c:pt idx="411">
                  <c:v>2.4913093858632742E-2</c:v>
                </c:pt>
                <c:pt idx="412">
                  <c:v>2.0242914979757085E-2</c:v>
                </c:pt>
                <c:pt idx="413">
                  <c:v>1.7291066282420751E-2</c:v>
                </c:pt>
                <c:pt idx="414">
                  <c:v>1.4933946008041323E-2</c:v>
                </c:pt>
                <c:pt idx="415">
                  <c:v>1.260744985673346E-2</c:v>
                </c:pt>
                <c:pt idx="416">
                  <c:v>1.3165426445334926E-2</c:v>
                </c:pt>
                <c:pt idx="417">
                  <c:v>9.6976611523102597E-3</c:v>
                </c:pt>
                <c:pt idx="418">
                  <c:v>1.1972633979475452E-2</c:v>
                </c:pt>
                <c:pt idx="419">
                  <c:v>1.4269406392694065E-2</c:v>
                </c:pt>
                <c:pt idx="420">
                  <c:v>1.080773606370863E-2</c:v>
                </c:pt>
                <c:pt idx="421">
                  <c:v>1.4188422247446085E-2</c:v>
                </c:pt>
                <c:pt idx="422">
                  <c:v>1.3590033975084971E-2</c:v>
                </c:pt>
                <c:pt idx="423">
                  <c:v>1.2436404748445385E-2</c:v>
                </c:pt>
                <c:pt idx="424">
                  <c:v>1.7006802721088433E-2</c:v>
                </c:pt>
                <c:pt idx="425">
                  <c:v>2.1529745042492981E-2</c:v>
                </c:pt>
                <c:pt idx="426">
                  <c:v>2.0939445387662802E-2</c:v>
                </c:pt>
                <c:pt idx="427">
                  <c:v>2.4900962082625953E-2</c:v>
                </c:pt>
                <c:pt idx="428">
                  <c:v>2.5423728813559324E-2</c:v>
                </c:pt>
                <c:pt idx="429">
                  <c:v>2.9378531073446262E-2</c:v>
                </c:pt>
                <c:pt idx="430">
                  <c:v>3.1549295774647858E-2</c:v>
                </c:pt>
                <c:pt idx="431">
                  <c:v>3.5453010692177891E-2</c:v>
                </c:pt>
                <c:pt idx="432">
                  <c:v>3.4890264490714785E-2</c:v>
                </c:pt>
                <c:pt idx="433">
                  <c:v>3.1337437045327494E-2</c:v>
                </c:pt>
                <c:pt idx="434">
                  <c:v>3.1843575418994352E-2</c:v>
                </c:pt>
                <c:pt idx="435">
                  <c:v>3.3500837520938027E-2</c:v>
                </c:pt>
                <c:pt idx="436">
                  <c:v>3.9576365663322149E-2</c:v>
                </c:pt>
                <c:pt idx="437">
                  <c:v>3.660565723793674E-2</c:v>
                </c:pt>
                <c:pt idx="438">
                  <c:v>3.8248337028824866E-2</c:v>
                </c:pt>
                <c:pt idx="439">
                  <c:v>3.5339591385974631E-2</c:v>
                </c:pt>
                <c:pt idx="440">
                  <c:v>3.2506887052341629E-2</c:v>
                </c:pt>
                <c:pt idx="441">
                  <c:v>3.3479692645444696E-2</c:v>
                </c:pt>
                <c:pt idx="442">
                  <c:v>3.1676679410158448E-2</c:v>
                </c:pt>
                <c:pt idx="443">
                  <c:v>2.6630434782608726E-2</c:v>
                </c:pt>
                <c:pt idx="444">
                  <c:v>2.8276237085372424E-2</c:v>
                </c:pt>
                <c:pt idx="445">
                  <c:v>2.6587086272381859E-2</c:v>
                </c:pt>
                <c:pt idx="446">
                  <c:v>2.6529507309150005E-2</c:v>
                </c:pt>
                <c:pt idx="447">
                  <c:v>3.0794165316045473E-2</c:v>
                </c:pt>
                <c:pt idx="448">
                  <c:v>2.4128686327077747E-2</c:v>
                </c:pt>
                <c:pt idx="449">
                  <c:v>2.1936864633493817E-2</c:v>
                </c:pt>
                <c:pt idx="450">
                  <c:v>2.189001601708486E-2</c:v>
                </c:pt>
                <c:pt idx="451">
                  <c:v>2.1333333333333333E-2</c:v>
                </c:pt>
                <c:pt idx="452">
                  <c:v>2.4012806830309499E-2</c:v>
                </c:pt>
                <c:pt idx="453">
                  <c:v>2.1773765268189027E-2</c:v>
                </c:pt>
                <c:pt idx="454">
                  <c:v>2.1704605611434592E-2</c:v>
                </c:pt>
                <c:pt idx="455">
                  <c:v>2.3292747485442061E-2</c:v>
                </c:pt>
                <c:pt idx="456">
                  <c:v>2.6441036488630356E-2</c:v>
                </c:pt>
                <c:pt idx="457">
                  <c:v>2.6427061310782242E-2</c:v>
                </c:pt>
                <c:pt idx="458">
                  <c:v>2.5316455696202594E-2</c:v>
                </c:pt>
                <c:pt idx="459">
                  <c:v>1.8343815513626835E-2</c:v>
                </c:pt>
                <c:pt idx="460">
                  <c:v>1.9371727748691041E-2</c:v>
                </c:pt>
                <c:pt idx="461">
                  <c:v>2.2513089005235663E-2</c:v>
                </c:pt>
                <c:pt idx="462">
                  <c:v>2.2466039707418929E-2</c:v>
                </c:pt>
                <c:pt idx="463">
                  <c:v>2.4543080939947722E-2</c:v>
                </c:pt>
                <c:pt idx="464">
                  <c:v>2.5534132360604509E-2</c:v>
                </c:pt>
                <c:pt idx="465">
                  <c:v>2.5987525987525985E-2</c:v>
                </c:pt>
                <c:pt idx="466">
                  <c:v>2.2797927461139927E-2</c:v>
                </c:pt>
                <c:pt idx="467">
                  <c:v>2.1727884117951311E-2</c:v>
                </c:pt>
                <c:pt idx="468">
                  <c:v>2.4281298299845409E-2</c:v>
                </c:pt>
                <c:pt idx="469">
                  <c:v>3.0514933058702454E-2</c:v>
                </c:pt>
                <c:pt idx="470">
                  <c:v>3.3194444444444457E-2</c:v>
                </c:pt>
                <c:pt idx="471">
                  <c:v>3.6500257334019473E-2</c:v>
                </c:pt>
                <c:pt idx="472">
                  <c:v>3.8299948638931804E-2</c:v>
                </c:pt>
                <c:pt idx="473">
                  <c:v>3.9308755760368623E-2</c:v>
                </c:pt>
                <c:pt idx="474">
                  <c:v>4.0572304547777202E-2</c:v>
                </c:pt>
                <c:pt idx="475">
                  <c:v>4.1885830784913446E-2</c:v>
                </c:pt>
                <c:pt idx="476">
                  <c:v>4.3429878048780471E-2</c:v>
                </c:pt>
                <c:pt idx="477">
                  <c:v>4.3505572441742621E-2</c:v>
                </c:pt>
                <c:pt idx="478">
                  <c:v>4.7563323201620981E-2</c:v>
                </c:pt>
                <c:pt idx="479">
                  <c:v>4.8815189873417673E-2</c:v>
                </c:pt>
                <c:pt idx="480">
                  <c:v>4.8180953961763105E-2</c:v>
                </c:pt>
                <c:pt idx="481">
                  <c:v>4.5256488412300191E-2</c:v>
                </c:pt>
                <c:pt idx="482">
                  <c:v>4.3524368568057185E-2</c:v>
                </c:pt>
                <c:pt idx="483">
                  <c:v>4.953523476602844E-2</c:v>
                </c:pt>
                <c:pt idx="484">
                  <c:v>4.9698996324638756E-2</c:v>
                </c:pt>
                <c:pt idx="485">
                  <c:v>5.1606832301196656E-2</c:v>
                </c:pt>
                <c:pt idx="486">
                  <c:v>5.7989589471616712E-2</c:v>
                </c:pt>
                <c:pt idx="487">
                  <c:v>5.9251142267314982E-2</c:v>
                </c:pt>
                <c:pt idx="488">
                  <c:v>6.0395330830253113E-2</c:v>
                </c:pt>
                <c:pt idx="489">
                  <c:v>6.1382216439792636E-2</c:v>
                </c:pt>
                <c:pt idx="490">
                  <c:v>5.9432561693320347E-2</c:v>
                </c:pt>
                <c:pt idx="491">
                  <c:v>5.7979830163994668E-2</c:v>
                </c:pt>
                <c:pt idx="492">
                  <c:v>5.2454028945449017E-2</c:v>
                </c:pt>
                <c:pt idx="493">
                  <c:v>4.720746905819307E-2</c:v>
                </c:pt>
                <c:pt idx="494">
                  <c:v>4.3355041866456688E-2</c:v>
                </c:pt>
                <c:pt idx="495">
                  <c:v>3.3136520192271389E-2</c:v>
                </c:pt>
                <c:pt idx="496">
                  <c:v>2.7563099658818823E-2</c:v>
                </c:pt>
                <c:pt idx="497">
                  <c:v>2.1737908288514584E-2</c:v>
                </c:pt>
                <c:pt idx="498">
                  <c:v>1.0563984980204048E-2</c:v>
                </c:pt>
                <c:pt idx="499">
                  <c:v>5.5789036161270882E-3</c:v>
                </c:pt>
                <c:pt idx="500">
                  <c:v>-3.903577054315196E-4</c:v>
                </c:pt>
                <c:pt idx="501">
                  <c:v>-3.4349957920158289E-3</c:v>
                </c:pt>
                <c:pt idx="502">
                  <c:v>-4.6741129912040904E-3</c:v>
                </c:pt>
                <c:pt idx="503">
                  <c:v>-3.6960816970947074E-3</c:v>
                </c:pt>
                <c:pt idx="504">
                  <c:v>-2.1338391322388338E-3</c:v>
                </c:pt>
                <c:pt idx="505">
                  <c:v>-7.3040016799202304E-4</c:v>
                </c:pt>
                <c:pt idx="506">
                  <c:v>2.9220511976294802E-3</c:v>
                </c:pt>
                <c:pt idx="507">
                  <c:v>5.3074569999816447E-3</c:v>
                </c:pt>
                <c:pt idx="508">
                  <c:v>7.3284935313892184E-3</c:v>
                </c:pt>
                <c:pt idx="509">
                  <c:v>7.0383141059736096E-3</c:v>
                </c:pt>
                <c:pt idx="510">
                  <c:v>8.8092777586405158E-3</c:v>
                </c:pt>
                <c:pt idx="511">
                  <c:v>9.8329184616373407E-3</c:v>
                </c:pt>
                <c:pt idx="512">
                  <c:v>1.3479491326080685E-2</c:v>
                </c:pt>
                <c:pt idx="513">
                  <c:v>1.3906673826538344E-2</c:v>
                </c:pt>
                <c:pt idx="514">
                  <c:v>1.4950356561417948E-2</c:v>
                </c:pt>
                <c:pt idx="515">
                  <c:v>1.4724673790080668E-2</c:v>
                </c:pt>
                <c:pt idx="516">
                  <c:v>1.7728633113248609E-2</c:v>
                </c:pt>
                <c:pt idx="517">
                  <c:v>2.2092481429707045E-2</c:v>
                </c:pt>
                <c:pt idx="518">
                  <c:v>2.7430113851386741E-2</c:v>
                </c:pt>
                <c:pt idx="519">
                  <c:v>3.0287294277345798E-2</c:v>
                </c:pt>
                <c:pt idx="520">
                  <c:v>3.3662491862090207E-2</c:v>
                </c:pt>
                <c:pt idx="521">
                  <c:v>3.6316117781511378E-2</c:v>
                </c:pt>
                <c:pt idx="522">
                  <c:v>4.0201599868878189E-2</c:v>
                </c:pt>
                <c:pt idx="523">
                  <c:v>4.4106076523906364E-2</c:v>
                </c:pt>
                <c:pt idx="524">
                  <c:v>4.5163600757939751E-2</c:v>
                </c:pt>
                <c:pt idx="525">
                  <c:v>4.4655992684836922E-2</c:v>
                </c:pt>
                <c:pt idx="526">
                  <c:v>4.3652712197546489E-2</c:v>
                </c:pt>
                <c:pt idx="527">
                  <c:v>4.4395096499304842E-2</c:v>
                </c:pt>
                <c:pt idx="528">
                  <c:v>4.2184658899589132E-2</c:v>
                </c:pt>
                <c:pt idx="529">
                  <c:v>3.740602679968176E-2</c:v>
                </c:pt>
                <c:pt idx="530">
                  <c:v>3.1796819874232905E-2</c:v>
                </c:pt>
                <c:pt idx="531">
                  <c:v>2.9861172517463924E-2</c:v>
                </c:pt>
                <c:pt idx="532">
                  <c:v>2.6787641216499031E-2</c:v>
                </c:pt>
                <c:pt idx="533">
                  <c:v>2.6453957109528373E-2</c:v>
                </c:pt>
                <c:pt idx="534">
                  <c:v>2.3105574838164666E-2</c:v>
                </c:pt>
                <c:pt idx="535">
                  <c:v>1.9736297625633257E-2</c:v>
                </c:pt>
                <c:pt idx="536">
                  <c:v>1.615624498505816E-2</c:v>
                </c:pt>
                <c:pt idx="537">
                  <c:v>1.6977501993274767E-2</c:v>
                </c:pt>
                <c:pt idx="538">
                  <c:v>1.7854668883347167E-2</c:v>
                </c:pt>
                <c:pt idx="539">
                  <c:v>1.7844177845387874E-2</c:v>
                </c:pt>
                <c:pt idx="540">
                  <c:v>1.6064205125554162E-2</c:v>
                </c:pt>
                <c:pt idx="541">
                  <c:v>1.6372041722855727E-2</c:v>
                </c:pt>
                <c:pt idx="542">
                  <c:v>1.5604166845876533E-2</c:v>
                </c:pt>
                <c:pt idx="543">
                  <c:v>1.5626744056256341E-2</c:v>
                </c:pt>
                <c:pt idx="544">
                  <c:v>1.3983794240907278E-2</c:v>
                </c:pt>
                <c:pt idx="545">
                  <c:v>1.4073896517481128E-2</c:v>
                </c:pt>
                <c:pt idx="546">
                  <c:v>1.4464047366439645E-2</c:v>
                </c:pt>
                <c:pt idx="547">
                  <c:v>1.4091786696738285E-2</c:v>
                </c:pt>
                <c:pt idx="548">
                  <c:v>1.3564617604124861E-2</c:v>
                </c:pt>
                <c:pt idx="549">
                  <c:v>1.2778341159126454E-2</c:v>
                </c:pt>
                <c:pt idx="550">
                  <c:v>1.1888558060399897E-2</c:v>
                </c:pt>
                <c:pt idx="551">
                  <c:v>1.1090306172273485E-2</c:v>
                </c:pt>
                <c:pt idx="552">
                  <c:v>1.0841176969388569E-2</c:v>
                </c:pt>
                <c:pt idx="553">
                  <c:v>1.4175317821308006E-2</c:v>
                </c:pt>
                <c:pt idx="554">
                  <c:v>1.7405666370219851E-2</c:v>
                </c:pt>
                <c:pt idx="555">
                  <c:v>1.8687598806293136E-2</c:v>
                </c:pt>
                <c:pt idx="556">
                  <c:v>2.4197608159501151E-2</c:v>
                </c:pt>
                <c:pt idx="557">
                  <c:v>2.2932565678395321E-2</c:v>
                </c:pt>
                <c:pt idx="558">
                  <c:v>2.4247995850429926E-2</c:v>
                </c:pt>
                <c:pt idx="559">
                  <c:v>2.5685847510814697E-2</c:v>
                </c:pt>
                <c:pt idx="560">
                  <c:v>2.8147424451706354E-2</c:v>
                </c:pt>
                <c:pt idx="561">
                  <c:v>2.8637780666658199E-2</c:v>
                </c:pt>
                <c:pt idx="562">
                  <c:v>3.0311692133083858E-2</c:v>
                </c:pt>
                <c:pt idx="563">
                  <c:v>3.2364267027249448E-2</c:v>
                </c:pt>
                <c:pt idx="564">
                  <c:v>3.081575558789855E-2</c:v>
                </c:pt>
                <c:pt idx="565">
                  <c:v>2.8460126981738526E-2</c:v>
                </c:pt>
                <c:pt idx="566">
                  <c:v>2.2664835164835136E-2</c:v>
                </c:pt>
                <c:pt idx="567">
                  <c:v>1.9170522210004374E-2</c:v>
                </c:pt>
                <c:pt idx="568">
                  <c:v>1.5608801067296675E-2</c:v>
                </c:pt>
                <c:pt idx="569">
                  <c:v>1.7190369101900169E-2</c:v>
                </c:pt>
                <c:pt idx="570">
                  <c:v>1.5851253484187835E-2</c:v>
                </c:pt>
                <c:pt idx="571">
                  <c:v>1.5564362128087686E-2</c:v>
                </c:pt>
                <c:pt idx="572">
                  <c:v>1.571178137850817E-2</c:v>
                </c:pt>
                <c:pt idx="573">
                  <c:v>1.5492842535787366E-2</c:v>
                </c:pt>
                <c:pt idx="574">
                  <c:v>1.2113126565649123E-2</c:v>
                </c:pt>
                <c:pt idx="575">
                  <c:v>7.8140253823624807E-3</c:v>
                </c:pt>
                <c:pt idx="576">
                  <c:v>8.9638840513663626E-3</c:v>
                </c:pt>
                <c:pt idx="577">
                  <c:v>8.8922846831615086E-3</c:v>
                </c:pt>
                <c:pt idx="578">
                  <c:v>8.1974886541710326E-3</c:v>
                </c:pt>
                <c:pt idx="579">
                  <c:v>9.3276062129755786E-3</c:v>
                </c:pt>
                <c:pt idx="580">
                  <c:v>6.8690368707449512E-3</c:v>
                </c:pt>
                <c:pt idx="581">
                  <c:v>3.6874622227811003E-3</c:v>
                </c:pt>
                <c:pt idx="582">
                  <c:v>2.7276448630706141E-3</c:v>
                </c:pt>
                <c:pt idx="583">
                  <c:v>7.4405062779282207E-4</c:v>
                </c:pt>
                <c:pt idx="584">
                  <c:v>-1.8388283115040377E-3</c:v>
                </c:pt>
                <c:pt idx="585">
                  <c:v>-2.7870859646862002E-3</c:v>
                </c:pt>
                <c:pt idx="586">
                  <c:v>-2.2170714501662117E-3</c:v>
                </c:pt>
                <c:pt idx="587">
                  <c:v>-9.3235012774405392E-4</c:v>
                </c:pt>
                <c:pt idx="588">
                  <c:v>-4.1134505801176713E-4</c:v>
                </c:pt>
                <c:pt idx="589">
                  <c:v>8.0163065371172029E-4</c:v>
                </c:pt>
                <c:pt idx="590">
                  <c:v>4.9535928687640058E-3</c:v>
                </c:pt>
                <c:pt idx="591">
                  <c:v>5.5746936338773772E-3</c:v>
                </c:pt>
                <c:pt idx="592">
                  <c:v>8.5267090780572295E-3</c:v>
                </c:pt>
                <c:pt idx="593">
                  <c:v>8.5603427370464138E-3</c:v>
                </c:pt>
                <c:pt idx="594">
                  <c:v>1.0614132236081602E-2</c:v>
                </c:pt>
                <c:pt idx="595">
                  <c:v>1.1192868889885531E-2</c:v>
                </c:pt>
                <c:pt idx="596">
                  <c:v>1.2725833037070576E-2</c:v>
                </c:pt>
                <c:pt idx="597">
                  <c:v>1.3421056882986832E-2</c:v>
                </c:pt>
                <c:pt idx="598">
                  <c:v>1.4220785779214148E-2</c:v>
                </c:pt>
                <c:pt idx="599">
                  <c:v>1.5953621783218245E-2</c:v>
                </c:pt>
                <c:pt idx="600">
                  <c:v>1.6472676658664993E-2</c:v>
                </c:pt>
                <c:pt idx="601">
                  <c:v>1.4160189661210017E-2</c:v>
                </c:pt>
                <c:pt idx="602">
                  <c:v>1.2678466692912777E-2</c:v>
                </c:pt>
                <c:pt idx="603">
                  <c:v>1.3630820577003289E-2</c:v>
                </c:pt>
                <c:pt idx="604">
                  <c:v>1.209519156060004E-2</c:v>
                </c:pt>
                <c:pt idx="605">
                  <c:v>1.4146142070546373E-2</c:v>
                </c:pt>
                <c:pt idx="606">
                  <c:v>1.3994208741281097E-2</c:v>
                </c:pt>
                <c:pt idx="607">
                  <c:v>1.4245811172072607E-2</c:v>
                </c:pt>
                <c:pt idx="608">
                  <c:v>1.4053885861543479E-2</c:v>
                </c:pt>
                <c:pt idx="609">
                  <c:v>1.2533925290631565E-2</c:v>
                </c:pt>
                <c:pt idx="610">
                  <c:v>1.4503375888784958E-2</c:v>
                </c:pt>
                <c:pt idx="611">
                  <c:v>1.6104724450152826E-2</c:v>
                </c:pt>
                <c:pt idx="612">
                  <c:v>1.638433327512032E-2</c:v>
                </c:pt>
                <c:pt idx="613">
                  <c:v>1.9665741920376501E-2</c:v>
                </c:pt>
                <c:pt idx="614">
                  <c:v>2.0640109170825493E-2</c:v>
                </c:pt>
                <c:pt idx="615">
                  <c:v>1.7175466784863442E-2</c:v>
                </c:pt>
                <c:pt idx="616">
                  <c:v>1.9251620460139601E-2</c:v>
                </c:pt>
                <c:pt idx="617">
                  <c:v>1.8331041459212469E-2</c:v>
                </c:pt>
                <c:pt idx="618">
                  <c:v>1.761914716543533E-2</c:v>
                </c:pt>
                <c:pt idx="619">
                  <c:v>1.7114895159447557E-2</c:v>
                </c:pt>
                <c:pt idx="620">
                  <c:v>1.7855948639069145E-2</c:v>
                </c:pt>
                <c:pt idx="621">
                  <c:v>2.0278355060142386E-2</c:v>
                </c:pt>
                <c:pt idx="622">
                  <c:v>1.9286493957265047E-2</c:v>
                </c:pt>
                <c:pt idx="623">
                  <c:v>1.737963205741826E-2</c:v>
                </c:pt>
                <c:pt idx="624">
                  <c:v>1.7584623314953318E-2</c:v>
                </c:pt>
                <c:pt idx="625">
                  <c:v>1.7499883230316451E-2</c:v>
                </c:pt>
                <c:pt idx="626">
                  <c:v>1.8839030646947856E-2</c:v>
                </c:pt>
                <c:pt idx="627">
                  <c:v>3.3755339926699976E-2</c:v>
                </c:pt>
                <c:pt idx="628">
                  <c:v>3.8443768902554971E-2</c:v>
                </c:pt>
                <c:pt idx="629">
                  <c:v>4.3204103885420321E-2</c:v>
                </c:pt>
                <c:pt idx="630">
                  <c:v>3.8949914340421381E-2</c:v>
                </c:pt>
                <c:pt idx="631">
                  <c:v>3.9568791205385749E-2</c:v>
                </c:pt>
                <c:pt idx="632">
                  <c:v>3.8188915513642931E-2</c:v>
                </c:pt>
                <c:pt idx="633">
                  <c:v>3.8377260662921957E-2</c:v>
                </c:pt>
                <c:pt idx="634">
                  <c:v>3.679535281473649E-2</c:v>
                </c:pt>
                <c:pt idx="635">
                  <c:v>3.8639073739277448E-2</c:v>
                </c:pt>
                <c:pt idx="636">
                  <c:v>3.6967675829594794E-2</c:v>
                </c:pt>
                <c:pt idx="637">
                  <c:v>3.5162884641868043E-2</c:v>
                </c:pt>
                <c:pt idx="638">
                  <c:v>3.3624280896647568E-2</c:v>
                </c:pt>
                <c:pt idx="639">
                  <c:v>2.3451084297445992E-2</c:v>
                </c:pt>
                <c:pt idx="640">
                  <c:v>2.1119888736433213E-2</c:v>
                </c:pt>
                <c:pt idx="641">
                  <c:v>2.3590151799762628E-2</c:v>
                </c:pt>
                <c:pt idx="642">
                  <c:v>3.3740351505519489E-2</c:v>
                </c:pt>
                <c:pt idx="643">
                  <c:v>3.6531245691630791E-2</c:v>
                </c:pt>
                <c:pt idx="644">
                  <c:v>4.4624210318627448E-2</c:v>
                </c:pt>
                <c:pt idx="645">
                  <c:v>5.1225275296845091E-2</c:v>
                </c:pt>
                <c:pt idx="646">
                  <c:v>5.8276054244844895E-2</c:v>
                </c:pt>
                <c:pt idx="647">
                  <c:v>6.01448067699943E-2</c:v>
                </c:pt>
              </c:numCache>
            </c:numRef>
          </c:val>
          <c:smooth val="0"/>
          <c:extLst>
            <c:ext xmlns:c16="http://schemas.microsoft.com/office/drawing/2014/chart" uri="{C3380CC4-5D6E-409C-BE32-E72D297353CC}">
              <c16:uniqueId val="{00000000-3DB4-FF4C-8253-A2B7DEA25075}"/>
            </c:ext>
          </c:extLst>
        </c:ser>
        <c:dLbls>
          <c:showLegendKey val="0"/>
          <c:showVal val="0"/>
          <c:showCatName val="0"/>
          <c:showSerName val="0"/>
          <c:showPercent val="0"/>
          <c:showBubbleSize val="0"/>
        </c:dLbls>
        <c:smooth val="0"/>
        <c:axId val="441892151"/>
        <c:axId val="441886247"/>
      </c:lineChart>
      <c:dateAx>
        <c:axId val="441892151"/>
        <c:scaling>
          <c:orientation val="minMax"/>
        </c:scaling>
        <c:delete val="0"/>
        <c:axPos val="b"/>
        <c:numFmt formatCode="[$-409]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1886247"/>
        <c:crosses val="autoZero"/>
        <c:auto val="0"/>
        <c:lblOffset val="100"/>
        <c:baseTimeUnit val="months"/>
      </c:dateAx>
      <c:valAx>
        <c:axId val="441886247"/>
        <c:scaling>
          <c:orientation val="minMax"/>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1892151"/>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strike="noStrike" kern="1200" spc="0" baseline="0">
                <a:solidFill>
                  <a:schemeClr val="tx1">
                    <a:lumMod val="65000"/>
                    <a:lumOff val="35000"/>
                  </a:schemeClr>
                </a:solidFill>
                <a:latin typeface="+mn-lt"/>
                <a:ea typeface="+mn-ea"/>
                <a:cs typeface="+mn-cs"/>
              </a:defRPr>
            </a:pPr>
            <a:r>
              <a:rPr lang="en-US" b="1"/>
              <a:t>CPI Food y/y % since 2000</a:t>
            </a:r>
          </a:p>
        </c:rich>
      </c:tx>
      <c:overlay val="0"/>
      <c:spPr>
        <a:noFill/>
        <a:ln>
          <a:noFill/>
          <a:prstDash val="solid"/>
        </a:ln>
      </c:spPr>
    </c:title>
    <c:autoTitleDeleted val="0"/>
    <c:plotArea>
      <c:layout/>
      <c:lineChart>
        <c:grouping val="standard"/>
        <c:varyColors val="0"/>
        <c:ser>
          <c:idx val="2"/>
          <c:order val="0"/>
          <c:tx>
            <c:strRef>
              <c:f>'CPI Food'!$D$4</c:f>
              <c:strCache>
                <c:ptCount val="1"/>
                <c:pt idx="0">
                  <c:v>Food and Beverages y/y %</c:v>
                </c:pt>
              </c:strCache>
            </c:strRef>
          </c:tx>
          <c:spPr>
            <a:ln w="28575" cap="rnd">
              <a:solidFill>
                <a:schemeClr val="bg2">
                  <a:lumMod val="10000"/>
                </a:schemeClr>
              </a:solidFill>
              <a:prstDash val="solid"/>
              <a:round/>
            </a:ln>
          </c:spPr>
          <c:marker>
            <c:symbol val="none"/>
          </c:marker>
          <c:cat>
            <c:numRef>
              <c:f>'CPI Food'!$A$401:$A$902</c:f>
              <c:numCache>
                <c:formatCode>[$-409]mmm\-yy;@</c:formatCode>
                <c:ptCount val="502"/>
                <c:pt idx="0">
                  <c:v>36526</c:v>
                </c:pt>
                <c:pt idx="1">
                  <c:v>36557</c:v>
                </c:pt>
                <c:pt idx="2">
                  <c:v>36586</c:v>
                </c:pt>
                <c:pt idx="3">
                  <c:v>36617</c:v>
                </c:pt>
                <c:pt idx="4">
                  <c:v>36647</c:v>
                </c:pt>
                <c:pt idx="5">
                  <c:v>36678</c:v>
                </c:pt>
                <c:pt idx="6">
                  <c:v>36708</c:v>
                </c:pt>
                <c:pt idx="7">
                  <c:v>36739</c:v>
                </c:pt>
                <c:pt idx="8">
                  <c:v>36770</c:v>
                </c:pt>
                <c:pt idx="9">
                  <c:v>36800</c:v>
                </c:pt>
                <c:pt idx="10">
                  <c:v>36831</c:v>
                </c:pt>
                <c:pt idx="11">
                  <c:v>36861</c:v>
                </c:pt>
                <c:pt idx="12">
                  <c:v>36892</c:v>
                </c:pt>
                <c:pt idx="13">
                  <c:v>36923</c:v>
                </c:pt>
                <c:pt idx="14">
                  <c:v>36951</c:v>
                </c:pt>
                <c:pt idx="15">
                  <c:v>36982</c:v>
                </c:pt>
                <c:pt idx="16">
                  <c:v>37012</c:v>
                </c:pt>
                <c:pt idx="17">
                  <c:v>37043</c:v>
                </c:pt>
                <c:pt idx="18">
                  <c:v>37073</c:v>
                </c:pt>
                <c:pt idx="19">
                  <c:v>37104</c:v>
                </c:pt>
                <c:pt idx="20">
                  <c:v>37135</c:v>
                </c:pt>
                <c:pt idx="21">
                  <c:v>37165</c:v>
                </c:pt>
                <c:pt idx="22">
                  <c:v>37196</c:v>
                </c:pt>
                <c:pt idx="23">
                  <c:v>37226</c:v>
                </c:pt>
                <c:pt idx="24">
                  <c:v>37257</c:v>
                </c:pt>
                <c:pt idx="25">
                  <c:v>37288</c:v>
                </c:pt>
                <c:pt idx="26">
                  <c:v>37316</c:v>
                </c:pt>
                <c:pt idx="27">
                  <c:v>37347</c:v>
                </c:pt>
                <c:pt idx="28">
                  <c:v>37377</c:v>
                </c:pt>
                <c:pt idx="29">
                  <c:v>37408</c:v>
                </c:pt>
                <c:pt idx="30">
                  <c:v>37438</c:v>
                </c:pt>
                <c:pt idx="31">
                  <c:v>37469</c:v>
                </c:pt>
                <c:pt idx="32">
                  <c:v>37500</c:v>
                </c:pt>
                <c:pt idx="33">
                  <c:v>37530</c:v>
                </c:pt>
                <c:pt idx="34">
                  <c:v>37561</c:v>
                </c:pt>
                <c:pt idx="35">
                  <c:v>37591</c:v>
                </c:pt>
                <c:pt idx="36">
                  <c:v>37622</c:v>
                </c:pt>
                <c:pt idx="37">
                  <c:v>37653</c:v>
                </c:pt>
                <c:pt idx="38">
                  <c:v>37681</c:v>
                </c:pt>
                <c:pt idx="39">
                  <c:v>37712</c:v>
                </c:pt>
                <c:pt idx="40">
                  <c:v>37742</c:v>
                </c:pt>
                <c:pt idx="41">
                  <c:v>37773</c:v>
                </c:pt>
                <c:pt idx="42">
                  <c:v>37803</c:v>
                </c:pt>
                <c:pt idx="43">
                  <c:v>37834</c:v>
                </c:pt>
                <c:pt idx="44">
                  <c:v>37865</c:v>
                </c:pt>
                <c:pt idx="45">
                  <c:v>37895</c:v>
                </c:pt>
                <c:pt idx="46">
                  <c:v>37926</c:v>
                </c:pt>
                <c:pt idx="47">
                  <c:v>37956</c:v>
                </c:pt>
                <c:pt idx="48">
                  <c:v>37987</c:v>
                </c:pt>
                <c:pt idx="49">
                  <c:v>38018</c:v>
                </c:pt>
                <c:pt idx="50">
                  <c:v>38047</c:v>
                </c:pt>
                <c:pt idx="51">
                  <c:v>38078</c:v>
                </c:pt>
                <c:pt idx="52">
                  <c:v>38108</c:v>
                </c:pt>
                <c:pt idx="53">
                  <c:v>38139</c:v>
                </c:pt>
                <c:pt idx="54">
                  <c:v>38169</c:v>
                </c:pt>
                <c:pt idx="55">
                  <c:v>38200</c:v>
                </c:pt>
                <c:pt idx="56">
                  <c:v>38231</c:v>
                </c:pt>
                <c:pt idx="57">
                  <c:v>38261</c:v>
                </c:pt>
                <c:pt idx="58">
                  <c:v>38292</c:v>
                </c:pt>
                <c:pt idx="59">
                  <c:v>38322</c:v>
                </c:pt>
                <c:pt idx="60">
                  <c:v>38353</c:v>
                </c:pt>
                <c:pt idx="61">
                  <c:v>38384</c:v>
                </c:pt>
                <c:pt idx="62">
                  <c:v>38412</c:v>
                </c:pt>
                <c:pt idx="63">
                  <c:v>38443</c:v>
                </c:pt>
                <c:pt idx="64">
                  <c:v>38473</c:v>
                </c:pt>
                <c:pt idx="65">
                  <c:v>38504</c:v>
                </c:pt>
                <c:pt idx="66">
                  <c:v>38534</c:v>
                </c:pt>
                <c:pt idx="67">
                  <c:v>38565</c:v>
                </c:pt>
                <c:pt idx="68">
                  <c:v>38596</c:v>
                </c:pt>
                <c:pt idx="69">
                  <c:v>38626</c:v>
                </c:pt>
                <c:pt idx="70">
                  <c:v>38657</c:v>
                </c:pt>
                <c:pt idx="71">
                  <c:v>38687</c:v>
                </c:pt>
                <c:pt idx="72">
                  <c:v>38718</c:v>
                </c:pt>
                <c:pt idx="73">
                  <c:v>38749</c:v>
                </c:pt>
                <c:pt idx="74">
                  <c:v>38777</c:v>
                </c:pt>
                <c:pt idx="75">
                  <c:v>38808</c:v>
                </c:pt>
                <c:pt idx="76">
                  <c:v>38838</c:v>
                </c:pt>
                <c:pt idx="77">
                  <c:v>38869</c:v>
                </c:pt>
                <c:pt idx="78">
                  <c:v>38899</c:v>
                </c:pt>
                <c:pt idx="79">
                  <c:v>38930</c:v>
                </c:pt>
                <c:pt idx="80">
                  <c:v>38961</c:v>
                </c:pt>
                <c:pt idx="81">
                  <c:v>38991</c:v>
                </c:pt>
                <c:pt idx="82">
                  <c:v>39022</c:v>
                </c:pt>
                <c:pt idx="83">
                  <c:v>39052</c:v>
                </c:pt>
                <c:pt idx="84">
                  <c:v>39083</c:v>
                </c:pt>
                <c:pt idx="85">
                  <c:v>39114</c:v>
                </c:pt>
                <c:pt idx="86">
                  <c:v>39142</c:v>
                </c:pt>
                <c:pt idx="87">
                  <c:v>39173</c:v>
                </c:pt>
                <c:pt idx="88">
                  <c:v>39203</c:v>
                </c:pt>
                <c:pt idx="89">
                  <c:v>39234</c:v>
                </c:pt>
                <c:pt idx="90">
                  <c:v>39264</c:v>
                </c:pt>
                <c:pt idx="91">
                  <c:v>39295</c:v>
                </c:pt>
                <c:pt idx="92">
                  <c:v>39326</c:v>
                </c:pt>
                <c:pt idx="93">
                  <c:v>39356</c:v>
                </c:pt>
                <c:pt idx="94">
                  <c:v>39387</c:v>
                </c:pt>
                <c:pt idx="95">
                  <c:v>39417</c:v>
                </c:pt>
                <c:pt idx="96">
                  <c:v>39448</c:v>
                </c:pt>
                <c:pt idx="97">
                  <c:v>39479</c:v>
                </c:pt>
                <c:pt idx="98">
                  <c:v>39508</c:v>
                </c:pt>
                <c:pt idx="99">
                  <c:v>39539</c:v>
                </c:pt>
                <c:pt idx="100">
                  <c:v>39569</c:v>
                </c:pt>
                <c:pt idx="101">
                  <c:v>39600</c:v>
                </c:pt>
                <c:pt idx="102">
                  <c:v>39630</c:v>
                </c:pt>
                <c:pt idx="103">
                  <c:v>39661</c:v>
                </c:pt>
                <c:pt idx="104">
                  <c:v>39692</c:v>
                </c:pt>
                <c:pt idx="105">
                  <c:v>39722</c:v>
                </c:pt>
                <c:pt idx="106">
                  <c:v>39753</c:v>
                </c:pt>
                <c:pt idx="107">
                  <c:v>39783</c:v>
                </c:pt>
                <c:pt idx="108">
                  <c:v>39814</c:v>
                </c:pt>
                <c:pt idx="109">
                  <c:v>39845</c:v>
                </c:pt>
                <c:pt idx="110">
                  <c:v>39873</c:v>
                </c:pt>
                <c:pt idx="111">
                  <c:v>39904</c:v>
                </c:pt>
                <c:pt idx="112">
                  <c:v>39934</c:v>
                </c:pt>
                <c:pt idx="113">
                  <c:v>39965</c:v>
                </c:pt>
                <c:pt idx="114">
                  <c:v>39995</c:v>
                </c:pt>
                <c:pt idx="115">
                  <c:v>40026</c:v>
                </c:pt>
                <c:pt idx="116">
                  <c:v>40057</c:v>
                </c:pt>
                <c:pt idx="117">
                  <c:v>40087</c:v>
                </c:pt>
                <c:pt idx="118">
                  <c:v>40118</c:v>
                </c:pt>
                <c:pt idx="119">
                  <c:v>40148</c:v>
                </c:pt>
                <c:pt idx="120">
                  <c:v>40179</c:v>
                </c:pt>
                <c:pt idx="121">
                  <c:v>40210</c:v>
                </c:pt>
                <c:pt idx="122">
                  <c:v>40238</c:v>
                </c:pt>
                <c:pt idx="123">
                  <c:v>40269</c:v>
                </c:pt>
                <c:pt idx="124">
                  <c:v>40299</c:v>
                </c:pt>
                <c:pt idx="125">
                  <c:v>40330</c:v>
                </c:pt>
                <c:pt idx="126">
                  <c:v>40360</c:v>
                </c:pt>
                <c:pt idx="127">
                  <c:v>40391</c:v>
                </c:pt>
                <c:pt idx="128">
                  <c:v>40422</c:v>
                </c:pt>
                <c:pt idx="129">
                  <c:v>40452</c:v>
                </c:pt>
                <c:pt idx="130">
                  <c:v>40483</c:v>
                </c:pt>
                <c:pt idx="131">
                  <c:v>40513</c:v>
                </c:pt>
                <c:pt idx="132">
                  <c:v>40544</c:v>
                </c:pt>
                <c:pt idx="133">
                  <c:v>40575</c:v>
                </c:pt>
                <c:pt idx="134">
                  <c:v>40603</c:v>
                </c:pt>
                <c:pt idx="135">
                  <c:v>40634</c:v>
                </c:pt>
                <c:pt idx="136">
                  <c:v>40664</c:v>
                </c:pt>
                <c:pt idx="137">
                  <c:v>40695</c:v>
                </c:pt>
                <c:pt idx="138">
                  <c:v>40725</c:v>
                </c:pt>
                <c:pt idx="139">
                  <c:v>40756</c:v>
                </c:pt>
                <c:pt idx="140">
                  <c:v>40787</c:v>
                </c:pt>
                <c:pt idx="141">
                  <c:v>40817</c:v>
                </c:pt>
                <c:pt idx="142">
                  <c:v>40848</c:v>
                </c:pt>
                <c:pt idx="143">
                  <c:v>40878</c:v>
                </c:pt>
                <c:pt idx="144">
                  <c:v>40909</c:v>
                </c:pt>
                <c:pt idx="145">
                  <c:v>40940</c:v>
                </c:pt>
                <c:pt idx="146">
                  <c:v>40969</c:v>
                </c:pt>
                <c:pt idx="147">
                  <c:v>41000</c:v>
                </c:pt>
                <c:pt idx="148">
                  <c:v>41030</c:v>
                </c:pt>
                <c:pt idx="149">
                  <c:v>41061</c:v>
                </c:pt>
                <c:pt idx="150">
                  <c:v>41091</c:v>
                </c:pt>
                <c:pt idx="151">
                  <c:v>41122</c:v>
                </c:pt>
                <c:pt idx="152">
                  <c:v>41153</c:v>
                </c:pt>
                <c:pt idx="153">
                  <c:v>41183</c:v>
                </c:pt>
                <c:pt idx="154">
                  <c:v>41214</c:v>
                </c:pt>
                <c:pt idx="155">
                  <c:v>41244</c:v>
                </c:pt>
                <c:pt idx="156">
                  <c:v>41275</c:v>
                </c:pt>
                <c:pt idx="157">
                  <c:v>41306</c:v>
                </c:pt>
                <c:pt idx="158">
                  <c:v>41334</c:v>
                </c:pt>
                <c:pt idx="159">
                  <c:v>41365</c:v>
                </c:pt>
                <c:pt idx="160">
                  <c:v>41395</c:v>
                </c:pt>
                <c:pt idx="161">
                  <c:v>41426</c:v>
                </c:pt>
                <c:pt idx="162">
                  <c:v>41456</c:v>
                </c:pt>
                <c:pt idx="163">
                  <c:v>41487</c:v>
                </c:pt>
                <c:pt idx="164">
                  <c:v>41518</c:v>
                </c:pt>
                <c:pt idx="165">
                  <c:v>41548</c:v>
                </c:pt>
                <c:pt idx="166">
                  <c:v>41579</c:v>
                </c:pt>
                <c:pt idx="167">
                  <c:v>41609</c:v>
                </c:pt>
                <c:pt idx="168">
                  <c:v>41640</c:v>
                </c:pt>
                <c:pt idx="169">
                  <c:v>41671</c:v>
                </c:pt>
                <c:pt idx="170">
                  <c:v>41699</c:v>
                </c:pt>
                <c:pt idx="171">
                  <c:v>41730</c:v>
                </c:pt>
                <c:pt idx="172">
                  <c:v>41760</c:v>
                </c:pt>
                <c:pt idx="173">
                  <c:v>41791</c:v>
                </c:pt>
                <c:pt idx="174">
                  <c:v>41821</c:v>
                </c:pt>
                <c:pt idx="175">
                  <c:v>41852</c:v>
                </c:pt>
                <c:pt idx="176">
                  <c:v>41883</c:v>
                </c:pt>
                <c:pt idx="177">
                  <c:v>41913</c:v>
                </c:pt>
                <c:pt idx="178">
                  <c:v>41944</c:v>
                </c:pt>
                <c:pt idx="179">
                  <c:v>41974</c:v>
                </c:pt>
                <c:pt idx="180">
                  <c:v>42005</c:v>
                </c:pt>
                <c:pt idx="181">
                  <c:v>42036</c:v>
                </c:pt>
                <c:pt idx="182">
                  <c:v>42064</c:v>
                </c:pt>
                <c:pt idx="183">
                  <c:v>42095</c:v>
                </c:pt>
                <c:pt idx="184">
                  <c:v>42125</c:v>
                </c:pt>
                <c:pt idx="185">
                  <c:v>42156</c:v>
                </c:pt>
                <c:pt idx="186">
                  <c:v>42186</c:v>
                </c:pt>
                <c:pt idx="187">
                  <c:v>42217</c:v>
                </c:pt>
                <c:pt idx="188">
                  <c:v>42248</c:v>
                </c:pt>
                <c:pt idx="189">
                  <c:v>42278</c:v>
                </c:pt>
                <c:pt idx="190">
                  <c:v>42309</c:v>
                </c:pt>
                <c:pt idx="191">
                  <c:v>42339</c:v>
                </c:pt>
                <c:pt idx="192">
                  <c:v>42370</c:v>
                </c:pt>
                <c:pt idx="193">
                  <c:v>42401</c:v>
                </c:pt>
                <c:pt idx="194">
                  <c:v>42430</c:v>
                </c:pt>
                <c:pt idx="195">
                  <c:v>42461</c:v>
                </c:pt>
                <c:pt idx="196">
                  <c:v>42491</c:v>
                </c:pt>
                <c:pt idx="197">
                  <c:v>42522</c:v>
                </c:pt>
                <c:pt idx="198">
                  <c:v>42552</c:v>
                </c:pt>
                <c:pt idx="199">
                  <c:v>42583</c:v>
                </c:pt>
                <c:pt idx="200">
                  <c:v>42614</c:v>
                </c:pt>
                <c:pt idx="201">
                  <c:v>42644</c:v>
                </c:pt>
                <c:pt idx="202">
                  <c:v>42675</c:v>
                </c:pt>
                <c:pt idx="203">
                  <c:v>42705</c:v>
                </c:pt>
                <c:pt idx="204">
                  <c:v>42736</c:v>
                </c:pt>
                <c:pt idx="205">
                  <c:v>42767</c:v>
                </c:pt>
                <c:pt idx="206">
                  <c:v>42795</c:v>
                </c:pt>
                <c:pt idx="207">
                  <c:v>42826</c:v>
                </c:pt>
                <c:pt idx="208">
                  <c:v>42856</c:v>
                </c:pt>
                <c:pt idx="209">
                  <c:v>42887</c:v>
                </c:pt>
                <c:pt idx="210">
                  <c:v>42917</c:v>
                </c:pt>
                <c:pt idx="211">
                  <c:v>42948</c:v>
                </c:pt>
                <c:pt idx="212">
                  <c:v>42979</c:v>
                </c:pt>
                <c:pt idx="213">
                  <c:v>43009</c:v>
                </c:pt>
                <c:pt idx="214">
                  <c:v>43040</c:v>
                </c:pt>
                <c:pt idx="215">
                  <c:v>43070</c:v>
                </c:pt>
                <c:pt idx="216">
                  <c:v>43101</c:v>
                </c:pt>
                <c:pt idx="217">
                  <c:v>43132</c:v>
                </c:pt>
                <c:pt idx="218">
                  <c:v>43160</c:v>
                </c:pt>
                <c:pt idx="219">
                  <c:v>43191</c:v>
                </c:pt>
                <c:pt idx="220">
                  <c:v>43221</c:v>
                </c:pt>
                <c:pt idx="221">
                  <c:v>43252</c:v>
                </c:pt>
                <c:pt idx="222">
                  <c:v>43282</c:v>
                </c:pt>
                <c:pt idx="223">
                  <c:v>43313</c:v>
                </c:pt>
                <c:pt idx="224">
                  <c:v>43344</c:v>
                </c:pt>
                <c:pt idx="225">
                  <c:v>43374</c:v>
                </c:pt>
                <c:pt idx="226">
                  <c:v>43405</c:v>
                </c:pt>
                <c:pt idx="227">
                  <c:v>43435</c:v>
                </c:pt>
                <c:pt idx="228">
                  <c:v>43466</c:v>
                </c:pt>
                <c:pt idx="229">
                  <c:v>43497</c:v>
                </c:pt>
                <c:pt idx="230">
                  <c:v>43525</c:v>
                </c:pt>
                <c:pt idx="231">
                  <c:v>43556</c:v>
                </c:pt>
                <c:pt idx="232">
                  <c:v>43586</c:v>
                </c:pt>
                <c:pt idx="233">
                  <c:v>43617</c:v>
                </c:pt>
                <c:pt idx="234">
                  <c:v>43647</c:v>
                </c:pt>
                <c:pt idx="235">
                  <c:v>43678</c:v>
                </c:pt>
                <c:pt idx="236">
                  <c:v>43709</c:v>
                </c:pt>
                <c:pt idx="237">
                  <c:v>43739</c:v>
                </c:pt>
                <c:pt idx="238">
                  <c:v>43770</c:v>
                </c:pt>
                <c:pt idx="239">
                  <c:v>43800</c:v>
                </c:pt>
                <c:pt idx="240">
                  <c:v>43831</c:v>
                </c:pt>
                <c:pt idx="241">
                  <c:v>43862</c:v>
                </c:pt>
                <c:pt idx="242">
                  <c:v>43891</c:v>
                </c:pt>
                <c:pt idx="243">
                  <c:v>43922</c:v>
                </c:pt>
                <c:pt idx="244">
                  <c:v>43952</c:v>
                </c:pt>
                <c:pt idx="245">
                  <c:v>43983</c:v>
                </c:pt>
                <c:pt idx="246">
                  <c:v>44013</c:v>
                </c:pt>
                <c:pt idx="247">
                  <c:v>44044</c:v>
                </c:pt>
                <c:pt idx="248">
                  <c:v>44075</c:v>
                </c:pt>
                <c:pt idx="249">
                  <c:v>44105</c:v>
                </c:pt>
                <c:pt idx="250">
                  <c:v>44136</c:v>
                </c:pt>
                <c:pt idx="251">
                  <c:v>44166</c:v>
                </c:pt>
                <c:pt idx="252">
                  <c:v>44197</c:v>
                </c:pt>
                <c:pt idx="253">
                  <c:v>44228</c:v>
                </c:pt>
                <c:pt idx="254">
                  <c:v>44256</c:v>
                </c:pt>
                <c:pt idx="255">
                  <c:v>44287</c:v>
                </c:pt>
                <c:pt idx="256">
                  <c:v>44317</c:v>
                </c:pt>
                <c:pt idx="257">
                  <c:v>44348</c:v>
                </c:pt>
                <c:pt idx="258">
                  <c:v>44378</c:v>
                </c:pt>
                <c:pt idx="259">
                  <c:v>44409</c:v>
                </c:pt>
                <c:pt idx="260">
                  <c:v>44440</c:v>
                </c:pt>
                <c:pt idx="261">
                  <c:v>44470</c:v>
                </c:pt>
                <c:pt idx="262">
                  <c:v>44501</c:v>
                </c:pt>
                <c:pt idx="263">
                  <c:v>44531</c:v>
                </c:pt>
              </c:numCache>
            </c:numRef>
          </c:cat>
          <c:val>
            <c:numRef>
              <c:f>'CPI Food'!$D$401:$D$902</c:f>
              <c:numCache>
                <c:formatCode>0.00%</c:formatCode>
                <c:ptCount val="502"/>
                <c:pt idx="0">
                  <c:v>1.6523867809057458E-2</c:v>
                </c:pt>
                <c:pt idx="1">
                  <c:v>1.7704517704517565E-2</c:v>
                </c:pt>
                <c:pt idx="2">
                  <c:v>2.076970067196094E-2</c:v>
                </c:pt>
                <c:pt idx="3">
                  <c:v>2.0134228187919358E-2</c:v>
                </c:pt>
                <c:pt idx="4">
                  <c:v>2.1924482338611589E-2</c:v>
                </c:pt>
                <c:pt idx="5">
                  <c:v>2.3765996343692905E-2</c:v>
                </c:pt>
                <c:pt idx="6">
                  <c:v>2.6763990267639936E-2</c:v>
                </c:pt>
                <c:pt idx="7">
                  <c:v>2.792956891317561E-2</c:v>
                </c:pt>
                <c:pt idx="8">
                  <c:v>2.6044821320411943E-2</c:v>
                </c:pt>
                <c:pt idx="9">
                  <c:v>2.4773413897280931E-2</c:v>
                </c:pt>
                <c:pt idx="10">
                  <c:v>2.3522316043425674E-2</c:v>
                </c:pt>
                <c:pt idx="11">
                  <c:v>2.710843373493976E-2</c:v>
                </c:pt>
                <c:pt idx="12">
                  <c:v>2.8898254063817047E-2</c:v>
                </c:pt>
                <c:pt idx="13">
                  <c:v>2.9994001199760052E-2</c:v>
                </c:pt>
                <c:pt idx="14">
                  <c:v>3.0520646319569088E-2</c:v>
                </c:pt>
                <c:pt idx="15">
                  <c:v>3.2296650717703386E-2</c:v>
                </c:pt>
                <c:pt idx="16">
                  <c:v>3.0393325387365874E-2</c:v>
                </c:pt>
                <c:pt idx="17">
                  <c:v>3.273809523809524E-2</c:v>
                </c:pt>
                <c:pt idx="18">
                  <c:v>3.1398104265402738E-2</c:v>
                </c:pt>
                <c:pt idx="19">
                  <c:v>3.071470761961009E-2</c:v>
                </c:pt>
                <c:pt idx="20">
                  <c:v>3.1286894923258458E-2</c:v>
                </c:pt>
                <c:pt idx="21">
                  <c:v>3.3608490566037839E-2</c:v>
                </c:pt>
                <c:pt idx="22">
                  <c:v>3.3588685916323024E-2</c:v>
                </c:pt>
                <c:pt idx="23">
                  <c:v>2.7565982404692015E-2</c:v>
                </c:pt>
                <c:pt idx="24">
                  <c:v>2.8671737858396756E-2</c:v>
                </c:pt>
                <c:pt idx="25">
                  <c:v>2.6208503203261506E-2</c:v>
                </c:pt>
                <c:pt idx="26">
                  <c:v>2.5551684088269491E-2</c:v>
                </c:pt>
                <c:pt idx="27">
                  <c:v>2.4913093858632742E-2</c:v>
                </c:pt>
                <c:pt idx="28">
                  <c:v>2.0242914979757085E-2</c:v>
                </c:pt>
                <c:pt idx="29">
                  <c:v>1.7291066282420751E-2</c:v>
                </c:pt>
                <c:pt idx="30">
                  <c:v>1.4933946008041323E-2</c:v>
                </c:pt>
                <c:pt idx="31">
                  <c:v>1.260744985673346E-2</c:v>
                </c:pt>
                <c:pt idx="32">
                  <c:v>1.3165426445334926E-2</c:v>
                </c:pt>
                <c:pt idx="33">
                  <c:v>9.6976611523102597E-3</c:v>
                </c:pt>
                <c:pt idx="34">
                  <c:v>1.1972633979475452E-2</c:v>
                </c:pt>
                <c:pt idx="35">
                  <c:v>1.4269406392694065E-2</c:v>
                </c:pt>
                <c:pt idx="36">
                  <c:v>1.080773606370863E-2</c:v>
                </c:pt>
                <c:pt idx="37">
                  <c:v>1.4188422247446085E-2</c:v>
                </c:pt>
                <c:pt idx="38">
                  <c:v>1.3590033975084971E-2</c:v>
                </c:pt>
                <c:pt idx="39">
                  <c:v>1.2436404748445385E-2</c:v>
                </c:pt>
                <c:pt idx="40">
                  <c:v>1.7006802721088433E-2</c:v>
                </c:pt>
                <c:pt idx="41">
                  <c:v>2.1529745042492981E-2</c:v>
                </c:pt>
                <c:pt idx="42">
                  <c:v>2.0939445387662802E-2</c:v>
                </c:pt>
                <c:pt idx="43">
                  <c:v>2.4900962082625953E-2</c:v>
                </c:pt>
                <c:pt idx="44">
                  <c:v>2.5423728813559324E-2</c:v>
                </c:pt>
                <c:pt idx="45">
                  <c:v>2.9378531073446262E-2</c:v>
                </c:pt>
                <c:pt idx="46">
                  <c:v>3.1549295774647858E-2</c:v>
                </c:pt>
                <c:pt idx="47">
                  <c:v>3.5453010692177891E-2</c:v>
                </c:pt>
                <c:pt idx="48">
                  <c:v>3.4890264490714785E-2</c:v>
                </c:pt>
                <c:pt idx="49">
                  <c:v>3.1337437045327494E-2</c:v>
                </c:pt>
                <c:pt idx="50">
                  <c:v>3.1843575418994352E-2</c:v>
                </c:pt>
                <c:pt idx="51">
                  <c:v>3.3500837520938027E-2</c:v>
                </c:pt>
                <c:pt idx="52">
                  <c:v>3.9576365663322149E-2</c:v>
                </c:pt>
                <c:pt idx="53">
                  <c:v>3.660565723793674E-2</c:v>
                </c:pt>
                <c:pt idx="54">
                  <c:v>3.8248337028824866E-2</c:v>
                </c:pt>
                <c:pt idx="55">
                  <c:v>3.5339591385974631E-2</c:v>
                </c:pt>
                <c:pt idx="56">
                  <c:v>3.2506887052341629E-2</c:v>
                </c:pt>
                <c:pt idx="57">
                  <c:v>3.3479692645444696E-2</c:v>
                </c:pt>
                <c:pt idx="58">
                  <c:v>3.1676679410158448E-2</c:v>
                </c:pt>
                <c:pt idx="59">
                  <c:v>2.6630434782608726E-2</c:v>
                </c:pt>
                <c:pt idx="60">
                  <c:v>2.8276237085372424E-2</c:v>
                </c:pt>
                <c:pt idx="61">
                  <c:v>2.6587086272381859E-2</c:v>
                </c:pt>
                <c:pt idx="62">
                  <c:v>2.6529507309150005E-2</c:v>
                </c:pt>
                <c:pt idx="63">
                  <c:v>3.0794165316045473E-2</c:v>
                </c:pt>
                <c:pt idx="64">
                  <c:v>2.4128686327077747E-2</c:v>
                </c:pt>
                <c:pt idx="65">
                  <c:v>2.1936864633493817E-2</c:v>
                </c:pt>
                <c:pt idx="66">
                  <c:v>2.189001601708486E-2</c:v>
                </c:pt>
                <c:pt idx="67">
                  <c:v>2.1333333333333333E-2</c:v>
                </c:pt>
                <c:pt idx="68">
                  <c:v>2.4012806830309499E-2</c:v>
                </c:pt>
                <c:pt idx="69">
                  <c:v>2.1773765268189027E-2</c:v>
                </c:pt>
                <c:pt idx="70">
                  <c:v>2.1704605611434592E-2</c:v>
                </c:pt>
                <c:pt idx="71">
                  <c:v>2.3292747485442061E-2</c:v>
                </c:pt>
                <c:pt idx="72">
                  <c:v>2.6441036488630356E-2</c:v>
                </c:pt>
                <c:pt idx="73">
                  <c:v>2.6427061310782242E-2</c:v>
                </c:pt>
                <c:pt idx="74">
                  <c:v>2.5316455696202594E-2</c:v>
                </c:pt>
                <c:pt idx="75">
                  <c:v>1.8343815513626835E-2</c:v>
                </c:pt>
                <c:pt idx="76">
                  <c:v>1.9371727748691041E-2</c:v>
                </c:pt>
                <c:pt idx="77">
                  <c:v>2.2513089005235663E-2</c:v>
                </c:pt>
                <c:pt idx="78">
                  <c:v>2.2466039707418929E-2</c:v>
                </c:pt>
                <c:pt idx="79">
                  <c:v>2.4543080939947722E-2</c:v>
                </c:pt>
                <c:pt idx="80">
                  <c:v>2.5534132360604509E-2</c:v>
                </c:pt>
                <c:pt idx="81">
                  <c:v>2.5987525987525985E-2</c:v>
                </c:pt>
                <c:pt idx="82">
                  <c:v>2.2797927461139927E-2</c:v>
                </c:pt>
                <c:pt idx="83">
                  <c:v>2.1727884117951311E-2</c:v>
                </c:pt>
                <c:pt idx="84">
                  <c:v>2.4281298299845409E-2</c:v>
                </c:pt>
                <c:pt idx="85">
                  <c:v>3.0514933058702454E-2</c:v>
                </c:pt>
                <c:pt idx="86">
                  <c:v>3.3194444444444457E-2</c:v>
                </c:pt>
                <c:pt idx="87">
                  <c:v>3.6500257334019473E-2</c:v>
                </c:pt>
                <c:pt idx="88">
                  <c:v>3.8299948638931804E-2</c:v>
                </c:pt>
                <c:pt idx="89">
                  <c:v>3.9308755760368623E-2</c:v>
                </c:pt>
                <c:pt idx="90">
                  <c:v>4.0572304547777202E-2</c:v>
                </c:pt>
                <c:pt idx="91">
                  <c:v>4.1885830784913446E-2</c:v>
                </c:pt>
                <c:pt idx="92">
                  <c:v>4.3429878048780471E-2</c:v>
                </c:pt>
                <c:pt idx="93">
                  <c:v>4.3505572441742621E-2</c:v>
                </c:pt>
                <c:pt idx="94">
                  <c:v>4.7563323201620981E-2</c:v>
                </c:pt>
                <c:pt idx="95">
                  <c:v>4.8815189873417673E-2</c:v>
                </c:pt>
                <c:pt idx="96">
                  <c:v>4.8180953961763105E-2</c:v>
                </c:pt>
                <c:pt idx="97">
                  <c:v>4.5256488412300191E-2</c:v>
                </c:pt>
                <c:pt idx="98">
                  <c:v>4.3524368568057185E-2</c:v>
                </c:pt>
                <c:pt idx="99">
                  <c:v>4.953523476602844E-2</c:v>
                </c:pt>
                <c:pt idx="100">
                  <c:v>4.9698996324638756E-2</c:v>
                </c:pt>
                <c:pt idx="101">
                  <c:v>5.1606832301196656E-2</c:v>
                </c:pt>
                <c:pt idx="102">
                  <c:v>5.7989589471616712E-2</c:v>
                </c:pt>
                <c:pt idx="103">
                  <c:v>5.9251142267314982E-2</c:v>
                </c:pt>
                <c:pt idx="104">
                  <c:v>6.0395330830253113E-2</c:v>
                </c:pt>
                <c:pt idx="105">
                  <c:v>6.1382216439792636E-2</c:v>
                </c:pt>
                <c:pt idx="106">
                  <c:v>5.9432561693320347E-2</c:v>
                </c:pt>
                <c:pt idx="107">
                  <c:v>5.7979830163994668E-2</c:v>
                </c:pt>
                <c:pt idx="108">
                  <c:v>5.2454028945449017E-2</c:v>
                </c:pt>
                <c:pt idx="109">
                  <c:v>4.720746905819307E-2</c:v>
                </c:pt>
                <c:pt idx="110">
                  <c:v>4.3355041866456688E-2</c:v>
                </c:pt>
                <c:pt idx="111">
                  <c:v>3.3136520192271389E-2</c:v>
                </c:pt>
                <c:pt idx="112">
                  <c:v>2.7563099658818823E-2</c:v>
                </c:pt>
                <c:pt idx="113">
                  <c:v>2.1737908288514584E-2</c:v>
                </c:pt>
                <c:pt idx="114">
                  <c:v>1.0563984980204048E-2</c:v>
                </c:pt>
                <c:pt idx="115">
                  <c:v>5.5789036161270882E-3</c:v>
                </c:pt>
                <c:pt idx="116">
                  <c:v>-3.903577054315196E-4</c:v>
                </c:pt>
                <c:pt idx="117">
                  <c:v>-3.4349957920158289E-3</c:v>
                </c:pt>
                <c:pt idx="118">
                  <c:v>-4.6741129912040904E-3</c:v>
                </c:pt>
                <c:pt idx="119">
                  <c:v>-3.6960816970947074E-3</c:v>
                </c:pt>
                <c:pt idx="120">
                  <c:v>-2.1338391322388338E-3</c:v>
                </c:pt>
                <c:pt idx="121">
                  <c:v>-7.3040016799202304E-4</c:v>
                </c:pt>
                <c:pt idx="122">
                  <c:v>2.9220511976294802E-3</c:v>
                </c:pt>
                <c:pt idx="123">
                  <c:v>5.3074569999816447E-3</c:v>
                </c:pt>
                <c:pt idx="124">
                  <c:v>7.3284935313892184E-3</c:v>
                </c:pt>
                <c:pt idx="125">
                  <c:v>7.0383141059736096E-3</c:v>
                </c:pt>
                <c:pt idx="126">
                  <c:v>8.8092777586405158E-3</c:v>
                </c:pt>
                <c:pt idx="127">
                  <c:v>9.8329184616373407E-3</c:v>
                </c:pt>
                <c:pt idx="128">
                  <c:v>1.3479491326080685E-2</c:v>
                </c:pt>
                <c:pt idx="129">
                  <c:v>1.3906673826538344E-2</c:v>
                </c:pt>
                <c:pt idx="130">
                  <c:v>1.4950356561417948E-2</c:v>
                </c:pt>
                <c:pt idx="131">
                  <c:v>1.4724673790080668E-2</c:v>
                </c:pt>
                <c:pt idx="132">
                  <c:v>1.7728633113248609E-2</c:v>
                </c:pt>
                <c:pt idx="133">
                  <c:v>2.2092481429707045E-2</c:v>
                </c:pt>
                <c:pt idx="134">
                  <c:v>2.7430113851386741E-2</c:v>
                </c:pt>
                <c:pt idx="135">
                  <c:v>3.0287294277345798E-2</c:v>
                </c:pt>
                <c:pt idx="136">
                  <c:v>3.3662491862090207E-2</c:v>
                </c:pt>
                <c:pt idx="137">
                  <c:v>3.6316117781511378E-2</c:v>
                </c:pt>
                <c:pt idx="138">
                  <c:v>4.0201599868878189E-2</c:v>
                </c:pt>
                <c:pt idx="139">
                  <c:v>4.4106076523906364E-2</c:v>
                </c:pt>
                <c:pt idx="140">
                  <c:v>4.5163600757939751E-2</c:v>
                </c:pt>
                <c:pt idx="141">
                  <c:v>4.4655992684836922E-2</c:v>
                </c:pt>
                <c:pt idx="142">
                  <c:v>4.3652712197546489E-2</c:v>
                </c:pt>
                <c:pt idx="143">
                  <c:v>4.4395096499304842E-2</c:v>
                </c:pt>
                <c:pt idx="144">
                  <c:v>4.2184658899589132E-2</c:v>
                </c:pt>
                <c:pt idx="145">
                  <c:v>3.740602679968176E-2</c:v>
                </c:pt>
                <c:pt idx="146">
                  <c:v>3.1796819874232905E-2</c:v>
                </c:pt>
                <c:pt idx="147">
                  <c:v>2.9861172517463924E-2</c:v>
                </c:pt>
                <c:pt idx="148">
                  <c:v>2.6787641216499031E-2</c:v>
                </c:pt>
                <c:pt idx="149">
                  <c:v>2.6453957109528373E-2</c:v>
                </c:pt>
                <c:pt idx="150">
                  <c:v>2.3105574838164666E-2</c:v>
                </c:pt>
                <c:pt idx="151">
                  <c:v>1.9736297625633257E-2</c:v>
                </c:pt>
                <c:pt idx="152">
                  <c:v>1.615624498505816E-2</c:v>
                </c:pt>
                <c:pt idx="153">
                  <c:v>1.6977501993274767E-2</c:v>
                </c:pt>
                <c:pt idx="154">
                  <c:v>1.7854668883347167E-2</c:v>
                </c:pt>
                <c:pt idx="155">
                  <c:v>1.7844177845387874E-2</c:v>
                </c:pt>
                <c:pt idx="156">
                  <c:v>1.6064205125554162E-2</c:v>
                </c:pt>
                <c:pt idx="157">
                  <c:v>1.6372041722855727E-2</c:v>
                </c:pt>
                <c:pt idx="158">
                  <c:v>1.5604166845876533E-2</c:v>
                </c:pt>
                <c:pt idx="159">
                  <c:v>1.5626744056256341E-2</c:v>
                </c:pt>
                <c:pt idx="160">
                  <c:v>1.3983794240907278E-2</c:v>
                </c:pt>
                <c:pt idx="161">
                  <c:v>1.4073896517481128E-2</c:v>
                </c:pt>
                <c:pt idx="162">
                  <c:v>1.4464047366439645E-2</c:v>
                </c:pt>
                <c:pt idx="163">
                  <c:v>1.4091786696738285E-2</c:v>
                </c:pt>
                <c:pt idx="164">
                  <c:v>1.3564617604124861E-2</c:v>
                </c:pt>
                <c:pt idx="165">
                  <c:v>1.2778341159126454E-2</c:v>
                </c:pt>
                <c:pt idx="166">
                  <c:v>1.1888558060399897E-2</c:v>
                </c:pt>
                <c:pt idx="167">
                  <c:v>1.1090306172273485E-2</c:v>
                </c:pt>
                <c:pt idx="168">
                  <c:v>1.0841176969388569E-2</c:v>
                </c:pt>
                <c:pt idx="169">
                  <c:v>1.4175317821308006E-2</c:v>
                </c:pt>
                <c:pt idx="170">
                  <c:v>1.7405666370219851E-2</c:v>
                </c:pt>
                <c:pt idx="171">
                  <c:v>1.8687598806293136E-2</c:v>
                </c:pt>
                <c:pt idx="172">
                  <c:v>2.4197608159501151E-2</c:v>
                </c:pt>
                <c:pt idx="173">
                  <c:v>2.2932565678395321E-2</c:v>
                </c:pt>
                <c:pt idx="174">
                  <c:v>2.4247995850429926E-2</c:v>
                </c:pt>
                <c:pt idx="175">
                  <c:v>2.5685847510814697E-2</c:v>
                </c:pt>
                <c:pt idx="176">
                  <c:v>2.8147424451706354E-2</c:v>
                </c:pt>
                <c:pt idx="177">
                  <c:v>2.8637780666658199E-2</c:v>
                </c:pt>
                <c:pt idx="178">
                  <c:v>3.0311692133083858E-2</c:v>
                </c:pt>
                <c:pt idx="179">
                  <c:v>3.2364267027249448E-2</c:v>
                </c:pt>
                <c:pt idx="180">
                  <c:v>3.081575558789855E-2</c:v>
                </c:pt>
                <c:pt idx="181">
                  <c:v>2.8460126981738526E-2</c:v>
                </c:pt>
                <c:pt idx="182">
                  <c:v>2.2664835164835136E-2</c:v>
                </c:pt>
                <c:pt idx="183">
                  <c:v>1.9170522210004374E-2</c:v>
                </c:pt>
                <c:pt idx="184">
                  <c:v>1.5608801067296675E-2</c:v>
                </c:pt>
                <c:pt idx="185">
                  <c:v>1.7190369101900169E-2</c:v>
                </c:pt>
                <c:pt idx="186">
                  <c:v>1.5851253484187835E-2</c:v>
                </c:pt>
                <c:pt idx="187">
                  <c:v>1.5564362128087686E-2</c:v>
                </c:pt>
                <c:pt idx="188">
                  <c:v>1.571178137850817E-2</c:v>
                </c:pt>
                <c:pt idx="189">
                  <c:v>1.5492842535787366E-2</c:v>
                </c:pt>
                <c:pt idx="190">
                  <c:v>1.2113126565649123E-2</c:v>
                </c:pt>
                <c:pt idx="191">
                  <c:v>7.8140253823624807E-3</c:v>
                </c:pt>
                <c:pt idx="192">
                  <c:v>8.9638840513663626E-3</c:v>
                </c:pt>
                <c:pt idx="193">
                  <c:v>8.8922846831615086E-3</c:v>
                </c:pt>
                <c:pt idx="194">
                  <c:v>8.1974886541710326E-3</c:v>
                </c:pt>
                <c:pt idx="195">
                  <c:v>9.3276062129755786E-3</c:v>
                </c:pt>
                <c:pt idx="196">
                  <c:v>6.8690368707449512E-3</c:v>
                </c:pt>
                <c:pt idx="197">
                  <c:v>3.6874622227811003E-3</c:v>
                </c:pt>
                <c:pt idx="198">
                  <c:v>2.7276448630706141E-3</c:v>
                </c:pt>
                <c:pt idx="199">
                  <c:v>7.4405062779282207E-4</c:v>
                </c:pt>
                <c:pt idx="200">
                  <c:v>-1.8388283115040377E-3</c:v>
                </c:pt>
                <c:pt idx="201">
                  <c:v>-2.7870859646862002E-3</c:v>
                </c:pt>
                <c:pt idx="202">
                  <c:v>-2.2170714501662117E-3</c:v>
                </c:pt>
                <c:pt idx="203">
                  <c:v>-9.3235012774405392E-4</c:v>
                </c:pt>
                <c:pt idx="204">
                  <c:v>-4.1134505801176713E-4</c:v>
                </c:pt>
                <c:pt idx="205">
                  <c:v>8.0163065371172029E-4</c:v>
                </c:pt>
                <c:pt idx="206">
                  <c:v>4.9535928687640058E-3</c:v>
                </c:pt>
                <c:pt idx="207">
                  <c:v>5.5746936338773772E-3</c:v>
                </c:pt>
                <c:pt idx="208">
                  <c:v>8.5267090780572295E-3</c:v>
                </c:pt>
                <c:pt idx="209">
                  <c:v>8.5603427370464138E-3</c:v>
                </c:pt>
                <c:pt idx="210">
                  <c:v>1.0614132236081602E-2</c:v>
                </c:pt>
                <c:pt idx="211">
                  <c:v>1.1192868889885531E-2</c:v>
                </c:pt>
                <c:pt idx="212">
                  <c:v>1.2725833037070576E-2</c:v>
                </c:pt>
                <c:pt idx="213">
                  <c:v>1.3421056882986832E-2</c:v>
                </c:pt>
                <c:pt idx="214">
                  <c:v>1.4220785779214148E-2</c:v>
                </c:pt>
                <c:pt idx="215">
                  <c:v>1.5953621783218245E-2</c:v>
                </c:pt>
                <c:pt idx="216">
                  <c:v>1.6472676658664993E-2</c:v>
                </c:pt>
                <c:pt idx="217">
                  <c:v>1.4160189661210017E-2</c:v>
                </c:pt>
                <c:pt idx="218">
                  <c:v>1.2678466692912777E-2</c:v>
                </c:pt>
                <c:pt idx="219">
                  <c:v>1.3630820577003289E-2</c:v>
                </c:pt>
                <c:pt idx="220">
                  <c:v>1.209519156060004E-2</c:v>
                </c:pt>
                <c:pt idx="221">
                  <c:v>1.4146142070546373E-2</c:v>
                </c:pt>
                <c:pt idx="222">
                  <c:v>1.3994208741281097E-2</c:v>
                </c:pt>
                <c:pt idx="223">
                  <c:v>1.4245811172072607E-2</c:v>
                </c:pt>
                <c:pt idx="224">
                  <c:v>1.4053885861543479E-2</c:v>
                </c:pt>
                <c:pt idx="225">
                  <c:v>1.2533925290631565E-2</c:v>
                </c:pt>
                <c:pt idx="226">
                  <c:v>1.4503375888784958E-2</c:v>
                </c:pt>
                <c:pt idx="227">
                  <c:v>1.6104724450152826E-2</c:v>
                </c:pt>
                <c:pt idx="228">
                  <c:v>1.638433327512032E-2</c:v>
                </c:pt>
                <c:pt idx="229">
                  <c:v>1.9665741920376501E-2</c:v>
                </c:pt>
                <c:pt idx="230">
                  <c:v>2.0640109170825493E-2</c:v>
                </c:pt>
                <c:pt idx="231">
                  <c:v>1.7175466784863442E-2</c:v>
                </c:pt>
                <c:pt idx="232">
                  <c:v>1.9251620460139601E-2</c:v>
                </c:pt>
                <c:pt idx="233">
                  <c:v>1.8331041459212469E-2</c:v>
                </c:pt>
                <c:pt idx="234">
                  <c:v>1.761914716543533E-2</c:v>
                </c:pt>
                <c:pt idx="235">
                  <c:v>1.7114895159447557E-2</c:v>
                </c:pt>
                <c:pt idx="236">
                  <c:v>1.7855948639069145E-2</c:v>
                </c:pt>
                <c:pt idx="237">
                  <c:v>2.0278355060142386E-2</c:v>
                </c:pt>
                <c:pt idx="238">
                  <c:v>1.9286493957265047E-2</c:v>
                </c:pt>
                <c:pt idx="239">
                  <c:v>1.737963205741826E-2</c:v>
                </c:pt>
                <c:pt idx="240">
                  <c:v>1.7584623314953318E-2</c:v>
                </c:pt>
                <c:pt idx="241">
                  <c:v>1.7499883230316451E-2</c:v>
                </c:pt>
                <c:pt idx="242">
                  <c:v>1.8839030646947856E-2</c:v>
                </c:pt>
                <c:pt idx="243">
                  <c:v>3.3755339926699976E-2</c:v>
                </c:pt>
                <c:pt idx="244">
                  <c:v>3.8443768902554971E-2</c:v>
                </c:pt>
                <c:pt idx="245">
                  <c:v>4.3204103885420321E-2</c:v>
                </c:pt>
                <c:pt idx="246">
                  <c:v>3.8949914340421381E-2</c:v>
                </c:pt>
                <c:pt idx="247">
                  <c:v>3.9568791205385749E-2</c:v>
                </c:pt>
                <c:pt idx="248">
                  <c:v>3.8188915513642931E-2</c:v>
                </c:pt>
                <c:pt idx="249">
                  <c:v>3.8377260662921957E-2</c:v>
                </c:pt>
                <c:pt idx="250">
                  <c:v>3.679535281473649E-2</c:v>
                </c:pt>
                <c:pt idx="251">
                  <c:v>3.8639073739277448E-2</c:v>
                </c:pt>
                <c:pt idx="252">
                  <c:v>3.6967675829594794E-2</c:v>
                </c:pt>
                <c:pt idx="253">
                  <c:v>3.5162884641868043E-2</c:v>
                </c:pt>
                <c:pt idx="254">
                  <c:v>3.3624280896647568E-2</c:v>
                </c:pt>
                <c:pt idx="255">
                  <c:v>2.3451084297445992E-2</c:v>
                </c:pt>
                <c:pt idx="256">
                  <c:v>2.1119888736433213E-2</c:v>
                </c:pt>
                <c:pt idx="257">
                  <c:v>2.3590151799762628E-2</c:v>
                </c:pt>
                <c:pt idx="258">
                  <c:v>3.3740351505519489E-2</c:v>
                </c:pt>
                <c:pt idx="259">
                  <c:v>3.6531245691630791E-2</c:v>
                </c:pt>
                <c:pt idx="260">
                  <c:v>4.4624210318627448E-2</c:v>
                </c:pt>
                <c:pt idx="261">
                  <c:v>5.1225275296845091E-2</c:v>
                </c:pt>
                <c:pt idx="262">
                  <c:v>5.8276054244844895E-2</c:v>
                </c:pt>
                <c:pt idx="263">
                  <c:v>6.01448067699943E-2</c:v>
                </c:pt>
              </c:numCache>
            </c:numRef>
          </c:val>
          <c:smooth val="0"/>
          <c:extLst>
            <c:ext xmlns:c16="http://schemas.microsoft.com/office/drawing/2014/chart" uri="{C3380CC4-5D6E-409C-BE32-E72D297353CC}">
              <c16:uniqueId val="{00000000-A5CA-A642-9369-939626598D2A}"/>
            </c:ext>
          </c:extLst>
        </c:ser>
        <c:dLbls>
          <c:showLegendKey val="0"/>
          <c:showVal val="0"/>
          <c:showCatName val="0"/>
          <c:showSerName val="0"/>
          <c:showPercent val="0"/>
          <c:showBubbleSize val="0"/>
        </c:dLbls>
        <c:smooth val="0"/>
        <c:axId val="441892151"/>
        <c:axId val="441886247"/>
      </c:lineChart>
      <c:dateAx>
        <c:axId val="441892151"/>
        <c:scaling>
          <c:orientation val="minMax"/>
        </c:scaling>
        <c:delete val="0"/>
        <c:axPos val="b"/>
        <c:numFmt formatCode="[$-409]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1886247"/>
        <c:crosses val="autoZero"/>
        <c:auto val="0"/>
        <c:lblOffset val="100"/>
        <c:baseTimeUnit val="months"/>
      </c:dateAx>
      <c:valAx>
        <c:axId val="441886247"/>
        <c:scaling>
          <c:orientation val="minMax"/>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1892151"/>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strike="noStrike" kern="1200" spc="0" baseline="0">
                <a:solidFill>
                  <a:schemeClr val="tx1">
                    <a:lumMod val="65000"/>
                    <a:lumOff val="35000"/>
                  </a:schemeClr>
                </a:solidFill>
                <a:latin typeface="+mn-lt"/>
                <a:ea typeface="+mn-ea"/>
                <a:cs typeface="+mn-cs"/>
              </a:defRPr>
            </a:pPr>
            <a:r>
              <a:rPr lang="en-US" b="1"/>
              <a:t>CPI Food y/y % since 2014</a:t>
            </a:r>
          </a:p>
        </c:rich>
      </c:tx>
      <c:overlay val="0"/>
      <c:spPr>
        <a:noFill/>
        <a:ln>
          <a:noFill/>
          <a:prstDash val="solid"/>
        </a:ln>
      </c:spPr>
    </c:title>
    <c:autoTitleDeleted val="0"/>
    <c:plotArea>
      <c:layout/>
      <c:lineChart>
        <c:grouping val="standard"/>
        <c:varyColors val="0"/>
        <c:ser>
          <c:idx val="2"/>
          <c:order val="0"/>
          <c:tx>
            <c:strRef>
              <c:f>'CPI Food'!$D$569</c:f>
              <c:strCache>
                <c:ptCount val="1"/>
                <c:pt idx="0">
                  <c:v>1.08%</c:v>
                </c:pt>
              </c:strCache>
            </c:strRef>
          </c:tx>
          <c:spPr>
            <a:ln w="28575" cap="rnd">
              <a:solidFill>
                <a:srgbClr val="0070C0"/>
              </a:solidFill>
              <a:prstDash val="solid"/>
              <a:round/>
            </a:ln>
          </c:spPr>
          <c:marker>
            <c:symbol val="none"/>
          </c:marker>
          <c:cat>
            <c:numRef>
              <c:f>'CPI Food'!$A$569:$A$902</c:f>
              <c:numCache>
                <c:formatCode>[$-409]mmm\-yy;@</c:formatCode>
                <c:ptCount val="334"/>
                <c:pt idx="0">
                  <c:v>41640</c:v>
                </c:pt>
                <c:pt idx="1">
                  <c:v>41671</c:v>
                </c:pt>
                <c:pt idx="2">
                  <c:v>41699</c:v>
                </c:pt>
                <c:pt idx="3">
                  <c:v>41730</c:v>
                </c:pt>
                <c:pt idx="4">
                  <c:v>41760</c:v>
                </c:pt>
                <c:pt idx="5">
                  <c:v>41791</c:v>
                </c:pt>
                <c:pt idx="6">
                  <c:v>41821</c:v>
                </c:pt>
                <c:pt idx="7">
                  <c:v>41852</c:v>
                </c:pt>
                <c:pt idx="8">
                  <c:v>41883</c:v>
                </c:pt>
                <c:pt idx="9">
                  <c:v>41913</c:v>
                </c:pt>
                <c:pt idx="10">
                  <c:v>41944</c:v>
                </c:pt>
                <c:pt idx="11">
                  <c:v>41974</c:v>
                </c:pt>
                <c:pt idx="12">
                  <c:v>42005</c:v>
                </c:pt>
                <c:pt idx="13">
                  <c:v>42036</c:v>
                </c:pt>
                <c:pt idx="14">
                  <c:v>42064</c:v>
                </c:pt>
                <c:pt idx="15">
                  <c:v>42095</c:v>
                </c:pt>
                <c:pt idx="16">
                  <c:v>42125</c:v>
                </c:pt>
                <c:pt idx="17">
                  <c:v>42156</c:v>
                </c:pt>
                <c:pt idx="18">
                  <c:v>42186</c:v>
                </c:pt>
                <c:pt idx="19">
                  <c:v>42217</c:v>
                </c:pt>
                <c:pt idx="20">
                  <c:v>42248</c:v>
                </c:pt>
                <c:pt idx="21">
                  <c:v>42278</c:v>
                </c:pt>
                <c:pt idx="22">
                  <c:v>42309</c:v>
                </c:pt>
                <c:pt idx="23">
                  <c:v>42339</c:v>
                </c:pt>
                <c:pt idx="24">
                  <c:v>42370</c:v>
                </c:pt>
                <c:pt idx="25">
                  <c:v>42401</c:v>
                </c:pt>
                <c:pt idx="26">
                  <c:v>42430</c:v>
                </c:pt>
                <c:pt idx="27">
                  <c:v>42461</c:v>
                </c:pt>
                <c:pt idx="28">
                  <c:v>42491</c:v>
                </c:pt>
                <c:pt idx="29">
                  <c:v>42522</c:v>
                </c:pt>
                <c:pt idx="30">
                  <c:v>42552</c:v>
                </c:pt>
                <c:pt idx="31">
                  <c:v>42583</c:v>
                </c:pt>
                <c:pt idx="32">
                  <c:v>42614</c:v>
                </c:pt>
                <c:pt idx="33">
                  <c:v>42644</c:v>
                </c:pt>
                <c:pt idx="34">
                  <c:v>42675</c:v>
                </c:pt>
                <c:pt idx="35">
                  <c:v>42705</c:v>
                </c:pt>
                <c:pt idx="36">
                  <c:v>42736</c:v>
                </c:pt>
                <c:pt idx="37">
                  <c:v>42767</c:v>
                </c:pt>
                <c:pt idx="38">
                  <c:v>42795</c:v>
                </c:pt>
                <c:pt idx="39">
                  <c:v>42826</c:v>
                </c:pt>
                <c:pt idx="40">
                  <c:v>42856</c:v>
                </c:pt>
                <c:pt idx="41">
                  <c:v>42887</c:v>
                </c:pt>
                <c:pt idx="42">
                  <c:v>42917</c:v>
                </c:pt>
                <c:pt idx="43">
                  <c:v>42948</c:v>
                </c:pt>
                <c:pt idx="44">
                  <c:v>42979</c:v>
                </c:pt>
                <c:pt idx="45">
                  <c:v>43009</c:v>
                </c:pt>
                <c:pt idx="46">
                  <c:v>43040</c:v>
                </c:pt>
                <c:pt idx="47">
                  <c:v>43070</c:v>
                </c:pt>
                <c:pt idx="48">
                  <c:v>43101</c:v>
                </c:pt>
                <c:pt idx="49">
                  <c:v>43132</c:v>
                </c:pt>
                <c:pt idx="50">
                  <c:v>43160</c:v>
                </c:pt>
                <c:pt idx="51">
                  <c:v>43191</c:v>
                </c:pt>
                <c:pt idx="52">
                  <c:v>43221</c:v>
                </c:pt>
                <c:pt idx="53">
                  <c:v>43252</c:v>
                </c:pt>
                <c:pt idx="54">
                  <c:v>43282</c:v>
                </c:pt>
                <c:pt idx="55">
                  <c:v>43313</c:v>
                </c:pt>
                <c:pt idx="56">
                  <c:v>43344</c:v>
                </c:pt>
                <c:pt idx="57">
                  <c:v>43374</c:v>
                </c:pt>
                <c:pt idx="58">
                  <c:v>43405</c:v>
                </c:pt>
                <c:pt idx="59">
                  <c:v>43435</c:v>
                </c:pt>
                <c:pt idx="60">
                  <c:v>43466</c:v>
                </c:pt>
                <c:pt idx="61">
                  <c:v>43497</c:v>
                </c:pt>
                <c:pt idx="62">
                  <c:v>43525</c:v>
                </c:pt>
                <c:pt idx="63">
                  <c:v>43556</c:v>
                </c:pt>
                <c:pt idx="64">
                  <c:v>43586</c:v>
                </c:pt>
                <c:pt idx="65">
                  <c:v>43617</c:v>
                </c:pt>
                <c:pt idx="66">
                  <c:v>43647</c:v>
                </c:pt>
                <c:pt idx="67">
                  <c:v>43678</c:v>
                </c:pt>
                <c:pt idx="68">
                  <c:v>43709</c:v>
                </c:pt>
                <c:pt idx="69">
                  <c:v>43739</c:v>
                </c:pt>
                <c:pt idx="70">
                  <c:v>43770</c:v>
                </c:pt>
                <c:pt idx="71">
                  <c:v>43800</c:v>
                </c:pt>
                <c:pt idx="72">
                  <c:v>43831</c:v>
                </c:pt>
                <c:pt idx="73">
                  <c:v>43862</c:v>
                </c:pt>
                <c:pt idx="74">
                  <c:v>43891</c:v>
                </c:pt>
                <c:pt idx="75">
                  <c:v>43922</c:v>
                </c:pt>
                <c:pt idx="76">
                  <c:v>43952</c:v>
                </c:pt>
                <c:pt idx="77">
                  <c:v>43983</c:v>
                </c:pt>
                <c:pt idx="78">
                  <c:v>44013</c:v>
                </c:pt>
                <c:pt idx="79">
                  <c:v>44044</c:v>
                </c:pt>
                <c:pt idx="80">
                  <c:v>44075</c:v>
                </c:pt>
                <c:pt idx="81">
                  <c:v>44105</c:v>
                </c:pt>
                <c:pt idx="82">
                  <c:v>44136</c:v>
                </c:pt>
                <c:pt idx="83">
                  <c:v>44166</c:v>
                </c:pt>
                <c:pt idx="84">
                  <c:v>44197</c:v>
                </c:pt>
                <c:pt idx="85">
                  <c:v>44228</c:v>
                </c:pt>
                <c:pt idx="86">
                  <c:v>44256</c:v>
                </c:pt>
                <c:pt idx="87">
                  <c:v>44287</c:v>
                </c:pt>
                <c:pt idx="88">
                  <c:v>44317</c:v>
                </c:pt>
                <c:pt idx="89">
                  <c:v>44348</c:v>
                </c:pt>
                <c:pt idx="90">
                  <c:v>44378</c:v>
                </c:pt>
                <c:pt idx="91">
                  <c:v>44409</c:v>
                </c:pt>
                <c:pt idx="92">
                  <c:v>44440</c:v>
                </c:pt>
                <c:pt idx="93">
                  <c:v>44470</c:v>
                </c:pt>
                <c:pt idx="94">
                  <c:v>44501</c:v>
                </c:pt>
                <c:pt idx="95">
                  <c:v>44531</c:v>
                </c:pt>
              </c:numCache>
            </c:numRef>
          </c:cat>
          <c:val>
            <c:numRef>
              <c:f>'CPI Food'!$D$569:$D$902</c:f>
              <c:numCache>
                <c:formatCode>0.00%</c:formatCode>
                <c:ptCount val="334"/>
                <c:pt idx="0">
                  <c:v>1.0841176969388569E-2</c:v>
                </c:pt>
                <c:pt idx="1">
                  <c:v>1.4175317821308006E-2</c:v>
                </c:pt>
                <c:pt idx="2">
                  <c:v>1.7405666370219851E-2</c:v>
                </c:pt>
                <c:pt idx="3">
                  <c:v>1.8687598806293136E-2</c:v>
                </c:pt>
                <c:pt idx="4">
                  <c:v>2.4197608159501151E-2</c:v>
                </c:pt>
                <c:pt idx="5">
                  <c:v>2.2932565678395321E-2</c:v>
                </c:pt>
                <c:pt idx="6">
                  <c:v>2.4247995850429926E-2</c:v>
                </c:pt>
                <c:pt idx="7">
                  <c:v>2.5685847510814697E-2</c:v>
                </c:pt>
                <c:pt idx="8">
                  <c:v>2.8147424451706354E-2</c:v>
                </c:pt>
                <c:pt idx="9">
                  <c:v>2.8637780666658199E-2</c:v>
                </c:pt>
                <c:pt idx="10">
                  <c:v>3.0311692133083858E-2</c:v>
                </c:pt>
                <c:pt idx="11">
                  <c:v>3.2364267027249448E-2</c:v>
                </c:pt>
                <c:pt idx="12">
                  <c:v>3.081575558789855E-2</c:v>
                </c:pt>
                <c:pt idx="13">
                  <c:v>2.8460126981738526E-2</c:v>
                </c:pt>
                <c:pt idx="14">
                  <c:v>2.2664835164835136E-2</c:v>
                </c:pt>
                <c:pt idx="15">
                  <c:v>1.9170522210004374E-2</c:v>
                </c:pt>
                <c:pt idx="16">
                  <c:v>1.5608801067296675E-2</c:v>
                </c:pt>
                <c:pt idx="17">
                  <c:v>1.7190369101900169E-2</c:v>
                </c:pt>
                <c:pt idx="18">
                  <c:v>1.5851253484187835E-2</c:v>
                </c:pt>
                <c:pt idx="19">
                  <c:v>1.5564362128087686E-2</c:v>
                </c:pt>
                <c:pt idx="20">
                  <c:v>1.571178137850817E-2</c:v>
                </c:pt>
                <c:pt idx="21">
                  <c:v>1.5492842535787366E-2</c:v>
                </c:pt>
                <c:pt idx="22">
                  <c:v>1.2113126565649123E-2</c:v>
                </c:pt>
                <c:pt idx="23">
                  <c:v>7.8140253823624807E-3</c:v>
                </c:pt>
                <c:pt idx="24">
                  <c:v>8.9638840513663626E-3</c:v>
                </c:pt>
                <c:pt idx="25">
                  <c:v>8.8922846831615086E-3</c:v>
                </c:pt>
                <c:pt idx="26">
                  <c:v>8.1974886541710326E-3</c:v>
                </c:pt>
                <c:pt idx="27">
                  <c:v>9.3276062129755786E-3</c:v>
                </c:pt>
                <c:pt idx="28">
                  <c:v>6.8690368707449512E-3</c:v>
                </c:pt>
                <c:pt idx="29">
                  <c:v>3.6874622227811003E-3</c:v>
                </c:pt>
                <c:pt idx="30">
                  <c:v>2.7276448630706141E-3</c:v>
                </c:pt>
                <c:pt idx="31">
                  <c:v>7.4405062779282207E-4</c:v>
                </c:pt>
                <c:pt idx="32">
                  <c:v>-1.8388283115040377E-3</c:v>
                </c:pt>
                <c:pt idx="33">
                  <c:v>-2.7870859646862002E-3</c:v>
                </c:pt>
                <c:pt idx="34">
                  <c:v>-2.2170714501662117E-3</c:v>
                </c:pt>
                <c:pt idx="35">
                  <c:v>-9.3235012774405392E-4</c:v>
                </c:pt>
                <c:pt idx="36">
                  <c:v>-4.1134505801176713E-4</c:v>
                </c:pt>
                <c:pt idx="37">
                  <c:v>8.0163065371172029E-4</c:v>
                </c:pt>
                <c:pt idx="38">
                  <c:v>4.9535928687640058E-3</c:v>
                </c:pt>
                <c:pt idx="39">
                  <c:v>5.5746936338773772E-3</c:v>
                </c:pt>
                <c:pt idx="40">
                  <c:v>8.5267090780572295E-3</c:v>
                </c:pt>
                <c:pt idx="41">
                  <c:v>8.5603427370464138E-3</c:v>
                </c:pt>
                <c:pt idx="42">
                  <c:v>1.0614132236081602E-2</c:v>
                </c:pt>
                <c:pt idx="43">
                  <c:v>1.1192868889885531E-2</c:v>
                </c:pt>
                <c:pt idx="44">
                  <c:v>1.2725833037070576E-2</c:v>
                </c:pt>
                <c:pt idx="45">
                  <c:v>1.3421056882986832E-2</c:v>
                </c:pt>
                <c:pt idx="46">
                  <c:v>1.4220785779214148E-2</c:v>
                </c:pt>
                <c:pt idx="47">
                  <c:v>1.5953621783218245E-2</c:v>
                </c:pt>
                <c:pt idx="48">
                  <c:v>1.6472676658664993E-2</c:v>
                </c:pt>
                <c:pt idx="49">
                  <c:v>1.4160189661210017E-2</c:v>
                </c:pt>
                <c:pt idx="50">
                  <c:v>1.2678466692912777E-2</c:v>
                </c:pt>
                <c:pt idx="51">
                  <c:v>1.3630820577003289E-2</c:v>
                </c:pt>
                <c:pt idx="52">
                  <c:v>1.209519156060004E-2</c:v>
                </c:pt>
                <c:pt idx="53">
                  <c:v>1.4146142070546373E-2</c:v>
                </c:pt>
                <c:pt idx="54">
                  <c:v>1.3994208741281097E-2</c:v>
                </c:pt>
                <c:pt idx="55">
                  <c:v>1.4245811172072607E-2</c:v>
                </c:pt>
                <c:pt idx="56">
                  <c:v>1.4053885861543479E-2</c:v>
                </c:pt>
                <c:pt idx="57">
                  <c:v>1.2533925290631565E-2</c:v>
                </c:pt>
                <c:pt idx="58">
                  <c:v>1.4503375888784958E-2</c:v>
                </c:pt>
                <c:pt idx="59">
                  <c:v>1.6104724450152826E-2</c:v>
                </c:pt>
                <c:pt idx="60">
                  <c:v>1.638433327512032E-2</c:v>
                </c:pt>
                <c:pt idx="61">
                  <c:v>1.9665741920376501E-2</c:v>
                </c:pt>
                <c:pt idx="62">
                  <c:v>2.0640109170825493E-2</c:v>
                </c:pt>
                <c:pt idx="63">
                  <c:v>1.7175466784863442E-2</c:v>
                </c:pt>
                <c:pt idx="64">
                  <c:v>1.9251620460139601E-2</c:v>
                </c:pt>
                <c:pt idx="65">
                  <c:v>1.8331041459212469E-2</c:v>
                </c:pt>
                <c:pt idx="66">
                  <c:v>1.761914716543533E-2</c:v>
                </c:pt>
                <c:pt idx="67">
                  <c:v>1.7114895159447557E-2</c:v>
                </c:pt>
                <c:pt idx="68">
                  <c:v>1.7855948639069145E-2</c:v>
                </c:pt>
                <c:pt idx="69">
                  <c:v>2.0278355060142386E-2</c:v>
                </c:pt>
                <c:pt idx="70">
                  <c:v>1.9286493957265047E-2</c:v>
                </c:pt>
                <c:pt idx="71">
                  <c:v>1.737963205741826E-2</c:v>
                </c:pt>
                <c:pt idx="72">
                  <c:v>1.7584623314953318E-2</c:v>
                </c:pt>
                <c:pt idx="73">
                  <c:v>1.7499883230316451E-2</c:v>
                </c:pt>
                <c:pt idx="74">
                  <c:v>1.8839030646947856E-2</c:v>
                </c:pt>
                <c:pt idx="75">
                  <c:v>3.3755339926699976E-2</c:v>
                </c:pt>
                <c:pt idx="76">
                  <c:v>3.8443768902554971E-2</c:v>
                </c:pt>
                <c:pt idx="77">
                  <c:v>4.3204103885420321E-2</c:v>
                </c:pt>
                <c:pt idx="78">
                  <c:v>3.8949914340421381E-2</c:v>
                </c:pt>
                <c:pt idx="79">
                  <c:v>3.9568791205385749E-2</c:v>
                </c:pt>
                <c:pt idx="80">
                  <c:v>3.8188915513642931E-2</c:v>
                </c:pt>
                <c:pt idx="81">
                  <c:v>3.8377260662921957E-2</c:v>
                </c:pt>
                <c:pt idx="82">
                  <c:v>3.679535281473649E-2</c:v>
                </c:pt>
                <c:pt idx="83">
                  <c:v>3.8639073739277448E-2</c:v>
                </c:pt>
                <c:pt idx="84">
                  <c:v>3.6967675829594794E-2</c:v>
                </c:pt>
                <c:pt idx="85">
                  <c:v>3.5162884641868043E-2</c:v>
                </c:pt>
                <c:pt idx="86">
                  <c:v>3.3624280896647568E-2</c:v>
                </c:pt>
                <c:pt idx="87">
                  <c:v>2.3451084297445992E-2</c:v>
                </c:pt>
                <c:pt idx="88">
                  <c:v>2.1119888736433213E-2</c:v>
                </c:pt>
                <c:pt idx="89">
                  <c:v>2.3590151799762628E-2</c:v>
                </c:pt>
                <c:pt idx="90">
                  <c:v>3.3740351505519489E-2</c:v>
                </c:pt>
                <c:pt idx="91">
                  <c:v>3.6531245691630791E-2</c:v>
                </c:pt>
                <c:pt idx="92">
                  <c:v>4.4624210318627448E-2</c:v>
                </c:pt>
                <c:pt idx="93">
                  <c:v>5.1225275296845091E-2</c:v>
                </c:pt>
                <c:pt idx="94">
                  <c:v>5.8276054244844895E-2</c:v>
                </c:pt>
                <c:pt idx="95">
                  <c:v>6.01448067699943E-2</c:v>
                </c:pt>
              </c:numCache>
            </c:numRef>
          </c:val>
          <c:smooth val="0"/>
          <c:extLst>
            <c:ext xmlns:c16="http://schemas.microsoft.com/office/drawing/2014/chart" uri="{C3380CC4-5D6E-409C-BE32-E72D297353CC}">
              <c16:uniqueId val="{00000000-7636-2B41-848B-8EEE23C96DE8}"/>
            </c:ext>
          </c:extLst>
        </c:ser>
        <c:dLbls>
          <c:showLegendKey val="0"/>
          <c:showVal val="0"/>
          <c:showCatName val="0"/>
          <c:showSerName val="0"/>
          <c:showPercent val="0"/>
          <c:showBubbleSize val="0"/>
        </c:dLbls>
        <c:smooth val="0"/>
        <c:axId val="441892151"/>
        <c:axId val="441886247"/>
      </c:lineChart>
      <c:dateAx>
        <c:axId val="441892151"/>
        <c:scaling>
          <c:orientation val="minMax"/>
        </c:scaling>
        <c:delete val="0"/>
        <c:axPos val="b"/>
        <c:numFmt formatCode="[$-409]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1886247"/>
        <c:crosses val="autoZero"/>
        <c:auto val="0"/>
        <c:lblOffset val="100"/>
        <c:baseTimeUnit val="months"/>
      </c:dateAx>
      <c:valAx>
        <c:axId val="441886247"/>
        <c:scaling>
          <c:orientation val="minMax"/>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1892151"/>
        <c:crosses val="autoZero"/>
        <c:crossBetween val="between"/>
      </c:valAx>
    </c:plotArea>
    <c:plotVisOnly val="1"/>
    <c:dispBlanksAs val="gap"/>
    <c:showDLblsOverMax val="0"/>
  </c:chart>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strike="noStrike" kern="1200" spc="0" baseline="0">
                <a:solidFill>
                  <a:schemeClr val="tx1">
                    <a:lumMod val="65000"/>
                    <a:lumOff val="35000"/>
                  </a:schemeClr>
                </a:solidFill>
                <a:latin typeface="+mn-lt"/>
                <a:ea typeface="+mn-ea"/>
                <a:cs typeface="+mn-cs"/>
              </a:defRPr>
            </a:pPr>
            <a:r>
              <a:rPr lang="en-US" b="1"/>
              <a:t>CPI Energy y/y % since 1948</a:t>
            </a:r>
          </a:p>
        </c:rich>
      </c:tx>
      <c:overlay val="0"/>
      <c:spPr>
        <a:noFill/>
        <a:ln>
          <a:noFill/>
          <a:prstDash val="solid"/>
        </a:ln>
      </c:spPr>
    </c:title>
    <c:autoTitleDeleted val="0"/>
    <c:plotArea>
      <c:layout/>
      <c:lineChart>
        <c:grouping val="standard"/>
        <c:varyColors val="0"/>
        <c:ser>
          <c:idx val="2"/>
          <c:order val="0"/>
          <c:tx>
            <c:strRef>
              <c:f>'CPI Energy'!$D$4</c:f>
              <c:strCache>
                <c:ptCount val="1"/>
                <c:pt idx="0">
                  <c:v>Energy Index y/y %</c:v>
                </c:pt>
              </c:strCache>
            </c:strRef>
          </c:tx>
          <c:spPr>
            <a:ln w="28575" cap="rnd">
              <a:solidFill>
                <a:schemeClr val="accent3"/>
              </a:solidFill>
              <a:prstDash val="solid"/>
              <a:round/>
            </a:ln>
          </c:spPr>
          <c:marker>
            <c:symbol val="none"/>
          </c:marker>
          <c:cat>
            <c:numRef>
              <c:f>'CPI Energy'!$A$17:$A$902</c:f>
              <c:numCache>
                <c:formatCode>[$-409]mmm\-yy;@</c:formatCode>
                <c:ptCount val="886"/>
                <c:pt idx="0">
                  <c:v>24838</c:v>
                </c:pt>
                <c:pt idx="1">
                  <c:v>24869</c:v>
                </c:pt>
                <c:pt idx="2">
                  <c:v>24898</c:v>
                </c:pt>
                <c:pt idx="3">
                  <c:v>24929</c:v>
                </c:pt>
                <c:pt idx="4">
                  <c:v>24959</c:v>
                </c:pt>
                <c:pt idx="5">
                  <c:v>24990</c:v>
                </c:pt>
                <c:pt idx="6">
                  <c:v>25020</c:v>
                </c:pt>
                <c:pt idx="7">
                  <c:v>25051</c:v>
                </c:pt>
                <c:pt idx="8">
                  <c:v>25082</c:v>
                </c:pt>
                <c:pt idx="9">
                  <c:v>25112</c:v>
                </c:pt>
                <c:pt idx="10">
                  <c:v>25143</c:v>
                </c:pt>
                <c:pt idx="11">
                  <c:v>25173</c:v>
                </c:pt>
                <c:pt idx="12">
                  <c:v>25204</c:v>
                </c:pt>
                <c:pt idx="13">
                  <c:v>25235</c:v>
                </c:pt>
                <c:pt idx="14">
                  <c:v>25263</c:v>
                </c:pt>
                <c:pt idx="15">
                  <c:v>25294</c:v>
                </c:pt>
                <c:pt idx="16">
                  <c:v>25324</c:v>
                </c:pt>
                <c:pt idx="17">
                  <c:v>25355</c:v>
                </c:pt>
                <c:pt idx="18">
                  <c:v>25385</c:v>
                </c:pt>
                <c:pt idx="19">
                  <c:v>25416</c:v>
                </c:pt>
                <c:pt idx="20">
                  <c:v>25447</c:v>
                </c:pt>
                <c:pt idx="21">
                  <c:v>25477</c:v>
                </c:pt>
                <c:pt idx="22">
                  <c:v>25508</c:v>
                </c:pt>
                <c:pt idx="23">
                  <c:v>25538</c:v>
                </c:pt>
                <c:pt idx="24">
                  <c:v>25569</c:v>
                </c:pt>
                <c:pt idx="25">
                  <c:v>25600</c:v>
                </c:pt>
                <c:pt idx="26">
                  <c:v>25628</c:v>
                </c:pt>
                <c:pt idx="27">
                  <c:v>25659</c:v>
                </c:pt>
                <c:pt idx="28">
                  <c:v>25689</c:v>
                </c:pt>
                <c:pt idx="29">
                  <c:v>25720</c:v>
                </c:pt>
                <c:pt idx="30">
                  <c:v>25750</c:v>
                </c:pt>
                <c:pt idx="31">
                  <c:v>25781</c:v>
                </c:pt>
                <c:pt idx="32">
                  <c:v>25812</c:v>
                </c:pt>
                <c:pt idx="33">
                  <c:v>25842</c:v>
                </c:pt>
                <c:pt idx="34">
                  <c:v>25873</c:v>
                </c:pt>
                <c:pt idx="35">
                  <c:v>25903</c:v>
                </c:pt>
                <c:pt idx="36">
                  <c:v>25934</c:v>
                </c:pt>
                <c:pt idx="37">
                  <c:v>25965</c:v>
                </c:pt>
                <c:pt idx="38">
                  <c:v>25993</c:v>
                </c:pt>
                <c:pt idx="39">
                  <c:v>26024</c:v>
                </c:pt>
                <c:pt idx="40">
                  <c:v>26054</c:v>
                </c:pt>
                <c:pt idx="41">
                  <c:v>26085</c:v>
                </c:pt>
                <c:pt idx="42">
                  <c:v>26115</c:v>
                </c:pt>
                <c:pt idx="43">
                  <c:v>26146</c:v>
                </c:pt>
                <c:pt idx="44">
                  <c:v>26177</c:v>
                </c:pt>
                <c:pt idx="45">
                  <c:v>26207</c:v>
                </c:pt>
                <c:pt idx="46">
                  <c:v>26238</c:v>
                </c:pt>
                <c:pt idx="47">
                  <c:v>26268</c:v>
                </c:pt>
                <c:pt idx="48">
                  <c:v>26299</c:v>
                </c:pt>
                <c:pt idx="49">
                  <c:v>26330</c:v>
                </c:pt>
                <c:pt idx="50">
                  <c:v>26359</c:v>
                </c:pt>
                <c:pt idx="51">
                  <c:v>26390</c:v>
                </c:pt>
                <c:pt idx="52">
                  <c:v>26420</c:v>
                </c:pt>
                <c:pt idx="53">
                  <c:v>26451</c:v>
                </c:pt>
                <c:pt idx="54">
                  <c:v>26481</c:v>
                </c:pt>
                <c:pt idx="55">
                  <c:v>26512</c:v>
                </c:pt>
                <c:pt idx="56">
                  <c:v>26543</c:v>
                </c:pt>
                <c:pt idx="57">
                  <c:v>26573</c:v>
                </c:pt>
                <c:pt idx="58">
                  <c:v>26604</c:v>
                </c:pt>
                <c:pt idx="59">
                  <c:v>26634</c:v>
                </c:pt>
                <c:pt idx="60">
                  <c:v>26665</c:v>
                </c:pt>
                <c:pt idx="61">
                  <c:v>26696</c:v>
                </c:pt>
                <c:pt idx="62">
                  <c:v>26724</c:v>
                </c:pt>
                <c:pt idx="63">
                  <c:v>26755</c:v>
                </c:pt>
                <c:pt idx="64">
                  <c:v>26785</c:v>
                </c:pt>
                <c:pt idx="65">
                  <c:v>26816</c:v>
                </c:pt>
                <c:pt idx="66">
                  <c:v>26846</c:v>
                </c:pt>
                <c:pt idx="67">
                  <c:v>26877</c:v>
                </c:pt>
                <c:pt idx="68">
                  <c:v>26908</c:v>
                </c:pt>
                <c:pt idx="69">
                  <c:v>26938</c:v>
                </c:pt>
                <c:pt idx="70">
                  <c:v>26969</c:v>
                </c:pt>
                <c:pt idx="71">
                  <c:v>26999</c:v>
                </c:pt>
                <c:pt idx="72">
                  <c:v>27030</c:v>
                </c:pt>
                <c:pt idx="73">
                  <c:v>27061</c:v>
                </c:pt>
                <c:pt idx="74">
                  <c:v>27089</c:v>
                </c:pt>
                <c:pt idx="75">
                  <c:v>27120</c:v>
                </c:pt>
                <c:pt idx="76">
                  <c:v>27150</c:v>
                </c:pt>
                <c:pt idx="77">
                  <c:v>27181</c:v>
                </c:pt>
                <c:pt idx="78">
                  <c:v>27211</c:v>
                </c:pt>
                <c:pt idx="79">
                  <c:v>27242</c:v>
                </c:pt>
                <c:pt idx="80">
                  <c:v>27273</c:v>
                </c:pt>
                <c:pt idx="81">
                  <c:v>27303</c:v>
                </c:pt>
                <c:pt idx="82">
                  <c:v>27334</c:v>
                </c:pt>
                <c:pt idx="83">
                  <c:v>27364</c:v>
                </c:pt>
                <c:pt idx="84">
                  <c:v>27395</c:v>
                </c:pt>
                <c:pt idx="85">
                  <c:v>27426</c:v>
                </c:pt>
                <c:pt idx="86">
                  <c:v>27454</c:v>
                </c:pt>
                <c:pt idx="87">
                  <c:v>27485</c:v>
                </c:pt>
                <c:pt idx="88">
                  <c:v>27515</c:v>
                </c:pt>
                <c:pt idx="89">
                  <c:v>27546</c:v>
                </c:pt>
                <c:pt idx="90">
                  <c:v>27576</c:v>
                </c:pt>
                <c:pt idx="91">
                  <c:v>27607</c:v>
                </c:pt>
                <c:pt idx="92">
                  <c:v>27638</c:v>
                </c:pt>
                <c:pt idx="93">
                  <c:v>27668</c:v>
                </c:pt>
                <c:pt idx="94">
                  <c:v>27699</c:v>
                </c:pt>
                <c:pt idx="95">
                  <c:v>27729</c:v>
                </c:pt>
                <c:pt idx="96">
                  <c:v>27760</c:v>
                </c:pt>
                <c:pt idx="97">
                  <c:v>27791</c:v>
                </c:pt>
                <c:pt idx="98">
                  <c:v>27820</c:v>
                </c:pt>
                <c:pt idx="99">
                  <c:v>27851</c:v>
                </c:pt>
                <c:pt idx="100">
                  <c:v>27881</c:v>
                </c:pt>
                <c:pt idx="101">
                  <c:v>27912</c:v>
                </c:pt>
                <c:pt idx="102">
                  <c:v>27942</c:v>
                </c:pt>
                <c:pt idx="103">
                  <c:v>27973</c:v>
                </c:pt>
                <c:pt idx="104">
                  <c:v>28004</c:v>
                </c:pt>
                <c:pt idx="105">
                  <c:v>28034</c:v>
                </c:pt>
                <c:pt idx="106">
                  <c:v>28065</c:v>
                </c:pt>
                <c:pt idx="107">
                  <c:v>28095</c:v>
                </c:pt>
                <c:pt idx="108">
                  <c:v>28126</c:v>
                </c:pt>
                <c:pt idx="109">
                  <c:v>28157</c:v>
                </c:pt>
                <c:pt idx="110">
                  <c:v>28185</c:v>
                </c:pt>
                <c:pt idx="111">
                  <c:v>28216</c:v>
                </c:pt>
                <c:pt idx="112">
                  <c:v>28246</c:v>
                </c:pt>
                <c:pt idx="113">
                  <c:v>28277</c:v>
                </c:pt>
                <c:pt idx="114">
                  <c:v>28307</c:v>
                </c:pt>
                <c:pt idx="115">
                  <c:v>28338</c:v>
                </c:pt>
                <c:pt idx="116">
                  <c:v>28369</c:v>
                </c:pt>
                <c:pt idx="117">
                  <c:v>28399</c:v>
                </c:pt>
                <c:pt idx="118">
                  <c:v>28430</c:v>
                </c:pt>
                <c:pt idx="119">
                  <c:v>28460</c:v>
                </c:pt>
                <c:pt idx="120">
                  <c:v>28491</c:v>
                </c:pt>
                <c:pt idx="121">
                  <c:v>28522</c:v>
                </c:pt>
                <c:pt idx="122">
                  <c:v>28550</c:v>
                </c:pt>
                <c:pt idx="123">
                  <c:v>28581</c:v>
                </c:pt>
                <c:pt idx="124">
                  <c:v>28611</c:v>
                </c:pt>
                <c:pt idx="125">
                  <c:v>28642</c:v>
                </c:pt>
                <c:pt idx="126">
                  <c:v>28672</c:v>
                </c:pt>
                <c:pt idx="127">
                  <c:v>28703</c:v>
                </c:pt>
                <c:pt idx="128">
                  <c:v>28734</c:v>
                </c:pt>
                <c:pt idx="129">
                  <c:v>28764</c:v>
                </c:pt>
                <c:pt idx="130">
                  <c:v>28795</c:v>
                </c:pt>
                <c:pt idx="131">
                  <c:v>28825</c:v>
                </c:pt>
                <c:pt idx="132">
                  <c:v>28856</c:v>
                </c:pt>
                <c:pt idx="133">
                  <c:v>28887</c:v>
                </c:pt>
                <c:pt idx="134">
                  <c:v>28915</c:v>
                </c:pt>
                <c:pt idx="135">
                  <c:v>28946</c:v>
                </c:pt>
                <c:pt idx="136">
                  <c:v>28976</c:v>
                </c:pt>
                <c:pt idx="137">
                  <c:v>29007</c:v>
                </c:pt>
                <c:pt idx="138">
                  <c:v>29037</c:v>
                </c:pt>
                <c:pt idx="139">
                  <c:v>29068</c:v>
                </c:pt>
                <c:pt idx="140">
                  <c:v>29099</c:v>
                </c:pt>
                <c:pt idx="141">
                  <c:v>29129</c:v>
                </c:pt>
                <c:pt idx="142">
                  <c:v>29160</c:v>
                </c:pt>
                <c:pt idx="143">
                  <c:v>29190</c:v>
                </c:pt>
                <c:pt idx="144">
                  <c:v>29221</c:v>
                </c:pt>
                <c:pt idx="145">
                  <c:v>29252</c:v>
                </c:pt>
                <c:pt idx="146">
                  <c:v>29281</c:v>
                </c:pt>
                <c:pt idx="147">
                  <c:v>29312</c:v>
                </c:pt>
                <c:pt idx="148">
                  <c:v>29342</c:v>
                </c:pt>
                <c:pt idx="149">
                  <c:v>29373</c:v>
                </c:pt>
                <c:pt idx="150">
                  <c:v>29403</c:v>
                </c:pt>
                <c:pt idx="151">
                  <c:v>29434</c:v>
                </c:pt>
                <c:pt idx="152">
                  <c:v>29465</c:v>
                </c:pt>
                <c:pt idx="153">
                  <c:v>29495</c:v>
                </c:pt>
                <c:pt idx="154">
                  <c:v>29526</c:v>
                </c:pt>
                <c:pt idx="155">
                  <c:v>29556</c:v>
                </c:pt>
                <c:pt idx="156">
                  <c:v>29587</c:v>
                </c:pt>
                <c:pt idx="157">
                  <c:v>29618</c:v>
                </c:pt>
                <c:pt idx="158">
                  <c:v>29646</c:v>
                </c:pt>
                <c:pt idx="159">
                  <c:v>29677</c:v>
                </c:pt>
                <c:pt idx="160">
                  <c:v>29707</c:v>
                </c:pt>
                <c:pt idx="161">
                  <c:v>29738</c:v>
                </c:pt>
                <c:pt idx="162">
                  <c:v>29768</c:v>
                </c:pt>
                <c:pt idx="163">
                  <c:v>29799</c:v>
                </c:pt>
                <c:pt idx="164">
                  <c:v>29830</c:v>
                </c:pt>
                <c:pt idx="165">
                  <c:v>29860</c:v>
                </c:pt>
                <c:pt idx="166">
                  <c:v>29891</c:v>
                </c:pt>
                <c:pt idx="167">
                  <c:v>29921</c:v>
                </c:pt>
                <c:pt idx="168">
                  <c:v>29952</c:v>
                </c:pt>
                <c:pt idx="169">
                  <c:v>29983</c:v>
                </c:pt>
                <c:pt idx="170">
                  <c:v>30011</c:v>
                </c:pt>
                <c:pt idx="171">
                  <c:v>30042</c:v>
                </c:pt>
                <c:pt idx="172">
                  <c:v>30072</c:v>
                </c:pt>
                <c:pt idx="173">
                  <c:v>30103</c:v>
                </c:pt>
                <c:pt idx="174">
                  <c:v>30133</c:v>
                </c:pt>
                <c:pt idx="175">
                  <c:v>30164</c:v>
                </c:pt>
                <c:pt idx="176">
                  <c:v>30195</c:v>
                </c:pt>
                <c:pt idx="177">
                  <c:v>30225</c:v>
                </c:pt>
                <c:pt idx="178">
                  <c:v>30256</c:v>
                </c:pt>
                <c:pt idx="179">
                  <c:v>30286</c:v>
                </c:pt>
                <c:pt idx="180">
                  <c:v>30317</c:v>
                </c:pt>
                <c:pt idx="181">
                  <c:v>30348</c:v>
                </c:pt>
                <c:pt idx="182">
                  <c:v>30376</c:v>
                </c:pt>
                <c:pt idx="183">
                  <c:v>30407</c:v>
                </c:pt>
                <c:pt idx="184">
                  <c:v>30437</c:v>
                </c:pt>
                <c:pt idx="185">
                  <c:v>30468</c:v>
                </c:pt>
                <c:pt idx="186">
                  <c:v>30498</c:v>
                </c:pt>
                <c:pt idx="187">
                  <c:v>30529</c:v>
                </c:pt>
                <c:pt idx="188">
                  <c:v>30560</c:v>
                </c:pt>
                <c:pt idx="189">
                  <c:v>30590</c:v>
                </c:pt>
                <c:pt idx="190">
                  <c:v>30621</c:v>
                </c:pt>
                <c:pt idx="191">
                  <c:v>30651</c:v>
                </c:pt>
                <c:pt idx="192">
                  <c:v>30682</c:v>
                </c:pt>
                <c:pt idx="193">
                  <c:v>30713</c:v>
                </c:pt>
                <c:pt idx="194">
                  <c:v>30742</c:v>
                </c:pt>
                <c:pt idx="195">
                  <c:v>30773</c:v>
                </c:pt>
                <c:pt idx="196">
                  <c:v>30803</c:v>
                </c:pt>
                <c:pt idx="197">
                  <c:v>30834</c:v>
                </c:pt>
                <c:pt idx="198">
                  <c:v>30864</c:v>
                </c:pt>
                <c:pt idx="199">
                  <c:v>30895</c:v>
                </c:pt>
                <c:pt idx="200">
                  <c:v>30926</c:v>
                </c:pt>
                <c:pt idx="201">
                  <c:v>30956</c:v>
                </c:pt>
                <c:pt idx="202">
                  <c:v>30987</c:v>
                </c:pt>
                <c:pt idx="203">
                  <c:v>31017</c:v>
                </c:pt>
                <c:pt idx="204">
                  <c:v>31048</c:v>
                </c:pt>
                <c:pt idx="205">
                  <c:v>31079</c:v>
                </c:pt>
                <c:pt idx="206">
                  <c:v>31107</c:v>
                </c:pt>
                <c:pt idx="207">
                  <c:v>31138</c:v>
                </c:pt>
                <c:pt idx="208">
                  <c:v>31168</c:v>
                </c:pt>
                <c:pt idx="209">
                  <c:v>31199</c:v>
                </c:pt>
                <c:pt idx="210">
                  <c:v>31229</c:v>
                </c:pt>
                <c:pt idx="211">
                  <c:v>31260</c:v>
                </c:pt>
                <c:pt idx="212">
                  <c:v>31291</c:v>
                </c:pt>
                <c:pt idx="213">
                  <c:v>31321</c:v>
                </c:pt>
                <c:pt idx="214">
                  <c:v>31352</c:v>
                </c:pt>
                <c:pt idx="215">
                  <c:v>31382</c:v>
                </c:pt>
                <c:pt idx="216">
                  <c:v>31413</c:v>
                </c:pt>
                <c:pt idx="217">
                  <c:v>31444</c:v>
                </c:pt>
                <c:pt idx="218">
                  <c:v>31472</c:v>
                </c:pt>
                <c:pt idx="219">
                  <c:v>31503</c:v>
                </c:pt>
                <c:pt idx="220">
                  <c:v>31533</c:v>
                </c:pt>
                <c:pt idx="221">
                  <c:v>31564</c:v>
                </c:pt>
                <c:pt idx="222">
                  <c:v>31594</c:v>
                </c:pt>
                <c:pt idx="223">
                  <c:v>31625</c:v>
                </c:pt>
                <c:pt idx="224">
                  <c:v>31656</c:v>
                </c:pt>
                <c:pt idx="225">
                  <c:v>31686</c:v>
                </c:pt>
                <c:pt idx="226">
                  <c:v>31717</c:v>
                </c:pt>
                <c:pt idx="227">
                  <c:v>31747</c:v>
                </c:pt>
                <c:pt idx="228">
                  <c:v>31778</c:v>
                </c:pt>
                <c:pt idx="229">
                  <c:v>31809</c:v>
                </c:pt>
                <c:pt idx="230">
                  <c:v>31837</c:v>
                </c:pt>
                <c:pt idx="231">
                  <c:v>31868</c:v>
                </c:pt>
                <c:pt idx="232">
                  <c:v>31898</c:v>
                </c:pt>
                <c:pt idx="233">
                  <c:v>31929</c:v>
                </c:pt>
                <c:pt idx="234">
                  <c:v>31959</c:v>
                </c:pt>
                <c:pt idx="235">
                  <c:v>31990</c:v>
                </c:pt>
                <c:pt idx="236">
                  <c:v>32021</c:v>
                </c:pt>
                <c:pt idx="237">
                  <c:v>32051</c:v>
                </c:pt>
                <c:pt idx="238">
                  <c:v>32082</c:v>
                </c:pt>
                <c:pt idx="239">
                  <c:v>32112</c:v>
                </c:pt>
                <c:pt idx="240">
                  <c:v>32143</c:v>
                </c:pt>
                <c:pt idx="241">
                  <c:v>32174</c:v>
                </c:pt>
                <c:pt idx="242">
                  <c:v>32203</c:v>
                </c:pt>
                <c:pt idx="243">
                  <c:v>32234</c:v>
                </c:pt>
                <c:pt idx="244">
                  <c:v>32264</c:v>
                </c:pt>
                <c:pt idx="245">
                  <c:v>32295</c:v>
                </c:pt>
                <c:pt idx="246">
                  <c:v>32325</c:v>
                </c:pt>
                <c:pt idx="247">
                  <c:v>32356</c:v>
                </c:pt>
                <c:pt idx="248">
                  <c:v>32387</c:v>
                </c:pt>
                <c:pt idx="249">
                  <c:v>32417</c:v>
                </c:pt>
                <c:pt idx="250">
                  <c:v>32448</c:v>
                </c:pt>
                <c:pt idx="251">
                  <c:v>32478</c:v>
                </c:pt>
                <c:pt idx="252">
                  <c:v>32509</c:v>
                </c:pt>
                <c:pt idx="253">
                  <c:v>32540</c:v>
                </c:pt>
                <c:pt idx="254">
                  <c:v>32568</c:v>
                </c:pt>
                <c:pt idx="255">
                  <c:v>32599</c:v>
                </c:pt>
                <c:pt idx="256">
                  <c:v>32629</c:v>
                </c:pt>
                <c:pt idx="257">
                  <c:v>32660</c:v>
                </c:pt>
                <c:pt idx="258">
                  <c:v>32690</c:v>
                </c:pt>
                <c:pt idx="259">
                  <c:v>32721</c:v>
                </c:pt>
                <c:pt idx="260">
                  <c:v>32752</c:v>
                </c:pt>
                <c:pt idx="261">
                  <c:v>32782</c:v>
                </c:pt>
                <c:pt idx="262">
                  <c:v>32813</c:v>
                </c:pt>
                <c:pt idx="263">
                  <c:v>32843</c:v>
                </c:pt>
                <c:pt idx="264">
                  <c:v>32874</c:v>
                </c:pt>
                <c:pt idx="265">
                  <c:v>32905</c:v>
                </c:pt>
                <c:pt idx="266">
                  <c:v>32933</c:v>
                </c:pt>
                <c:pt idx="267">
                  <c:v>32964</c:v>
                </c:pt>
                <c:pt idx="268">
                  <c:v>32994</c:v>
                </c:pt>
                <c:pt idx="269">
                  <c:v>33025</c:v>
                </c:pt>
                <c:pt idx="270">
                  <c:v>33055</c:v>
                </c:pt>
                <c:pt idx="271">
                  <c:v>33086</c:v>
                </c:pt>
                <c:pt idx="272">
                  <c:v>33117</c:v>
                </c:pt>
                <c:pt idx="273">
                  <c:v>33147</c:v>
                </c:pt>
                <c:pt idx="274">
                  <c:v>33178</c:v>
                </c:pt>
                <c:pt idx="275">
                  <c:v>33208</c:v>
                </c:pt>
                <c:pt idx="276">
                  <c:v>33239</c:v>
                </c:pt>
                <c:pt idx="277">
                  <c:v>33270</c:v>
                </c:pt>
                <c:pt idx="278">
                  <c:v>33298</c:v>
                </c:pt>
                <c:pt idx="279">
                  <c:v>33329</c:v>
                </c:pt>
                <c:pt idx="280">
                  <c:v>33359</c:v>
                </c:pt>
                <c:pt idx="281">
                  <c:v>33390</c:v>
                </c:pt>
                <c:pt idx="282">
                  <c:v>33420</c:v>
                </c:pt>
                <c:pt idx="283">
                  <c:v>33451</c:v>
                </c:pt>
                <c:pt idx="284">
                  <c:v>33482</c:v>
                </c:pt>
                <c:pt idx="285">
                  <c:v>33512</c:v>
                </c:pt>
                <c:pt idx="286">
                  <c:v>33543</c:v>
                </c:pt>
                <c:pt idx="287">
                  <c:v>33573</c:v>
                </c:pt>
                <c:pt idx="288">
                  <c:v>33604</c:v>
                </c:pt>
                <c:pt idx="289">
                  <c:v>33635</c:v>
                </c:pt>
                <c:pt idx="290">
                  <c:v>33664</c:v>
                </c:pt>
                <c:pt idx="291">
                  <c:v>33695</c:v>
                </c:pt>
                <c:pt idx="292">
                  <c:v>33725</c:v>
                </c:pt>
                <c:pt idx="293">
                  <c:v>33756</c:v>
                </c:pt>
                <c:pt idx="294">
                  <c:v>33786</c:v>
                </c:pt>
                <c:pt idx="295">
                  <c:v>33817</c:v>
                </c:pt>
                <c:pt idx="296">
                  <c:v>33848</c:v>
                </c:pt>
                <c:pt idx="297">
                  <c:v>33878</c:v>
                </c:pt>
                <c:pt idx="298">
                  <c:v>33909</c:v>
                </c:pt>
                <c:pt idx="299">
                  <c:v>33939</c:v>
                </c:pt>
                <c:pt idx="300">
                  <c:v>33970</c:v>
                </c:pt>
                <c:pt idx="301">
                  <c:v>34001</c:v>
                </c:pt>
                <c:pt idx="302">
                  <c:v>34029</c:v>
                </c:pt>
                <c:pt idx="303">
                  <c:v>34060</c:v>
                </c:pt>
                <c:pt idx="304">
                  <c:v>34090</c:v>
                </c:pt>
                <c:pt idx="305">
                  <c:v>34121</c:v>
                </c:pt>
                <c:pt idx="306">
                  <c:v>34151</c:v>
                </c:pt>
                <c:pt idx="307">
                  <c:v>34182</c:v>
                </c:pt>
                <c:pt idx="308">
                  <c:v>34213</c:v>
                </c:pt>
                <c:pt idx="309">
                  <c:v>34243</c:v>
                </c:pt>
                <c:pt idx="310">
                  <c:v>34274</c:v>
                </c:pt>
                <c:pt idx="311">
                  <c:v>34304</c:v>
                </c:pt>
                <c:pt idx="312">
                  <c:v>34335</c:v>
                </c:pt>
                <c:pt idx="313">
                  <c:v>34366</c:v>
                </c:pt>
                <c:pt idx="314">
                  <c:v>34394</c:v>
                </c:pt>
                <c:pt idx="315">
                  <c:v>34425</c:v>
                </c:pt>
                <c:pt idx="316">
                  <c:v>34455</c:v>
                </c:pt>
                <c:pt idx="317">
                  <c:v>34486</c:v>
                </c:pt>
                <c:pt idx="318">
                  <c:v>34516</c:v>
                </c:pt>
                <c:pt idx="319">
                  <c:v>34547</c:v>
                </c:pt>
                <c:pt idx="320">
                  <c:v>34578</c:v>
                </c:pt>
                <c:pt idx="321">
                  <c:v>34608</c:v>
                </c:pt>
                <c:pt idx="322">
                  <c:v>34639</c:v>
                </c:pt>
                <c:pt idx="323">
                  <c:v>34669</c:v>
                </c:pt>
                <c:pt idx="324">
                  <c:v>34700</c:v>
                </c:pt>
                <c:pt idx="325">
                  <c:v>34731</c:v>
                </c:pt>
                <c:pt idx="326">
                  <c:v>34759</c:v>
                </c:pt>
                <c:pt idx="327">
                  <c:v>34790</c:v>
                </c:pt>
                <c:pt idx="328">
                  <c:v>34820</c:v>
                </c:pt>
                <c:pt idx="329">
                  <c:v>34851</c:v>
                </c:pt>
                <c:pt idx="330">
                  <c:v>34881</c:v>
                </c:pt>
                <c:pt idx="331">
                  <c:v>34912</c:v>
                </c:pt>
                <c:pt idx="332">
                  <c:v>34943</c:v>
                </c:pt>
                <c:pt idx="333">
                  <c:v>34973</c:v>
                </c:pt>
                <c:pt idx="334">
                  <c:v>35004</c:v>
                </c:pt>
                <c:pt idx="335">
                  <c:v>35034</c:v>
                </c:pt>
                <c:pt idx="336">
                  <c:v>35065</c:v>
                </c:pt>
                <c:pt idx="337">
                  <c:v>35096</c:v>
                </c:pt>
                <c:pt idx="338">
                  <c:v>35125</c:v>
                </c:pt>
                <c:pt idx="339">
                  <c:v>35156</c:v>
                </c:pt>
                <c:pt idx="340">
                  <c:v>35186</c:v>
                </c:pt>
                <c:pt idx="341">
                  <c:v>35217</c:v>
                </c:pt>
                <c:pt idx="342">
                  <c:v>35247</c:v>
                </c:pt>
                <c:pt idx="343">
                  <c:v>35278</c:v>
                </c:pt>
                <c:pt idx="344">
                  <c:v>35309</c:v>
                </c:pt>
                <c:pt idx="345">
                  <c:v>35339</c:v>
                </c:pt>
                <c:pt idx="346">
                  <c:v>35370</c:v>
                </c:pt>
                <c:pt idx="347">
                  <c:v>35400</c:v>
                </c:pt>
                <c:pt idx="348">
                  <c:v>35431</c:v>
                </c:pt>
                <c:pt idx="349">
                  <c:v>35462</c:v>
                </c:pt>
                <c:pt idx="350">
                  <c:v>35490</c:v>
                </c:pt>
                <c:pt idx="351">
                  <c:v>35521</c:v>
                </c:pt>
                <c:pt idx="352">
                  <c:v>35551</c:v>
                </c:pt>
                <c:pt idx="353">
                  <c:v>35582</c:v>
                </c:pt>
                <c:pt idx="354">
                  <c:v>35612</c:v>
                </c:pt>
                <c:pt idx="355">
                  <c:v>35643</c:v>
                </c:pt>
                <c:pt idx="356">
                  <c:v>35674</c:v>
                </c:pt>
                <c:pt idx="357">
                  <c:v>35704</c:v>
                </c:pt>
                <c:pt idx="358">
                  <c:v>35735</c:v>
                </c:pt>
                <c:pt idx="359">
                  <c:v>35765</c:v>
                </c:pt>
                <c:pt idx="360">
                  <c:v>35796</c:v>
                </c:pt>
                <c:pt idx="361">
                  <c:v>35827</c:v>
                </c:pt>
                <c:pt idx="362">
                  <c:v>35855</c:v>
                </c:pt>
                <c:pt idx="363">
                  <c:v>35886</c:v>
                </c:pt>
                <c:pt idx="364">
                  <c:v>35916</c:v>
                </c:pt>
                <c:pt idx="365">
                  <c:v>35947</c:v>
                </c:pt>
                <c:pt idx="366">
                  <c:v>35977</c:v>
                </c:pt>
                <c:pt idx="367">
                  <c:v>36008</c:v>
                </c:pt>
                <c:pt idx="368">
                  <c:v>36039</c:v>
                </c:pt>
                <c:pt idx="369">
                  <c:v>36069</c:v>
                </c:pt>
                <c:pt idx="370">
                  <c:v>36100</c:v>
                </c:pt>
                <c:pt idx="371">
                  <c:v>36130</c:v>
                </c:pt>
                <c:pt idx="372">
                  <c:v>36161</c:v>
                </c:pt>
                <c:pt idx="373">
                  <c:v>36192</c:v>
                </c:pt>
                <c:pt idx="374">
                  <c:v>36220</c:v>
                </c:pt>
                <c:pt idx="375">
                  <c:v>36251</c:v>
                </c:pt>
                <c:pt idx="376">
                  <c:v>36281</c:v>
                </c:pt>
                <c:pt idx="377">
                  <c:v>36312</c:v>
                </c:pt>
                <c:pt idx="378">
                  <c:v>36342</c:v>
                </c:pt>
                <c:pt idx="379">
                  <c:v>36373</c:v>
                </c:pt>
                <c:pt idx="380">
                  <c:v>36404</c:v>
                </c:pt>
                <c:pt idx="381">
                  <c:v>36434</c:v>
                </c:pt>
                <c:pt idx="382">
                  <c:v>36465</c:v>
                </c:pt>
                <c:pt idx="383">
                  <c:v>36495</c:v>
                </c:pt>
                <c:pt idx="384">
                  <c:v>36526</c:v>
                </c:pt>
                <c:pt idx="385">
                  <c:v>36557</c:v>
                </c:pt>
                <c:pt idx="386">
                  <c:v>36586</c:v>
                </c:pt>
                <c:pt idx="387">
                  <c:v>36617</c:v>
                </c:pt>
                <c:pt idx="388">
                  <c:v>36647</c:v>
                </c:pt>
                <c:pt idx="389">
                  <c:v>36678</c:v>
                </c:pt>
                <c:pt idx="390">
                  <c:v>36708</c:v>
                </c:pt>
                <c:pt idx="391">
                  <c:v>36739</c:v>
                </c:pt>
                <c:pt idx="392">
                  <c:v>36770</c:v>
                </c:pt>
                <c:pt idx="393">
                  <c:v>36800</c:v>
                </c:pt>
                <c:pt idx="394">
                  <c:v>36831</c:v>
                </c:pt>
                <c:pt idx="395">
                  <c:v>36861</c:v>
                </c:pt>
                <c:pt idx="396">
                  <c:v>36892</c:v>
                </c:pt>
                <c:pt idx="397">
                  <c:v>36923</c:v>
                </c:pt>
                <c:pt idx="398">
                  <c:v>36951</c:v>
                </c:pt>
                <c:pt idx="399">
                  <c:v>36982</c:v>
                </c:pt>
                <c:pt idx="400">
                  <c:v>37012</c:v>
                </c:pt>
                <c:pt idx="401">
                  <c:v>37043</c:v>
                </c:pt>
                <c:pt idx="402">
                  <c:v>37073</c:v>
                </c:pt>
                <c:pt idx="403">
                  <c:v>37104</c:v>
                </c:pt>
                <c:pt idx="404">
                  <c:v>37135</c:v>
                </c:pt>
                <c:pt idx="405">
                  <c:v>37165</c:v>
                </c:pt>
                <c:pt idx="406">
                  <c:v>37196</c:v>
                </c:pt>
                <c:pt idx="407">
                  <c:v>37226</c:v>
                </c:pt>
                <c:pt idx="408">
                  <c:v>37257</c:v>
                </c:pt>
                <c:pt idx="409">
                  <c:v>37288</c:v>
                </c:pt>
                <c:pt idx="410">
                  <c:v>37316</c:v>
                </c:pt>
                <c:pt idx="411">
                  <c:v>37347</c:v>
                </c:pt>
                <c:pt idx="412">
                  <c:v>37377</c:v>
                </c:pt>
                <c:pt idx="413">
                  <c:v>37408</c:v>
                </c:pt>
                <c:pt idx="414">
                  <c:v>37438</c:v>
                </c:pt>
                <c:pt idx="415">
                  <c:v>37469</c:v>
                </c:pt>
                <c:pt idx="416">
                  <c:v>37500</c:v>
                </c:pt>
                <c:pt idx="417">
                  <c:v>37530</c:v>
                </c:pt>
                <c:pt idx="418">
                  <c:v>37561</c:v>
                </c:pt>
                <c:pt idx="419">
                  <c:v>37591</c:v>
                </c:pt>
                <c:pt idx="420">
                  <c:v>37622</c:v>
                </c:pt>
                <c:pt idx="421">
                  <c:v>37653</c:v>
                </c:pt>
                <c:pt idx="422">
                  <c:v>37681</c:v>
                </c:pt>
                <c:pt idx="423">
                  <c:v>37712</c:v>
                </c:pt>
                <c:pt idx="424">
                  <c:v>37742</c:v>
                </c:pt>
                <c:pt idx="425">
                  <c:v>37773</c:v>
                </c:pt>
                <c:pt idx="426">
                  <c:v>37803</c:v>
                </c:pt>
                <c:pt idx="427">
                  <c:v>37834</c:v>
                </c:pt>
                <c:pt idx="428">
                  <c:v>37865</c:v>
                </c:pt>
                <c:pt idx="429">
                  <c:v>37895</c:v>
                </c:pt>
                <c:pt idx="430">
                  <c:v>37926</c:v>
                </c:pt>
                <c:pt idx="431">
                  <c:v>37956</c:v>
                </c:pt>
                <c:pt idx="432">
                  <c:v>37987</c:v>
                </c:pt>
                <c:pt idx="433">
                  <c:v>38018</c:v>
                </c:pt>
                <c:pt idx="434">
                  <c:v>38047</c:v>
                </c:pt>
                <c:pt idx="435">
                  <c:v>38078</c:v>
                </c:pt>
                <c:pt idx="436">
                  <c:v>38108</c:v>
                </c:pt>
                <c:pt idx="437">
                  <c:v>38139</c:v>
                </c:pt>
                <c:pt idx="438">
                  <c:v>38169</c:v>
                </c:pt>
                <c:pt idx="439">
                  <c:v>38200</c:v>
                </c:pt>
                <c:pt idx="440">
                  <c:v>38231</c:v>
                </c:pt>
                <c:pt idx="441">
                  <c:v>38261</c:v>
                </c:pt>
                <c:pt idx="442">
                  <c:v>38292</c:v>
                </c:pt>
                <c:pt idx="443">
                  <c:v>38322</c:v>
                </c:pt>
                <c:pt idx="444">
                  <c:v>38353</c:v>
                </c:pt>
                <c:pt idx="445">
                  <c:v>38384</c:v>
                </c:pt>
                <c:pt idx="446">
                  <c:v>38412</c:v>
                </c:pt>
                <c:pt idx="447">
                  <c:v>38443</c:v>
                </c:pt>
                <c:pt idx="448">
                  <c:v>38473</c:v>
                </c:pt>
                <c:pt idx="449">
                  <c:v>38504</c:v>
                </c:pt>
                <c:pt idx="450">
                  <c:v>38534</c:v>
                </c:pt>
                <c:pt idx="451">
                  <c:v>38565</c:v>
                </c:pt>
                <c:pt idx="452">
                  <c:v>38596</c:v>
                </c:pt>
                <c:pt idx="453">
                  <c:v>38626</c:v>
                </c:pt>
                <c:pt idx="454">
                  <c:v>38657</c:v>
                </c:pt>
                <c:pt idx="455">
                  <c:v>38687</c:v>
                </c:pt>
                <c:pt idx="456">
                  <c:v>38718</c:v>
                </c:pt>
                <c:pt idx="457">
                  <c:v>38749</c:v>
                </c:pt>
                <c:pt idx="458">
                  <c:v>38777</c:v>
                </c:pt>
                <c:pt idx="459">
                  <c:v>38808</c:v>
                </c:pt>
                <c:pt idx="460">
                  <c:v>38838</c:v>
                </c:pt>
                <c:pt idx="461">
                  <c:v>38869</c:v>
                </c:pt>
                <c:pt idx="462">
                  <c:v>38899</c:v>
                </c:pt>
                <c:pt idx="463">
                  <c:v>38930</c:v>
                </c:pt>
                <c:pt idx="464">
                  <c:v>38961</c:v>
                </c:pt>
                <c:pt idx="465">
                  <c:v>38991</c:v>
                </c:pt>
                <c:pt idx="466">
                  <c:v>39022</c:v>
                </c:pt>
                <c:pt idx="467">
                  <c:v>39052</c:v>
                </c:pt>
                <c:pt idx="468">
                  <c:v>39083</c:v>
                </c:pt>
                <c:pt idx="469">
                  <c:v>39114</c:v>
                </c:pt>
                <c:pt idx="470">
                  <c:v>39142</c:v>
                </c:pt>
                <c:pt idx="471">
                  <c:v>39173</c:v>
                </c:pt>
                <c:pt idx="472">
                  <c:v>39203</c:v>
                </c:pt>
                <c:pt idx="473">
                  <c:v>39234</c:v>
                </c:pt>
                <c:pt idx="474">
                  <c:v>39264</c:v>
                </c:pt>
                <c:pt idx="475">
                  <c:v>39295</c:v>
                </c:pt>
                <c:pt idx="476">
                  <c:v>39326</c:v>
                </c:pt>
                <c:pt idx="477">
                  <c:v>39356</c:v>
                </c:pt>
                <c:pt idx="478">
                  <c:v>39387</c:v>
                </c:pt>
                <c:pt idx="479">
                  <c:v>39417</c:v>
                </c:pt>
                <c:pt idx="480">
                  <c:v>39448</c:v>
                </c:pt>
                <c:pt idx="481">
                  <c:v>39479</c:v>
                </c:pt>
                <c:pt idx="482">
                  <c:v>39508</c:v>
                </c:pt>
                <c:pt idx="483">
                  <c:v>39539</c:v>
                </c:pt>
                <c:pt idx="484">
                  <c:v>39569</c:v>
                </c:pt>
                <c:pt idx="485">
                  <c:v>39600</c:v>
                </c:pt>
                <c:pt idx="486">
                  <c:v>39630</c:v>
                </c:pt>
                <c:pt idx="487">
                  <c:v>39661</c:v>
                </c:pt>
                <c:pt idx="488">
                  <c:v>39692</c:v>
                </c:pt>
                <c:pt idx="489">
                  <c:v>39722</c:v>
                </c:pt>
                <c:pt idx="490">
                  <c:v>39753</c:v>
                </c:pt>
                <c:pt idx="491">
                  <c:v>39783</c:v>
                </c:pt>
                <c:pt idx="492">
                  <c:v>39814</c:v>
                </c:pt>
                <c:pt idx="493">
                  <c:v>39845</c:v>
                </c:pt>
                <c:pt idx="494">
                  <c:v>39873</c:v>
                </c:pt>
                <c:pt idx="495">
                  <c:v>39904</c:v>
                </c:pt>
                <c:pt idx="496">
                  <c:v>39934</c:v>
                </c:pt>
                <c:pt idx="497">
                  <c:v>39965</c:v>
                </c:pt>
                <c:pt idx="498">
                  <c:v>39995</c:v>
                </c:pt>
                <c:pt idx="499">
                  <c:v>40026</c:v>
                </c:pt>
                <c:pt idx="500">
                  <c:v>40057</c:v>
                </c:pt>
                <c:pt idx="501">
                  <c:v>40087</c:v>
                </c:pt>
                <c:pt idx="502">
                  <c:v>40118</c:v>
                </c:pt>
                <c:pt idx="503">
                  <c:v>40148</c:v>
                </c:pt>
                <c:pt idx="504">
                  <c:v>40179</c:v>
                </c:pt>
                <c:pt idx="505">
                  <c:v>40210</c:v>
                </c:pt>
                <c:pt idx="506">
                  <c:v>40238</c:v>
                </c:pt>
                <c:pt idx="507">
                  <c:v>40269</c:v>
                </c:pt>
                <c:pt idx="508">
                  <c:v>40299</c:v>
                </c:pt>
                <c:pt idx="509">
                  <c:v>40330</c:v>
                </c:pt>
                <c:pt idx="510">
                  <c:v>40360</c:v>
                </c:pt>
                <c:pt idx="511">
                  <c:v>40391</c:v>
                </c:pt>
                <c:pt idx="512">
                  <c:v>40422</c:v>
                </c:pt>
                <c:pt idx="513">
                  <c:v>40452</c:v>
                </c:pt>
                <c:pt idx="514">
                  <c:v>40483</c:v>
                </c:pt>
                <c:pt idx="515">
                  <c:v>40513</c:v>
                </c:pt>
                <c:pt idx="516">
                  <c:v>40544</c:v>
                </c:pt>
                <c:pt idx="517">
                  <c:v>40575</c:v>
                </c:pt>
                <c:pt idx="518">
                  <c:v>40603</c:v>
                </c:pt>
                <c:pt idx="519">
                  <c:v>40634</c:v>
                </c:pt>
                <c:pt idx="520">
                  <c:v>40664</c:v>
                </c:pt>
                <c:pt idx="521">
                  <c:v>40695</c:v>
                </c:pt>
                <c:pt idx="522">
                  <c:v>40725</c:v>
                </c:pt>
                <c:pt idx="523">
                  <c:v>40756</c:v>
                </c:pt>
                <c:pt idx="524">
                  <c:v>40787</c:v>
                </c:pt>
                <c:pt idx="525">
                  <c:v>40817</c:v>
                </c:pt>
                <c:pt idx="526">
                  <c:v>40848</c:v>
                </c:pt>
                <c:pt idx="527">
                  <c:v>40878</c:v>
                </c:pt>
                <c:pt idx="528">
                  <c:v>40909</c:v>
                </c:pt>
                <c:pt idx="529">
                  <c:v>40940</c:v>
                </c:pt>
                <c:pt idx="530">
                  <c:v>40969</c:v>
                </c:pt>
                <c:pt idx="531">
                  <c:v>41000</c:v>
                </c:pt>
                <c:pt idx="532">
                  <c:v>41030</c:v>
                </c:pt>
                <c:pt idx="533">
                  <c:v>41061</c:v>
                </c:pt>
                <c:pt idx="534">
                  <c:v>41091</c:v>
                </c:pt>
                <c:pt idx="535">
                  <c:v>41122</c:v>
                </c:pt>
                <c:pt idx="536">
                  <c:v>41153</c:v>
                </c:pt>
                <c:pt idx="537">
                  <c:v>41183</c:v>
                </c:pt>
                <c:pt idx="538">
                  <c:v>41214</c:v>
                </c:pt>
                <c:pt idx="539">
                  <c:v>41244</c:v>
                </c:pt>
                <c:pt idx="540">
                  <c:v>41275</c:v>
                </c:pt>
                <c:pt idx="541">
                  <c:v>41306</c:v>
                </c:pt>
                <c:pt idx="542">
                  <c:v>41334</c:v>
                </c:pt>
                <c:pt idx="543">
                  <c:v>41365</c:v>
                </c:pt>
                <c:pt idx="544">
                  <c:v>41395</c:v>
                </c:pt>
                <c:pt idx="545">
                  <c:v>41426</c:v>
                </c:pt>
                <c:pt idx="546">
                  <c:v>41456</c:v>
                </c:pt>
                <c:pt idx="547">
                  <c:v>41487</c:v>
                </c:pt>
                <c:pt idx="548">
                  <c:v>41518</c:v>
                </c:pt>
                <c:pt idx="549">
                  <c:v>41548</c:v>
                </c:pt>
                <c:pt idx="550">
                  <c:v>41579</c:v>
                </c:pt>
                <c:pt idx="551">
                  <c:v>41609</c:v>
                </c:pt>
                <c:pt idx="552">
                  <c:v>41640</c:v>
                </c:pt>
                <c:pt idx="553">
                  <c:v>41671</c:v>
                </c:pt>
                <c:pt idx="554">
                  <c:v>41699</c:v>
                </c:pt>
                <c:pt idx="555">
                  <c:v>41730</c:v>
                </c:pt>
                <c:pt idx="556">
                  <c:v>41760</c:v>
                </c:pt>
                <c:pt idx="557">
                  <c:v>41791</c:v>
                </c:pt>
                <c:pt idx="558">
                  <c:v>41821</c:v>
                </c:pt>
                <c:pt idx="559">
                  <c:v>41852</c:v>
                </c:pt>
                <c:pt idx="560">
                  <c:v>41883</c:v>
                </c:pt>
                <c:pt idx="561">
                  <c:v>41913</c:v>
                </c:pt>
                <c:pt idx="562">
                  <c:v>41944</c:v>
                </c:pt>
                <c:pt idx="563">
                  <c:v>41974</c:v>
                </c:pt>
                <c:pt idx="564">
                  <c:v>42005</c:v>
                </c:pt>
                <c:pt idx="565">
                  <c:v>42036</c:v>
                </c:pt>
                <c:pt idx="566">
                  <c:v>42064</c:v>
                </c:pt>
                <c:pt idx="567">
                  <c:v>42095</c:v>
                </c:pt>
                <c:pt idx="568">
                  <c:v>42125</c:v>
                </c:pt>
                <c:pt idx="569">
                  <c:v>42156</c:v>
                </c:pt>
                <c:pt idx="570">
                  <c:v>42186</c:v>
                </c:pt>
                <c:pt idx="571">
                  <c:v>42217</c:v>
                </c:pt>
                <c:pt idx="572">
                  <c:v>42248</c:v>
                </c:pt>
                <c:pt idx="573">
                  <c:v>42278</c:v>
                </c:pt>
                <c:pt idx="574">
                  <c:v>42309</c:v>
                </c:pt>
                <c:pt idx="575">
                  <c:v>42339</c:v>
                </c:pt>
                <c:pt idx="576">
                  <c:v>42370</c:v>
                </c:pt>
                <c:pt idx="577">
                  <c:v>42401</c:v>
                </c:pt>
                <c:pt idx="578">
                  <c:v>42430</c:v>
                </c:pt>
                <c:pt idx="579">
                  <c:v>42461</c:v>
                </c:pt>
                <c:pt idx="580">
                  <c:v>42491</c:v>
                </c:pt>
                <c:pt idx="581">
                  <c:v>42522</c:v>
                </c:pt>
                <c:pt idx="582">
                  <c:v>42552</c:v>
                </c:pt>
                <c:pt idx="583">
                  <c:v>42583</c:v>
                </c:pt>
                <c:pt idx="584">
                  <c:v>42614</c:v>
                </c:pt>
                <c:pt idx="585">
                  <c:v>42644</c:v>
                </c:pt>
                <c:pt idx="586">
                  <c:v>42675</c:v>
                </c:pt>
                <c:pt idx="587">
                  <c:v>42705</c:v>
                </c:pt>
                <c:pt idx="588">
                  <c:v>42736</c:v>
                </c:pt>
                <c:pt idx="589">
                  <c:v>42767</c:v>
                </c:pt>
                <c:pt idx="590">
                  <c:v>42795</c:v>
                </c:pt>
                <c:pt idx="591">
                  <c:v>42826</c:v>
                </c:pt>
                <c:pt idx="592">
                  <c:v>42856</c:v>
                </c:pt>
                <c:pt idx="593">
                  <c:v>42887</c:v>
                </c:pt>
                <c:pt idx="594">
                  <c:v>42917</c:v>
                </c:pt>
                <c:pt idx="595">
                  <c:v>42948</c:v>
                </c:pt>
                <c:pt idx="596">
                  <c:v>42979</c:v>
                </c:pt>
                <c:pt idx="597">
                  <c:v>43009</c:v>
                </c:pt>
                <c:pt idx="598">
                  <c:v>43040</c:v>
                </c:pt>
                <c:pt idx="599">
                  <c:v>43070</c:v>
                </c:pt>
                <c:pt idx="600">
                  <c:v>43101</c:v>
                </c:pt>
                <c:pt idx="601">
                  <c:v>43132</c:v>
                </c:pt>
                <c:pt idx="602">
                  <c:v>43160</c:v>
                </c:pt>
                <c:pt idx="603">
                  <c:v>43191</c:v>
                </c:pt>
                <c:pt idx="604">
                  <c:v>43221</c:v>
                </c:pt>
                <c:pt idx="605">
                  <c:v>43252</c:v>
                </c:pt>
                <c:pt idx="606">
                  <c:v>43282</c:v>
                </c:pt>
                <c:pt idx="607">
                  <c:v>43313</c:v>
                </c:pt>
                <c:pt idx="608">
                  <c:v>43344</c:v>
                </c:pt>
                <c:pt idx="609">
                  <c:v>43374</c:v>
                </c:pt>
                <c:pt idx="610">
                  <c:v>43405</c:v>
                </c:pt>
                <c:pt idx="611">
                  <c:v>43435</c:v>
                </c:pt>
                <c:pt idx="612">
                  <c:v>43466</c:v>
                </c:pt>
                <c:pt idx="613">
                  <c:v>43497</c:v>
                </c:pt>
                <c:pt idx="614">
                  <c:v>43525</c:v>
                </c:pt>
                <c:pt idx="615">
                  <c:v>43556</c:v>
                </c:pt>
                <c:pt idx="616">
                  <c:v>43586</c:v>
                </c:pt>
                <c:pt idx="617">
                  <c:v>43617</c:v>
                </c:pt>
                <c:pt idx="618">
                  <c:v>43647</c:v>
                </c:pt>
                <c:pt idx="619">
                  <c:v>43678</c:v>
                </c:pt>
                <c:pt idx="620">
                  <c:v>43709</c:v>
                </c:pt>
                <c:pt idx="621">
                  <c:v>43739</c:v>
                </c:pt>
                <c:pt idx="622">
                  <c:v>43770</c:v>
                </c:pt>
                <c:pt idx="623">
                  <c:v>43800</c:v>
                </c:pt>
                <c:pt idx="624">
                  <c:v>43831</c:v>
                </c:pt>
                <c:pt idx="625">
                  <c:v>43862</c:v>
                </c:pt>
                <c:pt idx="626">
                  <c:v>43891</c:v>
                </c:pt>
                <c:pt idx="627">
                  <c:v>43922</c:v>
                </c:pt>
                <c:pt idx="628">
                  <c:v>43952</c:v>
                </c:pt>
                <c:pt idx="629">
                  <c:v>43983</c:v>
                </c:pt>
                <c:pt idx="630">
                  <c:v>44013</c:v>
                </c:pt>
                <c:pt idx="631">
                  <c:v>44044</c:v>
                </c:pt>
                <c:pt idx="632">
                  <c:v>44075</c:v>
                </c:pt>
                <c:pt idx="633">
                  <c:v>44105</c:v>
                </c:pt>
                <c:pt idx="634">
                  <c:v>44136</c:v>
                </c:pt>
                <c:pt idx="635">
                  <c:v>44166</c:v>
                </c:pt>
                <c:pt idx="636">
                  <c:v>44197</c:v>
                </c:pt>
                <c:pt idx="637">
                  <c:v>44228</c:v>
                </c:pt>
                <c:pt idx="638">
                  <c:v>44256</c:v>
                </c:pt>
                <c:pt idx="639">
                  <c:v>44287</c:v>
                </c:pt>
                <c:pt idx="640">
                  <c:v>44317</c:v>
                </c:pt>
                <c:pt idx="641">
                  <c:v>44348</c:v>
                </c:pt>
                <c:pt idx="642">
                  <c:v>44378</c:v>
                </c:pt>
                <c:pt idx="643">
                  <c:v>44409</c:v>
                </c:pt>
                <c:pt idx="644">
                  <c:v>44440</c:v>
                </c:pt>
                <c:pt idx="645">
                  <c:v>44470</c:v>
                </c:pt>
                <c:pt idx="646">
                  <c:v>44501</c:v>
                </c:pt>
                <c:pt idx="647">
                  <c:v>44531</c:v>
                </c:pt>
              </c:numCache>
            </c:numRef>
          </c:cat>
          <c:val>
            <c:numRef>
              <c:f>'CPI Energy'!$D$17:$D$902</c:f>
              <c:numCache>
                <c:formatCode>0.00%</c:formatCode>
                <c:ptCount val="886"/>
                <c:pt idx="0">
                  <c:v>1.6949152542372819E-2</c:v>
                </c:pt>
                <c:pt idx="1">
                  <c:v>1.6877637130801777E-2</c:v>
                </c:pt>
                <c:pt idx="2">
                  <c:v>2.1186440677966101E-2</c:v>
                </c:pt>
                <c:pt idx="3">
                  <c:v>4.1841004184101013E-3</c:v>
                </c:pt>
                <c:pt idx="4">
                  <c:v>8.3682008368202027E-3</c:v>
                </c:pt>
                <c:pt idx="5">
                  <c:v>1.6806722689075571E-2</c:v>
                </c:pt>
                <c:pt idx="6">
                  <c:v>1.6806722689075571E-2</c:v>
                </c:pt>
                <c:pt idx="7">
                  <c:v>1.6736401673640256E-2</c:v>
                </c:pt>
                <c:pt idx="8">
                  <c:v>1.250000000000003E-2</c:v>
                </c:pt>
                <c:pt idx="9">
                  <c:v>1.6736401673640256E-2</c:v>
                </c:pt>
                <c:pt idx="10">
                  <c:v>1.6666666666666607E-2</c:v>
                </c:pt>
                <c:pt idx="11">
                  <c:v>1.6736401673640256E-2</c:v>
                </c:pt>
                <c:pt idx="12">
                  <c:v>1.6666666666666607E-2</c:v>
                </c:pt>
                <c:pt idx="13">
                  <c:v>1.2448132780082869E-2</c:v>
                </c:pt>
                <c:pt idx="14">
                  <c:v>2.4896265560165887E-2</c:v>
                </c:pt>
                <c:pt idx="15">
                  <c:v>3.7499999999999943E-2</c:v>
                </c:pt>
                <c:pt idx="16">
                  <c:v>2.9045643153526941E-2</c:v>
                </c:pt>
                <c:pt idx="17">
                  <c:v>3.305785123966945E-2</c:v>
                </c:pt>
                <c:pt idx="18">
                  <c:v>2.8925619834710717E-2</c:v>
                </c:pt>
                <c:pt idx="19">
                  <c:v>2.469135802469127E-2</c:v>
                </c:pt>
                <c:pt idx="20">
                  <c:v>2.8806584362139887E-2</c:v>
                </c:pt>
                <c:pt idx="21">
                  <c:v>2.8806584362139887E-2</c:v>
                </c:pt>
                <c:pt idx="22">
                  <c:v>2.4590163934426288E-2</c:v>
                </c:pt>
                <c:pt idx="23">
                  <c:v>3.2921810699588508E-2</c:v>
                </c:pt>
                <c:pt idx="24">
                  <c:v>2.8688524590164053E-2</c:v>
                </c:pt>
                <c:pt idx="25">
                  <c:v>2.8688524590164053E-2</c:v>
                </c:pt>
                <c:pt idx="26">
                  <c:v>1.2145748987854281E-2</c:v>
                </c:pt>
                <c:pt idx="27">
                  <c:v>2.4096385542168731E-2</c:v>
                </c:pt>
                <c:pt idx="28">
                  <c:v>2.4193548387096687E-2</c:v>
                </c:pt>
                <c:pt idx="29">
                  <c:v>1.2000000000000028E-2</c:v>
                </c:pt>
                <c:pt idx="30">
                  <c:v>2.4096385542168731E-2</c:v>
                </c:pt>
                <c:pt idx="31">
                  <c:v>2.0080321285140562E-2</c:v>
                </c:pt>
                <c:pt idx="32">
                  <c:v>2.4000000000000056E-2</c:v>
                </c:pt>
                <c:pt idx="33">
                  <c:v>3.5999999999999942E-2</c:v>
                </c:pt>
                <c:pt idx="34">
                  <c:v>0.04</c:v>
                </c:pt>
                <c:pt idx="35">
                  <c:v>4.3824701195219036E-2</c:v>
                </c:pt>
                <c:pt idx="36">
                  <c:v>4.7808764940239015E-2</c:v>
                </c:pt>
                <c:pt idx="37">
                  <c:v>4.3824701195219036E-2</c:v>
                </c:pt>
                <c:pt idx="38">
                  <c:v>4.7999999999999973E-2</c:v>
                </c:pt>
                <c:pt idx="39">
                  <c:v>2.3529411764705938E-2</c:v>
                </c:pt>
                <c:pt idx="40">
                  <c:v>3.1496062992126012E-2</c:v>
                </c:pt>
                <c:pt idx="41">
                  <c:v>3.9525691699604744E-2</c:v>
                </c:pt>
                <c:pt idx="42">
                  <c:v>3.137254901960787E-2</c:v>
                </c:pt>
                <c:pt idx="43">
                  <c:v>5.5118110236220562E-2</c:v>
                </c:pt>
                <c:pt idx="44">
                  <c:v>5.0781249999999889E-2</c:v>
                </c:pt>
                <c:pt idx="45">
                  <c:v>4.2471042471042525E-2</c:v>
                </c:pt>
                <c:pt idx="46">
                  <c:v>3.4615384615384562E-2</c:v>
                </c:pt>
                <c:pt idx="47">
                  <c:v>3.0534351145038195E-2</c:v>
                </c:pt>
                <c:pt idx="48">
                  <c:v>2.661596958174902E-2</c:v>
                </c:pt>
                <c:pt idx="49">
                  <c:v>2.2900763358778681E-2</c:v>
                </c:pt>
                <c:pt idx="50">
                  <c:v>2.6717557251908372E-2</c:v>
                </c:pt>
                <c:pt idx="51">
                  <c:v>3.0651340996168473E-2</c:v>
                </c:pt>
                <c:pt idx="52">
                  <c:v>3.0534351145038195E-2</c:v>
                </c:pt>
                <c:pt idx="53">
                  <c:v>2.661596958174902E-2</c:v>
                </c:pt>
                <c:pt idx="54">
                  <c:v>3.041825095057037E-2</c:v>
                </c:pt>
                <c:pt idx="55">
                  <c:v>1.8656716417910446E-2</c:v>
                </c:pt>
                <c:pt idx="56">
                  <c:v>2.6022304832713863E-2</c:v>
                </c:pt>
                <c:pt idx="57">
                  <c:v>2.5925925925925901E-2</c:v>
                </c:pt>
                <c:pt idx="58">
                  <c:v>3.717472118959108E-2</c:v>
                </c:pt>
                <c:pt idx="59">
                  <c:v>2.9629629629629655E-2</c:v>
                </c:pt>
                <c:pt idx="60">
                  <c:v>3.3333333333333277E-2</c:v>
                </c:pt>
                <c:pt idx="61">
                  <c:v>5.2238805970149196E-2</c:v>
                </c:pt>
                <c:pt idx="62">
                  <c:v>5.2044609665427594E-2</c:v>
                </c:pt>
                <c:pt idx="63">
                  <c:v>6.3197026022304939E-2</c:v>
                </c:pt>
                <c:pt idx="64">
                  <c:v>6.6666666666666693E-2</c:v>
                </c:pt>
                <c:pt idx="65">
                  <c:v>8.148148148148146E-2</c:v>
                </c:pt>
                <c:pt idx="66">
                  <c:v>7.7490774907748999E-2</c:v>
                </c:pt>
                <c:pt idx="67">
                  <c:v>7.6923076923076844E-2</c:v>
                </c:pt>
                <c:pt idx="68">
                  <c:v>6.5217391304347713E-2</c:v>
                </c:pt>
                <c:pt idx="69">
                  <c:v>9.3862815884476591E-2</c:v>
                </c:pt>
                <c:pt idx="70">
                  <c:v>0.12903225806451618</c:v>
                </c:pt>
                <c:pt idx="71">
                  <c:v>0.16906474820143882</c:v>
                </c:pt>
                <c:pt idx="72">
                  <c:v>0.22222222222222235</c:v>
                </c:pt>
                <c:pt idx="73">
                  <c:v>0.25531914893617019</c:v>
                </c:pt>
                <c:pt idx="74">
                  <c:v>0.30388692579505294</c:v>
                </c:pt>
                <c:pt idx="75">
                  <c:v>0.31468531468531469</c:v>
                </c:pt>
                <c:pt idx="76">
                  <c:v>0.32986111111111099</c:v>
                </c:pt>
                <c:pt idx="77">
                  <c:v>0.32191780821917815</c:v>
                </c:pt>
                <c:pt idx="78">
                  <c:v>0.3321917808219178</c:v>
                </c:pt>
                <c:pt idx="79">
                  <c:v>0.33333333333333348</c:v>
                </c:pt>
                <c:pt idx="80">
                  <c:v>0.33673469387755101</c:v>
                </c:pt>
                <c:pt idx="81">
                  <c:v>0.29372937293729379</c:v>
                </c:pt>
                <c:pt idx="82">
                  <c:v>0.25079365079365074</c:v>
                </c:pt>
                <c:pt idx="83">
                  <c:v>0.21846153846153851</c:v>
                </c:pt>
                <c:pt idx="84">
                  <c:v>0.17302052785923749</c:v>
                </c:pt>
                <c:pt idx="85">
                  <c:v>0.13841807909604517</c:v>
                </c:pt>
                <c:pt idx="86">
                  <c:v>0.10027100271002719</c:v>
                </c:pt>
                <c:pt idx="87">
                  <c:v>9.0425531914893581E-2</c:v>
                </c:pt>
                <c:pt idx="88">
                  <c:v>7.8328981723237601E-2</c:v>
                </c:pt>
                <c:pt idx="89">
                  <c:v>8.031088082901558E-2</c:v>
                </c:pt>
                <c:pt idx="90">
                  <c:v>9.2544987146529603E-2</c:v>
                </c:pt>
                <c:pt idx="91">
                  <c:v>9.1836734693877403E-2</c:v>
                </c:pt>
                <c:pt idx="92">
                  <c:v>9.9236641221374197E-2</c:v>
                </c:pt>
                <c:pt idx="93">
                  <c:v>0.10969387755102032</c:v>
                </c:pt>
                <c:pt idx="94">
                  <c:v>0.11421319796954316</c:v>
                </c:pt>
                <c:pt idx="95">
                  <c:v>0.11363636363636363</c:v>
                </c:pt>
                <c:pt idx="96">
                  <c:v>0.1125</c:v>
                </c:pt>
                <c:pt idx="97">
                  <c:v>0.10173697270471468</c:v>
                </c:pt>
                <c:pt idx="98">
                  <c:v>8.620689655172413E-2</c:v>
                </c:pt>
                <c:pt idx="99">
                  <c:v>7.0731707317073136E-2</c:v>
                </c:pt>
                <c:pt idx="100">
                  <c:v>6.7796610169491636E-2</c:v>
                </c:pt>
                <c:pt idx="101">
                  <c:v>6.474820143884881E-2</c:v>
                </c:pt>
                <c:pt idx="102">
                  <c:v>5.4117647058823465E-2</c:v>
                </c:pt>
                <c:pt idx="103">
                  <c:v>5.6074766355140325E-2</c:v>
                </c:pt>
                <c:pt idx="104">
                  <c:v>5.7870370370370364E-2</c:v>
                </c:pt>
                <c:pt idx="105">
                  <c:v>5.9770114942528769E-2</c:v>
                </c:pt>
                <c:pt idx="106">
                  <c:v>6.6059225512528449E-2</c:v>
                </c:pt>
                <c:pt idx="107">
                  <c:v>7.709750566893421E-2</c:v>
                </c:pt>
                <c:pt idx="108">
                  <c:v>8.0898876404494419E-2</c:v>
                </c:pt>
                <c:pt idx="109">
                  <c:v>8.3333333333333398E-2</c:v>
                </c:pt>
                <c:pt idx="110">
                  <c:v>9.75056689342403E-2</c:v>
                </c:pt>
                <c:pt idx="111">
                  <c:v>0.10706150341685657</c:v>
                </c:pt>
                <c:pt idx="112">
                  <c:v>0.10884353741496591</c:v>
                </c:pt>
                <c:pt idx="113">
                  <c:v>0.10135135135135136</c:v>
                </c:pt>
                <c:pt idx="114">
                  <c:v>9.598214285714296E-2</c:v>
                </c:pt>
                <c:pt idx="115">
                  <c:v>9.5132743362831784E-2</c:v>
                </c:pt>
                <c:pt idx="116">
                  <c:v>8.9715536105032689E-2</c:v>
                </c:pt>
                <c:pt idx="117">
                  <c:v>9.544468546637741E-2</c:v>
                </c:pt>
                <c:pt idx="118">
                  <c:v>9.6153846153846159E-2</c:v>
                </c:pt>
                <c:pt idx="119">
                  <c:v>8.6315789473684235E-2</c:v>
                </c:pt>
                <c:pt idx="120">
                  <c:v>6.2370062370062367E-2</c:v>
                </c:pt>
                <c:pt idx="121">
                  <c:v>5.1975051975051971E-2</c:v>
                </c:pt>
                <c:pt idx="122">
                  <c:v>5.3719008264462839E-2</c:v>
                </c:pt>
                <c:pt idx="123">
                  <c:v>5.7613168724279774E-2</c:v>
                </c:pt>
                <c:pt idx="124">
                  <c:v>5.7259713701431583E-2</c:v>
                </c:pt>
                <c:pt idx="125">
                  <c:v>6.1349693251533742E-2</c:v>
                </c:pt>
                <c:pt idx="126">
                  <c:v>6.1099796334012219E-2</c:v>
                </c:pt>
                <c:pt idx="127">
                  <c:v>6.2626262626262655E-2</c:v>
                </c:pt>
                <c:pt idx="128">
                  <c:v>6.8273092369478025E-2</c:v>
                </c:pt>
                <c:pt idx="129">
                  <c:v>7.1287128712871309E-2</c:v>
                </c:pt>
                <c:pt idx="130">
                  <c:v>7.0175438596491266E-2</c:v>
                </c:pt>
                <c:pt idx="131">
                  <c:v>8.3333333333333273E-2</c:v>
                </c:pt>
                <c:pt idx="132">
                  <c:v>9.1976516634050792E-2</c:v>
                </c:pt>
                <c:pt idx="133">
                  <c:v>0.10474308300395251</c:v>
                </c:pt>
                <c:pt idx="134">
                  <c:v>0.12549019607843134</c:v>
                </c:pt>
                <c:pt idx="135">
                  <c:v>0.15758754863813232</c:v>
                </c:pt>
                <c:pt idx="136">
                  <c:v>0.19922630560928425</c:v>
                </c:pt>
                <c:pt idx="137">
                  <c:v>0.24662813102119469</c:v>
                </c:pt>
                <c:pt idx="138">
                  <c:v>0.29174664107485598</c:v>
                </c:pt>
                <c:pt idx="139">
                  <c:v>0.32509505703422054</c:v>
                </c:pt>
                <c:pt idx="140">
                  <c:v>0.35150375939849626</c:v>
                </c:pt>
                <c:pt idx="141">
                  <c:v>0.35859519408502771</c:v>
                </c:pt>
                <c:pt idx="142">
                  <c:v>0.36247723132969034</c:v>
                </c:pt>
                <c:pt idx="143">
                  <c:v>0.37388193202146691</c:v>
                </c:pt>
                <c:pt idx="144">
                  <c:v>0.41756272401433686</c:v>
                </c:pt>
                <c:pt idx="145">
                  <c:v>0.4651162790697676</c:v>
                </c:pt>
                <c:pt idx="146">
                  <c:v>0.47212543554006975</c:v>
                </c:pt>
                <c:pt idx="147">
                  <c:v>0.43529411764705894</c:v>
                </c:pt>
                <c:pt idx="148">
                  <c:v>0.39354838709677431</c:v>
                </c:pt>
                <c:pt idx="149">
                  <c:v>0.33693972179289022</c:v>
                </c:pt>
                <c:pt idx="150">
                  <c:v>0.28826151560178315</c:v>
                </c:pt>
                <c:pt idx="151">
                  <c:v>0.25107604017216639</c:v>
                </c:pt>
                <c:pt idx="152">
                  <c:v>0.21696801112656458</c:v>
                </c:pt>
                <c:pt idx="153">
                  <c:v>0.19727891156462585</c:v>
                </c:pt>
                <c:pt idx="154">
                  <c:v>0.18716577540106952</c:v>
                </c:pt>
                <c:pt idx="155">
                  <c:v>0.18098958333333343</c:v>
                </c:pt>
                <c:pt idx="156">
                  <c:v>0.16434892541087232</c:v>
                </c:pt>
                <c:pt idx="157">
                  <c:v>0.16239316239316234</c:v>
                </c:pt>
                <c:pt idx="158">
                  <c:v>0.1526627218934912</c:v>
                </c:pt>
                <c:pt idx="159">
                  <c:v>0.14285714285714271</c:v>
                </c:pt>
                <c:pt idx="160">
                  <c:v>0.13310185185185183</c:v>
                </c:pt>
                <c:pt idx="161">
                  <c:v>0.12485549132947973</c:v>
                </c:pt>
                <c:pt idx="162">
                  <c:v>0.12226066897347167</c:v>
                </c:pt>
                <c:pt idx="163">
                  <c:v>0.12155963302752287</c:v>
                </c:pt>
                <c:pt idx="164">
                  <c:v>0.12685714285714278</c:v>
                </c:pt>
                <c:pt idx="165">
                  <c:v>0.12727272727272732</c:v>
                </c:pt>
                <c:pt idx="166">
                  <c:v>0.1317567567567568</c:v>
                </c:pt>
                <c:pt idx="167">
                  <c:v>0.11907386990077173</c:v>
                </c:pt>
                <c:pt idx="168">
                  <c:v>9.2290988056460369E-2</c:v>
                </c:pt>
                <c:pt idx="169">
                  <c:v>2.9411764705882321E-2</c:v>
                </c:pt>
                <c:pt idx="170">
                  <c:v>-8.2135523613964204E-3</c:v>
                </c:pt>
                <c:pt idx="171">
                  <c:v>-3.4836065573770406E-2</c:v>
                </c:pt>
                <c:pt idx="172">
                  <c:v>-2.2471910112359578E-2</c:v>
                </c:pt>
                <c:pt idx="173">
                  <c:v>1.1305241521068947E-2</c:v>
                </c:pt>
                <c:pt idx="174">
                  <c:v>2.0554984583761562E-2</c:v>
                </c:pt>
                <c:pt idx="175">
                  <c:v>2.0449897750511249E-2</c:v>
                </c:pt>
                <c:pt idx="176">
                  <c:v>1.7241379310344859E-2</c:v>
                </c:pt>
                <c:pt idx="177">
                  <c:v>2.5201612903225805E-2</c:v>
                </c:pt>
                <c:pt idx="178">
                  <c:v>1.9900497512437811E-2</c:v>
                </c:pt>
                <c:pt idx="179">
                  <c:v>1.2807881773398987E-2</c:v>
                </c:pt>
                <c:pt idx="180">
                  <c:v>-9.9403578528827041E-3</c:v>
                </c:pt>
                <c:pt idx="181">
                  <c:v>-3.0612244897958892E-3</c:v>
                </c:pt>
                <c:pt idx="182">
                  <c:v>2.0703933747412305E-3</c:v>
                </c:pt>
                <c:pt idx="183">
                  <c:v>4.9893842887473491E-2</c:v>
                </c:pt>
                <c:pt idx="184">
                  <c:v>4.9111807732497417E-2</c:v>
                </c:pt>
                <c:pt idx="185">
                  <c:v>2.2357723577235655E-2</c:v>
                </c:pt>
                <c:pt idx="186">
                  <c:v>1.6112789526686894E-2</c:v>
                </c:pt>
                <c:pt idx="187">
                  <c:v>1.4028056112224506E-2</c:v>
                </c:pt>
                <c:pt idx="188">
                  <c:v>6.9790628115653326E-3</c:v>
                </c:pt>
                <c:pt idx="189">
                  <c:v>-8.8495575221239492E-3</c:v>
                </c:pt>
                <c:pt idx="190">
                  <c:v>-1.9512195121951219E-2</c:v>
                </c:pt>
                <c:pt idx="191">
                  <c:v>-2.7237354085603085E-2</c:v>
                </c:pt>
                <c:pt idx="192">
                  <c:v>6.0240963855422549E-3</c:v>
                </c:pt>
                <c:pt idx="193">
                  <c:v>3.7871033776867992E-2</c:v>
                </c:pt>
                <c:pt idx="194">
                  <c:v>4.7520661157024885E-2</c:v>
                </c:pt>
                <c:pt idx="195">
                  <c:v>2.8311425682507552E-2</c:v>
                </c:pt>
                <c:pt idx="196">
                  <c:v>1.1952191235059646E-2</c:v>
                </c:pt>
                <c:pt idx="197">
                  <c:v>1.9880715705765692E-3</c:v>
                </c:pt>
                <c:pt idx="198">
                  <c:v>-3.9643211100099671E-3</c:v>
                </c:pt>
                <c:pt idx="199">
                  <c:v>-1.0869565217391389E-2</c:v>
                </c:pt>
                <c:pt idx="200">
                  <c:v>-3.9603960396040168E-3</c:v>
                </c:pt>
                <c:pt idx="201">
                  <c:v>2.9761904761904483E-3</c:v>
                </c:pt>
                <c:pt idx="202">
                  <c:v>2.9850746268656435E-3</c:v>
                </c:pt>
                <c:pt idx="203">
                  <c:v>9.9999999999994321E-4</c:v>
                </c:pt>
                <c:pt idx="204">
                  <c:v>9.9800399201591138E-4</c:v>
                </c:pt>
                <c:pt idx="205">
                  <c:v>-1.0848126232741701E-2</c:v>
                </c:pt>
                <c:pt idx="206">
                  <c:v>-9.8619329388568554E-4</c:v>
                </c:pt>
                <c:pt idx="207">
                  <c:v>5.8997050147492061E-3</c:v>
                </c:pt>
                <c:pt idx="208">
                  <c:v>5.9055118110237061E-3</c:v>
                </c:pt>
                <c:pt idx="209">
                  <c:v>1.3888888888888945E-2</c:v>
                </c:pt>
                <c:pt idx="210">
                  <c:v>1.6915422885572167E-2</c:v>
                </c:pt>
                <c:pt idx="211">
                  <c:v>1.0989010989011075E-2</c:v>
                </c:pt>
                <c:pt idx="212">
                  <c:v>5.9642147117297071E-3</c:v>
                </c:pt>
                <c:pt idx="213">
                  <c:v>9.891196834817856E-4</c:v>
                </c:pt>
                <c:pt idx="214">
                  <c:v>9.9206349206349201E-3</c:v>
                </c:pt>
                <c:pt idx="215">
                  <c:v>2.2977022977023091E-2</c:v>
                </c:pt>
                <c:pt idx="216">
                  <c:v>2.29312063808574E-2</c:v>
                </c:pt>
                <c:pt idx="217">
                  <c:v>-7.9760717846460334E-3</c:v>
                </c:pt>
                <c:pt idx="218">
                  <c:v>-8.5883514313919079E-2</c:v>
                </c:pt>
                <c:pt idx="219">
                  <c:v>-0.14760508308895401</c:v>
                </c:pt>
                <c:pt idx="220">
                  <c:v>-0.14677103718199608</c:v>
                </c:pt>
                <c:pt idx="221">
                  <c:v>-0.13111545988258322</c:v>
                </c:pt>
                <c:pt idx="222">
                  <c:v>-0.16242661448140908</c:v>
                </c:pt>
                <c:pt idx="223">
                  <c:v>-0.17391304347826095</c:v>
                </c:pt>
                <c:pt idx="224">
                  <c:v>-0.16600790513833988</c:v>
                </c:pt>
                <c:pt idx="225">
                  <c:v>-0.18181818181818188</c:v>
                </c:pt>
                <c:pt idx="226">
                  <c:v>-0.19351669941060906</c:v>
                </c:pt>
                <c:pt idx="227">
                  <c:v>-0.19433593750000006</c:v>
                </c:pt>
                <c:pt idx="228">
                  <c:v>-0.16764132553606229</c:v>
                </c:pt>
                <c:pt idx="229">
                  <c:v>-0.12160804020100496</c:v>
                </c:pt>
                <c:pt idx="230">
                  <c:v>-5.399568034557236E-2</c:v>
                </c:pt>
                <c:pt idx="231">
                  <c:v>4.5871559633026545E-3</c:v>
                </c:pt>
                <c:pt idx="232">
                  <c:v>-1.1467889908257857E-3</c:v>
                </c:pt>
                <c:pt idx="233">
                  <c:v>-3.3783783783783465E-3</c:v>
                </c:pt>
                <c:pt idx="234">
                  <c:v>4.2056074766355242E-2</c:v>
                </c:pt>
                <c:pt idx="235">
                  <c:v>8.2535885167464185E-2</c:v>
                </c:pt>
                <c:pt idx="236">
                  <c:v>6.9905213270142069E-2</c:v>
                </c:pt>
                <c:pt idx="237">
                  <c:v>8.2125603864734262E-2</c:v>
                </c:pt>
                <c:pt idx="238">
                  <c:v>9.6224116930572548E-2</c:v>
                </c:pt>
                <c:pt idx="239">
                  <c:v>8.4848484848484854E-2</c:v>
                </c:pt>
                <c:pt idx="240">
                  <c:v>3.9812646370023318E-2</c:v>
                </c:pt>
                <c:pt idx="241">
                  <c:v>1.4874141876430172E-2</c:v>
                </c:pt>
                <c:pt idx="242">
                  <c:v>9.1324200913243305E-3</c:v>
                </c:pt>
                <c:pt idx="243">
                  <c:v>1.3698630136986335E-2</c:v>
                </c:pt>
                <c:pt idx="244">
                  <c:v>1.607347876004599E-2</c:v>
                </c:pt>
                <c:pt idx="245">
                  <c:v>4.5197740112994994E-3</c:v>
                </c:pt>
                <c:pt idx="246">
                  <c:v>2.2421524663677446E-3</c:v>
                </c:pt>
                <c:pt idx="247">
                  <c:v>-4.4198895027624937E-3</c:v>
                </c:pt>
                <c:pt idx="248">
                  <c:v>-5.5370985603543747E-3</c:v>
                </c:pt>
                <c:pt idx="249">
                  <c:v>2.2321428571428891E-3</c:v>
                </c:pt>
                <c:pt idx="250">
                  <c:v>-2.2222222222222539E-3</c:v>
                </c:pt>
                <c:pt idx="251">
                  <c:v>1.1173184357541265E-3</c:v>
                </c:pt>
                <c:pt idx="252">
                  <c:v>1.6891891891891893E-2</c:v>
                </c:pt>
                <c:pt idx="253">
                  <c:v>2.3675310033821808E-2</c:v>
                </c:pt>
                <c:pt idx="254">
                  <c:v>3.846153846153836E-2</c:v>
                </c:pt>
                <c:pt idx="255">
                  <c:v>8.7837837837837815E-2</c:v>
                </c:pt>
                <c:pt idx="256">
                  <c:v>0.10056497175141249</c:v>
                </c:pt>
                <c:pt idx="257">
                  <c:v>8.9988751406074236E-2</c:v>
                </c:pt>
                <c:pt idx="258">
                  <c:v>8.1655480984340001E-2</c:v>
                </c:pt>
                <c:pt idx="259">
                  <c:v>5.3274139844617222E-2</c:v>
                </c:pt>
                <c:pt idx="260">
                  <c:v>4.4543429844097995E-2</c:v>
                </c:pt>
                <c:pt idx="261">
                  <c:v>5.1224944320712791E-2</c:v>
                </c:pt>
                <c:pt idx="262">
                  <c:v>4.5657015590200543E-2</c:v>
                </c:pt>
                <c:pt idx="263">
                  <c:v>5.1339285714285809E-2</c:v>
                </c:pt>
                <c:pt idx="264">
                  <c:v>9.523809523809533E-2</c:v>
                </c:pt>
                <c:pt idx="265">
                  <c:v>8.1497797356828258E-2</c:v>
                </c:pt>
                <c:pt idx="266">
                  <c:v>6.3180827886710214E-2</c:v>
                </c:pt>
                <c:pt idx="267">
                  <c:v>9.3167701863354629E-3</c:v>
                </c:pt>
                <c:pt idx="268">
                  <c:v>-7.1868583162217944E-3</c:v>
                </c:pt>
                <c:pt idx="269">
                  <c:v>4.127966976264102E-3</c:v>
                </c:pt>
                <c:pt idx="270">
                  <c:v>4.1365046535676471E-3</c:v>
                </c:pt>
                <c:pt idx="271">
                  <c:v>7.0600632244467734E-2</c:v>
                </c:pt>
                <c:pt idx="272">
                  <c:v>0.1353944562899787</c:v>
                </c:pt>
                <c:pt idx="273">
                  <c:v>0.17372881355932193</c:v>
                </c:pt>
                <c:pt idx="274">
                  <c:v>0.18423855165069219</c:v>
                </c:pt>
                <c:pt idx="275">
                  <c:v>0.17834394904458595</c:v>
                </c:pt>
                <c:pt idx="276">
                  <c:v>9.7067745197168792E-2</c:v>
                </c:pt>
                <c:pt idx="277">
                  <c:v>6.4154786150712795E-2</c:v>
                </c:pt>
                <c:pt idx="278">
                  <c:v>4.4057377049180446E-2</c:v>
                </c:pt>
                <c:pt idx="279">
                  <c:v>3.7948717948717979E-2</c:v>
                </c:pt>
                <c:pt idx="280">
                  <c:v>5.5842812823164334E-2</c:v>
                </c:pt>
                <c:pt idx="281">
                  <c:v>3.9054470709146943E-2</c:v>
                </c:pt>
                <c:pt idx="282">
                  <c:v>3.7075180226570636E-2</c:v>
                </c:pt>
                <c:pt idx="283">
                  <c:v>-4.921259842519685E-3</c:v>
                </c:pt>
                <c:pt idx="284">
                  <c:v>-4.6948356807511735E-2</c:v>
                </c:pt>
                <c:pt idx="285">
                  <c:v>-8.303249097472927E-2</c:v>
                </c:pt>
                <c:pt idx="286">
                  <c:v>-7.913669064748198E-2</c:v>
                </c:pt>
                <c:pt idx="287">
                  <c:v>-7.1171171171171221E-2</c:v>
                </c:pt>
                <c:pt idx="288">
                  <c:v>-6.4516129032258063E-2</c:v>
                </c:pt>
                <c:pt idx="289">
                  <c:v>-3.1578947368421026E-2</c:v>
                </c:pt>
                <c:pt idx="290">
                  <c:v>-6.8694798822375152E-3</c:v>
                </c:pt>
                <c:pt idx="291">
                  <c:v>1.9762845849802652E-3</c:v>
                </c:pt>
                <c:pt idx="292">
                  <c:v>-9.7943192948084538E-4</c:v>
                </c:pt>
                <c:pt idx="293">
                  <c:v>2.1760633036597459E-2</c:v>
                </c:pt>
                <c:pt idx="294">
                  <c:v>2.9791459781529295E-2</c:v>
                </c:pt>
                <c:pt idx="295">
                  <c:v>2.3738872403560887E-2</c:v>
                </c:pt>
                <c:pt idx="296">
                  <c:v>2.0689655172413737E-2</c:v>
                </c:pt>
                <c:pt idx="297">
                  <c:v>2.6574803149606328E-2</c:v>
                </c:pt>
                <c:pt idx="298">
                  <c:v>2.6367187499999889E-2</c:v>
                </c:pt>
                <c:pt idx="299">
                  <c:v>2.1338506304558708E-2</c:v>
                </c:pt>
                <c:pt idx="300">
                  <c:v>3.4482758620689655E-2</c:v>
                </c:pt>
                <c:pt idx="301">
                  <c:v>3.063241106719362E-2</c:v>
                </c:pt>
                <c:pt idx="302">
                  <c:v>3.6561264822134412E-2</c:v>
                </c:pt>
                <c:pt idx="303">
                  <c:v>3.4516765285996051E-2</c:v>
                </c:pt>
                <c:pt idx="304">
                  <c:v>2.2549019607843109E-2</c:v>
                </c:pt>
                <c:pt idx="305">
                  <c:v>5.8083252662149906E-3</c:v>
                </c:pt>
                <c:pt idx="306">
                  <c:v>-2.8929604628736465E-3</c:v>
                </c:pt>
                <c:pt idx="307">
                  <c:v>-9.6618357487917217E-4</c:v>
                </c:pt>
                <c:pt idx="308">
                  <c:v>-5.7915057915057366E-3</c:v>
                </c:pt>
                <c:pt idx="309">
                  <c:v>9.5877277085330784E-3</c:v>
                </c:pt>
                <c:pt idx="310">
                  <c:v>-6.6603235014271039E-3</c:v>
                </c:pt>
                <c:pt idx="311">
                  <c:v>-1.5194681861348475E-2</c:v>
                </c:pt>
                <c:pt idx="312">
                  <c:v>-2.0952380952380979E-2</c:v>
                </c:pt>
                <c:pt idx="313">
                  <c:v>-1.9175455417066428E-3</c:v>
                </c:pt>
                <c:pt idx="314">
                  <c:v>-5.7197330791230556E-3</c:v>
                </c:pt>
                <c:pt idx="315">
                  <c:v>-1.1439466158245974E-2</c:v>
                </c:pt>
                <c:pt idx="316">
                  <c:v>-1.4381591562799617E-2</c:v>
                </c:pt>
                <c:pt idx="317">
                  <c:v>-7.6997112608278278E-3</c:v>
                </c:pt>
                <c:pt idx="318">
                  <c:v>1.063829787234037E-2</c:v>
                </c:pt>
                <c:pt idx="319">
                  <c:v>3.1914893617021246E-2</c:v>
                </c:pt>
                <c:pt idx="320">
                  <c:v>3.0097087378640721E-2</c:v>
                </c:pt>
                <c:pt idx="321">
                  <c:v>3.798670465337186E-3</c:v>
                </c:pt>
                <c:pt idx="322">
                  <c:v>1.628352490421445E-2</c:v>
                </c:pt>
                <c:pt idx="323">
                  <c:v>2.1215043394406968E-2</c:v>
                </c:pt>
                <c:pt idx="324">
                  <c:v>2.8210116731517566E-2</c:v>
                </c:pt>
                <c:pt idx="325">
                  <c:v>1.6330451488952957E-2</c:v>
                </c:pt>
                <c:pt idx="326">
                  <c:v>1.1505273250239721E-2</c:v>
                </c:pt>
                <c:pt idx="327">
                  <c:v>1.8322082931533187E-2</c:v>
                </c:pt>
                <c:pt idx="328">
                  <c:v>2.9182879377431907E-2</c:v>
                </c:pt>
                <c:pt idx="329">
                  <c:v>3.4917555771096107E-2</c:v>
                </c:pt>
                <c:pt idx="330">
                  <c:v>1.2440191387559781E-2</c:v>
                </c:pt>
                <c:pt idx="331">
                  <c:v>-1.0309278350515544E-2</c:v>
                </c:pt>
                <c:pt idx="332">
                  <c:v>-1.8850141376060323E-2</c:v>
                </c:pt>
                <c:pt idx="333">
                  <c:v>-1.2298959318826842E-2</c:v>
                </c:pt>
                <c:pt idx="334">
                  <c:v>-2.5447690857681327E-2</c:v>
                </c:pt>
                <c:pt idx="335">
                  <c:v>-1.4164305949008497E-2</c:v>
                </c:pt>
                <c:pt idx="336">
                  <c:v>1.1352885525070982E-2</c:v>
                </c:pt>
                <c:pt idx="337">
                  <c:v>1.2287334593572752E-2</c:v>
                </c:pt>
                <c:pt idx="338">
                  <c:v>2.6540284360189546E-2</c:v>
                </c:pt>
                <c:pt idx="339">
                  <c:v>5.3030303030303115E-2</c:v>
                </c:pt>
                <c:pt idx="340">
                  <c:v>5.860113421550097E-2</c:v>
                </c:pt>
                <c:pt idx="341">
                  <c:v>3.3739456419868738E-2</c:v>
                </c:pt>
                <c:pt idx="342">
                  <c:v>4.064272211720224E-2</c:v>
                </c:pt>
                <c:pt idx="343">
                  <c:v>3.8825757575757659E-2</c:v>
                </c:pt>
                <c:pt idx="344">
                  <c:v>5.4755043227665737E-2</c:v>
                </c:pt>
                <c:pt idx="345">
                  <c:v>5.8429118773946305E-2</c:v>
                </c:pt>
                <c:pt idx="346">
                  <c:v>8.1237911025144979E-2</c:v>
                </c:pt>
                <c:pt idx="347">
                  <c:v>9.099616858237547E-2</c:v>
                </c:pt>
                <c:pt idx="348">
                  <c:v>7.7642656688493891E-2</c:v>
                </c:pt>
                <c:pt idx="349">
                  <c:v>7.3762838468720879E-2</c:v>
                </c:pt>
                <c:pt idx="350">
                  <c:v>4.3397968605724868E-2</c:v>
                </c:pt>
                <c:pt idx="351">
                  <c:v>-1.7985611510791622E-3</c:v>
                </c:pt>
                <c:pt idx="352">
                  <c:v>-2.8571428571428598E-2</c:v>
                </c:pt>
                <c:pt idx="353">
                  <c:v>-2.719854941069784E-3</c:v>
                </c:pt>
                <c:pt idx="354">
                  <c:v>-9.0826521344232521E-3</c:v>
                </c:pt>
                <c:pt idx="355">
                  <c:v>1.0938924339106679E-2</c:v>
                </c:pt>
                <c:pt idx="356">
                  <c:v>2.367941712204015E-2</c:v>
                </c:pt>
                <c:pt idx="357">
                  <c:v>1.1764705882352915E-2</c:v>
                </c:pt>
                <c:pt idx="358">
                  <c:v>-3.5778175313058271E-3</c:v>
                </c:pt>
                <c:pt idx="359">
                  <c:v>-3.5996488147497875E-2</c:v>
                </c:pt>
                <c:pt idx="360">
                  <c:v>-6.6840277777777804E-2</c:v>
                </c:pt>
                <c:pt idx="361">
                  <c:v>-8.6086956521739186E-2</c:v>
                </c:pt>
                <c:pt idx="362">
                  <c:v>-8.584070796460179E-2</c:v>
                </c:pt>
                <c:pt idx="363">
                  <c:v>-7.7477477477477422E-2</c:v>
                </c:pt>
                <c:pt idx="364">
                  <c:v>-5.1470588235294067E-2</c:v>
                </c:pt>
                <c:pt idx="365">
                  <c:v>-5.818181818181823E-2</c:v>
                </c:pt>
                <c:pt idx="366">
                  <c:v>-5.3162236480293286E-2</c:v>
                </c:pt>
                <c:pt idx="367">
                  <c:v>-7.9350766456267E-2</c:v>
                </c:pt>
                <c:pt idx="368">
                  <c:v>-9.8754448398576583E-2</c:v>
                </c:pt>
                <c:pt idx="369">
                  <c:v>-9.2128801431126991E-2</c:v>
                </c:pt>
                <c:pt idx="370">
                  <c:v>-9.2459605026930083E-2</c:v>
                </c:pt>
                <c:pt idx="371">
                  <c:v>-8.8342440801457228E-2</c:v>
                </c:pt>
                <c:pt idx="372">
                  <c:v>-7.25581395348837E-2</c:v>
                </c:pt>
                <c:pt idx="373">
                  <c:v>-5.6137012369172137E-2</c:v>
                </c:pt>
                <c:pt idx="374">
                  <c:v>-2.807357212003864E-2</c:v>
                </c:pt>
                <c:pt idx="375">
                  <c:v>3.0273437499999944E-2</c:v>
                </c:pt>
                <c:pt idx="376">
                  <c:v>1.6472868217054289E-2</c:v>
                </c:pt>
                <c:pt idx="377">
                  <c:v>8.6872586872587428E-3</c:v>
                </c:pt>
                <c:pt idx="378">
                  <c:v>3.2913843175217866E-2</c:v>
                </c:pt>
                <c:pt idx="379">
                  <c:v>7.2477962781586733E-2</c:v>
                </c:pt>
                <c:pt idx="380">
                  <c:v>0.10365251727541955</c:v>
                </c:pt>
                <c:pt idx="381">
                  <c:v>0.10344827586206896</c:v>
                </c:pt>
                <c:pt idx="382">
                  <c:v>0.102868447082097</c:v>
                </c:pt>
                <c:pt idx="383">
                  <c:v>0.13686313686313689</c:v>
                </c:pt>
                <c:pt idx="384">
                  <c:v>0.15346038114343025</c:v>
                </c:pt>
                <c:pt idx="385">
                  <c:v>0.19758064516129026</c:v>
                </c:pt>
                <c:pt idx="386">
                  <c:v>0.23804780876494014</c:v>
                </c:pt>
                <c:pt idx="387">
                  <c:v>0.14597156398104272</c:v>
                </c:pt>
                <c:pt idx="388">
                  <c:v>0.14394661582459478</c:v>
                </c:pt>
                <c:pt idx="389">
                  <c:v>0.21339712918660284</c:v>
                </c:pt>
                <c:pt idx="390">
                  <c:v>0.19306466729147137</c:v>
                </c:pt>
                <c:pt idx="391">
                  <c:v>0.13059360730593605</c:v>
                </c:pt>
                <c:pt idx="392">
                  <c:v>0.15563506261180673</c:v>
                </c:pt>
                <c:pt idx="393">
                  <c:v>0.15714285714285708</c:v>
                </c:pt>
                <c:pt idx="394">
                  <c:v>0.15874439461883397</c:v>
                </c:pt>
                <c:pt idx="395">
                  <c:v>0.1432337434094903</c:v>
                </c:pt>
                <c:pt idx="396">
                  <c:v>0.17391304347826086</c:v>
                </c:pt>
                <c:pt idx="397">
                  <c:v>0.12878787878787876</c:v>
                </c:pt>
                <c:pt idx="398">
                  <c:v>5.9533386967015219E-2</c:v>
                </c:pt>
                <c:pt idx="399">
                  <c:v>9.4292803970223368E-2</c:v>
                </c:pt>
                <c:pt idx="400">
                  <c:v>0.15333333333333338</c:v>
                </c:pt>
                <c:pt idx="401">
                  <c:v>7.9652996845425941E-2</c:v>
                </c:pt>
                <c:pt idx="402">
                  <c:v>1.8067556952081676E-2</c:v>
                </c:pt>
                <c:pt idx="403">
                  <c:v>2.827140549273021E-2</c:v>
                </c:pt>
                <c:pt idx="404">
                  <c:v>1.3157894736842238E-2</c:v>
                </c:pt>
                <c:pt idx="405">
                  <c:v>-5.1697530864197448E-2</c:v>
                </c:pt>
                <c:pt idx="406">
                  <c:v>-9.5201238390092757E-2</c:v>
                </c:pt>
                <c:pt idx="407">
                  <c:v>-0.12451960030745572</c:v>
                </c:pt>
                <c:pt idx="408">
                  <c:v>-0.15407407407407406</c:v>
                </c:pt>
                <c:pt idx="409">
                  <c:v>-0.15361670395227439</c:v>
                </c:pt>
                <c:pt idx="410">
                  <c:v>-0.10706150341685645</c:v>
                </c:pt>
                <c:pt idx="411">
                  <c:v>-8.1632653061224567E-2</c:v>
                </c:pt>
                <c:pt idx="412">
                  <c:v>-0.11921965317919074</c:v>
                </c:pt>
                <c:pt idx="413">
                  <c:v>-0.11176040905770643</c:v>
                </c:pt>
                <c:pt idx="414">
                  <c:v>-5.5555555555555469E-2</c:v>
                </c:pt>
                <c:pt idx="415">
                  <c:v>-3.2992930086410077E-2</c:v>
                </c:pt>
                <c:pt idx="416">
                  <c:v>-5.5003819709702084E-2</c:v>
                </c:pt>
                <c:pt idx="417">
                  <c:v>3.254678600488202E-2</c:v>
                </c:pt>
                <c:pt idx="418">
                  <c:v>8.3832335329341284E-2</c:v>
                </c:pt>
                <c:pt idx="419">
                  <c:v>0.11589113257243185</c:v>
                </c:pt>
                <c:pt idx="420">
                  <c:v>0.16900175131348508</c:v>
                </c:pt>
                <c:pt idx="421">
                  <c:v>0.24052863436123359</c:v>
                </c:pt>
                <c:pt idx="422">
                  <c:v>0.22363945578231303</c:v>
                </c:pt>
                <c:pt idx="423">
                  <c:v>0.12345679012345678</c:v>
                </c:pt>
                <c:pt idx="424">
                  <c:v>6.1525840853158327E-2</c:v>
                </c:pt>
                <c:pt idx="425">
                  <c:v>6.743421052631593E-2</c:v>
                </c:pt>
                <c:pt idx="426">
                  <c:v>8.0065359477124037E-2</c:v>
                </c:pt>
                <c:pt idx="427">
                  <c:v>0.11941510966693759</c:v>
                </c:pt>
                <c:pt idx="428">
                  <c:v>0.15521422797089734</c:v>
                </c:pt>
                <c:pt idx="429">
                  <c:v>8.5894405043341254E-2</c:v>
                </c:pt>
                <c:pt idx="430">
                  <c:v>8.0505130228887153E-2</c:v>
                </c:pt>
                <c:pt idx="431">
                  <c:v>9.2053501180173233E-2</c:v>
                </c:pt>
                <c:pt idx="432">
                  <c:v>7.7902621722846482E-2</c:v>
                </c:pt>
                <c:pt idx="433">
                  <c:v>3.5511363636363633E-2</c:v>
                </c:pt>
                <c:pt idx="434">
                  <c:v>8.3391243919387677E-3</c:v>
                </c:pt>
                <c:pt idx="435">
                  <c:v>5.0549450549450592E-2</c:v>
                </c:pt>
                <c:pt idx="436">
                  <c:v>0.14064914992272015</c:v>
                </c:pt>
                <c:pt idx="437">
                  <c:v>0.16718027734976879</c:v>
                </c:pt>
                <c:pt idx="438">
                  <c:v>0.14296520423600612</c:v>
                </c:pt>
                <c:pt idx="439">
                  <c:v>9.9419448476052164E-2</c:v>
                </c:pt>
                <c:pt idx="440">
                  <c:v>6.997900629811056E-2</c:v>
                </c:pt>
                <c:pt idx="441">
                  <c:v>0.15094339622641495</c:v>
                </c:pt>
                <c:pt idx="442">
                  <c:v>0.19649379108838572</c:v>
                </c:pt>
                <c:pt idx="443">
                  <c:v>0.16930835734870314</c:v>
                </c:pt>
                <c:pt idx="444">
                  <c:v>9.2425295343988759E-2</c:v>
                </c:pt>
                <c:pt idx="445">
                  <c:v>0.10973936899862825</c:v>
                </c:pt>
                <c:pt idx="446">
                  <c:v>0.12680909717436256</c:v>
                </c:pt>
                <c:pt idx="447">
                  <c:v>0.16248256624825649</c:v>
                </c:pt>
                <c:pt idx="448">
                  <c:v>0.10636856368563698</c:v>
                </c:pt>
                <c:pt idx="449">
                  <c:v>8.0528052805280456E-2</c:v>
                </c:pt>
                <c:pt idx="450">
                  <c:v>0.14361350099272016</c:v>
                </c:pt>
                <c:pt idx="451">
                  <c:v>0.21122112211221122</c:v>
                </c:pt>
                <c:pt idx="452">
                  <c:v>0.36167429692609537</c:v>
                </c:pt>
                <c:pt idx="453">
                  <c:v>0.29823455233291307</c:v>
                </c:pt>
                <c:pt idx="454">
                  <c:v>0.16605616605616597</c:v>
                </c:pt>
                <c:pt idx="455">
                  <c:v>0.15588416512630918</c:v>
                </c:pt>
                <c:pt idx="456">
                  <c:v>0.25063613231552168</c:v>
                </c:pt>
                <c:pt idx="457">
                  <c:v>0.19962917181705797</c:v>
                </c:pt>
                <c:pt idx="458">
                  <c:v>0.1743119266055046</c:v>
                </c:pt>
                <c:pt idx="459">
                  <c:v>0.19076184763047399</c:v>
                </c:pt>
                <c:pt idx="460">
                  <c:v>0.22351500306184935</c:v>
                </c:pt>
                <c:pt idx="461">
                  <c:v>0.22052535125229092</c:v>
                </c:pt>
                <c:pt idx="462">
                  <c:v>0.20312499999999994</c:v>
                </c:pt>
                <c:pt idx="463">
                  <c:v>0.15476839237057224</c:v>
                </c:pt>
                <c:pt idx="464">
                  <c:v>-4.8511047070124852E-2</c:v>
                </c:pt>
                <c:pt idx="465">
                  <c:v>-0.10587663914521618</c:v>
                </c:pt>
                <c:pt idx="466">
                  <c:v>-3.6125654450261807E-2</c:v>
                </c:pt>
                <c:pt idx="467">
                  <c:v>2.7185501066098051E-2</c:v>
                </c:pt>
                <c:pt idx="468">
                  <c:v>-3.2141403865717136E-2</c:v>
                </c:pt>
                <c:pt idx="469">
                  <c:v>-9.2220504894383933E-3</c:v>
                </c:pt>
                <c:pt idx="470">
                  <c:v>4.2739583333333275E-2</c:v>
                </c:pt>
                <c:pt idx="471">
                  <c:v>2.421662468513848E-2</c:v>
                </c:pt>
                <c:pt idx="472">
                  <c:v>4.4219219219219112E-2</c:v>
                </c:pt>
                <c:pt idx="473">
                  <c:v>5.004504504504502E-2</c:v>
                </c:pt>
                <c:pt idx="474">
                  <c:v>8.3645983645983853E-3</c:v>
                </c:pt>
                <c:pt idx="475">
                  <c:v>-2.5899008966493626E-2</c:v>
                </c:pt>
                <c:pt idx="476">
                  <c:v>6.3816254416961107E-2</c:v>
                </c:pt>
                <c:pt idx="477">
                  <c:v>0.15364475828354157</c:v>
                </c:pt>
                <c:pt idx="478">
                  <c:v>0.21571971754481259</c:v>
                </c:pt>
                <c:pt idx="479">
                  <c:v>0.17098598858329017</c:v>
                </c:pt>
                <c:pt idx="480">
                  <c:v>0.19179003684025203</c:v>
                </c:pt>
                <c:pt idx="481">
                  <c:v>0.19458686495762045</c:v>
                </c:pt>
                <c:pt idx="482">
                  <c:v>0.16554448917614858</c:v>
                </c:pt>
                <c:pt idx="483">
                  <c:v>0.15479545711657741</c:v>
                </c:pt>
                <c:pt idx="484">
                  <c:v>0.16914228197569928</c:v>
                </c:pt>
                <c:pt idx="485">
                  <c:v>0.24920042516885213</c:v>
                </c:pt>
                <c:pt idx="486">
                  <c:v>0.29340914619894193</c:v>
                </c:pt>
                <c:pt idx="487">
                  <c:v>0.27204813673623612</c:v>
                </c:pt>
                <c:pt idx="488">
                  <c:v>0.23432917975534071</c:v>
                </c:pt>
                <c:pt idx="489">
                  <c:v>0.12090721610652304</c:v>
                </c:pt>
                <c:pt idx="490">
                  <c:v>-0.12804829009802779</c:v>
                </c:pt>
                <c:pt idx="491">
                  <c:v>-0.217443906243768</c:v>
                </c:pt>
                <c:pt idx="492">
                  <c:v>-0.21216624407452322</c:v>
                </c:pt>
                <c:pt idx="493">
                  <c:v>-0.20027771611145206</c:v>
                </c:pt>
                <c:pt idx="494">
                  <c:v>-0.23541562209394512</c:v>
                </c:pt>
                <c:pt idx="495">
                  <c:v>-0.243745154997487</c:v>
                </c:pt>
                <c:pt idx="496">
                  <c:v>-0.26276217182401074</c:v>
                </c:pt>
                <c:pt idx="497">
                  <c:v>-0.24819807616729189</c:v>
                </c:pt>
                <c:pt idx="498">
                  <c:v>-0.27796893958672175</c:v>
                </c:pt>
                <c:pt idx="499">
                  <c:v>-0.2322577942307838</c:v>
                </c:pt>
                <c:pt idx="500">
                  <c:v>-0.22046323882748683</c:v>
                </c:pt>
                <c:pt idx="501">
                  <c:v>-0.140070989015605</c:v>
                </c:pt>
                <c:pt idx="502">
                  <c:v>8.0843432143680602E-2</c:v>
                </c:pt>
                <c:pt idx="503">
                  <c:v>0.18876109251739973</c:v>
                </c:pt>
                <c:pt idx="504">
                  <c:v>0.19112173333855731</c:v>
                </c:pt>
                <c:pt idx="505">
                  <c:v>0.14099095911735726</c:v>
                </c:pt>
                <c:pt idx="506">
                  <c:v>0.17325336995207805</c:v>
                </c:pt>
                <c:pt idx="507">
                  <c:v>0.17835338379742274</c:v>
                </c:pt>
                <c:pt idx="508">
                  <c:v>0.14903519991102701</c:v>
                </c:pt>
                <c:pt idx="509">
                  <c:v>3.41617901569789E-2</c:v>
                </c:pt>
                <c:pt idx="510">
                  <c:v>5.6691763119451719E-2</c:v>
                </c:pt>
                <c:pt idx="511">
                  <c:v>3.5652808024486247E-2</c:v>
                </c:pt>
                <c:pt idx="512">
                  <c:v>3.479191427035614E-2</c:v>
                </c:pt>
                <c:pt idx="513">
                  <c:v>5.8572970755035023E-2</c:v>
                </c:pt>
                <c:pt idx="514">
                  <c:v>4.0600762330988291E-2</c:v>
                </c:pt>
                <c:pt idx="515">
                  <c:v>8.2009384750970651E-2</c:v>
                </c:pt>
                <c:pt idx="516">
                  <c:v>7.7304787906412958E-2</c:v>
                </c:pt>
                <c:pt idx="517">
                  <c:v>0.10706789298935245</c:v>
                </c:pt>
                <c:pt idx="518">
                  <c:v>0.14691438235097415</c:v>
                </c:pt>
                <c:pt idx="519">
                  <c:v>0.18525086153743212</c:v>
                </c:pt>
                <c:pt idx="520">
                  <c:v>0.21348684369721871</c:v>
                </c:pt>
                <c:pt idx="521">
                  <c:v>0.20499204962603787</c:v>
                </c:pt>
                <c:pt idx="522">
                  <c:v>0.19001628987272631</c:v>
                </c:pt>
                <c:pt idx="523">
                  <c:v>0.18254538487330546</c:v>
                </c:pt>
                <c:pt idx="524">
                  <c:v>0.18451904380647385</c:v>
                </c:pt>
                <c:pt idx="525">
                  <c:v>0.13818005629643298</c:v>
                </c:pt>
                <c:pt idx="526">
                  <c:v>0.12822101541713732</c:v>
                </c:pt>
                <c:pt idx="527">
                  <c:v>7.1426055562893553E-2</c:v>
                </c:pt>
                <c:pt idx="528">
                  <c:v>6.8124122168037732E-2</c:v>
                </c:pt>
                <c:pt idx="529">
                  <c:v>7.2521847044831611E-2</c:v>
                </c:pt>
                <c:pt idx="530">
                  <c:v>4.0249251288117585E-2</c:v>
                </c:pt>
                <c:pt idx="531">
                  <c:v>6.8554744996511315E-3</c:v>
                </c:pt>
                <c:pt idx="532">
                  <c:v>-3.5645917748779586E-2</c:v>
                </c:pt>
                <c:pt idx="533">
                  <c:v>-3.9249146757679182E-2</c:v>
                </c:pt>
                <c:pt idx="534">
                  <c:v>-5.1257783717255576E-2</c:v>
                </c:pt>
                <c:pt idx="535">
                  <c:v>-7.6676928062216487E-3</c:v>
                </c:pt>
                <c:pt idx="536">
                  <c:v>1.7851538925769395E-2</c:v>
                </c:pt>
                <c:pt idx="537">
                  <c:v>3.7955849263140801E-2</c:v>
                </c:pt>
                <c:pt idx="538">
                  <c:v>4.7609433047972952E-3</c:v>
                </c:pt>
                <c:pt idx="539">
                  <c:v>5.5680431307606219E-3</c:v>
                </c:pt>
                <c:pt idx="540">
                  <c:v>6.0847122625329103E-4</c:v>
                </c:pt>
                <c:pt idx="541">
                  <c:v>2.7312393028469502E-2</c:v>
                </c:pt>
                <c:pt idx="542">
                  <c:v>-1.2601004236371902E-2</c:v>
                </c:pt>
                <c:pt idx="543">
                  <c:v>-3.686362780712673E-2</c:v>
                </c:pt>
                <c:pt idx="544">
                  <c:v>-5.5333614550508352E-3</c:v>
                </c:pt>
                <c:pt idx="545">
                  <c:v>2.8885488157967341E-2</c:v>
                </c:pt>
                <c:pt idx="546">
                  <c:v>4.032230442526364E-2</c:v>
                </c:pt>
                <c:pt idx="547">
                  <c:v>-6.2860478311092577E-4</c:v>
                </c:pt>
                <c:pt idx="548">
                  <c:v>-4.0484293659357955E-2</c:v>
                </c:pt>
                <c:pt idx="549">
                  <c:v>-5.4929946058269521E-2</c:v>
                </c:pt>
                <c:pt idx="550">
                  <c:v>-2.4519831684879367E-2</c:v>
                </c:pt>
                <c:pt idx="551">
                  <c:v>4.1886656750086048E-3</c:v>
                </c:pt>
                <c:pt idx="552">
                  <c:v>2.169166411590653E-2</c:v>
                </c:pt>
                <c:pt idx="553">
                  <c:v>-2.5000000000000001E-2</c:v>
                </c:pt>
                <c:pt idx="554">
                  <c:v>1.3649911798698327E-2</c:v>
                </c:pt>
                <c:pt idx="555">
                  <c:v>3.9052201286630894E-2</c:v>
                </c:pt>
                <c:pt idx="556">
                  <c:v>3.636658515894009E-2</c:v>
                </c:pt>
                <c:pt idx="557">
                  <c:v>2.8853245217563214E-2</c:v>
                </c:pt>
                <c:pt idx="558">
                  <c:v>2.3696838500983638E-2</c:v>
                </c:pt>
                <c:pt idx="559">
                  <c:v>3.5371048837371348E-3</c:v>
                </c:pt>
                <c:pt idx="560">
                  <c:v>-4.6756884796802858E-3</c:v>
                </c:pt>
                <c:pt idx="561">
                  <c:v>-2.0222852277705681E-2</c:v>
                </c:pt>
                <c:pt idx="562">
                  <c:v>-5.6452343872312717E-2</c:v>
                </c:pt>
                <c:pt idx="563">
                  <c:v>-0.11067703564437825</c:v>
                </c:pt>
                <c:pt idx="564">
                  <c:v>-0.20138212031636979</c:v>
                </c:pt>
                <c:pt idx="565">
                  <c:v>-0.18767230169050725</c:v>
                </c:pt>
                <c:pt idx="566">
                  <c:v>-0.17684358759966556</c:v>
                </c:pt>
                <c:pt idx="567">
                  <c:v>-0.18524877533378159</c:v>
                </c:pt>
                <c:pt idx="568">
                  <c:v>-0.16146830221537392</c:v>
                </c:pt>
                <c:pt idx="569">
                  <c:v>-0.15096870820218336</c:v>
                </c:pt>
                <c:pt idx="570">
                  <c:v>-0.1492337503618178</c:v>
                </c:pt>
                <c:pt idx="571">
                  <c:v>-0.1510791659713715</c:v>
                </c:pt>
                <c:pt idx="572">
                  <c:v>-0.1836182277223625</c:v>
                </c:pt>
                <c:pt idx="573">
                  <c:v>-0.17482841968944698</c:v>
                </c:pt>
                <c:pt idx="574">
                  <c:v>-0.14803332518251994</c:v>
                </c:pt>
                <c:pt idx="575">
                  <c:v>-0.12992367390269796</c:v>
                </c:pt>
                <c:pt idx="576">
                  <c:v>-7.3482188409711463E-2</c:v>
                </c:pt>
                <c:pt idx="577">
                  <c:v>-0.13111944084602076</c:v>
                </c:pt>
                <c:pt idx="578">
                  <c:v>-0.11432417852126535</c:v>
                </c:pt>
                <c:pt idx="579">
                  <c:v>-8.2838434597228588E-2</c:v>
                </c:pt>
                <c:pt idx="580">
                  <c:v>-9.7510204667588682E-2</c:v>
                </c:pt>
                <c:pt idx="581">
                  <c:v>-9.0163431832653282E-2</c:v>
                </c:pt>
                <c:pt idx="582">
                  <c:v>-0.10668500115771914</c:v>
                </c:pt>
                <c:pt idx="583">
                  <c:v>-9.496162125621474E-2</c:v>
                </c:pt>
                <c:pt idx="584">
                  <c:v>-2.5364265942021711E-2</c:v>
                </c:pt>
                <c:pt idx="585">
                  <c:v>1.8556764272861092E-3</c:v>
                </c:pt>
                <c:pt idx="586">
                  <c:v>6.4475127361440475E-3</c:v>
                </c:pt>
                <c:pt idx="587">
                  <c:v>4.9278700767317253E-2</c:v>
                </c:pt>
                <c:pt idx="588">
                  <c:v>0.10937997678624446</c:v>
                </c:pt>
                <c:pt idx="589">
                  <c:v>0.15387100980153173</c:v>
                </c:pt>
                <c:pt idx="590">
                  <c:v>0.1094691440675175</c:v>
                </c:pt>
                <c:pt idx="591">
                  <c:v>9.1471938215335877E-2</c:v>
                </c:pt>
                <c:pt idx="592">
                  <c:v>5.3702093363591941E-2</c:v>
                </c:pt>
                <c:pt idx="593">
                  <c:v>2.511677095267471E-2</c:v>
                </c:pt>
                <c:pt idx="594">
                  <c:v>3.535118436782593E-2</c:v>
                </c:pt>
                <c:pt idx="595">
                  <c:v>6.5417540736973798E-2</c:v>
                </c:pt>
                <c:pt idx="596">
                  <c:v>0.10240164791435843</c:v>
                </c:pt>
                <c:pt idx="597">
                  <c:v>6.3517009475504912E-2</c:v>
                </c:pt>
                <c:pt idx="598">
                  <c:v>9.3103904833682943E-2</c:v>
                </c:pt>
                <c:pt idx="599">
                  <c:v>6.8196057399768403E-2</c:v>
                </c:pt>
                <c:pt idx="600">
                  <c:v>5.7310117958500342E-2</c:v>
                </c:pt>
                <c:pt idx="601">
                  <c:v>7.9692842825138416E-2</c:v>
                </c:pt>
                <c:pt idx="602">
                  <c:v>7.0772517966396775E-2</c:v>
                </c:pt>
                <c:pt idx="603">
                  <c:v>7.6705660673628037E-2</c:v>
                </c:pt>
                <c:pt idx="604">
                  <c:v>0.11093778305589673</c:v>
                </c:pt>
                <c:pt idx="605">
                  <c:v>0.11833987377619554</c:v>
                </c:pt>
                <c:pt idx="606">
                  <c:v>0.11975231059270722</c:v>
                </c:pt>
                <c:pt idx="607">
                  <c:v>0.10263473232531657</c:v>
                </c:pt>
                <c:pt idx="608">
                  <c:v>4.9370307980502876E-2</c:v>
                </c:pt>
                <c:pt idx="609">
                  <c:v>8.7838907627130952E-2</c:v>
                </c:pt>
                <c:pt idx="610">
                  <c:v>3.0970627285644387E-2</c:v>
                </c:pt>
                <c:pt idx="611">
                  <c:v>-3.2047823047217411E-3</c:v>
                </c:pt>
                <c:pt idx="612">
                  <c:v>-5.0392823774698114E-2</c:v>
                </c:pt>
                <c:pt idx="613">
                  <c:v>-5.2005551384433253E-2</c:v>
                </c:pt>
                <c:pt idx="614">
                  <c:v>-4.2957707444153982E-3</c:v>
                </c:pt>
                <c:pt idx="615">
                  <c:v>1.6178722473384782E-2</c:v>
                </c:pt>
                <c:pt idx="616">
                  <c:v>-4.1762920686687363E-3</c:v>
                </c:pt>
                <c:pt idx="617">
                  <c:v>-3.2404078771846513E-2</c:v>
                </c:pt>
                <c:pt idx="618">
                  <c:v>-1.9245510293473579E-2</c:v>
                </c:pt>
                <c:pt idx="619">
                  <c:v>-4.2820488539567055E-2</c:v>
                </c:pt>
                <c:pt idx="620">
                  <c:v>-4.6494478218640972E-2</c:v>
                </c:pt>
                <c:pt idx="621">
                  <c:v>-4.2115244668886609E-2</c:v>
                </c:pt>
                <c:pt idx="622">
                  <c:v>-6.9271541732375385E-3</c:v>
                </c:pt>
                <c:pt idx="623">
                  <c:v>3.4278559189591135E-2</c:v>
                </c:pt>
                <c:pt idx="624">
                  <c:v>6.2004420232255955E-2</c:v>
                </c:pt>
                <c:pt idx="625">
                  <c:v>2.7009254281545103E-2</c:v>
                </c:pt>
                <c:pt idx="626">
                  <c:v>-5.8298772510924961E-2</c:v>
                </c:pt>
                <c:pt idx="627">
                  <c:v>-0.17574246324683587</c:v>
                </c:pt>
                <c:pt idx="628">
                  <c:v>-0.18302645464138859</c:v>
                </c:pt>
                <c:pt idx="629">
                  <c:v>-0.12332051276059802</c:v>
                </c:pt>
                <c:pt idx="630">
                  <c:v>-0.10878809025354728</c:v>
                </c:pt>
                <c:pt idx="631">
                  <c:v>-8.9062360140766114E-2</c:v>
                </c:pt>
                <c:pt idx="632">
                  <c:v>-7.5721992718767034E-2</c:v>
                </c:pt>
                <c:pt idx="633">
                  <c:v>-9.2220493033620926E-2</c:v>
                </c:pt>
                <c:pt idx="634">
                  <c:v>-9.6437184329071376E-2</c:v>
                </c:pt>
                <c:pt idx="635">
                  <c:v>-7.2829718093192095E-2</c:v>
                </c:pt>
                <c:pt idx="636">
                  <c:v>-3.7856487629896303E-2</c:v>
                </c:pt>
                <c:pt idx="637">
                  <c:v>2.3289073344456773E-2</c:v>
                </c:pt>
                <c:pt idx="638">
                  <c:v>0.1324712431340673</c:v>
                </c:pt>
                <c:pt idx="639">
                  <c:v>0.24958103902322226</c:v>
                </c:pt>
                <c:pt idx="640">
                  <c:v>0.27849228884805954</c:v>
                </c:pt>
                <c:pt idx="641">
                  <c:v>0.24203719794659656</c:v>
                </c:pt>
                <c:pt idx="642">
                  <c:v>0.23610661599657554</c:v>
                </c:pt>
                <c:pt idx="643">
                  <c:v>0.24881827866902492</c:v>
                </c:pt>
                <c:pt idx="644">
                  <c:v>0.24781244419500492</c:v>
                </c:pt>
                <c:pt idx="645">
                  <c:v>0.29960894109770364</c:v>
                </c:pt>
                <c:pt idx="646">
                  <c:v>0.33509084682942564</c:v>
                </c:pt>
                <c:pt idx="647">
                  <c:v>0.29631447701702357</c:v>
                </c:pt>
              </c:numCache>
            </c:numRef>
          </c:val>
          <c:smooth val="0"/>
          <c:extLst>
            <c:ext xmlns:c16="http://schemas.microsoft.com/office/drawing/2014/chart" uri="{C3380CC4-5D6E-409C-BE32-E72D297353CC}">
              <c16:uniqueId val="{00000000-5744-F548-B04B-B89A1FC5F264}"/>
            </c:ext>
          </c:extLst>
        </c:ser>
        <c:dLbls>
          <c:showLegendKey val="0"/>
          <c:showVal val="0"/>
          <c:showCatName val="0"/>
          <c:showSerName val="0"/>
          <c:showPercent val="0"/>
          <c:showBubbleSize val="0"/>
        </c:dLbls>
        <c:smooth val="0"/>
        <c:axId val="441892151"/>
        <c:axId val="441886247"/>
      </c:lineChart>
      <c:dateAx>
        <c:axId val="441892151"/>
        <c:scaling>
          <c:orientation val="minMax"/>
        </c:scaling>
        <c:delete val="0"/>
        <c:axPos val="b"/>
        <c:numFmt formatCode="[$-409]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1886247"/>
        <c:crosses val="autoZero"/>
        <c:auto val="0"/>
        <c:lblOffset val="100"/>
        <c:baseTimeUnit val="months"/>
      </c:dateAx>
      <c:valAx>
        <c:axId val="441886247"/>
        <c:scaling>
          <c:orientation val="minMax"/>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1892151"/>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strike="noStrike" kern="1200" spc="0" baseline="0">
                <a:solidFill>
                  <a:schemeClr val="tx1">
                    <a:lumMod val="65000"/>
                    <a:lumOff val="35000"/>
                  </a:schemeClr>
                </a:solidFill>
                <a:latin typeface="+mn-lt"/>
                <a:ea typeface="+mn-ea"/>
                <a:cs typeface="+mn-cs"/>
              </a:defRPr>
            </a:pPr>
            <a:r>
              <a:rPr lang="en-US" b="1"/>
              <a:t>CPI Energy y/y % since 2000</a:t>
            </a:r>
          </a:p>
        </c:rich>
      </c:tx>
      <c:overlay val="0"/>
      <c:spPr>
        <a:noFill/>
        <a:ln>
          <a:noFill/>
          <a:prstDash val="solid"/>
        </a:ln>
      </c:spPr>
    </c:title>
    <c:autoTitleDeleted val="0"/>
    <c:plotArea>
      <c:layout/>
      <c:lineChart>
        <c:grouping val="standard"/>
        <c:varyColors val="0"/>
        <c:ser>
          <c:idx val="2"/>
          <c:order val="0"/>
          <c:tx>
            <c:strRef>
              <c:f>'CPI Energy'!$D$4</c:f>
              <c:strCache>
                <c:ptCount val="1"/>
                <c:pt idx="0">
                  <c:v>Energy Index y/y %</c:v>
                </c:pt>
              </c:strCache>
            </c:strRef>
          </c:tx>
          <c:spPr>
            <a:ln w="28575" cap="rnd">
              <a:solidFill>
                <a:schemeClr val="bg2">
                  <a:lumMod val="10000"/>
                </a:schemeClr>
              </a:solidFill>
              <a:prstDash val="solid"/>
              <a:round/>
            </a:ln>
          </c:spPr>
          <c:marker>
            <c:symbol val="none"/>
          </c:marker>
          <c:cat>
            <c:numRef>
              <c:f>'CPI Energy'!$A$401:$A$902</c:f>
              <c:numCache>
                <c:formatCode>[$-409]mmm\-yy;@</c:formatCode>
                <c:ptCount val="502"/>
                <c:pt idx="0">
                  <c:v>36526</c:v>
                </c:pt>
                <c:pt idx="1">
                  <c:v>36557</c:v>
                </c:pt>
                <c:pt idx="2">
                  <c:v>36586</c:v>
                </c:pt>
                <c:pt idx="3">
                  <c:v>36617</c:v>
                </c:pt>
                <c:pt idx="4">
                  <c:v>36647</c:v>
                </c:pt>
                <c:pt idx="5">
                  <c:v>36678</c:v>
                </c:pt>
                <c:pt idx="6">
                  <c:v>36708</c:v>
                </c:pt>
                <c:pt idx="7">
                  <c:v>36739</c:v>
                </c:pt>
                <c:pt idx="8">
                  <c:v>36770</c:v>
                </c:pt>
                <c:pt idx="9">
                  <c:v>36800</c:v>
                </c:pt>
                <c:pt idx="10">
                  <c:v>36831</c:v>
                </c:pt>
                <c:pt idx="11">
                  <c:v>36861</c:v>
                </c:pt>
                <c:pt idx="12">
                  <c:v>36892</c:v>
                </c:pt>
                <c:pt idx="13">
                  <c:v>36923</c:v>
                </c:pt>
                <c:pt idx="14">
                  <c:v>36951</c:v>
                </c:pt>
                <c:pt idx="15">
                  <c:v>36982</c:v>
                </c:pt>
                <c:pt idx="16">
                  <c:v>37012</c:v>
                </c:pt>
                <c:pt idx="17">
                  <c:v>37043</c:v>
                </c:pt>
                <c:pt idx="18">
                  <c:v>37073</c:v>
                </c:pt>
                <c:pt idx="19">
                  <c:v>37104</c:v>
                </c:pt>
                <c:pt idx="20">
                  <c:v>37135</c:v>
                </c:pt>
                <c:pt idx="21">
                  <c:v>37165</c:v>
                </c:pt>
                <c:pt idx="22">
                  <c:v>37196</c:v>
                </c:pt>
                <c:pt idx="23">
                  <c:v>37226</c:v>
                </c:pt>
                <c:pt idx="24">
                  <c:v>37257</c:v>
                </c:pt>
                <c:pt idx="25">
                  <c:v>37288</c:v>
                </c:pt>
                <c:pt idx="26">
                  <c:v>37316</c:v>
                </c:pt>
                <c:pt idx="27">
                  <c:v>37347</c:v>
                </c:pt>
                <c:pt idx="28">
                  <c:v>37377</c:v>
                </c:pt>
                <c:pt idx="29">
                  <c:v>37408</c:v>
                </c:pt>
                <c:pt idx="30">
                  <c:v>37438</c:v>
                </c:pt>
                <c:pt idx="31">
                  <c:v>37469</c:v>
                </c:pt>
                <c:pt idx="32">
                  <c:v>37500</c:v>
                </c:pt>
                <c:pt idx="33">
                  <c:v>37530</c:v>
                </c:pt>
                <c:pt idx="34">
                  <c:v>37561</c:v>
                </c:pt>
                <c:pt idx="35">
                  <c:v>37591</c:v>
                </c:pt>
                <c:pt idx="36">
                  <c:v>37622</c:v>
                </c:pt>
                <c:pt idx="37">
                  <c:v>37653</c:v>
                </c:pt>
                <c:pt idx="38">
                  <c:v>37681</c:v>
                </c:pt>
                <c:pt idx="39">
                  <c:v>37712</c:v>
                </c:pt>
                <c:pt idx="40">
                  <c:v>37742</c:v>
                </c:pt>
                <c:pt idx="41">
                  <c:v>37773</c:v>
                </c:pt>
                <c:pt idx="42">
                  <c:v>37803</c:v>
                </c:pt>
                <c:pt idx="43">
                  <c:v>37834</c:v>
                </c:pt>
                <c:pt idx="44">
                  <c:v>37865</c:v>
                </c:pt>
                <c:pt idx="45">
                  <c:v>37895</c:v>
                </c:pt>
                <c:pt idx="46">
                  <c:v>37926</c:v>
                </c:pt>
                <c:pt idx="47">
                  <c:v>37956</c:v>
                </c:pt>
                <c:pt idx="48">
                  <c:v>37987</c:v>
                </c:pt>
                <c:pt idx="49">
                  <c:v>38018</c:v>
                </c:pt>
                <c:pt idx="50">
                  <c:v>38047</c:v>
                </c:pt>
                <c:pt idx="51">
                  <c:v>38078</c:v>
                </c:pt>
                <c:pt idx="52">
                  <c:v>38108</c:v>
                </c:pt>
                <c:pt idx="53">
                  <c:v>38139</c:v>
                </c:pt>
                <c:pt idx="54">
                  <c:v>38169</c:v>
                </c:pt>
                <c:pt idx="55">
                  <c:v>38200</c:v>
                </c:pt>
                <c:pt idx="56">
                  <c:v>38231</c:v>
                </c:pt>
                <c:pt idx="57">
                  <c:v>38261</c:v>
                </c:pt>
                <c:pt idx="58">
                  <c:v>38292</c:v>
                </c:pt>
                <c:pt idx="59">
                  <c:v>38322</c:v>
                </c:pt>
                <c:pt idx="60">
                  <c:v>38353</c:v>
                </c:pt>
                <c:pt idx="61">
                  <c:v>38384</c:v>
                </c:pt>
                <c:pt idx="62">
                  <c:v>38412</c:v>
                </c:pt>
                <c:pt idx="63">
                  <c:v>38443</c:v>
                </c:pt>
                <c:pt idx="64">
                  <c:v>38473</c:v>
                </c:pt>
                <c:pt idx="65">
                  <c:v>38504</c:v>
                </c:pt>
                <c:pt idx="66">
                  <c:v>38534</c:v>
                </c:pt>
                <c:pt idx="67">
                  <c:v>38565</c:v>
                </c:pt>
                <c:pt idx="68">
                  <c:v>38596</c:v>
                </c:pt>
                <c:pt idx="69">
                  <c:v>38626</c:v>
                </c:pt>
                <c:pt idx="70">
                  <c:v>38657</c:v>
                </c:pt>
                <c:pt idx="71">
                  <c:v>38687</c:v>
                </c:pt>
                <c:pt idx="72">
                  <c:v>38718</c:v>
                </c:pt>
                <c:pt idx="73">
                  <c:v>38749</c:v>
                </c:pt>
                <c:pt idx="74">
                  <c:v>38777</c:v>
                </c:pt>
                <c:pt idx="75">
                  <c:v>38808</c:v>
                </c:pt>
                <c:pt idx="76">
                  <c:v>38838</c:v>
                </c:pt>
                <c:pt idx="77">
                  <c:v>38869</c:v>
                </c:pt>
                <c:pt idx="78">
                  <c:v>38899</c:v>
                </c:pt>
                <c:pt idx="79">
                  <c:v>38930</c:v>
                </c:pt>
                <c:pt idx="80">
                  <c:v>38961</c:v>
                </c:pt>
                <c:pt idx="81">
                  <c:v>38991</c:v>
                </c:pt>
                <c:pt idx="82">
                  <c:v>39022</c:v>
                </c:pt>
                <c:pt idx="83">
                  <c:v>39052</c:v>
                </c:pt>
                <c:pt idx="84">
                  <c:v>39083</c:v>
                </c:pt>
                <c:pt idx="85">
                  <c:v>39114</c:v>
                </c:pt>
                <c:pt idx="86">
                  <c:v>39142</c:v>
                </c:pt>
                <c:pt idx="87">
                  <c:v>39173</c:v>
                </c:pt>
                <c:pt idx="88">
                  <c:v>39203</c:v>
                </c:pt>
                <c:pt idx="89">
                  <c:v>39234</c:v>
                </c:pt>
                <c:pt idx="90">
                  <c:v>39264</c:v>
                </c:pt>
                <c:pt idx="91">
                  <c:v>39295</c:v>
                </c:pt>
                <c:pt idx="92">
                  <c:v>39326</c:v>
                </c:pt>
                <c:pt idx="93">
                  <c:v>39356</c:v>
                </c:pt>
                <c:pt idx="94">
                  <c:v>39387</c:v>
                </c:pt>
                <c:pt idx="95">
                  <c:v>39417</c:v>
                </c:pt>
                <c:pt idx="96">
                  <c:v>39448</c:v>
                </c:pt>
                <c:pt idx="97">
                  <c:v>39479</c:v>
                </c:pt>
                <c:pt idx="98">
                  <c:v>39508</c:v>
                </c:pt>
                <c:pt idx="99">
                  <c:v>39539</c:v>
                </c:pt>
                <c:pt idx="100">
                  <c:v>39569</c:v>
                </c:pt>
                <c:pt idx="101">
                  <c:v>39600</c:v>
                </c:pt>
                <c:pt idx="102">
                  <c:v>39630</c:v>
                </c:pt>
                <c:pt idx="103">
                  <c:v>39661</c:v>
                </c:pt>
                <c:pt idx="104">
                  <c:v>39692</c:v>
                </c:pt>
                <c:pt idx="105">
                  <c:v>39722</c:v>
                </c:pt>
                <c:pt idx="106">
                  <c:v>39753</c:v>
                </c:pt>
                <c:pt idx="107">
                  <c:v>39783</c:v>
                </c:pt>
                <c:pt idx="108">
                  <c:v>39814</c:v>
                </c:pt>
                <c:pt idx="109">
                  <c:v>39845</c:v>
                </c:pt>
                <c:pt idx="110">
                  <c:v>39873</c:v>
                </c:pt>
                <c:pt idx="111">
                  <c:v>39904</c:v>
                </c:pt>
                <c:pt idx="112">
                  <c:v>39934</c:v>
                </c:pt>
                <c:pt idx="113">
                  <c:v>39965</c:v>
                </c:pt>
                <c:pt idx="114">
                  <c:v>39995</c:v>
                </c:pt>
                <c:pt idx="115">
                  <c:v>40026</c:v>
                </c:pt>
                <c:pt idx="116">
                  <c:v>40057</c:v>
                </c:pt>
                <c:pt idx="117">
                  <c:v>40087</c:v>
                </c:pt>
                <c:pt idx="118">
                  <c:v>40118</c:v>
                </c:pt>
                <c:pt idx="119">
                  <c:v>40148</c:v>
                </c:pt>
                <c:pt idx="120">
                  <c:v>40179</c:v>
                </c:pt>
                <c:pt idx="121">
                  <c:v>40210</c:v>
                </c:pt>
                <c:pt idx="122">
                  <c:v>40238</c:v>
                </c:pt>
                <c:pt idx="123">
                  <c:v>40269</c:v>
                </c:pt>
                <c:pt idx="124">
                  <c:v>40299</c:v>
                </c:pt>
                <c:pt idx="125">
                  <c:v>40330</c:v>
                </c:pt>
                <c:pt idx="126">
                  <c:v>40360</c:v>
                </c:pt>
                <c:pt idx="127">
                  <c:v>40391</c:v>
                </c:pt>
                <c:pt idx="128">
                  <c:v>40422</c:v>
                </c:pt>
                <c:pt idx="129">
                  <c:v>40452</c:v>
                </c:pt>
                <c:pt idx="130">
                  <c:v>40483</c:v>
                </c:pt>
                <c:pt idx="131">
                  <c:v>40513</c:v>
                </c:pt>
                <c:pt idx="132">
                  <c:v>40544</c:v>
                </c:pt>
                <c:pt idx="133">
                  <c:v>40575</c:v>
                </c:pt>
                <c:pt idx="134">
                  <c:v>40603</c:v>
                </c:pt>
                <c:pt idx="135">
                  <c:v>40634</c:v>
                </c:pt>
                <c:pt idx="136">
                  <c:v>40664</c:v>
                </c:pt>
                <c:pt idx="137">
                  <c:v>40695</c:v>
                </c:pt>
                <c:pt idx="138">
                  <c:v>40725</c:v>
                </c:pt>
                <c:pt idx="139">
                  <c:v>40756</c:v>
                </c:pt>
                <c:pt idx="140">
                  <c:v>40787</c:v>
                </c:pt>
                <c:pt idx="141">
                  <c:v>40817</c:v>
                </c:pt>
                <c:pt idx="142">
                  <c:v>40848</c:v>
                </c:pt>
                <c:pt idx="143">
                  <c:v>40878</c:v>
                </c:pt>
                <c:pt idx="144">
                  <c:v>40909</c:v>
                </c:pt>
                <c:pt idx="145">
                  <c:v>40940</c:v>
                </c:pt>
                <c:pt idx="146">
                  <c:v>40969</c:v>
                </c:pt>
                <c:pt idx="147">
                  <c:v>41000</c:v>
                </c:pt>
                <c:pt idx="148">
                  <c:v>41030</c:v>
                </c:pt>
                <c:pt idx="149">
                  <c:v>41061</c:v>
                </c:pt>
                <c:pt idx="150">
                  <c:v>41091</c:v>
                </c:pt>
                <c:pt idx="151">
                  <c:v>41122</c:v>
                </c:pt>
                <c:pt idx="152">
                  <c:v>41153</c:v>
                </c:pt>
                <c:pt idx="153">
                  <c:v>41183</c:v>
                </c:pt>
                <c:pt idx="154">
                  <c:v>41214</c:v>
                </c:pt>
                <c:pt idx="155">
                  <c:v>41244</c:v>
                </c:pt>
                <c:pt idx="156">
                  <c:v>41275</c:v>
                </c:pt>
                <c:pt idx="157">
                  <c:v>41306</c:v>
                </c:pt>
                <c:pt idx="158">
                  <c:v>41334</c:v>
                </c:pt>
                <c:pt idx="159">
                  <c:v>41365</c:v>
                </c:pt>
                <c:pt idx="160">
                  <c:v>41395</c:v>
                </c:pt>
                <c:pt idx="161">
                  <c:v>41426</c:v>
                </c:pt>
                <c:pt idx="162">
                  <c:v>41456</c:v>
                </c:pt>
                <c:pt idx="163">
                  <c:v>41487</c:v>
                </c:pt>
                <c:pt idx="164">
                  <c:v>41518</c:v>
                </c:pt>
                <c:pt idx="165">
                  <c:v>41548</c:v>
                </c:pt>
                <c:pt idx="166">
                  <c:v>41579</c:v>
                </c:pt>
                <c:pt idx="167">
                  <c:v>41609</c:v>
                </c:pt>
                <c:pt idx="168">
                  <c:v>41640</c:v>
                </c:pt>
                <c:pt idx="169">
                  <c:v>41671</c:v>
                </c:pt>
                <c:pt idx="170">
                  <c:v>41699</c:v>
                </c:pt>
                <c:pt idx="171">
                  <c:v>41730</c:v>
                </c:pt>
                <c:pt idx="172">
                  <c:v>41760</c:v>
                </c:pt>
                <c:pt idx="173">
                  <c:v>41791</c:v>
                </c:pt>
                <c:pt idx="174">
                  <c:v>41821</c:v>
                </c:pt>
                <c:pt idx="175">
                  <c:v>41852</c:v>
                </c:pt>
                <c:pt idx="176">
                  <c:v>41883</c:v>
                </c:pt>
                <c:pt idx="177">
                  <c:v>41913</c:v>
                </c:pt>
                <c:pt idx="178">
                  <c:v>41944</c:v>
                </c:pt>
                <c:pt idx="179">
                  <c:v>41974</c:v>
                </c:pt>
                <c:pt idx="180">
                  <c:v>42005</c:v>
                </c:pt>
                <c:pt idx="181">
                  <c:v>42036</c:v>
                </c:pt>
                <c:pt idx="182">
                  <c:v>42064</c:v>
                </c:pt>
                <c:pt idx="183">
                  <c:v>42095</c:v>
                </c:pt>
                <c:pt idx="184">
                  <c:v>42125</c:v>
                </c:pt>
                <c:pt idx="185">
                  <c:v>42156</c:v>
                </c:pt>
                <c:pt idx="186">
                  <c:v>42186</c:v>
                </c:pt>
                <c:pt idx="187">
                  <c:v>42217</c:v>
                </c:pt>
                <c:pt idx="188">
                  <c:v>42248</c:v>
                </c:pt>
                <c:pt idx="189">
                  <c:v>42278</c:v>
                </c:pt>
                <c:pt idx="190">
                  <c:v>42309</c:v>
                </c:pt>
                <c:pt idx="191">
                  <c:v>42339</c:v>
                </c:pt>
                <c:pt idx="192">
                  <c:v>42370</c:v>
                </c:pt>
                <c:pt idx="193">
                  <c:v>42401</c:v>
                </c:pt>
                <c:pt idx="194">
                  <c:v>42430</c:v>
                </c:pt>
                <c:pt idx="195">
                  <c:v>42461</c:v>
                </c:pt>
                <c:pt idx="196">
                  <c:v>42491</c:v>
                </c:pt>
                <c:pt idx="197">
                  <c:v>42522</c:v>
                </c:pt>
                <c:pt idx="198">
                  <c:v>42552</c:v>
                </c:pt>
                <c:pt idx="199">
                  <c:v>42583</c:v>
                </c:pt>
                <c:pt idx="200">
                  <c:v>42614</c:v>
                </c:pt>
                <c:pt idx="201">
                  <c:v>42644</c:v>
                </c:pt>
                <c:pt idx="202">
                  <c:v>42675</c:v>
                </c:pt>
                <c:pt idx="203">
                  <c:v>42705</c:v>
                </c:pt>
                <c:pt idx="204">
                  <c:v>42736</c:v>
                </c:pt>
                <c:pt idx="205">
                  <c:v>42767</c:v>
                </c:pt>
                <c:pt idx="206">
                  <c:v>42795</c:v>
                </c:pt>
                <c:pt idx="207">
                  <c:v>42826</c:v>
                </c:pt>
                <c:pt idx="208">
                  <c:v>42856</c:v>
                </c:pt>
                <c:pt idx="209">
                  <c:v>42887</c:v>
                </c:pt>
                <c:pt idx="210">
                  <c:v>42917</c:v>
                </c:pt>
                <c:pt idx="211">
                  <c:v>42948</c:v>
                </c:pt>
                <c:pt idx="212">
                  <c:v>42979</c:v>
                </c:pt>
                <c:pt idx="213">
                  <c:v>43009</c:v>
                </c:pt>
                <c:pt idx="214">
                  <c:v>43040</c:v>
                </c:pt>
                <c:pt idx="215">
                  <c:v>43070</c:v>
                </c:pt>
                <c:pt idx="216">
                  <c:v>43101</c:v>
                </c:pt>
                <c:pt idx="217">
                  <c:v>43132</c:v>
                </c:pt>
                <c:pt idx="218">
                  <c:v>43160</c:v>
                </c:pt>
                <c:pt idx="219">
                  <c:v>43191</c:v>
                </c:pt>
                <c:pt idx="220">
                  <c:v>43221</c:v>
                </c:pt>
                <c:pt idx="221">
                  <c:v>43252</c:v>
                </c:pt>
                <c:pt idx="222">
                  <c:v>43282</c:v>
                </c:pt>
                <c:pt idx="223">
                  <c:v>43313</c:v>
                </c:pt>
                <c:pt idx="224">
                  <c:v>43344</c:v>
                </c:pt>
                <c:pt idx="225">
                  <c:v>43374</c:v>
                </c:pt>
                <c:pt idx="226">
                  <c:v>43405</c:v>
                </c:pt>
                <c:pt idx="227">
                  <c:v>43435</c:v>
                </c:pt>
                <c:pt idx="228">
                  <c:v>43466</c:v>
                </c:pt>
                <c:pt idx="229">
                  <c:v>43497</c:v>
                </c:pt>
                <c:pt idx="230">
                  <c:v>43525</c:v>
                </c:pt>
                <c:pt idx="231">
                  <c:v>43556</c:v>
                </c:pt>
                <c:pt idx="232">
                  <c:v>43586</c:v>
                </c:pt>
                <c:pt idx="233">
                  <c:v>43617</c:v>
                </c:pt>
                <c:pt idx="234">
                  <c:v>43647</c:v>
                </c:pt>
                <c:pt idx="235">
                  <c:v>43678</c:v>
                </c:pt>
                <c:pt idx="236">
                  <c:v>43709</c:v>
                </c:pt>
                <c:pt idx="237">
                  <c:v>43739</c:v>
                </c:pt>
                <c:pt idx="238">
                  <c:v>43770</c:v>
                </c:pt>
                <c:pt idx="239">
                  <c:v>43800</c:v>
                </c:pt>
                <c:pt idx="240">
                  <c:v>43831</c:v>
                </c:pt>
                <c:pt idx="241">
                  <c:v>43862</c:v>
                </c:pt>
                <c:pt idx="242">
                  <c:v>43891</c:v>
                </c:pt>
                <c:pt idx="243">
                  <c:v>43922</c:v>
                </c:pt>
                <c:pt idx="244">
                  <c:v>43952</c:v>
                </c:pt>
                <c:pt idx="245">
                  <c:v>43983</c:v>
                </c:pt>
                <c:pt idx="246">
                  <c:v>44013</c:v>
                </c:pt>
                <c:pt idx="247">
                  <c:v>44044</c:v>
                </c:pt>
                <c:pt idx="248">
                  <c:v>44075</c:v>
                </c:pt>
                <c:pt idx="249">
                  <c:v>44105</c:v>
                </c:pt>
                <c:pt idx="250">
                  <c:v>44136</c:v>
                </c:pt>
                <c:pt idx="251">
                  <c:v>44166</c:v>
                </c:pt>
                <c:pt idx="252">
                  <c:v>44197</c:v>
                </c:pt>
                <c:pt idx="253">
                  <c:v>44228</c:v>
                </c:pt>
                <c:pt idx="254">
                  <c:v>44256</c:v>
                </c:pt>
                <c:pt idx="255">
                  <c:v>44287</c:v>
                </c:pt>
                <c:pt idx="256">
                  <c:v>44317</c:v>
                </c:pt>
                <c:pt idx="257">
                  <c:v>44348</c:v>
                </c:pt>
                <c:pt idx="258">
                  <c:v>44378</c:v>
                </c:pt>
                <c:pt idx="259">
                  <c:v>44409</c:v>
                </c:pt>
                <c:pt idx="260">
                  <c:v>44440</c:v>
                </c:pt>
                <c:pt idx="261">
                  <c:v>44470</c:v>
                </c:pt>
                <c:pt idx="262">
                  <c:v>44501</c:v>
                </c:pt>
                <c:pt idx="263">
                  <c:v>44531</c:v>
                </c:pt>
              </c:numCache>
            </c:numRef>
          </c:cat>
          <c:val>
            <c:numRef>
              <c:f>'CPI Energy'!$D$401:$D$902</c:f>
              <c:numCache>
                <c:formatCode>0.00%</c:formatCode>
                <c:ptCount val="502"/>
                <c:pt idx="0">
                  <c:v>0.15346038114343025</c:v>
                </c:pt>
                <c:pt idx="1">
                  <c:v>0.19758064516129026</c:v>
                </c:pt>
                <c:pt idx="2">
                  <c:v>0.23804780876494014</c:v>
                </c:pt>
                <c:pt idx="3">
                  <c:v>0.14597156398104272</c:v>
                </c:pt>
                <c:pt idx="4">
                  <c:v>0.14394661582459478</c:v>
                </c:pt>
                <c:pt idx="5">
                  <c:v>0.21339712918660284</c:v>
                </c:pt>
                <c:pt idx="6">
                  <c:v>0.19306466729147137</c:v>
                </c:pt>
                <c:pt idx="7">
                  <c:v>0.13059360730593605</c:v>
                </c:pt>
                <c:pt idx="8">
                  <c:v>0.15563506261180673</c:v>
                </c:pt>
                <c:pt idx="9">
                  <c:v>0.15714285714285708</c:v>
                </c:pt>
                <c:pt idx="10">
                  <c:v>0.15874439461883397</c:v>
                </c:pt>
                <c:pt idx="11">
                  <c:v>0.1432337434094903</c:v>
                </c:pt>
                <c:pt idx="12">
                  <c:v>0.17391304347826086</c:v>
                </c:pt>
                <c:pt idx="13">
                  <c:v>0.12878787878787876</c:v>
                </c:pt>
                <c:pt idx="14">
                  <c:v>5.9533386967015219E-2</c:v>
                </c:pt>
                <c:pt idx="15">
                  <c:v>9.4292803970223368E-2</c:v>
                </c:pt>
                <c:pt idx="16">
                  <c:v>0.15333333333333338</c:v>
                </c:pt>
                <c:pt idx="17">
                  <c:v>7.9652996845425941E-2</c:v>
                </c:pt>
                <c:pt idx="18">
                  <c:v>1.8067556952081676E-2</c:v>
                </c:pt>
                <c:pt idx="19">
                  <c:v>2.827140549273021E-2</c:v>
                </c:pt>
                <c:pt idx="20">
                  <c:v>1.3157894736842238E-2</c:v>
                </c:pt>
                <c:pt idx="21">
                  <c:v>-5.1697530864197448E-2</c:v>
                </c:pt>
                <c:pt idx="22">
                  <c:v>-9.5201238390092757E-2</c:v>
                </c:pt>
                <c:pt idx="23">
                  <c:v>-0.12451960030745572</c:v>
                </c:pt>
                <c:pt idx="24">
                  <c:v>-0.15407407407407406</c:v>
                </c:pt>
                <c:pt idx="25">
                  <c:v>-0.15361670395227439</c:v>
                </c:pt>
                <c:pt idx="26">
                  <c:v>-0.10706150341685645</c:v>
                </c:pt>
                <c:pt idx="27">
                  <c:v>-8.1632653061224567E-2</c:v>
                </c:pt>
                <c:pt idx="28">
                  <c:v>-0.11921965317919074</c:v>
                </c:pt>
                <c:pt idx="29">
                  <c:v>-0.11176040905770643</c:v>
                </c:pt>
                <c:pt idx="30">
                  <c:v>-5.5555555555555469E-2</c:v>
                </c:pt>
                <c:pt idx="31">
                  <c:v>-3.2992930086410077E-2</c:v>
                </c:pt>
                <c:pt idx="32">
                  <c:v>-5.5003819709702084E-2</c:v>
                </c:pt>
                <c:pt idx="33">
                  <c:v>3.254678600488202E-2</c:v>
                </c:pt>
                <c:pt idx="34">
                  <c:v>8.3832335329341284E-2</c:v>
                </c:pt>
                <c:pt idx="35">
                  <c:v>0.11589113257243185</c:v>
                </c:pt>
                <c:pt idx="36">
                  <c:v>0.16900175131348508</c:v>
                </c:pt>
                <c:pt idx="37">
                  <c:v>0.24052863436123359</c:v>
                </c:pt>
                <c:pt idx="38">
                  <c:v>0.22363945578231303</c:v>
                </c:pt>
                <c:pt idx="39">
                  <c:v>0.12345679012345678</c:v>
                </c:pt>
                <c:pt idx="40">
                  <c:v>6.1525840853158327E-2</c:v>
                </c:pt>
                <c:pt idx="41">
                  <c:v>6.743421052631593E-2</c:v>
                </c:pt>
                <c:pt idx="42">
                  <c:v>8.0065359477124037E-2</c:v>
                </c:pt>
                <c:pt idx="43">
                  <c:v>0.11941510966693759</c:v>
                </c:pt>
                <c:pt idx="44">
                  <c:v>0.15521422797089734</c:v>
                </c:pt>
                <c:pt idx="45">
                  <c:v>8.5894405043341254E-2</c:v>
                </c:pt>
                <c:pt idx="46">
                  <c:v>8.0505130228887153E-2</c:v>
                </c:pt>
                <c:pt idx="47">
                  <c:v>9.2053501180173233E-2</c:v>
                </c:pt>
                <c:pt idx="48">
                  <c:v>7.7902621722846482E-2</c:v>
                </c:pt>
                <c:pt idx="49">
                  <c:v>3.5511363636363633E-2</c:v>
                </c:pt>
                <c:pt idx="50">
                  <c:v>8.3391243919387677E-3</c:v>
                </c:pt>
                <c:pt idx="51">
                  <c:v>5.0549450549450592E-2</c:v>
                </c:pt>
                <c:pt idx="52">
                  <c:v>0.14064914992272015</c:v>
                </c:pt>
                <c:pt idx="53">
                  <c:v>0.16718027734976879</c:v>
                </c:pt>
                <c:pt idx="54">
                  <c:v>0.14296520423600612</c:v>
                </c:pt>
                <c:pt idx="55">
                  <c:v>9.9419448476052164E-2</c:v>
                </c:pt>
                <c:pt idx="56">
                  <c:v>6.997900629811056E-2</c:v>
                </c:pt>
                <c:pt idx="57">
                  <c:v>0.15094339622641495</c:v>
                </c:pt>
                <c:pt idx="58">
                  <c:v>0.19649379108838572</c:v>
                </c:pt>
                <c:pt idx="59">
                  <c:v>0.16930835734870314</c:v>
                </c:pt>
                <c:pt idx="60">
                  <c:v>9.2425295343988759E-2</c:v>
                </c:pt>
                <c:pt idx="61">
                  <c:v>0.10973936899862825</c:v>
                </c:pt>
                <c:pt idx="62">
                  <c:v>0.12680909717436256</c:v>
                </c:pt>
                <c:pt idx="63">
                  <c:v>0.16248256624825649</c:v>
                </c:pt>
                <c:pt idx="64">
                  <c:v>0.10636856368563698</c:v>
                </c:pt>
                <c:pt idx="65">
                  <c:v>8.0528052805280456E-2</c:v>
                </c:pt>
                <c:pt idx="66">
                  <c:v>0.14361350099272016</c:v>
                </c:pt>
                <c:pt idx="67">
                  <c:v>0.21122112211221122</c:v>
                </c:pt>
                <c:pt idx="68">
                  <c:v>0.36167429692609537</c:v>
                </c:pt>
                <c:pt idx="69">
                  <c:v>0.29823455233291307</c:v>
                </c:pt>
                <c:pt idx="70">
                  <c:v>0.16605616605616597</c:v>
                </c:pt>
                <c:pt idx="71">
                  <c:v>0.15588416512630918</c:v>
                </c:pt>
                <c:pt idx="72">
                  <c:v>0.25063613231552168</c:v>
                </c:pt>
                <c:pt idx="73">
                  <c:v>0.19962917181705797</c:v>
                </c:pt>
                <c:pt idx="74">
                  <c:v>0.1743119266055046</c:v>
                </c:pt>
                <c:pt idx="75">
                  <c:v>0.19076184763047399</c:v>
                </c:pt>
                <c:pt idx="76">
                  <c:v>0.22351500306184935</c:v>
                </c:pt>
                <c:pt idx="77">
                  <c:v>0.22052535125229092</c:v>
                </c:pt>
                <c:pt idx="78">
                  <c:v>0.20312499999999994</c:v>
                </c:pt>
                <c:pt idx="79">
                  <c:v>0.15476839237057224</c:v>
                </c:pt>
                <c:pt idx="80">
                  <c:v>-4.8511047070124852E-2</c:v>
                </c:pt>
                <c:pt idx="81">
                  <c:v>-0.10587663914521618</c:v>
                </c:pt>
                <c:pt idx="82">
                  <c:v>-3.6125654450261807E-2</c:v>
                </c:pt>
                <c:pt idx="83">
                  <c:v>2.7185501066098051E-2</c:v>
                </c:pt>
                <c:pt idx="84">
                  <c:v>-3.2141403865717136E-2</c:v>
                </c:pt>
                <c:pt idx="85">
                  <c:v>-9.2220504894383933E-3</c:v>
                </c:pt>
                <c:pt idx="86">
                  <c:v>4.2739583333333275E-2</c:v>
                </c:pt>
                <c:pt idx="87">
                  <c:v>2.421662468513848E-2</c:v>
                </c:pt>
                <c:pt idx="88">
                  <c:v>4.4219219219219112E-2</c:v>
                </c:pt>
                <c:pt idx="89">
                  <c:v>5.004504504504502E-2</c:v>
                </c:pt>
                <c:pt idx="90">
                  <c:v>8.3645983645983853E-3</c:v>
                </c:pt>
                <c:pt idx="91">
                  <c:v>-2.5899008966493626E-2</c:v>
                </c:pt>
                <c:pt idx="92">
                  <c:v>6.3816254416961107E-2</c:v>
                </c:pt>
                <c:pt idx="93">
                  <c:v>0.15364475828354157</c:v>
                </c:pt>
                <c:pt idx="94">
                  <c:v>0.21571971754481259</c:v>
                </c:pt>
                <c:pt idx="95">
                  <c:v>0.17098598858329017</c:v>
                </c:pt>
                <c:pt idx="96">
                  <c:v>0.19179003684025203</c:v>
                </c:pt>
                <c:pt idx="97">
                  <c:v>0.19458686495762045</c:v>
                </c:pt>
                <c:pt idx="98">
                  <c:v>0.16554448917614858</c:v>
                </c:pt>
                <c:pt idx="99">
                  <c:v>0.15479545711657741</c:v>
                </c:pt>
                <c:pt idx="100">
                  <c:v>0.16914228197569928</c:v>
                </c:pt>
                <c:pt idx="101">
                  <c:v>0.24920042516885213</c:v>
                </c:pt>
                <c:pt idx="102">
                  <c:v>0.29340914619894193</c:v>
                </c:pt>
                <c:pt idx="103">
                  <c:v>0.27204813673623612</c:v>
                </c:pt>
                <c:pt idx="104">
                  <c:v>0.23432917975534071</c:v>
                </c:pt>
                <c:pt idx="105">
                  <c:v>0.12090721610652304</c:v>
                </c:pt>
                <c:pt idx="106">
                  <c:v>-0.12804829009802779</c:v>
                </c:pt>
                <c:pt idx="107">
                  <c:v>-0.217443906243768</c:v>
                </c:pt>
                <c:pt idx="108">
                  <c:v>-0.21216624407452322</c:v>
                </c:pt>
                <c:pt idx="109">
                  <c:v>-0.20027771611145206</c:v>
                </c:pt>
                <c:pt idx="110">
                  <c:v>-0.23541562209394512</c:v>
                </c:pt>
                <c:pt idx="111">
                  <c:v>-0.243745154997487</c:v>
                </c:pt>
                <c:pt idx="112">
                  <c:v>-0.26276217182401074</c:v>
                </c:pt>
                <c:pt idx="113">
                  <c:v>-0.24819807616729189</c:v>
                </c:pt>
                <c:pt idx="114">
                  <c:v>-0.27796893958672175</c:v>
                </c:pt>
                <c:pt idx="115">
                  <c:v>-0.2322577942307838</c:v>
                </c:pt>
                <c:pt idx="116">
                  <c:v>-0.22046323882748683</c:v>
                </c:pt>
                <c:pt idx="117">
                  <c:v>-0.140070989015605</c:v>
                </c:pt>
                <c:pt idx="118">
                  <c:v>8.0843432143680602E-2</c:v>
                </c:pt>
                <c:pt idx="119">
                  <c:v>0.18876109251739973</c:v>
                </c:pt>
                <c:pt idx="120">
                  <c:v>0.19112173333855731</c:v>
                </c:pt>
                <c:pt idx="121">
                  <c:v>0.14099095911735726</c:v>
                </c:pt>
                <c:pt idx="122">
                  <c:v>0.17325336995207805</c:v>
                </c:pt>
                <c:pt idx="123">
                  <c:v>0.17835338379742274</c:v>
                </c:pt>
                <c:pt idx="124">
                  <c:v>0.14903519991102701</c:v>
                </c:pt>
                <c:pt idx="125">
                  <c:v>3.41617901569789E-2</c:v>
                </c:pt>
                <c:pt idx="126">
                  <c:v>5.6691763119451719E-2</c:v>
                </c:pt>
                <c:pt idx="127">
                  <c:v>3.5652808024486247E-2</c:v>
                </c:pt>
                <c:pt idx="128">
                  <c:v>3.479191427035614E-2</c:v>
                </c:pt>
                <c:pt idx="129">
                  <c:v>5.8572970755035023E-2</c:v>
                </c:pt>
                <c:pt idx="130">
                  <c:v>4.0600762330988291E-2</c:v>
                </c:pt>
                <c:pt idx="131">
                  <c:v>8.2009384750970651E-2</c:v>
                </c:pt>
                <c:pt idx="132">
                  <c:v>7.7304787906412958E-2</c:v>
                </c:pt>
                <c:pt idx="133">
                  <c:v>0.10706789298935245</c:v>
                </c:pt>
                <c:pt idx="134">
                  <c:v>0.14691438235097415</c:v>
                </c:pt>
                <c:pt idx="135">
                  <c:v>0.18525086153743212</c:v>
                </c:pt>
                <c:pt idx="136">
                  <c:v>0.21348684369721871</c:v>
                </c:pt>
                <c:pt idx="137">
                  <c:v>0.20499204962603787</c:v>
                </c:pt>
                <c:pt idx="138">
                  <c:v>0.19001628987272631</c:v>
                </c:pt>
                <c:pt idx="139">
                  <c:v>0.18254538487330546</c:v>
                </c:pt>
                <c:pt idx="140">
                  <c:v>0.18451904380647385</c:v>
                </c:pt>
                <c:pt idx="141">
                  <c:v>0.13818005629643298</c:v>
                </c:pt>
                <c:pt idx="142">
                  <c:v>0.12822101541713732</c:v>
                </c:pt>
                <c:pt idx="143">
                  <c:v>7.1426055562893553E-2</c:v>
                </c:pt>
                <c:pt idx="144">
                  <c:v>6.8124122168037732E-2</c:v>
                </c:pt>
                <c:pt idx="145">
                  <c:v>7.2521847044831611E-2</c:v>
                </c:pt>
                <c:pt idx="146">
                  <c:v>4.0249251288117585E-2</c:v>
                </c:pt>
                <c:pt idx="147">
                  <c:v>6.8554744996511315E-3</c:v>
                </c:pt>
                <c:pt idx="148">
                  <c:v>-3.5645917748779586E-2</c:v>
                </c:pt>
                <c:pt idx="149">
                  <c:v>-3.9249146757679182E-2</c:v>
                </c:pt>
                <c:pt idx="150">
                  <c:v>-5.1257783717255576E-2</c:v>
                </c:pt>
                <c:pt idx="151">
                  <c:v>-7.6676928062216487E-3</c:v>
                </c:pt>
                <c:pt idx="152">
                  <c:v>1.7851538925769395E-2</c:v>
                </c:pt>
                <c:pt idx="153">
                  <c:v>3.7955849263140801E-2</c:v>
                </c:pt>
                <c:pt idx="154">
                  <c:v>4.7609433047972952E-3</c:v>
                </c:pt>
                <c:pt idx="155">
                  <c:v>5.5680431307606219E-3</c:v>
                </c:pt>
                <c:pt idx="156">
                  <c:v>6.0847122625329103E-4</c:v>
                </c:pt>
                <c:pt idx="157">
                  <c:v>2.7312393028469502E-2</c:v>
                </c:pt>
                <c:pt idx="158">
                  <c:v>-1.2601004236371902E-2</c:v>
                </c:pt>
                <c:pt idx="159">
                  <c:v>-3.686362780712673E-2</c:v>
                </c:pt>
                <c:pt idx="160">
                  <c:v>-5.5333614550508352E-3</c:v>
                </c:pt>
                <c:pt idx="161">
                  <c:v>2.8885488157967341E-2</c:v>
                </c:pt>
                <c:pt idx="162">
                  <c:v>4.032230442526364E-2</c:v>
                </c:pt>
                <c:pt idx="163">
                  <c:v>-6.2860478311092577E-4</c:v>
                </c:pt>
                <c:pt idx="164">
                  <c:v>-4.0484293659357955E-2</c:v>
                </c:pt>
                <c:pt idx="165">
                  <c:v>-5.4929946058269521E-2</c:v>
                </c:pt>
                <c:pt idx="166">
                  <c:v>-2.4519831684879367E-2</c:v>
                </c:pt>
                <c:pt idx="167">
                  <c:v>4.1886656750086048E-3</c:v>
                </c:pt>
                <c:pt idx="168">
                  <c:v>2.169166411590653E-2</c:v>
                </c:pt>
                <c:pt idx="169">
                  <c:v>-2.5000000000000001E-2</c:v>
                </c:pt>
                <c:pt idx="170">
                  <c:v>1.3649911798698327E-2</c:v>
                </c:pt>
                <c:pt idx="171">
                  <c:v>3.9052201286630894E-2</c:v>
                </c:pt>
                <c:pt idx="172">
                  <c:v>3.636658515894009E-2</c:v>
                </c:pt>
                <c:pt idx="173">
                  <c:v>2.8853245217563214E-2</c:v>
                </c:pt>
                <c:pt idx="174">
                  <c:v>2.3696838500983638E-2</c:v>
                </c:pt>
                <c:pt idx="175">
                  <c:v>3.5371048837371348E-3</c:v>
                </c:pt>
                <c:pt idx="176">
                  <c:v>-4.6756884796802858E-3</c:v>
                </c:pt>
                <c:pt idx="177">
                  <c:v>-2.0222852277705681E-2</c:v>
                </c:pt>
                <c:pt idx="178">
                  <c:v>-5.6452343872312717E-2</c:v>
                </c:pt>
                <c:pt idx="179">
                  <c:v>-0.11067703564437825</c:v>
                </c:pt>
                <c:pt idx="180">
                  <c:v>-0.20138212031636979</c:v>
                </c:pt>
                <c:pt idx="181">
                  <c:v>-0.18767230169050725</c:v>
                </c:pt>
                <c:pt idx="182">
                  <c:v>-0.17684358759966556</c:v>
                </c:pt>
                <c:pt idx="183">
                  <c:v>-0.18524877533378159</c:v>
                </c:pt>
                <c:pt idx="184">
                  <c:v>-0.16146830221537392</c:v>
                </c:pt>
                <c:pt idx="185">
                  <c:v>-0.15096870820218336</c:v>
                </c:pt>
                <c:pt idx="186">
                  <c:v>-0.1492337503618178</c:v>
                </c:pt>
                <c:pt idx="187">
                  <c:v>-0.1510791659713715</c:v>
                </c:pt>
                <c:pt idx="188">
                  <c:v>-0.1836182277223625</c:v>
                </c:pt>
                <c:pt idx="189">
                  <c:v>-0.17482841968944698</c:v>
                </c:pt>
                <c:pt idx="190">
                  <c:v>-0.14803332518251994</c:v>
                </c:pt>
                <c:pt idx="191">
                  <c:v>-0.12992367390269796</c:v>
                </c:pt>
                <c:pt idx="192">
                  <c:v>-7.3482188409711463E-2</c:v>
                </c:pt>
                <c:pt idx="193">
                  <c:v>-0.13111944084602076</c:v>
                </c:pt>
                <c:pt idx="194">
                  <c:v>-0.11432417852126535</c:v>
                </c:pt>
                <c:pt idx="195">
                  <c:v>-8.2838434597228588E-2</c:v>
                </c:pt>
                <c:pt idx="196">
                  <c:v>-9.7510204667588682E-2</c:v>
                </c:pt>
                <c:pt idx="197">
                  <c:v>-9.0163431832653282E-2</c:v>
                </c:pt>
                <c:pt idx="198">
                  <c:v>-0.10668500115771914</c:v>
                </c:pt>
                <c:pt idx="199">
                  <c:v>-9.496162125621474E-2</c:v>
                </c:pt>
                <c:pt idx="200">
                  <c:v>-2.5364265942021711E-2</c:v>
                </c:pt>
                <c:pt idx="201">
                  <c:v>1.8556764272861092E-3</c:v>
                </c:pt>
                <c:pt idx="202">
                  <c:v>6.4475127361440475E-3</c:v>
                </c:pt>
                <c:pt idx="203">
                  <c:v>4.9278700767317253E-2</c:v>
                </c:pt>
                <c:pt idx="204">
                  <c:v>0.10937997678624446</c:v>
                </c:pt>
                <c:pt idx="205">
                  <c:v>0.15387100980153173</c:v>
                </c:pt>
                <c:pt idx="206">
                  <c:v>0.1094691440675175</c:v>
                </c:pt>
                <c:pt idx="207">
                  <c:v>9.1471938215335877E-2</c:v>
                </c:pt>
                <c:pt idx="208">
                  <c:v>5.3702093363591941E-2</c:v>
                </c:pt>
                <c:pt idx="209">
                  <c:v>2.511677095267471E-2</c:v>
                </c:pt>
                <c:pt idx="210">
                  <c:v>3.535118436782593E-2</c:v>
                </c:pt>
                <c:pt idx="211">
                  <c:v>6.5417540736973798E-2</c:v>
                </c:pt>
                <c:pt idx="212">
                  <c:v>0.10240164791435843</c:v>
                </c:pt>
                <c:pt idx="213">
                  <c:v>6.3517009475504912E-2</c:v>
                </c:pt>
                <c:pt idx="214">
                  <c:v>9.3103904833682943E-2</c:v>
                </c:pt>
                <c:pt idx="215">
                  <c:v>6.8196057399768403E-2</c:v>
                </c:pt>
                <c:pt idx="216">
                  <c:v>5.7310117958500342E-2</c:v>
                </c:pt>
                <c:pt idx="217">
                  <c:v>7.9692842825138416E-2</c:v>
                </c:pt>
                <c:pt idx="218">
                  <c:v>7.0772517966396775E-2</c:v>
                </c:pt>
                <c:pt idx="219">
                  <c:v>7.6705660673628037E-2</c:v>
                </c:pt>
                <c:pt idx="220">
                  <c:v>0.11093778305589673</c:v>
                </c:pt>
                <c:pt idx="221">
                  <c:v>0.11833987377619554</c:v>
                </c:pt>
                <c:pt idx="222">
                  <c:v>0.11975231059270722</c:v>
                </c:pt>
                <c:pt idx="223">
                  <c:v>0.10263473232531657</c:v>
                </c:pt>
                <c:pt idx="224">
                  <c:v>4.9370307980502876E-2</c:v>
                </c:pt>
                <c:pt idx="225">
                  <c:v>8.7838907627130952E-2</c:v>
                </c:pt>
                <c:pt idx="226">
                  <c:v>3.0970627285644387E-2</c:v>
                </c:pt>
                <c:pt idx="227">
                  <c:v>-3.2047823047217411E-3</c:v>
                </c:pt>
                <c:pt idx="228">
                  <c:v>-5.0392823774698114E-2</c:v>
                </c:pt>
                <c:pt idx="229">
                  <c:v>-5.2005551384433253E-2</c:v>
                </c:pt>
                <c:pt idx="230">
                  <c:v>-4.2957707444153982E-3</c:v>
                </c:pt>
                <c:pt idx="231">
                  <c:v>1.6178722473384782E-2</c:v>
                </c:pt>
                <c:pt idx="232">
                  <c:v>-4.1762920686687363E-3</c:v>
                </c:pt>
                <c:pt idx="233">
                  <c:v>-3.2404078771846513E-2</c:v>
                </c:pt>
                <c:pt idx="234">
                  <c:v>-1.9245510293473579E-2</c:v>
                </c:pt>
                <c:pt idx="235">
                  <c:v>-4.2820488539567055E-2</c:v>
                </c:pt>
                <c:pt idx="236">
                  <c:v>-4.6494478218640972E-2</c:v>
                </c:pt>
                <c:pt idx="237">
                  <c:v>-4.2115244668886609E-2</c:v>
                </c:pt>
                <c:pt idx="238">
                  <c:v>-6.9271541732375385E-3</c:v>
                </c:pt>
                <c:pt idx="239">
                  <c:v>3.4278559189591135E-2</c:v>
                </c:pt>
                <c:pt idx="240">
                  <c:v>6.2004420232255955E-2</c:v>
                </c:pt>
                <c:pt idx="241">
                  <c:v>2.7009254281545103E-2</c:v>
                </c:pt>
                <c:pt idx="242">
                  <c:v>-5.8298772510924961E-2</c:v>
                </c:pt>
                <c:pt idx="243">
                  <c:v>-0.17574246324683587</c:v>
                </c:pt>
                <c:pt idx="244">
                  <c:v>-0.18302645464138859</c:v>
                </c:pt>
                <c:pt idx="245">
                  <c:v>-0.12332051276059802</c:v>
                </c:pt>
                <c:pt idx="246">
                  <c:v>-0.10878809025354728</c:v>
                </c:pt>
                <c:pt idx="247">
                  <c:v>-8.9062360140766114E-2</c:v>
                </c:pt>
                <c:pt idx="248">
                  <c:v>-7.5721992718767034E-2</c:v>
                </c:pt>
                <c:pt idx="249">
                  <c:v>-9.2220493033620926E-2</c:v>
                </c:pt>
                <c:pt idx="250">
                  <c:v>-9.6437184329071376E-2</c:v>
                </c:pt>
                <c:pt idx="251">
                  <c:v>-7.2829718093192095E-2</c:v>
                </c:pt>
                <c:pt idx="252">
                  <c:v>-3.7856487629896303E-2</c:v>
                </c:pt>
                <c:pt idx="253">
                  <c:v>2.3289073344456773E-2</c:v>
                </c:pt>
                <c:pt idx="254">
                  <c:v>0.1324712431340673</c:v>
                </c:pt>
                <c:pt idx="255">
                  <c:v>0.24958103902322226</c:v>
                </c:pt>
                <c:pt idx="256">
                  <c:v>0.27849228884805954</c:v>
                </c:pt>
                <c:pt idx="257">
                  <c:v>0.24203719794659656</c:v>
                </c:pt>
                <c:pt idx="258">
                  <c:v>0.23610661599657554</c:v>
                </c:pt>
                <c:pt idx="259">
                  <c:v>0.24881827866902492</c:v>
                </c:pt>
                <c:pt idx="260">
                  <c:v>0.24781244419500492</c:v>
                </c:pt>
                <c:pt idx="261">
                  <c:v>0.29960894109770364</c:v>
                </c:pt>
                <c:pt idx="262">
                  <c:v>0.33509084682942564</c:v>
                </c:pt>
                <c:pt idx="263">
                  <c:v>0.29631447701702357</c:v>
                </c:pt>
              </c:numCache>
            </c:numRef>
          </c:val>
          <c:smooth val="0"/>
          <c:extLst>
            <c:ext xmlns:c16="http://schemas.microsoft.com/office/drawing/2014/chart" uri="{C3380CC4-5D6E-409C-BE32-E72D297353CC}">
              <c16:uniqueId val="{00000000-D441-8141-8007-3F3BDF24FC38}"/>
            </c:ext>
          </c:extLst>
        </c:ser>
        <c:dLbls>
          <c:showLegendKey val="0"/>
          <c:showVal val="0"/>
          <c:showCatName val="0"/>
          <c:showSerName val="0"/>
          <c:showPercent val="0"/>
          <c:showBubbleSize val="0"/>
        </c:dLbls>
        <c:smooth val="0"/>
        <c:axId val="441892151"/>
        <c:axId val="441886247"/>
      </c:lineChart>
      <c:dateAx>
        <c:axId val="441892151"/>
        <c:scaling>
          <c:orientation val="minMax"/>
        </c:scaling>
        <c:delete val="0"/>
        <c:axPos val="b"/>
        <c:numFmt formatCode="[$-409]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1886247"/>
        <c:crosses val="autoZero"/>
        <c:auto val="0"/>
        <c:lblOffset val="100"/>
        <c:baseTimeUnit val="months"/>
      </c:dateAx>
      <c:valAx>
        <c:axId val="441886247"/>
        <c:scaling>
          <c:orientation val="minMax"/>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1892151"/>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strike="noStrike" kern="1200" spc="0" baseline="0">
                <a:solidFill>
                  <a:schemeClr val="tx1">
                    <a:lumMod val="65000"/>
                    <a:lumOff val="35000"/>
                  </a:schemeClr>
                </a:solidFill>
                <a:latin typeface="+mn-lt"/>
                <a:ea typeface="+mn-ea"/>
                <a:cs typeface="+mn-cs"/>
              </a:defRPr>
            </a:pPr>
            <a:r>
              <a:rPr lang="en-US" b="1"/>
              <a:t>CPI Energy y/y % since 2014</a:t>
            </a:r>
          </a:p>
        </c:rich>
      </c:tx>
      <c:overlay val="0"/>
      <c:spPr>
        <a:noFill/>
        <a:ln>
          <a:noFill/>
          <a:prstDash val="solid"/>
        </a:ln>
      </c:spPr>
    </c:title>
    <c:autoTitleDeleted val="0"/>
    <c:plotArea>
      <c:layout/>
      <c:lineChart>
        <c:grouping val="standard"/>
        <c:varyColors val="0"/>
        <c:ser>
          <c:idx val="2"/>
          <c:order val="0"/>
          <c:tx>
            <c:strRef>
              <c:f>'CPI Energy'!$D$569</c:f>
              <c:strCache>
                <c:ptCount val="1"/>
                <c:pt idx="0">
                  <c:v>2.17%</c:v>
                </c:pt>
              </c:strCache>
            </c:strRef>
          </c:tx>
          <c:spPr>
            <a:ln w="28575" cap="rnd">
              <a:solidFill>
                <a:srgbClr val="0070C0"/>
              </a:solidFill>
              <a:prstDash val="solid"/>
              <a:round/>
            </a:ln>
          </c:spPr>
          <c:marker>
            <c:symbol val="none"/>
          </c:marker>
          <c:cat>
            <c:numRef>
              <c:f>'CPI Energy'!$A$569:$A$902</c:f>
              <c:numCache>
                <c:formatCode>[$-409]mmm\-yy;@</c:formatCode>
                <c:ptCount val="334"/>
                <c:pt idx="0">
                  <c:v>41640</c:v>
                </c:pt>
                <c:pt idx="1">
                  <c:v>41671</c:v>
                </c:pt>
                <c:pt idx="2">
                  <c:v>41699</c:v>
                </c:pt>
                <c:pt idx="3">
                  <c:v>41730</c:v>
                </c:pt>
                <c:pt idx="4">
                  <c:v>41760</c:v>
                </c:pt>
                <c:pt idx="5">
                  <c:v>41791</c:v>
                </c:pt>
                <c:pt idx="6">
                  <c:v>41821</c:v>
                </c:pt>
                <c:pt idx="7">
                  <c:v>41852</c:v>
                </c:pt>
                <c:pt idx="8">
                  <c:v>41883</c:v>
                </c:pt>
                <c:pt idx="9">
                  <c:v>41913</c:v>
                </c:pt>
                <c:pt idx="10">
                  <c:v>41944</c:v>
                </c:pt>
                <c:pt idx="11">
                  <c:v>41974</c:v>
                </c:pt>
                <c:pt idx="12">
                  <c:v>42005</c:v>
                </c:pt>
                <c:pt idx="13">
                  <c:v>42036</c:v>
                </c:pt>
                <c:pt idx="14">
                  <c:v>42064</c:v>
                </c:pt>
                <c:pt idx="15">
                  <c:v>42095</c:v>
                </c:pt>
                <c:pt idx="16">
                  <c:v>42125</c:v>
                </c:pt>
                <c:pt idx="17">
                  <c:v>42156</c:v>
                </c:pt>
                <c:pt idx="18">
                  <c:v>42186</c:v>
                </c:pt>
                <c:pt idx="19">
                  <c:v>42217</c:v>
                </c:pt>
                <c:pt idx="20">
                  <c:v>42248</c:v>
                </c:pt>
                <c:pt idx="21">
                  <c:v>42278</c:v>
                </c:pt>
                <c:pt idx="22">
                  <c:v>42309</c:v>
                </c:pt>
                <c:pt idx="23">
                  <c:v>42339</c:v>
                </c:pt>
                <c:pt idx="24">
                  <c:v>42370</c:v>
                </c:pt>
                <c:pt idx="25">
                  <c:v>42401</c:v>
                </c:pt>
                <c:pt idx="26">
                  <c:v>42430</c:v>
                </c:pt>
                <c:pt idx="27">
                  <c:v>42461</c:v>
                </c:pt>
                <c:pt idx="28">
                  <c:v>42491</c:v>
                </c:pt>
                <c:pt idx="29">
                  <c:v>42522</c:v>
                </c:pt>
                <c:pt idx="30">
                  <c:v>42552</c:v>
                </c:pt>
                <c:pt idx="31">
                  <c:v>42583</c:v>
                </c:pt>
                <c:pt idx="32">
                  <c:v>42614</c:v>
                </c:pt>
                <c:pt idx="33">
                  <c:v>42644</c:v>
                </c:pt>
                <c:pt idx="34">
                  <c:v>42675</c:v>
                </c:pt>
                <c:pt idx="35">
                  <c:v>42705</c:v>
                </c:pt>
                <c:pt idx="36">
                  <c:v>42736</c:v>
                </c:pt>
                <c:pt idx="37">
                  <c:v>42767</c:v>
                </c:pt>
                <c:pt idx="38">
                  <c:v>42795</c:v>
                </c:pt>
                <c:pt idx="39">
                  <c:v>42826</c:v>
                </c:pt>
                <c:pt idx="40">
                  <c:v>42856</c:v>
                </c:pt>
                <c:pt idx="41">
                  <c:v>42887</c:v>
                </c:pt>
                <c:pt idx="42">
                  <c:v>42917</c:v>
                </c:pt>
                <c:pt idx="43">
                  <c:v>42948</c:v>
                </c:pt>
                <c:pt idx="44">
                  <c:v>42979</c:v>
                </c:pt>
                <c:pt idx="45">
                  <c:v>43009</c:v>
                </c:pt>
                <c:pt idx="46">
                  <c:v>43040</c:v>
                </c:pt>
                <c:pt idx="47">
                  <c:v>43070</c:v>
                </c:pt>
                <c:pt idx="48">
                  <c:v>43101</c:v>
                </c:pt>
                <c:pt idx="49">
                  <c:v>43132</c:v>
                </c:pt>
                <c:pt idx="50">
                  <c:v>43160</c:v>
                </c:pt>
                <c:pt idx="51">
                  <c:v>43191</c:v>
                </c:pt>
                <c:pt idx="52">
                  <c:v>43221</c:v>
                </c:pt>
                <c:pt idx="53">
                  <c:v>43252</c:v>
                </c:pt>
                <c:pt idx="54">
                  <c:v>43282</c:v>
                </c:pt>
                <c:pt idx="55">
                  <c:v>43313</c:v>
                </c:pt>
                <c:pt idx="56">
                  <c:v>43344</c:v>
                </c:pt>
                <c:pt idx="57">
                  <c:v>43374</c:v>
                </c:pt>
                <c:pt idx="58">
                  <c:v>43405</c:v>
                </c:pt>
                <c:pt idx="59">
                  <c:v>43435</c:v>
                </c:pt>
                <c:pt idx="60">
                  <c:v>43466</c:v>
                </c:pt>
                <c:pt idx="61">
                  <c:v>43497</c:v>
                </c:pt>
                <c:pt idx="62">
                  <c:v>43525</c:v>
                </c:pt>
                <c:pt idx="63">
                  <c:v>43556</c:v>
                </c:pt>
                <c:pt idx="64">
                  <c:v>43586</c:v>
                </c:pt>
                <c:pt idx="65">
                  <c:v>43617</c:v>
                </c:pt>
                <c:pt idx="66">
                  <c:v>43647</c:v>
                </c:pt>
                <c:pt idx="67">
                  <c:v>43678</c:v>
                </c:pt>
                <c:pt idx="68">
                  <c:v>43709</c:v>
                </c:pt>
                <c:pt idx="69">
                  <c:v>43739</c:v>
                </c:pt>
                <c:pt idx="70">
                  <c:v>43770</c:v>
                </c:pt>
                <c:pt idx="71">
                  <c:v>43800</c:v>
                </c:pt>
                <c:pt idx="72">
                  <c:v>43831</c:v>
                </c:pt>
                <c:pt idx="73">
                  <c:v>43862</c:v>
                </c:pt>
                <c:pt idx="74">
                  <c:v>43891</c:v>
                </c:pt>
                <c:pt idx="75">
                  <c:v>43922</c:v>
                </c:pt>
                <c:pt idx="76">
                  <c:v>43952</c:v>
                </c:pt>
                <c:pt idx="77">
                  <c:v>43983</c:v>
                </c:pt>
                <c:pt idx="78">
                  <c:v>44013</c:v>
                </c:pt>
                <c:pt idx="79">
                  <c:v>44044</c:v>
                </c:pt>
                <c:pt idx="80">
                  <c:v>44075</c:v>
                </c:pt>
                <c:pt idx="81">
                  <c:v>44105</c:v>
                </c:pt>
                <c:pt idx="82">
                  <c:v>44136</c:v>
                </c:pt>
                <c:pt idx="83">
                  <c:v>44166</c:v>
                </c:pt>
                <c:pt idx="84">
                  <c:v>44197</c:v>
                </c:pt>
                <c:pt idx="85">
                  <c:v>44228</c:v>
                </c:pt>
                <c:pt idx="86">
                  <c:v>44256</c:v>
                </c:pt>
                <c:pt idx="87">
                  <c:v>44287</c:v>
                </c:pt>
                <c:pt idx="88">
                  <c:v>44317</c:v>
                </c:pt>
                <c:pt idx="89">
                  <c:v>44348</c:v>
                </c:pt>
                <c:pt idx="90">
                  <c:v>44378</c:v>
                </c:pt>
                <c:pt idx="91">
                  <c:v>44409</c:v>
                </c:pt>
                <c:pt idx="92">
                  <c:v>44440</c:v>
                </c:pt>
                <c:pt idx="93">
                  <c:v>44470</c:v>
                </c:pt>
                <c:pt idx="94">
                  <c:v>44501</c:v>
                </c:pt>
                <c:pt idx="95">
                  <c:v>44531</c:v>
                </c:pt>
              </c:numCache>
            </c:numRef>
          </c:cat>
          <c:val>
            <c:numRef>
              <c:f>'CPI Energy'!$D$569:$D$902</c:f>
              <c:numCache>
                <c:formatCode>0.00%</c:formatCode>
                <c:ptCount val="334"/>
                <c:pt idx="0">
                  <c:v>2.169166411590653E-2</c:v>
                </c:pt>
                <c:pt idx="1">
                  <c:v>-2.5000000000000001E-2</c:v>
                </c:pt>
                <c:pt idx="2">
                  <c:v>1.3649911798698327E-2</c:v>
                </c:pt>
                <c:pt idx="3">
                  <c:v>3.9052201286630894E-2</c:v>
                </c:pt>
                <c:pt idx="4">
                  <c:v>3.636658515894009E-2</c:v>
                </c:pt>
                <c:pt idx="5">
                  <c:v>2.8853245217563214E-2</c:v>
                </c:pt>
                <c:pt idx="6">
                  <c:v>2.3696838500983638E-2</c:v>
                </c:pt>
                <c:pt idx="7">
                  <c:v>3.5371048837371348E-3</c:v>
                </c:pt>
                <c:pt idx="8">
                  <c:v>-4.6756884796802858E-3</c:v>
                </c:pt>
                <c:pt idx="9">
                  <c:v>-2.0222852277705681E-2</c:v>
                </c:pt>
                <c:pt idx="10">
                  <c:v>-5.6452343872312717E-2</c:v>
                </c:pt>
                <c:pt idx="11">
                  <c:v>-0.11067703564437825</c:v>
                </c:pt>
                <c:pt idx="12">
                  <c:v>-0.20138212031636979</c:v>
                </c:pt>
                <c:pt idx="13">
                  <c:v>-0.18767230169050725</c:v>
                </c:pt>
                <c:pt idx="14">
                  <c:v>-0.17684358759966556</c:v>
                </c:pt>
                <c:pt idx="15">
                  <c:v>-0.18524877533378159</c:v>
                </c:pt>
                <c:pt idx="16">
                  <c:v>-0.16146830221537392</c:v>
                </c:pt>
                <c:pt idx="17">
                  <c:v>-0.15096870820218336</c:v>
                </c:pt>
                <c:pt idx="18">
                  <c:v>-0.1492337503618178</c:v>
                </c:pt>
                <c:pt idx="19">
                  <c:v>-0.1510791659713715</c:v>
                </c:pt>
                <c:pt idx="20">
                  <c:v>-0.1836182277223625</c:v>
                </c:pt>
                <c:pt idx="21">
                  <c:v>-0.17482841968944698</c:v>
                </c:pt>
                <c:pt idx="22">
                  <c:v>-0.14803332518251994</c:v>
                </c:pt>
                <c:pt idx="23">
                  <c:v>-0.12992367390269796</c:v>
                </c:pt>
                <c:pt idx="24">
                  <c:v>-7.3482188409711463E-2</c:v>
                </c:pt>
                <c:pt idx="25">
                  <c:v>-0.13111944084602076</c:v>
                </c:pt>
                <c:pt idx="26">
                  <c:v>-0.11432417852126535</c:v>
                </c:pt>
                <c:pt idx="27">
                  <c:v>-8.2838434597228588E-2</c:v>
                </c:pt>
                <c:pt idx="28">
                  <c:v>-9.7510204667588682E-2</c:v>
                </c:pt>
                <c:pt idx="29">
                  <c:v>-9.0163431832653282E-2</c:v>
                </c:pt>
                <c:pt idx="30">
                  <c:v>-0.10668500115771914</c:v>
                </c:pt>
                <c:pt idx="31">
                  <c:v>-9.496162125621474E-2</c:v>
                </c:pt>
                <c:pt idx="32">
                  <c:v>-2.5364265942021711E-2</c:v>
                </c:pt>
                <c:pt idx="33">
                  <c:v>1.8556764272861092E-3</c:v>
                </c:pt>
                <c:pt idx="34">
                  <c:v>6.4475127361440475E-3</c:v>
                </c:pt>
                <c:pt idx="35">
                  <c:v>4.9278700767317253E-2</c:v>
                </c:pt>
                <c:pt idx="36">
                  <c:v>0.10937997678624446</c:v>
                </c:pt>
                <c:pt idx="37">
                  <c:v>0.15387100980153173</c:v>
                </c:pt>
                <c:pt idx="38">
                  <c:v>0.1094691440675175</c:v>
                </c:pt>
                <c:pt idx="39">
                  <c:v>9.1471938215335877E-2</c:v>
                </c:pt>
                <c:pt idx="40">
                  <c:v>5.3702093363591941E-2</c:v>
                </c:pt>
                <c:pt idx="41">
                  <c:v>2.511677095267471E-2</c:v>
                </c:pt>
                <c:pt idx="42">
                  <c:v>3.535118436782593E-2</c:v>
                </c:pt>
                <c:pt idx="43">
                  <c:v>6.5417540736973798E-2</c:v>
                </c:pt>
                <c:pt idx="44">
                  <c:v>0.10240164791435843</c:v>
                </c:pt>
                <c:pt idx="45">
                  <c:v>6.3517009475504912E-2</c:v>
                </c:pt>
                <c:pt idx="46">
                  <c:v>9.3103904833682943E-2</c:v>
                </c:pt>
                <c:pt idx="47">
                  <c:v>6.8196057399768403E-2</c:v>
                </c:pt>
                <c:pt idx="48">
                  <c:v>5.7310117958500342E-2</c:v>
                </c:pt>
                <c:pt idx="49">
                  <c:v>7.9692842825138416E-2</c:v>
                </c:pt>
                <c:pt idx="50">
                  <c:v>7.0772517966396775E-2</c:v>
                </c:pt>
                <c:pt idx="51">
                  <c:v>7.6705660673628037E-2</c:v>
                </c:pt>
                <c:pt idx="52">
                  <c:v>0.11093778305589673</c:v>
                </c:pt>
                <c:pt idx="53">
                  <c:v>0.11833987377619554</c:v>
                </c:pt>
                <c:pt idx="54">
                  <c:v>0.11975231059270722</c:v>
                </c:pt>
                <c:pt idx="55">
                  <c:v>0.10263473232531657</c:v>
                </c:pt>
                <c:pt idx="56">
                  <c:v>4.9370307980502876E-2</c:v>
                </c:pt>
                <c:pt idx="57">
                  <c:v>8.7838907627130952E-2</c:v>
                </c:pt>
                <c:pt idx="58">
                  <c:v>3.0970627285644387E-2</c:v>
                </c:pt>
                <c:pt idx="59">
                  <c:v>-3.2047823047217411E-3</c:v>
                </c:pt>
                <c:pt idx="60">
                  <c:v>-5.0392823774698114E-2</c:v>
                </c:pt>
                <c:pt idx="61">
                  <c:v>-5.2005551384433253E-2</c:v>
                </c:pt>
                <c:pt idx="62">
                  <c:v>-4.2957707444153982E-3</c:v>
                </c:pt>
                <c:pt idx="63">
                  <c:v>1.6178722473384782E-2</c:v>
                </c:pt>
                <c:pt idx="64">
                  <c:v>-4.1762920686687363E-3</c:v>
                </c:pt>
                <c:pt idx="65">
                  <c:v>-3.2404078771846513E-2</c:v>
                </c:pt>
                <c:pt idx="66">
                  <c:v>-1.9245510293473579E-2</c:v>
                </c:pt>
                <c:pt idx="67">
                  <c:v>-4.2820488539567055E-2</c:v>
                </c:pt>
                <c:pt idx="68">
                  <c:v>-4.6494478218640972E-2</c:v>
                </c:pt>
                <c:pt idx="69">
                  <c:v>-4.2115244668886609E-2</c:v>
                </c:pt>
                <c:pt idx="70">
                  <c:v>-6.9271541732375385E-3</c:v>
                </c:pt>
                <c:pt idx="71">
                  <c:v>3.4278559189591135E-2</c:v>
                </c:pt>
                <c:pt idx="72">
                  <c:v>6.2004420232255955E-2</c:v>
                </c:pt>
                <c:pt idx="73">
                  <c:v>2.7009254281545103E-2</c:v>
                </c:pt>
                <c:pt idx="74">
                  <c:v>-5.8298772510924961E-2</c:v>
                </c:pt>
                <c:pt idx="75">
                  <c:v>-0.17574246324683587</c:v>
                </c:pt>
                <c:pt idx="76">
                  <c:v>-0.18302645464138859</c:v>
                </c:pt>
                <c:pt idx="77">
                  <c:v>-0.12332051276059802</c:v>
                </c:pt>
                <c:pt idx="78">
                  <c:v>-0.10878809025354728</c:v>
                </c:pt>
                <c:pt idx="79">
                  <c:v>-8.9062360140766114E-2</c:v>
                </c:pt>
                <c:pt idx="80">
                  <c:v>-7.5721992718767034E-2</c:v>
                </c:pt>
                <c:pt idx="81">
                  <c:v>-9.2220493033620926E-2</c:v>
                </c:pt>
                <c:pt idx="82">
                  <c:v>-9.6437184329071376E-2</c:v>
                </c:pt>
                <c:pt idx="83">
                  <c:v>-7.2829718093192095E-2</c:v>
                </c:pt>
                <c:pt idx="84">
                  <c:v>-3.7856487629896303E-2</c:v>
                </c:pt>
                <c:pt idx="85">
                  <c:v>2.3289073344456773E-2</c:v>
                </c:pt>
                <c:pt idx="86">
                  <c:v>0.1324712431340673</c:v>
                </c:pt>
                <c:pt idx="87">
                  <c:v>0.24958103902322226</c:v>
                </c:pt>
                <c:pt idx="88">
                  <c:v>0.27849228884805954</c:v>
                </c:pt>
                <c:pt idx="89">
                  <c:v>0.24203719794659656</c:v>
                </c:pt>
                <c:pt idx="90">
                  <c:v>0.23610661599657554</c:v>
                </c:pt>
                <c:pt idx="91">
                  <c:v>0.24881827866902492</c:v>
                </c:pt>
                <c:pt idx="92">
                  <c:v>0.24781244419500492</c:v>
                </c:pt>
                <c:pt idx="93">
                  <c:v>0.29960894109770364</c:v>
                </c:pt>
                <c:pt idx="94">
                  <c:v>0.33509084682942564</c:v>
                </c:pt>
                <c:pt idx="95">
                  <c:v>0.29631447701702357</c:v>
                </c:pt>
              </c:numCache>
            </c:numRef>
          </c:val>
          <c:smooth val="0"/>
          <c:extLst>
            <c:ext xmlns:c16="http://schemas.microsoft.com/office/drawing/2014/chart" uri="{C3380CC4-5D6E-409C-BE32-E72D297353CC}">
              <c16:uniqueId val="{00000000-1B17-6941-8B81-6F3B93ABF08A}"/>
            </c:ext>
          </c:extLst>
        </c:ser>
        <c:dLbls>
          <c:showLegendKey val="0"/>
          <c:showVal val="0"/>
          <c:showCatName val="0"/>
          <c:showSerName val="0"/>
          <c:showPercent val="0"/>
          <c:showBubbleSize val="0"/>
        </c:dLbls>
        <c:smooth val="0"/>
        <c:axId val="441892151"/>
        <c:axId val="441886247"/>
      </c:lineChart>
      <c:dateAx>
        <c:axId val="441892151"/>
        <c:scaling>
          <c:orientation val="minMax"/>
        </c:scaling>
        <c:delete val="0"/>
        <c:axPos val="b"/>
        <c:numFmt formatCode="[$-409]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1886247"/>
        <c:crosses val="autoZero"/>
        <c:auto val="0"/>
        <c:lblOffset val="100"/>
        <c:baseTimeUnit val="months"/>
      </c:dateAx>
      <c:valAx>
        <c:axId val="441886247"/>
        <c:scaling>
          <c:orientation val="minMax"/>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1892151"/>
        <c:crosses val="autoZero"/>
        <c:crossBetween val="between"/>
      </c:valAx>
    </c:plotArea>
    <c:plotVisOnly val="1"/>
    <c:dispBlanksAs val="gap"/>
    <c:showDLblsOverMax val="0"/>
  </c:chart>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strike="noStrike" kern="1200" spc="0" baseline="0">
                <a:solidFill>
                  <a:schemeClr val="tx1">
                    <a:lumMod val="65000"/>
                    <a:lumOff val="35000"/>
                  </a:schemeClr>
                </a:solidFill>
                <a:latin typeface="+mn-lt"/>
                <a:ea typeface="+mn-ea"/>
                <a:cs typeface="+mn-cs"/>
              </a:defRPr>
            </a:pPr>
            <a:r>
              <a:rPr lang="en-GB" b="1"/>
              <a:t>Core CPI (lhs)</a:t>
            </a:r>
            <a:r>
              <a:rPr lang="en-GB" b="1" baseline="0"/>
              <a:t> vs Fed Fund Target (rhs)</a:t>
            </a:r>
            <a:endParaRPr lang="en-GB" b="1"/>
          </a:p>
        </c:rich>
      </c:tx>
      <c:overlay val="0"/>
      <c:spPr>
        <a:noFill/>
        <a:ln>
          <a:noFill/>
          <a:prstDash val="solid"/>
        </a:ln>
      </c:spPr>
    </c:title>
    <c:autoTitleDeleted val="0"/>
    <c:plotArea>
      <c:layout/>
      <c:lineChart>
        <c:grouping val="standard"/>
        <c:varyColors val="0"/>
        <c:ser>
          <c:idx val="2"/>
          <c:order val="0"/>
          <c:tx>
            <c:strRef>
              <c:f>'Core CPI'!$D$4</c:f>
              <c:strCache>
                <c:ptCount val="1"/>
                <c:pt idx="0">
                  <c:v>All Items Less Food &amp; Energy y/y %</c:v>
                </c:pt>
              </c:strCache>
            </c:strRef>
          </c:tx>
          <c:spPr>
            <a:ln w="28575" cap="rnd">
              <a:solidFill>
                <a:schemeClr val="accent3"/>
              </a:solidFill>
              <a:prstDash val="solid"/>
              <a:round/>
            </a:ln>
          </c:spPr>
          <c:marker>
            <c:symbol val="none"/>
          </c:marker>
          <c:cat>
            <c:numRef>
              <c:f>'Core CPI'!$A$53:$A$666</c:f>
              <c:numCache>
                <c:formatCode>[$-409]mmm\-yy;@</c:formatCode>
                <c:ptCount val="614"/>
                <c:pt idx="0">
                  <c:v>25934</c:v>
                </c:pt>
                <c:pt idx="1">
                  <c:v>25965</c:v>
                </c:pt>
                <c:pt idx="2">
                  <c:v>25993</c:v>
                </c:pt>
                <c:pt idx="3">
                  <c:v>26024</c:v>
                </c:pt>
                <c:pt idx="4">
                  <c:v>26054</c:v>
                </c:pt>
                <c:pt idx="5">
                  <c:v>26085</c:v>
                </c:pt>
                <c:pt idx="6">
                  <c:v>26115</c:v>
                </c:pt>
                <c:pt idx="7">
                  <c:v>26146</c:v>
                </c:pt>
                <c:pt idx="8">
                  <c:v>26177</c:v>
                </c:pt>
                <c:pt idx="9">
                  <c:v>26207</c:v>
                </c:pt>
                <c:pt idx="10">
                  <c:v>26238</c:v>
                </c:pt>
                <c:pt idx="11">
                  <c:v>26268</c:v>
                </c:pt>
                <c:pt idx="12">
                  <c:v>26299</c:v>
                </c:pt>
                <c:pt idx="13">
                  <c:v>26330</c:v>
                </c:pt>
                <c:pt idx="14">
                  <c:v>26359</c:v>
                </c:pt>
                <c:pt idx="15">
                  <c:v>26390</c:v>
                </c:pt>
                <c:pt idx="16">
                  <c:v>26420</c:v>
                </c:pt>
                <c:pt idx="17">
                  <c:v>26451</c:v>
                </c:pt>
                <c:pt idx="18">
                  <c:v>26481</c:v>
                </c:pt>
                <c:pt idx="19">
                  <c:v>26512</c:v>
                </c:pt>
                <c:pt idx="20">
                  <c:v>26543</c:v>
                </c:pt>
                <c:pt idx="21">
                  <c:v>26573</c:v>
                </c:pt>
                <c:pt idx="22">
                  <c:v>26604</c:v>
                </c:pt>
                <c:pt idx="23">
                  <c:v>26634</c:v>
                </c:pt>
                <c:pt idx="24">
                  <c:v>26665</c:v>
                </c:pt>
                <c:pt idx="25">
                  <c:v>26696</c:v>
                </c:pt>
                <c:pt idx="26">
                  <c:v>26724</c:v>
                </c:pt>
                <c:pt idx="27">
                  <c:v>26755</c:v>
                </c:pt>
                <c:pt idx="28">
                  <c:v>26785</c:v>
                </c:pt>
                <c:pt idx="29">
                  <c:v>26816</c:v>
                </c:pt>
                <c:pt idx="30">
                  <c:v>26846</c:v>
                </c:pt>
                <c:pt idx="31">
                  <c:v>26877</c:v>
                </c:pt>
                <c:pt idx="32">
                  <c:v>26908</c:v>
                </c:pt>
                <c:pt idx="33">
                  <c:v>26938</c:v>
                </c:pt>
                <c:pt idx="34">
                  <c:v>26969</c:v>
                </c:pt>
                <c:pt idx="35">
                  <c:v>26999</c:v>
                </c:pt>
                <c:pt idx="36">
                  <c:v>27030</c:v>
                </c:pt>
                <c:pt idx="37">
                  <c:v>27061</c:v>
                </c:pt>
                <c:pt idx="38">
                  <c:v>27089</c:v>
                </c:pt>
                <c:pt idx="39">
                  <c:v>27120</c:v>
                </c:pt>
                <c:pt idx="40">
                  <c:v>27150</c:v>
                </c:pt>
                <c:pt idx="41">
                  <c:v>27181</c:v>
                </c:pt>
                <c:pt idx="42">
                  <c:v>27211</c:v>
                </c:pt>
                <c:pt idx="43">
                  <c:v>27242</c:v>
                </c:pt>
                <c:pt idx="44">
                  <c:v>27273</c:v>
                </c:pt>
                <c:pt idx="45">
                  <c:v>27303</c:v>
                </c:pt>
                <c:pt idx="46">
                  <c:v>27334</c:v>
                </c:pt>
                <c:pt idx="47">
                  <c:v>27364</c:v>
                </c:pt>
                <c:pt idx="48">
                  <c:v>27395</c:v>
                </c:pt>
                <c:pt idx="49">
                  <c:v>27426</c:v>
                </c:pt>
                <c:pt idx="50">
                  <c:v>27454</c:v>
                </c:pt>
                <c:pt idx="51">
                  <c:v>27485</c:v>
                </c:pt>
                <c:pt idx="52">
                  <c:v>27515</c:v>
                </c:pt>
                <c:pt idx="53">
                  <c:v>27546</c:v>
                </c:pt>
                <c:pt idx="54">
                  <c:v>27576</c:v>
                </c:pt>
                <c:pt idx="55">
                  <c:v>27607</c:v>
                </c:pt>
                <c:pt idx="56">
                  <c:v>27638</c:v>
                </c:pt>
                <c:pt idx="57">
                  <c:v>27668</c:v>
                </c:pt>
                <c:pt idx="58">
                  <c:v>27699</c:v>
                </c:pt>
                <c:pt idx="59">
                  <c:v>27729</c:v>
                </c:pt>
                <c:pt idx="60">
                  <c:v>27760</c:v>
                </c:pt>
                <c:pt idx="61">
                  <c:v>27791</c:v>
                </c:pt>
                <c:pt idx="62">
                  <c:v>27820</c:v>
                </c:pt>
                <c:pt idx="63">
                  <c:v>27851</c:v>
                </c:pt>
                <c:pt idx="64">
                  <c:v>27881</c:v>
                </c:pt>
                <c:pt idx="65">
                  <c:v>27912</c:v>
                </c:pt>
                <c:pt idx="66">
                  <c:v>27942</c:v>
                </c:pt>
                <c:pt idx="67">
                  <c:v>27973</c:v>
                </c:pt>
                <c:pt idx="68">
                  <c:v>28004</c:v>
                </c:pt>
                <c:pt idx="69">
                  <c:v>28034</c:v>
                </c:pt>
                <c:pt idx="70">
                  <c:v>28065</c:v>
                </c:pt>
                <c:pt idx="71">
                  <c:v>28095</c:v>
                </c:pt>
                <c:pt idx="72">
                  <c:v>28126</c:v>
                </c:pt>
                <c:pt idx="73">
                  <c:v>28157</c:v>
                </c:pt>
                <c:pt idx="74">
                  <c:v>28185</c:v>
                </c:pt>
                <c:pt idx="75">
                  <c:v>28216</c:v>
                </c:pt>
                <c:pt idx="76">
                  <c:v>28246</c:v>
                </c:pt>
                <c:pt idx="77">
                  <c:v>28277</c:v>
                </c:pt>
                <c:pt idx="78">
                  <c:v>28307</c:v>
                </c:pt>
                <c:pt idx="79">
                  <c:v>28338</c:v>
                </c:pt>
                <c:pt idx="80">
                  <c:v>28369</c:v>
                </c:pt>
                <c:pt idx="81">
                  <c:v>28399</c:v>
                </c:pt>
                <c:pt idx="82">
                  <c:v>28430</c:v>
                </c:pt>
                <c:pt idx="83">
                  <c:v>28460</c:v>
                </c:pt>
                <c:pt idx="84">
                  <c:v>28491</c:v>
                </c:pt>
                <c:pt idx="85">
                  <c:v>28522</c:v>
                </c:pt>
                <c:pt idx="86">
                  <c:v>28550</c:v>
                </c:pt>
                <c:pt idx="87">
                  <c:v>28581</c:v>
                </c:pt>
                <c:pt idx="88">
                  <c:v>28611</c:v>
                </c:pt>
                <c:pt idx="89">
                  <c:v>28642</c:v>
                </c:pt>
                <c:pt idx="90">
                  <c:v>28672</c:v>
                </c:pt>
                <c:pt idx="91">
                  <c:v>28703</c:v>
                </c:pt>
                <c:pt idx="92">
                  <c:v>28734</c:v>
                </c:pt>
                <c:pt idx="93">
                  <c:v>28764</c:v>
                </c:pt>
                <c:pt idx="94">
                  <c:v>28795</c:v>
                </c:pt>
                <c:pt idx="95">
                  <c:v>28825</c:v>
                </c:pt>
                <c:pt idx="96">
                  <c:v>28856</c:v>
                </c:pt>
                <c:pt idx="97">
                  <c:v>28887</c:v>
                </c:pt>
                <c:pt idx="98">
                  <c:v>28915</c:v>
                </c:pt>
                <c:pt idx="99">
                  <c:v>28946</c:v>
                </c:pt>
                <c:pt idx="100">
                  <c:v>28976</c:v>
                </c:pt>
                <c:pt idx="101">
                  <c:v>29007</c:v>
                </c:pt>
                <c:pt idx="102">
                  <c:v>29037</c:v>
                </c:pt>
                <c:pt idx="103">
                  <c:v>29068</c:v>
                </c:pt>
                <c:pt idx="104">
                  <c:v>29099</c:v>
                </c:pt>
                <c:pt idx="105">
                  <c:v>29129</c:v>
                </c:pt>
                <c:pt idx="106">
                  <c:v>29160</c:v>
                </c:pt>
                <c:pt idx="107">
                  <c:v>29190</c:v>
                </c:pt>
                <c:pt idx="108">
                  <c:v>29221</c:v>
                </c:pt>
                <c:pt idx="109">
                  <c:v>29252</c:v>
                </c:pt>
                <c:pt idx="110">
                  <c:v>29281</c:v>
                </c:pt>
                <c:pt idx="111">
                  <c:v>29312</c:v>
                </c:pt>
                <c:pt idx="112">
                  <c:v>29342</c:v>
                </c:pt>
                <c:pt idx="113">
                  <c:v>29373</c:v>
                </c:pt>
                <c:pt idx="114">
                  <c:v>29403</c:v>
                </c:pt>
                <c:pt idx="115">
                  <c:v>29434</c:v>
                </c:pt>
                <c:pt idx="116">
                  <c:v>29465</c:v>
                </c:pt>
                <c:pt idx="117">
                  <c:v>29495</c:v>
                </c:pt>
                <c:pt idx="118">
                  <c:v>29526</c:v>
                </c:pt>
                <c:pt idx="119">
                  <c:v>29556</c:v>
                </c:pt>
                <c:pt idx="120">
                  <c:v>29587</c:v>
                </c:pt>
                <c:pt idx="121">
                  <c:v>29618</c:v>
                </c:pt>
                <c:pt idx="122">
                  <c:v>29646</c:v>
                </c:pt>
                <c:pt idx="123">
                  <c:v>29677</c:v>
                </c:pt>
                <c:pt idx="124">
                  <c:v>29707</c:v>
                </c:pt>
                <c:pt idx="125">
                  <c:v>29738</c:v>
                </c:pt>
                <c:pt idx="126">
                  <c:v>29768</c:v>
                </c:pt>
                <c:pt idx="127">
                  <c:v>29799</c:v>
                </c:pt>
                <c:pt idx="128">
                  <c:v>29830</c:v>
                </c:pt>
                <c:pt idx="129">
                  <c:v>29860</c:v>
                </c:pt>
                <c:pt idx="130">
                  <c:v>29891</c:v>
                </c:pt>
                <c:pt idx="131">
                  <c:v>29921</c:v>
                </c:pt>
                <c:pt idx="132">
                  <c:v>29952</c:v>
                </c:pt>
                <c:pt idx="133">
                  <c:v>29983</c:v>
                </c:pt>
                <c:pt idx="134">
                  <c:v>30011</c:v>
                </c:pt>
                <c:pt idx="135">
                  <c:v>30042</c:v>
                </c:pt>
                <c:pt idx="136">
                  <c:v>30072</c:v>
                </c:pt>
                <c:pt idx="137">
                  <c:v>30103</c:v>
                </c:pt>
                <c:pt idx="138">
                  <c:v>30133</c:v>
                </c:pt>
                <c:pt idx="139">
                  <c:v>30164</c:v>
                </c:pt>
                <c:pt idx="140">
                  <c:v>30195</c:v>
                </c:pt>
                <c:pt idx="141">
                  <c:v>30225</c:v>
                </c:pt>
                <c:pt idx="142">
                  <c:v>30256</c:v>
                </c:pt>
                <c:pt idx="143">
                  <c:v>30286</c:v>
                </c:pt>
                <c:pt idx="144">
                  <c:v>30317</c:v>
                </c:pt>
                <c:pt idx="145">
                  <c:v>30348</c:v>
                </c:pt>
                <c:pt idx="146">
                  <c:v>30376</c:v>
                </c:pt>
                <c:pt idx="147">
                  <c:v>30407</c:v>
                </c:pt>
                <c:pt idx="148">
                  <c:v>30437</c:v>
                </c:pt>
                <c:pt idx="149">
                  <c:v>30468</c:v>
                </c:pt>
                <c:pt idx="150">
                  <c:v>30498</c:v>
                </c:pt>
                <c:pt idx="151">
                  <c:v>30529</c:v>
                </c:pt>
                <c:pt idx="152">
                  <c:v>30560</c:v>
                </c:pt>
                <c:pt idx="153">
                  <c:v>30590</c:v>
                </c:pt>
                <c:pt idx="154">
                  <c:v>30621</c:v>
                </c:pt>
                <c:pt idx="155">
                  <c:v>30651</c:v>
                </c:pt>
                <c:pt idx="156">
                  <c:v>30682</c:v>
                </c:pt>
                <c:pt idx="157">
                  <c:v>30713</c:v>
                </c:pt>
                <c:pt idx="158">
                  <c:v>30742</c:v>
                </c:pt>
                <c:pt idx="159">
                  <c:v>30773</c:v>
                </c:pt>
                <c:pt idx="160">
                  <c:v>30803</c:v>
                </c:pt>
                <c:pt idx="161">
                  <c:v>30834</c:v>
                </c:pt>
                <c:pt idx="162">
                  <c:v>30864</c:v>
                </c:pt>
                <c:pt idx="163">
                  <c:v>30895</c:v>
                </c:pt>
                <c:pt idx="164">
                  <c:v>30926</c:v>
                </c:pt>
                <c:pt idx="165">
                  <c:v>30956</c:v>
                </c:pt>
                <c:pt idx="166">
                  <c:v>30987</c:v>
                </c:pt>
                <c:pt idx="167">
                  <c:v>31017</c:v>
                </c:pt>
                <c:pt idx="168">
                  <c:v>31048</c:v>
                </c:pt>
                <c:pt idx="169">
                  <c:v>31079</c:v>
                </c:pt>
                <c:pt idx="170">
                  <c:v>31107</c:v>
                </c:pt>
                <c:pt idx="171">
                  <c:v>31138</c:v>
                </c:pt>
                <c:pt idx="172">
                  <c:v>31168</c:v>
                </c:pt>
                <c:pt idx="173">
                  <c:v>31199</c:v>
                </c:pt>
                <c:pt idx="174">
                  <c:v>31229</c:v>
                </c:pt>
                <c:pt idx="175">
                  <c:v>31260</c:v>
                </c:pt>
                <c:pt idx="176">
                  <c:v>31291</c:v>
                </c:pt>
                <c:pt idx="177">
                  <c:v>31321</c:v>
                </c:pt>
                <c:pt idx="178">
                  <c:v>31352</c:v>
                </c:pt>
                <c:pt idx="179">
                  <c:v>31382</c:v>
                </c:pt>
                <c:pt idx="180">
                  <c:v>31413</c:v>
                </c:pt>
                <c:pt idx="181">
                  <c:v>31444</c:v>
                </c:pt>
                <c:pt idx="182">
                  <c:v>31472</c:v>
                </c:pt>
                <c:pt idx="183">
                  <c:v>31503</c:v>
                </c:pt>
                <c:pt idx="184">
                  <c:v>31533</c:v>
                </c:pt>
                <c:pt idx="185">
                  <c:v>31564</c:v>
                </c:pt>
                <c:pt idx="186">
                  <c:v>31594</c:v>
                </c:pt>
                <c:pt idx="187">
                  <c:v>31625</c:v>
                </c:pt>
                <c:pt idx="188">
                  <c:v>31656</c:v>
                </c:pt>
                <c:pt idx="189">
                  <c:v>31686</c:v>
                </c:pt>
                <c:pt idx="190">
                  <c:v>31717</c:v>
                </c:pt>
                <c:pt idx="191">
                  <c:v>31747</c:v>
                </c:pt>
                <c:pt idx="192">
                  <c:v>31778</c:v>
                </c:pt>
                <c:pt idx="193">
                  <c:v>31809</c:v>
                </c:pt>
                <c:pt idx="194">
                  <c:v>31837</c:v>
                </c:pt>
                <c:pt idx="195">
                  <c:v>31868</c:v>
                </c:pt>
                <c:pt idx="196">
                  <c:v>31898</c:v>
                </c:pt>
                <c:pt idx="197">
                  <c:v>31929</c:v>
                </c:pt>
                <c:pt idx="198">
                  <c:v>31959</c:v>
                </c:pt>
                <c:pt idx="199">
                  <c:v>31990</c:v>
                </c:pt>
                <c:pt idx="200">
                  <c:v>32021</c:v>
                </c:pt>
                <c:pt idx="201">
                  <c:v>32051</c:v>
                </c:pt>
                <c:pt idx="202">
                  <c:v>32082</c:v>
                </c:pt>
                <c:pt idx="203">
                  <c:v>32112</c:v>
                </c:pt>
                <c:pt idx="204">
                  <c:v>32143</c:v>
                </c:pt>
                <c:pt idx="205">
                  <c:v>32174</c:v>
                </c:pt>
                <c:pt idx="206">
                  <c:v>32203</c:v>
                </c:pt>
                <c:pt idx="207">
                  <c:v>32234</c:v>
                </c:pt>
                <c:pt idx="208">
                  <c:v>32264</c:v>
                </c:pt>
                <c:pt idx="209">
                  <c:v>32295</c:v>
                </c:pt>
                <c:pt idx="210">
                  <c:v>32325</c:v>
                </c:pt>
                <c:pt idx="211">
                  <c:v>32356</c:v>
                </c:pt>
                <c:pt idx="212">
                  <c:v>32387</c:v>
                </c:pt>
                <c:pt idx="213">
                  <c:v>32417</c:v>
                </c:pt>
                <c:pt idx="214">
                  <c:v>32448</c:v>
                </c:pt>
                <c:pt idx="215">
                  <c:v>32478</c:v>
                </c:pt>
                <c:pt idx="216">
                  <c:v>32509</c:v>
                </c:pt>
                <c:pt idx="217">
                  <c:v>32540</c:v>
                </c:pt>
                <c:pt idx="218">
                  <c:v>32568</c:v>
                </c:pt>
                <c:pt idx="219">
                  <c:v>32599</c:v>
                </c:pt>
                <c:pt idx="220">
                  <c:v>32629</c:v>
                </c:pt>
                <c:pt idx="221">
                  <c:v>32660</c:v>
                </c:pt>
                <c:pt idx="222">
                  <c:v>32690</c:v>
                </c:pt>
                <c:pt idx="223">
                  <c:v>32721</c:v>
                </c:pt>
                <c:pt idx="224">
                  <c:v>32752</c:v>
                </c:pt>
                <c:pt idx="225">
                  <c:v>32782</c:v>
                </c:pt>
                <c:pt idx="226">
                  <c:v>32813</c:v>
                </c:pt>
                <c:pt idx="227">
                  <c:v>32843</c:v>
                </c:pt>
                <c:pt idx="228">
                  <c:v>32874</c:v>
                </c:pt>
                <c:pt idx="229">
                  <c:v>32905</c:v>
                </c:pt>
                <c:pt idx="230">
                  <c:v>32933</c:v>
                </c:pt>
                <c:pt idx="231">
                  <c:v>32964</c:v>
                </c:pt>
                <c:pt idx="232">
                  <c:v>32994</c:v>
                </c:pt>
                <c:pt idx="233">
                  <c:v>33025</c:v>
                </c:pt>
                <c:pt idx="234">
                  <c:v>33055</c:v>
                </c:pt>
                <c:pt idx="235">
                  <c:v>33086</c:v>
                </c:pt>
                <c:pt idx="236">
                  <c:v>33117</c:v>
                </c:pt>
                <c:pt idx="237">
                  <c:v>33147</c:v>
                </c:pt>
                <c:pt idx="238">
                  <c:v>33178</c:v>
                </c:pt>
                <c:pt idx="239">
                  <c:v>33208</c:v>
                </c:pt>
                <c:pt idx="240">
                  <c:v>33239</c:v>
                </c:pt>
                <c:pt idx="241">
                  <c:v>33270</c:v>
                </c:pt>
                <c:pt idx="242">
                  <c:v>33298</c:v>
                </c:pt>
                <c:pt idx="243">
                  <c:v>33329</c:v>
                </c:pt>
                <c:pt idx="244">
                  <c:v>33359</c:v>
                </c:pt>
                <c:pt idx="245">
                  <c:v>33390</c:v>
                </c:pt>
                <c:pt idx="246">
                  <c:v>33420</c:v>
                </c:pt>
                <c:pt idx="247">
                  <c:v>33451</c:v>
                </c:pt>
                <c:pt idx="248">
                  <c:v>33482</c:v>
                </c:pt>
                <c:pt idx="249">
                  <c:v>33512</c:v>
                </c:pt>
                <c:pt idx="250">
                  <c:v>33543</c:v>
                </c:pt>
                <c:pt idx="251">
                  <c:v>33573</c:v>
                </c:pt>
                <c:pt idx="252">
                  <c:v>33604</c:v>
                </c:pt>
                <c:pt idx="253">
                  <c:v>33635</c:v>
                </c:pt>
                <c:pt idx="254">
                  <c:v>33664</c:v>
                </c:pt>
                <c:pt idx="255">
                  <c:v>33695</c:v>
                </c:pt>
                <c:pt idx="256">
                  <c:v>33725</c:v>
                </c:pt>
                <c:pt idx="257">
                  <c:v>33756</c:v>
                </c:pt>
                <c:pt idx="258">
                  <c:v>33786</c:v>
                </c:pt>
                <c:pt idx="259">
                  <c:v>33817</c:v>
                </c:pt>
                <c:pt idx="260">
                  <c:v>33848</c:v>
                </c:pt>
                <c:pt idx="261">
                  <c:v>33878</c:v>
                </c:pt>
                <c:pt idx="262">
                  <c:v>33909</c:v>
                </c:pt>
                <c:pt idx="263">
                  <c:v>33939</c:v>
                </c:pt>
                <c:pt idx="264">
                  <c:v>33970</c:v>
                </c:pt>
                <c:pt idx="265">
                  <c:v>34001</c:v>
                </c:pt>
                <c:pt idx="266">
                  <c:v>34029</c:v>
                </c:pt>
                <c:pt idx="267">
                  <c:v>34060</c:v>
                </c:pt>
                <c:pt idx="268">
                  <c:v>34090</c:v>
                </c:pt>
                <c:pt idx="269">
                  <c:v>34121</c:v>
                </c:pt>
                <c:pt idx="270">
                  <c:v>34151</c:v>
                </c:pt>
                <c:pt idx="271">
                  <c:v>34182</c:v>
                </c:pt>
                <c:pt idx="272">
                  <c:v>34213</c:v>
                </c:pt>
                <c:pt idx="273">
                  <c:v>34243</c:v>
                </c:pt>
                <c:pt idx="274">
                  <c:v>34274</c:v>
                </c:pt>
                <c:pt idx="275">
                  <c:v>34304</c:v>
                </c:pt>
                <c:pt idx="276">
                  <c:v>34335</c:v>
                </c:pt>
                <c:pt idx="277">
                  <c:v>34366</c:v>
                </c:pt>
                <c:pt idx="278">
                  <c:v>34394</c:v>
                </c:pt>
                <c:pt idx="279">
                  <c:v>34425</c:v>
                </c:pt>
                <c:pt idx="280">
                  <c:v>34455</c:v>
                </c:pt>
                <c:pt idx="281">
                  <c:v>34486</c:v>
                </c:pt>
                <c:pt idx="282">
                  <c:v>34516</c:v>
                </c:pt>
                <c:pt idx="283">
                  <c:v>34547</c:v>
                </c:pt>
                <c:pt idx="284">
                  <c:v>34578</c:v>
                </c:pt>
                <c:pt idx="285">
                  <c:v>34608</c:v>
                </c:pt>
                <c:pt idx="286">
                  <c:v>34639</c:v>
                </c:pt>
                <c:pt idx="287">
                  <c:v>34669</c:v>
                </c:pt>
                <c:pt idx="288">
                  <c:v>34700</c:v>
                </c:pt>
                <c:pt idx="289">
                  <c:v>34731</c:v>
                </c:pt>
                <c:pt idx="290">
                  <c:v>34759</c:v>
                </c:pt>
                <c:pt idx="291">
                  <c:v>34790</c:v>
                </c:pt>
                <c:pt idx="292">
                  <c:v>34820</c:v>
                </c:pt>
                <c:pt idx="293">
                  <c:v>34851</c:v>
                </c:pt>
                <c:pt idx="294">
                  <c:v>34881</c:v>
                </c:pt>
                <c:pt idx="295">
                  <c:v>34912</c:v>
                </c:pt>
                <c:pt idx="296">
                  <c:v>34943</c:v>
                </c:pt>
                <c:pt idx="297">
                  <c:v>34973</c:v>
                </c:pt>
                <c:pt idx="298">
                  <c:v>35004</c:v>
                </c:pt>
                <c:pt idx="299">
                  <c:v>35034</c:v>
                </c:pt>
                <c:pt idx="300">
                  <c:v>35065</c:v>
                </c:pt>
                <c:pt idx="301">
                  <c:v>35096</c:v>
                </c:pt>
                <c:pt idx="302">
                  <c:v>35125</c:v>
                </c:pt>
                <c:pt idx="303">
                  <c:v>35156</c:v>
                </c:pt>
                <c:pt idx="304">
                  <c:v>35186</c:v>
                </c:pt>
                <c:pt idx="305">
                  <c:v>35217</c:v>
                </c:pt>
                <c:pt idx="306">
                  <c:v>35247</c:v>
                </c:pt>
                <c:pt idx="307">
                  <c:v>35278</c:v>
                </c:pt>
                <c:pt idx="308">
                  <c:v>35309</c:v>
                </c:pt>
                <c:pt idx="309">
                  <c:v>35339</c:v>
                </c:pt>
                <c:pt idx="310">
                  <c:v>35370</c:v>
                </c:pt>
                <c:pt idx="311">
                  <c:v>35400</c:v>
                </c:pt>
                <c:pt idx="312">
                  <c:v>35431</c:v>
                </c:pt>
                <c:pt idx="313">
                  <c:v>35462</c:v>
                </c:pt>
                <c:pt idx="314">
                  <c:v>35490</c:v>
                </c:pt>
                <c:pt idx="315">
                  <c:v>35521</c:v>
                </c:pt>
                <c:pt idx="316">
                  <c:v>35551</c:v>
                </c:pt>
                <c:pt idx="317">
                  <c:v>35582</c:v>
                </c:pt>
                <c:pt idx="318">
                  <c:v>35612</c:v>
                </c:pt>
                <c:pt idx="319">
                  <c:v>35643</c:v>
                </c:pt>
                <c:pt idx="320">
                  <c:v>35674</c:v>
                </c:pt>
                <c:pt idx="321">
                  <c:v>35704</c:v>
                </c:pt>
                <c:pt idx="322">
                  <c:v>35735</c:v>
                </c:pt>
                <c:pt idx="323">
                  <c:v>35765</c:v>
                </c:pt>
                <c:pt idx="324">
                  <c:v>35796</c:v>
                </c:pt>
                <c:pt idx="325">
                  <c:v>35827</c:v>
                </c:pt>
                <c:pt idx="326">
                  <c:v>35855</c:v>
                </c:pt>
                <c:pt idx="327">
                  <c:v>35886</c:v>
                </c:pt>
                <c:pt idx="328">
                  <c:v>35916</c:v>
                </c:pt>
                <c:pt idx="329">
                  <c:v>35947</c:v>
                </c:pt>
                <c:pt idx="330">
                  <c:v>35977</c:v>
                </c:pt>
                <c:pt idx="331">
                  <c:v>36008</c:v>
                </c:pt>
                <c:pt idx="332">
                  <c:v>36039</c:v>
                </c:pt>
                <c:pt idx="333">
                  <c:v>36069</c:v>
                </c:pt>
                <c:pt idx="334">
                  <c:v>36100</c:v>
                </c:pt>
                <c:pt idx="335">
                  <c:v>36130</c:v>
                </c:pt>
                <c:pt idx="336">
                  <c:v>36161</c:v>
                </c:pt>
                <c:pt idx="337">
                  <c:v>36192</c:v>
                </c:pt>
                <c:pt idx="338">
                  <c:v>36220</c:v>
                </c:pt>
                <c:pt idx="339">
                  <c:v>36251</c:v>
                </c:pt>
                <c:pt idx="340">
                  <c:v>36281</c:v>
                </c:pt>
                <c:pt idx="341">
                  <c:v>36312</c:v>
                </c:pt>
                <c:pt idx="342">
                  <c:v>36342</c:v>
                </c:pt>
                <c:pt idx="343">
                  <c:v>36373</c:v>
                </c:pt>
                <c:pt idx="344">
                  <c:v>36404</c:v>
                </c:pt>
                <c:pt idx="345">
                  <c:v>36434</c:v>
                </c:pt>
                <c:pt idx="346">
                  <c:v>36465</c:v>
                </c:pt>
                <c:pt idx="347">
                  <c:v>36495</c:v>
                </c:pt>
                <c:pt idx="348">
                  <c:v>36526</c:v>
                </c:pt>
                <c:pt idx="349">
                  <c:v>36557</c:v>
                </c:pt>
                <c:pt idx="350">
                  <c:v>36586</c:v>
                </c:pt>
                <c:pt idx="351">
                  <c:v>36617</c:v>
                </c:pt>
                <c:pt idx="352">
                  <c:v>36647</c:v>
                </c:pt>
                <c:pt idx="353">
                  <c:v>36678</c:v>
                </c:pt>
                <c:pt idx="354">
                  <c:v>36708</c:v>
                </c:pt>
                <c:pt idx="355">
                  <c:v>36739</c:v>
                </c:pt>
                <c:pt idx="356">
                  <c:v>36770</c:v>
                </c:pt>
                <c:pt idx="357">
                  <c:v>36800</c:v>
                </c:pt>
                <c:pt idx="358">
                  <c:v>36831</c:v>
                </c:pt>
                <c:pt idx="359">
                  <c:v>36861</c:v>
                </c:pt>
                <c:pt idx="360">
                  <c:v>36892</c:v>
                </c:pt>
                <c:pt idx="361">
                  <c:v>36923</c:v>
                </c:pt>
                <c:pt idx="362">
                  <c:v>36951</c:v>
                </c:pt>
                <c:pt idx="363">
                  <c:v>36982</c:v>
                </c:pt>
                <c:pt idx="364">
                  <c:v>37012</c:v>
                </c:pt>
                <c:pt idx="365">
                  <c:v>37043</c:v>
                </c:pt>
                <c:pt idx="366">
                  <c:v>37073</c:v>
                </c:pt>
                <c:pt idx="367">
                  <c:v>37104</c:v>
                </c:pt>
                <c:pt idx="368">
                  <c:v>37135</c:v>
                </c:pt>
                <c:pt idx="369">
                  <c:v>37165</c:v>
                </c:pt>
                <c:pt idx="370">
                  <c:v>37196</c:v>
                </c:pt>
                <c:pt idx="371">
                  <c:v>37226</c:v>
                </c:pt>
                <c:pt idx="372">
                  <c:v>37257</c:v>
                </c:pt>
                <c:pt idx="373">
                  <c:v>37288</c:v>
                </c:pt>
                <c:pt idx="374">
                  <c:v>37316</c:v>
                </c:pt>
                <c:pt idx="375">
                  <c:v>37347</c:v>
                </c:pt>
                <c:pt idx="376">
                  <c:v>37377</c:v>
                </c:pt>
                <c:pt idx="377">
                  <c:v>37408</c:v>
                </c:pt>
                <c:pt idx="378">
                  <c:v>37438</c:v>
                </c:pt>
                <c:pt idx="379">
                  <c:v>37469</c:v>
                </c:pt>
                <c:pt idx="380">
                  <c:v>37500</c:v>
                </c:pt>
                <c:pt idx="381">
                  <c:v>37530</c:v>
                </c:pt>
                <c:pt idx="382">
                  <c:v>37561</c:v>
                </c:pt>
                <c:pt idx="383">
                  <c:v>37591</c:v>
                </c:pt>
                <c:pt idx="384">
                  <c:v>37622</c:v>
                </c:pt>
                <c:pt idx="385">
                  <c:v>37653</c:v>
                </c:pt>
                <c:pt idx="386">
                  <c:v>37681</c:v>
                </c:pt>
                <c:pt idx="387">
                  <c:v>37712</c:v>
                </c:pt>
                <c:pt idx="388">
                  <c:v>37742</c:v>
                </c:pt>
                <c:pt idx="389">
                  <c:v>37773</c:v>
                </c:pt>
                <c:pt idx="390">
                  <c:v>37803</c:v>
                </c:pt>
                <c:pt idx="391">
                  <c:v>37834</c:v>
                </c:pt>
                <c:pt idx="392">
                  <c:v>37865</c:v>
                </c:pt>
                <c:pt idx="393">
                  <c:v>37895</c:v>
                </c:pt>
                <c:pt idx="394">
                  <c:v>37926</c:v>
                </c:pt>
                <c:pt idx="395">
                  <c:v>37956</c:v>
                </c:pt>
                <c:pt idx="396">
                  <c:v>37987</c:v>
                </c:pt>
                <c:pt idx="397">
                  <c:v>38018</c:v>
                </c:pt>
                <c:pt idx="398">
                  <c:v>38047</c:v>
                </c:pt>
                <c:pt idx="399">
                  <c:v>38078</c:v>
                </c:pt>
                <c:pt idx="400">
                  <c:v>38108</c:v>
                </c:pt>
                <c:pt idx="401">
                  <c:v>38139</c:v>
                </c:pt>
                <c:pt idx="402">
                  <c:v>38169</c:v>
                </c:pt>
                <c:pt idx="403">
                  <c:v>38200</c:v>
                </c:pt>
                <c:pt idx="404">
                  <c:v>38231</c:v>
                </c:pt>
                <c:pt idx="405">
                  <c:v>38261</c:v>
                </c:pt>
                <c:pt idx="406">
                  <c:v>38292</c:v>
                </c:pt>
                <c:pt idx="407">
                  <c:v>38322</c:v>
                </c:pt>
                <c:pt idx="408">
                  <c:v>38353</c:v>
                </c:pt>
                <c:pt idx="409">
                  <c:v>38384</c:v>
                </c:pt>
                <c:pt idx="410">
                  <c:v>38412</c:v>
                </c:pt>
                <c:pt idx="411">
                  <c:v>38443</c:v>
                </c:pt>
                <c:pt idx="412">
                  <c:v>38473</c:v>
                </c:pt>
                <c:pt idx="413">
                  <c:v>38504</c:v>
                </c:pt>
                <c:pt idx="414">
                  <c:v>38534</c:v>
                </c:pt>
                <c:pt idx="415">
                  <c:v>38565</c:v>
                </c:pt>
                <c:pt idx="416">
                  <c:v>38596</c:v>
                </c:pt>
                <c:pt idx="417">
                  <c:v>38626</c:v>
                </c:pt>
                <c:pt idx="418">
                  <c:v>38657</c:v>
                </c:pt>
                <c:pt idx="419">
                  <c:v>38687</c:v>
                </c:pt>
                <c:pt idx="420">
                  <c:v>38718</c:v>
                </c:pt>
                <c:pt idx="421">
                  <c:v>38749</c:v>
                </c:pt>
                <c:pt idx="422">
                  <c:v>38777</c:v>
                </c:pt>
                <c:pt idx="423">
                  <c:v>38808</c:v>
                </c:pt>
                <c:pt idx="424">
                  <c:v>38838</c:v>
                </c:pt>
                <c:pt idx="425">
                  <c:v>38869</c:v>
                </c:pt>
                <c:pt idx="426">
                  <c:v>38899</c:v>
                </c:pt>
                <c:pt idx="427">
                  <c:v>38930</c:v>
                </c:pt>
                <c:pt idx="428">
                  <c:v>38961</c:v>
                </c:pt>
                <c:pt idx="429">
                  <c:v>38991</c:v>
                </c:pt>
                <c:pt idx="430">
                  <c:v>39022</c:v>
                </c:pt>
                <c:pt idx="431">
                  <c:v>39052</c:v>
                </c:pt>
                <c:pt idx="432">
                  <c:v>39083</c:v>
                </c:pt>
                <c:pt idx="433">
                  <c:v>39114</c:v>
                </c:pt>
                <c:pt idx="434">
                  <c:v>39142</c:v>
                </c:pt>
                <c:pt idx="435">
                  <c:v>39173</c:v>
                </c:pt>
                <c:pt idx="436">
                  <c:v>39203</c:v>
                </c:pt>
                <c:pt idx="437">
                  <c:v>39234</c:v>
                </c:pt>
                <c:pt idx="438">
                  <c:v>39264</c:v>
                </c:pt>
                <c:pt idx="439">
                  <c:v>39295</c:v>
                </c:pt>
                <c:pt idx="440">
                  <c:v>39326</c:v>
                </c:pt>
                <c:pt idx="441">
                  <c:v>39356</c:v>
                </c:pt>
                <c:pt idx="442">
                  <c:v>39387</c:v>
                </c:pt>
                <c:pt idx="443">
                  <c:v>39417</c:v>
                </c:pt>
                <c:pt idx="444">
                  <c:v>39448</c:v>
                </c:pt>
                <c:pt idx="445">
                  <c:v>39479</c:v>
                </c:pt>
                <c:pt idx="446">
                  <c:v>39508</c:v>
                </c:pt>
                <c:pt idx="447">
                  <c:v>39539</c:v>
                </c:pt>
                <c:pt idx="448">
                  <c:v>39569</c:v>
                </c:pt>
                <c:pt idx="449">
                  <c:v>39600</c:v>
                </c:pt>
                <c:pt idx="450">
                  <c:v>39630</c:v>
                </c:pt>
                <c:pt idx="451">
                  <c:v>39661</c:v>
                </c:pt>
                <c:pt idx="452">
                  <c:v>39692</c:v>
                </c:pt>
                <c:pt idx="453">
                  <c:v>39722</c:v>
                </c:pt>
                <c:pt idx="454">
                  <c:v>39753</c:v>
                </c:pt>
                <c:pt idx="455">
                  <c:v>39783</c:v>
                </c:pt>
                <c:pt idx="456">
                  <c:v>39814</c:v>
                </c:pt>
                <c:pt idx="457">
                  <c:v>39845</c:v>
                </c:pt>
                <c:pt idx="458">
                  <c:v>39873</c:v>
                </c:pt>
                <c:pt idx="459">
                  <c:v>39904</c:v>
                </c:pt>
                <c:pt idx="460">
                  <c:v>39934</c:v>
                </c:pt>
                <c:pt idx="461">
                  <c:v>39965</c:v>
                </c:pt>
                <c:pt idx="462">
                  <c:v>39995</c:v>
                </c:pt>
                <c:pt idx="463">
                  <c:v>40026</c:v>
                </c:pt>
                <c:pt idx="464">
                  <c:v>40057</c:v>
                </c:pt>
                <c:pt idx="465">
                  <c:v>40087</c:v>
                </c:pt>
                <c:pt idx="466">
                  <c:v>40118</c:v>
                </c:pt>
                <c:pt idx="467">
                  <c:v>40148</c:v>
                </c:pt>
                <c:pt idx="468">
                  <c:v>40179</c:v>
                </c:pt>
                <c:pt idx="469">
                  <c:v>40210</c:v>
                </c:pt>
                <c:pt idx="470">
                  <c:v>40238</c:v>
                </c:pt>
                <c:pt idx="471">
                  <c:v>40269</c:v>
                </c:pt>
                <c:pt idx="472">
                  <c:v>40299</c:v>
                </c:pt>
                <c:pt idx="473">
                  <c:v>40330</c:v>
                </c:pt>
                <c:pt idx="474">
                  <c:v>40360</c:v>
                </c:pt>
                <c:pt idx="475">
                  <c:v>40391</c:v>
                </c:pt>
                <c:pt idx="476">
                  <c:v>40422</c:v>
                </c:pt>
                <c:pt idx="477">
                  <c:v>40452</c:v>
                </c:pt>
                <c:pt idx="478">
                  <c:v>40483</c:v>
                </c:pt>
                <c:pt idx="479">
                  <c:v>40513</c:v>
                </c:pt>
                <c:pt idx="480">
                  <c:v>40544</c:v>
                </c:pt>
                <c:pt idx="481">
                  <c:v>40575</c:v>
                </c:pt>
                <c:pt idx="482">
                  <c:v>40603</c:v>
                </c:pt>
                <c:pt idx="483">
                  <c:v>40634</c:v>
                </c:pt>
                <c:pt idx="484">
                  <c:v>40664</c:v>
                </c:pt>
                <c:pt idx="485">
                  <c:v>40695</c:v>
                </c:pt>
                <c:pt idx="486">
                  <c:v>40725</c:v>
                </c:pt>
                <c:pt idx="487">
                  <c:v>40756</c:v>
                </c:pt>
                <c:pt idx="488">
                  <c:v>40787</c:v>
                </c:pt>
                <c:pt idx="489">
                  <c:v>40817</c:v>
                </c:pt>
                <c:pt idx="490">
                  <c:v>40848</c:v>
                </c:pt>
                <c:pt idx="491">
                  <c:v>40878</c:v>
                </c:pt>
                <c:pt idx="492">
                  <c:v>40909</c:v>
                </c:pt>
                <c:pt idx="493">
                  <c:v>40940</c:v>
                </c:pt>
                <c:pt idx="494">
                  <c:v>40969</c:v>
                </c:pt>
                <c:pt idx="495">
                  <c:v>41000</c:v>
                </c:pt>
                <c:pt idx="496">
                  <c:v>41030</c:v>
                </c:pt>
                <c:pt idx="497">
                  <c:v>41061</c:v>
                </c:pt>
                <c:pt idx="498">
                  <c:v>41091</c:v>
                </c:pt>
                <c:pt idx="499">
                  <c:v>41122</c:v>
                </c:pt>
                <c:pt idx="500">
                  <c:v>41153</c:v>
                </c:pt>
                <c:pt idx="501">
                  <c:v>41183</c:v>
                </c:pt>
                <c:pt idx="502">
                  <c:v>41214</c:v>
                </c:pt>
                <c:pt idx="503">
                  <c:v>41244</c:v>
                </c:pt>
                <c:pt idx="504">
                  <c:v>41275</c:v>
                </c:pt>
                <c:pt idx="505">
                  <c:v>41306</c:v>
                </c:pt>
                <c:pt idx="506">
                  <c:v>41334</c:v>
                </c:pt>
                <c:pt idx="507">
                  <c:v>41365</c:v>
                </c:pt>
                <c:pt idx="508">
                  <c:v>41395</c:v>
                </c:pt>
                <c:pt idx="509">
                  <c:v>41426</c:v>
                </c:pt>
                <c:pt idx="510">
                  <c:v>41456</c:v>
                </c:pt>
                <c:pt idx="511">
                  <c:v>41487</c:v>
                </c:pt>
                <c:pt idx="512">
                  <c:v>41518</c:v>
                </c:pt>
                <c:pt idx="513">
                  <c:v>41548</c:v>
                </c:pt>
                <c:pt idx="514">
                  <c:v>41579</c:v>
                </c:pt>
                <c:pt idx="515">
                  <c:v>41609</c:v>
                </c:pt>
                <c:pt idx="516">
                  <c:v>41640</c:v>
                </c:pt>
                <c:pt idx="517">
                  <c:v>41671</c:v>
                </c:pt>
                <c:pt idx="518">
                  <c:v>41699</c:v>
                </c:pt>
                <c:pt idx="519">
                  <c:v>41730</c:v>
                </c:pt>
                <c:pt idx="520">
                  <c:v>41760</c:v>
                </c:pt>
                <c:pt idx="521">
                  <c:v>41791</c:v>
                </c:pt>
                <c:pt idx="522">
                  <c:v>41821</c:v>
                </c:pt>
                <c:pt idx="523">
                  <c:v>41852</c:v>
                </c:pt>
                <c:pt idx="524">
                  <c:v>41883</c:v>
                </c:pt>
                <c:pt idx="525">
                  <c:v>41913</c:v>
                </c:pt>
                <c:pt idx="526">
                  <c:v>41944</c:v>
                </c:pt>
                <c:pt idx="527">
                  <c:v>41974</c:v>
                </c:pt>
                <c:pt idx="528">
                  <c:v>42005</c:v>
                </c:pt>
                <c:pt idx="529">
                  <c:v>42036</c:v>
                </c:pt>
                <c:pt idx="530">
                  <c:v>42064</c:v>
                </c:pt>
                <c:pt idx="531">
                  <c:v>42095</c:v>
                </c:pt>
                <c:pt idx="532">
                  <c:v>42125</c:v>
                </c:pt>
                <c:pt idx="533">
                  <c:v>42156</c:v>
                </c:pt>
                <c:pt idx="534">
                  <c:v>42186</c:v>
                </c:pt>
                <c:pt idx="535">
                  <c:v>42217</c:v>
                </c:pt>
                <c:pt idx="536">
                  <c:v>42248</c:v>
                </c:pt>
                <c:pt idx="537">
                  <c:v>42278</c:v>
                </c:pt>
                <c:pt idx="538">
                  <c:v>42309</c:v>
                </c:pt>
                <c:pt idx="539">
                  <c:v>42339</c:v>
                </c:pt>
                <c:pt idx="540">
                  <c:v>42370</c:v>
                </c:pt>
                <c:pt idx="541">
                  <c:v>42401</c:v>
                </c:pt>
                <c:pt idx="542">
                  <c:v>42430</c:v>
                </c:pt>
                <c:pt idx="543">
                  <c:v>42461</c:v>
                </c:pt>
                <c:pt idx="544">
                  <c:v>42491</c:v>
                </c:pt>
                <c:pt idx="545">
                  <c:v>42522</c:v>
                </c:pt>
                <c:pt idx="546">
                  <c:v>42552</c:v>
                </c:pt>
                <c:pt idx="547">
                  <c:v>42583</c:v>
                </c:pt>
                <c:pt idx="548">
                  <c:v>42614</c:v>
                </c:pt>
                <c:pt idx="549">
                  <c:v>42644</c:v>
                </c:pt>
                <c:pt idx="550">
                  <c:v>42675</c:v>
                </c:pt>
                <c:pt idx="551">
                  <c:v>42705</c:v>
                </c:pt>
                <c:pt idx="552">
                  <c:v>42736</c:v>
                </c:pt>
                <c:pt idx="553">
                  <c:v>42767</c:v>
                </c:pt>
                <c:pt idx="554">
                  <c:v>42795</c:v>
                </c:pt>
                <c:pt idx="555">
                  <c:v>42826</c:v>
                </c:pt>
                <c:pt idx="556">
                  <c:v>42856</c:v>
                </c:pt>
                <c:pt idx="557">
                  <c:v>42887</c:v>
                </c:pt>
                <c:pt idx="558">
                  <c:v>42917</c:v>
                </c:pt>
                <c:pt idx="559">
                  <c:v>42948</c:v>
                </c:pt>
                <c:pt idx="560">
                  <c:v>42979</c:v>
                </c:pt>
                <c:pt idx="561">
                  <c:v>43009</c:v>
                </c:pt>
                <c:pt idx="562">
                  <c:v>43040</c:v>
                </c:pt>
                <c:pt idx="563">
                  <c:v>43070</c:v>
                </c:pt>
                <c:pt idx="564">
                  <c:v>43101</c:v>
                </c:pt>
                <c:pt idx="565">
                  <c:v>43132</c:v>
                </c:pt>
                <c:pt idx="566">
                  <c:v>43160</c:v>
                </c:pt>
                <c:pt idx="567">
                  <c:v>43191</c:v>
                </c:pt>
                <c:pt idx="568">
                  <c:v>43221</c:v>
                </c:pt>
                <c:pt idx="569">
                  <c:v>43252</c:v>
                </c:pt>
                <c:pt idx="570">
                  <c:v>43282</c:v>
                </c:pt>
                <c:pt idx="571">
                  <c:v>43313</c:v>
                </c:pt>
                <c:pt idx="572">
                  <c:v>43344</c:v>
                </c:pt>
                <c:pt idx="573">
                  <c:v>43374</c:v>
                </c:pt>
                <c:pt idx="574">
                  <c:v>43405</c:v>
                </c:pt>
                <c:pt idx="575">
                  <c:v>43435</c:v>
                </c:pt>
                <c:pt idx="576">
                  <c:v>43466</c:v>
                </c:pt>
                <c:pt idx="577">
                  <c:v>43497</c:v>
                </c:pt>
                <c:pt idx="578">
                  <c:v>43525</c:v>
                </c:pt>
                <c:pt idx="579">
                  <c:v>43556</c:v>
                </c:pt>
                <c:pt idx="580">
                  <c:v>43586</c:v>
                </c:pt>
                <c:pt idx="581">
                  <c:v>43617</c:v>
                </c:pt>
                <c:pt idx="582">
                  <c:v>43647</c:v>
                </c:pt>
                <c:pt idx="583">
                  <c:v>43678</c:v>
                </c:pt>
                <c:pt idx="584">
                  <c:v>43709</c:v>
                </c:pt>
                <c:pt idx="585">
                  <c:v>43739</c:v>
                </c:pt>
                <c:pt idx="586">
                  <c:v>43770</c:v>
                </c:pt>
                <c:pt idx="587">
                  <c:v>43800</c:v>
                </c:pt>
                <c:pt idx="588">
                  <c:v>43831</c:v>
                </c:pt>
                <c:pt idx="589">
                  <c:v>43862</c:v>
                </c:pt>
                <c:pt idx="590">
                  <c:v>43891</c:v>
                </c:pt>
                <c:pt idx="591">
                  <c:v>43922</c:v>
                </c:pt>
                <c:pt idx="592">
                  <c:v>43952</c:v>
                </c:pt>
                <c:pt idx="593">
                  <c:v>43983</c:v>
                </c:pt>
                <c:pt idx="594">
                  <c:v>44013</c:v>
                </c:pt>
                <c:pt idx="595">
                  <c:v>44044</c:v>
                </c:pt>
                <c:pt idx="596">
                  <c:v>44075</c:v>
                </c:pt>
                <c:pt idx="597">
                  <c:v>44105</c:v>
                </c:pt>
                <c:pt idx="598">
                  <c:v>44136</c:v>
                </c:pt>
                <c:pt idx="599">
                  <c:v>44166</c:v>
                </c:pt>
                <c:pt idx="600">
                  <c:v>44197</c:v>
                </c:pt>
                <c:pt idx="601">
                  <c:v>44228</c:v>
                </c:pt>
                <c:pt idx="602">
                  <c:v>44256</c:v>
                </c:pt>
                <c:pt idx="603">
                  <c:v>44287</c:v>
                </c:pt>
                <c:pt idx="604">
                  <c:v>44317</c:v>
                </c:pt>
                <c:pt idx="605">
                  <c:v>44348</c:v>
                </c:pt>
                <c:pt idx="606">
                  <c:v>44378</c:v>
                </c:pt>
                <c:pt idx="607">
                  <c:v>44409</c:v>
                </c:pt>
                <c:pt idx="608">
                  <c:v>44440</c:v>
                </c:pt>
                <c:pt idx="609">
                  <c:v>44470</c:v>
                </c:pt>
                <c:pt idx="610">
                  <c:v>44501</c:v>
                </c:pt>
                <c:pt idx="611">
                  <c:v>44531</c:v>
                </c:pt>
              </c:numCache>
            </c:numRef>
          </c:cat>
          <c:val>
            <c:numRef>
              <c:f>'Core CPI'!$D$53:$D$666</c:f>
              <c:numCache>
                <c:formatCode>0.00%</c:formatCode>
                <c:ptCount val="614"/>
                <c:pt idx="0">
                  <c:v>6.3131313131313135E-2</c:v>
                </c:pt>
                <c:pt idx="1">
                  <c:v>6.0301507537688592E-2</c:v>
                </c:pt>
                <c:pt idx="2">
                  <c:v>5.2369077306733201E-2</c:v>
                </c:pt>
                <c:pt idx="3">
                  <c:v>4.9504950495049507E-2</c:v>
                </c:pt>
                <c:pt idx="4">
                  <c:v>5.1851851851851885E-2</c:v>
                </c:pt>
                <c:pt idx="5">
                  <c:v>4.9019607843137261E-2</c:v>
                </c:pt>
                <c:pt idx="6">
                  <c:v>4.8899755501222497E-2</c:v>
                </c:pt>
                <c:pt idx="7">
                  <c:v>4.6228710462287069E-2</c:v>
                </c:pt>
                <c:pt idx="8">
                  <c:v>4.1162227602905638E-2</c:v>
                </c:pt>
                <c:pt idx="9">
                  <c:v>3.8554216867469911E-2</c:v>
                </c:pt>
                <c:pt idx="10">
                  <c:v>3.3492822966507317E-2</c:v>
                </c:pt>
                <c:pt idx="11">
                  <c:v>3.0952380952380884E-2</c:v>
                </c:pt>
                <c:pt idx="12">
                  <c:v>3.3254156769596165E-2</c:v>
                </c:pt>
                <c:pt idx="13">
                  <c:v>3.3175355450236928E-2</c:v>
                </c:pt>
                <c:pt idx="14">
                  <c:v>3.3175355450236928E-2</c:v>
                </c:pt>
                <c:pt idx="15">
                  <c:v>3.3018867924528267E-2</c:v>
                </c:pt>
                <c:pt idx="16">
                  <c:v>3.0516431924882563E-2</c:v>
                </c:pt>
                <c:pt idx="17">
                  <c:v>2.8037383177570162E-2</c:v>
                </c:pt>
                <c:pt idx="18">
                  <c:v>2.7972027972028038E-2</c:v>
                </c:pt>
                <c:pt idx="19">
                  <c:v>3.0232558139534817E-2</c:v>
                </c:pt>
                <c:pt idx="20">
                  <c:v>3.0232558139534817E-2</c:v>
                </c:pt>
                <c:pt idx="21">
                  <c:v>3.0162412993039376E-2</c:v>
                </c:pt>
                <c:pt idx="22">
                  <c:v>2.7777777777777676E-2</c:v>
                </c:pt>
                <c:pt idx="23">
                  <c:v>3.002309468822181E-2</c:v>
                </c:pt>
                <c:pt idx="24">
                  <c:v>2.5287356321839115E-2</c:v>
                </c:pt>
                <c:pt idx="25">
                  <c:v>2.7522935779816415E-2</c:v>
                </c:pt>
                <c:pt idx="26">
                  <c:v>3.2110091743119233E-2</c:v>
                </c:pt>
                <c:pt idx="27">
                  <c:v>2.9680365296803752E-2</c:v>
                </c:pt>
                <c:pt idx="28">
                  <c:v>3.1890660592255093E-2</c:v>
                </c:pt>
                <c:pt idx="29">
                  <c:v>3.1818181818181787E-2</c:v>
                </c:pt>
                <c:pt idx="30">
                  <c:v>3.174603174603171E-2</c:v>
                </c:pt>
                <c:pt idx="31">
                  <c:v>3.1602708803611872E-2</c:v>
                </c:pt>
                <c:pt idx="32">
                  <c:v>3.8374717832957178E-2</c:v>
                </c:pt>
                <c:pt idx="33">
                  <c:v>4.2792792792792765E-2</c:v>
                </c:pt>
                <c:pt idx="34">
                  <c:v>4.7297297297297328E-2</c:v>
                </c:pt>
                <c:pt idx="35">
                  <c:v>4.7085201793722005E-2</c:v>
                </c:pt>
                <c:pt idx="36">
                  <c:v>5.1569506726457333E-2</c:v>
                </c:pt>
                <c:pt idx="37">
                  <c:v>5.35714285714287E-2</c:v>
                </c:pt>
                <c:pt idx="38">
                  <c:v>5.777777777777781E-2</c:v>
                </c:pt>
                <c:pt idx="39">
                  <c:v>6.208425720620836E-2</c:v>
                </c:pt>
                <c:pt idx="40">
                  <c:v>7.064017660044157E-2</c:v>
                </c:pt>
                <c:pt idx="41">
                  <c:v>7.929515418502206E-2</c:v>
                </c:pt>
                <c:pt idx="42">
                  <c:v>8.7912087912087919E-2</c:v>
                </c:pt>
                <c:pt idx="43">
                  <c:v>9.8468271334792121E-2</c:v>
                </c:pt>
                <c:pt idx="44">
                  <c:v>0.10217391304347832</c:v>
                </c:pt>
                <c:pt idx="45">
                  <c:v>0.10583153347732194</c:v>
                </c:pt>
                <c:pt idx="46">
                  <c:v>0.10967741935483874</c:v>
                </c:pt>
                <c:pt idx="47">
                  <c:v>0.11349036402569586</c:v>
                </c:pt>
                <c:pt idx="48">
                  <c:v>0.11513859275053302</c:v>
                </c:pt>
                <c:pt idx="49">
                  <c:v>0.11864406779661005</c:v>
                </c:pt>
                <c:pt idx="50">
                  <c:v>0.11344537815126048</c:v>
                </c:pt>
                <c:pt idx="51">
                  <c:v>0.11273486430062628</c:v>
                </c:pt>
                <c:pt idx="52">
                  <c:v>0.10309278350515463</c:v>
                </c:pt>
                <c:pt idx="53">
                  <c:v>9.7959183673469327E-2</c:v>
                </c:pt>
                <c:pt idx="54">
                  <c:v>9.0909090909090912E-2</c:v>
                </c:pt>
                <c:pt idx="55">
                  <c:v>7.9681274900398405E-2</c:v>
                </c:pt>
                <c:pt idx="56">
                  <c:v>7.4950690335305659E-2</c:v>
                </c:pt>
                <c:pt idx="57">
                  <c:v>7.0312499999999889E-2</c:v>
                </c:pt>
                <c:pt idx="58">
                  <c:v>6.9767441860465143E-2</c:v>
                </c:pt>
                <c:pt idx="59">
                  <c:v>6.7307692307692304E-2</c:v>
                </c:pt>
                <c:pt idx="60">
                  <c:v>6.8833652007648211E-2</c:v>
                </c:pt>
                <c:pt idx="61">
                  <c:v>6.4393939393939503E-2</c:v>
                </c:pt>
                <c:pt idx="62">
                  <c:v>6.6037735849056603E-2</c:v>
                </c:pt>
                <c:pt idx="63">
                  <c:v>6.3789868667917554E-2</c:v>
                </c:pt>
                <c:pt idx="64">
                  <c:v>6.5420560747663545E-2</c:v>
                </c:pt>
                <c:pt idx="65">
                  <c:v>6.3197026022304939E-2</c:v>
                </c:pt>
                <c:pt idx="66">
                  <c:v>6.6666666666666693E-2</c:v>
                </c:pt>
                <c:pt idx="67">
                  <c:v>6.826568265682649E-2</c:v>
                </c:pt>
                <c:pt idx="68">
                  <c:v>6.7889908256880779E-2</c:v>
                </c:pt>
                <c:pt idx="69">
                  <c:v>6.7518248175182538E-2</c:v>
                </c:pt>
                <c:pt idx="70">
                  <c:v>6.3405797101449266E-2</c:v>
                </c:pt>
                <c:pt idx="71">
                  <c:v>6.1261261261261232E-2</c:v>
                </c:pt>
                <c:pt idx="72">
                  <c:v>6.0822898032200333E-2</c:v>
                </c:pt>
                <c:pt idx="73">
                  <c:v>6.2277580071174371E-2</c:v>
                </c:pt>
                <c:pt idx="74">
                  <c:v>6.1946902654867256E-2</c:v>
                </c:pt>
                <c:pt idx="75">
                  <c:v>6.3492063492063391E-2</c:v>
                </c:pt>
                <c:pt idx="76">
                  <c:v>6.3157894736842135E-2</c:v>
                </c:pt>
                <c:pt idx="77">
                  <c:v>6.6433566433566377E-2</c:v>
                </c:pt>
                <c:pt idx="78">
                  <c:v>6.2500000000000028E-2</c:v>
                </c:pt>
                <c:pt idx="79">
                  <c:v>6.2176165803108835E-2</c:v>
                </c:pt>
                <c:pt idx="80">
                  <c:v>6.1855670103092682E-2</c:v>
                </c:pt>
                <c:pt idx="81">
                  <c:v>5.9829059829059832E-2</c:v>
                </c:pt>
                <c:pt idx="82">
                  <c:v>6.132879045996583E-2</c:v>
                </c:pt>
                <c:pt idx="83">
                  <c:v>6.4516129032258132E-2</c:v>
                </c:pt>
                <c:pt idx="84">
                  <c:v>6.4080944350758923E-2</c:v>
                </c:pt>
                <c:pt idx="85">
                  <c:v>6.1976549413735267E-2</c:v>
                </c:pt>
                <c:pt idx="86">
                  <c:v>6.3333333333333283E-2</c:v>
                </c:pt>
                <c:pt idx="87">
                  <c:v>6.633499170812604E-2</c:v>
                </c:pt>
                <c:pt idx="88">
                  <c:v>6.7656765676567684E-2</c:v>
                </c:pt>
                <c:pt idx="89">
                  <c:v>6.8852459016393489E-2</c:v>
                </c:pt>
                <c:pt idx="90">
                  <c:v>7.1895424836601163E-2</c:v>
                </c:pt>
                <c:pt idx="91">
                  <c:v>7.4796747967479579E-2</c:v>
                </c:pt>
                <c:pt idx="92">
                  <c:v>7.9288025889967736E-2</c:v>
                </c:pt>
                <c:pt idx="93">
                  <c:v>8.3870967741935532E-2</c:v>
                </c:pt>
                <c:pt idx="94">
                  <c:v>8.5072231139646834E-2</c:v>
                </c:pt>
                <c:pt idx="95">
                  <c:v>8.4529505582137107E-2</c:v>
                </c:pt>
                <c:pt idx="96">
                  <c:v>8.5578446909667177E-2</c:v>
                </c:pt>
                <c:pt idx="97">
                  <c:v>9.1482649842271363E-2</c:v>
                </c:pt>
                <c:pt idx="98">
                  <c:v>9.4043887147335428E-2</c:v>
                </c:pt>
                <c:pt idx="99">
                  <c:v>9.3312597200622086E-2</c:v>
                </c:pt>
                <c:pt idx="100">
                  <c:v>9.4281298299845342E-2</c:v>
                </c:pt>
                <c:pt idx="101">
                  <c:v>9.3558282208588861E-2</c:v>
                </c:pt>
                <c:pt idx="102">
                  <c:v>9.6036585365853841E-2</c:v>
                </c:pt>
                <c:pt idx="103">
                  <c:v>9.9848714069591671E-2</c:v>
                </c:pt>
                <c:pt idx="104">
                  <c:v>9.8950524737631093E-2</c:v>
                </c:pt>
                <c:pt idx="105">
                  <c:v>0.10119047619047615</c:v>
                </c:pt>
                <c:pt idx="106">
                  <c:v>0.10650887573964501</c:v>
                </c:pt>
                <c:pt idx="107">
                  <c:v>0.1132352941176471</c:v>
                </c:pt>
                <c:pt idx="108">
                  <c:v>0.11970802919708033</c:v>
                </c:pt>
                <c:pt idx="109">
                  <c:v>0.11994219653179186</c:v>
                </c:pt>
                <c:pt idx="110">
                  <c:v>0.12607449856733521</c:v>
                </c:pt>
                <c:pt idx="111">
                  <c:v>0.13086770981507828</c:v>
                </c:pt>
                <c:pt idx="112">
                  <c:v>0.13135593220338979</c:v>
                </c:pt>
                <c:pt idx="113">
                  <c:v>0.1360448807854138</c:v>
                </c:pt>
                <c:pt idx="114">
                  <c:v>0.1237830319888733</c:v>
                </c:pt>
                <c:pt idx="115">
                  <c:v>0.11829436038514435</c:v>
                </c:pt>
                <c:pt idx="116">
                  <c:v>0.1200545702592087</c:v>
                </c:pt>
                <c:pt idx="117">
                  <c:v>0.12162162162162163</c:v>
                </c:pt>
                <c:pt idx="118">
                  <c:v>0.12165775401069531</c:v>
                </c:pt>
                <c:pt idx="119">
                  <c:v>0.12153236459709382</c:v>
                </c:pt>
                <c:pt idx="120">
                  <c:v>0.11342894393741855</c:v>
                </c:pt>
                <c:pt idx="121">
                  <c:v>0.10838709677419363</c:v>
                </c:pt>
                <c:pt idx="122">
                  <c:v>9.9236641221374197E-2</c:v>
                </c:pt>
                <c:pt idx="123">
                  <c:v>9.4339622641509441E-2</c:v>
                </c:pt>
                <c:pt idx="124">
                  <c:v>9.6129837702871451E-2</c:v>
                </c:pt>
                <c:pt idx="125">
                  <c:v>9.3827160493827097E-2</c:v>
                </c:pt>
                <c:pt idx="126">
                  <c:v>0.11138613861386139</c:v>
                </c:pt>
                <c:pt idx="127">
                  <c:v>0.11562115621156219</c:v>
                </c:pt>
                <c:pt idx="128">
                  <c:v>0.11814859926918396</c:v>
                </c:pt>
                <c:pt idx="129">
                  <c:v>0.1096385542168674</c:v>
                </c:pt>
                <c:pt idx="130">
                  <c:v>0.102502979737783</c:v>
                </c:pt>
                <c:pt idx="131">
                  <c:v>9.5406360424028197E-2</c:v>
                </c:pt>
                <c:pt idx="132">
                  <c:v>9.2505854800936663E-2</c:v>
                </c:pt>
                <c:pt idx="133">
                  <c:v>9.1967403958090693E-2</c:v>
                </c:pt>
                <c:pt idx="134">
                  <c:v>8.6805555555555552E-2</c:v>
                </c:pt>
                <c:pt idx="135">
                  <c:v>8.8505747126436815E-2</c:v>
                </c:pt>
                <c:pt idx="136">
                  <c:v>8.6560364464692577E-2</c:v>
                </c:pt>
                <c:pt idx="137">
                  <c:v>8.4650112866817159E-2</c:v>
                </c:pt>
                <c:pt idx="138">
                  <c:v>7.6837416481069107E-2</c:v>
                </c:pt>
                <c:pt idx="139">
                  <c:v>7.0562293274531326E-2</c:v>
                </c:pt>
                <c:pt idx="140">
                  <c:v>5.8823529411764768E-2</c:v>
                </c:pt>
                <c:pt idx="141">
                  <c:v>5.8631921824104302E-2</c:v>
                </c:pt>
                <c:pt idx="142">
                  <c:v>5.1891891891891861E-2</c:v>
                </c:pt>
                <c:pt idx="143">
                  <c:v>4.5161290322580677E-2</c:v>
                </c:pt>
                <c:pt idx="144">
                  <c:v>4.6087888531618409E-2</c:v>
                </c:pt>
                <c:pt idx="145">
                  <c:v>4.4776119402985107E-2</c:v>
                </c:pt>
                <c:pt idx="146">
                  <c:v>4.5793397231096877E-2</c:v>
                </c:pt>
                <c:pt idx="147">
                  <c:v>4.1182682154170973E-2</c:v>
                </c:pt>
                <c:pt idx="148">
                  <c:v>3.668763102725367E-2</c:v>
                </c:pt>
                <c:pt idx="149">
                  <c:v>3.2258064516129122E-2</c:v>
                </c:pt>
                <c:pt idx="150">
                  <c:v>3.2057911065149887E-2</c:v>
                </c:pt>
                <c:pt idx="151">
                  <c:v>3.0895983522142123E-2</c:v>
                </c:pt>
                <c:pt idx="152">
                  <c:v>3.3950617283950588E-2</c:v>
                </c:pt>
                <c:pt idx="153">
                  <c:v>3.5897435897435895E-2</c:v>
                </c:pt>
                <c:pt idx="154">
                  <c:v>4.3165467625899311E-2</c:v>
                </c:pt>
                <c:pt idx="155">
                  <c:v>4.7325102880658373E-2</c:v>
                </c:pt>
                <c:pt idx="156">
                  <c:v>5.0204918032786948E-2</c:v>
                </c:pt>
                <c:pt idx="157">
                  <c:v>4.8979591836734664E-2</c:v>
                </c:pt>
                <c:pt idx="158">
                  <c:v>5.091649694501018E-2</c:v>
                </c:pt>
                <c:pt idx="159">
                  <c:v>5.1724137931034572E-2</c:v>
                </c:pt>
                <c:pt idx="160">
                  <c:v>5.257836198179968E-2</c:v>
                </c:pt>
                <c:pt idx="161">
                  <c:v>5.3427419354838676E-2</c:v>
                </c:pt>
                <c:pt idx="162">
                  <c:v>5.2104208416833699E-2</c:v>
                </c:pt>
                <c:pt idx="163">
                  <c:v>5.2947052947053062E-2</c:v>
                </c:pt>
                <c:pt idx="164">
                  <c:v>5.273631840796017E-2</c:v>
                </c:pt>
                <c:pt idx="165">
                  <c:v>5.148514851485151E-2</c:v>
                </c:pt>
                <c:pt idx="166">
                  <c:v>4.8275862068965572E-2</c:v>
                </c:pt>
                <c:pt idx="167">
                  <c:v>4.9115913555992145E-2</c:v>
                </c:pt>
                <c:pt idx="168">
                  <c:v>4.4878048780487748E-2</c:v>
                </c:pt>
                <c:pt idx="169">
                  <c:v>4.7665369649805507E-2</c:v>
                </c:pt>
                <c:pt idx="170">
                  <c:v>4.7480620155038677E-2</c:v>
                </c:pt>
                <c:pt idx="171">
                  <c:v>4.5323047251687586E-2</c:v>
                </c:pt>
                <c:pt idx="172">
                  <c:v>4.5148895292987538E-2</c:v>
                </c:pt>
                <c:pt idx="173">
                  <c:v>4.4019138755980805E-2</c:v>
                </c:pt>
                <c:pt idx="174">
                  <c:v>4.1904761904761959E-2</c:v>
                </c:pt>
                <c:pt idx="175">
                  <c:v>4.1745730550284549E-2</c:v>
                </c:pt>
                <c:pt idx="176">
                  <c:v>3.9697542533081311E-2</c:v>
                </c:pt>
                <c:pt idx="177">
                  <c:v>4.048964218455741E-2</c:v>
                </c:pt>
                <c:pt idx="178">
                  <c:v>4.4172932330826961E-2</c:v>
                </c:pt>
                <c:pt idx="179">
                  <c:v>4.3071161048689223E-2</c:v>
                </c:pt>
                <c:pt idx="180">
                  <c:v>4.4817927170868459E-2</c:v>
                </c:pt>
                <c:pt idx="181">
                  <c:v>4.1782729805013928E-2</c:v>
                </c:pt>
                <c:pt idx="182">
                  <c:v>4.0703052728954726E-2</c:v>
                </c:pt>
                <c:pt idx="183">
                  <c:v>4.1512915129151291E-2</c:v>
                </c:pt>
                <c:pt idx="184">
                  <c:v>3.9522058823529389E-2</c:v>
                </c:pt>
                <c:pt idx="185">
                  <c:v>3.9413382218148593E-2</c:v>
                </c:pt>
                <c:pt idx="186">
                  <c:v>4.0219378427787854E-2</c:v>
                </c:pt>
                <c:pt idx="187">
                  <c:v>4.0072859744990946E-2</c:v>
                </c:pt>
                <c:pt idx="188">
                  <c:v>4.1818181818181768E-2</c:v>
                </c:pt>
                <c:pt idx="189">
                  <c:v>4.072398190045249E-2</c:v>
                </c:pt>
                <c:pt idx="190">
                  <c:v>3.7803780378037832E-2</c:v>
                </c:pt>
                <c:pt idx="191">
                  <c:v>3.7701974865349985E-2</c:v>
                </c:pt>
                <c:pt idx="192">
                  <c:v>3.5746201966041107E-2</c:v>
                </c:pt>
                <c:pt idx="193">
                  <c:v>3.5650623885918005E-2</c:v>
                </c:pt>
                <c:pt idx="194">
                  <c:v>3.644444444444439E-2</c:v>
                </c:pt>
                <c:pt idx="195">
                  <c:v>3.8972542072630567E-2</c:v>
                </c:pt>
                <c:pt idx="196">
                  <c:v>4.0671971706454542E-2</c:v>
                </c:pt>
                <c:pt idx="197">
                  <c:v>3.968253968253968E-2</c:v>
                </c:pt>
                <c:pt idx="198">
                  <c:v>3.9543057996485061E-2</c:v>
                </c:pt>
                <c:pt idx="199">
                  <c:v>3.9404553415061293E-2</c:v>
                </c:pt>
                <c:pt idx="200">
                  <c:v>4.0139616055846497E-2</c:v>
                </c:pt>
                <c:pt idx="201">
                  <c:v>4.1739130434782584E-2</c:v>
                </c:pt>
                <c:pt idx="202">
                  <c:v>4.1630529054640049E-2</c:v>
                </c:pt>
                <c:pt idx="203">
                  <c:v>4.1522491349481071E-2</c:v>
                </c:pt>
                <c:pt idx="204">
                  <c:v>4.3140638481449521E-2</c:v>
                </c:pt>
                <c:pt idx="205">
                  <c:v>4.3029259896729774E-2</c:v>
                </c:pt>
                <c:pt idx="206">
                  <c:v>4.3739279588336268E-2</c:v>
                </c:pt>
                <c:pt idx="207">
                  <c:v>4.2625745950554135E-2</c:v>
                </c:pt>
                <c:pt idx="208">
                  <c:v>4.2480883602378929E-2</c:v>
                </c:pt>
                <c:pt idx="209">
                  <c:v>4.4953350296861719E-2</c:v>
                </c:pt>
                <c:pt idx="210">
                  <c:v>4.4801352493660164E-2</c:v>
                </c:pt>
                <c:pt idx="211">
                  <c:v>4.4650379106992391E-2</c:v>
                </c:pt>
                <c:pt idx="212">
                  <c:v>4.6140939597315432E-2</c:v>
                </c:pt>
                <c:pt idx="213">
                  <c:v>4.5075125208681184E-2</c:v>
                </c:pt>
                <c:pt idx="214">
                  <c:v>4.5795170691090757E-2</c:v>
                </c:pt>
                <c:pt idx="215">
                  <c:v>4.6511627906976695E-2</c:v>
                </c:pt>
                <c:pt idx="216">
                  <c:v>4.631927212572369E-2</c:v>
                </c:pt>
                <c:pt idx="217">
                  <c:v>4.7029702970297051E-2</c:v>
                </c:pt>
                <c:pt idx="218">
                  <c:v>4.6836483155299938E-2</c:v>
                </c:pt>
                <c:pt idx="219">
                  <c:v>4.4971381847914965E-2</c:v>
                </c:pt>
                <c:pt idx="220">
                  <c:v>4.5639771801141066E-2</c:v>
                </c:pt>
                <c:pt idx="221">
                  <c:v>4.5454545454545525E-2</c:v>
                </c:pt>
                <c:pt idx="222">
                  <c:v>4.5307443365695747E-2</c:v>
                </c:pt>
                <c:pt idx="223">
                  <c:v>4.4354838709677422E-2</c:v>
                </c:pt>
                <c:pt idx="224">
                  <c:v>4.1700080192461929E-2</c:v>
                </c:pt>
                <c:pt idx="225">
                  <c:v>4.3130990415335392E-2</c:v>
                </c:pt>
                <c:pt idx="226">
                  <c:v>4.3789808917197456E-2</c:v>
                </c:pt>
                <c:pt idx="227">
                  <c:v>4.4444444444444398E-2</c:v>
                </c:pt>
                <c:pt idx="228">
                  <c:v>4.4268774703557265E-2</c:v>
                </c:pt>
                <c:pt idx="229">
                  <c:v>4.5705279747832804E-2</c:v>
                </c:pt>
                <c:pt idx="230">
                  <c:v>4.7880690737833548E-2</c:v>
                </c:pt>
                <c:pt idx="231">
                  <c:v>4.8513302034428815E-2</c:v>
                </c:pt>
                <c:pt idx="232">
                  <c:v>4.7544816835541653E-2</c:v>
                </c:pt>
                <c:pt idx="233">
                  <c:v>4.8913043478260733E-2</c:v>
                </c:pt>
                <c:pt idx="234">
                  <c:v>5.108359133126953E-2</c:v>
                </c:pt>
                <c:pt idx="235">
                  <c:v>5.4826254826254785E-2</c:v>
                </c:pt>
                <c:pt idx="236">
                  <c:v>5.5427251732101529E-2</c:v>
                </c:pt>
                <c:pt idx="237">
                  <c:v>5.3598774885145486E-2</c:v>
                </c:pt>
                <c:pt idx="238">
                  <c:v>5.2631578947368467E-2</c:v>
                </c:pt>
                <c:pt idx="239">
                  <c:v>5.3191489361702128E-2</c:v>
                </c:pt>
                <c:pt idx="240">
                  <c:v>5.6018168054504207E-2</c:v>
                </c:pt>
                <c:pt idx="241">
                  <c:v>5.6518462697814624E-2</c:v>
                </c:pt>
                <c:pt idx="242">
                  <c:v>5.2434456928838954E-2</c:v>
                </c:pt>
                <c:pt idx="243">
                  <c:v>5.1492537313432875E-2</c:v>
                </c:pt>
                <c:pt idx="244">
                  <c:v>5.1339285714285754E-2</c:v>
                </c:pt>
                <c:pt idx="245">
                  <c:v>4.959289415247977E-2</c:v>
                </c:pt>
                <c:pt idx="246">
                  <c:v>4.7864506627393222E-2</c:v>
                </c:pt>
                <c:pt idx="247">
                  <c:v>4.6120058565153818E-2</c:v>
                </c:pt>
                <c:pt idx="248">
                  <c:v>4.5951859956236407E-2</c:v>
                </c:pt>
                <c:pt idx="249">
                  <c:v>4.433139534883717E-2</c:v>
                </c:pt>
                <c:pt idx="250">
                  <c:v>4.4927536231883974E-2</c:v>
                </c:pt>
                <c:pt idx="251">
                  <c:v>4.4011544011543974E-2</c:v>
                </c:pt>
                <c:pt idx="252">
                  <c:v>4.0143369175627198E-2</c:v>
                </c:pt>
                <c:pt idx="253">
                  <c:v>3.7089871611983009E-2</c:v>
                </c:pt>
                <c:pt idx="254">
                  <c:v>3.8434163701067656E-2</c:v>
                </c:pt>
                <c:pt idx="255">
                  <c:v>3.8325053229240638E-2</c:v>
                </c:pt>
                <c:pt idx="256">
                  <c:v>3.8924274593064398E-2</c:v>
                </c:pt>
                <c:pt idx="257">
                  <c:v>3.7376586741889865E-2</c:v>
                </c:pt>
                <c:pt idx="258">
                  <c:v>3.7245256500351251E-2</c:v>
                </c:pt>
                <c:pt idx="259">
                  <c:v>3.498950314905528E-2</c:v>
                </c:pt>
                <c:pt idx="260">
                  <c:v>3.2775453277545247E-2</c:v>
                </c:pt>
                <c:pt idx="261">
                  <c:v>3.5490605427975108E-2</c:v>
                </c:pt>
                <c:pt idx="262">
                  <c:v>3.4674063800277398E-2</c:v>
                </c:pt>
                <c:pt idx="263">
                  <c:v>3.3863165169315868E-2</c:v>
                </c:pt>
                <c:pt idx="264">
                  <c:v>3.445899379738112E-2</c:v>
                </c:pt>
                <c:pt idx="265">
                  <c:v>3.5763411279229634E-2</c:v>
                </c:pt>
                <c:pt idx="266">
                  <c:v>3.3584647018505866E-2</c:v>
                </c:pt>
                <c:pt idx="267">
                  <c:v>3.4859876965140084E-2</c:v>
                </c:pt>
                <c:pt idx="268">
                  <c:v>3.405994550408719E-2</c:v>
                </c:pt>
                <c:pt idx="269">
                  <c:v>3.3990482664853841E-2</c:v>
                </c:pt>
                <c:pt idx="270">
                  <c:v>3.18428184281844E-2</c:v>
                </c:pt>
                <c:pt idx="271">
                  <c:v>3.3130493576741075E-2</c:v>
                </c:pt>
                <c:pt idx="272">
                  <c:v>3.241053342336267E-2</c:v>
                </c:pt>
                <c:pt idx="273">
                  <c:v>3.0913978494623615E-2</c:v>
                </c:pt>
                <c:pt idx="274">
                  <c:v>3.1501340482573845E-2</c:v>
                </c:pt>
                <c:pt idx="275">
                  <c:v>3.1417112299465359E-2</c:v>
                </c:pt>
                <c:pt idx="276">
                  <c:v>2.9313790806129288E-2</c:v>
                </c:pt>
                <c:pt idx="277">
                  <c:v>2.7888446215139556E-2</c:v>
                </c:pt>
                <c:pt idx="278">
                  <c:v>2.9840848806366047E-2</c:v>
                </c:pt>
                <c:pt idx="279">
                  <c:v>2.7080581241743687E-2</c:v>
                </c:pt>
                <c:pt idx="280">
                  <c:v>2.7009222661396534E-2</c:v>
                </c:pt>
                <c:pt idx="281">
                  <c:v>2.8270874424720656E-2</c:v>
                </c:pt>
                <c:pt idx="282">
                  <c:v>2.8890347997373455E-2</c:v>
                </c:pt>
                <c:pt idx="283">
                  <c:v>2.814136125654439E-2</c:v>
                </c:pt>
                <c:pt idx="284">
                  <c:v>3.0085022890778249E-2</c:v>
                </c:pt>
                <c:pt idx="285">
                  <c:v>2.8683181225554143E-2</c:v>
                </c:pt>
                <c:pt idx="286">
                  <c:v>2.794022092267695E-2</c:v>
                </c:pt>
                <c:pt idx="287">
                  <c:v>2.5923525599481526E-2</c:v>
                </c:pt>
                <c:pt idx="288">
                  <c:v>2.9126213592233011E-2</c:v>
                </c:pt>
                <c:pt idx="289">
                  <c:v>2.9715762273901769E-2</c:v>
                </c:pt>
                <c:pt idx="290">
                  <c:v>2.9620090148100412E-2</c:v>
                </c:pt>
                <c:pt idx="291">
                  <c:v>3.1511254019292639E-2</c:v>
                </c:pt>
                <c:pt idx="292">
                  <c:v>3.0788967286722146E-2</c:v>
                </c:pt>
                <c:pt idx="293">
                  <c:v>3.0051150895140592E-2</c:v>
                </c:pt>
                <c:pt idx="294">
                  <c:v>2.9993618379068394E-2</c:v>
                </c:pt>
                <c:pt idx="295">
                  <c:v>2.991725015913442E-2</c:v>
                </c:pt>
                <c:pt idx="296">
                  <c:v>2.9841269841269769E-2</c:v>
                </c:pt>
                <c:pt idx="297">
                  <c:v>3.1051964512040411E-2</c:v>
                </c:pt>
                <c:pt idx="298">
                  <c:v>3.0341340075853426E-2</c:v>
                </c:pt>
                <c:pt idx="299">
                  <c:v>3.0322173089071272E-2</c:v>
                </c:pt>
                <c:pt idx="300">
                  <c:v>2.9559748427672883E-2</c:v>
                </c:pt>
                <c:pt idx="301">
                  <c:v>2.8858218318695068E-2</c:v>
                </c:pt>
                <c:pt idx="302">
                  <c:v>2.8142589118198873E-2</c:v>
                </c:pt>
                <c:pt idx="303">
                  <c:v>2.618453865336651E-2</c:v>
                </c:pt>
                <c:pt idx="304">
                  <c:v>2.6757934038581281E-2</c:v>
                </c:pt>
                <c:pt idx="305">
                  <c:v>2.6691495965239054E-2</c:v>
                </c:pt>
                <c:pt idx="306">
                  <c:v>2.6641883519206832E-2</c:v>
                </c:pt>
                <c:pt idx="307">
                  <c:v>2.5957972805933177E-2</c:v>
                </c:pt>
                <c:pt idx="308">
                  <c:v>2.6510480887792922E-2</c:v>
                </c:pt>
                <c:pt idx="309">
                  <c:v>2.5199754148740153E-2</c:v>
                </c:pt>
                <c:pt idx="310">
                  <c:v>2.5766871165644103E-2</c:v>
                </c:pt>
                <c:pt idx="311">
                  <c:v>2.6364193746168066E-2</c:v>
                </c:pt>
                <c:pt idx="312">
                  <c:v>2.5045815516188289E-2</c:v>
                </c:pt>
                <c:pt idx="313">
                  <c:v>2.4999999999999967E-2</c:v>
                </c:pt>
                <c:pt idx="314">
                  <c:v>2.4330900243309E-2</c:v>
                </c:pt>
                <c:pt idx="315">
                  <c:v>2.612393681652498E-2</c:v>
                </c:pt>
                <c:pt idx="316">
                  <c:v>2.5454545454545386E-2</c:v>
                </c:pt>
                <c:pt idx="317">
                  <c:v>2.4183796856106408E-2</c:v>
                </c:pt>
                <c:pt idx="318">
                  <c:v>2.4140012070006038E-2</c:v>
                </c:pt>
                <c:pt idx="319">
                  <c:v>2.2891566265060309E-2</c:v>
                </c:pt>
                <c:pt idx="320">
                  <c:v>2.2222222222222154E-2</c:v>
                </c:pt>
                <c:pt idx="321">
                  <c:v>2.2781774580335628E-2</c:v>
                </c:pt>
                <c:pt idx="322">
                  <c:v>2.1531100478469036E-2</c:v>
                </c:pt>
                <c:pt idx="323">
                  <c:v>2.270011947431292E-2</c:v>
                </c:pt>
                <c:pt idx="324">
                  <c:v>2.2646007151370575E-2</c:v>
                </c:pt>
                <c:pt idx="325">
                  <c:v>2.2605591909577699E-2</c:v>
                </c:pt>
                <c:pt idx="326">
                  <c:v>2.2565320665083034E-2</c:v>
                </c:pt>
                <c:pt idx="327">
                  <c:v>2.1314387211367639E-2</c:v>
                </c:pt>
                <c:pt idx="328">
                  <c:v>2.1867612293144309E-2</c:v>
                </c:pt>
                <c:pt idx="329">
                  <c:v>2.2432113341204148E-2</c:v>
                </c:pt>
                <c:pt idx="330">
                  <c:v>2.2392457277548683E-2</c:v>
                </c:pt>
                <c:pt idx="331">
                  <c:v>2.473498233215541E-2</c:v>
                </c:pt>
                <c:pt idx="332">
                  <c:v>2.3501762632197415E-2</c:v>
                </c:pt>
                <c:pt idx="333">
                  <c:v>2.2274325908558098E-2</c:v>
                </c:pt>
                <c:pt idx="334">
                  <c:v>2.3419203747072598E-2</c:v>
                </c:pt>
                <c:pt idx="335">
                  <c:v>2.4532710280373932E-2</c:v>
                </c:pt>
                <c:pt idx="336">
                  <c:v>2.3310023310023312E-2</c:v>
                </c:pt>
                <c:pt idx="337">
                  <c:v>2.1524141942990044E-2</c:v>
                </c:pt>
                <c:pt idx="338">
                  <c:v>2.0325203252032523E-2</c:v>
                </c:pt>
                <c:pt idx="339">
                  <c:v>2.2028985507246444E-2</c:v>
                </c:pt>
                <c:pt idx="340">
                  <c:v>2.0821283979178682E-2</c:v>
                </c:pt>
                <c:pt idx="341">
                  <c:v>1.9630484988452691E-2</c:v>
                </c:pt>
                <c:pt idx="342">
                  <c:v>2.0749279538904868E-2</c:v>
                </c:pt>
                <c:pt idx="343">
                  <c:v>1.8965517241379376E-2</c:v>
                </c:pt>
                <c:pt idx="344">
                  <c:v>2.0665901262916321E-2</c:v>
                </c:pt>
                <c:pt idx="345">
                  <c:v>2.1215596330275165E-2</c:v>
                </c:pt>
                <c:pt idx="346">
                  <c:v>2.0594965675057173E-2</c:v>
                </c:pt>
                <c:pt idx="347">
                  <c:v>1.8814139110604235E-2</c:v>
                </c:pt>
                <c:pt idx="348">
                  <c:v>2.1070615034168662E-2</c:v>
                </c:pt>
                <c:pt idx="349">
                  <c:v>2.1640091116173186E-2</c:v>
                </c:pt>
                <c:pt idx="350">
                  <c:v>2.4473534433693864E-2</c:v>
                </c:pt>
                <c:pt idx="351">
                  <c:v>2.2688598979013045E-2</c:v>
                </c:pt>
                <c:pt idx="352">
                  <c:v>2.3796033994334213E-2</c:v>
                </c:pt>
                <c:pt idx="353">
                  <c:v>2.5481313703284259E-2</c:v>
                </c:pt>
                <c:pt idx="354">
                  <c:v>2.4844720496894443E-2</c:v>
                </c:pt>
                <c:pt idx="355">
                  <c:v>2.5944726452340632E-2</c:v>
                </c:pt>
                <c:pt idx="356">
                  <c:v>2.5309336332958378E-2</c:v>
                </c:pt>
                <c:pt idx="357">
                  <c:v>2.5266704098820886E-2</c:v>
                </c:pt>
                <c:pt idx="358">
                  <c:v>2.6345291479820562E-2</c:v>
                </c:pt>
                <c:pt idx="359">
                  <c:v>2.5741466144376179E-2</c:v>
                </c:pt>
                <c:pt idx="360">
                  <c:v>2.5655326268823168E-2</c:v>
                </c:pt>
                <c:pt idx="361">
                  <c:v>2.7870680044593088E-2</c:v>
                </c:pt>
                <c:pt idx="362">
                  <c:v>2.6111111111111047E-2</c:v>
                </c:pt>
                <c:pt idx="363">
                  <c:v>2.6622296173044829E-2</c:v>
                </c:pt>
                <c:pt idx="364">
                  <c:v>2.5456557830658678E-2</c:v>
                </c:pt>
                <c:pt idx="365">
                  <c:v>2.7056874654886834E-2</c:v>
                </c:pt>
                <c:pt idx="366">
                  <c:v>2.6997245179063392E-2</c:v>
                </c:pt>
                <c:pt idx="367">
                  <c:v>2.6388125343595286E-2</c:v>
                </c:pt>
                <c:pt idx="368">
                  <c:v>2.6330224904004294E-2</c:v>
                </c:pt>
                <c:pt idx="369">
                  <c:v>2.6286966046002253E-2</c:v>
                </c:pt>
                <c:pt idx="370">
                  <c:v>2.7307482250136537E-2</c:v>
                </c:pt>
                <c:pt idx="371">
                  <c:v>2.7823240589198002E-2</c:v>
                </c:pt>
                <c:pt idx="372">
                  <c:v>2.6101141924959124E-2</c:v>
                </c:pt>
                <c:pt idx="373">
                  <c:v>2.5488069414316642E-2</c:v>
                </c:pt>
                <c:pt idx="374">
                  <c:v>2.4363833243096916E-2</c:v>
                </c:pt>
                <c:pt idx="375">
                  <c:v>2.4851431658562909E-2</c:v>
                </c:pt>
                <c:pt idx="376">
                  <c:v>2.5364274150026921E-2</c:v>
                </c:pt>
                <c:pt idx="377">
                  <c:v>2.2580645161290262E-2</c:v>
                </c:pt>
                <c:pt idx="378">
                  <c:v>2.1995708154506407E-2</c:v>
                </c:pt>
                <c:pt idx="379">
                  <c:v>2.3567220139260877E-2</c:v>
                </c:pt>
                <c:pt idx="380">
                  <c:v>2.2447888829503031E-2</c:v>
                </c:pt>
                <c:pt idx="381">
                  <c:v>2.1878335112059735E-2</c:v>
                </c:pt>
                <c:pt idx="382">
                  <c:v>2.0202020202020263E-2</c:v>
                </c:pt>
                <c:pt idx="383">
                  <c:v>1.9639065817409707E-2</c:v>
                </c:pt>
                <c:pt idx="384">
                  <c:v>1.9607843137254992E-2</c:v>
                </c:pt>
                <c:pt idx="385">
                  <c:v>1.797990481226867E-2</c:v>
                </c:pt>
                <c:pt idx="386">
                  <c:v>1.7441860465116341E-2</c:v>
                </c:pt>
                <c:pt idx="387">
                  <c:v>1.4760147601476075E-2</c:v>
                </c:pt>
                <c:pt idx="388">
                  <c:v>1.5263157894736873E-2</c:v>
                </c:pt>
                <c:pt idx="389">
                  <c:v>1.4721345951629924E-2</c:v>
                </c:pt>
                <c:pt idx="390">
                  <c:v>1.5223097112860922E-2</c:v>
                </c:pt>
                <c:pt idx="391">
                  <c:v>1.3082155939298797E-2</c:v>
                </c:pt>
                <c:pt idx="392">
                  <c:v>1.2545739675901606E-2</c:v>
                </c:pt>
                <c:pt idx="393">
                  <c:v>1.3054830287206266E-2</c:v>
                </c:pt>
                <c:pt idx="394">
                  <c:v>1.0943199583116176E-2</c:v>
                </c:pt>
                <c:pt idx="395">
                  <c:v>1.0931806350858898E-2</c:v>
                </c:pt>
                <c:pt idx="396">
                  <c:v>1.1434511434511374E-2</c:v>
                </c:pt>
                <c:pt idx="397">
                  <c:v>1.2467532467532497E-2</c:v>
                </c:pt>
                <c:pt idx="398">
                  <c:v>1.5584415584415584E-2</c:v>
                </c:pt>
                <c:pt idx="399">
                  <c:v>1.7662337662337692E-2</c:v>
                </c:pt>
                <c:pt idx="400">
                  <c:v>1.7107309486780627E-2</c:v>
                </c:pt>
                <c:pt idx="401">
                  <c:v>1.8652849740932613E-2</c:v>
                </c:pt>
                <c:pt idx="402">
                  <c:v>1.7580144777662905E-2</c:v>
                </c:pt>
                <c:pt idx="403">
                  <c:v>1.7045454545454603E-2</c:v>
                </c:pt>
                <c:pt idx="404">
                  <c:v>1.9617965926690819E-2</c:v>
                </c:pt>
                <c:pt idx="405">
                  <c:v>2.0103092783505184E-2</c:v>
                </c:pt>
                <c:pt idx="406">
                  <c:v>2.2164948453608307E-2</c:v>
                </c:pt>
                <c:pt idx="407">
                  <c:v>2.2657054582904252E-2</c:v>
                </c:pt>
                <c:pt idx="408">
                  <c:v>2.2610483042137749E-2</c:v>
                </c:pt>
                <c:pt idx="409">
                  <c:v>2.3088763468445357E-2</c:v>
                </c:pt>
                <c:pt idx="410">
                  <c:v>2.3529411764705854E-2</c:v>
                </c:pt>
                <c:pt idx="411">
                  <c:v>2.1949974476773777E-2</c:v>
                </c:pt>
                <c:pt idx="412">
                  <c:v>2.1916411824668764E-2</c:v>
                </c:pt>
                <c:pt idx="413">
                  <c:v>2.0345879959308241E-2</c:v>
                </c:pt>
                <c:pt idx="414">
                  <c:v>2.0833333333333304E-2</c:v>
                </c:pt>
                <c:pt idx="415">
                  <c:v>2.1330624682579933E-2</c:v>
                </c:pt>
                <c:pt idx="416">
                  <c:v>1.924050632911398E-2</c:v>
                </c:pt>
                <c:pt idx="417">
                  <c:v>2.0717534108135392E-2</c:v>
                </c:pt>
                <c:pt idx="418">
                  <c:v>2.1180030257186021E-2</c:v>
                </c:pt>
                <c:pt idx="419">
                  <c:v>2.1148036253776523E-2</c:v>
                </c:pt>
                <c:pt idx="420">
                  <c:v>2.1105527638190898E-2</c:v>
                </c:pt>
                <c:pt idx="421">
                  <c:v>2.1063189568706061E-2</c:v>
                </c:pt>
                <c:pt idx="422">
                  <c:v>2.0989505247376399E-2</c:v>
                </c:pt>
                <c:pt idx="423">
                  <c:v>2.2977022977023091E-2</c:v>
                </c:pt>
                <c:pt idx="424">
                  <c:v>2.4438902743142171E-2</c:v>
                </c:pt>
                <c:pt idx="425">
                  <c:v>2.6420737786640138E-2</c:v>
                </c:pt>
                <c:pt idx="426">
                  <c:v>2.6879044300647116E-2</c:v>
                </c:pt>
                <c:pt idx="427">
                  <c:v>2.8344107409249215E-2</c:v>
                </c:pt>
                <c:pt idx="428">
                  <c:v>2.9309488325881653E-2</c:v>
                </c:pt>
                <c:pt idx="429">
                  <c:v>2.7722772277227695E-2</c:v>
                </c:pt>
                <c:pt idx="430">
                  <c:v>2.6172839506172895E-2</c:v>
                </c:pt>
                <c:pt idx="431">
                  <c:v>2.6134122287968357E-2</c:v>
                </c:pt>
                <c:pt idx="432">
                  <c:v>2.6574803149606328E-2</c:v>
                </c:pt>
                <c:pt idx="433">
                  <c:v>2.7185658153241633E-2</c:v>
                </c:pt>
                <c:pt idx="434">
                  <c:v>2.5051395007342117E-2</c:v>
                </c:pt>
                <c:pt idx="435">
                  <c:v>2.4155273437500013E-2</c:v>
                </c:pt>
                <c:pt idx="436">
                  <c:v>2.2677702044790589E-2</c:v>
                </c:pt>
                <c:pt idx="437">
                  <c:v>2.1816415735794025E-2</c:v>
                </c:pt>
                <c:pt idx="438">
                  <c:v>2.168201648085305E-2</c:v>
                </c:pt>
                <c:pt idx="439">
                  <c:v>2.0884912959380986E-2</c:v>
                </c:pt>
                <c:pt idx="440">
                  <c:v>2.101351351351358E-2</c:v>
                </c:pt>
                <c:pt idx="441">
                  <c:v>2.1565510597302523E-2</c:v>
                </c:pt>
                <c:pt idx="442">
                  <c:v>2.3387872954764122E-2</c:v>
                </c:pt>
                <c:pt idx="443">
                  <c:v>2.435367611725138E-2</c:v>
                </c:pt>
                <c:pt idx="444">
                  <c:v>2.4789069990412235E-2</c:v>
                </c:pt>
                <c:pt idx="445">
                  <c:v>2.2970808329547912E-2</c:v>
                </c:pt>
                <c:pt idx="446">
                  <c:v>2.3885243866334227E-2</c:v>
                </c:pt>
                <c:pt idx="447">
                  <c:v>2.2946692920518472E-2</c:v>
                </c:pt>
                <c:pt idx="448">
                  <c:v>2.3222157689780986E-2</c:v>
                </c:pt>
                <c:pt idx="449">
                  <c:v>2.3917259211376909E-2</c:v>
                </c:pt>
                <c:pt idx="450">
                  <c:v>2.4633136122748204E-2</c:v>
                </c:pt>
                <c:pt idx="451">
                  <c:v>2.4981171756213325E-2</c:v>
                </c:pt>
                <c:pt idx="452">
                  <c:v>2.4386208722122917E-2</c:v>
                </c:pt>
                <c:pt idx="453">
                  <c:v>2.2213629955157858E-2</c:v>
                </c:pt>
                <c:pt idx="454">
                  <c:v>2.0158939151697575E-2</c:v>
                </c:pt>
                <c:pt idx="455">
                  <c:v>1.7624596562335833E-2</c:v>
                </c:pt>
                <c:pt idx="456">
                  <c:v>1.6723503187990967E-2</c:v>
                </c:pt>
                <c:pt idx="457">
                  <c:v>1.8009806533638133E-2</c:v>
                </c:pt>
                <c:pt idx="458">
                  <c:v>1.7876130957933022E-2</c:v>
                </c:pt>
                <c:pt idx="459">
                  <c:v>1.9323266219239309E-2</c:v>
                </c:pt>
                <c:pt idx="460">
                  <c:v>1.8461309413034529E-2</c:v>
                </c:pt>
                <c:pt idx="461">
                  <c:v>1.7119726678550152E-2</c:v>
                </c:pt>
                <c:pt idx="462">
                  <c:v>1.5270992984974426E-2</c:v>
                </c:pt>
                <c:pt idx="463">
                  <c:v>1.4339650543224636E-2</c:v>
                </c:pt>
                <c:pt idx="464">
                  <c:v>1.4798373886199692E-2</c:v>
                </c:pt>
                <c:pt idx="465">
                  <c:v>1.7127331771131214E-2</c:v>
                </c:pt>
                <c:pt idx="466">
                  <c:v>1.7142435710104285E-2</c:v>
                </c:pt>
                <c:pt idx="467">
                  <c:v>1.8236717759594276E-2</c:v>
                </c:pt>
                <c:pt idx="468">
                  <c:v>1.5123351706495662E-2</c:v>
                </c:pt>
                <c:pt idx="469">
                  <c:v>1.3494526888039933E-2</c:v>
                </c:pt>
                <c:pt idx="470">
                  <c:v>1.1592051426555425E-2</c:v>
                </c:pt>
                <c:pt idx="471">
                  <c:v>9.6750889321738504E-3</c:v>
                </c:pt>
                <c:pt idx="472">
                  <c:v>9.4013814274750244E-3</c:v>
                </c:pt>
                <c:pt idx="473">
                  <c:v>9.5019898499397286E-3</c:v>
                </c:pt>
                <c:pt idx="474">
                  <c:v>9.5775393021166107E-3</c:v>
                </c:pt>
                <c:pt idx="475">
                  <c:v>9.1710099500673208E-3</c:v>
                </c:pt>
                <c:pt idx="476">
                  <c:v>8.1438704983631555E-3</c:v>
                </c:pt>
                <c:pt idx="477">
                  <c:v>6.027183550188016E-3</c:v>
                </c:pt>
                <c:pt idx="478">
                  <c:v>6.7205641104656089E-3</c:v>
                </c:pt>
                <c:pt idx="479">
                  <c:v>6.61894866466554E-3</c:v>
                </c:pt>
                <c:pt idx="480">
                  <c:v>9.8353374155270845E-3</c:v>
                </c:pt>
                <c:pt idx="481">
                  <c:v>1.1244455921460962E-2</c:v>
                </c:pt>
                <c:pt idx="482">
                  <c:v>1.2097851736773305E-2</c:v>
                </c:pt>
                <c:pt idx="483">
                  <c:v>1.3155392125784574E-2</c:v>
                </c:pt>
                <c:pt idx="484">
                  <c:v>1.4540961794335779E-2</c:v>
                </c:pt>
                <c:pt idx="485">
                  <c:v>1.5836776766096794E-2</c:v>
                </c:pt>
                <c:pt idx="486">
                  <c:v>1.7414834457429605E-2</c:v>
                </c:pt>
                <c:pt idx="487">
                  <c:v>1.9651571719433561E-2</c:v>
                </c:pt>
                <c:pt idx="488">
                  <c:v>1.9877227562006314E-2</c:v>
                </c:pt>
                <c:pt idx="489">
                  <c:v>2.1079204796465707E-2</c:v>
                </c:pt>
                <c:pt idx="490">
                  <c:v>2.1382045383954013E-2</c:v>
                </c:pt>
                <c:pt idx="491">
                  <c:v>2.2766626338585033E-2</c:v>
                </c:pt>
                <c:pt idx="492">
                  <c:v>2.2773481506083906E-2</c:v>
                </c:pt>
                <c:pt idx="493">
                  <c:v>2.1598204405657368E-2</c:v>
                </c:pt>
                <c:pt idx="494">
                  <c:v>2.2483374654291267E-2</c:v>
                </c:pt>
                <c:pt idx="495">
                  <c:v>2.3144278518015246E-2</c:v>
                </c:pt>
                <c:pt idx="496">
                  <c:v>2.2522582803613151E-2</c:v>
                </c:pt>
                <c:pt idx="497">
                  <c:v>2.192285611289865E-2</c:v>
                </c:pt>
                <c:pt idx="498">
                  <c:v>2.1099556873784554E-2</c:v>
                </c:pt>
                <c:pt idx="499">
                  <c:v>1.9352524993137443E-2</c:v>
                </c:pt>
                <c:pt idx="500">
                  <c:v>2.0082434834909194E-2</c:v>
                </c:pt>
                <c:pt idx="501">
                  <c:v>1.994649148366931E-2</c:v>
                </c:pt>
                <c:pt idx="502">
                  <c:v>1.9528512686261341E-2</c:v>
                </c:pt>
                <c:pt idx="503">
                  <c:v>1.8996943778720753E-2</c:v>
                </c:pt>
                <c:pt idx="504">
                  <c:v>1.909802217863147E-2</c:v>
                </c:pt>
                <c:pt idx="505">
                  <c:v>1.9887385214485544E-2</c:v>
                </c:pt>
                <c:pt idx="506">
                  <c:v>1.8890221377988264E-2</c:v>
                </c:pt>
                <c:pt idx="507">
                  <c:v>1.7155588562940926E-2</c:v>
                </c:pt>
                <c:pt idx="508">
                  <c:v>1.6455519491850853E-2</c:v>
                </c:pt>
                <c:pt idx="509">
                  <c:v>1.6230952474273065E-2</c:v>
                </c:pt>
                <c:pt idx="510">
                  <c:v>1.7002217680567016E-2</c:v>
                </c:pt>
                <c:pt idx="511">
                  <c:v>1.7821076909044352E-2</c:v>
                </c:pt>
                <c:pt idx="512">
                  <c:v>1.7519368418314467E-2</c:v>
                </c:pt>
                <c:pt idx="513">
                  <c:v>1.6868377311448125E-2</c:v>
                </c:pt>
                <c:pt idx="514">
                  <c:v>1.7416677473738797E-2</c:v>
                </c:pt>
                <c:pt idx="515">
                  <c:v>1.7408566188369799E-2</c:v>
                </c:pt>
                <c:pt idx="516">
                  <c:v>1.6070344358370396E-2</c:v>
                </c:pt>
                <c:pt idx="517">
                  <c:v>1.55480739049487E-2</c:v>
                </c:pt>
                <c:pt idx="518">
                  <c:v>1.6456609706435685E-2</c:v>
                </c:pt>
                <c:pt idx="519">
                  <c:v>1.8210555250137477E-2</c:v>
                </c:pt>
                <c:pt idx="520">
                  <c:v>1.945526961836249E-2</c:v>
                </c:pt>
                <c:pt idx="521">
                  <c:v>1.9228626526676645E-2</c:v>
                </c:pt>
                <c:pt idx="522">
                  <c:v>1.8449632290063273E-2</c:v>
                </c:pt>
                <c:pt idx="523">
                  <c:v>1.7363956028949832E-2</c:v>
                </c:pt>
                <c:pt idx="524">
                  <c:v>1.740945888368135E-2</c:v>
                </c:pt>
                <c:pt idx="525">
                  <c:v>1.8176323104362787E-2</c:v>
                </c:pt>
                <c:pt idx="526">
                  <c:v>1.7415947552462365E-2</c:v>
                </c:pt>
                <c:pt idx="527">
                  <c:v>1.6224195046636681E-2</c:v>
                </c:pt>
                <c:pt idx="528">
                  <c:v>1.6316255652417112E-2</c:v>
                </c:pt>
                <c:pt idx="529">
                  <c:v>1.6880834938713275E-2</c:v>
                </c:pt>
                <c:pt idx="530">
                  <c:v>1.7453777073428402E-2</c:v>
                </c:pt>
                <c:pt idx="531">
                  <c:v>1.8028278328946483E-2</c:v>
                </c:pt>
                <c:pt idx="532">
                  <c:v>1.7509440952473136E-2</c:v>
                </c:pt>
                <c:pt idx="533">
                  <c:v>1.7772676244654971E-2</c:v>
                </c:pt>
                <c:pt idx="534">
                  <c:v>1.8346312894897059E-2</c:v>
                </c:pt>
                <c:pt idx="535">
                  <c:v>1.8506323273421305E-2</c:v>
                </c:pt>
                <c:pt idx="536">
                  <c:v>1.8970961446650982E-2</c:v>
                </c:pt>
                <c:pt idx="537">
                  <c:v>1.9135335359608003E-2</c:v>
                </c:pt>
                <c:pt idx="538">
                  <c:v>1.9974275238246436E-2</c:v>
                </c:pt>
                <c:pt idx="539">
                  <c:v>2.0715072792840898E-2</c:v>
                </c:pt>
                <c:pt idx="540">
                  <c:v>2.1450225385824691E-2</c:v>
                </c:pt>
                <c:pt idx="541">
                  <c:v>2.2225738220941635E-2</c:v>
                </c:pt>
                <c:pt idx="542">
                  <c:v>2.1424269485576689E-2</c:v>
                </c:pt>
                <c:pt idx="543">
                  <c:v>2.1566547612141839E-2</c:v>
                </c:pt>
                <c:pt idx="544">
                  <c:v>2.2545595974976053E-2</c:v>
                </c:pt>
                <c:pt idx="545">
                  <c:v>2.2622116465067087E-2</c:v>
                </c:pt>
                <c:pt idx="546">
                  <c:v>2.1701399624842868E-2</c:v>
                </c:pt>
                <c:pt idx="547">
                  <c:v>2.3087345614186794E-2</c:v>
                </c:pt>
                <c:pt idx="548">
                  <c:v>2.2711206825691735E-2</c:v>
                </c:pt>
                <c:pt idx="549">
                  <c:v>2.2045551507991184E-2</c:v>
                </c:pt>
                <c:pt idx="550">
                  <c:v>2.1454219398053483E-2</c:v>
                </c:pt>
                <c:pt idx="551">
                  <c:v>2.1971236613002779E-2</c:v>
                </c:pt>
                <c:pt idx="552">
                  <c:v>2.2481680308628019E-2</c:v>
                </c:pt>
                <c:pt idx="553">
                  <c:v>2.1966518675410374E-2</c:v>
                </c:pt>
                <c:pt idx="554">
                  <c:v>2.0019275109489948E-2</c:v>
                </c:pt>
                <c:pt idx="555">
                  <c:v>1.9067049008116059E-2</c:v>
                </c:pt>
                <c:pt idx="556">
                  <c:v>1.7605619555145523E-2</c:v>
                </c:pt>
                <c:pt idx="557">
                  <c:v>1.7298214429991157E-2</c:v>
                </c:pt>
                <c:pt idx="558">
                  <c:v>1.7019799942702384E-2</c:v>
                </c:pt>
                <c:pt idx="559">
                  <c:v>1.680198693357703E-2</c:v>
                </c:pt>
                <c:pt idx="560">
                  <c:v>1.6866123885839104E-2</c:v>
                </c:pt>
                <c:pt idx="561">
                  <c:v>1.7632514790761899E-2</c:v>
                </c:pt>
                <c:pt idx="562">
                  <c:v>1.7087473595183623E-2</c:v>
                </c:pt>
                <c:pt idx="563">
                  <c:v>1.7557618437900151E-2</c:v>
                </c:pt>
                <c:pt idx="564">
                  <c:v>1.8146465332066406E-2</c:v>
                </c:pt>
                <c:pt idx="565">
                  <c:v>1.8210224668497456E-2</c:v>
                </c:pt>
                <c:pt idx="566">
                  <c:v>2.105359677239314E-2</c:v>
                </c:pt>
                <c:pt idx="567">
                  <c:v>2.1508286501201967E-2</c:v>
                </c:pt>
                <c:pt idx="568">
                  <c:v>2.2541831021758423E-2</c:v>
                </c:pt>
                <c:pt idx="569">
                  <c:v>2.2682688565732894E-2</c:v>
                </c:pt>
                <c:pt idx="570">
                  <c:v>2.3340884834971293E-2</c:v>
                </c:pt>
                <c:pt idx="571">
                  <c:v>2.1706512745598622E-2</c:v>
                </c:pt>
                <c:pt idx="572">
                  <c:v>2.171602006014885E-2</c:v>
                </c:pt>
                <c:pt idx="573">
                  <c:v>2.1511822825250871E-2</c:v>
                </c:pt>
                <c:pt idx="574">
                  <c:v>2.2349296929188554E-2</c:v>
                </c:pt>
                <c:pt idx="575">
                  <c:v>2.1882913632288399E-2</c:v>
                </c:pt>
                <c:pt idx="576">
                  <c:v>2.1222946821067568E-2</c:v>
                </c:pt>
                <c:pt idx="577">
                  <c:v>2.0550197281893796E-2</c:v>
                </c:pt>
                <c:pt idx="578">
                  <c:v>2.0389119035440755E-2</c:v>
                </c:pt>
                <c:pt idx="579">
                  <c:v>2.1016457826818796E-2</c:v>
                </c:pt>
                <c:pt idx="580">
                  <c:v>2.0326104286486592E-2</c:v>
                </c:pt>
                <c:pt idx="581">
                  <c:v>2.1678690968959542E-2</c:v>
                </c:pt>
                <c:pt idx="582">
                  <c:v>2.2044740821152941E-2</c:v>
                </c:pt>
                <c:pt idx="583">
                  <c:v>2.3523713577185471E-2</c:v>
                </c:pt>
                <c:pt idx="584">
                  <c:v>2.3474668708951308E-2</c:v>
                </c:pt>
                <c:pt idx="585">
                  <c:v>2.3309870303372095E-2</c:v>
                </c:pt>
                <c:pt idx="586">
                  <c:v>2.3175221170711024E-2</c:v>
                </c:pt>
                <c:pt idx="587">
                  <c:v>2.2233937346319243E-2</c:v>
                </c:pt>
                <c:pt idx="588">
                  <c:v>2.260587745133804E-2</c:v>
                </c:pt>
                <c:pt idx="589">
                  <c:v>2.3603685151233868E-2</c:v>
                </c:pt>
                <c:pt idx="590">
                  <c:v>2.0972759519245099E-2</c:v>
                </c:pt>
                <c:pt idx="591">
                  <c:v>1.4447624499141391E-2</c:v>
                </c:pt>
                <c:pt idx="592">
                  <c:v>1.2397859625586871E-2</c:v>
                </c:pt>
                <c:pt idx="593">
                  <c:v>1.202886928628695E-2</c:v>
                </c:pt>
                <c:pt idx="594">
                  <c:v>1.5575685846079126E-2</c:v>
                </c:pt>
                <c:pt idx="595">
                  <c:v>1.7047067775628279E-2</c:v>
                </c:pt>
                <c:pt idx="596">
                  <c:v>1.7203130727920561E-2</c:v>
                </c:pt>
                <c:pt idx="597">
                  <c:v>1.6315380377774302E-2</c:v>
                </c:pt>
                <c:pt idx="598">
                  <c:v>1.6546922505999751E-2</c:v>
                </c:pt>
                <c:pt idx="599">
                  <c:v>1.614524319501898E-2</c:v>
                </c:pt>
                <c:pt idx="600">
                  <c:v>1.396513784894067E-2</c:v>
                </c:pt>
                <c:pt idx="601">
                  <c:v>1.2826181447563671E-2</c:v>
                </c:pt>
                <c:pt idx="602">
                  <c:v>1.6468030882242732E-2</c:v>
                </c:pt>
                <c:pt idx="603">
                  <c:v>2.9582148392241742E-2</c:v>
                </c:pt>
                <c:pt idx="604">
                  <c:v>3.7950285540041553E-2</c:v>
                </c:pt>
                <c:pt idx="605">
                  <c:v>4.4531737030666756E-2</c:v>
                </c:pt>
                <c:pt idx="606">
                  <c:v>4.2327488962431159E-2</c:v>
                </c:pt>
                <c:pt idx="607">
                  <c:v>3.9768624327201629E-2</c:v>
                </c:pt>
                <c:pt idx="608">
                  <c:v>4.0355928739945472E-2</c:v>
                </c:pt>
                <c:pt idx="609">
                  <c:v>4.5832559866344789E-2</c:v>
                </c:pt>
                <c:pt idx="610">
                  <c:v>4.9596210793161358E-2</c:v>
                </c:pt>
                <c:pt idx="611">
                  <c:v>5.4897384603986132E-2</c:v>
                </c:pt>
              </c:numCache>
            </c:numRef>
          </c:val>
          <c:smooth val="0"/>
          <c:extLst>
            <c:ext xmlns:c16="http://schemas.microsoft.com/office/drawing/2014/chart" uri="{C3380CC4-5D6E-409C-BE32-E72D297353CC}">
              <c16:uniqueId val="{00000000-62F8-ED46-BDDF-A6FE4459C61E}"/>
            </c:ext>
          </c:extLst>
        </c:ser>
        <c:dLbls>
          <c:showLegendKey val="0"/>
          <c:showVal val="0"/>
          <c:showCatName val="0"/>
          <c:showSerName val="0"/>
          <c:showPercent val="0"/>
          <c:showBubbleSize val="0"/>
        </c:dLbls>
        <c:marker val="1"/>
        <c:smooth val="0"/>
        <c:axId val="881712456"/>
        <c:axId val="715795056"/>
      </c:lineChart>
      <c:lineChart>
        <c:grouping val="standard"/>
        <c:varyColors val="0"/>
        <c:ser>
          <c:idx val="3"/>
          <c:order val="1"/>
          <c:tx>
            <c:strRef>
              <c:f>'Core CPI'!$E$4</c:f>
              <c:strCache>
                <c:ptCount val="1"/>
                <c:pt idx="0">
                  <c:v>Fed Target</c:v>
                </c:pt>
              </c:strCache>
            </c:strRef>
          </c:tx>
          <c:spPr>
            <a:ln w="28575" cap="rnd">
              <a:solidFill>
                <a:schemeClr val="accent4"/>
              </a:solidFill>
              <a:prstDash val="solid"/>
              <a:round/>
            </a:ln>
          </c:spPr>
          <c:marker>
            <c:symbol val="none"/>
          </c:marker>
          <c:cat>
            <c:numRef>
              <c:f>'Core CPI'!$A$53:$A$666</c:f>
              <c:numCache>
                <c:formatCode>[$-409]mmm\-yy;@</c:formatCode>
                <c:ptCount val="614"/>
                <c:pt idx="0">
                  <c:v>25934</c:v>
                </c:pt>
                <c:pt idx="1">
                  <c:v>25965</c:v>
                </c:pt>
                <c:pt idx="2">
                  <c:v>25993</c:v>
                </c:pt>
                <c:pt idx="3">
                  <c:v>26024</c:v>
                </c:pt>
                <c:pt idx="4">
                  <c:v>26054</c:v>
                </c:pt>
                <c:pt idx="5">
                  <c:v>26085</c:v>
                </c:pt>
                <c:pt idx="6">
                  <c:v>26115</c:v>
                </c:pt>
                <c:pt idx="7">
                  <c:v>26146</c:v>
                </c:pt>
                <c:pt idx="8">
                  <c:v>26177</c:v>
                </c:pt>
                <c:pt idx="9">
                  <c:v>26207</c:v>
                </c:pt>
                <c:pt idx="10">
                  <c:v>26238</c:v>
                </c:pt>
                <c:pt idx="11">
                  <c:v>26268</c:v>
                </c:pt>
                <c:pt idx="12">
                  <c:v>26299</c:v>
                </c:pt>
                <c:pt idx="13">
                  <c:v>26330</c:v>
                </c:pt>
                <c:pt idx="14">
                  <c:v>26359</c:v>
                </c:pt>
                <c:pt idx="15">
                  <c:v>26390</c:v>
                </c:pt>
                <c:pt idx="16">
                  <c:v>26420</c:v>
                </c:pt>
                <c:pt idx="17">
                  <c:v>26451</c:v>
                </c:pt>
                <c:pt idx="18">
                  <c:v>26481</c:v>
                </c:pt>
                <c:pt idx="19">
                  <c:v>26512</c:v>
                </c:pt>
                <c:pt idx="20">
                  <c:v>26543</c:v>
                </c:pt>
                <c:pt idx="21">
                  <c:v>26573</c:v>
                </c:pt>
                <c:pt idx="22">
                  <c:v>26604</c:v>
                </c:pt>
                <c:pt idx="23">
                  <c:v>26634</c:v>
                </c:pt>
                <c:pt idx="24">
                  <c:v>26665</c:v>
                </c:pt>
                <c:pt idx="25">
                  <c:v>26696</c:v>
                </c:pt>
                <c:pt idx="26">
                  <c:v>26724</c:v>
                </c:pt>
                <c:pt idx="27">
                  <c:v>26755</c:v>
                </c:pt>
                <c:pt idx="28">
                  <c:v>26785</c:v>
                </c:pt>
                <c:pt idx="29">
                  <c:v>26816</c:v>
                </c:pt>
                <c:pt idx="30">
                  <c:v>26846</c:v>
                </c:pt>
                <c:pt idx="31">
                  <c:v>26877</c:v>
                </c:pt>
                <c:pt idx="32">
                  <c:v>26908</c:v>
                </c:pt>
                <c:pt idx="33">
                  <c:v>26938</c:v>
                </c:pt>
                <c:pt idx="34">
                  <c:v>26969</c:v>
                </c:pt>
                <c:pt idx="35">
                  <c:v>26999</c:v>
                </c:pt>
                <c:pt idx="36">
                  <c:v>27030</c:v>
                </c:pt>
                <c:pt idx="37">
                  <c:v>27061</c:v>
                </c:pt>
                <c:pt idx="38">
                  <c:v>27089</c:v>
                </c:pt>
                <c:pt idx="39">
                  <c:v>27120</c:v>
                </c:pt>
                <c:pt idx="40">
                  <c:v>27150</c:v>
                </c:pt>
                <c:pt idx="41">
                  <c:v>27181</c:v>
                </c:pt>
                <c:pt idx="42">
                  <c:v>27211</c:v>
                </c:pt>
                <c:pt idx="43">
                  <c:v>27242</c:v>
                </c:pt>
                <c:pt idx="44">
                  <c:v>27273</c:v>
                </c:pt>
                <c:pt idx="45">
                  <c:v>27303</c:v>
                </c:pt>
                <c:pt idx="46">
                  <c:v>27334</c:v>
                </c:pt>
                <c:pt idx="47">
                  <c:v>27364</c:v>
                </c:pt>
                <c:pt idx="48">
                  <c:v>27395</c:v>
                </c:pt>
                <c:pt idx="49">
                  <c:v>27426</c:v>
                </c:pt>
                <c:pt idx="50">
                  <c:v>27454</c:v>
                </c:pt>
                <c:pt idx="51">
                  <c:v>27485</c:v>
                </c:pt>
                <c:pt idx="52">
                  <c:v>27515</c:v>
                </c:pt>
                <c:pt idx="53">
                  <c:v>27546</c:v>
                </c:pt>
                <c:pt idx="54">
                  <c:v>27576</c:v>
                </c:pt>
                <c:pt idx="55">
                  <c:v>27607</c:v>
                </c:pt>
                <c:pt idx="56">
                  <c:v>27638</c:v>
                </c:pt>
                <c:pt idx="57">
                  <c:v>27668</c:v>
                </c:pt>
                <c:pt idx="58">
                  <c:v>27699</c:v>
                </c:pt>
                <c:pt idx="59">
                  <c:v>27729</c:v>
                </c:pt>
                <c:pt idx="60">
                  <c:v>27760</c:v>
                </c:pt>
                <c:pt idx="61">
                  <c:v>27791</c:v>
                </c:pt>
                <c:pt idx="62">
                  <c:v>27820</c:v>
                </c:pt>
                <c:pt idx="63">
                  <c:v>27851</c:v>
                </c:pt>
                <c:pt idx="64">
                  <c:v>27881</c:v>
                </c:pt>
                <c:pt idx="65">
                  <c:v>27912</c:v>
                </c:pt>
                <c:pt idx="66">
                  <c:v>27942</c:v>
                </c:pt>
                <c:pt idx="67">
                  <c:v>27973</c:v>
                </c:pt>
                <c:pt idx="68">
                  <c:v>28004</c:v>
                </c:pt>
                <c:pt idx="69">
                  <c:v>28034</c:v>
                </c:pt>
                <c:pt idx="70">
                  <c:v>28065</c:v>
                </c:pt>
                <c:pt idx="71">
                  <c:v>28095</c:v>
                </c:pt>
                <c:pt idx="72">
                  <c:v>28126</c:v>
                </c:pt>
                <c:pt idx="73">
                  <c:v>28157</c:v>
                </c:pt>
                <c:pt idx="74">
                  <c:v>28185</c:v>
                </c:pt>
                <c:pt idx="75">
                  <c:v>28216</c:v>
                </c:pt>
                <c:pt idx="76">
                  <c:v>28246</c:v>
                </c:pt>
                <c:pt idx="77">
                  <c:v>28277</c:v>
                </c:pt>
                <c:pt idx="78">
                  <c:v>28307</c:v>
                </c:pt>
                <c:pt idx="79">
                  <c:v>28338</c:v>
                </c:pt>
                <c:pt idx="80">
                  <c:v>28369</c:v>
                </c:pt>
                <c:pt idx="81">
                  <c:v>28399</c:v>
                </c:pt>
                <c:pt idx="82">
                  <c:v>28430</c:v>
                </c:pt>
                <c:pt idx="83">
                  <c:v>28460</c:v>
                </c:pt>
                <c:pt idx="84">
                  <c:v>28491</c:v>
                </c:pt>
                <c:pt idx="85">
                  <c:v>28522</c:v>
                </c:pt>
                <c:pt idx="86">
                  <c:v>28550</c:v>
                </c:pt>
                <c:pt idx="87">
                  <c:v>28581</c:v>
                </c:pt>
                <c:pt idx="88">
                  <c:v>28611</c:v>
                </c:pt>
                <c:pt idx="89">
                  <c:v>28642</c:v>
                </c:pt>
                <c:pt idx="90">
                  <c:v>28672</c:v>
                </c:pt>
                <c:pt idx="91">
                  <c:v>28703</c:v>
                </c:pt>
                <c:pt idx="92">
                  <c:v>28734</c:v>
                </c:pt>
                <c:pt idx="93">
                  <c:v>28764</c:v>
                </c:pt>
                <c:pt idx="94">
                  <c:v>28795</c:v>
                </c:pt>
                <c:pt idx="95">
                  <c:v>28825</c:v>
                </c:pt>
                <c:pt idx="96">
                  <c:v>28856</c:v>
                </c:pt>
                <c:pt idx="97">
                  <c:v>28887</c:v>
                </c:pt>
                <c:pt idx="98">
                  <c:v>28915</c:v>
                </c:pt>
                <c:pt idx="99">
                  <c:v>28946</c:v>
                </c:pt>
                <c:pt idx="100">
                  <c:v>28976</c:v>
                </c:pt>
                <c:pt idx="101">
                  <c:v>29007</c:v>
                </c:pt>
                <c:pt idx="102">
                  <c:v>29037</c:v>
                </c:pt>
                <c:pt idx="103">
                  <c:v>29068</c:v>
                </c:pt>
                <c:pt idx="104">
                  <c:v>29099</c:v>
                </c:pt>
                <c:pt idx="105">
                  <c:v>29129</c:v>
                </c:pt>
                <c:pt idx="106">
                  <c:v>29160</c:v>
                </c:pt>
                <c:pt idx="107">
                  <c:v>29190</c:v>
                </c:pt>
                <c:pt idx="108">
                  <c:v>29221</c:v>
                </c:pt>
                <c:pt idx="109">
                  <c:v>29252</c:v>
                </c:pt>
                <c:pt idx="110">
                  <c:v>29281</c:v>
                </c:pt>
                <c:pt idx="111">
                  <c:v>29312</c:v>
                </c:pt>
                <c:pt idx="112">
                  <c:v>29342</c:v>
                </c:pt>
                <c:pt idx="113">
                  <c:v>29373</c:v>
                </c:pt>
                <c:pt idx="114">
                  <c:v>29403</c:v>
                </c:pt>
                <c:pt idx="115">
                  <c:v>29434</c:v>
                </c:pt>
                <c:pt idx="116">
                  <c:v>29465</c:v>
                </c:pt>
                <c:pt idx="117">
                  <c:v>29495</c:v>
                </c:pt>
                <c:pt idx="118">
                  <c:v>29526</c:v>
                </c:pt>
                <c:pt idx="119">
                  <c:v>29556</c:v>
                </c:pt>
                <c:pt idx="120">
                  <c:v>29587</c:v>
                </c:pt>
                <c:pt idx="121">
                  <c:v>29618</c:v>
                </c:pt>
                <c:pt idx="122">
                  <c:v>29646</c:v>
                </c:pt>
                <c:pt idx="123">
                  <c:v>29677</c:v>
                </c:pt>
                <c:pt idx="124">
                  <c:v>29707</c:v>
                </c:pt>
                <c:pt idx="125">
                  <c:v>29738</c:v>
                </c:pt>
                <c:pt idx="126">
                  <c:v>29768</c:v>
                </c:pt>
                <c:pt idx="127">
                  <c:v>29799</c:v>
                </c:pt>
                <c:pt idx="128">
                  <c:v>29830</c:v>
                </c:pt>
                <c:pt idx="129">
                  <c:v>29860</c:v>
                </c:pt>
                <c:pt idx="130">
                  <c:v>29891</c:v>
                </c:pt>
                <c:pt idx="131">
                  <c:v>29921</c:v>
                </c:pt>
                <c:pt idx="132">
                  <c:v>29952</c:v>
                </c:pt>
                <c:pt idx="133">
                  <c:v>29983</c:v>
                </c:pt>
                <c:pt idx="134">
                  <c:v>30011</c:v>
                </c:pt>
                <c:pt idx="135">
                  <c:v>30042</c:v>
                </c:pt>
                <c:pt idx="136">
                  <c:v>30072</c:v>
                </c:pt>
                <c:pt idx="137">
                  <c:v>30103</c:v>
                </c:pt>
                <c:pt idx="138">
                  <c:v>30133</c:v>
                </c:pt>
                <c:pt idx="139">
                  <c:v>30164</c:v>
                </c:pt>
                <c:pt idx="140">
                  <c:v>30195</c:v>
                </c:pt>
                <c:pt idx="141">
                  <c:v>30225</c:v>
                </c:pt>
                <c:pt idx="142">
                  <c:v>30256</c:v>
                </c:pt>
                <c:pt idx="143">
                  <c:v>30286</c:v>
                </c:pt>
                <c:pt idx="144">
                  <c:v>30317</c:v>
                </c:pt>
                <c:pt idx="145">
                  <c:v>30348</c:v>
                </c:pt>
                <c:pt idx="146">
                  <c:v>30376</c:v>
                </c:pt>
                <c:pt idx="147">
                  <c:v>30407</c:v>
                </c:pt>
                <c:pt idx="148">
                  <c:v>30437</c:v>
                </c:pt>
                <c:pt idx="149">
                  <c:v>30468</c:v>
                </c:pt>
                <c:pt idx="150">
                  <c:v>30498</c:v>
                </c:pt>
                <c:pt idx="151">
                  <c:v>30529</c:v>
                </c:pt>
                <c:pt idx="152">
                  <c:v>30560</c:v>
                </c:pt>
                <c:pt idx="153">
                  <c:v>30590</c:v>
                </c:pt>
                <c:pt idx="154">
                  <c:v>30621</c:v>
                </c:pt>
                <c:pt idx="155">
                  <c:v>30651</c:v>
                </c:pt>
                <c:pt idx="156">
                  <c:v>30682</c:v>
                </c:pt>
                <c:pt idx="157">
                  <c:v>30713</c:v>
                </c:pt>
                <c:pt idx="158">
                  <c:v>30742</c:v>
                </c:pt>
                <c:pt idx="159">
                  <c:v>30773</c:v>
                </c:pt>
                <c:pt idx="160">
                  <c:v>30803</c:v>
                </c:pt>
                <c:pt idx="161">
                  <c:v>30834</c:v>
                </c:pt>
                <c:pt idx="162">
                  <c:v>30864</c:v>
                </c:pt>
                <c:pt idx="163">
                  <c:v>30895</c:v>
                </c:pt>
                <c:pt idx="164">
                  <c:v>30926</c:v>
                </c:pt>
                <c:pt idx="165">
                  <c:v>30956</c:v>
                </c:pt>
                <c:pt idx="166">
                  <c:v>30987</c:v>
                </c:pt>
                <c:pt idx="167">
                  <c:v>31017</c:v>
                </c:pt>
                <c:pt idx="168">
                  <c:v>31048</c:v>
                </c:pt>
                <c:pt idx="169">
                  <c:v>31079</c:v>
                </c:pt>
                <c:pt idx="170">
                  <c:v>31107</c:v>
                </c:pt>
                <c:pt idx="171">
                  <c:v>31138</c:v>
                </c:pt>
                <c:pt idx="172">
                  <c:v>31168</c:v>
                </c:pt>
                <c:pt idx="173">
                  <c:v>31199</c:v>
                </c:pt>
                <c:pt idx="174">
                  <c:v>31229</c:v>
                </c:pt>
                <c:pt idx="175">
                  <c:v>31260</c:v>
                </c:pt>
                <c:pt idx="176">
                  <c:v>31291</c:v>
                </c:pt>
                <c:pt idx="177">
                  <c:v>31321</c:v>
                </c:pt>
                <c:pt idx="178">
                  <c:v>31352</c:v>
                </c:pt>
                <c:pt idx="179">
                  <c:v>31382</c:v>
                </c:pt>
                <c:pt idx="180">
                  <c:v>31413</c:v>
                </c:pt>
                <c:pt idx="181">
                  <c:v>31444</c:v>
                </c:pt>
                <c:pt idx="182">
                  <c:v>31472</c:v>
                </c:pt>
                <c:pt idx="183">
                  <c:v>31503</c:v>
                </c:pt>
                <c:pt idx="184">
                  <c:v>31533</c:v>
                </c:pt>
                <c:pt idx="185">
                  <c:v>31564</c:v>
                </c:pt>
                <c:pt idx="186">
                  <c:v>31594</c:v>
                </c:pt>
                <c:pt idx="187">
                  <c:v>31625</c:v>
                </c:pt>
                <c:pt idx="188">
                  <c:v>31656</c:v>
                </c:pt>
                <c:pt idx="189">
                  <c:v>31686</c:v>
                </c:pt>
                <c:pt idx="190">
                  <c:v>31717</c:v>
                </c:pt>
                <c:pt idx="191">
                  <c:v>31747</c:v>
                </c:pt>
                <c:pt idx="192">
                  <c:v>31778</c:v>
                </c:pt>
                <c:pt idx="193">
                  <c:v>31809</c:v>
                </c:pt>
                <c:pt idx="194">
                  <c:v>31837</c:v>
                </c:pt>
                <c:pt idx="195">
                  <c:v>31868</c:v>
                </c:pt>
                <c:pt idx="196">
                  <c:v>31898</c:v>
                </c:pt>
                <c:pt idx="197">
                  <c:v>31929</c:v>
                </c:pt>
                <c:pt idx="198">
                  <c:v>31959</c:v>
                </c:pt>
                <c:pt idx="199">
                  <c:v>31990</c:v>
                </c:pt>
                <c:pt idx="200">
                  <c:v>32021</c:v>
                </c:pt>
                <c:pt idx="201">
                  <c:v>32051</c:v>
                </c:pt>
                <c:pt idx="202">
                  <c:v>32082</c:v>
                </c:pt>
                <c:pt idx="203">
                  <c:v>32112</c:v>
                </c:pt>
                <c:pt idx="204">
                  <c:v>32143</c:v>
                </c:pt>
                <c:pt idx="205">
                  <c:v>32174</c:v>
                </c:pt>
                <c:pt idx="206">
                  <c:v>32203</c:v>
                </c:pt>
                <c:pt idx="207">
                  <c:v>32234</c:v>
                </c:pt>
                <c:pt idx="208">
                  <c:v>32264</c:v>
                </c:pt>
                <c:pt idx="209">
                  <c:v>32295</c:v>
                </c:pt>
                <c:pt idx="210">
                  <c:v>32325</c:v>
                </c:pt>
                <c:pt idx="211">
                  <c:v>32356</c:v>
                </c:pt>
                <c:pt idx="212">
                  <c:v>32387</c:v>
                </c:pt>
                <c:pt idx="213">
                  <c:v>32417</c:v>
                </c:pt>
                <c:pt idx="214">
                  <c:v>32448</c:v>
                </c:pt>
                <c:pt idx="215">
                  <c:v>32478</c:v>
                </c:pt>
                <c:pt idx="216">
                  <c:v>32509</c:v>
                </c:pt>
                <c:pt idx="217">
                  <c:v>32540</c:v>
                </c:pt>
                <c:pt idx="218">
                  <c:v>32568</c:v>
                </c:pt>
                <c:pt idx="219">
                  <c:v>32599</c:v>
                </c:pt>
                <c:pt idx="220">
                  <c:v>32629</c:v>
                </c:pt>
                <c:pt idx="221">
                  <c:v>32660</c:v>
                </c:pt>
                <c:pt idx="222">
                  <c:v>32690</c:v>
                </c:pt>
                <c:pt idx="223">
                  <c:v>32721</c:v>
                </c:pt>
                <c:pt idx="224">
                  <c:v>32752</c:v>
                </c:pt>
                <c:pt idx="225">
                  <c:v>32782</c:v>
                </c:pt>
                <c:pt idx="226">
                  <c:v>32813</c:v>
                </c:pt>
                <c:pt idx="227">
                  <c:v>32843</c:v>
                </c:pt>
                <c:pt idx="228">
                  <c:v>32874</c:v>
                </c:pt>
                <c:pt idx="229">
                  <c:v>32905</c:v>
                </c:pt>
                <c:pt idx="230">
                  <c:v>32933</c:v>
                </c:pt>
                <c:pt idx="231">
                  <c:v>32964</c:v>
                </c:pt>
                <c:pt idx="232">
                  <c:v>32994</c:v>
                </c:pt>
                <c:pt idx="233">
                  <c:v>33025</c:v>
                </c:pt>
                <c:pt idx="234">
                  <c:v>33055</c:v>
                </c:pt>
                <c:pt idx="235">
                  <c:v>33086</c:v>
                </c:pt>
                <c:pt idx="236">
                  <c:v>33117</c:v>
                </c:pt>
                <c:pt idx="237">
                  <c:v>33147</c:v>
                </c:pt>
                <c:pt idx="238">
                  <c:v>33178</c:v>
                </c:pt>
                <c:pt idx="239">
                  <c:v>33208</c:v>
                </c:pt>
                <c:pt idx="240">
                  <c:v>33239</c:v>
                </c:pt>
                <c:pt idx="241">
                  <c:v>33270</c:v>
                </c:pt>
                <c:pt idx="242">
                  <c:v>33298</c:v>
                </c:pt>
                <c:pt idx="243">
                  <c:v>33329</c:v>
                </c:pt>
                <c:pt idx="244">
                  <c:v>33359</c:v>
                </c:pt>
                <c:pt idx="245">
                  <c:v>33390</c:v>
                </c:pt>
                <c:pt idx="246">
                  <c:v>33420</c:v>
                </c:pt>
                <c:pt idx="247">
                  <c:v>33451</c:v>
                </c:pt>
                <c:pt idx="248">
                  <c:v>33482</c:v>
                </c:pt>
                <c:pt idx="249">
                  <c:v>33512</c:v>
                </c:pt>
                <c:pt idx="250">
                  <c:v>33543</c:v>
                </c:pt>
                <c:pt idx="251">
                  <c:v>33573</c:v>
                </c:pt>
                <c:pt idx="252">
                  <c:v>33604</c:v>
                </c:pt>
                <c:pt idx="253">
                  <c:v>33635</c:v>
                </c:pt>
                <c:pt idx="254">
                  <c:v>33664</c:v>
                </c:pt>
                <c:pt idx="255">
                  <c:v>33695</c:v>
                </c:pt>
                <c:pt idx="256">
                  <c:v>33725</c:v>
                </c:pt>
                <c:pt idx="257">
                  <c:v>33756</c:v>
                </c:pt>
                <c:pt idx="258">
                  <c:v>33786</c:v>
                </c:pt>
                <c:pt idx="259">
                  <c:v>33817</c:v>
                </c:pt>
                <c:pt idx="260">
                  <c:v>33848</c:v>
                </c:pt>
                <c:pt idx="261">
                  <c:v>33878</c:v>
                </c:pt>
                <c:pt idx="262">
                  <c:v>33909</c:v>
                </c:pt>
                <c:pt idx="263">
                  <c:v>33939</c:v>
                </c:pt>
                <c:pt idx="264">
                  <c:v>33970</c:v>
                </c:pt>
                <c:pt idx="265">
                  <c:v>34001</c:v>
                </c:pt>
                <c:pt idx="266">
                  <c:v>34029</c:v>
                </c:pt>
                <c:pt idx="267">
                  <c:v>34060</c:v>
                </c:pt>
                <c:pt idx="268">
                  <c:v>34090</c:v>
                </c:pt>
                <c:pt idx="269">
                  <c:v>34121</c:v>
                </c:pt>
                <c:pt idx="270">
                  <c:v>34151</c:v>
                </c:pt>
                <c:pt idx="271">
                  <c:v>34182</c:v>
                </c:pt>
                <c:pt idx="272">
                  <c:v>34213</c:v>
                </c:pt>
                <c:pt idx="273">
                  <c:v>34243</c:v>
                </c:pt>
                <c:pt idx="274">
                  <c:v>34274</c:v>
                </c:pt>
                <c:pt idx="275">
                  <c:v>34304</c:v>
                </c:pt>
                <c:pt idx="276">
                  <c:v>34335</c:v>
                </c:pt>
                <c:pt idx="277">
                  <c:v>34366</c:v>
                </c:pt>
                <c:pt idx="278">
                  <c:v>34394</c:v>
                </c:pt>
                <c:pt idx="279">
                  <c:v>34425</c:v>
                </c:pt>
                <c:pt idx="280">
                  <c:v>34455</c:v>
                </c:pt>
                <c:pt idx="281">
                  <c:v>34486</c:v>
                </c:pt>
                <c:pt idx="282">
                  <c:v>34516</c:v>
                </c:pt>
                <c:pt idx="283">
                  <c:v>34547</c:v>
                </c:pt>
                <c:pt idx="284">
                  <c:v>34578</c:v>
                </c:pt>
                <c:pt idx="285">
                  <c:v>34608</c:v>
                </c:pt>
                <c:pt idx="286">
                  <c:v>34639</c:v>
                </c:pt>
                <c:pt idx="287">
                  <c:v>34669</c:v>
                </c:pt>
                <c:pt idx="288">
                  <c:v>34700</c:v>
                </c:pt>
                <c:pt idx="289">
                  <c:v>34731</c:v>
                </c:pt>
                <c:pt idx="290">
                  <c:v>34759</c:v>
                </c:pt>
                <c:pt idx="291">
                  <c:v>34790</c:v>
                </c:pt>
                <c:pt idx="292">
                  <c:v>34820</c:v>
                </c:pt>
                <c:pt idx="293">
                  <c:v>34851</c:v>
                </c:pt>
                <c:pt idx="294">
                  <c:v>34881</c:v>
                </c:pt>
                <c:pt idx="295">
                  <c:v>34912</c:v>
                </c:pt>
                <c:pt idx="296">
                  <c:v>34943</c:v>
                </c:pt>
                <c:pt idx="297">
                  <c:v>34973</c:v>
                </c:pt>
                <c:pt idx="298">
                  <c:v>35004</c:v>
                </c:pt>
                <c:pt idx="299">
                  <c:v>35034</c:v>
                </c:pt>
                <c:pt idx="300">
                  <c:v>35065</c:v>
                </c:pt>
                <c:pt idx="301">
                  <c:v>35096</c:v>
                </c:pt>
                <c:pt idx="302">
                  <c:v>35125</c:v>
                </c:pt>
                <c:pt idx="303">
                  <c:v>35156</c:v>
                </c:pt>
                <c:pt idx="304">
                  <c:v>35186</c:v>
                </c:pt>
                <c:pt idx="305">
                  <c:v>35217</c:v>
                </c:pt>
                <c:pt idx="306">
                  <c:v>35247</c:v>
                </c:pt>
                <c:pt idx="307">
                  <c:v>35278</c:v>
                </c:pt>
                <c:pt idx="308">
                  <c:v>35309</c:v>
                </c:pt>
                <c:pt idx="309">
                  <c:v>35339</c:v>
                </c:pt>
                <c:pt idx="310">
                  <c:v>35370</c:v>
                </c:pt>
                <c:pt idx="311">
                  <c:v>35400</c:v>
                </c:pt>
                <c:pt idx="312">
                  <c:v>35431</c:v>
                </c:pt>
                <c:pt idx="313">
                  <c:v>35462</c:v>
                </c:pt>
                <c:pt idx="314">
                  <c:v>35490</c:v>
                </c:pt>
                <c:pt idx="315">
                  <c:v>35521</c:v>
                </c:pt>
                <c:pt idx="316">
                  <c:v>35551</c:v>
                </c:pt>
                <c:pt idx="317">
                  <c:v>35582</c:v>
                </c:pt>
                <c:pt idx="318">
                  <c:v>35612</c:v>
                </c:pt>
                <c:pt idx="319">
                  <c:v>35643</c:v>
                </c:pt>
                <c:pt idx="320">
                  <c:v>35674</c:v>
                </c:pt>
                <c:pt idx="321">
                  <c:v>35704</c:v>
                </c:pt>
                <c:pt idx="322">
                  <c:v>35735</c:v>
                </c:pt>
                <c:pt idx="323">
                  <c:v>35765</c:v>
                </c:pt>
                <c:pt idx="324">
                  <c:v>35796</c:v>
                </c:pt>
                <c:pt idx="325">
                  <c:v>35827</c:v>
                </c:pt>
                <c:pt idx="326">
                  <c:v>35855</c:v>
                </c:pt>
                <c:pt idx="327">
                  <c:v>35886</c:v>
                </c:pt>
                <c:pt idx="328">
                  <c:v>35916</c:v>
                </c:pt>
                <c:pt idx="329">
                  <c:v>35947</c:v>
                </c:pt>
                <c:pt idx="330">
                  <c:v>35977</c:v>
                </c:pt>
                <c:pt idx="331">
                  <c:v>36008</c:v>
                </c:pt>
                <c:pt idx="332">
                  <c:v>36039</c:v>
                </c:pt>
                <c:pt idx="333">
                  <c:v>36069</c:v>
                </c:pt>
                <c:pt idx="334">
                  <c:v>36100</c:v>
                </c:pt>
                <c:pt idx="335">
                  <c:v>36130</c:v>
                </c:pt>
                <c:pt idx="336">
                  <c:v>36161</c:v>
                </c:pt>
                <c:pt idx="337">
                  <c:v>36192</c:v>
                </c:pt>
                <c:pt idx="338">
                  <c:v>36220</c:v>
                </c:pt>
                <c:pt idx="339">
                  <c:v>36251</c:v>
                </c:pt>
                <c:pt idx="340">
                  <c:v>36281</c:v>
                </c:pt>
                <c:pt idx="341">
                  <c:v>36312</c:v>
                </c:pt>
                <c:pt idx="342">
                  <c:v>36342</c:v>
                </c:pt>
                <c:pt idx="343">
                  <c:v>36373</c:v>
                </c:pt>
                <c:pt idx="344">
                  <c:v>36404</c:v>
                </c:pt>
                <c:pt idx="345">
                  <c:v>36434</c:v>
                </c:pt>
                <c:pt idx="346">
                  <c:v>36465</c:v>
                </c:pt>
                <c:pt idx="347">
                  <c:v>36495</c:v>
                </c:pt>
                <c:pt idx="348">
                  <c:v>36526</c:v>
                </c:pt>
                <c:pt idx="349">
                  <c:v>36557</c:v>
                </c:pt>
                <c:pt idx="350">
                  <c:v>36586</c:v>
                </c:pt>
                <c:pt idx="351">
                  <c:v>36617</c:v>
                </c:pt>
                <c:pt idx="352">
                  <c:v>36647</c:v>
                </c:pt>
                <c:pt idx="353">
                  <c:v>36678</c:v>
                </c:pt>
                <c:pt idx="354">
                  <c:v>36708</c:v>
                </c:pt>
                <c:pt idx="355">
                  <c:v>36739</c:v>
                </c:pt>
                <c:pt idx="356">
                  <c:v>36770</c:v>
                </c:pt>
                <c:pt idx="357">
                  <c:v>36800</c:v>
                </c:pt>
                <c:pt idx="358">
                  <c:v>36831</c:v>
                </c:pt>
                <c:pt idx="359">
                  <c:v>36861</c:v>
                </c:pt>
                <c:pt idx="360">
                  <c:v>36892</c:v>
                </c:pt>
                <c:pt idx="361">
                  <c:v>36923</c:v>
                </c:pt>
                <c:pt idx="362">
                  <c:v>36951</c:v>
                </c:pt>
                <c:pt idx="363">
                  <c:v>36982</c:v>
                </c:pt>
                <c:pt idx="364">
                  <c:v>37012</c:v>
                </c:pt>
                <c:pt idx="365">
                  <c:v>37043</c:v>
                </c:pt>
                <c:pt idx="366">
                  <c:v>37073</c:v>
                </c:pt>
                <c:pt idx="367">
                  <c:v>37104</c:v>
                </c:pt>
                <c:pt idx="368">
                  <c:v>37135</c:v>
                </c:pt>
                <c:pt idx="369">
                  <c:v>37165</c:v>
                </c:pt>
                <c:pt idx="370">
                  <c:v>37196</c:v>
                </c:pt>
                <c:pt idx="371">
                  <c:v>37226</c:v>
                </c:pt>
                <c:pt idx="372">
                  <c:v>37257</c:v>
                </c:pt>
                <c:pt idx="373">
                  <c:v>37288</c:v>
                </c:pt>
                <c:pt idx="374">
                  <c:v>37316</c:v>
                </c:pt>
                <c:pt idx="375">
                  <c:v>37347</c:v>
                </c:pt>
                <c:pt idx="376">
                  <c:v>37377</c:v>
                </c:pt>
                <c:pt idx="377">
                  <c:v>37408</c:v>
                </c:pt>
                <c:pt idx="378">
                  <c:v>37438</c:v>
                </c:pt>
                <c:pt idx="379">
                  <c:v>37469</c:v>
                </c:pt>
                <c:pt idx="380">
                  <c:v>37500</c:v>
                </c:pt>
                <c:pt idx="381">
                  <c:v>37530</c:v>
                </c:pt>
                <c:pt idx="382">
                  <c:v>37561</c:v>
                </c:pt>
                <c:pt idx="383">
                  <c:v>37591</c:v>
                </c:pt>
                <c:pt idx="384">
                  <c:v>37622</c:v>
                </c:pt>
                <c:pt idx="385">
                  <c:v>37653</c:v>
                </c:pt>
                <c:pt idx="386">
                  <c:v>37681</c:v>
                </c:pt>
                <c:pt idx="387">
                  <c:v>37712</c:v>
                </c:pt>
                <c:pt idx="388">
                  <c:v>37742</c:v>
                </c:pt>
                <c:pt idx="389">
                  <c:v>37773</c:v>
                </c:pt>
                <c:pt idx="390">
                  <c:v>37803</c:v>
                </c:pt>
                <c:pt idx="391">
                  <c:v>37834</c:v>
                </c:pt>
                <c:pt idx="392">
                  <c:v>37865</c:v>
                </c:pt>
                <c:pt idx="393">
                  <c:v>37895</c:v>
                </c:pt>
                <c:pt idx="394">
                  <c:v>37926</c:v>
                </c:pt>
                <c:pt idx="395">
                  <c:v>37956</c:v>
                </c:pt>
                <c:pt idx="396">
                  <c:v>37987</c:v>
                </c:pt>
                <c:pt idx="397">
                  <c:v>38018</c:v>
                </c:pt>
                <c:pt idx="398">
                  <c:v>38047</c:v>
                </c:pt>
                <c:pt idx="399">
                  <c:v>38078</c:v>
                </c:pt>
                <c:pt idx="400">
                  <c:v>38108</c:v>
                </c:pt>
                <c:pt idx="401">
                  <c:v>38139</c:v>
                </c:pt>
                <c:pt idx="402">
                  <c:v>38169</c:v>
                </c:pt>
                <c:pt idx="403">
                  <c:v>38200</c:v>
                </c:pt>
                <c:pt idx="404">
                  <c:v>38231</c:v>
                </c:pt>
                <c:pt idx="405">
                  <c:v>38261</c:v>
                </c:pt>
                <c:pt idx="406">
                  <c:v>38292</c:v>
                </c:pt>
                <c:pt idx="407">
                  <c:v>38322</c:v>
                </c:pt>
                <c:pt idx="408">
                  <c:v>38353</c:v>
                </c:pt>
                <c:pt idx="409">
                  <c:v>38384</c:v>
                </c:pt>
                <c:pt idx="410">
                  <c:v>38412</c:v>
                </c:pt>
                <c:pt idx="411">
                  <c:v>38443</c:v>
                </c:pt>
                <c:pt idx="412">
                  <c:v>38473</c:v>
                </c:pt>
                <c:pt idx="413">
                  <c:v>38504</c:v>
                </c:pt>
                <c:pt idx="414">
                  <c:v>38534</c:v>
                </c:pt>
                <c:pt idx="415">
                  <c:v>38565</c:v>
                </c:pt>
                <c:pt idx="416">
                  <c:v>38596</c:v>
                </c:pt>
                <c:pt idx="417">
                  <c:v>38626</c:v>
                </c:pt>
                <c:pt idx="418">
                  <c:v>38657</c:v>
                </c:pt>
                <c:pt idx="419">
                  <c:v>38687</c:v>
                </c:pt>
                <c:pt idx="420">
                  <c:v>38718</c:v>
                </c:pt>
                <c:pt idx="421">
                  <c:v>38749</c:v>
                </c:pt>
                <c:pt idx="422">
                  <c:v>38777</c:v>
                </c:pt>
                <c:pt idx="423">
                  <c:v>38808</c:v>
                </c:pt>
                <c:pt idx="424">
                  <c:v>38838</c:v>
                </c:pt>
                <c:pt idx="425">
                  <c:v>38869</c:v>
                </c:pt>
                <c:pt idx="426">
                  <c:v>38899</c:v>
                </c:pt>
                <c:pt idx="427">
                  <c:v>38930</c:v>
                </c:pt>
                <c:pt idx="428">
                  <c:v>38961</c:v>
                </c:pt>
                <c:pt idx="429">
                  <c:v>38991</c:v>
                </c:pt>
                <c:pt idx="430">
                  <c:v>39022</c:v>
                </c:pt>
                <c:pt idx="431">
                  <c:v>39052</c:v>
                </c:pt>
                <c:pt idx="432">
                  <c:v>39083</c:v>
                </c:pt>
                <c:pt idx="433">
                  <c:v>39114</c:v>
                </c:pt>
                <c:pt idx="434">
                  <c:v>39142</c:v>
                </c:pt>
                <c:pt idx="435">
                  <c:v>39173</c:v>
                </c:pt>
                <c:pt idx="436">
                  <c:v>39203</c:v>
                </c:pt>
                <c:pt idx="437">
                  <c:v>39234</c:v>
                </c:pt>
                <c:pt idx="438">
                  <c:v>39264</c:v>
                </c:pt>
                <c:pt idx="439">
                  <c:v>39295</c:v>
                </c:pt>
                <c:pt idx="440">
                  <c:v>39326</c:v>
                </c:pt>
                <c:pt idx="441">
                  <c:v>39356</c:v>
                </c:pt>
                <c:pt idx="442">
                  <c:v>39387</c:v>
                </c:pt>
                <c:pt idx="443">
                  <c:v>39417</c:v>
                </c:pt>
                <c:pt idx="444">
                  <c:v>39448</c:v>
                </c:pt>
                <c:pt idx="445">
                  <c:v>39479</c:v>
                </c:pt>
                <c:pt idx="446">
                  <c:v>39508</c:v>
                </c:pt>
                <c:pt idx="447">
                  <c:v>39539</c:v>
                </c:pt>
                <c:pt idx="448">
                  <c:v>39569</c:v>
                </c:pt>
                <c:pt idx="449">
                  <c:v>39600</c:v>
                </c:pt>
                <c:pt idx="450">
                  <c:v>39630</c:v>
                </c:pt>
                <c:pt idx="451">
                  <c:v>39661</c:v>
                </c:pt>
                <c:pt idx="452">
                  <c:v>39692</c:v>
                </c:pt>
                <c:pt idx="453">
                  <c:v>39722</c:v>
                </c:pt>
                <c:pt idx="454">
                  <c:v>39753</c:v>
                </c:pt>
                <c:pt idx="455">
                  <c:v>39783</c:v>
                </c:pt>
                <c:pt idx="456">
                  <c:v>39814</c:v>
                </c:pt>
                <c:pt idx="457">
                  <c:v>39845</c:v>
                </c:pt>
                <c:pt idx="458">
                  <c:v>39873</c:v>
                </c:pt>
                <c:pt idx="459">
                  <c:v>39904</c:v>
                </c:pt>
                <c:pt idx="460">
                  <c:v>39934</c:v>
                </c:pt>
                <c:pt idx="461">
                  <c:v>39965</c:v>
                </c:pt>
                <c:pt idx="462">
                  <c:v>39995</c:v>
                </c:pt>
                <c:pt idx="463">
                  <c:v>40026</c:v>
                </c:pt>
                <c:pt idx="464">
                  <c:v>40057</c:v>
                </c:pt>
                <c:pt idx="465">
                  <c:v>40087</c:v>
                </c:pt>
                <c:pt idx="466">
                  <c:v>40118</c:v>
                </c:pt>
                <c:pt idx="467">
                  <c:v>40148</c:v>
                </c:pt>
                <c:pt idx="468">
                  <c:v>40179</c:v>
                </c:pt>
                <c:pt idx="469">
                  <c:v>40210</c:v>
                </c:pt>
                <c:pt idx="470">
                  <c:v>40238</c:v>
                </c:pt>
                <c:pt idx="471">
                  <c:v>40269</c:v>
                </c:pt>
                <c:pt idx="472">
                  <c:v>40299</c:v>
                </c:pt>
                <c:pt idx="473">
                  <c:v>40330</c:v>
                </c:pt>
                <c:pt idx="474">
                  <c:v>40360</c:v>
                </c:pt>
                <c:pt idx="475">
                  <c:v>40391</c:v>
                </c:pt>
                <c:pt idx="476">
                  <c:v>40422</c:v>
                </c:pt>
                <c:pt idx="477">
                  <c:v>40452</c:v>
                </c:pt>
                <c:pt idx="478">
                  <c:v>40483</c:v>
                </c:pt>
                <c:pt idx="479">
                  <c:v>40513</c:v>
                </c:pt>
                <c:pt idx="480">
                  <c:v>40544</c:v>
                </c:pt>
                <c:pt idx="481">
                  <c:v>40575</c:v>
                </c:pt>
                <c:pt idx="482">
                  <c:v>40603</c:v>
                </c:pt>
                <c:pt idx="483">
                  <c:v>40634</c:v>
                </c:pt>
                <c:pt idx="484">
                  <c:v>40664</c:v>
                </c:pt>
                <c:pt idx="485">
                  <c:v>40695</c:v>
                </c:pt>
                <c:pt idx="486">
                  <c:v>40725</c:v>
                </c:pt>
                <c:pt idx="487">
                  <c:v>40756</c:v>
                </c:pt>
                <c:pt idx="488">
                  <c:v>40787</c:v>
                </c:pt>
                <c:pt idx="489">
                  <c:v>40817</c:v>
                </c:pt>
                <c:pt idx="490">
                  <c:v>40848</c:v>
                </c:pt>
                <c:pt idx="491">
                  <c:v>40878</c:v>
                </c:pt>
                <c:pt idx="492">
                  <c:v>40909</c:v>
                </c:pt>
                <c:pt idx="493">
                  <c:v>40940</c:v>
                </c:pt>
                <c:pt idx="494">
                  <c:v>40969</c:v>
                </c:pt>
                <c:pt idx="495">
                  <c:v>41000</c:v>
                </c:pt>
                <c:pt idx="496">
                  <c:v>41030</c:v>
                </c:pt>
                <c:pt idx="497">
                  <c:v>41061</c:v>
                </c:pt>
                <c:pt idx="498">
                  <c:v>41091</c:v>
                </c:pt>
                <c:pt idx="499">
                  <c:v>41122</c:v>
                </c:pt>
                <c:pt idx="500">
                  <c:v>41153</c:v>
                </c:pt>
                <c:pt idx="501">
                  <c:v>41183</c:v>
                </c:pt>
                <c:pt idx="502">
                  <c:v>41214</c:v>
                </c:pt>
                <c:pt idx="503">
                  <c:v>41244</c:v>
                </c:pt>
                <c:pt idx="504">
                  <c:v>41275</c:v>
                </c:pt>
                <c:pt idx="505">
                  <c:v>41306</c:v>
                </c:pt>
                <c:pt idx="506">
                  <c:v>41334</c:v>
                </c:pt>
                <c:pt idx="507">
                  <c:v>41365</c:v>
                </c:pt>
                <c:pt idx="508">
                  <c:v>41395</c:v>
                </c:pt>
                <c:pt idx="509">
                  <c:v>41426</c:v>
                </c:pt>
                <c:pt idx="510">
                  <c:v>41456</c:v>
                </c:pt>
                <c:pt idx="511">
                  <c:v>41487</c:v>
                </c:pt>
                <c:pt idx="512">
                  <c:v>41518</c:v>
                </c:pt>
                <c:pt idx="513">
                  <c:v>41548</c:v>
                </c:pt>
                <c:pt idx="514">
                  <c:v>41579</c:v>
                </c:pt>
                <c:pt idx="515">
                  <c:v>41609</c:v>
                </c:pt>
                <c:pt idx="516">
                  <c:v>41640</c:v>
                </c:pt>
                <c:pt idx="517">
                  <c:v>41671</c:v>
                </c:pt>
                <c:pt idx="518">
                  <c:v>41699</c:v>
                </c:pt>
                <c:pt idx="519">
                  <c:v>41730</c:v>
                </c:pt>
                <c:pt idx="520">
                  <c:v>41760</c:v>
                </c:pt>
                <c:pt idx="521">
                  <c:v>41791</c:v>
                </c:pt>
                <c:pt idx="522">
                  <c:v>41821</c:v>
                </c:pt>
                <c:pt idx="523">
                  <c:v>41852</c:v>
                </c:pt>
                <c:pt idx="524">
                  <c:v>41883</c:v>
                </c:pt>
                <c:pt idx="525">
                  <c:v>41913</c:v>
                </c:pt>
                <c:pt idx="526">
                  <c:v>41944</c:v>
                </c:pt>
                <c:pt idx="527">
                  <c:v>41974</c:v>
                </c:pt>
                <c:pt idx="528">
                  <c:v>42005</c:v>
                </c:pt>
                <c:pt idx="529">
                  <c:v>42036</c:v>
                </c:pt>
                <c:pt idx="530">
                  <c:v>42064</c:v>
                </c:pt>
                <c:pt idx="531">
                  <c:v>42095</c:v>
                </c:pt>
                <c:pt idx="532">
                  <c:v>42125</c:v>
                </c:pt>
                <c:pt idx="533">
                  <c:v>42156</c:v>
                </c:pt>
                <c:pt idx="534">
                  <c:v>42186</c:v>
                </c:pt>
                <c:pt idx="535">
                  <c:v>42217</c:v>
                </c:pt>
                <c:pt idx="536">
                  <c:v>42248</c:v>
                </c:pt>
                <c:pt idx="537">
                  <c:v>42278</c:v>
                </c:pt>
                <c:pt idx="538">
                  <c:v>42309</c:v>
                </c:pt>
                <c:pt idx="539">
                  <c:v>42339</c:v>
                </c:pt>
                <c:pt idx="540">
                  <c:v>42370</c:v>
                </c:pt>
                <c:pt idx="541">
                  <c:v>42401</c:v>
                </c:pt>
                <c:pt idx="542">
                  <c:v>42430</c:v>
                </c:pt>
                <c:pt idx="543">
                  <c:v>42461</c:v>
                </c:pt>
                <c:pt idx="544">
                  <c:v>42491</c:v>
                </c:pt>
                <c:pt idx="545">
                  <c:v>42522</c:v>
                </c:pt>
                <c:pt idx="546">
                  <c:v>42552</c:v>
                </c:pt>
                <c:pt idx="547">
                  <c:v>42583</c:v>
                </c:pt>
                <c:pt idx="548">
                  <c:v>42614</c:v>
                </c:pt>
                <c:pt idx="549">
                  <c:v>42644</c:v>
                </c:pt>
                <c:pt idx="550">
                  <c:v>42675</c:v>
                </c:pt>
                <c:pt idx="551">
                  <c:v>42705</c:v>
                </c:pt>
                <c:pt idx="552">
                  <c:v>42736</c:v>
                </c:pt>
                <c:pt idx="553">
                  <c:v>42767</c:v>
                </c:pt>
                <c:pt idx="554">
                  <c:v>42795</c:v>
                </c:pt>
                <c:pt idx="555">
                  <c:v>42826</c:v>
                </c:pt>
                <c:pt idx="556">
                  <c:v>42856</c:v>
                </c:pt>
                <c:pt idx="557">
                  <c:v>42887</c:v>
                </c:pt>
                <c:pt idx="558">
                  <c:v>42917</c:v>
                </c:pt>
                <c:pt idx="559">
                  <c:v>42948</c:v>
                </c:pt>
                <c:pt idx="560">
                  <c:v>42979</c:v>
                </c:pt>
                <c:pt idx="561">
                  <c:v>43009</c:v>
                </c:pt>
                <c:pt idx="562">
                  <c:v>43040</c:v>
                </c:pt>
                <c:pt idx="563">
                  <c:v>43070</c:v>
                </c:pt>
                <c:pt idx="564">
                  <c:v>43101</c:v>
                </c:pt>
                <c:pt idx="565">
                  <c:v>43132</c:v>
                </c:pt>
                <c:pt idx="566">
                  <c:v>43160</c:v>
                </c:pt>
                <c:pt idx="567">
                  <c:v>43191</c:v>
                </c:pt>
                <c:pt idx="568">
                  <c:v>43221</c:v>
                </c:pt>
                <c:pt idx="569">
                  <c:v>43252</c:v>
                </c:pt>
                <c:pt idx="570">
                  <c:v>43282</c:v>
                </c:pt>
                <c:pt idx="571">
                  <c:v>43313</c:v>
                </c:pt>
                <c:pt idx="572">
                  <c:v>43344</c:v>
                </c:pt>
                <c:pt idx="573">
                  <c:v>43374</c:v>
                </c:pt>
                <c:pt idx="574">
                  <c:v>43405</c:v>
                </c:pt>
                <c:pt idx="575">
                  <c:v>43435</c:v>
                </c:pt>
                <c:pt idx="576">
                  <c:v>43466</c:v>
                </c:pt>
                <c:pt idx="577">
                  <c:v>43497</c:v>
                </c:pt>
                <c:pt idx="578">
                  <c:v>43525</c:v>
                </c:pt>
                <c:pt idx="579">
                  <c:v>43556</c:v>
                </c:pt>
                <c:pt idx="580">
                  <c:v>43586</c:v>
                </c:pt>
                <c:pt idx="581">
                  <c:v>43617</c:v>
                </c:pt>
                <c:pt idx="582">
                  <c:v>43647</c:v>
                </c:pt>
                <c:pt idx="583">
                  <c:v>43678</c:v>
                </c:pt>
                <c:pt idx="584">
                  <c:v>43709</c:v>
                </c:pt>
                <c:pt idx="585">
                  <c:v>43739</c:v>
                </c:pt>
                <c:pt idx="586">
                  <c:v>43770</c:v>
                </c:pt>
                <c:pt idx="587">
                  <c:v>43800</c:v>
                </c:pt>
                <c:pt idx="588">
                  <c:v>43831</c:v>
                </c:pt>
                <c:pt idx="589">
                  <c:v>43862</c:v>
                </c:pt>
                <c:pt idx="590">
                  <c:v>43891</c:v>
                </c:pt>
                <c:pt idx="591">
                  <c:v>43922</c:v>
                </c:pt>
                <c:pt idx="592">
                  <c:v>43952</c:v>
                </c:pt>
                <c:pt idx="593">
                  <c:v>43983</c:v>
                </c:pt>
                <c:pt idx="594">
                  <c:v>44013</c:v>
                </c:pt>
                <c:pt idx="595">
                  <c:v>44044</c:v>
                </c:pt>
                <c:pt idx="596">
                  <c:v>44075</c:v>
                </c:pt>
                <c:pt idx="597">
                  <c:v>44105</c:v>
                </c:pt>
                <c:pt idx="598">
                  <c:v>44136</c:v>
                </c:pt>
                <c:pt idx="599">
                  <c:v>44166</c:v>
                </c:pt>
                <c:pt idx="600">
                  <c:v>44197</c:v>
                </c:pt>
                <c:pt idx="601">
                  <c:v>44228</c:v>
                </c:pt>
                <c:pt idx="602">
                  <c:v>44256</c:v>
                </c:pt>
                <c:pt idx="603">
                  <c:v>44287</c:v>
                </c:pt>
                <c:pt idx="604">
                  <c:v>44317</c:v>
                </c:pt>
                <c:pt idx="605">
                  <c:v>44348</c:v>
                </c:pt>
                <c:pt idx="606">
                  <c:v>44378</c:v>
                </c:pt>
                <c:pt idx="607">
                  <c:v>44409</c:v>
                </c:pt>
                <c:pt idx="608">
                  <c:v>44440</c:v>
                </c:pt>
                <c:pt idx="609">
                  <c:v>44470</c:v>
                </c:pt>
                <c:pt idx="610">
                  <c:v>44501</c:v>
                </c:pt>
                <c:pt idx="611">
                  <c:v>44531</c:v>
                </c:pt>
              </c:numCache>
            </c:numRef>
          </c:cat>
          <c:val>
            <c:numRef>
              <c:f>'Core CPI'!$E$53:$E$666</c:f>
              <c:numCache>
                <c:formatCode>0.00</c:formatCode>
                <c:ptCount val="61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6.5</c:v>
                </c:pt>
                <c:pt idx="355">
                  <c:v>6.5</c:v>
                </c:pt>
                <c:pt idx="356">
                  <c:v>6.5</c:v>
                </c:pt>
                <c:pt idx="357">
                  <c:v>6.5</c:v>
                </c:pt>
                <c:pt idx="358">
                  <c:v>6.5</c:v>
                </c:pt>
                <c:pt idx="359">
                  <c:v>6.5</c:v>
                </c:pt>
                <c:pt idx="360">
                  <c:v>5.5</c:v>
                </c:pt>
                <c:pt idx="361">
                  <c:v>5.5</c:v>
                </c:pt>
                <c:pt idx="362">
                  <c:v>5</c:v>
                </c:pt>
                <c:pt idx="363">
                  <c:v>4.5</c:v>
                </c:pt>
                <c:pt idx="364">
                  <c:v>4</c:v>
                </c:pt>
                <c:pt idx="365">
                  <c:v>3.75</c:v>
                </c:pt>
                <c:pt idx="366">
                  <c:v>3.75</c:v>
                </c:pt>
                <c:pt idx="367">
                  <c:v>3.5</c:v>
                </c:pt>
                <c:pt idx="368">
                  <c:v>3</c:v>
                </c:pt>
                <c:pt idx="369">
                  <c:v>2.5</c:v>
                </c:pt>
                <c:pt idx="370">
                  <c:v>2</c:v>
                </c:pt>
                <c:pt idx="371">
                  <c:v>1.75</c:v>
                </c:pt>
                <c:pt idx="372">
                  <c:v>1.75</c:v>
                </c:pt>
                <c:pt idx="373">
                  <c:v>1.75</c:v>
                </c:pt>
                <c:pt idx="374">
                  <c:v>1.75</c:v>
                </c:pt>
                <c:pt idx="375">
                  <c:v>1.75</c:v>
                </c:pt>
                <c:pt idx="376">
                  <c:v>1.75</c:v>
                </c:pt>
                <c:pt idx="377">
                  <c:v>1.75</c:v>
                </c:pt>
                <c:pt idx="378">
                  <c:v>1.75</c:v>
                </c:pt>
                <c:pt idx="379">
                  <c:v>1.75</c:v>
                </c:pt>
                <c:pt idx="380">
                  <c:v>1.75</c:v>
                </c:pt>
                <c:pt idx="381">
                  <c:v>1.75</c:v>
                </c:pt>
                <c:pt idx="382">
                  <c:v>1.25</c:v>
                </c:pt>
                <c:pt idx="383">
                  <c:v>1.25</c:v>
                </c:pt>
                <c:pt idx="384">
                  <c:v>1.25</c:v>
                </c:pt>
                <c:pt idx="385">
                  <c:v>1.25</c:v>
                </c:pt>
                <c:pt idx="386">
                  <c:v>1.25</c:v>
                </c:pt>
                <c:pt idx="387">
                  <c:v>1.25</c:v>
                </c:pt>
                <c:pt idx="388">
                  <c:v>1.25</c:v>
                </c:pt>
                <c:pt idx="389">
                  <c:v>1</c:v>
                </c:pt>
                <c:pt idx="390">
                  <c:v>1</c:v>
                </c:pt>
                <c:pt idx="391">
                  <c:v>1</c:v>
                </c:pt>
                <c:pt idx="392">
                  <c:v>1</c:v>
                </c:pt>
                <c:pt idx="393">
                  <c:v>1</c:v>
                </c:pt>
                <c:pt idx="394">
                  <c:v>1</c:v>
                </c:pt>
                <c:pt idx="395">
                  <c:v>1</c:v>
                </c:pt>
                <c:pt idx="396">
                  <c:v>1</c:v>
                </c:pt>
                <c:pt idx="397">
                  <c:v>1</c:v>
                </c:pt>
                <c:pt idx="398">
                  <c:v>1</c:v>
                </c:pt>
                <c:pt idx="399">
                  <c:v>1</c:v>
                </c:pt>
                <c:pt idx="400">
                  <c:v>1</c:v>
                </c:pt>
                <c:pt idx="401">
                  <c:v>1.25</c:v>
                </c:pt>
                <c:pt idx="402">
                  <c:v>1.25</c:v>
                </c:pt>
                <c:pt idx="403">
                  <c:v>1.5</c:v>
                </c:pt>
                <c:pt idx="404">
                  <c:v>1.75</c:v>
                </c:pt>
                <c:pt idx="405">
                  <c:v>1.75</c:v>
                </c:pt>
                <c:pt idx="406">
                  <c:v>2</c:v>
                </c:pt>
                <c:pt idx="407">
                  <c:v>2.25</c:v>
                </c:pt>
                <c:pt idx="408">
                  <c:v>2.25</c:v>
                </c:pt>
                <c:pt idx="409">
                  <c:v>2.5</c:v>
                </c:pt>
                <c:pt idx="410">
                  <c:v>2.75</c:v>
                </c:pt>
                <c:pt idx="411">
                  <c:v>2.75</c:v>
                </c:pt>
                <c:pt idx="412">
                  <c:v>3</c:v>
                </c:pt>
                <c:pt idx="413">
                  <c:v>3.25</c:v>
                </c:pt>
                <c:pt idx="414">
                  <c:v>3.25</c:v>
                </c:pt>
                <c:pt idx="415">
                  <c:v>3.5</c:v>
                </c:pt>
                <c:pt idx="416">
                  <c:v>3.75</c:v>
                </c:pt>
                <c:pt idx="417">
                  <c:v>3.75</c:v>
                </c:pt>
                <c:pt idx="418">
                  <c:v>4</c:v>
                </c:pt>
                <c:pt idx="419">
                  <c:v>4.25</c:v>
                </c:pt>
                <c:pt idx="420">
                  <c:v>4.5</c:v>
                </c:pt>
                <c:pt idx="421">
                  <c:v>4.5</c:v>
                </c:pt>
                <c:pt idx="422">
                  <c:v>4.75</c:v>
                </c:pt>
                <c:pt idx="423">
                  <c:v>4.75</c:v>
                </c:pt>
                <c:pt idx="424">
                  <c:v>5</c:v>
                </c:pt>
                <c:pt idx="425">
                  <c:v>5.25</c:v>
                </c:pt>
                <c:pt idx="426">
                  <c:v>5.25</c:v>
                </c:pt>
                <c:pt idx="427">
                  <c:v>5.25</c:v>
                </c:pt>
                <c:pt idx="428">
                  <c:v>5.25</c:v>
                </c:pt>
                <c:pt idx="429">
                  <c:v>5.25</c:v>
                </c:pt>
                <c:pt idx="430">
                  <c:v>5.25</c:v>
                </c:pt>
                <c:pt idx="431">
                  <c:v>5.25</c:v>
                </c:pt>
                <c:pt idx="432">
                  <c:v>5.25</c:v>
                </c:pt>
                <c:pt idx="433">
                  <c:v>5.25</c:v>
                </c:pt>
                <c:pt idx="434">
                  <c:v>5.25</c:v>
                </c:pt>
                <c:pt idx="435">
                  <c:v>5.25</c:v>
                </c:pt>
                <c:pt idx="436">
                  <c:v>5.25</c:v>
                </c:pt>
                <c:pt idx="437">
                  <c:v>5.25</c:v>
                </c:pt>
                <c:pt idx="438">
                  <c:v>5.25</c:v>
                </c:pt>
                <c:pt idx="439">
                  <c:v>5.25</c:v>
                </c:pt>
                <c:pt idx="440">
                  <c:v>4.75</c:v>
                </c:pt>
                <c:pt idx="441">
                  <c:v>4.5</c:v>
                </c:pt>
                <c:pt idx="442">
                  <c:v>4.5</c:v>
                </c:pt>
                <c:pt idx="443">
                  <c:v>4.25</c:v>
                </c:pt>
                <c:pt idx="444">
                  <c:v>3</c:v>
                </c:pt>
                <c:pt idx="445">
                  <c:v>3</c:v>
                </c:pt>
                <c:pt idx="446">
                  <c:v>2.25</c:v>
                </c:pt>
                <c:pt idx="447">
                  <c:v>2</c:v>
                </c:pt>
                <c:pt idx="448">
                  <c:v>2</c:v>
                </c:pt>
                <c:pt idx="449">
                  <c:v>2</c:v>
                </c:pt>
                <c:pt idx="450">
                  <c:v>2</c:v>
                </c:pt>
                <c:pt idx="451">
                  <c:v>2</c:v>
                </c:pt>
                <c:pt idx="452">
                  <c:v>2</c:v>
                </c:pt>
                <c:pt idx="453">
                  <c:v>1</c:v>
                </c:pt>
                <c:pt idx="454">
                  <c:v>1</c:v>
                </c:pt>
                <c:pt idx="455">
                  <c:v>0.25</c:v>
                </c:pt>
                <c:pt idx="456">
                  <c:v>0.25</c:v>
                </c:pt>
                <c:pt idx="457">
                  <c:v>0.25</c:v>
                </c:pt>
                <c:pt idx="458">
                  <c:v>0.25</c:v>
                </c:pt>
                <c:pt idx="459">
                  <c:v>0.25</c:v>
                </c:pt>
                <c:pt idx="460">
                  <c:v>0.25</c:v>
                </c:pt>
                <c:pt idx="461">
                  <c:v>0.25</c:v>
                </c:pt>
                <c:pt idx="462">
                  <c:v>0.25</c:v>
                </c:pt>
                <c:pt idx="463">
                  <c:v>0.25</c:v>
                </c:pt>
                <c:pt idx="464">
                  <c:v>0.25</c:v>
                </c:pt>
                <c:pt idx="465">
                  <c:v>0.25</c:v>
                </c:pt>
                <c:pt idx="466">
                  <c:v>0.25</c:v>
                </c:pt>
                <c:pt idx="467">
                  <c:v>0.25</c:v>
                </c:pt>
                <c:pt idx="468">
                  <c:v>0.25</c:v>
                </c:pt>
                <c:pt idx="469">
                  <c:v>0.25</c:v>
                </c:pt>
                <c:pt idx="470">
                  <c:v>0.25</c:v>
                </c:pt>
                <c:pt idx="471">
                  <c:v>0.25</c:v>
                </c:pt>
                <c:pt idx="472">
                  <c:v>0.25</c:v>
                </c:pt>
                <c:pt idx="473">
                  <c:v>0.25</c:v>
                </c:pt>
                <c:pt idx="474">
                  <c:v>0.25</c:v>
                </c:pt>
                <c:pt idx="475">
                  <c:v>0.25</c:v>
                </c:pt>
                <c:pt idx="476">
                  <c:v>0.25</c:v>
                </c:pt>
                <c:pt idx="477">
                  <c:v>0.25</c:v>
                </c:pt>
                <c:pt idx="478">
                  <c:v>0.25</c:v>
                </c:pt>
                <c:pt idx="479">
                  <c:v>0.25</c:v>
                </c:pt>
                <c:pt idx="480">
                  <c:v>0.25</c:v>
                </c:pt>
                <c:pt idx="481">
                  <c:v>0.25</c:v>
                </c:pt>
                <c:pt idx="482">
                  <c:v>0.25</c:v>
                </c:pt>
                <c:pt idx="483">
                  <c:v>0.25</c:v>
                </c:pt>
                <c:pt idx="484">
                  <c:v>0.25</c:v>
                </c:pt>
                <c:pt idx="485">
                  <c:v>0.25</c:v>
                </c:pt>
                <c:pt idx="486">
                  <c:v>0.25</c:v>
                </c:pt>
                <c:pt idx="487">
                  <c:v>0.25</c:v>
                </c:pt>
                <c:pt idx="488">
                  <c:v>0.25</c:v>
                </c:pt>
                <c:pt idx="489">
                  <c:v>0.25</c:v>
                </c:pt>
                <c:pt idx="490">
                  <c:v>0.25</c:v>
                </c:pt>
                <c:pt idx="491">
                  <c:v>0.25</c:v>
                </c:pt>
                <c:pt idx="492">
                  <c:v>0.25</c:v>
                </c:pt>
                <c:pt idx="493">
                  <c:v>0.25</c:v>
                </c:pt>
                <c:pt idx="494">
                  <c:v>0.25</c:v>
                </c:pt>
                <c:pt idx="495">
                  <c:v>0.25</c:v>
                </c:pt>
                <c:pt idx="496">
                  <c:v>0.25</c:v>
                </c:pt>
                <c:pt idx="497">
                  <c:v>0.25</c:v>
                </c:pt>
                <c:pt idx="498">
                  <c:v>0.25</c:v>
                </c:pt>
                <c:pt idx="499">
                  <c:v>0.25</c:v>
                </c:pt>
                <c:pt idx="500">
                  <c:v>0.25</c:v>
                </c:pt>
                <c:pt idx="501">
                  <c:v>0.25</c:v>
                </c:pt>
                <c:pt idx="502">
                  <c:v>0.25</c:v>
                </c:pt>
                <c:pt idx="503">
                  <c:v>0.25</c:v>
                </c:pt>
                <c:pt idx="504">
                  <c:v>0.25</c:v>
                </c:pt>
                <c:pt idx="505">
                  <c:v>0.25</c:v>
                </c:pt>
                <c:pt idx="506">
                  <c:v>0.25</c:v>
                </c:pt>
                <c:pt idx="507">
                  <c:v>0.25</c:v>
                </c:pt>
                <c:pt idx="508">
                  <c:v>0.25</c:v>
                </c:pt>
                <c:pt idx="509">
                  <c:v>0.25</c:v>
                </c:pt>
                <c:pt idx="510">
                  <c:v>0.25</c:v>
                </c:pt>
                <c:pt idx="511">
                  <c:v>0.25</c:v>
                </c:pt>
                <c:pt idx="512">
                  <c:v>0.25</c:v>
                </c:pt>
                <c:pt idx="513">
                  <c:v>0.25</c:v>
                </c:pt>
                <c:pt idx="514">
                  <c:v>0.25</c:v>
                </c:pt>
                <c:pt idx="515">
                  <c:v>0.25</c:v>
                </c:pt>
                <c:pt idx="516">
                  <c:v>0.25</c:v>
                </c:pt>
                <c:pt idx="517">
                  <c:v>0.25</c:v>
                </c:pt>
                <c:pt idx="518">
                  <c:v>0.25</c:v>
                </c:pt>
                <c:pt idx="519">
                  <c:v>0.25</c:v>
                </c:pt>
                <c:pt idx="520">
                  <c:v>0.25</c:v>
                </c:pt>
                <c:pt idx="521">
                  <c:v>0.25</c:v>
                </c:pt>
                <c:pt idx="522">
                  <c:v>0.25</c:v>
                </c:pt>
                <c:pt idx="523">
                  <c:v>0.25</c:v>
                </c:pt>
                <c:pt idx="524">
                  <c:v>0.25</c:v>
                </c:pt>
                <c:pt idx="525">
                  <c:v>0.25</c:v>
                </c:pt>
                <c:pt idx="526">
                  <c:v>0.25</c:v>
                </c:pt>
                <c:pt idx="527">
                  <c:v>0.25</c:v>
                </c:pt>
                <c:pt idx="528">
                  <c:v>0.25</c:v>
                </c:pt>
                <c:pt idx="529">
                  <c:v>0.25</c:v>
                </c:pt>
                <c:pt idx="530">
                  <c:v>0.25</c:v>
                </c:pt>
                <c:pt idx="531">
                  <c:v>0.25</c:v>
                </c:pt>
                <c:pt idx="532">
                  <c:v>0.25</c:v>
                </c:pt>
                <c:pt idx="533">
                  <c:v>0.25</c:v>
                </c:pt>
                <c:pt idx="534">
                  <c:v>0.25</c:v>
                </c:pt>
                <c:pt idx="535">
                  <c:v>0.25</c:v>
                </c:pt>
                <c:pt idx="536">
                  <c:v>0.25</c:v>
                </c:pt>
                <c:pt idx="537">
                  <c:v>0.25</c:v>
                </c:pt>
                <c:pt idx="538">
                  <c:v>0.25</c:v>
                </c:pt>
                <c:pt idx="539">
                  <c:v>0.5</c:v>
                </c:pt>
                <c:pt idx="540">
                  <c:v>0.5</c:v>
                </c:pt>
                <c:pt idx="541">
                  <c:v>0.5</c:v>
                </c:pt>
                <c:pt idx="542">
                  <c:v>0.5</c:v>
                </c:pt>
                <c:pt idx="543">
                  <c:v>0.5</c:v>
                </c:pt>
                <c:pt idx="544">
                  <c:v>0.5</c:v>
                </c:pt>
                <c:pt idx="545">
                  <c:v>0.5</c:v>
                </c:pt>
                <c:pt idx="546">
                  <c:v>0.5</c:v>
                </c:pt>
                <c:pt idx="547">
                  <c:v>0.5</c:v>
                </c:pt>
                <c:pt idx="548">
                  <c:v>0.5</c:v>
                </c:pt>
                <c:pt idx="549">
                  <c:v>0.5</c:v>
                </c:pt>
                <c:pt idx="550">
                  <c:v>0.5</c:v>
                </c:pt>
                <c:pt idx="551">
                  <c:v>0.75</c:v>
                </c:pt>
                <c:pt idx="552">
                  <c:v>0.75</c:v>
                </c:pt>
                <c:pt idx="553">
                  <c:v>0.75</c:v>
                </c:pt>
                <c:pt idx="554">
                  <c:v>1</c:v>
                </c:pt>
                <c:pt idx="555">
                  <c:v>1</c:v>
                </c:pt>
                <c:pt idx="556">
                  <c:v>1</c:v>
                </c:pt>
                <c:pt idx="557">
                  <c:v>1.25</c:v>
                </c:pt>
                <c:pt idx="558">
                  <c:v>1.25</c:v>
                </c:pt>
                <c:pt idx="559">
                  <c:v>1.25</c:v>
                </c:pt>
                <c:pt idx="560">
                  <c:v>1.25</c:v>
                </c:pt>
                <c:pt idx="561">
                  <c:v>1.25</c:v>
                </c:pt>
                <c:pt idx="562">
                  <c:v>1.25</c:v>
                </c:pt>
                <c:pt idx="563">
                  <c:v>1.5</c:v>
                </c:pt>
                <c:pt idx="564">
                  <c:v>1.5</c:v>
                </c:pt>
                <c:pt idx="565">
                  <c:v>1.5</c:v>
                </c:pt>
                <c:pt idx="566">
                  <c:v>1.75</c:v>
                </c:pt>
                <c:pt idx="567">
                  <c:v>1.75</c:v>
                </c:pt>
                <c:pt idx="568">
                  <c:v>1.75</c:v>
                </c:pt>
                <c:pt idx="569">
                  <c:v>2</c:v>
                </c:pt>
                <c:pt idx="570">
                  <c:v>2</c:v>
                </c:pt>
                <c:pt idx="571">
                  <c:v>2</c:v>
                </c:pt>
                <c:pt idx="572">
                  <c:v>2.25</c:v>
                </c:pt>
                <c:pt idx="573">
                  <c:v>2.25</c:v>
                </c:pt>
                <c:pt idx="574">
                  <c:v>2.25</c:v>
                </c:pt>
                <c:pt idx="575">
                  <c:v>2.5</c:v>
                </c:pt>
                <c:pt idx="576">
                  <c:v>2.5</c:v>
                </c:pt>
                <c:pt idx="577">
                  <c:v>2.5</c:v>
                </c:pt>
                <c:pt idx="578">
                  <c:v>2.5</c:v>
                </c:pt>
                <c:pt idx="579">
                  <c:v>2.5</c:v>
                </c:pt>
                <c:pt idx="580">
                  <c:v>2.5</c:v>
                </c:pt>
                <c:pt idx="581">
                  <c:v>2.5</c:v>
                </c:pt>
                <c:pt idx="582">
                  <c:v>2.5</c:v>
                </c:pt>
                <c:pt idx="583">
                  <c:v>2.25</c:v>
                </c:pt>
                <c:pt idx="584">
                  <c:v>2</c:v>
                </c:pt>
                <c:pt idx="585">
                  <c:v>1.75</c:v>
                </c:pt>
                <c:pt idx="586">
                  <c:v>1.75</c:v>
                </c:pt>
                <c:pt idx="587">
                  <c:v>1.75</c:v>
                </c:pt>
                <c:pt idx="588">
                  <c:v>1.75</c:v>
                </c:pt>
                <c:pt idx="589">
                  <c:v>1.75</c:v>
                </c:pt>
                <c:pt idx="590">
                  <c:v>0.25</c:v>
                </c:pt>
                <c:pt idx="591">
                  <c:v>0.25</c:v>
                </c:pt>
                <c:pt idx="592">
                  <c:v>0.25</c:v>
                </c:pt>
                <c:pt idx="593">
                  <c:v>0.25</c:v>
                </c:pt>
                <c:pt idx="594">
                  <c:v>0.25</c:v>
                </c:pt>
                <c:pt idx="595">
                  <c:v>0.25</c:v>
                </c:pt>
                <c:pt idx="596">
                  <c:v>0.25</c:v>
                </c:pt>
                <c:pt idx="597">
                  <c:v>0.25</c:v>
                </c:pt>
                <c:pt idx="598">
                  <c:v>0.25</c:v>
                </c:pt>
                <c:pt idx="599">
                  <c:v>0.25</c:v>
                </c:pt>
                <c:pt idx="600">
                  <c:v>0.25</c:v>
                </c:pt>
                <c:pt idx="601">
                  <c:v>0.25</c:v>
                </c:pt>
                <c:pt idx="602">
                  <c:v>0.25</c:v>
                </c:pt>
                <c:pt idx="603">
                  <c:v>0.25</c:v>
                </c:pt>
                <c:pt idx="604">
                  <c:v>0.25</c:v>
                </c:pt>
                <c:pt idx="605">
                  <c:v>0.25</c:v>
                </c:pt>
                <c:pt idx="606">
                  <c:v>0.25</c:v>
                </c:pt>
                <c:pt idx="607">
                  <c:v>0.25</c:v>
                </c:pt>
                <c:pt idx="608">
                  <c:v>0.25</c:v>
                </c:pt>
                <c:pt idx="609">
                  <c:v>0.25</c:v>
                </c:pt>
                <c:pt idx="610">
                  <c:v>0.25</c:v>
                </c:pt>
                <c:pt idx="611">
                  <c:v>0.25</c:v>
                </c:pt>
              </c:numCache>
            </c:numRef>
          </c:val>
          <c:smooth val="0"/>
          <c:extLst>
            <c:ext xmlns:c16="http://schemas.microsoft.com/office/drawing/2014/chart" uri="{C3380CC4-5D6E-409C-BE32-E72D297353CC}">
              <c16:uniqueId val="{00000001-62F8-ED46-BDDF-A6FE4459C61E}"/>
            </c:ext>
          </c:extLst>
        </c:ser>
        <c:dLbls>
          <c:showLegendKey val="0"/>
          <c:showVal val="0"/>
          <c:showCatName val="0"/>
          <c:showSerName val="0"/>
          <c:showPercent val="0"/>
          <c:showBubbleSize val="0"/>
        </c:dLbls>
        <c:marker val="1"/>
        <c:smooth val="0"/>
        <c:axId val="1521827536"/>
        <c:axId val="1521827208"/>
      </c:lineChart>
      <c:dateAx>
        <c:axId val="881712456"/>
        <c:scaling>
          <c:orientation val="minMax"/>
        </c:scaling>
        <c:delete val="0"/>
        <c:axPos val="b"/>
        <c:numFmt formatCode="[$-409]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15795056"/>
        <c:crosses val="autoZero"/>
        <c:auto val="0"/>
        <c:lblOffset val="100"/>
        <c:baseTimeUnit val="months"/>
      </c:dateAx>
      <c:valAx>
        <c:axId val="715795056"/>
        <c:scaling>
          <c:orientation val="minMax"/>
          <c:max val="0.14000000000000001"/>
        </c:scaling>
        <c:delete val="0"/>
        <c:axPos val="l"/>
        <c:majorGridlines>
          <c:spPr>
            <a:ln w="9525" cap="flat" cmpd="sng" algn="ctr">
              <a:solidFill>
                <a:schemeClr val="tx1">
                  <a:lumMod val="15000"/>
                  <a:lumOff val="85000"/>
                </a:schemeClr>
              </a:solidFill>
              <a:prstDash val="solid"/>
              <a:round/>
            </a:ln>
          </c:spPr>
        </c:majorGridlines>
        <c:numFmt formatCode="0%" sourceLinked="0"/>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881712456"/>
        <c:crosses val="autoZero"/>
        <c:crossBetween val="between"/>
      </c:valAx>
      <c:dateAx>
        <c:axId val="1521827536"/>
        <c:scaling>
          <c:orientation val="minMax"/>
        </c:scaling>
        <c:delete val="1"/>
        <c:axPos val="b"/>
        <c:numFmt formatCode="[$-409]mmm\-yy;@" sourceLinked="1"/>
        <c:majorTickMark val="out"/>
        <c:minorTickMark val="none"/>
        <c:tickLblPos val="nextTo"/>
        <c:crossAx val="1521827208"/>
        <c:crosses val="autoZero"/>
        <c:auto val="0"/>
        <c:lblOffset val="100"/>
        <c:baseTimeUnit val="months"/>
      </c:dateAx>
      <c:valAx>
        <c:axId val="1521827208"/>
        <c:scaling>
          <c:orientation val="minMax"/>
          <c:max val="21"/>
          <c:min val="0"/>
        </c:scaling>
        <c:delete val="0"/>
        <c:axPos val="r"/>
        <c:numFmt formatCode="0" sourceLinked="0"/>
        <c:majorTickMark val="out"/>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521827536"/>
        <c:crosses val="max"/>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strike="noStrike" kern="1200" spc="0" baseline="0">
                <a:solidFill>
                  <a:schemeClr val="tx1">
                    <a:lumMod val="65000"/>
                    <a:lumOff val="35000"/>
                  </a:schemeClr>
                </a:solidFill>
                <a:latin typeface="+mn-lt"/>
                <a:ea typeface="+mn-ea"/>
                <a:cs typeface="+mn-cs"/>
              </a:defRPr>
            </a:pPr>
            <a:r>
              <a:rPr lang="en-GB" sz="1800" b="1" baseline="0"/>
              <a:t>Core CPI y/y %</a:t>
            </a:r>
          </a:p>
        </c:rich>
      </c:tx>
      <c:overlay val="0"/>
      <c:spPr>
        <a:noFill/>
        <a:ln>
          <a:noFill/>
          <a:prstDash val="solid"/>
        </a:ln>
      </c:spPr>
    </c:title>
    <c:autoTitleDeleted val="0"/>
    <c:plotArea>
      <c:layout/>
      <c:lineChart>
        <c:grouping val="standard"/>
        <c:varyColors val="0"/>
        <c:ser>
          <c:idx val="1"/>
          <c:order val="0"/>
          <c:spPr>
            <a:ln w="28575" cap="rnd">
              <a:solidFill>
                <a:schemeClr val="accent2"/>
              </a:solidFill>
              <a:prstDash val="solid"/>
              <a:round/>
            </a:ln>
          </c:spPr>
          <c:marker>
            <c:symbol val="none"/>
          </c:marker>
          <c:cat>
            <c:numRef>
              <c:f>'Core CPI'!$A$450:$A$666</c:f>
              <c:numCache>
                <c:formatCode>[$-409]mmm\-yy;@</c:formatCode>
                <c:ptCount val="217"/>
                <c:pt idx="0">
                  <c:v>38018</c:v>
                </c:pt>
                <c:pt idx="1">
                  <c:v>38047</c:v>
                </c:pt>
                <c:pt idx="2">
                  <c:v>38078</c:v>
                </c:pt>
                <c:pt idx="3">
                  <c:v>38108</c:v>
                </c:pt>
                <c:pt idx="4">
                  <c:v>38139</c:v>
                </c:pt>
                <c:pt idx="5">
                  <c:v>38169</c:v>
                </c:pt>
                <c:pt idx="6">
                  <c:v>38200</c:v>
                </c:pt>
                <c:pt idx="7">
                  <c:v>38231</c:v>
                </c:pt>
                <c:pt idx="8">
                  <c:v>38261</c:v>
                </c:pt>
                <c:pt idx="9">
                  <c:v>38292</c:v>
                </c:pt>
                <c:pt idx="10">
                  <c:v>38322</c:v>
                </c:pt>
                <c:pt idx="11">
                  <c:v>38353</c:v>
                </c:pt>
                <c:pt idx="12">
                  <c:v>38384</c:v>
                </c:pt>
                <c:pt idx="13">
                  <c:v>38412</c:v>
                </c:pt>
                <c:pt idx="14">
                  <c:v>38443</c:v>
                </c:pt>
                <c:pt idx="15">
                  <c:v>38473</c:v>
                </c:pt>
                <c:pt idx="16">
                  <c:v>38504</c:v>
                </c:pt>
                <c:pt idx="17">
                  <c:v>38534</c:v>
                </c:pt>
                <c:pt idx="18">
                  <c:v>38565</c:v>
                </c:pt>
                <c:pt idx="19">
                  <c:v>38596</c:v>
                </c:pt>
                <c:pt idx="20">
                  <c:v>38626</c:v>
                </c:pt>
                <c:pt idx="21">
                  <c:v>38657</c:v>
                </c:pt>
                <c:pt idx="22">
                  <c:v>38687</c:v>
                </c:pt>
                <c:pt idx="23">
                  <c:v>38718</c:v>
                </c:pt>
                <c:pt idx="24">
                  <c:v>38749</c:v>
                </c:pt>
                <c:pt idx="25">
                  <c:v>38777</c:v>
                </c:pt>
                <c:pt idx="26">
                  <c:v>38808</c:v>
                </c:pt>
                <c:pt idx="27">
                  <c:v>38838</c:v>
                </c:pt>
                <c:pt idx="28">
                  <c:v>38869</c:v>
                </c:pt>
                <c:pt idx="29">
                  <c:v>38899</c:v>
                </c:pt>
                <c:pt idx="30">
                  <c:v>38930</c:v>
                </c:pt>
                <c:pt idx="31">
                  <c:v>38961</c:v>
                </c:pt>
                <c:pt idx="32">
                  <c:v>38991</c:v>
                </c:pt>
                <c:pt idx="33">
                  <c:v>39022</c:v>
                </c:pt>
                <c:pt idx="34">
                  <c:v>39052</c:v>
                </c:pt>
                <c:pt idx="35">
                  <c:v>39083</c:v>
                </c:pt>
                <c:pt idx="36">
                  <c:v>39114</c:v>
                </c:pt>
                <c:pt idx="37">
                  <c:v>39142</c:v>
                </c:pt>
                <c:pt idx="38">
                  <c:v>39173</c:v>
                </c:pt>
                <c:pt idx="39">
                  <c:v>39203</c:v>
                </c:pt>
                <c:pt idx="40">
                  <c:v>39234</c:v>
                </c:pt>
                <c:pt idx="41">
                  <c:v>39264</c:v>
                </c:pt>
                <c:pt idx="42">
                  <c:v>39295</c:v>
                </c:pt>
                <c:pt idx="43">
                  <c:v>39326</c:v>
                </c:pt>
                <c:pt idx="44">
                  <c:v>39356</c:v>
                </c:pt>
                <c:pt idx="45">
                  <c:v>39387</c:v>
                </c:pt>
                <c:pt idx="46">
                  <c:v>39417</c:v>
                </c:pt>
                <c:pt idx="47">
                  <c:v>39448</c:v>
                </c:pt>
                <c:pt idx="48">
                  <c:v>39479</c:v>
                </c:pt>
                <c:pt idx="49">
                  <c:v>39508</c:v>
                </c:pt>
                <c:pt idx="50">
                  <c:v>39539</c:v>
                </c:pt>
                <c:pt idx="51">
                  <c:v>39569</c:v>
                </c:pt>
                <c:pt idx="52">
                  <c:v>39600</c:v>
                </c:pt>
                <c:pt idx="53">
                  <c:v>39630</c:v>
                </c:pt>
                <c:pt idx="54">
                  <c:v>39661</c:v>
                </c:pt>
                <c:pt idx="55">
                  <c:v>39692</c:v>
                </c:pt>
                <c:pt idx="56">
                  <c:v>39722</c:v>
                </c:pt>
                <c:pt idx="57">
                  <c:v>39753</c:v>
                </c:pt>
                <c:pt idx="58">
                  <c:v>39783</c:v>
                </c:pt>
                <c:pt idx="59">
                  <c:v>39814</c:v>
                </c:pt>
                <c:pt idx="60">
                  <c:v>39845</c:v>
                </c:pt>
                <c:pt idx="61">
                  <c:v>39873</c:v>
                </c:pt>
                <c:pt idx="62">
                  <c:v>39904</c:v>
                </c:pt>
                <c:pt idx="63">
                  <c:v>39934</c:v>
                </c:pt>
                <c:pt idx="64">
                  <c:v>39965</c:v>
                </c:pt>
                <c:pt idx="65">
                  <c:v>39995</c:v>
                </c:pt>
                <c:pt idx="66">
                  <c:v>40026</c:v>
                </c:pt>
                <c:pt idx="67">
                  <c:v>40057</c:v>
                </c:pt>
                <c:pt idx="68">
                  <c:v>40087</c:v>
                </c:pt>
                <c:pt idx="69">
                  <c:v>40118</c:v>
                </c:pt>
                <c:pt idx="70">
                  <c:v>40148</c:v>
                </c:pt>
                <c:pt idx="71">
                  <c:v>40179</c:v>
                </c:pt>
                <c:pt idx="72">
                  <c:v>40210</c:v>
                </c:pt>
                <c:pt idx="73">
                  <c:v>40238</c:v>
                </c:pt>
                <c:pt idx="74">
                  <c:v>40269</c:v>
                </c:pt>
                <c:pt idx="75">
                  <c:v>40299</c:v>
                </c:pt>
                <c:pt idx="76">
                  <c:v>40330</c:v>
                </c:pt>
                <c:pt idx="77">
                  <c:v>40360</c:v>
                </c:pt>
                <c:pt idx="78">
                  <c:v>40391</c:v>
                </c:pt>
                <c:pt idx="79">
                  <c:v>40422</c:v>
                </c:pt>
                <c:pt idx="80">
                  <c:v>40452</c:v>
                </c:pt>
                <c:pt idx="81">
                  <c:v>40483</c:v>
                </c:pt>
                <c:pt idx="82">
                  <c:v>40513</c:v>
                </c:pt>
                <c:pt idx="83">
                  <c:v>40544</c:v>
                </c:pt>
                <c:pt idx="84">
                  <c:v>40575</c:v>
                </c:pt>
                <c:pt idx="85">
                  <c:v>40603</c:v>
                </c:pt>
                <c:pt idx="86">
                  <c:v>40634</c:v>
                </c:pt>
                <c:pt idx="87">
                  <c:v>40664</c:v>
                </c:pt>
                <c:pt idx="88">
                  <c:v>40695</c:v>
                </c:pt>
                <c:pt idx="89">
                  <c:v>40725</c:v>
                </c:pt>
                <c:pt idx="90">
                  <c:v>40756</c:v>
                </c:pt>
                <c:pt idx="91">
                  <c:v>40787</c:v>
                </c:pt>
                <c:pt idx="92">
                  <c:v>40817</c:v>
                </c:pt>
                <c:pt idx="93">
                  <c:v>40848</c:v>
                </c:pt>
                <c:pt idx="94">
                  <c:v>40878</c:v>
                </c:pt>
                <c:pt idx="95">
                  <c:v>40909</c:v>
                </c:pt>
                <c:pt idx="96">
                  <c:v>40940</c:v>
                </c:pt>
                <c:pt idx="97">
                  <c:v>40969</c:v>
                </c:pt>
                <c:pt idx="98">
                  <c:v>41000</c:v>
                </c:pt>
                <c:pt idx="99">
                  <c:v>41030</c:v>
                </c:pt>
                <c:pt idx="100">
                  <c:v>41061</c:v>
                </c:pt>
                <c:pt idx="101">
                  <c:v>41091</c:v>
                </c:pt>
                <c:pt idx="102">
                  <c:v>41122</c:v>
                </c:pt>
                <c:pt idx="103">
                  <c:v>41153</c:v>
                </c:pt>
                <c:pt idx="104">
                  <c:v>41183</c:v>
                </c:pt>
                <c:pt idx="105">
                  <c:v>41214</c:v>
                </c:pt>
                <c:pt idx="106">
                  <c:v>41244</c:v>
                </c:pt>
                <c:pt idx="107">
                  <c:v>41275</c:v>
                </c:pt>
                <c:pt idx="108">
                  <c:v>41306</c:v>
                </c:pt>
                <c:pt idx="109">
                  <c:v>41334</c:v>
                </c:pt>
                <c:pt idx="110">
                  <c:v>41365</c:v>
                </c:pt>
                <c:pt idx="111">
                  <c:v>41395</c:v>
                </c:pt>
                <c:pt idx="112">
                  <c:v>41426</c:v>
                </c:pt>
                <c:pt idx="113">
                  <c:v>41456</c:v>
                </c:pt>
                <c:pt idx="114">
                  <c:v>41487</c:v>
                </c:pt>
                <c:pt idx="115">
                  <c:v>41518</c:v>
                </c:pt>
                <c:pt idx="116">
                  <c:v>41548</c:v>
                </c:pt>
                <c:pt idx="117">
                  <c:v>41579</c:v>
                </c:pt>
                <c:pt idx="118">
                  <c:v>41609</c:v>
                </c:pt>
                <c:pt idx="119">
                  <c:v>41640</c:v>
                </c:pt>
                <c:pt idx="120">
                  <c:v>41671</c:v>
                </c:pt>
                <c:pt idx="121">
                  <c:v>41699</c:v>
                </c:pt>
                <c:pt idx="122">
                  <c:v>41730</c:v>
                </c:pt>
                <c:pt idx="123">
                  <c:v>41760</c:v>
                </c:pt>
                <c:pt idx="124">
                  <c:v>41791</c:v>
                </c:pt>
                <c:pt idx="125">
                  <c:v>41821</c:v>
                </c:pt>
                <c:pt idx="126">
                  <c:v>41852</c:v>
                </c:pt>
                <c:pt idx="127">
                  <c:v>41883</c:v>
                </c:pt>
                <c:pt idx="128">
                  <c:v>41913</c:v>
                </c:pt>
                <c:pt idx="129">
                  <c:v>41944</c:v>
                </c:pt>
                <c:pt idx="130">
                  <c:v>41974</c:v>
                </c:pt>
                <c:pt idx="131">
                  <c:v>42005</c:v>
                </c:pt>
                <c:pt idx="132">
                  <c:v>42036</c:v>
                </c:pt>
                <c:pt idx="133">
                  <c:v>42064</c:v>
                </c:pt>
                <c:pt idx="134">
                  <c:v>42095</c:v>
                </c:pt>
                <c:pt idx="135">
                  <c:v>42125</c:v>
                </c:pt>
                <c:pt idx="136">
                  <c:v>42156</c:v>
                </c:pt>
                <c:pt idx="137">
                  <c:v>42186</c:v>
                </c:pt>
                <c:pt idx="138">
                  <c:v>42217</c:v>
                </c:pt>
                <c:pt idx="139">
                  <c:v>42248</c:v>
                </c:pt>
                <c:pt idx="140">
                  <c:v>42278</c:v>
                </c:pt>
                <c:pt idx="141">
                  <c:v>42309</c:v>
                </c:pt>
                <c:pt idx="142">
                  <c:v>42339</c:v>
                </c:pt>
                <c:pt idx="143">
                  <c:v>42370</c:v>
                </c:pt>
                <c:pt idx="144">
                  <c:v>42401</c:v>
                </c:pt>
                <c:pt idx="145">
                  <c:v>42430</c:v>
                </c:pt>
                <c:pt idx="146">
                  <c:v>42461</c:v>
                </c:pt>
                <c:pt idx="147">
                  <c:v>42491</c:v>
                </c:pt>
                <c:pt idx="148">
                  <c:v>42522</c:v>
                </c:pt>
                <c:pt idx="149">
                  <c:v>42552</c:v>
                </c:pt>
                <c:pt idx="150">
                  <c:v>42583</c:v>
                </c:pt>
                <c:pt idx="151">
                  <c:v>42614</c:v>
                </c:pt>
                <c:pt idx="152">
                  <c:v>42644</c:v>
                </c:pt>
                <c:pt idx="153">
                  <c:v>42675</c:v>
                </c:pt>
                <c:pt idx="154">
                  <c:v>42705</c:v>
                </c:pt>
                <c:pt idx="155">
                  <c:v>42736</c:v>
                </c:pt>
                <c:pt idx="156">
                  <c:v>42767</c:v>
                </c:pt>
                <c:pt idx="157">
                  <c:v>42795</c:v>
                </c:pt>
                <c:pt idx="158">
                  <c:v>42826</c:v>
                </c:pt>
                <c:pt idx="159">
                  <c:v>42856</c:v>
                </c:pt>
                <c:pt idx="160">
                  <c:v>42887</c:v>
                </c:pt>
                <c:pt idx="161">
                  <c:v>42917</c:v>
                </c:pt>
                <c:pt idx="162">
                  <c:v>42948</c:v>
                </c:pt>
                <c:pt idx="163">
                  <c:v>42979</c:v>
                </c:pt>
                <c:pt idx="164">
                  <c:v>43009</c:v>
                </c:pt>
                <c:pt idx="165">
                  <c:v>43040</c:v>
                </c:pt>
                <c:pt idx="166">
                  <c:v>43070</c:v>
                </c:pt>
                <c:pt idx="167">
                  <c:v>43101</c:v>
                </c:pt>
                <c:pt idx="168">
                  <c:v>43132</c:v>
                </c:pt>
                <c:pt idx="169">
                  <c:v>43160</c:v>
                </c:pt>
                <c:pt idx="170">
                  <c:v>43191</c:v>
                </c:pt>
                <c:pt idx="171">
                  <c:v>43221</c:v>
                </c:pt>
                <c:pt idx="172">
                  <c:v>43252</c:v>
                </c:pt>
                <c:pt idx="173">
                  <c:v>43282</c:v>
                </c:pt>
                <c:pt idx="174">
                  <c:v>43313</c:v>
                </c:pt>
                <c:pt idx="175">
                  <c:v>43344</c:v>
                </c:pt>
                <c:pt idx="176">
                  <c:v>43374</c:v>
                </c:pt>
                <c:pt idx="177">
                  <c:v>43405</c:v>
                </c:pt>
                <c:pt idx="178">
                  <c:v>43435</c:v>
                </c:pt>
                <c:pt idx="179">
                  <c:v>43466</c:v>
                </c:pt>
                <c:pt idx="180">
                  <c:v>43497</c:v>
                </c:pt>
                <c:pt idx="181">
                  <c:v>43525</c:v>
                </c:pt>
                <c:pt idx="182">
                  <c:v>43556</c:v>
                </c:pt>
                <c:pt idx="183">
                  <c:v>43586</c:v>
                </c:pt>
                <c:pt idx="184">
                  <c:v>43617</c:v>
                </c:pt>
                <c:pt idx="185">
                  <c:v>43647</c:v>
                </c:pt>
                <c:pt idx="186">
                  <c:v>43678</c:v>
                </c:pt>
                <c:pt idx="187">
                  <c:v>43709</c:v>
                </c:pt>
                <c:pt idx="188">
                  <c:v>43739</c:v>
                </c:pt>
                <c:pt idx="189">
                  <c:v>43770</c:v>
                </c:pt>
                <c:pt idx="190">
                  <c:v>43800</c:v>
                </c:pt>
                <c:pt idx="191">
                  <c:v>43831</c:v>
                </c:pt>
                <c:pt idx="192">
                  <c:v>43862</c:v>
                </c:pt>
                <c:pt idx="193">
                  <c:v>43891</c:v>
                </c:pt>
                <c:pt idx="194">
                  <c:v>43922</c:v>
                </c:pt>
                <c:pt idx="195">
                  <c:v>43952</c:v>
                </c:pt>
                <c:pt idx="196">
                  <c:v>43983</c:v>
                </c:pt>
                <c:pt idx="197">
                  <c:v>44013</c:v>
                </c:pt>
                <c:pt idx="198">
                  <c:v>44044</c:v>
                </c:pt>
                <c:pt idx="199">
                  <c:v>44075</c:v>
                </c:pt>
                <c:pt idx="200">
                  <c:v>44105</c:v>
                </c:pt>
                <c:pt idx="201">
                  <c:v>44136</c:v>
                </c:pt>
                <c:pt idx="202">
                  <c:v>44166</c:v>
                </c:pt>
                <c:pt idx="203">
                  <c:v>44197</c:v>
                </c:pt>
                <c:pt idx="204">
                  <c:v>44228</c:v>
                </c:pt>
                <c:pt idx="205">
                  <c:v>44256</c:v>
                </c:pt>
                <c:pt idx="206">
                  <c:v>44287</c:v>
                </c:pt>
                <c:pt idx="207">
                  <c:v>44317</c:v>
                </c:pt>
                <c:pt idx="208">
                  <c:v>44348</c:v>
                </c:pt>
                <c:pt idx="209">
                  <c:v>44378</c:v>
                </c:pt>
                <c:pt idx="210">
                  <c:v>44409</c:v>
                </c:pt>
                <c:pt idx="211">
                  <c:v>44440</c:v>
                </c:pt>
                <c:pt idx="212">
                  <c:v>44470</c:v>
                </c:pt>
                <c:pt idx="213">
                  <c:v>44501</c:v>
                </c:pt>
                <c:pt idx="214">
                  <c:v>44531</c:v>
                </c:pt>
              </c:numCache>
            </c:numRef>
          </c:cat>
          <c:val>
            <c:numRef>
              <c:f>'Core CPI'!$D$450:$D$666</c:f>
              <c:numCache>
                <c:formatCode>0.00%</c:formatCode>
                <c:ptCount val="217"/>
                <c:pt idx="0">
                  <c:v>1.2467532467532497E-2</c:v>
                </c:pt>
                <c:pt idx="1">
                  <c:v>1.5584415584415584E-2</c:v>
                </c:pt>
                <c:pt idx="2">
                  <c:v>1.7662337662337692E-2</c:v>
                </c:pt>
                <c:pt idx="3">
                  <c:v>1.7107309486780627E-2</c:v>
                </c:pt>
                <c:pt idx="4">
                  <c:v>1.8652849740932613E-2</c:v>
                </c:pt>
                <c:pt idx="5">
                  <c:v>1.7580144777662905E-2</c:v>
                </c:pt>
                <c:pt idx="6">
                  <c:v>1.7045454545454603E-2</c:v>
                </c:pt>
                <c:pt idx="7">
                  <c:v>1.9617965926690819E-2</c:v>
                </c:pt>
                <c:pt idx="8">
                  <c:v>2.0103092783505184E-2</c:v>
                </c:pt>
                <c:pt idx="9">
                  <c:v>2.2164948453608307E-2</c:v>
                </c:pt>
                <c:pt idx="10">
                  <c:v>2.2657054582904252E-2</c:v>
                </c:pt>
                <c:pt idx="11">
                  <c:v>2.2610483042137749E-2</c:v>
                </c:pt>
                <c:pt idx="12">
                  <c:v>2.3088763468445357E-2</c:v>
                </c:pt>
                <c:pt idx="13">
                  <c:v>2.3529411764705854E-2</c:v>
                </c:pt>
                <c:pt idx="14">
                  <c:v>2.1949974476773777E-2</c:v>
                </c:pt>
                <c:pt idx="15">
                  <c:v>2.1916411824668764E-2</c:v>
                </c:pt>
                <c:pt idx="16">
                  <c:v>2.0345879959308241E-2</c:v>
                </c:pt>
                <c:pt idx="17">
                  <c:v>2.0833333333333304E-2</c:v>
                </c:pt>
                <c:pt idx="18">
                  <c:v>2.1330624682579933E-2</c:v>
                </c:pt>
                <c:pt idx="19">
                  <c:v>1.924050632911398E-2</c:v>
                </c:pt>
                <c:pt idx="20">
                  <c:v>2.0717534108135392E-2</c:v>
                </c:pt>
                <c:pt idx="21">
                  <c:v>2.1180030257186021E-2</c:v>
                </c:pt>
                <c:pt idx="22">
                  <c:v>2.1148036253776523E-2</c:v>
                </c:pt>
                <c:pt idx="23">
                  <c:v>2.1105527638190898E-2</c:v>
                </c:pt>
                <c:pt idx="24">
                  <c:v>2.1063189568706061E-2</c:v>
                </c:pt>
                <c:pt idx="25">
                  <c:v>2.0989505247376399E-2</c:v>
                </c:pt>
                <c:pt idx="26">
                  <c:v>2.2977022977023091E-2</c:v>
                </c:pt>
                <c:pt idx="27">
                  <c:v>2.4438902743142171E-2</c:v>
                </c:pt>
                <c:pt idx="28">
                  <c:v>2.6420737786640138E-2</c:v>
                </c:pt>
                <c:pt idx="29">
                  <c:v>2.6879044300647116E-2</c:v>
                </c:pt>
                <c:pt idx="30">
                  <c:v>2.8344107409249215E-2</c:v>
                </c:pt>
                <c:pt idx="31">
                  <c:v>2.9309488325881653E-2</c:v>
                </c:pt>
                <c:pt idx="32">
                  <c:v>2.7722772277227695E-2</c:v>
                </c:pt>
                <c:pt idx="33">
                  <c:v>2.6172839506172895E-2</c:v>
                </c:pt>
                <c:pt idx="34">
                  <c:v>2.6134122287968357E-2</c:v>
                </c:pt>
                <c:pt idx="35">
                  <c:v>2.6574803149606328E-2</c:v>
                </c:pt>
                <c:pt idx="36">
                  <c:v>2.7185658153241633E-2</c:v>
                </c:pt>
                <c:pt idx="37">
                  <c:v>2.5051395007342117E-2</c:v>
                </c:pt>
                <c:pt idx="38">
                  <c:v>2.4155273437500013E-2</c:v>
                </c:pt>
                <c:pt idx="39">
                  <c:v>2.2677702044790589E-2</c:v>
                </c:pt>
                <c:pt idx="40">
                  <c:v>2.1816415735794025E-2</c:v>
                </c:pt>
                <c:pt idx="41">
                  <c:v>2.168201648085305E-2</c:v>
                </c:pt>
                <c:pt idx="42">
                  <c:v>2.0884912959380986E-2</c:v>
                </c:pt>
                <c:pt idx="43">
                  <c:v>2.101351351351358E-2</c:v>
                </c:pt>
                <c:pt idx="44">
                  <c:v>2.1565510597302523E-2</c:v>
                </c:pt>
                <c:pt idx="45">
                  <c:v>2.3387872954764122E-2</c:v>
                </c:pt>
                <c:pt idx="46">
                  <c:v>2.435367611725138E-2</c:v>
                </c:pt>
                <c:pt idx="47">
                  <c:v>2.4789069990412235E-2</c:v>
                </c:pt>
                <c:pt idx="48">
                  <c:v>2.2970808329547912E-2</c:v>
                </c:pt>
                <c:pt idx="49">
                  <c:v>2.3885243866334227E-2</c:v>
                </c:pt>
                <c:pt idx="50">
                  <c:v>2.2946692920518472E-2</c:v>
                </c:pt>
                <c:pt idx="51">
                  <c:v>2.3222157689780986E-2</c:v>
                </c:pt>
                <c:pt idx="52">
                  <c:v>2.3917259211376909E-2</c:v>
                </c:pt>
                <c:pt idx="53">
                  <c:v>2.4633136122748204E-2</c:v>
                </c:pt>
                <c:pt idx="54">
                  <c:v>2.4981171756213325E-2</c:v>
                </c:pt>
                <c:pt idx="55">
                  <c:v>2.4386208722122917E-2</c:v>
                </c:pt>
                <c:pt idx="56">
                  <c:v>2.2213629955157858E-2</c:v>
                </c:pt>
                <c:pt idx="57">
                  <c:v>2.0158939151697575E-2</c:v>
                </c:pt>
                <c:pt idx="58">
                  <c:v>1.7624596562335833E-2</c:v>
                </c:pt>
                <c:pt idx="59">
                  <c:v>1.6723503187990967E-2</c:v>
                </c:pt>
                <c:pt idx="60">
                  <c:v>1.8009806533638133E-2</c:v>
                </c:pt>
                <c:pt idx="61">
                  <c:v>1.7876130957933022E-2</c:v>
                </c:pt>
                <c:pt idx="62">
                  <c:v>1.9323266219239309E-2</c:v>
                </c:pt>
                <c:pt idx="63">
                  <c:v>1.8461309413034529E-2</c:v>
                </c:pt>
                <c:pt idx="64">
                  <c:v>1.7119726678550152E-2</c:v>
                </c:pt>
                <c:pt idx="65">
                  <c:v>1.5270992984974426E-2</c:v>
                </c:pt>
                <c:pt idx="66">
                  <c:v>1.4339650543224636E-2</c:v>
                </c:pt>
                <c:pt idx="67">
                  <c:v>1.4798373886199692E-2</c:v>
                </c:pt>
                <c:pt idx="68">
                  <c:v>1.7127331771131214E-2</c:v>
                </c:pt>
                <c:pt idx="69">
                  <c:v>1.7142435710104285E-2</c:v>
                </c:pt>
                <c:pt idx="70">
                  <c:v>1.8236717759594276E-2</c:v>
                </c:pt>
                <c:pt idx="71">
                  <c:v>1.5123351706495662E-2</c:v>
                </c:pt>
                <c:pt idx="72">
                  <c:v>1.3494526888039933E-2</c:v>
                </c:pt>
                <c:pt idx="73">
                  <c:v>1.1592051426555425E-2</c:v>
                </c:pt>
                <c:pt idx="74">
                  <c:v>9.6750889321738504E-3</c:v>
                </c:pt>
                <c:pt idx="75">
                  <c:v>9.4013814274750244E-3</c:v>
                </c:pt>
                <c:pt idx="76">
                  <c:v>9.5019898499397286E-3</c:v>
                </c:pt>
                <c:pt idx="77">
                  <c:v>9.5775393021166107E-3</c:v>
                </c:pt>
                <c:pt idx="78">
                  <c:v>9.1710099500673208E-3</c:v>
                </c:pt>
                <c:pt idx="79">
                  <c:v>8.1438704983631555E-3</c:v>
                </c:pt>
                <c:pt idx="80">
                  <c:v>6.027183550188016E-3</c:v>
                </c:pt>
                <c:pt idx="81">
                  <c:v>6.7205641104656089E-3</c:v>
                </c:pt>
                <c:pt idx="82">
                  <c:v>6.61894866466554E-3</c:v>
                </c:pt>
                <c:pt idx="83">
                  <c:v>9.8353374155270845E-3</c:v>
                </c:pt>
                <c:pt idx="84">
                  <c:v>1.1244455921460962E-2</c:v>
                </c:pt>
                <c:pt idx="85">
                  <c:v>1.2097851736773305E-2</c:v>
                </c:pt>
                <c:pt idx="86">
                  <c:v>1.3155392125784574E-2</c:v>
                </c:pt>
                <c:pt idx="87">
                  <c:v>1.4540961794335779E-2</c:v>
                </c:pt>
                <c:pt idx="88">
                  <c:v>1.5836776766096794E-2</c:v>
                </c:pt>
                <c:pt idx="89">
                  <c:v>1.7414834457429605E-2</c:v>
                </c:pt>
                <c:pt idx="90">
                  <c:v>1.9651571719433561E-2</c:v>
                </c:pt>
                <c:pt idx="91">
                  <c:v>1.9877227562006314E-2</c:v>
                </c:pt>
                <c:pt idx="92">
                  <c:v>2.1079204796465707E-2</c:v>
                </c:pt>
                <c:pt idx="93">
                  <c:v>2.1382045383954013E-2</c:v>
                </c:pt>
                <c:pt idx="94">
                  <c:v>2.2766626338585033E-2</c:v>
                </c:pt>
                <c:pt idx="95">
                  <c:v>2.2773481506083906E-2</c:v>
                </c:pt>
                <c:pt idx="96">
                  <c:v>2.1598204405657368E-2</c:v>
                </c:pt>
                <c:pt idx="97">
                  <c:v>2.2483374654291267E-2</c:v>
                </c:pt>
                <c:pt idx="98">
                  <c:v>2.3144278518015246E-2</c:v>
                </c:pt>
                <c:pt idx="99">
                  <c:v>2.2522582803613151E-2</c:v>
                </c:pt>
                <c:pt idx="100">
                  <c:v>2.192285611289865E-2</c:v>
                </c:pt>
                <c:pt idx="101">
                  <c:v>2.1099556873784554E-2</c:v>
                </c:pt>
                <c:pt idx="102">
                  <c:v>1.9352524993137443E-2</c:v>
                </c:pt>
                <c:pt idx="103">
                  <c:v>2.0082434834909194E-2</c:v>
                </c:pt>
                <c:pt idx="104">
                  <c:v>1.994649148366931E-2</c:v>
                </c:pt>
                <c:pt idx="105">
                  <c:v>1.9528512686261341E-2</c:v>
                </c:pt>
                <c:pt idx="106">
                  <c:v>1.8996943778720753E-2</c:v>
                </c:pt>
                <c:pt idx="107">
                  <c:v>1.909802217863147E-2</c:v>
                </c:pt>
                <c:pt idx="108">
                  <c:v>1.9887385214485544E-2</c:v>
                </c:pt>
                <c:pt idx="109">
                  <c:v>1.8890221377988264E-2</c:v>
                </c:pt>
                <c:pt idx="110">
                  <c:v>1.7155588562940926E-2</c:v>
                </c:pt>
                <c:pt idx="111">
                  <c:v>1.6455519491850853E-2</c:v>
                </c:pt>
                <c:pt idx="112">
                  <c:v>1.6230952474273065E-2</c:v>
                </c:pt>
                <c:pt idx="113">
                  <c:v>1.7002217680567016E-2</c:v>
                </c:pt>
                <c:pt idx="114">
                  <c:v>1.7821076909044352E-2</c:v>
                </c:pt>
                <c:pt idx="115">
                  <c:v>1.7519368418314467E-2</c:v>
                </c:pt>
                <c:pt idx="116">
                  <c:v>1.6868377311448125E-2</c:v>
                </c:pt>
                <c:pt idx="117">
                  <c:v>1.7416677473738797E-2</c:v>
                </c:pt>
                <c:pt idx="118">
                  <c:v>1.7408566188369799E-2</c:v>
                </c:pt>
                <c:pt idx="119">
                  <c:v>1.6070344358370396E-2</c:v>
                </c:pt>
                <c:pt idx="120">
                  <c:v>1.55480739049487E-2</c:v>
                </c:pt>
                <c:pt idx="121">
                  <c:v>1.6456609706435685E-2</c:v>
                </c:pt>
                <c:pt idx="122">
                  <c:v>1.8210555250137477E-2</c:v>
                </c:pt>
                <c:pt idx="123">
                  <c:v>1.945526961836249E-2</c:v>
                </c:pt>
                <c:pt idx="124">
                  <c:v>1.9228626526676645E-2</c:v>
                </c:pt>
                <c:pt idx="125">
                  <c:v>1.8449632290063273E-2</c:v>
                </c:pt>
                <c:pt idx="126">
                  <c:v>1.7363956028949832E-2</c:v>
                </c:pt>
                <c:pt idx="127">
                  <c:v>1.740945888368135E-2</c:v>
                </c:pt>
                <c:pt idx="128">
                  <c:v>1.8176323104362787E-2</c:v>
                </c:pt>
                <c:pt idx="129">
                  <c:v>1.7415947552462365E-2</c:v>
                </c:pt>
                <c:pt idx="130">
                  <c:v>1.6224195046636681E-2</c:v>
                </c:pt>
                <c:pt idx="131">
                  <c:v>1.6316255652417112E-2</c:v>
                </c:pt>
                <c:pt idx="132">
                  <c:v>1.6880834938713275E-2</c:v>
                </c:pt>
                <c:pt idx="133">
                  <c:v>1.7453777073428402E-2</c:v>
                </c:pt>
                <c:pt idx="134">
                  <c:v>1.8028278328946483E-2</c:v>
                </c:pt>
                <c:pt idx="135">
                  <c:v>1.7509440952473136E-2</c:v>
                </c:pt>
                <c:pt idx="136">
                  <c:v>1.7772676244654971E-2</c:v>
                </c:pt>
                <c:pt idx="137">
                  <c:v>1.8346312894897059E-2</c:v>
                </c:pt>
                <c:pt idx="138">
                  <c:v>1.8506323273421305E-2</c:v>
                </c:pt>
                <c:pt idx="139">
                  <c:v>1.8970961446650982E-2</c:v>
                </c:pt>
                <c:pt idx="140">
                  <c:v>1.9135335359608003E-2</c:v>
                </c:pt>
                <c:pt idx="141">
                  <c:v>1.9974275238246436E-2</c:v>
                </c:pt>
                <c:pt idx="142">
                  <c:v>2.0715072792840898E-2</c:v>
                </c:pt>
                <c:pt idx="143">
                  <c:v>2.1450225385824691E-2</c:v>
                </c:pt>
                <c:pt idx="144">
                  <c:v>2.2225738220941635E-2</c:v>
                </c:pt>
                <c:pt idx="145">
                  <c:v>2.1424269485576689E-2</c:v>
                </c:pt>
                <c:pt idx="146">
                  <c:v>2.1566547612141839E-2</c:v>
                </c:pt>
                <c:pt idx="147">
                  <c:v>2.2545595974976053E-2</c:v>
                </c:pt>
                <c:pt idx="148">
                  <c:v>2.2622116465067087E-2</c:v>
                </c:pt>
                <c:pt idx="149">
                  <c:v>2.1701399624842868E-2</c:v>
                </c:pt>
                <c:pt idx="150">
                  <c:v>2.3087345614186794E-2</c:v>
                </c:pt>
                <c:pt idx="151">
                  <c:v>2.2711206825691735E-2</c:v>
                </c:pt>
                <c:pt idx="152">
                  <c:v>2.2045551507991184E-2</c:v>
                </c:pt>
                <c:pt idx="153">
                  <c:v>2.1454219398053483E-2</c:v>
                </c:pt>
                <c:pt idx="154">
                  <c:v>2.1971236613002779E-2</c:v>
                </c:pt>
                <c:pt idx="155">
                  <c:v>2.2481680308628019E-2</c:v>
                </c:pt>
                <c:pt idx="156">
                  <c:v>2.1966518675410374E-2</c:v>
                </c:pt>
                <c:pt idx="157">
                  <c:v>2.0019275109489948E-2</c:v>
                </c:pt>
                <c:pt idx="158">
                  <c:v>1.9067049008116059E-2</c:v>
                </c:pt>
                <c:pt idx="159">
                  <c:v>1.7605619555145523E-2</c:v>
                </c:pt>
                <c:pt idx="160">
                  <c:v>1.7298214429991157E-2</c:v>
                </c:pt>
                <c:pt idx="161">
                  <c:v>1.7019799942702384E-2</c:v>
                </c:pt>
                <c:pt idx="162">
                  <c:v>1.680198693357703E-2</c:v>
                </c:pt>
                <c:pt idx="163">
                  <c:v>1.6866123885839104E-2</c:v>
                </c:pt>
                <c:pt idx="164">
                  <c:v>1.7632514790761899E-2</c:v>
                </c:pt>
                <c:pt idx="165">
                  <c:v>1.7087473595183623E-2</c:v>
                </c:pt>
                <c:pt idx="166">
                  <c:v>1.7557618437900151E-2</c:v>
                </c:pt>
                <c:pt idx="167">
                  <c:v>1.8146465332066406E-2</c:v>
                </c:pt>
                <c:pt idx="168">
                  <c:v>1.8210224668497456E-2</c:v>
                </c:pt>
                <c:pt idx="169">
                  <c:v>2.105359677239314E-2</c:v>
                </c:pt>
                <c:pt idx="170">
                  <c:v>2.1508286501201967E-2</c:v>
                </c:pt>
                <c:pt idx="171">
                  <c:v>2.2541831021758423E-2</c:v>
                </c:pt>
                <c:pt idx="172">
                  <c:v>2.2682688565732894E-2</c:v>
                </c:pt>
                <c:pt idx="173">
                  <c:v>2.3340884834971293E-2</c:v>
                </c:pt>
                <c:pt idx="174">
                  <c:v>2.1706512745598622E-2</c:v>
                </c:pt>
                <c:pt idx="175">
                  <c:v>2.171602006014885E-2</c:v>
                </c:pt>
                <c:pt idx="176">
                  <c:v>2.1511822825250871E-2</c:v>
                </c:pt>
                <c:pt idx="177">
                  <c:v>2.2349296929188554E-2</c:v>
                </c:pt>
                <c:pt idx="178">
                  <c:v>2.1882913632288399E-2</c:v>
                </c:pt>
                <c:pt idx="179">
                  <c:v>2.1222946821067568E-2</c:v>
                </c:pt>
                <c:pt idx="180">
                  <c:v>2.0550197281893796E-2</c:v>
                </c:pt>
                <c:pt idx="181">
                  <c:v>2.0389119035440755E-2</c:v>
                </c:pt>
                <c:pt idx="182">
                  <c:v>2.1016457826818796E-2</c:v>
                </c:pt>
                <c:pt idx="183">
                  <c:v>2.0326104286486592E-2</c:v>
                </c:pt>
                <c:pt idx="184">
                  <c:v>2.1678690968959542E-2</c:v>
                </c:pt>
                <c:pt idx="185">
                  <c:v>2.2044740821152941E-2</c:v>
                </c:pt>
                <c:pt idx="186">
                  <c:v>2.3523713577185471E-2</c:v>
                </c:pt>
                <c:pt idx="187">
                  <c:v>2.3474668708951308E-2</c:v>
                </c:pt>
                <c:pt idx="188">
                  <c:v>2.3309870303372095E-2</c:v>
                </c:pt>
                <c:pt idx="189">
                  <c:v>2.3175221170711024E-2</c:v>
                </c:pt>
                <c:pt idx="190">
                  <c:v>2.2233937346319243E-2</c:v>
                </c:pt>
                <c:pt idx="191">
                  <c:v>2.260587745133804E-2</c:v>
                </c:pt>
                <c:pt idx="192">
                  <c:v>2.3603685151233868E-2</c:v>
                </c:pt>
                <c:pt idx="193">
                  <c:v>2.0972759519245099E-2</c:v>
                </c:pt>
                <c:pt idx="194">
                  <c:v>1.4447624499141391E-2</c:v>
                </c:pt>
                <c:pt idx="195">
                  <c:v>1.2397859625586871E-2</c:v>
                </c:pt>
                <c:pt idx="196">
                  <c:v>1.202886928628695E-2</c:v>
                </c:pt>
                <c:pt idx="197">
                  <c:v>1.5575685846079126E-2</c:v>
                </c:pt>
                <c:pt idx="198">
                  <c:v>1.7047067775628279E-2</c:v>
                </c:pt>
                <c:pt idx="199">
                  <c:v>1.7203130727920561E-2</c:v>
                </c:pt>
                <c:pt idx="200">
                  <c:v>1.6315380377774302E-2</c:v>
                </c:pt>
                <c:pt idx="201">
                  <c:v>1.6546922505999751E-2</c:v>
                </c:pt>
                <c:pt idx="202">
                  <c:v>1.614524319501898E-2</c:v>
                </c:pt>
                <c:pt idx="203">
                  <c:v>1.396513784894067E-2</c:v>
                </c:pt>
                <c:pt idx="204">
                  <c:v>1.2826181447563671E-2</c:v>
                </c:pt>
                <c:pt idx="205">
                  <c:v>1.6468030882242732E-2</c:v>
                </c:pt>
                <c:pt idx="206">
                  <c:v>2.9582148392241742E-2</c:v>
                </c:pt>
                <c:pt idx="207">
                  <c:v>3.7950285540041553E-2</c:v>
                </c:pt>
                <c:pt idx="208">
                  <c:v>4.4531737030666756E-2</c:v>
                </c:pt>
                <c:pt idx="209">
                  <c:v>4.2327488962431159E-2</c:v>
                </c:pt>
                <c:pt idx="210">
                  <c:v>3.9768624327201629E-2</c:v>
                </c:pt>
                <c:pt idx="211">
                  <c:v>4.0355928739945472E-2</c:v>
                </c:pt>
                <c:pt idx="212">
                  <c:v>4.5832559866344789E-2</c:v>
                </c:pt>
                <c:pt idx="213">
                  <c:v>4.9596210793161358E-2</c:v>
                </c:pt>
                <c:pt idx="214">
                  <c:v>5.4897384603986132E-2</c:v>
                </c:pt>
              </c:numCache>
            </c:numRef>
          </c:val>
          <c:smooth val="0"/>
          <c:extLst>
            <c:ext xmlns:c16="http://schemas.microsoft.com/office/drawing/2014/chart" uri="{C3380CC4-5D6E-409C-BE32-E72D297353CC}">
              <c16:uniqueId val="{00000000-4DFC-E040-90D1-C33342BC7D23}"/>
            </c:ext>
          </c:extLst>
        </c:ser>
        <c:ser>
          <c:idx val="2"/>
          <c:order val="1"/>
          <c:spPr>
            <a:ln w="28575" cap="rnd">
              <a:solidFill>
                <a:schemeClr val="accent3"/>
              </a:solidFill>
              <a:prstDash val="solid"/>
              <a:round/>
            </a:ln>
          </c:spPr>
          <c:marker>
            <c:symbol val="none"/>
          </c:marker>
          <c:cat>
            <c:numRef>
              <c:f>'Core CPI'!$A$450:$A$666</c:f>
              <c:numCache>
                <c:formatCode>[$-409]mmm\-yy;@</c:formatCode>
                <c:ptCount val="217"/>
                <c:pt idx="0">
                  <c:v>38018</c:v>
                </c:pt>
                <c:pt idx="1">
                  <c:v>38047</c:v>
                </c:pt>
                <c:pt idx="2">
                  <c:v>38078</c:v>
                </c:pt>
                <c:pt idx="3">
                  <c:v>38108</c:v>
                </c:pt>
                <c:pt idx="4">
                  <c:v>38139</c:v>
                </c:pt>
                <c:pt idx="5">
                  <c:v>38169</c:v>
                </c:pt>
                <c:pt idx="6">
                  <c:v>38200</c:v>
                </c:pt>
                <c:pt idx="7">
                  <c:v>38231</c:v>
                </c:pt>
                <c:pt idx="8">
                  <c:v>38261</c:v>
                </c:pt>
                <c:pt idx="9">
                  <c:v>38292</c:v>
                </c:pt>
                <c:pt idx="10">
                  <c:v>38322</c:v>
                </c:pt>
                <c:pt idx="11">
                  <c:v>38353</c:v>
                </c:pt>
                <c:pt idx="12">
                  <c:v>38384</c:v>
                </c:pt>
                <c:pt idx="13">
                  <c:v>38412</c:v>
                </c:pt>
                <c:pt idx="14">
                  <c:v>38443</c:v>
                </c:pt>
                <c:pt idx="15">
                  <c:v>38473</c:v>
                </c:pt>
                <c:pt idx="16">
                  <c:v>38504</c:v>
                </c:pt>
                <c:pt idx="17">
                  <c:v>38534</c:v>
                </c:pt>
                <c:pt idx="18">
                  <c:v>38565</c:v>
                </c:pt>
                <c:pt idx="19">
                  <c:v>38596</c:v>
                </c:pt>
                <c:pt idx="20">
                  <c:v>38626</c:v>
                </c:pt>
                <c:pt idx="21">
                  <c:v>38657</c:v>
                </c:pt>
                <c:pt idx="22">
                  <c:v>38687</c:v>
                </c:pt>
                <c:pt idx="23">
                  <c:v>38718</c:v>
                </c:pt>
                <c:pt idx="24">
                  <c:v>38749</c:v>
                </c:pt>
                <c:pt idx="25">
                  <c:v>38777</c:v>
                </c:pt>
                <c:pt idx="26">
                  <c:v>38808</c:v>
                </c:pt>
                <c:pt idx="27">
                  <c:v>38838</c:v>
                </c:pt>
                <c:pt idx="28">
                  <c:v>38869</c:v>
                </c:pt>
                <c:pt idx="29">
                  <c:v>38899</c:v>
                </c:pt>
                <c:pt idx="30">
                  <c:v>38930</c:v>
                </c:pt>
                <c:pt idx="31">
                  <c:v>38961</c:v>
                </c:pt>
                <c:pt idx="32">
                  <c:v>38991</c:v>
                </c:pt>
                <c:pt idx="33">
                  <c:v>39022</c:v>
                </c:pt>
                <c:pt idx="34">
                  <c:v>39052</c:v>
                </c:pt>
                <c:pt idx="35">
                  <c:v>39083</c:v>
                </c:pt>
                <c:pt idx="36">
                  <c:v>39114</c:v>
                </c:pt>
                <c:pt idx="37">
                  <c:v>39142</c:v>
                </c:pt>
                <c:pt idx="38">
                  <c:v>39173</c:v>
                </c:pt>
                <c:pt idx="39">
                  <c:v>39203</c:v>
                </c:pt>
                <c:pt idx="40">
                  <c:v>39234</c:v>
                </c:pt>
                <c:pt idx="41">
                  <c:v>39264</c:v>
                </c:pt>
                <c:pt idx="42">
                  <c:v>39295</c:v>
                </c:pt>
                <c:pt idx="43">
                  <c:v>39326</c:v>
                </c:pt>
                <c:pt idx="44">
                  <c:v>39356</c:v>
                </c:pt>
                <c:pt idx="45">
                  <c:v>39387</c:v>
                </c:pt>
                <c:pt idx="46">
                  <c:v>39417</c:v>
                </c:pt>
                <c:pt idx="47">
                  <c:v>39448</c:v>
                </c:pt>
                <c:pt idx="48">
                  <c:v>39479</c:v>
                </c:pt>
                <c:pt idx="49">
                  <c:v>39508</c:v>
                </c:pt>
                <c:pt idx="50">
                  <c:v>39539</c:v>
                </c:pt>
                <c:pt idx="51">
                  <c:v>39569</c:v>
                </c:pt>
                <c:pt idx="52">
                  <c:v>39600</c:v>
                </c:pt>
                <c:pt idx="53">
                  <c:v>39630</c:v>
                </c:pt>
                <c:pt idx="54">
                  <c:v>39661</c:v>
                </c:pt>
                <c:pt idx="55">
                  <c:v>39692</c:v>
                </c:pt>
                <c:pt idx="56">
                  <c:v>39722</c:v>
                </c:pt>
                <c:pt idx="57">
                  <c:v>39753</c:v>
                </c:pt>
                <c:pt idx="58">
                  <c:v>39783</c:v>
                </c:pt>
                <c:pt idx="59">
                  <c:v>39814</c:v>
                </c:pt>
                <c:pt idx="60">
                  <c:v>39845</c:v>
                </c:pt>
                <c:pt idx="61">
                  <c:v>39873</c:v>
                </c:pt>
                <c:pt idx="62">
                  <c:v>39904</c:v>
                </c:pt>
                <c:pt idx="63">
                  <c:v>39934</c:v>
                </c:pt>
                <c:pt idx="64">
                  <c:v>39965</c:v>
                </c:pt>
                <c:pt idx="65">
                  <c:v>39995</c:v>
                </c:pt>
                <c:pt idx="66">
                  <c:v>40026</c:v>
                </c:pt>
                <c:pt idx="67">
                  <c:v>40057</c:v>
                </c:pt>
                <c:pt idx="68">
                  <c:v>40087</c:v>
                </c:pt>
                <c:pt idx="69">
                  <c:v>40118</c:v>
                </c:pt>
                <c:pt idx="70">
                  <c:v>40148</c:v>
                </c:pt>
                <c:pt idx="71">
                  <c:v>40179</c:v>
                </c:pt>
                <c:pt idx="72">
                  <c:v>40210</c:v>
                </c:pt>
                <c:pt idx="73">
                  <c:v>40238</c:v>
                </c:pt>
                <c:pt idx="74">
                  <c:v>40269</c:v>
                </c:pt>
                <c:pt idx="75">
                  <c:v>40299</c:v>
                </c:pt>
                <c:pt idx="76">
                  <c:v>40330</c:v>
                </c:pt>
                <c:pt idx="77">
                  <c:v>40360</c:v>
                </c:pt>
                <c:pt idx="78">
                  <c:v>40391</c:v>
                </c:pt>
                <c:pt idx="79">
                  <c:v>40422</c:v>
                </c:pt>
                <c:pt idx="80">
                  <c:v>40452</c:v>
                </c:pt>
                <c:pt idx="81">
                  <c:v>40483</c:v>
                </c:pt>
                <c:pt idx="82">
                  <c:v>40513</c:v>
                </c:pt>
                <c:pt idx="83">
                  <c:v>40544</c:v>
                </c:pt>
                <c:pt idx="84">
                  <c:v>40575</c:v>
                </c:pt>
                <c:pt idx="85">
                  <c:v>40603</c:v>
                </c:pt>
                <c:pt idx="86">
                  <c:v>40634</c:v>
                </c:pt>
                <c:pt idx="87">
                  <c:v>40664</c:v>
                </c:pt>
                <c:pt idx="88">
                  <c:v>40695</c:v>
                </c:pt>
                <c:pt idx="89">
                  <c:v>40725</c:v>
                </c:pt>
                <c:pt idx="90">
                  <c:v>40756</c:v>
                </c:pt>
                <c:pt idx="91">
                  <c:v>40787</c:v>
                </c:pt>
                <c:pt idx="92">
                  <c:v>40817</c:v>
                </c:pt>
                <c:pt idx="93">
                  <c:v>40848</c:v>
                </c:pt>
                <c:pt idx="94">
                  <c:v>40878</c:v>
                </c:pt>
                <c:pt idx="95">
                  <c:v>40909</c:v>
                </c:pt>
                <c:pt idx="96">
                  <c:v>40940</c:v>
                </c:pt>
                <c:pt idx="97">
                  <c:v>40969</c:v>
                </c:pt>
                <c:pt idx="98">
                  <c:v>41000</c:v>
                </c:pt>
                <c:pt idx="99">
                  <c:v>41030</c:v>
                </c:pt>
                <c:pt idx="100">
                  <c:v>41061</c:v>
                </c:pt>
                <c:pt idx="101">
                  <c:v>41091</c:v>
                </c:pt>
                <c:pt idx="102">
                  <c:v>41122</c:v>
                </c:pt>
                <c:pt idx="103">
                  <c:v>41153</c:v>
                </c:pt>
                <c:pt idx="104">
                  <c:v>41183</c:v>
                </c:pt>
                <c:pt idx="105">
                  <c:v>41214</c:v>
                </c:pt>
                <c:pt idx="106">
                  <c:v>41244</c:v>
                </c:pt>
                <c:pt idx="107">
                  <c:v>41275</c:v>
                </c:pt>
                <c:pt idx="108">
                  <c:v>41306</c:v>
                </c:pt>
                <c:pt idx="109">
                  <c:v>41334</c:v>
                </c:pt>
                <c:pt idx="110">
                  <c:v>41365</c:v>
                </c:pt>
                <c:pt idx="111">
                  <c:v>41395</c:v>
                </c:pt>
                <c:pt idx="112">
                  <c:v>41426</c:v>
                </c:pt>
                <c:pt idx="113">
                  <c:v>41456</c:v>
                </c:pt>
                <c:pt idx="114">
                  <c:v>41487</c:v>
                </c:pt>
                <c:pt idx="115">
                  <c:v>41518</c:v>
                </c:pt>
                <c:pt idx="116">
                  <c:v>41548</c:v>
                </c:pt>
                <c:pt idx="117">
                  <c:v>41579</c:v>
                </c:pt>
                <c:pt idx="118">
                  <c:v>41609</c:v>
                </c:pt>
                <c:pt idx="119">
                  <c:v>41640</c:v>
                </c:pt>
                <c:pt idx="120">
                  <c:v>41671</c:v>
                </c:pt>
                <c:pt idx="121">
                  <c:v>41699</c:v>
                </c:pt>
                <c:pt idx="122">
                  <c:v>41730</c:v>
                </c:pt>
                <c:pt idx="123">
                  <c:v>41760</c:v>
                </c:pt>
                <c:pt idx="124">
                  <c:v>41791</c:v>
                </c:pt>
                <c:pt idx="125">
                  <c:v>41821</c:v>
                </c:pt>
                <c:pt idx="126">
                  <c:v>41852</c:v>
                </c:pt>
                <c:pt idx="127">
                  <c:v>41883</c:v>
                </c:pt>
                <c:pt idx="128">
                  <c:v>41913</c:v>
                </c:pt>
                <c:pt idx="129">
                  <c:v>41944</c:v>
                </c:pt>
                <c:pt idx="130">
                  <c:v>41974</c:v>
                </c:pt>
                <c:pt idx="131">
                  <c:v>42005</c:v>
                </c:pt>
                <c:pt idx="132">
                  <c:v>42036</c:v>
                </c:pt>
                <c:pt idx="133">
                  <c:v>42064</c:v>
                </c:pt>
                <c:pt idx="134">
                  <c:v>42095</c:v>
                </c:pt>
                <c:pt idx="135">
                  <c:v>42125</c:v>
                </c:pt>
                <c:pt idx="136">
                  <c:v>42156</c:v>
                </c:pt>
                <c:pt idx="137">
                  <c:v>42186</c:v>
                </c:pt>
                <c:pt idx="138">
                  <c:v>42217</c:v>
                </c:pt>
                <c:pt idx="139">
                  <c:v>42248</c:v>
                </c:pt>
                <c:pt idx="140">
                  <c:v>42278</c:v>
                </c:pt>
                <c:pt idx="141">
                  <c:v>42309</c:v>
                </c:pt>
                <c:pt idx="142">
                  <c:v>42339</c:v>
                </c:pt>
                <c:pt idx="143">
                  <c:v>42370</c:v>
                </c:pt>
                <c:pt idx="144">
                  <c:v>42401</c:v>
                </c:pt>
                <c:pt idx="145">
                  <c:v>42430</c:v>
                </c:pt>
                <c:pt idx="146">
                  <c:v>42461</c:v>
                </c:pt>
                <c:pt idx="147">
                  <c:v>42491</c:v>
                </c:pt>
                <c:pt idx="148">
                  <c:v>42522</c:v>
                </c:pt>
                <c:pt idx="149">
                  <c:v>42552</c:v>
                </c:pt>
                <c:pt idx="150">
                  <c:v>42583</c:v>
                </c:pt>
                <c:pt idx="151">
                  <c:v>42614</c:v>
                </c:pt>
                <c:pt idx="152">
                  <c:v>42644</c:v>
                </c:pt>
                <c:pt idx="153">
                  <c:v>42675</c:v>
                </c:pt>
                <c:pt idx="154">
                  <c:v>42705</c:v>
                </c:pt>
                <c:pt idx="155">
                  <c:v>42736</c:v>
                </c:pt>
                <c:pt idx="156">
                  <c:v>42767</c:v>
                </c:pt>
                <c:pt idx="157">
                  <c:v>42795</c:v>
                </c:pt>
                <c:pt idx="158">
                  <c:v>42826</c:v>
                </c:pt>
                <c:pt idx="159">
                  <c:v>42856</c:v>
                </c:pt>
                <c:pt idx="160">
                  <c:v>42887</c:v>
                </c:pt>
                <c:pt idx="161">
                  <c:v>42917</c:v>
                </c:pt>
                <c:pt idx="162">
                  <c:v>42948</c:v>
                </c:pt>
                <c:pt idx="163">
                  <c:v>42979</c:v>
                </c:pt>
                <c:pt idx="164">
                  <c:v>43009</c:v>
                </c:pt>
                <c:pt idx="165">
                  <c:v>43040</c:v>
                </c:pt>
                <c:pt idx="166">
                  <c:v>43070</c:v>
                </c:pt>
                <c:pt idx="167">
                  <c:v>43101</c:v>
                </c:pt>
                <c:pt idx="168">
                  <c:v>43132</c:v>
                </c:pt>
                <c:pt idx="169">
                  <c:v>43160</c:v>
                </c:pt>
                <c:pt idx="170">
                  <c:v>43191</c:v>
                </c:pt>
                <c:pt idx="171">
                  <c:v>43221</c:v>
                </c:pt>
                <c:pt idx="172">
                  <c:v>43252</c:v>
                </c:pt>
                <c:pt idx="173">
                  <c:v>43282</c:v>
                </c:pt>
                <c:pt idx="174">
                  <c:v>43313</c:v>
                </c:pt>
                <c:pt idx="175">
                  <c:v>43344</c:v>
                </c:pt>
                <c:pt idx="176">
                  <c:v>43374</c:v>
                </c:pt>
                <c:pt idx="177">
                  <c:v>43405</c:v>
                </c:pt>
                <c:pt idx="178">
                  <c:v>43435</c:v>
                </c:pt>
                <c:pt idx="179">
                  <c:v>43466</c:v>
                </c:pt>
                <c:pt idx="180">
                  <c:v>43497</c:v>
                </c:pt>
                <c:pt idx="181">
                  <c:v>43525</c:v>
                </c:pt>
                <c:pt idx="182">
                  <c:v>43556</c:v>
                </c:pt>
                <c:pt idx="183">
                  <c:v>43586</c:v>
                </c:pt>
                <c:pt idx="184">
                  <c:v>43617</c:v>
                </c:pt>
                <c:pt idx="185">
                  <c:v>43647</c:v>
                </c:pt>
                <c:pt idx="186">
                  <c:v>43678</c:v>
                </c:pt>
                <c:pt idx="187">
                  <c:v>43709</c:v>
                </c:pt>
                <c:pt idx="188">
                  <c:v>43739</c:v>
                </c:pt>
                <c:pt idx="189">
                  <c:v>43770</c:v>
                </c:pt>
                <c:pt idx="190">
                  <c:v>43800</c:v>
                </c:pt>
                <c:pt idx="191">
                  <c:v>43831</c:v>
                </c:pt>
                <c:pt idx="192">
                  <c:v>43862</c:v>
                </c:pt>
                <c:pt idx="193">
                  <c:v>43891</c:v>
                </c:pt>
                <c:pt idx="194">
                  <c:v>43922</c:v>
                </c:pt>
                <c:pt idx="195">
                  <c:v>43952</c:v>
                </c:pt>
                <c:pt idx="196">
                  <c:v>43983</c:v>
                </c:pt>
                <c:pt idx="197">
                  <c:v>44013</c:v>
                </c:pt>
                <c:pt idx="198">
                  <c:v>44044</c:v>
                </c:pt>
                <c:pt idx="199">
                  <c:v>44075</c:v>
                </c:pt>
                <c:pt idx="200">
                  <c:v>44105</c:v>
                </c:pt>
                <c:pt idx="201">
                  <c:v>44136</c:v>
                </c:pt>
                <c:pt idx="202">
                  <c:v>44166</c:v>
                </c:pt>
                <c:pt idx="203">
                  <c:v>44197</c:v>
                </c:pt>
                <c:pt idx="204">
                  <c:v>44228</c:v>
                </c:pt>
                <c:pt idx="205">
                  <c:v>44256</c:v>
                </c:pt>
                <c:pt idx="206">
                  <c:v>44287</c:v>
                </c:pt>
                <c:pt idx="207">
                  <c:v>44317</c:v>
                </c:pt>
                <c:pt idx="208">
                  <c:v>44348</c:v>
                </c:pt>
                <c:pt idx="209">
                  <c:v>44378</c:v>
                </c:pt>
                <c:pt idx="210">
                  <c:v>44409</c:v>
                </c:pt>
                <c:pt idx="211">
                  <c:v>44440</c:v>
                </c:pt>
                <c:pt idx="212">
                  <c:v>44470</c:v>
                </c:pt>
                <c:pt idx="213">
                  <c:v>44501</c:v>
                </c:pt>
                <c:pt idx="214">
                  <c:v>44531</c:v>
                </c:pt>
              </c:numCache>
            </c:numRef>
          </c:cat>
          <c:val>
            <c:numRef>
              <c:f>'Core CPI'!$F$450:$F$666</c:f>
              <c:numCache>
                <c:formatCode>0%</c:formatCode>
                <c:ptCount val="217"/>
                <c:pt idx="0">
                  <c:v>0.02</c:v>
                </c:pt>
                <c:pt idx="1">
                  <c:v>0.02</c:v>
                </c:pt>
                <c:pt idx="2">
                  <c:v>0.02</c:v>
                </c:pt>
                <c:pt idx="3">
                  <c:v>0.02</c:v>
                </c:pt>
                <c:pt idx="4">
                  <c:v>0.02</c:v>
                </c:pt>
                <c:pt idx="5">
                  <c:v>0.02</c:v>
                </c:pt>
                <c:pt idx="6">
                  <c:v>0.02</c:v>
                </c:pt>
                <c:pt idx="7">
                  <c:v>0.02</c:v>
                </c:pt>
                <c:pt idx="8">
                  <c:v>0.02</c:v>
                </c:pt>
                <c:pt idx="9">
                  <c:v>0.02</c:v>
                </c:pt>
                <c:pt idx="10">
                  <c:v>0.02</c:v>
                </c:pt>
                <c:pt idx="11">
                  <c:v>0.02</c:v>
                </c:pt>
                <c:pt idx="12">
                  <c:v>0.02</c:v>
                </c:pt>
                <c:pt idx="13">
                  <c:v>0.02</c:v>
                </c:pt>
                <c:pt idx="14">
                  <c:v>0.02</c:v>
                </c:pt>
                <c:pt idx="15">
                  <c:v>0.02</c:v>
                </c:pt>
                <c:pt idx="16">
                  <c:v>0.02</c:v>
                </c:pt>
                <c:pt idx="17">
                  <c:v>0.02</c:v>
                </c:pt>
                <c:pt idx="18">
                  <c:v>0.02</c:v>
                </c:pt>
                <c:pt idx="19">
                  <c:v>0.02</c:v>
                </c:pt>
                <c:pt idx="20">
                  <c:v>0.02</c:v>
                </c:pt>
                <c:pt idx="21">
                  <c:v>0.02</c:v>
                </c:pt>
                <c:pt idx="22">
                  <c:v>0.02</c:v>
                </c:pt>
                <c:pt idx="23">
                  <c:v>0.02</c:v>
                </c:pt>
                <c:pt idx="24">
                  <c:v>0.02</c:v>
                </c:pt>
                <c:pt idx="25">
                  <c:v>0.02</c:v>
                </c:pt>
                <c:pt idx="26">
                  <c:v>0.02</c:v>
                </c:pt>
                <c:pt idx="27">
                  <c:v>0.02</c:v>
                </c:pt>
                <c:pt idx="28">
                  <c:v>0.02</c:v>
                </c:pt>
                <c:pt idx="29">
                  <c:v>0.02</c:v>
                </c:pt>
                <c:pt idx="30">
                  <c:v>0.02</c:v>
                </c:pt>
                <c:pt idx="31">
                  <c:v>0.02</c:v>
                </c:pt>
                <c:pt idx="32">
                  <c:v>0.02</c:v>
                </c:pt>
                <c:pt idx="33">
                  <c:v>0.02</c:v>
                </c:pt>
                <c:pt idx="34">
                  <c:v>0.02</c:v>
                </c:pt>
                <c:pt idx="35">
                  <c:v>0.02</c:v>
                </c:pt>
                <c:pt idx="36">
                  <c:v>0.02</c:v>
                </c:pt>
                <c:pt idx="37">
                  <c:v>0.02</c:v>
                </c:pt>
                <c:pt idx="38">
                  <c:v>0.02</c:v>
                </c:pt>
                <c:pt idx="39">
                  <c:v>0.02</c:v>
                </c:pt>
                <c:pt idx="40">
                  <c:v>0.02</c:v>
                </c:pt>
                <c:pt idx="41">
                  <c:v>0.02</c:v>
                </c:pt>
                <c:pt idx="42">
                  <c:v>0.02</c:v>
                </c:pt>
                <c:pt idx="43">
                  <c:v>0.02</c:v>
                </c:pt>
                <c:pt idx="44">
                  <c:v>0.02</c:v>
                </c:pt>
                <c:pt idx="45">
                  <c:v>0.02</c:v>
                </c:pt>
                <c:pt idx="46">
                  <c:v>0.02</c:v>
                </c:pt>
                <c:pt idx="47">
                  <c:v>0.02</c:v>
                </c:pt>
                <c:pt idx="48">
                  <c:v>0.02</c:v>
                </c:pt>
                <c:pt idx="49">
                  <c:v>0.02</c:v>
                </c:pt>
                <c:pt idx="50">
                  <c:v>0.02</c:v>
                </c:pt>
                <c:pt idx="51">
                  <c:v>0.02</c:v>
                </c:pt>
                <c:pt idx="52">
                  <c:v>0.02</c:v>
                </c:pt>
                <c:pt idx="53">
                  <c:v>0.02</c:v>
                </c:pt>
                <c:pt idx="54">
                  <c:v>0.02</c:v>
                </c:pt>
                <c:pt idx="55">
                  <c:v>0.02</c:v>
                </c:pt>
                <c:pt idx="56">
                  <c:v>0.02</c:v>
                </c:pt>
                <c:pt idx="57">
                  <c:v>0.02</c:v>
                </c:pt>
                <c:pt idx="58">
                  <c:v>0.02</c:v>
                </c:pt>
                <c:pt idx="59">
                  <c:v>0.02</c:v>
                </c:pt>
                <c:pt idx="60">
                  <c:v>0.02</c:v>
                </c:pt>
                <c:pt idx="61">
                  <c:v>0.02</c:v>
                </c:pt>
                <c:pt idx="62">
                  <c:v>0.02</c:v>
                </c:pt>
                <c:pt idx="63">
                  <c:v>0.02</c:v>
                </c:pt>
                <c:pt idx="64">
                  <c:v>0.02</c:v>
                </c:pt>
                <c:pt idx="65">
                  <c:v>0.02</c:v>
                </c:pt>
                <c:pt idx="66">
                  <c:v>0.02</c:v>
                </c:pt>
                <c:pt idx="67">
                  <c:v>0.02</c:v>
                </c:pt>
                <c:pt idx="68">
                  <c:v>0.02</c:v>
                </c:pt>
                <c:pt idx="69">
                  <c:v>0.02</c:v>
                </c:pt>
                <c:pt idx="70">
                  <c:v>0.02</c:v>
                </c:pt>
                <c:pt idx="71">
                  <c:v>0.02</c:v>
                </c:pt>
                <c:pt idx="72">
                  <c:v>0.02</c:v>
                </c:pt>
                <c:pt idx="73">
                  <c:v>0.02</c:v>
                </c:pt>
                <c:pt idx="74">
                  <c:v>0.02</c:v>
                </c:pt>
                <c:pt idx="75">
                  <c:v>0.02</c:v>
                </c:pt>
                <c:pt idx="76">
                  <c:v>0.02</c:v>
                </c:pt>
                <c:pt idx="77">
                  <c:v>0.02</c:v>
                </c:pt>
                <c:pt idx="78">
                  <c:v>0.02</c:v>
                </c:pt>
                <c:pt idx="79">
                  <c:v>0.02</c:v>
                </c:pt>
                <c:pt idx="80">
                  <c:v>0.02</c:v>
                </c:pt>
                <c:pt idx="81">
                  <c:v>0.02</c:v>
                </c:pt>
                <c:pt idx="82">
                  <c:v>0.02</c:v>
                </c:pt>
                <c:pt idx="83">
                  <c:v>0.02</c:v>
                </c:pt>
                <c:pt idx="84">
                  <c:v>0.02</c:v>
                </c:pt>
                <c:pt idx="85">
                  <c:v>0.02</c:v>
                </c:pt>
                <c:pt idx="86">
                  <c:v>0.02</c:v>
                </c:pt>
                <c:pt idx="87">
                  <c:v>0.02</c:v>
                </c:pt>
                <c:pt idx="88">
                  <c:v>0.02</c:v>
                </c:pt>
                <c:pt idx="89">
                  <c:v>0.02</c:v>
                </c:pt>
                <c:pt idx="90">
                  <c:v>0.02</c:v>
                </c:pt>
                <c:pt idx="91">
                  <c:v>0.02</c:v>
                </c:pt>
                <c:pt idx="92">
                  <c:v>0.02</c:v>
                </c:pt>
                <c:pt idx="93">
                  <c:v>0.02</c:v>
                </c:pt>
                <c:pt idx="94">
                  <c:v>0.02</c:v>
                </c:pt>
                <c:pt idx="95">
                  <c:v>0.02</c:v>
                </c:pt>
                <c:pt idx="96">
                  <c:v>0.02</c:v>
                </c:pt>
                <c:pt idx="97">
                  <c:v>0.02</c:v>
                </c:pt>
                <c:pt idx="98">
                  <c:v>0.02</c:v>
                </c:pt>
                <c:pt idx="99">
                  <c:v>0.02</c:v>
                </c:pt>
                <c:pt idx="100">
                  <c:v>0.02</c:v>
                </c:pt>
                <c:pt idx="101">
                  <c:v>0.02</c:v>
                </c:pt>
                <c:pt idx="102">
                  <c:v>0.02</c:v>
                </c:pt>
                <c:pt idx="103">
                  <c:v>0.02</c:v>
                </c:pt>
                <c:pt idx="104">
                  <c:v>0.02</c:v>
                </c:pt>
                <c:pt idx="105">
                  <c:v>0.02</c:v>
                </c:pt>
                <c:pt idx="106">
                  <c:v>0.02</c:v>
                </c:pt>
                <c:pt idx="107">
                  <c:v>0.02</c:v>
                </c:pt>
                <c:pt idx="108">
                  <c:v>0.02</c:v>
                </c:pt>
                <c:pt idx="109">
                  <c:v>0.02</c:v>
                </c:pt>
                <c:pt idx="110">
                  <c:v>0.02</c:v>
                </c:pt>
                <c:pt idx="111">
                  <c:v>0.02</c:v>
                </c:pt>
                <c:pt idx="112">
                  <c:v>0.02</c:v>
                </c:pt>
                <c:pt idx="113">
                  <c:v>0.02</c:v>
                </c:pt>
                <c:pt idx="114">
                  <c:v>0.02</c:v>
                </c:pt>
                <c:pt idx="115">
                  <c:v>0.02</c:v>
                </c:pt>
                <c:pt idx="116">
                  <c:v>0.02</c:v>
                </c:pt>
                <c:pt idx="117">
                  <c:v>0.02</c:v>
                </c:pt>
                <c:pt idx="118">
                  <c:v>0.02</c:v>
                </c:pt>
                <c:pt idx="119">
                  <c:v>0.02</c:v>
                </c:pt>
                <c:pt idx="120">
                  <c:v>0.02</c:v>
                </c:pt>
                <c:pt idx="121">
                  <c:v>0.02</c:v>
                </c:pt>
                <c:pt idx="122">
                  <c:v>0.02</c:v>
                </c:pt>
                <c:pt idx="123">
                  <c:v>0.02</c:v>
                </c:pt>
                <c:pt idx="124">
                  <c:v>0.02</c:v>
                </c:pt>
                <c:pt idx="125">
                  <c:v>0.02</c:v>
                </c:pt>
                <c:pt idx="126">
                  <c:v>0.02</c:v>
                </c:pt>
                <c:pt idx="127">
                  <c:v>0.02</c:v>
                </c:pt>
                <c:pt idx="128">
                  <c:v>0.02</c:v>
                </c:pt>
                <c:pt idx="129">
                  <c:v>0.02</c:v>
                </c:pt>
                <c:pt idx="130">
                  <c:v>0.02</c:v>
                </c:pt>
                <c:pt idx="131">
                  <c:v>0.02</c:v>
                </c:pt>
                <c:pt idx="132">
                  <c:v>0.02</c:v>
                </c:pt>
                <c:pt idx="133">
                  <c:v>0.02</c:v>
                </c:pt>
                <c:pt idx="134">
                  <c:v>0.02</c:v>
                </c:pt>
                <c:pt idx="135">
                  <c:v>0.02</c:v>
                </c:pt>
                <c:pt idx="136">
                  <c:v>0.02</c:v>
                </c:pt>
                <c:pt idx="137">
                  <c:v>0.02</c:v>
                </c:pt>
                <c:pt idx="138">
                  <c:v>0.02</c:v>
                </c:pt>
                <c:pt idx="139">
                  <c:v>0.02</c:v>
                </c:pt>
                <c:pt idx="140">
                  <c:v>0.02</c:v>
                </c:pt>
                <c:pt idx="141">
                  <c:v>0.02</c:v>
                </c:pt>
                <c:pt idx="142">
                  <c:v>0.02</c:v>
                </c:pt>
                <c:pt idx="143">
                  <c:v>0.02</c:v>
                </c:pt>
                <c:pt idx="144">
                  <c:v>0.02</c:v>
                </c:pt>
                <c:pt idx="145">
                  <c:v>0.02</c:v>
                </c:pt>
                <c:pt idx="146">
                  <c:v>0.02</c:v>
                </c:pt>
                <c:pt idx="147">
                  <c:v>0.02</c:v>
                </c:pt>
                <c:pt idx="148">
                  <c:v>0.02</c:v>
                </c:pt>
                <c:pt idx="149">
                  <c:v>0.02</c:v>
                </c:pt>
                <c:pt idx="150">
                  <c:v>0.02</c:v>
                </c:pt>
                <c:pt idx="151">
                  <c:v>0.02</c:v>
                </c:pt>
                <c:pt idx="152">
                  <c:v>0.02</c:v>
                </c:pt>
                <c:pt idx="153">
                  <c:v>0.02</c:v>
                </c:pt>
                <c:pt idx="154">
                  <c:v>0.02</c:v>
                </c:pt>
                <c:pt idx="155">
                  <c:v>0.02</c:v>
                </c:pt>
                <c:pt idx="156">
                  <c:v>0.02</c:v>
                </c:pt>
                <c:pt idx="157">
                  <c:v>0.02</c:v>
                </c:pt>
                <c:pt idx="158">
                  <c:v>0.02</c:v>
                </c:pt>
                <c:pt idx="159">
                  <c:v>0.02</c:v>
                </c:pt>
                <c:pt idx="160">
                  <c:v>0.02</c:v>
                </c:pt>
                <c:pt idx="161">
                  <c:v>0.02</c:v>
                </c:pt>
                <c:pt idx="162">
                  <c:v>0.02</c:v>
                </c:pt>
                <c:pt idx="163">
                  <c:v>0.02</c:v>
                </c:pt>
                <c:pt idx="164">
                  <c:v>0.02</c:v>
                </c:pt>
                <c:pt idx="165">
                  <c:v>0.02</c:v>
                </c:pt>
                <c:pt idx="166">
                  <c:v>0.02</c:v>
                </c:pt>
                <c:pt idx="167">
                  <c:v>0.02</c:v>
                </c:pt>
                <c:pt idx="168">
                  <c:v>0.02</c:v>
                </c:pt>
                <c:pt idx="169">
                  <c:v>0.02</c:v>
                </c:pt>
                <c:pt idx="170">
                  <c:v>0.02</c:v>
                </c:pt>
                <c:pt idx="171">
                  <c:v>0.02</c:v>
                </c:pt>
                <c:pt idx="172">
                  <c:v>0.02</c:v>
                </c:pt>
                <c:pt idx="173">
                  <c:v>0.02</c:v>
                </c:pt>
                <c:pt idx="174">
                  <c:v>0.02</c:v>
                </c:pt>
                <c:pt idx="175">
                  <c:v>0.02</c:v>
                </c:pt>
                <c:pt idx="176">
                  <c:v>0.02</c:v>
                </c:pt>
                <c:pt idx="177">
                  <c:v>0.02</c:v>
                </c:pt>
                <c:pt idx="178">
                  <c:v>0.02</c:v>
                </c:pt>
                <c:pt idx="179">
                  <c:v>0.02</c:v>
                </c:pt>
                <c:pt idx="180">
                  <c:v>0.02</c:v>
                </c:pt>
                <c:pt idx="181">
                  <c:v>0.02</c:v>
                </c:pt>
                <c:pt idx="182">
                  <c:v>0.02</c:v>
                </c:pt>
                <c:pt idx="183">
                  <c:v>0.02</c:v>
                </c:pt>
                <c:pt idx="184">
                  <c:v>0.02</c:v>
                </c:pt>
                <c:pt idx="185">
                  <c:v>0.02</c:v>
                </c:pt>
                <c:pt idx="186">
                  <c:v>0.02</c:v>
                </c:pt>
                <c:pt idx="187">
                  <c:v>0.02</c:v>
                </c:pt>
                <c:pt idx="188">
                  <c:v>0.02</c:v>
                </c:pt>
                <c:pt idx="189">
                  <c:v>0.02</c:v>
                </c:pt>
                <c:pt idx="190">
                  <c:v>0.02</c:v>
                </c:pt>
                <c:pt idx="191">
                  <c:v>0.02</c:v>
                </c:pt>
                <c:pt idx="192">
                  <c:v>0.02</c:v>
                </c:pt>
                <c:pt idx="193">
                  <c:v>0.02</c:v>
                </c:pt>
                <c:pt idx="194">
                  <c:v>0.02</c:v>
                </c:pt>
                <c:pt idx="195">
                  <c:v>0.02</c:v>
                </c:pt>
                <c:pt idx="196">
                  <c:v>0.02</c:v>
                </c:pt>
                <c:pt idx="197">
                  <c:v>0.02</c:v>
                </c:pt>
                <c:pt idx="198">
                  <c:v>0.02</c:v>
                </c:pt>
                <c:pt idx="199">
                  <c:v>0.02</c:v>
                </c:pt>
                <c:pt idx="200">
                  <c:v>0.02</c:v>
                </c:pt>
                <c:pt idx="201">
                  <c:v>0.02</c:v>
                </c:pt>
                <c:pt idx="202">
                  <c:v>0.02</c:v>
                </c:pt>
                <c:pt idx="203">
                  <c:v>0.02</c:v>
                </c:pt>
                <c:pt idx="204">
                  <c:v>0.02</c:v>
                </c:pt>
                <c:pt idx="205">
                  <c:v>0.02</c:v>
                </c:pt>
                <c:pt idx="206">
                  <c:v>0.02</c:v>
                </c:pt>
                <c:pt idx="207">
                  <c:v>0.02</c:v>
                </c:pt>
                <c:pt idx="208">
                  <c:v>0.02</c:v>
                </c:pt>
                <c:pt idx="209">
                  <c:v>0.02</c:v>
                </c:pt>
                <c:pt idx="210">
                  <c:v>0.02</c:v>
                </c:pt>
                <c:pt idx="211">
                  <c:v>0.02</c:v>
                </c:pt>
                <c:pt idx="212">
                  <c:v>0.02</c:v>
                </c:pt>
                <c:pt idx="213">
                  <c:v>0.02</c:v>
                </c:pt>
                <c:pt idx="214">
                  <c:v>0.02</c:v>
                </c:pt>
              </c:numCache>
            </c:numRef>
          </c:val>
          <c:smooth val="0"/>
          <c:extLst>
            <c:ext xmlns:c16="http://schemas.microsoft.com/office/drawing/2014/chart" uri="{C3380CC4-5D6E-409C-BE32-E72D297353CC}">
              <c16:uniqueId val="{00000001-4DFC-E040-90D1-C33342BC7D23}"/>
            </c:ext>
          </c:extLst>
        </c:ser>
        <c:dLbls>
          <c:showLegendKey val="0"/>
          <c:showVal val="0"/>
          <c:showCatName val="0"/>
          <c:showSerName val="0"/>
          <c:showPercent val="0"/>
          <c:showBubbleSize val="0"/>
        </c:dLbls>
        <c:smooth val="0"/>
        <c:axId val="750124064"/>
        <c:axId val="750091136"/>
      </c:lineChart>
      <c:dateAx>
        <c:axId val="750124064"/>
        <c:scaling>
          <c:orientation val="minMax"/>
        </c:scaling>
        <c:delete val="0"/>
        <c:axPos val="b"/>
        <c:numFmt formatCode="[$-409]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091136"/>
        <c:crosses val="autoZero"/>
        <c:auto val="0"/>
        <c:lblOffset val="100"/>
        <c:baseTimeUnit val="months"/>
      </c:dateAx>
      <c:valAx>
        <c:axId val="750091136"/>
        <c:scaling>
          <c:orientation val="minMax"/>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124064"/>
        <c:crosses val="autoZero"/>
        <c:crossBetween val="between"/>
      </c:valAx>
    </c:plotArea>
    <c:plotVisOnly val="1"/>
    <c:dispBlanksAs val="gap"/>
    <c:showDLblsOverMax val="0"/>
  </c:chart>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strike="noStrike" kern="1200" spc="0" baseline="0">
                <a:solidFill>
                  <a:schemeClr val="tx1">
                    <a:lumMod val="65000"/>
                    <a:lumOff val="35000"/>
                  </a:schemeClr>
                </a:solidFill>
                <a:latin typeface="+mn-lt"/>
                <a:ea typeface="+mn-ea"/>
                <a:cs typeface="+mn-cs"/>
              </a:defRPr>
            </a:pPr>
            <a:r>
              <a:rPr lang="en-US" b="1"/>
              <a:t>Core CPI y/y % since 1968</a:t>
            </a:r>
          </a:p>
        </c:rich>
      </c:tx>
      <c:overlay val="0"/>
      <c:spPr>
        <a:noFill/>
        <a:ln>
          <a:noFill/>
          <a:prstDash val="solid"/>
        </a:ln>
      </c:spPr>
    </c:title>
    <c:autoTitleDeleted val="0"/>
    <c:plotArea>
      <c:layout/>
      <c:lineChart>
        <c:grouping val="standard"/>
        <c:varyColors val="0"/>
        <c:ser>
          <c:idx val="2"/>
          <c:order val="0"/>
          <c:tx>
            <c:strRef>
              <c:f>'Core CPI'!$D$4</c:f>
              <c:strCache>
                <c:ptCount val="1"/>
                <c:pt idx="0">
                  <c:v>All Items Less Food &amp; Energy y/y %</c:v>
                </c:pt>
              </c:strCache>
            </c:strRef>
          </c:tx>
          <c:spPr>
            <a:ln w="28575" cap="rnd">
              <a:solidFill>
                <a:schemeClr val="accent3"/>
              </a:solidFill>
              <a:prstDash val="solid"/>
              <a:round/>
            </a:ln>
          </c:spPr>
          <c:marker>
            <c:symbol val="none"/>
          </c:marker>
          <c:cat>
            <c:numRef>
              <c:f>'Core CPI'!$A$17:$A$902</c:f>
              <c:numCache>
                <c:formatCode>[$-409]mmm\-yy;@</c:formatCode>
                <c:ptCount val="886"/>
                <c:pt idx="0">
                  <c:v>24838</c:v>
                </c:pt>
                <c:pt idx="1">
                  <c:v>24869</c:v>
                </c:pt>
                <c:pt idx="2">
                  <c:v>24898</c:v>
                </c:pt>
                <c:pt idx="3">
                  <c:v>24929</c:v>
                </c:pt>
                <c:pt idx="4">
                  <c:v>24959</c:v>
                </c:pt>
                <c:pt idx="5">
                  <c:v>24990</c:v>
                </c:pt>
                <c:pt idx="6">
                  <c:v>25020</c:v>
                </c:pt>
                <c:pt idx="7">
                  <c:v>25051</c:v>
                </c:pt>
                <c:pt idx="8">
                  <c:v>25082</c:v>
                </c:pt>
                <c:pt idx="9">
                  <c:v>25112</c:v>
                </c:pt>
                <c:pt idx="10">
                  <c:v>25143</c:v>
                </c:pt>
                <c:pt idx="11">
                  <c:v>25173</c:v>
                </c:pt>
                <c:pt idx="12">
                  <c:v>25204</c:v>
                </c:pt>
                <c:pt idx="13">
                  <c:v>25235</c:v>
                </c:pt>
                <c:pt idx="14">
                  <c:v>25263</c:v>
                </c:pt>
                <c:pt idx="15">
                  <c:v>25294</c:v>
                </c:pt>
                <c:pt idx="16">
                  <c:v>25324</c:v>
                </c:pt>
                <c:pt idx="17">
                  <c:v>25355</c:v>
                </c:pt>
                <c:pt idx="18">
                  <c:v>25385</c:v>
                </c:pt>
                <c:pt idx="19">
                  <c:v>25416</c:v>
                </c:pt>
                <c:pt idx="20">
                  <c:v>25447</c:v>
                </c:pt>
                <c:pt idx="21">
                  <c:v>25477</c:v>
                </c:pt>
                <c:pt idx="22">
                  <c:v>25508</c:v>
                </c:pt>
                <c:pt idx="23">
                  <c:v>25538</c:v>
                </c:pt>
                <c:pt idx="24">
                  <c:v>25569</c:v>
                </c:pt>
                <c:pt idx="25">
                  <c:v>25600</c:v>
                </c:pt>
                <c:pt idx="26">
                  <c:v>25628</c:v>
                </c:pt>
                <c:pt idx="27">
                  <c:v>25659</c:v>
                </c:pt>
                <c:pt idx="28">
                  <c:v>25689</c:v>
                </c:pt>
                <c:pt idx="29">
                  <c:v>25720</c:v>
                </c:pt>
                <c:pt idx="30">
                  <c:v>25750</c:v>
                </c:pt>
                <c:pt idx="31">
                  <c:v>25781</c:v>
                </c:pt>
                <c:pt idx="32">
                  <c:v>25812</c:v>
                </c:pt>
                <c:pt idx="33">
                  <c:v>25842</c:v>
                </c:pt>
                <c:pt idx="34">
                  <c:v>25873</c:v>
                </c:pt>
                <c:pt idx="35">
                  <c:v>25903</c:v>
                </c:pt>
                <c:pt idx="36">
                  <c:v>25934</c:v>
                </c:pt>
                <c:pt idx="37">
                  <c:v>25965</c:v>
                </c:pt>
                <c:pt idx="38">
                  <c:v>25993</c:v>
                </c:pt>
                <c:pt idx="39">
                  <c:v>26024</c:v>
                </c:pt>
                <c:pt idx="40">
                  <c:v>26054</c:v>
                </c:pt>
                <c:pt idx="41">
                  <c:v>26085</c:v>
                </c:pt>
                <c:pt idx="42">
                  <c:v>26115</c:v>
                </c:pt>
                <c:pt idx="43">
                  <c:v>26146</c:v>
                </c:pt>
                <c:pt idx="44">
                  <c:v>26177</c:v>
                </c:pt>
                <c:pt idx="45">
                  <c:v>26207</c:v>
                </c:pt>
                <c:pt idx="46">
                  <c:v>26238</c:v>
                </c:pt>
                <c:pt idx="47">
                  <c:v>26268</c:v>
                </c:pt>
                <c:pt idx="48">
                  <c:v>26299</c:v>
                </c:pt>
                <c:pt idx="49">
                  <c:v>26330</c:v>
                </c:pt>
                <c:pt idx="50">
                  <c:v>26359</c:v>
                </c:pt>
                <c:pt idx="51">
                  <c:v>26390</c:v>
                </c:pt>
                <c:pt idx="52">
                  <c:v>26420</c:v>
                </c:pt>
                <c:pt idx="53">
                  <c:v>26451</c:v>
                </c:pt>
                <c:pt idx="54">
                  <c:v>26481</c:v>
                </c:pt>
                <c:pt idx="55">
                  <c:v>26512</c:v>
                </c:pt>
                <c:pt idx="56">
                  <c:v>26543</c:v>
                </c:pt>
                <c:pt idx="57">
                  <c:v>26573</c:v>
                </c:pt>
                <c:pt idx="58">
                  <c:v>26604</c:v>
                </c:pt>
                <c:pt idx="59">
                  <c:v>26634</c:v>
                </c:pt>
                <c:pt idx="60">
                  <c:v>26665</c:v>
                </c:pt>
                <c:pt idx="61">
                  <c:v>26696</c:v>
                </c:pt>
                <c:pt idx="62">
                  <c:v>26724</c:v>
                </c:pt>
                <c:pt idx="63">
                  <c:v>26755</c:v>
                </c:pt>
                <c:pt idx="64">
                  <c:v>26785</c:v>
                </c:pt>
                <c:pt idx="65">
                  <c:v>26816</c:v>
                </c:pt>
                <c:pt idx="66">
                  <c:v>26846</c:v>
                </c:pt>
                <c:pt idx="67">
                  <c:v>26877</c:v>
                </c:pt>
                <c:pt idx="68">
                  <c:v>26908</c:v>
                </c:pt>
                <c:pt idx="69">
                  <c:v>26938</c:v>
                </c:pt>
                <c:pt idx="70">
                  <c:v>26969</c:v>
                </c:pt>
                <c:pt idx="71">
                  <c:v>26999</c:v>
                </c:pt>
                <c:pt idx="72">
                  <c:v>27030</c:v>
                </c:pt>
                <c:pt idx="73">
                  <c:v>27061</c:v>
                </c:pt>
                <c:pt idx="74">
                  <c:v>27089</c:v>
                </c:pt>
                <c:pt idx="75">
                  <c:v>27120</c:v>
                </c:pt>
                <c:pt idx="76">
                  <c:v>27150</c:v>
                </c:pt>
                <c:pt idx="77">
                  <c:v>27181</c:v>
                </c:pt>
                <c:pt idx="78">
                  <c:v>27211</c:v>
                </c:pt>
                <c:pt idx="79">
                  <c:v>27242</c:v>
                </c:pt>
                <c:pt idx="80">
                  <c:v>27273</c:v>
                </c:pt>
                <c:pt idx="81">
                  <c:v>27303</c:v>
                </c:pt>
                <c:pt idx="82">
                  <c:v>27334</c:v>
                </c:pt>
                <c:pt idx="83">
                  <c:v>27364</c:v>
                </c:pt>
                <c:pt idx="84">
                  <c:v>27395</c:v>
                </c:pt>
                <c:pt idx="85">
                  <c:v>27426</c:v>
                </c:pt>
                <c:pt idx="86">
                  <c:v>27454</c:v>
                </c:pt>
                <c:pt idx="87">
                  <c:v>27485</c:v>
                </c:pt>
                <c:pt idx="88">
                  <c:v>27515</c:v>
                </c:pt>
                <c:pt idx="89">
                  <c:v>27546</c:v>
                </c:pt>
                <c:pt idx="90">
                  <c:v>27576</c:v>
                </c:pt>
                <c:pt idx="91">
                  <c:v>27607</c:v>
                </c:pt>
                <c:pt idx="92">
                  <c:v>27638</c:v>
                </c:pt>
                <c:pt idx="93">
                  <c:v>27668</c:v>
                </c:pt>
                <c:pt idx="94">
                  <c:v>27699</c:v>
                </c:pt>
                <c:pt idx="95">
                  <c:v>27729</c:v>
                </c:pt>
                <c:pt idx="96">
                  <c:v>27760</c:v>
                </c:pt>
                <c:pt idx="97">
                  <c:v>27791</c:v>
                </c:pt>
                <c:pt idx="98">
                  <c:v>27820</c:v>
                </c:pt>
                <c:pt idx="99">
                  <c:v>27851</c:v>
                </c:pt>
                <c:pt idx="100">
                  <c:v>27881</c:v>
                </c:pt>
                <c:pt idx="101">
                  <c:v>27912</c:v>
                </c:pt>
                <c:pt idx="102">
                  <c:v>27942</c:v>
                </c:pt>
                <c:pt idx="103">
                  <c:v>27973</c:v>
                </c:pt>
                <c:pt idx="104">
                  <c:v>28004</c:v>
                </c:pt>
                <c:pt idx="105">
                  <c:v>28034</c:v>
                </c:pt>
                <c:pt idx="106">
                  <c:v>28065</c:v>
                </c:pt>
                <c:pt idx="107">
                  <c:v>28095</c:v>
                </c:pt>
                <c:pt idx="108">
                  <c:v>28126</c:v>
                </c:pt>
                <c:pt idx="109">
                  <c:v>28157</c:v>
                </c:pt>
                <c:pt idx="110">
                  <c:v>28185</c:v>
                </c:pt>
                <c:pt idx="111">
                  <c:v>28216</c:v>
                </c:pt>
                <c:pt idx="112">
                  <c:v>28246</c:v>
                </c:pt>
                <c:pt idx="113">
                  <c:v>28277</c:v>
                </c:pt>
                <c:pt idx="114">
                  <c:v>28307</c:v>
                </c:pt>
                <c:pt idx="115">
                  <c:v>28338</c:v>
                </c:pt>
                <c:pt idx="116">
                  <c:v>28369</c:v>
                </c:pt>
                <c:pt idx="117">
                  <c:v>28399</c:v>
                </c:pt>
                <c:pt idx="118">
                  <c:v>28430</c:v>
                </c:pt>
                <c:pt idx="119">
                  <c:v>28460</c:v>
                </c:pt>
                <c:pt idx="120">
                  <c:v>28491</c:v>
                </c:pt>
                <c:pt idx="121">
                  <c:v>28522</c:v>
                </c:pt>
                <c:pt idx="122">
                  <c:v>28550</c:v>
                </c:pt>
                <c:pt idx="123">
                  <c:v>28581</c:v>
                </c:pt>
                <c:pt idx="124">
                  <c:v>28611</c:v>
                </c:pt>
                <c:pt idx="125">
                  <c:v>28642</c:v>
                </c:pt>
                <c:pt idx="126">
                  <c:v>28672</c:v>
                </c:pt>
                <c:pt idx="127">
                  <c:v>28703</c:v>
                </c:pt>
                <c:pt idx="128">
                  <c:v>28734</c:v>
                </c:pt>
                <c:pt idx="129">
                  <c:v>28764</c:v>
                </c:pt>
                <c:pt idx="130">
                  <c:v>28795</c:v>
                </c:pt>
                <c:pt idx="131">
                  <c:v>28825</c:v>
                </c:pt>
                <c:pt idx="132">
                  <c:v>28856</c:v>
                </c:pt>
                <c:pt idx="133">
                  <c:v>28887</c:v>
                </c:pt>
                <c:pt idx="134">
                  <c:v>28915</c:v>
                </c:pt>
                <c:pt idx="135">
                  <c:v>28946</c:v>
                </c:pt>
                <c:pt idx="136">
                  <c:v>28976</c:v>
                </c:pt>
                <c:pt idx="137">
                  <c:v>29007</c:v>
                </c:pt>
                <c:pt idx="138">
                  <c:v>29037</c:v>
                </c:pt>
                <c:pt idx="139">
                  <c:v>29068</c:v>
                </c:pt>
                <c:pt idx="140">
                  <c:v>29099</c:v>
                </c:pt>
                <c:pt idx="141">
                  <c:v>29129</c:v>
                </c:pt>
                <c:pt idx="142">
                  <c:v>29160</c:v>
                </c:pt>
                <c:pt idx="143">
                  <c:v>29190</c:v>
                </c:pt>
                <c:pt idx="144">
                  <c:v>29221</c:v>
                </c:pt>
                <c:pt idx="145">
                  <c:v>29252</c:v>
                </c:pt>
                <c:pt idx="146">
                  <c:v>29281</c:v>
                </c:pt>
                <c:pt idx="147">
                  <c:v>29312</c:v>
                </c:pt>
                <c:pt idx="148">
                  <c:v>29342</c:v>
                </c:pt>
                <c:pt idx="149">
                  <c:v>29373</c:v>
                </c:pt>
                <c:pt idx="150">
                  <c:v>29403</c:v>
                </c:pt>
                <c:pt idx="151">
                  <c:v>29434</c:v>
                </c:pt>
                <c:pt idx="152">
                  <c:v>29465</c:v>
                </c:pt>
                <c:pt idx="153">
                  <c:v>29495</c:v>
                </c:pt>
                <c:pt idx="154">
                  <c:v>29526</c:v>
                </c:pt>
                <c:pt idx="155">
                  <c:v>29556</c:v>
                </c:pt>
                <c:pt idx="156">
                  <c:v>29587</c:v>
                </c:pt>
                <c:pt idx="157">
                  <c:v>29618</c:v>
                </c:pt>
                <c:pt idx="158">
                  <c:v>29646</c:v>
                </c:pt>
                <c:pt idx="159">
                  <c:v>29677</c:v>
                </c:pt>
                <c:pt idx="160">
                  <c:v>29707</c:v>
                </c:pt>
                <c:pt idx="161">
                  <c:v>29738</c:v>
                </c:pt>
                <c:pt idx="162">
                  <c:v>29768</c:v>
                </c:pt>
                <c:pt idx="163">
                  <c:v>29799</c:v>
                </c:pt>
                <c:pt idx="164">
                  <c:v>29830</c:v>
                </c:pt>
                <c:pt idx="165">
                  <c:v>29860</c:v>
                </c:pt>
                <c:pt idx="166">
                  <c:v>29891</c:v>
                </c:pt>
                <c:pt idx="167">
                  <c:v>29921</c:v>
                </c:pt>
                <c:pt idx="168">
                  <c:v>29952</c:v>
                </c:pt>
                <c:pt idx="169">
                  <c:v>29983</c:v>
                </c:pt>
                <c:pt idx="170">
                  <c:v>30011</c:v>
                </c:pt>
                <c:pt idx="171">
                  <c:v>30042</c:v>
                </c:pt>
                <c:pt idx="172">
                  <c:v>30072</c:v>
                </c:pt>
                <c:pt idx="173">
                  <c:v>30103</c:v>
                </c:pt>
                <c:pt idx="174">
                  <c:v>30133</c:v>
                </c:pt>
                <c:pt idx="175">
                  <c:v>30164</c:v>
                </c:pt>
                <c:pt idx="176">
                  <c:v>30195</c:v>
                </c:pt>
                <c:pt idx="177">
                  <c:v>30225</c:v>
                </c:pt>
                <c:pt idx="178">
                  <c:v>30256</c:v>
                </c:pt>
                <c:pt idx="179">
                  <c:v>30286</c:v>
                </c:pt>
                <c:pt idx="180">
                  <c:v>30317</c:v>
                </c:pt>
                <c:pt idx="181">
                  <c:v>30348</c:v>
                </c:pt>
                <c:pt idx="182">
                  <c:v>30376</c:v>
                </c:pt>
                <c:pt idx="183">
                  <c:v>30407</c:v>
                </c:pt>
                <c:pt idx="184">
                  <c:v>30437</c:v>
                </c:pt>
                <c:pt idx="185">
                  <c:v>30468</c:v>
                </c:pt>
                <c:pt idx="186">
                  <c:v>30498</c:v>
                </c:pt>
                <c:pt idx="187">
                  <c:v>30529</c:v>
                </c:pt>
                <c:pt idx="188">
                  <c:v>30560</c:v>
                </c:pt>
                <c:pt idx="189">
                  <c:v>30590</c:v>
                </c:pt>
                <c:pt idx="190">
                  <c:v>30621</c:v>
                </c:pt>
                <c:pt idx="191">
                  <c:v>30651</c:v>
                </c:pt>
                <c:pt idx="192">
                  <c:v>30682</c:v>
                </c:pt>
                <c:pt idx="193">
                  <c:v>30713</c:v>
                </c:pt>
                <c:pt idx="194">
                  <c:v>30742</c:v>
                </c:pt>
                <c:pt idx="195">
                  <c:v>30773</c:v>
                </c:pt>
                <c:pt idx="196">
                  <c:v>30803</c:v>
                </c:pt>
                <c:pt idx="197">
                  <c:v>30834</c:v>
                </c:pt>
                <c:pt idx="198">
                  <c:v>30864</c:v>
                </c:pt>
                <c:pt idx="199">
                  <c:v>30895</c:v>
                </c:pt>
                <c:pt idx="200">
                  <c:v>30926</c:v>
                </c:pt>
                <c:pt idx="201">
                  <c:v>30956</c:v>
                </c:pt>
                <c:pt idx="202">
                  <c:v>30987</c:v>
                </c:pt>
                <c:pt idx="203">
                  <c:v>31017</c:v>
                </c:pt>
                <c:pt idx="204">
                  <c:v>31048</c:v>
                </c:pt>
                <c:pt idx="205">
                  <c:v>31079</c:v>
                </c:pt>
                <c:pt idx="206">
                  <c:v>31107</c:v>
                </c:pt>
                <c:pt idx="207">
                  <c:v>31138</c:v>
                </c:pt>
                <c:pt idx="208">
                  <c:v>31168</c:v>
                </c:pt>
                <c:pt idx="209">
                  <c:v>31199</c:v>
                </c:pt>
                <c:pt idx="210">
                  <c:v>31229</c:v>
                </c:pt>
                <c:pt idx="211">
                  <c:v>31260</c:v>
                </c:pt>
                <c:pt idx="212">
                  <c:v>31291</c:v>
                </c:pt>
                <c:pt idx="213">
                  <c:v>31321</c:v>
                </c:pt>
                <c:pt idx="214">
                  <c:v>31352</c:v>
                </c:pt>
                <c:pt idx="215">
                  <c:v>31382</c:v>
                </c:pt>
                <c:pt idx="216">
                  <c:v>31413</c:v>
                </c:pt>
                <c:pt idx="217">
                  <c:v>31444</c:v>
                </c:pt>
                <c:pt idx="218">
                  <c:v>31472</c:v>
                </c:pt>
                <c:pt idx="219">
                  <c:v>31503</c:v>
                </c:pt>
                <c:pt idx="220">
                  <c:v>31533</c:v>
                </c:pt>
                <c:pt idx="221">
                  <c:v>31564</c:v>
                </c:pt>
                <c:pt idx="222">
                  <c:v>31594</c:v>
                </c:pt>
                <c:pt idx="223">
                  <c:v>31625</c:v>
                </c:pt>
                <c:pt idx="224">
                  <c:v>31656</c:v>
                </c:pt>
                <c:pt idx="225">
                  <c:v>31686</c:v>
                </c:pt>
                <c:pt idx="226">
                  <c:v>31717</c:v>
                </c:pt>
                <c:pt idx="227">
                  <c:v>31747</c:v>
                </c:pt>
                <c:pt idx="228">
                  <c:v>31778</c:v>
                </c:pt>
                <c:pt idx="229">
                  <c:v>31809</c:v>
                </c:pt>
                <c:pt idx="230">
                  <c:v>31837</c:v>
                </c:pt>
                <c:pt idx="231">
                  <c:v>31868</c:v>
                </c:pt>
                <c:pt idx="232">
                  <c:v>31898</c:v>
                </c:pt>
                <c:pt idx="233">
                  <c:v>31929</c:v>
                </c:pt>
                <c:pt idx="234">
                  <c:v>31959</c:v>
                </c:pt>
                <c:pt idx="235">
                  <c:v>31990</c:v>
                </c:pt>
                <c:pt idx="236">
                  <c:v>32021</c:v>
                </c:pt>
                <c:pt idx="237">
                  <c:v>32051</c:v>
                </c:pt>
                <c:pt idx="238">
                  <c:v>32082</c:v>
                </c:pt>
                <c:pt idx="239">
                  <c:v>32112</c:v>
                </c:pt>
                <c:pt idx="240">
                  <c:v>32143</c:v>
                </c:pt>
                <c:pt idx="241">
                  <c:v>32174</c:v>
                </c:pt>
                <c:pt idx="242">
                  <c:v>32203</c:v>
                </c:pt>
                <c:pt idx="243">
                  <c:v>32234</c:v>
                </c:pt>
                <c:pt idx="244">
                  <c:v>32264</c:v>
                </c:pt>
                <c:pt idx="245">
                  <c:v>32295</c:v>
                </c:pt>
                <c:pt idx="246">
                  <c:v>32325</c:v>
                </c:pt>
                <c:pt idx="247">
                  <c:v>32356</c:v>
                </c:pt>
                <c:pt idx="248">
                  <c:v>32387</c:v>
                </c:pt>
                <c:pt idx="249">
                  <c:v>32417</c:v>
                </c:pt>
                <c:pt idx="250">
                  <c:v>32448</c:v>
                </c:pt>
                <c:pt idx="251">
                  <c:v>32478</c:v>
                </c:pt>
                <c:pt idx="252">
                  <c:v>32509</c:v>
                </c:pt>
                <c:pt idx="253">
                  <c:v>32540</c:v>
                </c:pt>
                <c:pt idx="254">
                  <c:v>32568</c:v>
                </c:pt>
                <c:pt idx="255">
                  <c:v>32599</c:v>
                </c:pt>
                <c:pt idx="256">
                  <c:v>32629</c:v>
                </c:pt>
                <c:pt idx="257">
                  <c:v>32660</c:v>
                </c:pt>
                <c:pt idx="258">
                  <c:v>32690</c:v>
                </c:pt>
                <c:pt idx="259">
                  <c:v>32721</c:v>
                </c:pt>
                <c:pt idx="260">
                  <c:v>32752</c:v>
                </c:pt>
                <c:pt idx="261">
                  <c:v>32782</c:v>
                </c:pt>
                <c:pt idx="262">
                  <c:v>32813</c:v>
                </c:pt>
                <c:pt idx="263">
                  <c:v>32843</c:v>
                </c:pt>
                <c:pt idx="264">
                  <c:v>32874</c:v>
                </c:pt>
                <c:pt idx="265">
                  <c:v>32905</c:v>
                </c:pt>
                <c:pt idx="266">
                  <c:v>32933</c:v>
                </c:pt>
                <c:pt idx="267">
                  <c:v>32964</c:v>
                </c:pt>
                <c:pt idx="268">
                  <c:v>32994</c:v>
                </c:pt>
                <c:pt idx="269">
                  <c:v>33025</c:v>
                </c:pt>
                <c:pt idx="270">
                  <c:v>33055</c:v>
                </c:pt>
                <c:pt idx="271">
                  <c:v>33086</c:v>
                </c:pt>
                <c:pt idx="272">
                  <c:v>33117</c:v>
                </c:pt>
                <c:pt idx="273">
                  <c:v>33147</c:v>
                </c:pt>
                <c:pt idx="274">
                  <c:v>33178</c:v>
                </c:pt>
                <c:pt idx="275">
                  <c:v>33208</c:v>
                </c:pt>
                <c:pt idx="276">
                  <c:v>33239</c:v>
                </c:pt>
                <c:pt idx="277">
                  <c:v>33270</c:v>
                </c:pt>
                <c:pt idx="278">
                  <c:v>33298</c:v>
                </c:pt>
                <c:pt idx="279">
                  <c:v>33329</c:v>
                </c:pt>
                <c:pt idx="280">
                  <c:v>33359</c:v>
                </c:pt>
                <c:pt idx="281">
                  <c:v>33390</c:v>
                </c:pt>
                <c:pt idx="282">
                  <c:v>33420</c:v>
                </c:pt>
                <c:pt idx="283">
                  <c:v>33451</c:v>
                </c:pt>
                <c:pt idx="284">
                  <c:v>33482</c:v>
                </c:pt>
                <c:pt idx="285">
                  <c:v>33512</c:v>
                </c:pt>
                <c:pt idx="286">
                  <c:v>33543</c:v>
                </c:pt>
                <c:pt idx="287">
                  <c:v>33573</c:v>
                </c:pt>
                <c:pt idx="288">
                  <c:v>33604</c:v>
                </c:pt>
                <c:pt idx="289">
                  <c:v>33635</c:v>
                </c:pt>
                <c:pt idx="290">
                  <c:v>33664</c:v>
                </c:pt>
                <c:pt idx="291">
                  <c:v>33695</c:v>
                </c:pt>
                <c:pt idx="292">
                  <c:v>33725</c:v>
                </c:pt>
                <c:pt idx="293">
                  <c:v>33756</c:v>
                </c:pt>
                <c:pt idx="294">
                  <c:v>33786</c:v>
                </c:pt>
                <c:pt idx="295">
                  <c:v>33817</c:v>
                </c:pt>
                <c:pt idx="296">
                  <c:v>33848</c:v>
                </c:pt>
                <c:pt idx="297">
                  <c:v>33878</c:v>
                </c:pt>
                <c:pt idx="298">
                  <c:v>33909</c:v>
                </c:pt>
                <c:pt idx="299">
                  <c:v>33939</c:v>
                </c:pt>
                <c:pt idx="300">
                  <c:v>33970</c:v>
                </c:pt>
                <c:pt idx="301">
                  <c:v>34001</c:v>
                </c:pt>
                <c:pt idx="302">
                  <c:v>34029</c:v>
                </c:pt>
                <c:pt idx="303">
                  <c:v>34060</c:v>
                </c:pt>
                <c:pt idx="304">
                  <c:v>34090</c:v>
                </c:pt>
                <c:pt idx="305">
                  <c:v>34121</c:v>
                </c:pt>
                <c:pt idx="306">
                  <c:v>34151</c:v>
                </c:pt>
                <c:pt idx="307">
                  <c:v>34182</c:v>
                </c:pt>
                <c:pt idx="308">
                  <c:v>34213</c:v>
                </c:pt>
                <c:pt idx="309">
                  <c:v>34243</c:v>
                </c:pt>
                <c:pt idx="310">
                  <c:v>34274</c:v>
                </c:pt>
                <c:pt idx="311">
                  <c:v>34304</c:v>
                </c:pt>
                <c:pt idx="312">
                  <c:v>34335</c:v>
                </c:pt>
                <c:pt idx="313">
                  <c:v>34366</c:v>
                </c:pt>
                <c:pt idx="314">
                  <c:v>34394</c:v>
                </c:pt>
                <c:pt idx="315">
                  <c:v>34425</c:v>
                </c:pt>
                <c:pt idx="316">
                  <c:v>34455</c:v>
                </c:pt>
                <c:pt idx="317">
                  <c:v>34486</c:v>
                </c:pt>
                <c:pt idx="318">
                  <c:v>34516</c:v>
                </c:pt>
                <c:pt idx="319">
                  <c:v>34547</c:v>
                </c:pt>
                <c:pt idx="320">
                  <c:v>34578</c:v>
                </c:pt>
                <c:pt idx="321">
                  <c:v>34608</c:v>
                </c:pt>
                <c:pt idx="322">
                  <c:v>34639</c:v>
                </c:pt>
                <c:pt idx="323">
                  <c:v>34669</c:v>
                </c:pt>
                <c:pt idx="324">
                  <c:v>34700</c:v>
                </c:pt>
                <c:pt idx="325">
                  <c:v>34731</c:v>
                </c:pt>
                <c:pt idx="326">
                  <c:v>34759</c:v>
                </c:pt>
                <c:pt idx="327">
                  <c:v>34790</c:v>
                </c:pt>
                <c:pt idx="328">
                  <c:v>34820</c:v>
                </c:pt>
                <c:pt idx="329">
                  <c:v>34851</c:v>
                </c:pt>
                <c:pt idx="330">
                  <c:v>34881</c:v>
                </c:pt>
                <c:pt idx="331">
                  <c:v>34912</c:v>
                </c:pt>
                <c:pt idx="332">
                  <c:v>34943</c:v>
                </c:pt>
                <c:pt idx="333">
                  <c:v>34973</c:v>
                </c:pt>
                <c:pt idx="334">
                  <c:v>35004</c:v>
                </c:pt>
                <c:pt idx="335">
                  <c:v>35034</c:v>
                </c:pt>
                <c:pt idx="336">
                  <c:v>35065</c:v>
                </c:pt>
                <c:pt idx="337">
                  <c:v>35096</c:v>
                </c:pt>
                <c:pt idx="338">
                  <c:v>35125</c:v>
                </c:pt>
                <c:pt idx="339">
                  <c:v>35156</c:v>
                </c:pt>
                <c:pt idx="340">
                  <c:v>35186</c:v>
                </c:pt>
                <c:pt idx="341">
                  <c:v>35217</c:v>
                </c:pt>
                <c:pt idx="342">
                  <c:v>35247</c:v>
                </c:pt>
                <c:pt idx="343">
                  <c:v>35278</c:v>
                </c:pt>
                <c:pt idx="344">
                  <c:v>35309</c:v>
                </c:pt>
                <c:pt idx="345">
                  <c:v>35339</c:v>
                </c:pt>
                <c:pt idx="346">
                  <c:v>35370</c:v>
                </c:pt>
                <c:pt idx="347">
                  <c:v>35400</c:v>
                </c:pt>
                <c:pt idx="348">
                  <c:v>35431</c:v>
                </c:pt>
                <c:pt idx="349">
                  <c:v>35462</c:v>
                </c:pt>
                <c:pt idx="350">
                  <c:v>35490</c:v>
                </c:pt>
                <c:pt idx="351">
                  <c:v>35521</c:v>
                </c:pt>
                <c:pt idx="352">
                  <c:v>35551</c:v>
                </c:pt>
                <c:pt idx="353">
                  <c:v>35582</c:v>
                </c:pt>
                <c:pt idx="354">
                  <c:v>35612</c:v>
                </c:pt>
                <c:pt idx="355">
                  <c:v>35643</c:v>
                </c:pt>
                <c:pt idx="356">
                  <c:v>35674</c:v>
                </c:pt>
                <c:pt idx="357">
                  <c:v>35704</c:v>
                </c:pt>
                <c:pt idx="358">
                  <c:v>35735</c:v>
                </c:pt>
                <c:pt idx="359">
                  <c:v>35765</c:v>
                </c:pt>
                <c:pt idx="360">
                  <c:v>35796</c:v>
                </c:pt>
                <c:pt idx="361">
                  <c:v>35827</c:v>
                </c:pt>
                <c:pt idx="362">
                  <c:v>35855</c:v>
                </c:pt>
                <c:pt idx="363">
                  <c:v>35886</c:v>
                </c:pt>
                <c:pt idx="364">
                  <c:v>35916</c:v>
                </c:pt>
                <c:pt idx="365">
                  <c:v>35947</c:v>
                </c:pt>
                <c:pt idx="366">
                  <c:v>35977</c:v>
                </c:pt>
                <c:pt idx="367">
                  <c:v>36008</c:v>
                </c:pt>
                <c:pt idx="368">
                  <c:v>36039</c:v>
                </c:pt>
                <c:pt idx="369">
                  <c:v>36069</c:v>
                </c:pt>
                <c:pt idx="370">
                  <c:v>36100</c:v>
                </c:pt>
                <c:pt idx="371">
                  <c:v>36130</c:v>
                </c:pt>
                <c:pt idx="372">
                  <c:v>36161</c:v>
                </c:pt>
                <c:pt idx="373">
                  <c:v>36192</c:v>
                </c:pt>
                <c:pt idx="374">
                  <c:v>36220</c:v>
                </c:pt>
                <c:pt idx="375">
                  <c:v>36251</c:v>
                </c:pt>
                <c:pt idx="376">
                  <c:v>36281</c:v>
                </c:pt>
                <c:pt idx="377">
                  <c:v>36312</c:v>
                </c:pt>
                <c:pt idx="378">
                  <c:v>36342</c:v>
                </c:pt>
                <c:pt idx="379">
                  <c:v>36373</c:v>
                </c:pt>
                <c:pt idx="380">
                  <c:v>36404</c:v>
                </c:pt>
                <c:pt idx="381">
                  <c:v>36434</c:v>
                </c:pt>
                <c:pt idx="382">
                  <c:v>36465</c:v>
                </c:pt>
                <c:pt idx="383">
                  <c:v>36495</c:v>
                </c:pt>
                <c:pt idx="384">
                  <c:v>36526</c:v>
                </c:pt>
                <c:pt idx="385">
                  <c:v>36557</c:v>
                </c:pt>
                <c:pt idx="386">
                  <c:v>36586</c:v>
                </c:pt>
                <c:pt idx="387">
                  <c:v>36617</c:v>
                </c:pt>
                <c:pt idx="388">
                  <c:v>36647</c:v>
                </c:pt>
                <c:pt idx="389">
                  <c:v>36678</c:v>
                </c:pt>
                <c:pt idx="390">
                  <c:v>36708</c:v>
                </c:pt>
                <c:pt idx="391">
                  <c:v>36739</c:v>
                </c:pt>
                <c:pt idx="392">
                  <c:v>36770</c:v>
                </c:pt>
                <c:pt idx="393">
                  <c:v>36800</c:v>
                </c:pt>
                <c:pt idx="394">
                  <c:v>36831</c:v>
                </c:pt>
                <c:pt idx="395">
                  <c:v>36861</c:v>
                </c:pt>
                <c:pt idx="396">
                  <c:v>36892</c:v>
                </c:pt>
                <c:pt idx="397">
                  <c:v>36923</c:v>
                </c:pt>
                <c:pt idx="398">
                  <c:v>36951</c:v>
                </c:pt>
                <c:pt idx="399">
                  <c:v>36982</c:v>
                </c:pt>
                <c:pt idx="400">
                  <c:v>37012</c:v>
                </c:pt>
                <c:pt idx="401">
                  <c:v>37043</c:v>
                </c:pt>
                <c:pt idx="402">
                  <c:v>37073</c:v>
                </c:pt>
                <c:pt idx="403">
                  <c:v>37104</c:v>
                </c:pt>
                <c:pt idx="404">
                  <c:v>37135</c:v>
                </c:pt>
                <c:pt idx="405">
                  <c:v>37165</c:v>
                </c:pt>
                <c:pt idx="406">
                  <c:v>37196</c:v>
                </c:pt>
                <c:pt idx="407">
                  <c:v>37226</c:v>
                </c:pt>
                <c:pt idx="408">
                  <c:v>37257</c:v>
                </c:pt>
                <c:pt idx="409">
                  <c:v>37288</c:v>
                </c:pt>
                <c:pt idx="410">
                  <c:v>37316</c:v>
                </c:pt>
                <c:pt idx="411">
                  <c:v>37347</c:v>
                </c:pt>
                <c:pt idx="412">
                  <c:v>37377</c:v>
                </c:pt>
                <c:pt idx="413">
                  <c:v>37408</c:v>
                </c:pt>
                <c:pt idx="414">
                  <c:v>37438</c:v>
                </c:pt>
                <c:pt idx="415">
                  <c:v>37469</c:v>
                </c:pt>
                <c:pt idx="416">
                  <c:v>37500</c:v>
                </c:pt>
                <c:pt idx="417">
                  <c:v>37530</c:v>
                </c:pt>
                <c:pt idx="418">
                  <c:v>37561</c:v>
                </c:pt>
                <c:pt idx="419">
                  <c:v>37591</c:v>
                </c:pt>
                <c:pt idx="420">
                  <c:v>37622</c:v>
                </c:pt>
                <c:pt idx="421">
                  <c:v>37653</c:v>
                </c:pt>
                <c:pt idx="422">
                  <c:v>37681</c:v>
                </c:pt>
                <c:pt idx="423">
                  <c:v>37712</c:v>
                </c:pt>
                <c:pt idx="424">
                  <c:v>37742</c:v>
                </c:pt>
                <c:pt idx="425">
                  <c:v>37773</c:v>
                </c:pt>
                <c:pt idx="426">
                  <c:v>37803</c:v>
                </c:pt>
                <c:pt idx="427">
                  <c:v>37834</c:v>
                </c:pt>
                <c:pt idx="428">
                  <c:v>37865</c:v>
                </c:pt>
                <c:pt idx="429">
                  <c:v>37895</c:v>
                </c:pt>
                <c:pt idx="430">
                  <c:v>37926</c:v>
                </c:pt>
                <c:pt idx="431">
                  <c:v>37956</c:v>
                </c:pt>
                <c:pt idx="432">
                  <c:v>37987</c:v>
                </c:pt>
                <c:pt idx="433">
                  <c:v>38018</c:v>
                </c:pt>
                <c:pt idx="434">
                  <c:v>38047</c:v>
                </c:pt>
                <c:pt idx="435">
                  <c:v>38078</c:v>
                </c:pt>
                <c:pt idx="436">
                  <c:v>38108</c:v>
                </c:pt>
                <c:pt idx="437">
                  <c:v>38139</c:v>
                </c:pt>
                <c:pt idx="438">
                  <c:v>38169</c:v>
                </c:pt>
                <c:pt idx="439">
                  <c:v>38200</c:v>
                </c:pt>
                <c:pt idx="440">
                  <c:v>38231</c:v>
                </c:pt>
                <c:pt idx="441">
                  <c:v>38261</c:v>
                </c:pt>
                <c:pt idx="442">
                  <c:v>38292</c:v>
                </c:pt>
                <c:pt idx="443">
                  <c:v>38322</c:v>
                </c:pt>
                <c:pt idx="444">
                  <c:v>38353</c:v>
                </c:pt>
                <c:pt idx="445">
                  <c:v>38384</c:v>
                </c:pt>
                <c:pt idx="446">
                  <c:v>38412</c:v>
                </c:pt>
                <c:pt idx="447">
                  <c:v>38443</c:v>
                </c:pt>
                <c:pt idx="448">
                  <c:v>38473</c:v>
                </c:pt>
                <c:pt idx="449">
                  <c:v>38504</c:v>
                </c:pt>
                <c:pt idx="450">
                  <c:v>38534</c:v>
                </c:pt>
                <c:pt idx="451">
                  <c:v>38565</c:v>
                </c:pt>
                <c:pt idx="452">
                  <c:v>38596</c:v>
                </c:pt>
                <c:pt idx="453">
                  <c:v>38626</c:v>
                </c:pt>
                <c:pt idx="454">
                  <c:v>38657</c:v>
                </c:pt>
                <c:pt idx="455">
                  <c:v>38687</c:v>
                </c:pt>
                <c:pt idx="456">
                  <c:v>38718</c:v>
                </c:pt>
                <c:pt idx="457">
                  <c:v>38749</c:v>
                </c:pt>
                <c:pt idx="458">
                  <c:v>38777</c:v>
                </c:pt>
                <c:pt idx="459">
                  <c:v>38808</c:v>
                </c:pt>
                <c:pt idx="460">
                  <c:v>38838</c:v>
                </c:pt>
                <c:pt idx="461">
                  <c:v>38869</c:v>
                </c:pt>
                <c:pt idx="462">
                  <c:v>38899</c:v>
                </c:pt>
                <c:pt idx="463">
                  <c:v>38930</c:v>
                </c:pt>
                <c:pt idx="464">
                  <c:v>38961</c:v>
                </c:pt>
                <c:pt idx="465">
                  <c:v>38991</c:v>
                </c:pt>
                <c:pt idx="466">
                  <c:v>39022</c:v>
                </c:pt>
                <c:pt idx="467">
                  <c:v>39052</c:v>
                </c:pt>
                <c:pt idx="468">
                  <c:v>39083</c:v>
                </c:pt>
                <c:pt idx="469">
                  <c:v>39114</c:v>
                </c:pt>
                <c:pt idx="470">
                  <c:v>39142</c:v>
                </c:pt>
                <c:pt idx="471">
                  <c:v>39173</c:v>
                </c:pt>
                <c:pt idx="472">
                  <c:v>39203</c:v>
                </c:pt>
                <c:pt idx="473">
                  <c:v>39234</c:v>
                </c:pt>
                <c:pt idx="474">
                  <c:v>39264</c:v>
                </c:pt>
                <c:pt idx="475">
                  <c:v>39295</c:v>
                </c:pt>
                <c:pt idx="476">
                  <c:v>39326</c:v>
                </c:pt>
                <c:pt idx="477">
                  <c:v>39356</c:v>
                </c:pt>
                <c:pt idx="478">
                  <c:v>39387</c:v>
                </c:pt>
                <c:pt idx="479">
                  <c:v>39417</c:v>
                </c:pt>
                <c:pt idx="480">
                  <c:v>39448</c:v>
                </c:pt>
                <c:pt idx="481">
                  <c:v>39479</c:v>
                </c:pt>
                <c:pt idx="482">
                  <c:v>39508</c:v>
                </c:pt>
                <c:pt idx="483">
                  <c:v>39539</c:v>
                </c:pt>
                <c:pt idx="484">
                  <c:v>39569</c:v>
                </c:pt>
                <c:pt idx="485">
                  <c:v>39600</c:v>
                </c:pt>
                <c:pt idx="486">
                  <c:v>39630</c:v>
                </c:pt>
                <c:pt idx="487">
                  <c:v>39661</c:v>
                </c:pt>
                <c:pt idx="488">
                  <c:v>39692</c:v>
                </c:pt>
                <c:pt idx="489">
                  <c:v>39722</c:v>
                </c:pt>
                <c:pt idx="490">
                  <c:v>39753</c:v>
                </c:pt>
                <c:pt idx="491">
                  <c:v>39783</c:v>
                </c:pt>
                <c:pt idx="492">
                  <c:v>39814</c:v>
                </c:pt>
                <c:pt idx="493">
                  <c:v>39845</c:v>
                </c:pt>
                <c:pt idx="494">
                  <c:v>39873</c:v>
                </c:pt>
                <c:pt idx="495">
                  <c:v>39904</c:v>
                </c:pt>
                <c:pt idx="496">
                  <c:v>39934</c:v>
                </c:pt>
                <c:pt idx="497">
                  <c:v>39965</c:v>
                </c:pt>
                <c:pt idx="498">
                  <c:v>39995</c:v>
                </c:pt>
                <c:pt idx="499">
                  <c:v>40026</c:v>
                </c:pt>
                <c:pt idx="500">
                  <c:v>40057</c:v>
                </c:pt>
                <c:pt idx="501">
                  <c:v>40087</c:v>
                </c:pt>
                <c:pt idx="502">
                  <c:v>40118</c:v>
                </c:pt>
                <c:pt idx="503">
                  <c:v>40148</c:v>
                </c:pt>
                <c:pt idx="504">
                  <c:v>40179</c:v>
                </c:pt>
                <c:pt idx="505">
                  <c:v>40210</c:v>
                </c:pt>
                <c:pt idx="506">
                  <c:v>40238</c:v>
                </c:pt>
                <c:pt idx="507">
                  <c:v>40269</c:v>
                </c:pt>
                <c:pt idx="508">
                  <c:v>40299</c:v>
                </c:pt>
                <c:pt idx="509">
                  <c:v>40330</c:v>
                </c:pt>
                <c:pt idx="510">
                  <c:v>40360</c:v>
                </c:pt>
                <c:pt idx="511">
                  <c:v>40391</c:v>
                </c:pt>
                <c:pt idx="512">
                  <c:v>40422</c:v>
                </c:pt>
                <c:pt idx="513">
                  <c:v>40452</c:v>
                </c:pt>
                <c:pt idx="514">
                  <c:v>40483</c:v>
                </c:pt>
                <c:pt idx="515">
                  <c:v>40513</c:v>
                </c:pt>
                <c:pt idx="516">
                  <c:v>40544</c:v>
                </c:pt>
                <c:pt idx="517">
                  <c:v>40575</c:v>
                </c:pt>
                <c:pt idx="518">
                  <c:v>40603</c:v>
                </c:pt>
                <c:pt idx="519">
                  <c:v>40634</c:v>
                </c:pt>
                <c:pt idx="520">
                  <c:v>40664</c:v>
                </c:pt>
                <c:pt idx="521">
                  <c:v>40695</c:v>
                </c:pt>
                <c:pt idx="522">
                  <c:v>40725</c:v>
                </c:pt>
                <c:pt idx="523">
                  <c:v>40756</c:v>
                </c:pt>
                <c:pt idx="524">
                  <c:v>40787</c:v>
                </c:pt>
                <c:pt idx="525">
                  <c:v>40817</c:v>
                </c:pt>
                <c:pt idx="526">
                  <c:v>40848</c:v>
                </c:pt>
                <c:pt idx="527">
                  <c:v>40878</c:v>
                </c:pt>
                <c:pt idx="528">
                  <c:v>40909</c:v>
                </c:pt>
                <c:pt idx="529">
                  <c:v>40940</c:v>
                </c:pt>
                <c:pt idx="530">
                  <c:v>40969</c:v>
                </c:pt>
                <c:pt idx="531">
                  <c:v>41000</c:v>
                </c:pt>
                <c:pt idx="532">
                  <c:v>41030</c:v>
                </c:pt>
                <c:pt idx="533">
                  <c:v>41061</c:v>
                </c:pt>
                <c:pt idx="534">
                  <c:v>41091</c:v>
                </c:pt>
                <c:pt idx="535">
                  <c:v>41122</c:v>
                </c:pt>
                <c:pt idx="536">
                  <c:v>41153</c:v>
                </c:pt>
                <c:pt idx="537">
                  <c:v>41183</c:v>
                </c:pt>
                <c:pt idx="538">
                  <c:v>41214</c:v>
                </c:pt>
                <c:pt idx="539">
                  <c:v>41244</c:v>
                </c:pt>
                <c:pt idx="540">
                  <c:v>41275</c:v>
                </c:pt>
                <c:pt idx="541">
                  <c:v>41306</c:v>
                </c:pt>
                <c:pt idx="542">
                  <c:v>41334</c:v>
                </c:pt>
                <c:pt idx="543">
                  <c:v>41365</c:v>
                </c:pt>
                <c:pt idx="544">
                  <c:v>41395</c:v>
                </c:pt>
                <c:pt idx="545">
                  <c:v>41426</c:v>
                </c:pt>
                <c:pt idx="546">
                  <c:v>41456</c:v>
                </c:pt>
                <c:pt idx="547">
                  <c:v>41487</c:v>
                </c:pt>
                <c:pt idx="548">
                  <c:v>41518</c:v>
                </c:pt>
                <c:pt idx="549">
                  <c:v>41548</c:v>
                </c:pt>
                <c:pt idx="550">
                  <c:v>41579</c:v>
                </c:pt>
                <c:pt idx="551">
                  <c:v>41609</c:v>
                </c:pt>
                <c:pt idx="552">
                  <c:v>41640</c:v>
                </c:pt>
                <c:pt idx="553">
                  <c:v>41671</c:v>
                </c:pt>
                <c:pt idx="554">
                  <c:v>41699</c:v>
                </c:pt>
                <c:pt idx="555">
                  <c:v>41730</c:v>
                </c:pt>
                <c:pt idx="556">
                  <c:v>41760</c:v>
                </c:pt>
                <c:pt idx="557">
                  <c:v>41791</c:v>
                </c:pt>
                <c:pt idx="558">
                  <c:v>41821</c:v>
                </c:pt>
                <c:pt idx="559">
                  <c:v>41852</c:v>
                </c:pt>
                <c:pt idx="560">
                  <c:v>41883</c:v>
                </c:pt>
                <c:pt idx="561">
                  <c:v>41913</c:v>
                </c:pt>
                <c:pt idx="562">
                  <c:v>41944</c:v>
                </c:pt>
                <c:pt idx="563">
                  <c:v>41974</c:v>
                </c:pt>
                <c:pt idx="564">
                  <c:v>42005</c:v>
                </c:pt>
                <c:pt idx="565">
                  <c:v>42036</c:v>
                </c:pt>
                <c:pt idx="566">
                  <c:v>42064</c:v>
                </c:pt>
                <c:pt idx="567">
                  <c:v>42095</c:v>
                </c:pt>
                <c:pt idx="568">
                  <c:v>42125</c:v>
                </c:pt>
                <c:pt idx="569">
                  <c:v>42156</c:v>
                </c:pt>
                <c:pt idx="570">
                  <c:v>42186</c:v>
                </c:pt>
                <c:pt idx="571">
                  <c:v>42217</c:v>
                </c:pt>
                <c:pt idx="572">
                  <c:v>42248</c:v>
                </c:pt>
                <c:pt idx="573">
                  <c:v>42278</c:v>
                </c:pt>
                <c:pt idx="574">
                  <c:v>42309</c:v>
                </c:pt>
                <c:pt idx="575">
                  <c:v>42339</c:v>
                </c:pt>
                <c:pt idx="576">
                  <c:v>42370</c:v>
                </c:pt>
                <c:pt idx="577">
                  <c:v>42401</c:v>
                </c:pt>
                <c:pt idx="578">
                  <c:v>42430</c:v>
                </c:pt>
                <c:pt idx="579">
                  <c:v>42461</c:v>
                </c:pt>
                <c:pt idx="580">
                  <c:v>42491</c:v>
                </c:pt>
                <c:pt idx="581">
                  <c:v>42522</c:v>
                </c:pt>
                <c:pt idx="582">
                  <c:v>42552</c:v>
                </c:pt>
                <c:pt idx="583">
                  <c:v>42583</c:v>
                </c:pt>
                <c:pt idx="584">
                  <c:v>42614</c:v>
                </c:pt>
                <c:pt idx="585">
                  <c:v>42644</c:v>
                </c:pt>
                <c:pt idx="586">
                  <c:v>42675</c:v>
                </c:pt>
                <c:pt idx="587">
                  <c:v>42705</c:v>
                </c:pt>
                <c:pt idx="588">
                  <c:v>42736</c:v>
                </c:pt>
                <c:pt idx="589">
                  <c:v>42767</c:v>
                </c:pt>
                <c:pt idx="590">
                  <c:v>42795</c:v>
                </c:pt>
                <c:pt idx="591">
                  <c:v>42826</c:v>
                </c:pt>
                <c:pt idx="592">
                  <c:v>42856</c:v>
                </c:pt>
                <c:pt idx="593">
                  <c:v>42887</c:v>
                </c:pt>
                <c:pt idx="594">
                  <c:v>42917</c:v>
                </c:pt>
                <c:pt idx="595">
                  <c:v>42948</c:v>
                </c:pt>
                <c:pt idx="596">
                  <c:v>42979</c:v>
                </c:pt>
                <c:pt idx="597">
                  <c:v>43009</c:v>
                </c:pt>
                <c:pt idx="598">
                  <c:v>43040</c:v>
                </c:pt>
                <c:pt idx="599">
                  <c:v>43070</c:v>
                </c:pt>
                <c:pt idx="600">
                  <c:v>43101</c:v>
                </c:pt>
                <c:pt idx="601">
                  <c:v>43132</c:v>
                </c:pt>
                <c:pt idx="602">
                  <c:v>43160</c:v>
                </c:pt>
                <c:pt idx="603">
                  <c:v>43191</c:v>
                </c:pt>
                <c:pt idx="604">
                  <c:v>43221</c:v>
                </c:pt>
                <c:pt idx="605">
                  <c:v>43252</c:v>
                </c:pt>
                <c:pt idx="606">
                  <c:v>43282</c:v>
                </c:pt>
                <c:pt idx="607">
                  <c:v>43313</c:v>
                </c:pt>
                <c:pt idx="608">
                  <c:v>43344</c:v>
                </c:pt>
                <c:pt idx="609">
                  <c:v>43374</c:v>
                </c:pt>
                <c:pt idx="610">
                  <c:v>43405</c:v>
                </c:pt>
                <c:pt idx="611">
                  <c:v>43435</c:v>
                </c:pt>
                <c:pt idx="612">
                  <c:v>43466</c:v>
                </c:pt>
                <c:pt idx="613">
                  <c:v>43497</c:v>
                </c:pt>
                <c:pt idx="614">
                  <c:v>43525</c:v>
                </c:pt>
                <c:pt idx="615">
                  <c:v>43556</c:v>
                </c:pt>
                <c:pt idx="616">
                  <c:v>43586</c:v>
                </c:pt>
                <c:pt idx="617">
                  <c:v>43617</c:v>
                </c:pt>
                <c:pt idx="618">
                  <c:v>43647</c:v>
                </c:pt>
                <c:pt idx="619">
                  <c:v>43678</c:v>
                </c:pt>
                <c:pt idx="620">
                  <c:v>43709</c:v>
                </c:pt>
                <c:pt idx="621">
                  <c:v>43739</c:v>
                </c:pt>
                <c:pt idx="622">
                  <c:v>43770</c:v>
                </c:pt>
                <c:pt idx="623">
                  <c:v>43800</c:v>
                </c:pt>
                <c:pt idx="624">
                  <c:v>43831</c:v>
                </c:pt>
                <c:pt idx="625">
                  <c:v>43862</c:v>
                </c:pt>
                <c:pt idx="626">
                  <c:v>43891</c:v>
                </c:pt>
                <c:pt idx="627">
                  <c:v>43922</c:v>
                </c:pt>
                <c:pt idx="628">
                  <c:v>43952</c:v>
                </c:pt>
                <c:pt idx="629">
                  <c:v>43983</c:v>
                </c:pt>
                <c:pt idx="630">
                  <c:v>44013</c:v>
                </c:pt>
                <c:pt idx="631">
                  <c:v>44044</c:v>
                </c:pt>
                <c:pt idx="632">
                  <c:v>44075</c:v>
                </c:pt>
                <c:pt idx="633">
                  <c:v>44105</c:v>
                </c:pt>
                <c:pt idx="634">
                  <c:v>44136</c:v>
                </c:pt>
                <c:pt idx="635">
                  <c:v>44166</c:v>
                </c:pt>
                <c:pt idx="636">
                  <c:v>44197</c:v>
                </c:pt>
                <c:pt idx="637">
                  <c:v>44228</c:v>
                </c:pt>
                <c:pt idx="638">
                  <c:v>44256</c:v>
                </c:pt>
                <c:pt idx="639">
                  <c:v>44287</c:v>
                </c:pt>
                <c:pt idx="640">
                  <c:v>44317</c:v>
                </c:pt>
                <c:pt idx="641">
                  <c:v>44348</c:v>
                </c:pt>
                <c:pt idx="642">
                  <c:v>44378</c:v>
                </c:pt>
                <c:pt idx="643">
                  <c:v>44409</c:v>
                </c:pt>
                <c:pt idx="644">
                  <c:v>44440</c:v>
                </c:pt>
                <c:pt idx="645">
                  <c:v>44470</c:v>
                </c:pt>
                <c:pt idx="646">
                  <c:v>44501</c:v>
                </c:pt>
                <c:pt idx="647">
                  <c:v>44531</c:v>
                </c:pt>
              </c:numCache>
            </c:numRef>
          </c:cat>
          <c:val>
            <c:numRef>
              <c:f>'Core CPI'!$D$17:$D$902</c:f>
              <c:numCache>
                <c:formatCode>0.00%</c:formatCode>
                <c:ptCount val="886"/>
                <c:pt idx="0">
                  <c:v>3.8011695906432663E-2</c:v>
                </c:pt>
                <c:pt idx="1">
                  <c:v>4.3859649122807015E-2</c:v>
                </c:pt>
                <c:pt idx="2">
                  <c:v>4.3731778425655982E-2</c:v>
                </c:pt>
                <c:pt idx="3">
                  <c:v>4.3604651162790699E-2</c:v>
                </c:pt>
                <c:pt idx="4">
                  <c:v>4.3478260869565216E-2</c:v>
                </c:pt>
                <c:pt idx="5">
                  <c:v>4.6242774566474028E-2</c:v>
                </c:pt>
                <c:pt idx="6">
                  <c:v>4.8991354466858664E-2</c:v>
                </c:pt>
                <c:pt idx="7">
                  <c:v>4.5845272206303765E-2</c:v>
                </c:pt>
                <c:pt idx="8">
                  <c:v>4.8571428571428654E-2</c:v>
                </c:pt>
                <c:pt idx="9">
                  <c:v>5.1282051282051197E-2</c:v>
                </c:pt>
                <c:pt idx="10">
                  <c:v>5.3977272727272679E-2</c:v>
                </c:pt>
                <c:pt idx="11">
                  <c:v>5.0847457627118765E-2</c:v>
                </c:pt>
                <c:pt idx="12">
                  <c:v>5.0704225352112595E-2</c:v>
                </c:pt>
                <c:pt idx="13">
                  <c:v>5.3221288515406119E-2</c:v>
                </c:pt>
                <c:pt idx="14">
                  <c:v>5.5865921787709501E-2</c:v>
                </c:pt>
                <c:pt idx="15">
                  <c:v>6.1281337047353841E-2</c:v>
                </c:pt>
                <c:pt idx="16">
                  <c:v>5.8333333333333376E-2</c:v>
                </c:pt>
                <c:pt idx="17">
                  <c:v>5.8011049723756744E-2</c:v>
                </c:pt>
                <c:pt idx="18">
                  <c:v>5.769230769230773E-2</c:v>
                </c:pt>
                <c:pt idx="19">
                  <c:v>6.0273972602739805E-2</c:v>
                </c:pt>
                <c:pt idx="20">
                  <c:v>5.994550408719334E-2</c:v>
                </c:pt>
                <c:pt idx="21">
                  <c:v>5.9620596205962141E-2</c:v>
                </c:pt>
                <c:pt idx="22">
                  <c:v>5.6603773584905696E-2</c:v>
                </c:pt>
                <c:pt idx="23">
                  <c:v>5.9139784946236437E-2</c:v>
                </c:pt>
                <c:pt idx="24">
                  <c:v>6.1662198391421029E-2</c:v>
                </c:pt>
                <c:pt idx="25">
                  <c:v>5.8510638297872224E-2</c:v>
                </c:pt>
                <c:pt idx="26">
                  <c:v>6.0846560846560961E-2</c:v>
                </c:pt>
                <c:pt idx="27">
                  <c:v>6.0367454068241393E-2</c:v>
                </c:pt>
                <c:pt idx="28">
                  <c:v>6.2992125984251926E-2</c:v>
                </c:pt>
                <c:pt idx="29">
                  <c:v>6.5274151436031339E-2</c:v>
                </c:pt>
                <c:pt idx="30">
                  <c:v>6.2337662337662303E-2</c:v>
                </c:pt>
                <c:pt idx="31">
                  <c:v>6.201550387596895E-2</c:v>
                </c:pt>
                <c:pt idx="32">
                  <c:v>6.169665809768634E-2</c:v>
                </c:pt>
                <c:pt idx="33">
                  <c:v>6.1381074168797914E-2</c:v>
                </c:pt>
                <c:pt idx="34">
                  <c:v>6.632653061224475E-2</c:v>
                </c:pt>
                <c:pt idx="35">
                  <c:v>6.5989847715736086E-2</c:v>
                </c:pt>
                <c:pt idx="36">
                  <c:v>6.3131313131313135E-2</c:v>
                </c:pt>
                <c:pt idx="37">
                  <c:v>6.0301507537688592E-2</c:v>
                </c:pt>
                <c:pt idx="38">
                  <c:v>5.2369077306733201E-2</c:v>
                </c:pt>
                <c:pt idx="39">
                  <c:v>4.9504950495049507E-2</c:v>
                </c:pt>
                <c:pt idx="40">
                  <c:v>5.1851851851851885E-2</c:v>
                </c:pt>
                <c:pt idx="41">
                  <c:v>4.9019607843137261E-2</c:v>
                </c:pt>
                <c:pt idx="42">
                  <c:v>4.8899755501222497E-2</c:v>
                </c:pt>
                <c:pt idx="43">
                  <c:v>4.6228710462287069E-2</c:v>
                </c:pt>
                <c:pt idx="44">
                  <c:v>4.1162227602905638E-2</c:v>
                </c:pt>
                <c:pt idx="45">
                  <c:v>3.8554216867469911E-2</c:v>
                </c:pt>
                <c:pt idx="46">
                  <c:v>3.3492822966507317E-2</c:v>
                </c:pt>
                <c:pt idx="47">
                  <c:v>3.0952380952380884E-2</c:v>
                </c:pt>
                <c:pt idx="48">
                  <c:v>3.3254156769596165E-2</c:v>
                </c:pt>
                <c:pt idx="49">
                  <c:v>3.3175355450236928E-2</c:v>
                </c:pt>
                <c:pt idx="50">
                  <c:v>3.3175355450236928E-2</c:v>
                </c:pt>
                <c:pt idx="51">
                  <c:v>3.3018867924528267E-2</c:v>
                </c:pt>
                <c:pt idx="52">
                  <c:v>3.0516431924882563E-2</c:v>
                </c:pt>
                <c:pt idx="53">
                  <c:v>2.8037383177570162E-2</c:v>
                </c:pt>
                <c:pt idx="54">
                  <c:v>2.7972027972028038E-2</c:v>
                </c:pt>
                <c:pt idx="55">
                  <c:v>3.0232558139534817E-2</c:v>
                </c:pt>
                <c:pt idx="56">
                  <c:v>3.0232558139534817E-2</c:v>
                </c:pt>
                <c:pt idx="57">
                  <c:v>3.0162412993039376E-2</c:v>
                </c:pt>
                <c:pt idx="58">
                  <c:v>2.7777777777777676E-2</c:v>
                </c:pt>
                <c:pt idx="59">
                  <c:v>3.002309468822181E-2</c:v>
                </c:pt>
                <c:pt idx="60">
                  <c:v>2.5287356321839115E-2</c:v>
                </c:pt>
                <c:pt idx="61">
                  <c:v>2.7522935779816415E-2</c:v>
                </c:pt>
                <c:pt idx="62">
                  <c:v>3.2110091743119233E-2</c:v>
                </c:pt>
                <c:pt idx="63">
                  <c:v>2.9680365296803752E-2</c:v>
                </c:pt>
                <c:pt idx="64">
                  <c:v>3.1890660592255093E-2</c:v>
                </c:pt>
                <c:pt idx="65">
                  <c:v>3.1818181818181787E-2</c:v>
                </c:pt>
                <c:pt idx="66">
                  <c:v>3.174603174603171E-2</c:v>
                </c:pt>
                <c:pt idx="67">
                  <c:v>3.1602708803611872E-2</c:v>
                </c:pt>
                <c:pt idx="68">
                  <c:v>3.8374717832957178E-2</c:v>
                </c:pt>
                <c:pt idx="69">
                  <c:v>4.2792792792792765E-2</c:v>
                </c:pt>
                <c:pt idx="70">
                  <c:v>4.7297297297297328E-2</c:v>
                </c:pt>
                <c:pt idx="71">
                  <c:v>4.7085201793722005E-2</c:v>
                </c:pt>
                <c:pt idx="72">
                  <c:v>5.1569506726457333E-2</c:v>
                </c:pt>
                <c:pt idx="73">
                  <c:v>5.35714285714287E-2</c:v>
                </c:pt>
                <c:pt idx="74">
                  <c:v>5.777777777777781E-2</c:v>
                </c:pt>
                <c:pt idx="75">
                  <c:v>6.208425720620836E-2</c:v>
                </c:pt>
                <c:pt idx="76">
                  <c:v>7.064017660044157E-2</c:v>
                </c:pt>
                <c:pt idx="77">
                  <c:v>7.929515418502206E-2</c:v>
                </c:pt>
                <c:pt idx="78">
                  <c:v>8.7912087912087919E-2</c:v>
                </c:pt>
                <c:pt idx="79">
                  <c:v>9.8468271334792121E-2</c:v>
                </c:pt>
                <c:pt idx="80">
                  <c:v>0.10217391304347832</c:v>
                </c:pt>
                <c:pt idx="81">
                  <c:v>0.10583153347732194</c:v>
                </c:pt>
                <c:pt idx="82">
                  <c:v>0.10967741935483874</c:v>
                </c:pt>
                <c:pt idx="83">
                  <c:v>0.11349036402569586</c:v>
                </c:pt>
                <c:pt idx="84">
                  <c:v>0.11513859275053302</c:v>
                </c:pt>
                <c:pt idx="85">
                  <c:v>0.11864406779661005</c:v>
                </c:pt>
                <c:pt idx="86">
                  <c:v>0.11344537815126048</c:v>
                </c:pt>
                <c:pt idx="87">
                  <c:v>0.11273486430062628</c:v>
                </c:pt>
                <c:pt idx="88">
                  <c:v>0.10309278350515463</c:v>
                </c:pt>
                <c:pt idx="89">
                  <c:v>9.7959183673469327E-2</c:v>
                </c:pt>
                <c:pt idx="90">
                  <c:v>9.0909090909090912E-2</c:v>
                </c:pt>
                <c:pt idx="91">
                  <c:v>7.9681274900398405E-2</c:v>
                </c:pt>
                <c:pt idx="92">
                  <c:v>7.4950690335305659E-2</c:v>
                </c:pt>
                <c:pt idx="93">
                  <c:v>7.0312499999999889E-2</c:v>
                </c:pt>
                <c:pt idx="94">
                  <c:v>6.9767441860465143E-2</c:v>
                </c:pt>
                <c:pt idx="95">
                  <c:v>6.7307692307692304E-2</c:v>
                </c:pt>
                <c:pt idx="96">
                  <c:v>6.8833652007648211E-2</c:v>
                </c:pt>
                <c:pt idx="97">
                  <c:v>6.4393939393939503E-2</c:v>
                </c:pt>
                <c:pt idx="98">
                  <c:v>6.6037735849056603E-2</c:v>
                </c:pt>
                <c:pt idx="99">
                  <c:v>6.3789868667917554E-2</c:v>
                </c:pt>
                <c:pt idx="100">
                  <c:v>6.5420560747663545E-2</c:v>
                </c:pt>
                <c:pt idx="101">
                  <c:v>6.3197026022304939E-2</c:v>
                </c:pt>
                <c:pt idx="102">
                  <c:v>6.6666666666666693E-2</c:v>
                </c:pt>
                <c:pt idx="103">
                  <c:v>6.826568265682649E-2</c:v>
                </c:pt>
                <c:pt idx="104">
                  <c:v>6.7889908256880779E-2</c:v>
                </c:pt>
                <c:pt idx="105">
                  <c:v>6.7518248175182538E-2</c:v>
                </c:pt>
                <c:pt idx="106">
                  <c:v>6.3405797101449266E-2</c:v>
                </c:pt>
                <c:pt idx="107">
                  <c:v>6.1261261261261232E-2</c:v>
                </c:pt>
                <c:pt idx="108">
                  <c:v>6.0822898032200333E-2</c:v>
                </c:pt>
                <c:pt idx="109">
                  <c:v>6.2277580071174371E-2</c:v>
                </c:pt>
                <c:pt idx="110">
                  <c:v>6.1946902654867256E-2</c:v>
                </c:pt>
                <c:pt idx="111">
                  <c:v>6.3492063492063391E-2</c:v>
                </c:pt>
                <c:pt idx="112">
                  <c:v>6.3157894736842135E-2</c:v>
                </c:pt>
                <c:pt idx="113">
                  <c:v>6.6433566433566377E-2</c:v>
                </c:pt>
                <c:pt idx="114">
                  <c:v>6.2500000000000028E-2</c:v>
                </c:pt>
                <c:pt idx="115">
                  <c:v>6.2176165803108835E-2</c:v>
                </c:pt>
                <c:pt idx="116">
                  <c:v>6.1855670103092682E-2</c:v>
                </c:pt>
                <c:pt idx="117">
                  <c:v>5.9829059829059832E-2</c:v>
                </c:pt>
                <c:pt idx="118">
                  <c:v>6.132879045996583E-2</c:v>
                </c:pt>
                <c:pt idx="119">
                  <c:v>6.4516129032258132E-2</c:v>
                </c:pt>
                <c:pt idx="120">
                  <c:v>6.4080944350758923E-2</c:v>
                </c:pt>
                <c:pt idx="121">
                  <c:v>6.1976549413735267E-2</c:v>
                </c:pt>
                <c:pt idx="122">
                  <c:v>6.3333333333333283E-2</c:v>
                </c:pt>
                <c:pt idx="123">
                  <c:v>6.633499170812604E-2</c:v>
                </c:pt>
                <c:pt idx="124">
                  <c:v>6.7656765676567684E-2</c:v>
                </c:pt>
                <c:pt idx="125">
                  <c:v>6.8852459016393489E-2</c:v>
                </c:pt>
                <c:pt idx="126">
                  <c:v>7.1895424836601163E-2</c:v>
                </c:pt>
                <c:pt idx="127">
                  <c:v>7.4796747967479579E-2</c:v>
                </c:pt>
                <c:pt idx="128">
                  <c:v>7.9288025889967736E-2</c:v>
                </c:pt>
                <c:pt idx="129">
                  <c:v>8.3870967741935532E-2</c:v>
                </c:pt>
                <c:pt idx="130">
                  <c:v>8.5072231139646834E-2</c:v>
                </c:pt>
                <c:pt idx="131">
                  <c:v>8.4529505582137107E-2</c:v>
                </c:pt>
                <c:pt idx="132">
                  <c:v>8.5578446909667177E-2</c:v>
                </c:pt>
                <c:pt idx="133">
                  <c:v>9.1482649842271363E-2</c:v>
                </c:pt>
                <c:pt idx="134">
                  <c:v>9.4043887147335428E-2</c:v>
                </c:pt>
                <c:pt idx="135">
                  <c:v>9.3312597200622086E-2</c:v>
                </c:pt>
                <c:pt idx="136">
                  <c:v>9.4281298299845342E-2</c:v>
                </c:pt>
                <c:pt idx="137">
                  <c:v>9.3558282208588861E-2</c:v>
                </c:pt>
                <c:pt idx="138">
                  <c:v>9.6036585365853841E-2</c:v>
                </c:pt>
                <c:pt idx="139">
                  <c:v>9.9848714069591671E-2</c:v>
                </c:pt>
                <c:pt idx="140">
                  <c:v>9.8950524737631093E-2</c:v>
                </c:pt>
                <c:pt idx="141">
                  <c:v>0.10119047619047615</c:v>
                </c:pt>
                <c:pt idx="142">
                  <c:v>0.10650887573964501</c:v>
                </c:pt>
                <c:pt idx="143">
                  <c:v>0.1132352941176471</c:v>
                </c:pt>
                <c:pt idx="144">
                  <c:v>0.11970802919708033</c:v>
                </c:pt>
                <c:pt idx="145">
                  <c:v>0.11994219653179186</c:v>
                </c:pt>
                <c:pt idx="146">
                  <c:v>0.12607449856733521</c:v>
                </c:pt>
                <c:pt idx="147">
                  <c:v>0.13086770981507828</c:v>
                </c:pt>
                <c:pt idx="148">
                  <c:v>0.13135593220338979</c:v>
                </c:pt>
                <c:pt idx="149">
                  <c:v>0.1360448807854138</c:v>
                </c:pt>
                <c:pt idx="150">
                  <c:v>0.1237830319888733</c:v>
                </c:pt>
                <c:pt idx="151">
                  <c:v>0.11829436038514435</c:v>
                </c:pt>
                <c:pt idx="152">
                  <c:v>0.1200545702592087</c:v>
                </c:pt>
                <c:pt idx="153">
                  <c:v>0.12162162162162163</c:v>
                </c:pt>
                <c:pt idx="154">
                  <c:v>0.12165775401069531</c:v>
                </c:pt>
                <c:pt idx="155">
                  <c:v>0.12153236459709382</c:v>
                </c:pt>
                <c:pt idx="156">
                  <c:v>0.11342894393741855</c:v>
                </c:pt>
                <c:pt idx="157">
                  <c:v>0.10838709677419363</c:v>
                </c:pt>
                <c:pt idx="158">
                  <c:v>9.9236641221374197E-2</c:v>
                </c:pt>
                <c:pt idx="159">
                  <c:v>9.4339622641509441E-2</c:v>
                </c:pt>
                <c:pt idx="160">
                  <c:v>9.6129837702871451E-2</c:v>
                </c:pt>
                <c:pt idx="161">
                  <c:v>9.3827160493827097E-2</c:v>
                </c:pt>
                <c:pt idx="162">
                  <c:v>0.11138613861386139</c:v>
                </c:pt>
                <c:pt idx="163">
                  <c:v>0.11562115621156219</c:v>
                </c:pt>
                <c:pt idx="164">
                  <c:v>0.11814859926918396</c:v>
                </c:pt>
                <c:pt idx="165">
                  <c:v>0.1096385542168674</c:v>
                </c:pt>
                <c:pt idx="166">
                  <c:v>0.102502979737783</c:v>
                </c:pt>
                <c:pt idx="167">
                  <c:v>9.5406360424028197E-2</c:v>
                </c:pt>
                <c:pt idx="168">
                  <c:v>9.2505854800936663E-2</c:v>
                </c:pt>
                <c:pt idx="169">
                  <c:v>9.1967403958090693E-2</c:v>
                </c:pt>
                <c:pt idx="170">
                  <c:v>8.6805555555555552E-2</c:v>
                </c:pt>
                <c:pt idx="171">
                  <c:v>8.8505747126436815E-2</c:v>
                </c:pt>
                <c:pt idx="172">
                  <c:v>8.6560364464692577E-2</c:v>
                </c:pt>
                <c:pt idx="173">
                  <c:v>8.4650112866817159E-2</c:v>
                </c:pt>
                <c:pt idx="174">
                  <c:v>7.6837416481069107E-2</c:v>
                </c:pt>
                <c:pt idx="175">
                  <c:v>7.0562293274531326E-2</c:v>
                </c:pt>
                <c:pt idx="176">
                  <c:v>5.8823529411764768E-2</c:v>
                </c:pt>
                <c:pt idx="177">
                  <c:v>5.8631921824104302E-2</c:v>
                </c:pt>
                <c:pt idx="178">
                  <c:v>5.1891891891891861E-2</c:v>
                </c:pt>
                <c:pt idx="179">
                  <c:v>4.5161290322580677E-2</c:v>
                </c:pt>
                <c:pt idx="180">
                  <c:v>4.6087888531618409E-2</c:v>
                </c:pt>
                <c:pt idx="181">
                  <c:v>4.4776119402985107E-2</c:v>
                </c:pt>
                <c:pt idx="182">
                  <c:v>4.5793397231096877E-2</c:v>
                </c:pt>
                <c:pt idx="183">
                  <c:v>4.1182682154170973E-2</c:v>
                </c:pt>
                <c:pt idx="184">
                  <c:v>3.668763102725367E-2</c:v>
                </c:pt>
                <c:pt idx="185">
                  <c:v>3.2258064516129122E-2</c:v>
                </c:pt>
                <c:pt idx="186">
                  <c:v>3.2057911065149887E-2</c:v>
                </c:pt>
                <c:pt idx="187">
                  <c:v>3.0895983522142123E-2</c:v>
                </c:pt>
                <c:pt idx="188">
                  <c:v>3.3950617283950588E-2</c:v>
                </c:pt>
                <c:pt idx="189">
                  <c:v>3.5897435897435895E-2</c:v>
                </c:pt>
                <c:pt idx="190">
                  <c:v>4.3165467625899311E-2</c:v>
                </c:pt>
                <c:pt idx="191">
                  <c:v>4.7325102880658373E-2</c:v>
                </c:pt>
                <c:pt idx="192">
                  <c:v>5.0204918032786948E-2</c:v>
                </c:pt>
                <c:pt idx="193">
                  <c:v>4.8979591836734664E-2</c:v>
                </c:pt>
                <c:pt idx="194">
                  <c:v>5.091649694501018E-2</c:v>
                </c:pt>
                <c:pt idx="195">
                  <c:v>5.1724137931034572E-2</c:v>
                </c:pt>
                <c:pt idx="196">
                  <c:v>5.257836198179968E-2</c:v>
                </c:pt>
                <c:pt idx="197">
                  <c:v>5.3427419354838676E-2</c:v>
                </c:pt>
                <c:pt idx="198">
                  <c:v>5.2104208416833699E-2</c:v>
                </c:pt>
                <c:pt idx="199">
                  <c:v>5.2947052947053062E-2</c:v>
                </c:pt>
                <c:pt idx="200">
                  <c:v>5.273631840796017E-2</c:v>
                </c:pt>
                <c:pt idx="201">
                  <c:v>5.148514851485151E-2</c:v>
                </c:pt>
                <c:pt idx="202">
                  <c:v>4.8275862068965572E-2</c:v>
                </c:pt>
                <c:pt idx="203">
                  <c:v>4.9115913555992145E-2</c:v>
                </c:pt>
                <c:pt idx="204">
                  <c:v>4.4878048780487748E-2</c:v>
                </c:pt>
                <c:pt idx="205">
                  <c:v>4.7665369649805507E-2</c:v>
                </c:pt>
                <c:pt idx="206">
                  <c:v>4.7480620155038677E-2</c:v>
                </c:pt>
                <c:pt idx="207">
                  <c:v>4.5323047251687586E-2</c:v>
                </c:pt>
                <c:pt idx="208">
                  <c:v>4.5148895292987538E-2</c:v>
                </c:pt>
                <c:pt idx="209">
                  <c:v>4.4019138755980805E-2</c:v>
                </c:pt>
                <c:pt idx="210">
                  <c:v>4.1904761904761959E-2</c:v>
                </c:pt>
                <c:pt idx="211">
                  <c:v>4.1745730550284549E-2</c:v>
                </c:pt>
                <c:pt idx="212">
                  <c:v>3.9697542533081311E-2</c:v>
                </c:pt>
                <c:pt idx="213">
                  <c:v>4.048964218455741E-2</c:v>
                </c:pt>
                <c:pt idx="214">
                  <c:v>4.4172932330826961E-2</c:v>
                </c:pt>
                <c:pt idx="215">
                  <c:v>4.3071161048689223E-2</c:v>
                </c:pt>
                <c:pt idx="216">
                  <c:v>4.4817927170868459E-2</c:v>
                </c:pt>
                <c:pt idx="217">
                  <c:v>4.1782729805013928E-2</c:v>
                </c:pt>
                <c:pt idx="218">
                  <c:v>4.0703052728954726E-2</c:v>
                </c:pt>
                <c:pt idx="219">
                  <c:v>4.1512915129151291E-2</c:v>
                </c:pt>
                <c:pt idx="220">
                  <c:v>3.9522058823529389E-2</c:v>
                </c:pt>
                <c:pt idx="221">
                  <c:v>3.9413382218148593E-2</c:v>
                </c:pt>
                <c:pt idx="222">
                  <c:v>4.0219378427787854E-2</c:v>
                </c:pt>
                <c:pt idx="223">
                  <c:v>4.0072859744990946E-2</c:v>
                </c:pt>
                <c:pt idx="224">
                  <c:v>4.1818181818181768E-2</c:v>
                </c:pt>
                <c:pt idx="225">
                  <c:v>4.072398190045249E-2</c:v>
                </c:pt>
                <c:pt idx="226">
                  <c:v>3.7803780378037832E-2</c:v>
                </c:pt>
                <c:pt idx="227">
                  <c:v>3.7701974865349985E-2</c:v>
                </c:pt>
                <c:pt idx="228">
                  <c:v>3.5746201966041107E-2</c:v>
                </c:pt>
                <c:pt idx="229">
                  <c:v>3.5650623885918005E-2</c:v>
                </c:pt>
                <c:pt idx="230">
                  <c:v>3.644444444444439E-2</c:v>
                </c:pt>
                <c:pt idx="231">
                  <c:v>3.8972542072630567E-2</c:v>
                </c:pt>
                <c:pt idx="232">
                  <c:v>4.0671971706454542E-2</c:v>
                </c:pt>
                <c:pt idx="233">
                  <c:v>3.968253968253968E-2</c:v>
                </c:pt>
                <c:pt idx="234">
                  <c:v>3.9543057996485061E-2</c:v>
                </c:pt>
                <c:pt idx="235">
                  <c:v>3.9404553415061293E-2</c:v>
                </c:pt>
                <c:pt idx="236">
                  <c:v>4.0139616055846497E-2</c:v>
                </c:pt>
                <c:pt idx="237">
                  <c:v>4.1739130434782584E-2</c:v>
                </c:pt>
                <c:pt idx="238">
                  <c:v>4.1630529054640049E-2</c:v>
                </c:pt>
                <c:pt idx="239">
                  <c:v>4.1522491349481071E-2</c:v>
                </c:pt>
                <c:pt idx="240">
                  <c:v>4.3140638481449521E-2</c:v>
                </c:pt>
                <c:pt idx="241">
                  <c:v>4.3029259896729774E-2</c:v>
                </c:pt>
                <c:pt idx="242">
                  <c:v>4.3739279588336268E-2</c:v>
                </c:pt>
                <c:pt idx="243">
                  <c:v>4.2625745950554135E-2</c:v>
                </c:pt>
                <c:pt idx="244">
                  <c:v>4.2480883602378929E-2</c:v>
                </c:pt>
                <c:pt idx="245">
                  <c:v>4.4953350296861719E-2</c:v>
                </c:pt>
                <c:pt idx="246">
                  <c:v>4.4801352493660164E-2</c:v>
                </c:pt>
                <c:pt idx="247">
                  <c:v>4.4650379106992391E-2</c:v>
                </c:pt>
                <c:pt idx="248">
                  <c:v>4.6140939597315432E-2</c:v>
                </c:pt>
                <c:pt idx="249">
                  <c:v>4.5075125208681184E-2</c:v>
                </c:pt>
                <c:pt idx="250">
                  <c:v>4.5795170691090757E-2</c:v>
                </c:pt>
                <c:pt idx="251">
                  <c:v>4.6511627906976695E-2</c:v>
                </c:pt>
                <c:pt idx="252">
                  <c:v>4.631927212572369E-2</c:v>
                </c:pt>
                <c:pt idx="253">
                  <c:v>4.7029702970297051E-2</c:v>
                </c:pt>
                <c:pt idx="254">
                  <c:v>4.6836483155299938E-2</c:v>
                </c:pt>
                <c:pt idx="255">
                  <c:v>4.4971381847914965E-2</c:v>
                </c:pt>
                <c:pt idx="256">
                  <c:v>4.5639771801141066E-2</c:v>
                </c:pt>
                <c:pt idx="257">
                  <c:v>4.5454545454545525E-2</c:v>
                </c:pt>
                <c:pt idx="258">
                  <c:v>4.5307443365695747E-2</c:v>
                </c:pt>
                <c:pt idx="259">
                  <c:v>4.4354838709677422E-2</c:v>
                </c:pt>
                <c:pt idx="260">
                  <c:v>4.1700080192461929E-2</c:v>
                </c:pt>
                <c:pt idx="261">
                  <c:v>4.3130990415335392E-2</c:v>
                </c:pt>
                <c:pt idx="262">
                  <c:v>4.3789808917197456E-2</c:v>
                </c:pt>
                <c:pt idx="263">
                  <c:v>4.4444444444444398E-2</c:v>
                </c:pt>
                <c:pt idx="264">
                  <c:v>4.4268774703557265E-2</c:v>
                </c:pt>
                <c:pt idx="265">
                  <c:v>4.5705279747832804E-2</c:v>
                </c:pt>
                <c:pt idx="266">
                  <c:v>4.7880690737833548E-2</c:v>
                </c:pt>
                <c:pt idx="267">
                  <c:v>4.8513302034428815E-2</c:v>
                </c:pt>
                <c:pt idx="268">
                  <c:v>4.7544816835541653E-2</c:v>
                </c:pt>
                <c:pt idx="269">
                  <c:v>4.8913043478260733E-2</c:v>
                </c:pt>
                <c:pt idx="270">
                  <c:v>5.108359133126953E-2</c:v>
                </c:pt>
                <c:pt idx="271">
                  <c:v>5.4826254826254785E-2</c:v>
                </c:pt>
                <c:pt idx="272">
                  <c:v>5.5427251732101529E-2</c:v>
                </c:pt>
                <c:pt idx="273">
                  <c:v>5.3598774885145486E-2</c:v>
                </c:pt>
                <c:pt idx="274">
                  <c:v>5.2631578947368467E-2</c:v>
                </c:pt>
                <c:pt idx="275">
                  <c:v>5.3191489361702128E-2</c:v>
                </c:pt>
                <c:pt idx="276">
                  <c:v>5.6018168054504207E-2</c:v>
                </c:pt>
                <c:pt idx="277">
                  <c:v>5.6518462697814624E-2</c:v>
                </c:pt>
                <c:pt idx="278">
                  <c:v>5.2434456928838954E-2</c:v>
                </c:pt>
                <c:pt idx="279">
                  <c:v>5.1492537313432875E-2</c:v>
                </c:pt>
                <c:pt idx="280">
                  <c:v>5.1339285714285754E-2</c:v>
                </c:pt>
                <c:pt idx="281">
                  <c:v>4.959289415247977E-2</c:v>
                </c:pt>
                <c:pt idx="282">
                  <c:v>4.7864506627393222E-2</c:v>
                </c:pt>
                <c:pt idx="283">
                  <c:v>4.6120058565153818E-2</c:v>
                </c:pt>
                <c:pt idx="284">
                  <c:v>4.5951859956236407E-2</c:v>
                </c:pt>
                <c:pt idx="285">
                  <c:v>4.433139534883717E-2</c:v>
                </c:pt>
                <c:pt idx="286">
                  <c:v>4.4927536231883974E-2</c:v>
                </c:pt>
                <c:pt idx="287">
                  <c:v>4.4011544011543974E-2</c:v>
                </c:pt>
                <c:pt idx="288">
                  <c:v>4.0143369175627198E-2</c:v>
                </c:pt>
                <c:pt idx="289">
                  <c:v>3.7089871611983009E-2</c:v>
                </c:pt>
                <c:pt idx="290">
                  <c:v>3.8434163701067656E-2</c:v>
                </c:pt>
                <c:pt idx="291">
                  <c:v>3.8325053229240638E-2</c:v>
                </c:pt>
                <c:pt idx="292">
                  <c:v>3.8924274593064398E-2</c:v>
                </c:pt>
                <c:pt idx="293">
                  <c:v>3.7376586741889865E-2</c:v>
                </c:pt>
                <c:pt idx="294">
                  <c:v>3.7245256500351251E-2</c:v>
                </c:pt>
                <c:pt idx="295">
                  <c:v>3.498950314905528E-2</c:v>
                </c:pt>
                <c:pt idx="296">
                  <c:v>3.2775453277545247E-2</c:v>
                </c:pt>
                <c:pt idx="297">
                  <c:v>3.5490605427975108E-2</c:v>
                </c:pt>
                <c:pt idx="298">
                  <c:v>3.4674063800277398E-2</c:v>
                </c:pt>
                <c:pt idx="299">
                  <c:v>3.3863165169315868E-2</c:v>
                </c:pt>
                <c:pt idx="300">
                  <c:v>3.445899379738112E-2</c:v>
                </c:pt>
                <c:pt idx="301">
                  <c:v>3.5763411279229634E-2</c:v>
                </c:pt>
                <c:pt idx="302">
                  <c:v>3.3584647018505866E-2</c:v>
                </c:pt>
                <c:pt idx="303">
                  <c:v>3.4859876965140084E-2</c:v>
                </c:pt>
                <c:pt idx="304">
                  <c:v>3.405994550408719E-2</c:v>
                </c:pt>
                <c:pt idx="305">
                  <c:v>3.3990482664853841E-2</c:v>
                </c:pt>
                <c:pt idx="306">
                  <c:v>3.18428184281844E-2</c:v>
                </c:pt>
                <c:pt idx="307">
                  <c:v>3.3130493576741075E-2</c:v>
                </c:pt>
                <c:pt idx="308">
                  <c:v>3.241053342336267E-2</c:v>
                </c:pt>
                <c:pt idx="309">
                  <c:v>3.0913978494623615E-2</c:v>
                </c:pt>
                <c:pt idx="310">
                  <c:v>3.1501340482573845E-2</c:v>
                </c:pt>
                <c:pt idx="311">
                  <c:v>3.1417112299465359E-2</c:v>
                </c:pt>
                <c:pt idx="312">
                  <c:v>2.9313790806129288E-2</c:v>
                </c:pt>
                <c:pt idx="313">
                  <c:v>2.7888446215139556E-2</c:v>
                </c:pt>
                <c:pt idx="314">
                  <c:v>2.9840848806366047E-2</c:v>
                </c:pt>
                <c:pt idx="315">
                  <c:v>2.7080581241743687E-2</c:v>
                </c:pt>
                <c:pt idx="316">
                  <c:v>2.7009222661396534E-2</c:v>
                </c:pt>
                <c:pt idx="317">
                  <c:v>2.8270874424720656E-2</c:v>
                </c:pt>
                <c:pt idx="318">
                  <c:v>2.8890347997373455E-2</c:v>
                </c:pt>
                <c:pt idx="319">
                  <c:v>2.814136125654439E-2</c:v>
                </c:pt>
                <c:pt idx="320">
                  <c:v>3.0085022890778249E-2</c:v>
                </c:pt>
                <c:pt idx="321">
                  <c:v>2.8683181225554143E-2</c:v>
                </c:pt>
                <c:pt idx="322">
                  <c:v>2.794022092267695E-2</c:v>
                </c:pt>
                <c:pt idx="323">
                  <c:v>2.5923525599481526E-2</c:v>
                </c:pt>
                <c:pt idx="324">
                  <c:v>2.9126213592233011E-2</c:v>
                </c:pt>
                <c:pt idx="325">
                  <c:v>2.9715762273901769E-2</c:v>
                </c:pt>
                <c:pt idx="326">
                  <c:v>2.9620090148100412E-2</c:v>
                </c:pt>
                <c:pt idx="327">
                  <c:v>3.1511254019292639E-2</c:v>
                </c:pt>
                <c:pt idx="328">
                  <c:v>3.0788967286722146E-2</c:v>
                </c:pt>
                <c:pt idx="329">
                  <c:v>3.0051150895140592E-2</c:v>
                </c:pt>
                <c:pt idx="330">
                  <c:v>2.9993618379068394E-2</c:v>
                </c:pt>
                <c:pt idx="331">
                  <c:v>2.991725015913442E-2</c:v>
                </c:pt>
                <c:pt idx="332">
                  <c:v>2.9841269841269769E-2</c:v>
                </c:pt>
                <c:pt idx="333">
                  <c:v>3.1051964512040411E-2</c:v>
                </c:pt>
                <c:pt idx="334">
                  <c:v>3.0341340075853426E-2</c:v>
                </c:pt>
                <c:pt idx="335">
                  <c:v>3.0322173089071272E-2</c:v>
                </c:pt>
                <c:pt idx="336">
                  <c:v>2.9559748427672883E-2</c:v>
                </c:pt>
                <c:pt idx="337">
                  <c:v>2.8858218318695068E-2</c:v>
                </c:pt>
                <c:pt idx="338">
                  <c:v>2.8142589118198873E-2</c:v>
                </c:pt>
                <c:pt idx="339">
                  <c:v>2.618453865336651E-2</c:v>
                </c:pt>
                <c:pt idx="340">
                  <c:v>2.6757934038581281E-2</c:v>
                </c:pt>
                <c:pt idx="341">
                  <c:v>2.6691495965239054E-2</c:v>
                </c:pt>
                <c:pt idx="342">
                  <c:v>2.6641883519206832E-2</c:v>
                </c:pt>
                <c:pt idx="343">
                  <c:v>2.5957972805933177E-2</c:v>
                </c:pt>
                <c:pt idx="344">
                  <c:v>2.6510480887792922E-2</c:v>
                </c:pt>
                <c:pt idx="345">
                  <c:v>2.5199754148740153E-2</c:v>
                </c:pt>
                <c:pt idx="346">
                  <c:v>2.5766871165644103E-2</c:v>
                </c:pt>
                <c:pt idx="347">
                  <c:v>2.6364193746168066E-2</c:v>
                </c:pt>
                <c:pt idx="348">
                  <c:v>2.5045815516188289E-2</c:v>
                </c:pt>
                <c:pt idx="349">
                  <c:v>2.4999999999999967E-2</c:v>
                </c:pt>
                <c:pt idx="350">
                  <c:v>2.4330900243309E-2</c:v>
                </c:pt>
                <c:pt idx="351">
                  <c:v>2.612393681652498E-2</c:v>
                </c:pt>
                <c:pt idx="352">
                  <c:v>2.5454545454545386E-2</c:v>
                </c:pt>
                <c:pt idx="353">
                  <c:v>2.4183796856106408E-2</c:v>
                </c:pt>
                <c:pt idx="354">
                  <c:v>2.4140012070006038E-2</c:v>
                </c:pt>
                <c:pt idx="355">
                  <c:v>2.2891566265060309E-2</c:v>
                </c:pt>
                <c:pt idx="356">
                  <c:v>2.2222222222222154E-2</c:v>
                </c:pt>
                <c:pt idx="357">
                  <c:v>2.2781774580335628E-2</c:v>
                </c:pt>
                <c:pt idx="358">
                  <c:v>2.1531100478469036E-2</c:v>
                </c:pt>
                <c:pt idx="359">
                  <c:v>2.270011947431292E-2</c:v>
                </c:pt>
                <c:pt idx="360">
                  <c:v>2.2646007151370575E-2</c:v>
                </c:pt>
                <c:pt idx="361">
                  <c:v>2.2605591909577699E-2</c:v>
                </c:pt>
                <c:pt idx="362">
                  <c:v>2.2565320665083034E-2</c:v>
                </c:pt>
                <c:pt idx="363">
                  <c:v>2.1314387211367639E-2</c:v>
                </c:pt>
                <c:pt idx="364">
                  <c:v>2.1867612293144309E-2</c:v>
                </c:pt>
                <c:pt idx="365">
                  <c:v>2.2432113341204148E-2</c:v>
                </c:pt>
                <c:pt idx="366">
                  <c:v>2.2392457277548683E-2</c:v>
                </c:pt>
                <c:pt idx="367">
                  <c:v>2.473498233215541E-2</c:v>
                </c:pt>
                <c:pt idx="368">
                  <c:v>2.3501762632197415E-2</c:v>
                </c:pt>
                <c:pt idx="369">
                  <c:v>2.2274325908558098E-2</c:v>
                </c:pt>
                <c:pt idx="370">
                  <c:v>2.3419203747072598E-2</c:v>
                </c:pt>
                <c:pt idx="371">
                  <c:v>2.4532710280373932E-2</c:v>
                </c:pt>
                <c:pt idx="372">
                  <c:v>2.3310023310023312E-2</c:v>
                </c:pt>
                <c:pt idx="373">
                  <c:v>2.1524141942990044E-2</c:v>
                </c:pt>
                <c:pt idx="374">
                  <c:v>2.0325203252032523E-2</c:v>
                </c:pt>
                <c:pt idx="375">
                  <c:v>2.2028985507246444E-2</c:v>
                </c:pt>
                <c:pt idx="376">
                  <c:v>2.0821283979178682E-2</c:v>
                </c:pt>
                <c:pt idx="377">
                  <c:v>1.9630484988452691E-2</c:v>
                </c:pt>
                <c:pt idx="378">
                  <c:v>2.0749279538904868E-2</c:v>
                </c:pt>
                <c:pt idx="379">
                  <c:v>1.8965517241379376E-2</c:v>
                </c:pt>
                <c:pt idx="380">
                  <c:v>2.0665901262916321E-2</c:v>
                </c:pt>
                <c:pt idx="381">
                  <c:v>2.1215596330275165E-2</c:v>
                </c:pt>
                <c:pt idx="382">
                  <c:v>2.0594965675057173E-2</c:v>
                </c:pt>
                <c:pt idx="383">
                  <c:v>1.8814139110604235E-2</c:v>
                </c:pt>
                <c:pt idx="384">
                  <c:v>2.1070615034168662E-2</c:v>
                </c:pt>
                <c:pt idx="385">
                  <c:v>2.1640091116173186E-2</c:v>
                </c:pt>
                <c:pt idx="386">
                  <c:v>2.4473534433693864E-2</c:v>
                </c:pt>
                <c:pt idx="387">
                  <c:v>2.2688598979013045E-2</c:v>
                </c:pt>
                <c:pt idx="388">
                  <c:v>2.3796033994334213E-2</c:v>
                </c:pt>
                <c:pt idx="389">
                  <c:v>2.5481313703284259E-2</c:v>
                </c:pt>
                <c:pt idx="390">
                  <c:v>2.4844720496894443E-2</c:v>
                </c:pt>
                <c:pt idx="391">
                  <c:v>2.5944726452340632E-2</c:v>
                </c:pt>
                <c:pt idx="392">
                  <c:v>2.5309336332958378E-2</c:v>
                </c:pt>
                <c:pt idx="393">
                  <c:v>2.5266704098820886E-2</c:v>
                </c:pt>
                <c:pt idx="394">
                  <c:v>2.6345291479820562E-2</c:v>
                </c:pt>
                <c:pt idx="395">
                  <c:v>2.5741466144376179E-2</c:v>
                </c:pt>
                <c:pt idx="396">
                  <c:v>2.5655326268823168E-2</c:v>
                </c:pt>
                <c:pt idx="397">
                  <c:v>2.7870680044593088E-2</c:v>
                </c:pt>
                <c:pt idx="398">
                  <c:v>2.6111111111111047E-2</c:v>
                </c:pt>
                <c:pt idx="399">
                  <c:v>2.6622296173044829E-2</c:v>
                </c:pt>
                <c:pt idx="400">
                  <c:v>2.5456557830658678E-2</c:v>
                </c:pt>
                <c:pt idx="401">
                  <c:v>2.7056874654886834E-2</c:v>
                </c:pt>
                <c:pt idx="402">
                  <c:v>2.6997245179063392E-2</c:v>
                </c:pt>
                <c:pt idx="403">
                  <c:v>2.6388125343595286E-2</c:v>
                </c:pt>
                <c:pt idx="404">
                  <c:v>2.6330224904004294E-2</c:v>
                </c:pt>
                <c:pt idx="405">
                  <c:v>2.6286966046002253E-2</c:v>
                </c:pt>
                <c:pt idx="406">
                  <c:v>2.7307482250136537E-2</c:v>
                </c:pt>
                <c:pt idx="407">
                  <c:v>2.7823240589198002E-2</c:v>
                </c:pt>
                <c:pt idx="408">
                  <c:v>2.6101141924959124E-2</c:v>
                </c:pt>
                <c:pt idx="409">
                  <c:v>2.5488069414316642E-2</c:v>
                </c:pt>
                <c:pt idx="410">
                  <c:v>2.4363833243096916E-2</c:v>
                </c:pt>
                <c:pt idx="411">
                  <c:v>2.4851431658562909E-2</c:v>
                </c:pt>
                <c:pt idx="412">
                  <c:v>2.5364274150026921E-2</c:v>
                </c:pt>
                <c:pt idx="413">
                  <c:v>2.2580645161290262E-2</c:v>
                </c:pt>
                <c:pt idx="414">
                  <c:v>2.1995708154506407E-2</c:v>
                </c:pt>
                <c:pt idx="415">
                  <c:v>2.3567220139260877E-2</c:v>
                </c:pt>
                <c:pt idx="416">
                  <c:v>2.2447888829503031E-2</c:v>
                </c:pt>
                <c:pt idx="417">
                  <c:v>2.1878335112059735E-2</c:v>
                </c:pt>
                <c:pt idx="418">
                  <c:v>2.0202020202020263E-2</c:v>
                </c:pt>
                <c:pt idx="419">
                  <c:v>1.9639065817409707E-2</c:v>
                </c:pt>
                <c:pt idx="420">
                  <c:v>1.9607843137254992E-2</c:v>
                </c:pt>
                <c:pt idx="421">
                  <c:v>1.797990481226867E-2</c:v>
                </c:pt>
                <c:pt idx="422">
                  <c:v>1.7441860465116341E-2</c:v>
                </c:pt>
                <c:pt idx="423">
                  <c:v>1.4760147601476075E-2</c:v>
                </c:pt>
                <c:pt idx="424">
                  <c:v>1.5263157894736873E-2</c:v>
                </c:pt>
                <c:pt idx="425">
                  <c:v>1.4721345951629924E-2</c:v>
                </c:pt>
                <c:pt idx="426">
                  <c:v>1.5223097112860922E-2</c:v>
                </c:pt>
                <c:pt idx="427">
                  <c:v>1.3082155939298797E-2</c:v>
                </c:pt>
                <c:pt idx="428">
                  <c:v>1.2545739675901606E-2</c:v>
                </c:pt>
                <c:pt idx="429">
                  <c:v>1.3054830287206266E-2</c:v>
                </c:pt>
                <c:pt idx="430">
                  <c:v>1.0943199583116176E-2</c:v>
                </c:pt>
                <c:pt idx="431">
                  <c:v>1.0931806350858898E-2</c:v>
                </c:pt>
                <c:pt idx="432">
                  <c:v>1.1434511434511374E-2</c:v>
                </c:pt>
                <c:pt idx="433">
                  <c:v>1.2467532467532497E-2</c:v>
                </c:pt>
                <c:pt idx="434">
                  <c:v>1.5584415584415584E-2</c:v>
                </c:pt>
                <c:pt idx="435">
                  <c:v>1.7662337662337692E-2</c:v>
                </c:pt>
                <c:pt idx="436">
                  <c:v>1.7107309486780627E-2</c:v>
                </c:pt>
                <c:pt idx="437">
                  <c:v>1.8652849740932613E-2</c:v>
                </c:pt>
                <c:pt idx="438">
                  <c:v>1.7580144777662905E-2</c:v>
                </c:pt>
                <c:pt idx="439">
                  <c:v>1.7045454545454603E-2</c:v>
                </c:pt>
                <c:pt idx="440">
                  <c:v>1.9617965926690819E-2</c:v>
                </c:pt>
                <c:pt idx="441">
                  <c:v>2.0103092783505184E-2</c:v>
                </c:pt>
                <c:pt idx="442">
                  <c:v>2.2164948453608307E-2</c:v>
                </c:pt>
                <c:pt idx="443">
                  <c:v>2.2657054582904252E-2</c:v>
                </c:pt>
                <c:pt idx="444">
                  <c:v>2.2610483042137749E-2</c:v>
                </c:pt>
                <c:pt idx="445">
                  <c:v>2.3088763468445357E-2</c:v>
                </c:pt>
                <c:pt idx="446">
                  <c:v>2.3529411764705854E-2</c:v>
                </c:pt>
                <c:pt idx="447">
                  <c:v>2.1949974476773777E-2</c:v>
                </c:pt>
                <c:pt idx="448">
                  <c:v>2.1916411824668764E-2</c:v>
                </c:pt>
                <c:pt idx="449">
                  <c:v>2.0345879959308241E-2</c:v>
                </c:pt>
                <c:pt idx="450">
                  <c:v>2.0833333333333304E-2</c:v>
                </c:pt>
                <c:pt idx="451">
                  <c:v>2.1330624682579933E-2</c:v>
                </c:pt>
                <c:pt idx="452">
                  <c:v>1.924050632911398E-2</c:v>
                </c:pt>
                <c:pt idx="453">
                  <c:v>2.0717534108135392E-2</c:v>
                </c:pt>
                <c:pt idx="454">
                  <c:v>2.1180030257186021E-2</c:v>
                </c:pt>
                <c:pt idx="455">
                  <c:v>2.1148036253776523E-2</c:v>
                </c:pt>
                <c:pt idx="456">
                  <c:v>2.1105527638190898E-2</c:v>
                </c:pt>
                <c:pt idx="457">
                  <c:v>2.1063189568706061E-2</c:v>
                </c:pt>
                <c:pt idx="458">
                  <c:v>2.0989505247376399E-2</c:v>
                </c:pt>
                <c:pt idx="459">
                  <c:v>2.2977022977023091E-2</c:v>
                </c:pt>
                <c:pt idx="460">
                  <c:v>2.4438902743142171E-2</c:v>
                </c:pt>
                <c:pt idx="461">
                  <c:v>2.6420737786640138E-2</c:v>
                </c:pt>
                <c:pt idx="462">
                  <c:v>2.6879044300647116E-2</c:v>
                </c:pt>
                <c:pt idx="463">
                  <c:v>2.8344107409249215E-2</c:v>
                </c:pt>
                <c:pt idx="464">
                  <c:v>2.9309488325881653E-2</c:v>
                </c:pt>
                <c:pt idx="465">
                  <c:v>2.7722772277227695E-2</c:v>
                </c:pt>
                <c:pt idx="466">
                  <c:v>2.6172839506172895E-2</c:v>
                </c:pt>
                <c:pt idx="467">
                  <c:v>2.6134122287968357E-2</c:v>
                </c:pt>
                <c:pt idx="468">
                  <c:v>2.6574803149606328E-2</c:v>
                </c:pt>
                <c:pt idx="469">
                  <c:v>2.7185658153241633E-2</c:v>
                </c:pt>
                <c:pt idx="470">
                  <c:v>2.5051395007342117E-2</c:v>
                </c:pt>
                <c:pt idx="471">
                  <c:v>2.4155273437500013E-2</c:v>
                </c:pt>
                <c:pt idx="472">
                  <c:v>2.2677702044790589E-2</c:v>
                </c:pt>
                <c:pt idx="473">
                  <c:v>2.1816415735794025E-2</c:v>
                </c:pt>
                <c:pt idx="474">
                  <c:v>2.168201648085305E-2</c:v>
                </c:pt>
                <c:pt idx="475">
                  <c:v>2.0884912959380986E-2</c:v>
                </c:pt>
                <c:pt idx="476">
                  <c:v>2.101351351351358E-2</c:v>
                </c:pt>
                <c:pt idx="477">
                  <c:v>2.1565510597302523E-2</c:v>
                </c:pt>
                <c:pt idx="478">
                  <c:v>2.3387872954764122E-2</c:v>
                </c:pt>
                <c:pt idx="479">
                  <c:v>2.435367611725138E-2</c:v>
                </c:pt>
                <c:pt idx="480">
                  <c:v>2.4789069990412235E-2</c:v>
                </c:pt>
                <c:pt idx="481">
                  <c:v>2.2970808329547912E-2</c:v>
                </c:pt>
                <c:pt idx="482">
                  <c:v>2.3885243866334227E-2</c:v>
                </c:pt>
                <c:pt idx="483">
                  <c:v>2.2946692920518472E-2</c:v>
                </c:pt>
                <c:pt idx="484">
                  <c:v>2.3222157689780986E-2</c:v>
                </c:pt>
                <c:pt idx="485">
                  <c:v>2.3917259211376909E-2</c:v>
                </c:pt>
                <c:pt idx="486">
                  <c:v>2.4633136122748204E-2</c:v>
                </c:pt>
                <c:pt idx="487">
                  <c:v>2.4981171756213325E-2</c:v>
                </c:pt>
                <c:pt idx="488">
                  <c:v>2.4386208722122917E-2</c:v>
                </c:pt>
                <c:pt idx="489">
                  <c:v>2.2213629955157858E-2</c:v>
                </c:pt>
                <c:pt idx="490">
                  <c:v>2.0158939151697575E-2</c:v>
                </c:pt>
                <c:pt idx="491">
                  <c:v>1.7624596562335833E-2</c:v>
                </c:pt>
                <c:pt idx="492">
                  <c:v>1.6723503187990967E-2</c:v>
                </c:pt>
                <c:pt idx="493">
                  <c:v>1.8009806533638133E-2</c:v>
                </c:pt>
                <c:pt idx="494">
                  <c:v>1.7876130957933022E-2</c:v>
                </c:pt>
                <c:pt idx="495">
                  <c:v>1.9323266219239309E-2</c:v>
                </c:pt>
                <c:pt idx="496">
                  <c:v>1.8461309413034529E-2</c:v>
                </c:pt>
                <c:pt idx="497">
                  <c:v>1.7119726678550152E-2</c:v>
                </c:pt>
                <c:pt idx="498">
                  <c:v>1.5270992984974426E-2</c:v>
                </c:pt>
                <c:pt idx="499">
                  <c:v>1.4339650543224636E-2</c:v>
                </c:pt>
                <c:pt idx="500">
                  <c:v>1.4798373886199692E-2</c:v>
                </c:pt>
                <c:pt idx="501">
                  <c:v>1.7127331771131214E-2</c:v>
                </c:pt>
                <c:pt idx="502">
                  <c:v>1.7142435710104285E-2</c:v>
                </c:pt>
                <c:pt idx="503">
                  <c:v>1.8236717759594276E-2</c:v>
                </c:pt>
                <c:pt idx="504">
                  <c:v>1.5123351706495662E-2</c:v>
                </c:pt>
                <c:pt idx="505">
                  <c:v>1.3494526888039933E-2</c:v>
                </c:pt>
                <c:pt idx="506">
                  <c:v>1.1592051426555425E-2</c:v>
                </c:pt>
                <c:pt idx="507">
                  <c:v>9.6750889321738504E-3</c:v>
                </c:pt>
                <c:pt idx="508">
                  <c:v>9.4013814274750244E-3</c:v>
                </c:pt>
                <c:pt idx="509">
                  <c:v>9.5019898499397286E-3</c:v>
                </c:pt>
                <c:pt idx="510">
                  <c:v>9.5775393021166107E-3</c:v>
                </c:pt>
                <c:pt idx="511">
                  <c:v>9.1710099500673208E-3</c:v>
                </c:pt>
                <c:pt idx="512">
                  <c:v>8.1438704983631555E-3</c:v>
                </c:pt>
                <c:pt idx="513">
                  <c:v>6.027183550188016E-3</c:v>
                </c:pt>
                <c:pt idx="514">
                  <c:v>6.7205641104656089E-3</c:v>
                </c:pt>
                <c:pt idx="515">
                  <c:v>6.61894866466554E-3</c:v>
                </c:pt>
                <c:pt idx="516">
                  <c:v>9.8353374155270845E-3</c:v>
                </c:pt>
                <c:pt idx="517">
                  <c:v>1.1244455921460962E-2</c:v>
                </c:pt>
                <c:pt idx="518">
                  <c:v>1.2097851736773305E-2</c:v>
                </c:pt>
                <c:pt idx="519">
                  <c:v>1.3155392125784574E-2</c:v>
                </c:pt>
                <c:pt idx="520">
                  <c:v>1.4540961794335779E-2</c:v>
                </c:pt>
                <c:pt idx="521">
                  <c:v>1.5836776766096794E-2</c:v>
                </c:pt>
                <c:pt idx="522">
                  <c:v>1.7414834457429605E-2</c:v>
                </c:pt>
                <c:pt idx="523">
                  <c:v>1.9651571719433561E-2</c:v>
                </c:pt>
                <c:pt idx="524">
                  <c:v>1.9877227562006314E-2</c:v>
                </c:pt>
                <c:pt idx="525">
                  <c:v>2.1079204796465707E-2</c:v>
                </c:pt>
                <c:pt idx="526">
                  <c:v>2.1382045383954013E-2</c:v>
                </c:pt>
                <c:pt idx="527">
                  <c:v>2.2766626338585033E-2</c:v>
                </c:pt>
                <c:pt idx="528">
                  <c:v>2.2773481506083906E-2</c:v>
                </c:pt>
                <c:pt idx="529">
                  <c:v>2.1598204405657368E-2</c:v>
                </c:pt>
                <c:pt idx="530">
                  <c:v>2.2483374654291267E-2</c:v>
                </c:pt>
                <c:pt idx="531">
                  <c:v>2.3144278518015246E-2</c:v>
                </c:pt>
                <c:pt idx="532">
                  <c:v>2.2522582803613151E-2</c:v>
                </c:pt>
                <c:pt idx="533">
                  <c:v>2.192285611289865E-2</c:v>
                </c:pt>
                <c:pt idx="534">
                  <c:v>2.1099556873784554E-2</c:v>
                </c:pt>
                <c:pt idx="535">
                  <c:v>1.9352524993137443E-2</c:v>
                </c:pt>
                <c:pt idx="536">
                  <c:v>2.0082434834909194E-2</c:v>
                </c:pt>
                <c:pt idx="537">
                  <c:v>1.994649148366931E-2</c:v>
                </c:pt>
                <c:pt idx="538">
                  <c:v>1.9528512686261341E-2</c:v>
                </c:pt>
                <c:pt idx="539">
                  <c:v>1.8996943778720753E-2</c:v>
                </c:pt>
                <c:pt idx="540">
                  <c:v>1.909802217863147E-2</c:v>
                </c:pt>
                <c:pt idx="541">
                  <c:v>1.9887385214485544E-2</c:v>
                </c:pt>
                <c:pt idx="542">
                  <c:v>1.8890221377988264E-2</c:v>
                </c:pt>
                <c:pt idx="543">
                  <c:v>1.7155588562940926E-2</c:v>
                </c:pt>
                <c:pt idx="544">
                  <c:v>1.6455519491850853E-2</c:v>
                </c:pt>
                <c:pt idx="545">
                  <c:v>1.6230952474273065E-2</c:v>
                </c:pt>
                <c:pt idx="546">
                  <c:v>1.7002217680567016E-2</c:v>
                </c:pt>
                <c:pt idx="547">
                  <c:v>1.7821076909044352E-2</c:v>
                </c:pt>
                <c:pt idx="548">
                  <c:v>1.7519368418314467E-2</c:v>
                </c:pt>
                <c:pt idx="549">
                  <c:v>1.6868377311448125E-2</c:v>
                </c:pt>
                <c:pt idx="550">
                  <c:v>1.7416677473738797E-2</c:v>
                </c:pt>
                <c:pt idx="551">
                  <c:v>1.7408566188369799E-2</c:v>
                </c:pt>
                <c:pt idx="552">
                  <c:v>1.6070344358370396E-2</c:v>
                </c:pt>
                <c:pt idx="553">
                  <c:v>1.55480739049487E-2</c:v>
                </c:pt>
                <c:pt idx="554">
                  <c:v>1.6456609706435685E-2</c:v>
                </c:pt>
                <c:pt idx="555">
                  <c:v>1.8210555250137477E-2</c:v>
                </c:pt>
                <c:pt idx="556">
                  <c:v>1.945526961836249E-2</c:v>
                </c:pt>
                <c:pt idx="557">
                  <c:v>1.9228626526676645E-2</c:v>
                </c:pt>
                <c:pt idx="558">
                  <c:v>1.8449632290063273E-2</c:v>
                </c:pt>
                <c:pt idx="559">
                  <c:v>1.7363956028949832E-2</c:v>
                </c:pt>
                <c:pt idx="560">
                  <c:v>1.740945888368135E-2</c:v>
                </c:pt>
                <c:pt idx="561">
                  <c:v>1.8176323104362787E-2</c:v>
                </c:pt>
                <c:pt idx="562">
                  <c:v>1.7415947552462365E-2</c:v>
                </c:pt>
                <c:pt idx="563">
                  <c:v>1.6224195046636681E-2</c:v>
                </c:pt>
                <c:pt idx="564">
                  <c:v>1.6316255652417112E-2</c:v>
                </c:pt>
                <c:pt idx="565">
                  <c:v>1.6880834938713275E-2</c:v>
                </c:pt>
                <c:pt idx="566">
                  <c:v>1.7453777073428402E-2</c:v>
                </c:pt>
                <c:pt idx="567">
                  <c:v>1.8028278328946483E-2</c:v>
                </c:pt>
                <c:pt idx="568">
                  <c:v>1.7509440952473136E-2</c:v>
                </c:pt>
                <c:pt idx="569">
                  <c:v>1.7772676244654971E-2</c:v>
                </c:pt>
                <c:pt idx="570">
                  <c:v>1.8346312894897059E-2</c:v>
                </c:pt>
                <c:pt idx="571">
                  <c:v>1.8506323273421305E-2</c:v>
                </c:pt>
                <c:pt idx="572">
                  <c:v>1.8970961446650982E-2</c:v>
                </c:pt>
                <c:pt idx="573">
                  <c:v>1.9135335359608003E-2</c:v>
                </c:pt>
                <c:pt idx="574">
                  <c:v>1.9974275238246436E-2</c:v>
                </c:pt>
                <c:pt idx="575">
                  <c:v>2.0715072792840898E-2</c:v>
                </c:pt>
                <c:pt idx="576">
                  <c:v>2.1450225385824691E-2</c:v>
                </c:pt>
                <c:pt idx="577">
                  <c:v>2.2225738220941635E-2</c:v>
                </c:pt>
                <c:pt idx="578">
                  <c:v>2.1424269485576689E-2</c:v>
                </c:pt>
                <c:pt idx="579">
                  <c:v>2.1566547612141839E-2</c:v>
                </c:pt>
                <c:pt idx="580">
                  <c:v>2.2545595974976053E-2</c:v>
                </c:pt>
                <c:pt idx="581">
                  <c:v>2.2622116465067087E-2</c:v>
                </c:pt>
                <c:pt idx="582">
                  <c:v>2.1701399624842868E-2</c:v>
                </c:pt>
                <c:pt idx="583">
                  <c:v>2.3087345614186794E-2</c:v>
                </c:pt>
                <c:pt idx="584">
                  <c:v>2.2711206825691735E-2</c:v>
                </c:pt>
                <c:pt idx="585">
                  <c:v>2.2045551507991184E-2</c:v>
                </c:pt>
                <c:pt idx="586">
                  <c:v>2.1454219398053483E-2</c:v>
                </c:pt>
                <c:pt idx="587">
                  <c:v>2.1971236613002779E-2</c:v>
                </c:pt>
                <c:pt idx="588">
                  <c:v>2.2481680308628019E-2</c:v>
                </c:pt>
                <c:pt idx="589">
                  <c:v>2.1966518675410374E-2</c:v>
                </c:pt>
                <c:pt idx="590">
                  <c:v>2.0019275109489948E-2</c:v>
                </c:pt>
                <c:pt idx="591">
                  <c:v>1.9067049008116059E-2</c:v>
                </c:pt>
                <c:pt idx="592">
                  <c:v>1.7605619555145523E-2</c:v>
                </c:pt>
                <c:pt idx="593">
                  <c:v>1.7298214429991157E-2</c:v>
                </c:pt>
                <c:pt idx="594">
                  <c:v>1.7019799942702384E-2</c:v>
                </c:pt>
                <c:pt idx="595">
                  <c:v>1.680198693357703E-2</c:v>
                </c:pt>
                <c:pt idx="596">
                  <c:v>1.6866123885839104E-2</c:v>
                </c:pt>
                <c:pt idx="597">
                  <c:v>1.7632514790761899E-2</c:v>
                </c:pt>
                <c:pt idx="598">
                  <c:v>1.7087473595183623E-2</c:v>
                </c:pt>
                <c:pt idx="599">
                  <c:v>1.7557618437900151E-2</c:v>
                </c:pt>
                <c:pt idx="600">
                  <c:v>1.8146465332066406E-2</c:v>
                </c:pt>
                <c:pt idx="601">
                  <c:v>1.8210224668497456E-2</c:v>
                </c:pt>
                <c:pt idx="602">
                  <c:v>2.105359677239314E-2</c:v>
                </c:pt>
                <c:pt idx="603">
                  <c:v>2.1508286501201967E-2</c:v>
                </c:pt>
                <c:pt idx="604">
                  <c:v>2.2541831021758423E-2</c:v>
                </c:pt>
                <c:pt idx="605">
                  <c:v>2.2682688565732894E-2</c:v>
                </c:pt>
                <c:pt idx="606">
                  <c:v>2.3340884834971293E-2</c:v>
                </c:pt>
                <c:pt idx="607">
                  <c:v>2.1706512745598622E-2</c:v>
                </c:pt>
                <c:pt idx="608">
                  <c:v>2.171602006014885E-2</c:v>
                </c:pt>
                <c:pt idx="609">
                  <c:v>2.1511822825250871E-2</c:v>
                </c:pt>
                <c:pt idx="610">
                  <c:v>2.2349296929188554E-2</c:v>
                </c:pt>
                <c:pt idx="611">
                  <c:v>2.1882913632288399E-2</c:v>
                </c:pt>
                <c:pt idx="612">
                  <c:v>2.1222946821067568E-2</c:v>
                </c:pt>
                <c:pt idx="613">
                  <c:v>2.0550197281893796E-2</c:v>
                </c:pt>
                <c:pt idx="614">
                  <c:v>2.0389119035440755E-2</c:v>
                </c:pt>
                <c:pt idx="615">
                  <c:v>2.1016457826818796E-2</c:v>
                </c:pt>
                <c:pt idx="616">
                  <c:v>2.0326104286486592E-2</c:v>
                </c:pt>
                <c:pt idx="617">
                  <c:v>2.1678690968959542E-2</c:v>
                </c:pt>
                <c:pt idx="618">
                  <c:v>2.2044740821152941E-2</c:v>
                </c:pt>
                <c:pt idx="619">
                  <c:v>2.3523713577185471E-2</c:v>
                </c:pt>
                <c:pt idx="620">
                  <c:v>2.3474668708951308E-2</c:v>
                </c:pt>
                <c:pt idx="621">
                  <c:v>2.3309870303372095E-2</c:v>
                </c:pt>
                <c:pt idx="622">
                  <c:v>2.3175221170711024E-2</c:v>
                </c:pt>
                <c:pt idx="623">
                  <c:v>2.2233937346319243E-2</c:v>
                </c:pt>
                <c:pt idx="624">
                  <c:v>2.260587745133804E-2</c:v>
                </c:pt>
                <c:pt idx="625">
                  <c:v>2.3603685151233868E-2</c:v>
                </c:pt>
                <c:pt idx="626">
                  <c:v>2.0972759519245099E-2</c:v>
                </c:pt>
                <c:pt idx="627">
                  <c:v>1.4447624499141391E-2</c:v>
                </c:pt>
                <c:pt idx="628">
                  <c:v>1.2397859625586871E-2</c:v>
                </c:pt>
                <c:pt idx="629">
                  <c:v>1.202886928628695E-2</c:v>
                </c:pt>
                <c:pt idx="630">
                  <c:v>1.5575685846079126E-2</c:v>
                </c:pt>
                <c:pt idx="631">
                  <c:v>1.7047067775628279E-2</c:v>
                </c:pt>
                <c:pt idx="632">
                  <c:v>1.7203130727920561E-2</c:v>
                </c:pt>
                <c:pt idx="633">
                  <c:v>1.6315380377774302E-2</c:v>
                </c:pt>
                <c:pt idx="634">
                  <c:v>1.6546922505999751E-2</c:v>
                </c:pt>
                <c:pt idx="635">
                  <c:v>1.614524319501898E-2</c:v>
                </c:pt>
                <c:pt idx="636">
                  <c:v>1.396513784894067E-2</c:v>
                </c:pt>
                <c:pt idx="637">
                  <c:v>1.2826181447563671E-2</c:v>
                </c:pt>
                <c:pt idx="638">
                  <c:v>1.6468030882242732E-2</c:v>
                </c:pt>
                <c:pt idx="639">
                  <c:v>2.9582148392241742E-2</c:v>
                </c:pt>
                <c:pt idx="640">
                  <c:v>3.7950285540041553E-2</c:v>
                </c:pt>
                <c:pt idx="641">
                  <c:v>4.4531737030666756E-2</c:v>
                </c:pt>
                <c:pt idx="642">
                  <c:v>4.2327488962431159E-2</c:v>
                </c:pt>
                <c:pt idx="643">
                  <c:v>3.9768624327201629E-2</c:v>
                </c:pt>
                <c:pt idx="644">
                  <c:v>4.0355928739945472E-2</c:v>
                </c:pt>
                <c:pt idx="645">
                  <c:v>4.5832559866344789E-2</c:v>
                </c:pt>
                <c:pt idx="646">
                  <c:v>4.9596210793161358E-2</c:v>
                </c:pt>
                <c:pt idx="647">
                  <c:v>5.4897384603986132E-2</c:v>
                </c:pt>
              </c:numCache>
            </c:numRef>
          </c:val>
          <c:smooth val="0"/>
          <c:extLst>
            <c:ext xmlns:c16="http://schemas.microsoft.com/office/drawing/2014/chart" uri="{C3380CC4-5D6E-409C-BE32-E72D297353CC}">
              <c16:uniqueId val="{00000000-6ABB-9842-8516-B229241F969B}"/>
            </c:ext>
          </c:extLst>
        </c:ser>
        <c:dLbls>
          <c:showLegendKey val="0"/>
          <c:showVal val="0"/>
          <c:showCatName val="0"/>
          <c:showSerName val="0"/>
          <c:showPercent val="0"/>
          <c:showBubbleSize val="0"/>
        </c:dLbls>
        <c:smooth val="0"/>
        <c:axId val="441892151"/>
        <c:axId val="441886247"/>
      </c:lineChart>
      <c:dateAx>
        <c:axId val="441892151"/>
        <c:scaling>
          <c:orientation val="minMax"/>
        </c:scaling>
        <c:delete val="0"/>
        <c:axPos val="b"/>
        <c:numFmt formatCode="[$-409]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1886247"/>
        <c:crosses val="autoZero"/>
        <c:auto val="0"/>
        <c:lblOffset val="100"/>
        <c:baseTimeUnit val="months"/>
      </c:dateAx>
      <c:valAx>
        <c:axId val="441886247"/>
        <c:scaling>
          <c:orientation val="minMax"/>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1892151"/>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strike="noStrike" kern="1200" spc="0" baseline="0">
                <a:solidFill>
                  <a:schemeClr val="tx1">
                    <a:lumMod val="65000"/>
                    <a:lumOff val="35000"/>
                  </a:schemeClr>
                </a:solidFill>
                <a:latin typeface="+mn-lt"/>
                <a:ea typeface="+mn-ea"/>
                <a:cs typeface="+mn-cs"/>
              </a:defRPr>
            </a:pPr>
            <a:r>
              <a:rPr lang="en-US" b="1"/>
              <a:t>Core CPI y/y % since 2000</a:t>
            </a:r>
          </a:p>
        </c:rich>
      </c:tx>
      <c:overlay val="0"/>
      <c:spPr>
        <a:noFill/>
        <a:ln>
          <a:noFill/>
          <a:prstDash val="solid"/>
        </a:ln>
      </c:spPr>
    </c:title>
    <c:autoTitleDeleted val="0"/>
    <c:plotArea>
      <c:layout/>
      <c:lineChart>
        <c:grouping val="standard"/>
        <c:varyColors val="0"/>
        <c:ser>
          <c:idx val="2"/>
          <c:order val="0"/>
          <c:tx>
            <c:strRef>
              <c:f>'Core CPI'!$D$4</c:f>
              <c:strCache>
                <c:ptCount val="1"/>
                <c:pt idx="0">
                  <c:v>All Items Less Food &amp; Energy y/y %</c:v>
                </c:pt>
              </c:strCache>
            </c:strRef>
          </c:tx>
          <c:spPr>
            <a:ln w="28575" cap="rnd">
              <a:solidFill>
                <a:schemeClr val="bg2">
                  <a:lumMod val="10000"/>
                </a:schemeClr>
              </a:solidFill>
              <a:prstDash val="solid"/>
              <a:round/>
            </a:ln>
          </c:spPr>
          <c:marker>
            <c:symbol val="none"/>
          </c:marker>
          <c:cat>
            <c:numRef>
              <c:f>'Core CPI'!$A$401:$A$902</c:f>
              <c:numCache>
                <c:formatCode>[$-409]mmm\-yy;@</c:formatCode>
                <c:ptCount val="502"/>
                <c:pt idx="0">
                  <c:v>36526</c:v>
                </c:pt>
                <c:pt idx="1">
                  <c:v>36557</c:v>
                </c:pt>
                <c:pt idx="2">
                  <c:v>36586</c:v>
                </c:pt>
                <c:pt idx="3">
                  <c:v>36617</c:v>
                </c:pt>
                <c:pt idx="4">
                  <c:v>36647</c:v>
                </c:pt>
                <c:pt idx="5">
                  <c:v>36678</c:v>
                </c:pt>
                <c:pt idx="6">
                  <c:v>36708</c:v>
                </c:pt>
                <c:pt idx="7">
                  <c:v>36739</c:v>
                </c:pt>
                <c:pt idx="8">
                  <c:v>36770</c:v>
                </c:pt>
                <c:pt idx="9">
                  <c:v>36800</c:v>
                </c:pt>
                <c:pt idx="10">
                  <c:v>36831</c:v>
                </c:pt>
                <c:pt idx="11">
                  <c:v>36861</c:v>
                </c:pt>
                <c:pt idx="12">
                  <c:v>36892</c:v>
                </c:pt>
                <c:pt idx="13">
                  <c:v>36923</c:v>
                </c:pt>
                <c:pt idx="14">
                  <c:v>36951</c:v>
                </c:pt>
                <c:pt idx="15">
                  <c:v>36982</c:v>
                </c:pt>
                <c:pt idx="16">
                  <c:v>37012</c:v>
                </c:pt>
                <c:pt idx="17">
                  <c:v>37043</c:v>
                </c:pt>
                <c:pt idx="18">
                  <c:v>37073</c:v>
                </c:pt>
                <c:pt idx="19">
                  <c:v>37104</c:v>
                </c:pt>
                <c:pt idx="20">
                  <c:v>37135</c:v>
                </c:pt>
                <c:pt idx="21">
                  <c:v>37165</c:v>
                </c:pt>
                <c:pt idx="22">
                  <c:v>37196</c:v>
                </c:pt>
                <c:pt idx="23">
                  <c:v>37226</c:v>
                </c:pt>
                <c:pt idx="24">
                  <c:v>37257</c:v>
                </c:pt>
                <c:pt idx="25">
                  <c:v>37288</c:v>
                </c:pt>
                <c:pt idx="26">
                  <c:v>37316</c:v>
                </c:pt>
                <c:pt idx="27">
                  <c:v>37347</c:v>
                </c:pt>
                <c:pt idx="28">
                  <c:v>37377</c:v>
                </c:pt>
                <c:pt idx="29">
                  <c:v>37408</c:v>
                </c:pt>
                <c:pt idx="30">
                  <c:v>37438</c:v>
                </c:pt>
                <c:pt idx="31">
                  <c:v>37469</c:v>
                </c:pt>
                <c:pt idx="32">
                  <c:v>37500</c:v>
                </c:pt>
                <c:pt idx="33">
                  <c:v>37530</c:v>
                </c:pt>
                <c:pt idx="34">
                  <c:v>37561</c:v>
                </c:pt>
                <c:pt idx="35">
                  <c:v>37591</c:v>
                </c:pt>
                <c:pt idx="36">
                  <c:v>37622</c:v>
                </c:pt>
                <c:pt idx="37">
                  <c:v>37653</c:v>
                </c:pt>
                <c:pt idx="38">
                  <c:v>37681</c:v>
                </c:pt>
                <c:pt idx="39">
                  <c:v>37712</c:v>
                </c:pt>
                <c:pt idx="40">
                  <c:v>37742</c:v>
                </c:pt>
                <c:pt idx="41">
                  <c:v>37773</c:v>
                </c:pt>
                <c:pt idx="42">
                  <c:v>37803</c:v>
                </c:pt>
                <c:pt idx="43">
                  <c:v>37834</c:v>
                </c:pt>
                <c:pt idx="44">
                  <c:v>37865</c:v>
                </c:pt>
                <c:pt idx="45">
                  <c:v>37895</c:v>
                </c:pt>
                <c:pt idx="46">
                  <c:v>37926</c:v>
                </c:pt>
                <c:pt idx="47">
                  <c:v>37956</c:v>
                </c:pt>
                <c:pt idx="48">
                  <c:v>37987</c:v>
                </c:pt>
                <c:pt idx="49">
                  <c:v>38018</c:v>
                </c:pt>
                <c:pt idx="50">
                  <c:v>38047</c:v>
                </c:pt>
                <c:pt idx="51">
                  <c:v>38078</c:v>
                </c:pt>
                <c:pt idx="52">
                  <c:v>38108</c:v>
                </c:pt>
                <c:pt idx="53">
                  <c:v>38139</c:v>
                </c:pt>
                <c:pt idx="54">
                  <c:v>38169</c:v>
                </c:pt>
                <c:pt idx="55">
                  <c:v>38200</c:v>
                </c:pt>
                <c:pt idx="56">
                  <c:v>38231</c:v>
                </c:pt>
                <c:pt idx="57">
                  <c:v>38261</c:v>
                </c:pt>
                <c:pt idx="58">
                  <c:v>38292</c:v>
                </c:pt>
                <c:pt idx="59">
                  <c:v>38322</c:v>
                </c:pt>
                <c:pt idx="60">
                  <c:v>38353</c:v>
                </c:pt>
                <c:pt idx="61">
                  <c:v>38384</c:v>
                </c:pt>
                <c:pt idx="62">
                  <c:v>38412</c:v>
                </c:pt>
                <c:pt idx="63">
                  <c:v>38443</c:v>
                </c:pt>
                <c:pt idx="64">
                  <c:v>38473</c:v>
                </c:pt>
                <c:pt idx="65">
                  <c:v>38504</c:v>
                </c:pt>
                <c:pt idx="66">
                  <c:v>38534</c:v>
                </c:pt>
                <c:pt idx="67">
                  <c:v>38565</c:v>
                </c:pt>
                <c:pt idx="68">
                  <c:v>38596</c:v>
                </c:pt>
                <c:pt idx="69">
                  <c:v>38626</c:v>
                </c:pt>
                <c:pt idx="70">
                  <c:v>38657</c:v>
                </c:pt>
                <c:pt idx="71">
                  <c:v>38687</c:v>
                </c:pt>
                <c:pt idx="72">
                  <c:v>38718</c:v>
                </c:pt>
                <c:pt idx="73">
                  <c:v>38749</c:v>
                </c:pt>
                <c:pt idx="74">
                  <c:v>38777</c:v>
                </c:pt>
                <c:pt idx="75">
                  <c:v>38808</c:v>
                </c:pt>
                <c:pt idx="76">
                  <c:v>38838</c:v>
                </c:pt>
                <c:pt idx="77">
                  <c:v>38869</c:v>
                </c:pt>
                <c:pt idx="78">
                  <c:v>38899</c:v>
                </c:pt>
                <c:pt idx="79">
                  <c:v>38930</c:v>
                </c:pt>
                <c:pt idx="80">
                  <c:v>38961</c:v>
                </c:pt>
                <c:pt idx="81">
                  <c:v>38991</c:v>
                </c:pt>
                <c:pt idx="82">
                  <c:v>39022</c:v>
                </c:pt>
                <c:pt idx="83">
                  <c:v>39052</c:v>
                </c:pt>
                <c:pt idx="84">
                  <c:v>39083</c:v>
                </c:pt>
                <c:pt idx="85">
                  <c:v>39114</c:v>
                </c:pt>
                <c:pt idx="86">
                  <c:v>39142</c:v>
                </c:pt>
                <c:pt idx="87">
                  <c:v>39173</c:v>
                </c:pt>
                <c:pt idx="88">
                  <c:v>39203</c:v>
                </c:pt>
                <c:pt idx="89">
                  <c:v>39234</c:v>
                </c:pt>
                <c:pt idx="90">
                  <c:v>39264</c:v>
                </c:pt>
                <c:pt idx="91">
                  <c:v>39295</c:v>
                </c:pt>
                <c:pt idx="92">
                  <c:v>39326</c:v>
                </c:pt>
                <c:pt idx="93">
                  <c:v>39356</c:v>
                </c:pt>
                <c:pt idx="94">
                  <c:v>39387</c:v>
                </c:pt>
                <c:pt idx="95">
                  <c:v>39417</c:v>
                </c:pt>
                <c:pt idx="96">
                  <c:v>39448</c:v>
                </c:pt>
                <c:pt idx="97">
                  <c:v>39479</c:v>
                </c:pt>
                <c:pt idx="98">
                  <c:v>39508</c:v>
                </c:pt>
                <c:pt idx="99">
                  <c:v>39539</c:v>
                </c:pt>
                <c:pt idx="100">
                  <c:v>39569</c:v>
                </c:pt>
                <c:pt idx="101">
                  <c:v>39600</c:v>
                </c:pt>
                <c:pt idx="102">
                  <c:v>39630</c:v>
                </c:pt>
                <c:pt idx="103">
                  <c:v>39661</c:v>
                </c:pt>
                <c:pt idx="104">
                  <c:v>39692</c:v>
                </c:pt>
                <c:pt idx="105">
                  <c:v>39722</c:v>
                </c:pt>
                <c:pt idx="106">
                  <c:v>39753</c:v>
                </c:pt>
                <c:pt idx="107">
                  <c:v>39783</c:v>
                </c:pt>
                <c:pt idx="108">
                  <c:v>39814</c:v>
                </c:pt>
                <c:pt idx="109">
                  <c:v>39845</c:v>
                </c:pt>
                <c:pt idx="110">
                  <c:v>39873</c:v>
                </c:pt>
                <c:pt idx="111">
                  <c:v>39904</c:v>
                </c:pt>
                <c:pt idx="112">
                  <c:v>39934</c:v>
                </c:pt>
                <c:pt idx="113">
                  <c:v>39965</c:v>
                </c:pt>
                <c:pt idx="114">
                  <c:v>39995</c:v>
                </c:pt>
                <c:pt idx="115">
                  <c:v>40026</c:v>
                </c:pt>
                <c:pt idx="116">
                  <c:v>40057</c:v>
                </c:pt>
                <c:pt idx="117">
                  <c:v>40087</c:v>
                </c:pt>
                <c:pt idx="118">
                  <c:v>40118</c:v>
                </c:pt>
                <c:pt idx="119">
                  <c:v>40148</c:v>
                </c:pt>
                <c:pt idx="120">
                  <c:v>40179</c:v>
                </c:pt>
                <c:pt idx="121">
                  <c:v>40210</c:v>
                </c:pt>
                <c:pt idx="122">
                  <c:v>40238</c:v>
                </c:pt>
                <c:pt idx="123">
                  <c:v>40269</c:v>
                </c:pt>
                <c:pt idx="124">
                  <c:v>40299</c:v>
                </c:pt>
                <c:pt idx="125">
                  <c:v>40330</c:v>
                </c:pt>
                <c:pt idx="126">
                  <c:v>40360</c:v>
                </c:pt>
                <c:pt idx="127">
                  <c:v>40391</c:v>
                </c:pt>
                <c:pt idx="128">
                  <c:v>40422</c:v>
                </c:pt>
                <c:pt idx="129">
                  <c:v>40452</c:v>
                </c:pt>
                <c:pt idx="130">
                  <c:v>40483</c:v>
                </c:pt>
                <c:pt idx="131">
                  <c:v>40513</c:v>
                </c:pt>
                <c:pt idx="132">
                  <c:v>40544</c:v>
                </c:pt>
                <c:pt idx="133">
                  <c:v>40575</c:v>
                </c:pt>
                <c:pt idx="134">
                  <c:v>40603</c:v>
                </c:pt>
                <c:pt idx="135">
                  <c:v>40634</c:v>
                </c:pt>
                <c:pt idx="136">
                  <c:v>40664</c:v>
                </c:pt>
                <c:pt idx="137">
                  <c:v>40695</c:v>
                </c:pt>
                <c:pt idx="138">
                  <c:v>40725</c:v>
                </c:pt>
                <c:pt idx="139">
                  <c:v>40756</c:v>
                </c:pt>
                <c:pt idx="140">
                  <c:v>40787</c:v>
                </c:pt>
                <c:pt idx="141">
                  <c:v>40817</c:v>
                </c:pt>
                <c:pt idx="142">
                  <c:v>40848</c:v>
                </c:pt>
                <c:pt idx="143">
                  <c:v>40878</c:v>
                </c:pt>
                <c:pt idx="144">
                  <c:v>40909</c:v>
                </c:pt>
                <c:pt idx="145">
                  <c:v>40940</c:v>
                </c:pt>
                <c:pt idx="146">
                  <c:v>40969</c:v>
                </c:pt>
                <c:pt idx="147">
                  <c:v>41000</c:v>
                </c:pt>
                <c:pt idx="148">
                  <c:v>41030</c:v>
                </c:pt>
                <c:pt idx="149">
                  <c:v>41061</c:v>
                </c:pt>
                <c:pt idx="150">
                  <c:v>41091</c:v>
                </c:pt>
                <c:pt idx="151">
                  <c:v>41122</c:v>
                </c:pt>
                <c:pt idx="152">
                  <c:v>41153</c:v>
                </c:pt>
                <c:pt idx="153">
                  <c:v>41183</c:v>
                </c:pt>
                <c:pt idx="154">
                  <c:v>41214</c:v>
                </c:pt>
                <c:pt idx="155">
                  <c:v>41244</c:v>
                </c:pt>
                <c:pt idx="156">
                  <c:v>41275</c:v>
                </c:pt>
                <c:pt idx="157">
                  <c:v>41306</c:v>
                </c:pt>
                <c:pt idx="158">
                  <c:v>41334</c:v>
                </c:pt>
                <c:pt idx="159">
                  <c:v>41365</c:v>
                </c:pt>
                <c:pt idx="160">
                  <c:v>41395</c:v>
                </c:pt>
                <c:pt idx="161">
                  <c:v>41426</c:v>
                </c:pt>
                <c:pt idx="162">
                  <c:v>41456</c:v>
                </c:pt>
                <c:pt idx="163">
                  <c:v>41487</c:v>
                </c:pt>
                <c:pt idx="164">
                  <c:v>41518</c:v>
                </c:pt>
                <c:pt idx="165">
                  <c:v>41548</c:v>
                </c:pt>
                <c:pt idx="166">
                  <c:v>41579</c:v>
                </c:pt>
                <c:pt idx="167">
                  <c:v>41609</c:v>
                </c:pt>
                <c:pt idx="168">
                  <c:v>41640</c:v>
                </c:pt>
                <c:pt idx="169">
                  <c:v>41671</c:v>
                </c:pt>
                <c:pt idx="170">
                  <c:v>41699</c:v>
                </c:pt>
                <c:pt idx="171">
                  <c:v>41730</c:v>
                </c:pt>
                <c:pt idx="172">
                  <c:v>41760</c:v>
                </c:pt>
                <c:pt idx="173">
                  <c:v>41791</c:v>
                </c:pt>
                <c:pt idx="174">
                  <c:v>41821</c:v>
                </c:pt>
                <c:pt idx="175">
                  <c:v>41852</c:v>
                </c:pt>
                <c:pt idx="176">
                  <c:v>41883</c:v>
                </c:pt>
                <c:pt idx="177">
                  <c:v>41913</c:v>
                </c:pt>
                <c:pt idx="178">
                  <c:v>41944</c:v>
                </c:pt>
                <c:pt idx="179">
                  <c:v>41974</c:v>
                </c:pt>
                <c:pt idx="180">
                  <c:v>42005</c:v>
                </c:pt>
                <c:pt idx="181">
                  <c:v>42036</c:v>
                </c:pt>
                <c:pt idx="182">
                  <c:v>42064</c:v>
                </c:pt>
                <c:pt idx="183">
                  <c:v>42095</c:v>
                </c:pt>
                <c:pt idx="184">
                  <c:v>42125</c:v>
                </c:pt>
                <c:pt idx="185">
                  <c:v>42156</c:v>
                </c:pt>
                <c:pt idx="186">
                  <c:v>42186</c:v>
                </c:pt>
                <c:pt idx="187">
                  <c:v>42217</c:v>
                </c:pt>
                <c:pt idx="188">
                  <c:v>42248</c:v>
                </c:pt>
                <c:pt idx="189">
                  <c:v>42278</c:v>
                </c:pt>
                <c:pt idx="190">
                  <c:v>42309</c:v>
                </c:pt>
                <c:pt idx="191">
                  <c:v>42339</c:v>
                </c:pt>
                <c:pt idx="192">
                  <c:v>42370</c:v>
                </c:pt>
                <c:pt idx="193">
                  <c:v>42401</c:v>
                </c:pt>
                <c:pt idx="194">
                  <c:v>42430</c:v>
                </c:pt>
                <c:pt idx="195">
                  <c:v>42461</c:v>
                </c:pt>
                <c:pt idx="196">
                  <c:v>42491</c:v>
                </c:pt>
                <c:pt idx="197">
                  <c:v>42522</c:v>
                </c:pt>
                <c:pt idx="198">
                  <c:v>42552</c:v>
                </c:pt>
                <c:pt idx="199">
                  <c:v>42583</c:v>
                </c:pt>
                <c:pt idx="200">
                  <c:v>42614</c:v>
                </c:pt>
                <c:pt idx="201">
                  <c:v>42644</c:v>
                </c:pt>
                <c:pt idx="202">
                  <c:v>42675</c:v>
                </c:pt>
                <c:pt idx="203">
                  <c:v>42705</c:v>
                </c:pt>
                <c:pt idx="204">
                  <c:v>42736</c:v>
                </c:pt>
                <c:pt idx="205">
                  <c:v>42767</c:v>
                </c:pt>
                <c:pt idx="206">
                  <c:v>42795</c:v>
                </c:pt>
                <c:pt idx="207">
                  <c:v>42826</c:v>
                </c:pt>
                <c:pt idx="208">
                  <c:v>42856</c:v>
                </c:pt>
                <c:pt idx="209">
                  <c:v>42887</c:v>
                </c:pt>
                <c:pt idx="210">
                  <c:v>42917</c:v>
                </c:pt>
                <c:pt idx="211">
                  <c:v>42948</c:v>
                </c:pt>
                <c:pt idx="212">
                  <c:v>42979</c:v>
                </c:pt>
                <c:pt idx="213">
                  <c:v>43009</c:v>
                </c:pt>
                <c:pt idx="214">
                  <c:v>43040</c:v>
                </c:pt>
                <c:pt idx="215">
                  <c:v>43070</c:v>
                </c:pt>
                <c:pt idx="216">
                  <c:v>43101</c:v>
                </c:pt>
                <c:pt idx="217">
                  <c:v>43132</c:v>
                </c:pt>
                <c:pt idx="218">
                  <c:v>43160</c:v>
                </c:pt>
                <c:pt idx="219">
                  <c:v>43191</c:v>
                </c:pt>
                <c:pt idx="220">
                  <c:v>43221</c:v>
                </c:pt>
                <c:pt idx="221">
                  <c:v>43252</c:v>
                </c:pt>
                <c:pt idx="222">
                  <c:v>43282</c:v>
                </c:pt>
                <c:pt idx="223">
                  <c:v>43313</c:v>
                </c:pt>
                <c:pt idx="224">
                  <c:v>43344</c:v>
                </c:pt>
                <c:pt idx="225">
                  <c:v>43374</c:v>
                </c:pt>
                <c:pt idx="226">
                  <c:v>43405</c:v>
                </c:pt>
                <c:pt idx="227">
                  <c:v>43435</c:v>
                </c:pt>
                <c:pt idx="228">
                  <c:v>43466</c:v>
                </c:pt>
                <c:pt idx="229">
                  <c:v>43497</c:v>
                </c:pt>
                <c:pt idx="230">
                  <c:v>43525</c:v>
                </c:pt>
                <c:pt idx="231">
                  <c:v>43556</c:v>
                </c:pt>
                <c:pt idx="232">
                  <c:v>43586</c:v>
                </c:pt>
                <c:pt idx="233">
                  <c:v>43617</c:v>
                </c:pt>
                <c:pt idx="234">
                  <c:v>43647</c:v>
                </c:pt>
                <c:pt idx="235">
                  <c:v>43678</c:v>
                </c:pt>
                <c:pt idx="236">
                  <c:v>43709</c:v>
                </c:pt>
                <c:pt idx="237">
                  <c:v>43739</c:v>
                </c:pt>
                <c:pt idx="238">
                  <c:v>43770</c:v>
                </c:pt>
                <c:pt idx="239">
                  <c:v>43800</c:v>
                </c:pt>
                <c:pt idx="240">
                  <c:v>43831</c:v>
                </c:pt>
                <c:pt idx="241">
                  <c:v>43862</c:v>
                </c:pt>
                <c:pt idx="242">
                  <c:v>43891</c:v>
                </c:pt>
                <c:pt idx="243">
                  <c:v>43922</c:v>
                </c:pt>
                <c:pt idx="244">
                  <c:v>43952</c:v>
                </c:pt>
                <c:pt idx="245">
                  <c:v>43983</c:v>
                </c:pt>
                <c:pt idx="246">
                  <c:v>44013</c:v>
                </c:pt>
                <c:pt idx="247">
                  <c:v>44044</c:v>
                </c:pt>
                <c:pt idx="248">
                  <c:v>44075</c:v>
                </c:pt>
                <c:pt idx="249">
                  <c:v>44105</c:v>
                </c:pt>
                <c:pt idx="250">
                  <c:v>44136</c:v>
                </c:pt>
                <c:pt idx="251">
                  <c:v>44166</c:v>
                </c:pt>
                <c:pt idx="252">
                  <c:v>44197</c:v>
                </c:pt>
                <c:pt idx="253">
                  <c:v>44228</c:v>
                </c:pt>
                <c:pt idx="254">
                  <c:v>44256</c:v>
                </c:pt>
                <c:pt idx="255">
                  <c:v>44287</c:v>
                </c:pt>
                <c:pt idx="256">
                  <c:v>44317</c:v>
                </c:pt>
                <c:pt idx="257">
                  <c:v>44348</c:v>
                </c:pt>
                <c:pt idx="258">
                  <c:v>44378</c:v>
                </c:pt>
                <c:pt idx="259">
                  <c:v>44409</c:v>
                </c:pt>
                <c:pt idx="260">
                  <c:v>44440</c:v>
                </c:pt>
                <c:pt idx="261">
                  <c:v>44470</c:v>
                </c:pt>
                <c:pt idx="262">
                  <c:v>44501</c:v>
                </c:pt>
                <c:pt idx="263">
                  <c:v>44531</c:v>
                </c:pt>
              </c:numCache>
            </c:numRef>
          </c:cat>
          <c:val>
            <c:numRef>
              <c:f>'Core CPI'!$D$401:$D$902</c:f>
              <c:numCache>
                <c:formatCode>0.00%</c:formatCode>
                <c:ptCount val="502"/>
                <c:pt idx="0">
                  <c:v>2.1070615034168662E-2</c:v>
                </c:pt>
                <c:pt idx="1">
                  <c:v>2.1640091116173186E-2</c:v>
                </c:pt>
                <c:pt idx="2">
                  <c:v>2.4473534433693864E-2</c:v>
                </c:pt>
                <c:pt idx="3">
                  <c:v>2.2688598979013045E-2</c:v>
                </c:pt>
                <c:pt idx="4">
                  <c:v>2.3796033994334213E-2</c:v>
                </c:pt>
                <c:pt idx="5">
                  <c:v>2.5481313703284259E-2</c:v>
                </c:pt>
                <c:pt idx="6">
                  <c:v>2.4844720496894443E-2</c:v>
                </c:pt>
                <c:pt idx="7">
                  <c:v>2.5944726452340632E-2</c:v>
                </c:pt>
                <c:pt idx="8">
                  <c:v>2.5309336332958378E-2</c:v>
                </c:pt>
                <c:pt idx="9">
                  <c:v>2.5266704098820886E-2</c:v>
                </c:pt>
                <c:pt idx="10">
                  <c:v>2.6345291479820562E-2</c:v>
                </c:pt>
                <c:pt idx="11">
                  <c:v>2.5741466144376179E-2</c:v>
                </c:pt>
                <c:pt idx="12">
                  <c:v>2.5655326268823168E-2</c:v>
                </c:pt>
                <c:pt idx="13">
                  <c:v>2.7870680044593088E-2</c:v>
                </c:pt>
                <c:pt idx="14">
                  <c:v>2.6111111111111047E-2</c:v>
                </c:pt>
                <c:pt idx="15">
                  <c:v>2.6622296173044829E-2</c:v>
                </c:pt>
                <c:pt idx="16">
                  <c:v>2.5456557830658678E-2</c:v>
                </c:pt>
                <c:pt idx="17">
                  <c:v>2.7056874654886834E-2</c:v>
                </c:pt>
                <c:pt idx="18">
                  <c:v>2.6997245179063392E-2</c:v>
                </c:pt>
                <c:pt idx="19">
                  <c:v>2.6388125343595286E-2</c:v>
                </c:pt>
                <c:pt idx="20">
                  <c:v>2.6330224904004294E-2</c:v>
                </c:pt>
                <c:pt idx="21">
                  <c:v>2.6286966046002253E-2</c:v>
                </c:pt>
                <c:pt idx="22">
                  <c:v>2.7307482250136537E-2</c:v>
                </c:pt>
                <c:pt idx="23">
                  <c:v>2.7823240589198002E-2</c:v>
                </c:pt>
                <c:pt idx="24">
                  <c:v>2.6101141924959124E-2</c:v>
                </c:pt>
                <c:pt idx="25">
                  <c:v>2.5488069414316642E-2</c:v>
                </c:pt>
                <c:pt idx="26">
                  <c:v>2.4363833243096916E-2</c:v>
                </c:pt>
                <c:pt idx="27">
                  <c:v>2.4851431658562909E-2</c:v>
                </c:pt>
                <c:pt idx="28">
                  <c:v>2.5364274150026921E-2</c:v>
                </c:pt>
                <c:pt idx="29">
                  <c:v>2.2580645161290262E-2</c:v>
                </c:pt>
                <c:pt idx="30">
                  <c:v>2.1995708154506407E-2</c:v>
                </c:pt>
                <c:pt idx="31">
                  <c:v>2.3567220139260877E-2</c:v>
                </c:pt>
                <c:pt idx="32">
                  <c:v>2.2447888829503031E-2</c:v>
                </c:pt>
                <c:pt idx="33">
                  <c:v>2.1878335112059735E-2</c:v>
                </c:pt>
                <c:pt idx="34">
                  <c:v>2.0202020202020263E-2</c:v>
                </c:pt>
                <c:pt idx="35">
                  <c:v>1.9639065817409707E-2</c:v>
                </c:pt>
                <c:pt idx="36">
                  <c:v>1.9607843137254992E-2</c:v>
                </c:pt>
                <c:pt idx="37">
                  <c:v>1.797990481226867E-2</c:v>
                </c:pt>
                <c:pt idx="38">
                  <c:v>1.7441860465116341E-2</c:v>
                </c:pt>
                <c:pt idx="39">
                  <c:v>1.4760147601476075E-2</c:v>
                </c:pt>
                <c:pt idx="40">
                  <c:v>1.5263157894736873E-2</c:v>
                </c:pt>
                <c:pt idx="41">
                  <c:v>1.4721345951629924E-2</c:v>
                </c:pt>
                <c:pt idx="42">
                  <c:v>1.5223097112860922E-2</c:v>
                </c:pt>
                <c:pt idx="43">
                  <c:v>1.3082155939298797E-2</c:v>
                </c:pt>
                <c:pt idx="44">
                  <c:v>1.2545739675901606E-2</c:v>
                </c:pt>
                <c:pt idx="45">
                  <c:v>1.3054830287206266E-2</c:v>
                </c:pt>
                <c:pt idx="46">
                  <c:v>1.0943199583116176E-2</c:v>
                </c:pt>
                <c:pt idx="47">
                  <c:v>1.0931806350858898E-2</c:v>
                </c:pt>
                <c:pt idx="48">
                  <c:v>1.1434511434511374E-2</c:v>
                </c:pt>
                <c:pt idx="49">
                  <c:v>1.2467532467532497E-2</c:v>
                </c:pt>
                <c:pt idx="50">
                  <c:v>1.5584415584415584E-2</c:v>
                </c:pt>
                <c:pt idx="51">
                  <c:v>1.7662337662337692E-2</c:v>
                </c:pt>
                <c:pt idx="52">
                  <c:v>1.7107309486780627E-2</c:v>
                </c:pt>
                <c:pt idx="53">
                  <c:v>1.8652849740932613E-2</c:v>
                </c:pt>
                <c:pt idx="54">
                  <c:v>1.7580144777662905E-2</c:v>
                </c:pt>
                <c:pt idx="55">
                  <c:v>1.7045454545454603E-2</c:v>
                </c:pt>
                <c:pt idx="56">
                  <c:v>1.9617965926690819E-2</c:v>
                </c:pt>
                <c:pt idx="57">
                  <c:v>2.0103092783505184E-2</c:v>
                </c:pt>
                <c:pt idx="58">
                  <c:v>2.2164948453608307E-2</c:v>
                </c:pt>
                <c:pt idx="59">
                  <c:v>2.2657054582904252E-2</c:v>
                </c:pt>
                <c:pt idx="60">
                  <c:v>2.2610483042137749E-2</c:v>
                </c:pt>
                <c:pt idx="61">
                  <c:v>2.3088763468445357E-2</c:v>
                </c:pt>
                <c:pt idx="62">
                  <c:v>2.3529411764705854E-2</c:v>
                </c:pt>
                <c:pt idx="63">
                  <c:v>2.1949974476773777E-2</c:v>
                </c:pt>
                <c:pt idx="64">
                  <c:v>2.1916411824668764E-2</c:v>
                </c:pt>
                <c:pt idx="65">
                  <c:v>2.0345879959308241E-2</c:v>
                </c:pt>
                <c:pt idx="66">
                  <c:v>2.0833333333333304E-2</c:v>
                </c:pt>
                <c:pt idx="67">
                  <c:v>2.1330624682579933E-2</c:v>
                </c:pt>
                <c:pt idx="68">
                  <c:v>1.924050632911398E-2</c:v>
                </c:pt>
                <c:pt idx="69">
                  <c:v>2.0717534108135392E-2</c:v>
                </c:pt>
                <c:pt idx="70">
                  <c:v>2.1180030257186021E-2</c:v>
                </c:pt>
                <c:pt idx="71">
                  <c:v>2.1148036253776523E-2</c:v>
                </c:pt>
                <c:pt idx="72">
                  <c:v>2.1105527638190898E-2</c:v>
                </c:pt>
                <c:pt idx="73">
                  <c:v>2.1063189568706061E-2</c:v>
                </c:pt>
                <c:pt idx="74">
                  <c:v>2.0989505247376399E-2</c:v>
                </c:pt>
                <c:pt idx="75">
                  <c:v>2.2977022977023091E-2</c:v>
                </c:pt>
                <c:pt idx="76">
                  <c:v>2.4438902743142171E-2</c:v>
                </c:pt>
                <c:pt idx="77">
                  <c:v>2.6420737786640138E-2</c:v>
                </c:pt>
                <c:pt idx="78">
                  <c:v>2.6879044300647116E-2</c:v>
                </c:pt>
                <c:pt idx="79">
                  <c:v>2.8344107409249215E-2</c:v>
                </c:pt>
                <c:pt idx="80">
                  <c:v>2.9309488325881653E-2</c:v>
                </c:pt>
                <c:pt idx="81">
                  <c:v>2.7722772277227695E-2</c:v>
                </c:pt>
                <c:pt idx="82">
                  <c:v>2.6172839506172895E-2</c:v>
                </c:pt>
                <c:pt idx="83">
                  <c:v>2.6134122287968357E-2</c:v>
                </c:pt>
                <c:pt idx="84">
                  <c:v>2.6574803149606328E-2</c:v>
                </c:pt>
                <c:pt idx="85">
                  <c:v>2.7185658153241633E-2</c:v>
                </c:pt>
                <c:pt idx="86">
                  <c:v>2.5051395007342117E-2</c:v>
                </c:pt>
                <c:pt idx="87">
                  <c:v>2.4155273437500013E-2</c:v>
                </c:pt>
                <c:pt idx="88">
                  <c:v>2.2677702044790589E-2</c:v>
                </c:pt>
                <c:pt idx="89">
                  <c:v>2.1816415735794025E-2</c:v>
                </c:pt>
                <c:pt idx="90">
                  <c:v>2.168201648085305E-2</c:v>
                </c:pt>
                <c:pt idx="91">
                  <c:v>2.0884912959380986E-2</c:v>
                </c:pt>
                <c:pt idx="92">
                  <c:v>2.101351351351358E-2</c:v>
                </c:pt>
                <c:pt idx="93">
                  <c:v>2.1565510597302523E-2</c:v>
                </c:pt>
                <c:pt idx="94">
                  <c:v>2.3387872954764122E-2</c:v>
                </c:pt>
                <c:pt idx="95">
                  <c:v>2.435367611725138E-2</c:v>
                </c:pt>
                <c:pt idx="96">
                  <c:v>2.4789069990412235E-2</c:v>
                </c:pt>
                <c:pt idx="97">
                  <c:v>2.2970808329547912E-2</c:v>
                </c:pt>
                <c:pt idx="98">
                  <c:v>2.3885243866334227E-2</c:v>
                </c:pt>
                <c:pt idx="99">
                  <c:v>2.2946692920518472E-2</c:v>
                </c:pt>
                <c:pt idx="100">
                  <c:v>2.3222157689780986E-2</c:v>
                </c:pt>
                <c:pt idx="101">
                  <c:v>2.3917259211376909E-2</c:v>
                </c:pt>
                <c:pt idx="102">
                  <c:v>2.4633136122748204E-2</c:v>
                </c:pt>
                <c:pt idx="103">
                  <c:v>2.4981171756213325E-2</c:v>
                </c:pt>
                <c:pt idx="104">
                  <c:v>2.4386208722122917E-2</c:v>
                </c:pt>
                <c:pt idx="105">
                  <c:v>2.2213629955157858E-2</c:v>
                </c:pt>
                <c:pt idx="106">
                  <c:v>2.0158939151697575E-2</c:v>
                </c:pt>
                <c:pt idx="107">
                  <c:v>1.7624596562335833E-2</c:v>
                </c:pt>
                <c:pt idx="108">
                  <c:v>1.6723503187990967E-2</c:v>
                </c:pt>
                <c:pt idx="109">
                  <c:v>1.8009806533638133E-2</c:v>
                </c:pt>
                <c:pt idx="110">
                  <c:v>1.7876130957933022E-2</c:v>
                </c:pt>
                <c:pt idx="111">
                  <c:v>1.9323266219239309E-2</c:v>
                </c:pt>
                <c:pt idx="112">
                  <c:v>1.8461309413034529E-2</c:v>
                </c:pt>
                <c:pt idx="113">
                  <c:v>1.7119726678550152E-2</c:v>
                </c:pt>
                <c:pt idx="114">
                  <c:v>1.5270992984974426E-2</c:v>
                </c:pt>
                <c:pt idx="115">
                  <c:v>1.4339650543224636E-2</c:v>
                </c:pt>
                <c:pt idx="116">
                  <c:v>1.4798373886199692E-2</c:v>
                </c:pt>
                <c:pt idx="117">
                  <c:v>1.7127331771131214E-2</c:v>
                </c:pt>
                <c:pt idx="118">
                  <c:v>1.7142435710104285E-2</c:v>
                </c:pt>
                <c:pt idx="119">
                  <c:v>1.8236717759594276E-2</c:v>
                </c:pt>
                <c:pt idx="120">
                  <c:v>1.5123351706495662E-2</c:v>
                </c:pt>
                <c:pt idx="121">
                  <c:v>1.3494526888039933E-2</c:v>
                </c:pt>
                <c:pt idx="122">
                  <c:v>1.1592051426555425E-2</c:v>
                </c:pt>
                <c:pt idx="123">
                  <c:v>9.6750889321738504E-3</c:v>
                </c:pt>
                <c:pt idx="124">
                  <c:v>9.4013814274750244E-3</c:v>
                </c:pt>
                <c:pt idx="125">
                  <c:v>9.5019898499397286E-3</c:v>
                </c:pt>
                <c:pt idx="126">
                  <c:v>9.5775393021166107E-3</c:v>
                </c:pt>
                <c:pt idx="127">
                  <c:v>9.1710099500673208E-3</c:v>
                </c:pt>
                <c:pt idx="128">
                  <c:v>8.1438704983631555E-3</c:v>
                </c:pt>
                <c:pt idx="129">
                  <c:v>6.027183550188016E-3</c:v>
                </c:pt>
                <c:pt idx="130">
                  <c:v>6.7205641104656089E-3</c:v>
                </c:pt>
                <c:pt idx="131">
                  <c:v>6.61894866466554E-3</c:v>
                </c:pt>
                <c:pt idx="132">
                  <c:v>9.8353374155270845E-3</c:v>
                </c:pt>
                <c:pt idx="133">
                  <c:v>1.1244455921460962E-2</c:v>
                </c:pt>
                <c:pt idx="134">
                  <c:v>1.2097851736773305E-2</c:v>
                </c:pt>
                <c:pt idx="135">
                  <c:v>1.3155392125784574E-2</c:v>
                </c:pt>
                <c:pt idx="136">
                  <c:v>1.4540961794335779E-2</c:v>
                </c:pt>
                <c:pt idx="137">
                  <c:v>1.5836776766096794E-2</c:v>
                </c:pt>
                <c:pt idx="138">
                  <c:v>1.7414834457429605E-2</c:v>
                </c:pt>
                <c:pt idx="139">
                  <c:v>1.9651571719433561E-2</c:v>
                </c:pt>
                <c:pt idx="140">
                  <c:v>1.9877227562006314E-2</c:v>
                </c:pt>
                <c:pt idx="141">
                  <c:v>2.1079204796465707E-2</c:v>
                </c:pt>
                <c:pt idx="142">
                  <c:v>2.1382045383954013E-2</c:v>
                </c:pt>
                <c:pt idx="143">
                  <c:v>2.2766626338585033E-2</c:v>
                </c:pt>
                <c:pt idx="144">
                  <c:v>2.2773481506083906E-2</c:v>
                </c:pt>
                <c:pt idx="145">
                  <c:v>2.1598204405657368E-2</c:v>
                </c:pt>
                <c:pt idx="146">
                  <c:v>2.2483374654291267E-2</c:v>
                </c:pt>
                <c:pt idx="147">
                  <c:v>2.3144278518015246E-2</c:v>
                </c:pt>
                <c:pt idx="148">
                  <c:v>2.2522582803613151E-2</c:v>
                </c:pt>
                <c:pt idx="149">
                  <c:v>2.192285611289865E-2</c:v>
                </c:pt>
                <c:pt idx="150">
                  <c:v>2.1099556873784554E-2</c:v>
                </c:pt>
                <c:pt idx="151">
                  <c:v>1.9352524993137443E-2</c:v>
                </c:pt>
                <c:pt idx="152">
                  <c:v>2.0082434834909194E-2</c:v>
                </c:pt>
                <c:pt idx="153">
                  <c:v>1.994649148366931E-2</c:v>
                </c:pt>
                <c:pt idx="154">
                  <c:v>1.9528512686261341E-2</c:v>
                </c:pt>
                <c:pt idx="155">
                  <c:v>1.8996943778720753E-2</c:v>
                </c:pt>
                <c:pt idx="156">
                  <c:v>1.909802217863147E-2</c:v>
                </c:pt>
                <c:pt idx="157">
                  <c:v>1.9887385214485544E-2</c:v>
                </c:pt>
                <c:pt idx="158">
                  <c:v>1.8890221377988264E-2</c:v>
                </c:pt>
                <c:pt idx="159">
                  <c:v>1.7155588562940926E-2</c:v>
                </c:pt>
                <c:pt idx="160">
                  <c:v>1.6455519491850853E-2</c:v>
                </c:pt>
                <c:pt idx="161">
                  <c:v>1.6230952474273065E-2</c:v>
                </c:pt>
                <c:pt idx="162">
                  <c:v>1.7002217680567016E-2</c:v>
                </c:pt>
                <c:pt idx="163">
                  <c:v>1.7821076909044352E-2</c:v>
                </c:pt>
                <c:pt idx="164">
                  <c:v>1.7519368418314467E-2</c:v>
                </c:pt>
                <c:pt idx="165">
                  <c:v>1.6868377311448125E-2</c:v>
                </c:pt>
                <c:pt idx="166">
                  <c:v>1.7416677473738797E-2</c:v>
                </c:pt>
                <c:pt idx="167">
                  <c:v>1.7408566188369799E-2</c:v>
                </c:pt>
                <c:pt idx="168">
                  <c:v>1.6070344358370396E-2</c:v>
                </c:pt>
                <c:pt idx="169">
                  <c:v>1.55480739049487E-2</c:v>
                </c:pt>
                <c:pt idx="170">
                  <c:v>1.6456609706435685E-2</c:v>
                </c:pt>
                <c:pt idx="171">
                  <c:v>1.8210555250137477E-2</c:v>
                </c:pt>
                <c:pt idx="172">
                  <c:v>1.945526961836249E-2</c:v>
                </c:pt>
                <c:pt idx="173">
                  <c:v>1.9228626526676645E-2</c:v>
                </c:pt>
                <c:pt idx="174">
                  <c:v>1.8449632290063273E-2</c:v>
                </c:pt>
                <c:pt idx="175">
                  <c:v>1.7363956028949832E-2</c:v>
                </c:pt>
                <c:pt idx="176">
                  <c:v>1.740945888368135E-2</c:v>
                </c:pt>
                <c:pt idx="177">
                  <c:v>1.8176323104362787E-2</c:v>
                </c:pt>
                <c:pt idx="178">
                  <c:v>1.7415947552462365E-2</c:v>
                </c:pt>
                <c:pt idx="179">
                  <c:v>1.6224195046636681E-2</c:v>
                </c:pt>
                <c:pt idx="180">
                  <c:v>1.6316255652417112E-2</c:v>
                </c:pt>
                <c:pt idx="181">
                  <c:v>1.6880834938713275E-2</c:v>
                </c:pt>
                <c:pt idx="182">
                  <c:v>1.7453777073428402E-2</c:v>
                </c:pt>
                <c:pt idx="183">
                  <c:v>1.8028278328946483E-2</c:v>
                </c:pt>
                <c:pt idx="184">
                  <c:v>1.7509440952473136E-2</c:v>
                </c:pt>
                <c:pt idx="185">
                  <c:v>1.7772676244654971E-2</c:v>
                </c:pt>
                <c:pt idx="186">
                  <c:v>1.8346312894897059E-2</c:v>
                </c:pt>
                <c:pt idx="187">
                  <c:v>1.8506323273421305E-2</c:v>
                </c:pt>
                <c:pt idx="188">
                  <c:v>1.8970961446650982E-2</c:v>
                </c:pt>
                <c:pt idx="189">
                  <c:v>1.9135335359608003E-2</c:v>
                </c:pt>
                <c:pt idx="190">
                  <c:v>1.9974275238246436E-2</c:v>
                </c:pt>
                <c:pt idx="191">
                  <c:v>2.0715072792840898E-2</c:v>
                </c:pt>
                <c:pt idx="192">
                  <c:v>2.1450225385824691E-2</c:v>
                </c:pt>
                <c:pt idx="193">
                  <c:v>2.2225738220941635E-2</c:v>
                </c:pt>
                <c:pt idx="194">
                  <c:v>2.1424269485576689E-2</c:v>
                </c:pt>
                <c:pt idx="195">
                  <c:v>2.1566547612141839E-2</c:v>
                </c:pt>
                <c:pt idx="196">
                  <c:v>2.2545595974976053E-2</c:v>
                </c:pt>
                <c:pt idx="197">
                  <c:v>2.2622116465067087E-2</c:v>
                </c:pt>
                <c:pt idx="198">
                  <c:v>2.1701399624842868E-2</c:v>
                </c:pt>
                <c:pt idx="199">
                  <c:v>2.3087345614186794E-2</c:v>
                </c:pt>
                <c:pt idx="200">
                  <c:v>2.2711206825691735E-2</c:v>
                </c:pt>
                <c:pt idx="201">
                  <c:v>2.2045551507991184E-2</c:v>
                </c:pt>
                <c:pt idx="202">
                  <c:v>2.1454219398053483E-2</c:v>
                </c:pt>
                <c:pt idx="203">
                  <c:v>2.1971236613002779E-2</c:v>
                </c:pt>
                <c:pt idx="204">
                  <c:v>2.2481680308628019E-2</c:v>
                </c:pt>
                <c:pt idx="205">
                  <c:v>2.1966518675410374E-2</c:v>
                </c:pt>
                <c:pt idx="206">
                  <c:v>2.0019275109489948E-2</c:v>
                </c:pt>
                <c:pt idx="207">
                  <c:v>1.9067049008116059E-2</c:v>
                </c:pt>
                <c:pt idx="208">
                  <c:v>1.7605619555145523E-2</c:v>
                </c:pt>
                <c:pt idx="209">
                  <c:v>1.7298214429991157E-2</c:v>
                </c:pt>
                <c:pt idx="210">
                  <c:v>1.7019799942702384E-2</c:v>
                </c:pt>
                <c:pt idx="211">
                  <c:v>1.680198693357703E-2</c:v>
                </c:pt>
                <c:pt idx="212">
                  <c:v>1.6866123885839104E-2</c:v>
                </c:pt>
                <c:pt idx="213">
                  <c:v>1.7632514790761899E-2</c:v>
                </c:pt>
                <c:pt idx="214">
                  <c:v>1.7087473595183623E-2</c:v>
                </c:pt>
                <c:pt idx="215">
                  <c:v>1.7557618437900151E-2</c:v>
                </c:pt>
                <c:pt idx="216">
                  <c:v>1.8146465332066406E-2</c:v>
                </c:pt>
                <c:pt idx="217">
                  <c:v>1.8210224668497456E-2</c:v>
                </c:pt>
                <c:pt idx="218">
                  <c:v>2.105359677239314E-2</c:v>
                </c:pt>
                <c:pt idx="219">
                  <c:v>2.1508286501201967E-2</c:v>
                </c:pt>
                <c:pt idx="220">
                  <c:v>2.2541831021758423E-2</c:v>
                </c:pt>
                <c:pt idx="221">
                  <c:v>2.2682688565732894E-2</c:v>
                </c:pt>
                <c:pt idx="222">
                  <c:v>2.3340884834971293E-2</c:v>
                </c:pt>
                <c:pt idx="223">
                  <c:v>2.1706512745598622E-2</c:v>
                </c:pt>
                <c:pt idx="224">
                  <c:v>2.171602006014885E-2</c:v>
                </c:pt>
                <c:pt idx="225">
                  <c:v>2.1511822825250871E-2</c:v>
                </c:pt>
                <c:pt idx="226">
                  <c:v>2.2349296929188554E-2</c:v>
                </c:pt>
                <c:pt idx="227">
                  <c:v>2.1882913632288399E-2</c:v>
                </c:pt>
                <c:pt idx="228">
                  <c:v>2.1222946821067568E-2</c:v>
                </c:pt>
                <c:pt idx="229">
                  <c:v>2.0550197281893796E-2</c:v>
                </c:pt>
                <c:pt idx="230">
                  <c:v>2.0389119035440755E-2</c:v>
                </c:pt>
                <c:pt idx="231">
                  <c:v>2.1016457826818796E-2</c:v>
                </c:pt>
                <c:pt idx="232">
                  <c:v>2.0326104286486592E-2</c:v>
                </c:pt>
                <c:pt idx="233">
                  <c:v>2.1678690968959542E-2</c:v>
                </c:pt>
                <c:pt idx="234">
                  <c:v>2.2044740821152941E-2</c:v>
                </c:pt>
                <c:pt idx="235">
                  <c:v>2.3523713577185471E-2</c:v>
                </c:pt>
                <c:pt idx="236">
                  <c:v>2.3474668708951308E-2</c:v>
                </c:pt>
                <c:pt idx="237">
                  <c:v>2.3309870303372095E-2</c:v>
                </c:pt>
                <c:pt idx="238">
                  <c:v>2.3175221170711024E-2</c:v>
                </c:pt>
                <c:pt idx="239">
                  <c:v>2.2233937346319243E-2</c:v>
                </c:pt>
                <c:pt idx="240">
                  <c:v>2.260587745133804E-2</c:v>
                </c:pt>
                <c:pt idx="241">
                  <c:v>2.3603685151233868E-2</c:v>
                </c:pt>
                <c:pt idx="242">
                  <c:v>2.0972759519245099E-2</c:v>
                </c:pt>
                <c:pt idx="243">
                  <c:v>1.4447624499141391E-2</c:v>
                </c:pt>
                <c:pt idx="244">
                  <c:v>1.2397859625586871E-2</c:v>
                </c:pt>
                <c:pt idx="245">
                  <c:v>1.202886928628695E-2</c:v>
                </c:pt>
                <c:pt idx="246">
                  <c:v>1.5575685846079126E-2</c:v>
                </c:pt>
                <c:pt idx="247">
                  <c:v>1.7047067775628279E-2</c:v>
                </c:pt>
                <c:pt idx="248">
                  <c:v>1.7203130727920561E-2</c:v>
                </c:pt>
                <c:pt idx="249">
                  <c:v>1.6315380377774302E-2</c:v>
                </c:pt>
                <c:pt idx="250">
                  <c:v>1.6546922505999751E-2</c:v>
                </c:pt>
                <c:pt idx="251">
                  <c:v>1.614524319501898E-2</c:v>
                </c:pt>
                <c:pt idx="252">
                  <c:v>1.396513784894067E-2</c:v>
                </c:pt>
                <c:pt idx="253">
                  <c:v>1.2826181447563671E-2</c:v>
                </c:pt>
                <c:pt idx="254">
                  <c:v>1.6468030882242732E-2</c:v>
                </c:pt>
                <c:pt idx="255">
                  <c:v>2.9582148392241742E-2</c:v>
                </c:pt>
                <c:pt idx="256">
                  <c:v>3.7950285540041553E-2</c:v>
                </c:pt>
                <c:pt idx="257">
                  <c:v>4.4531737030666756E-2</c:v>
                </c:pt>
                <c:pt idx="258">
                  <c:v>4.2327488962431159E-2</c:v>
                </c:pt>
                <c:pt idx="259">
                  <c:v>3.9768624327201629E-2</c:v>
                </c:pt>
                <c:pt idx="260">
                  <c:v>4.0355928739945472E-2</c:v>
                </c:pt>
                <c:pt idx="261">
                  <c:v>4.5832559866344789E-2</c:v>
                </c:pt>
                <c:pt idx="262">
                  <c:v>4.9596210793161358E-2</c:v>
                </c:pt>
                <c:pt idx="263">
                  <c:v>5.4897384603986132E-2</c:v>
                </c:pt>
              </c:numCache>
            </c:numRef>
          </c:val>
          <c:smooth val="0"/>
          <c:extLst>
            <c:ext xmlns:c16="http://schemas.microsoft.com/office/drawing/2014/chart" uri="{C3380CC4-5D6E-409C-BE32-E72D297353CC}">
              <c16:uniqueId val="{00000000-6AEE-5041-9ED4-E248C92837D5}"/>
            </c:ext>
          </c:extLst>
        </c:ser>
        <c:dLbls>
          <c:showLegendKey val="0"/>
          <c:showVal val="0"/>
          <c:showCatName val="0"/>
          <c:showSerName val="0"/>
          <c:showPercent val="0"/>
          <c:showBubbleSize val="0"/>
        </c:dLbls>
        <c:smooth val="0"/>
        <c:axId val="441892151"/>
        <c:axId val="441886247"/>
      </c:lineChart>
      <c:dateAx>
        <c:axId val="441892151"/>
        <c:scaling>
          <c:orientation val="minMax"/>
        </c:scaling>
        <c:delete val="0"/>
        <c:axPos val="b"/>
        <c:numFmt formatCode="[$-409]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1886247"/>
        <c:crosses val="autoZero"/>
        <c:auto val="0"/>
        <c:lblOffset val="100"/>
        <c:baseTimeUnit val="months"/>
      </c:dateAx>
      <c:valAx>
        <c:axId val="441886247"/>
        <c:scaling>
          <c:orientation val="minMax"/>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1892151"/>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strike="noStrike" kern="1200" spc="0" baseline="0">
                <a:solidFill>
                  <a:schemeClr val="tx1">
                    <a:lumMod val="65000"/>
                    <a:lumOff val="35000"/>
                  </a:schemeClr>
                </a:solidFill>
                <a:latin typeface="+mn-lt"/>
                <a:ea typeface="+mn-ea"/>
                <a:cs typeface="+mn-cs"/>
              </a:defRPr>
            </a:pPr>
            <a:r>
              <a:rPr lang="en-US" b="1"/>
              <a:t>Core CPI y/y % since 2014</a:t>
            </a:r>
          </a:p>
        </c:rich>
      </c:tx>
      <c:overlay val="0"/>
      <c:spPr>
        <a:noFill/>
        <a:ln>
          <a:noFill/>
          <a:prstDash val="solid"/>
        </a:ln>
      </c:spPr>
    </c:title>
    <c:autoTitleDeleted val="0"/>
    <c:plotArea>
      <c:layout/>
      <c:lineChart>
        <c:grouping val="standard"/>
        <c:varyColors val="0"/>
        <c:ser>
          <c:idx val="2"/>
          <c:order val="0"/>
          <c:tx>
            <c:strRef>
              <c:f>'Core CPI'!$D$569</c:f>
              <c:strCache>
                <c:ptCount val="1"/>
                <c:pt idx="0">
                  <c:v>1.61%</c:v>
                </c:pt>
              </c:strCache>
            </c:strRef>
          </c:tx>
          <c:spPr>
            <a:ln w="28575" cap="rnd">
              <a:solidFill>
                <a:srgbClr val="0070C0"/>
              </a:solidFill>
              <a:prstDash val="solid"/>
              <a:round/>
            </a:ln>
          </c:spPr>
          <c:marker>
            <c:symbol val="none"/>
          </c:marker>
          <c:cat>
            <c:numRef>
              <c:f>'Core CPI'!$A$569:$A$902</c:f>
              <c:numCache>
                <c:formatCode>[$-409]mmm\-yy;@</c:formatCode>
                <c:ptCount val="334"/>
                <c:pt idx="0">
                  <c:v>41640</c:v>
                </c:pt>
                <c:pt idx="1">
                  <c:v>41671</c:v>
                </c:pt>
                <c:pt idx="2">
                  <c:v>41699</c:v>
                </c:pt>
                <c:pt idx="3">
                  <c:v>41730</c:v>
                </c:pt>
                <c:pt idx="4">
                  <c:v>41760</c:v>
                </c:pt>
                <c:pt idx="5">
                  <c:v>41791</c:v>
                </c:pt>
                <c:pt idx="6">
                  <c:v>41821</c:v>
                </c:pt>
                <c:pt idx="7">
                  <c:v>41852</c:v>
                </c:pt>
                <c:pt idx="8">
                  <c:v>41883</c:v>
                </c:pt>
                <c:pt idx="9">
                  <c:v>41913</c:v>
                </c:pt>
                <c:pt idx="10">
                  <c:v>41944</c:v>
                </c:pt>
                <c:pt idx="11">
                  <c:v>41974</c:v>
                </c:pt>
                <c:pt idx="12">
                  <c:v>42005</c:v>
                </c:pt>
                <c:pt idx="13">
                  <c:v>42036</c:v>
                </c:pt>
                <c:pt idx="14">
                  <c:v>42064</c:v>
                </c:pt>
                <c:pt idx="15">
                  <c:v>42095</c:v>
                </c:pt>
                <c:pt idx="16">
                  <c:v>42125</c:v>
                </c:pt>
                <c:pt idx="17">
                  <c:v>42156</c:v>
                </c:pt>
                <c:pt idx="18">
                  <c:v>42186</c:v>
                </c:pt>
                <c:pt idx="19">
                  <c:v>42217</c:v>
                </c:pt>
                <c:pt idx="20">
                  <c:v>42248</c:v>
                </c:pt>
                <c:pt idx="21">
                  <c:v>42278</c:v>
                </c:pt>
                <c:pt idx="22">
                  <c:v>42309</c:v>
                </c:pt>
                <c:pt idx="23">
                  <c:v>42339</c:v>
                </c:pt>
                <c:pt idx="24">
                  <c:v>42370</c:v>
                </c:pt>
                <c:pt idx="25">
                  <c:v>42401</c:v>
                </c:pt>
                <c:pt idx="26">
                  <c:v>42430</c:v>
                </c:pt>
                <c:pt idx="27">
                  <c:v>42461</c:v>
                </c:pt>
                <c:pt idx="28">
                  <c:v>42491</c:v>
                </c:pt>
                <c:pt idx="29">
                  <c:v>42522</c:v>
                </c:pt>
                <c:pt idx="30">
                  <c:v>42552</c:v>
                </c:pt>
                <c:pt idx="31">
                  <c:v>42583</c:v>
                </c:pt>
                <c:pt idx="32">
                  <c:v>42614</c:v>
                </c:pt>
                <c:pt idx="33">
                  <c:v>42644</c:v>
                </c:pt>
                <c:pt idx="34">
                  <c:v>42675</c:v>
                </c:pt>
                <c:pt idx="35">
                  <c:v>42705</c:v>
                </c:pt>
                <c:pt idx="36">
                  <c:v>42736</c:v>
                </c:pt>
                <c:pt idx="37">
                  <c:v>42767</c:v>
                </c:pt>
                <c:pt idx="38">
                  <c:v>42795</c:v>
                </c:pt>
                <c:pt idx="39">
                  <c:v>42826</c:v>
                </c:pt>
                <c:pt idx="40">
                  <c:v>42856</c:v>
                </c:pt>
                <c:pt idx="41">
                  <c:v>42887</c:v>
                </c:pt>
                <c:pt idx="42">
                  <c:v>42917</c:v>
                </c:pt>
                <c:pt idx="43">
                  <c:v>42948</c:v>
                </c:pt>
                <c:pt idx="44">
                  <c:v>42979</c:v>
                </c:pt>
                <c:pt idx="45">
                  <c:v>43009</c:v>
                </c:pt>
                <c:pt idx="46">
                  <c:v>43040</c:v>
                </c:pt>
                <c:pt idx="47">
                  <c:v>43070</c:v>
                </c:pt>
                <c:pt idx="48">
                  <c:v>43101</c:v>
                </c:pt>
                <c:pt idx="49">
                  <c:v>43132</c:v>
                </c:pt>
                <c:pt idx="50">
                  <c:v>43160</c:v>
                </c:pt>
                <c:pt idx="51">
                  <c:v>43191</c:v>
                </c:pt>
                <c:pt idx="52">
                  <c:v>43221</c:v>
                </c:pt>
                <c:pt idx="53">
                  <c:v>43252</c:v>
                </c:pt>
                <c:pt idx="54">
                  <c:v>43282</c:v>
                </c:pt>
                <c:pt idx="55">
                  <c:v>43313</c:v>
                </c:pt>
                <c:pt idx="56">
                  <c:v>43344</c:v>
                </c:pt>
                <c:pt idx="57">
                  <c:v>43374</c:v>
                </c:pt>
                <c:pt idx="58">
                  <c:v>43405</c:v>
                </c:pt>
                <c:pt idx="59">
                  <c:v>43435</c:v>
                </c:pt>
                <c:pt idx="60">
                  <c:v>43466</c:v>
                </c:pt>
                <c:pt idx="61">
                  <c:v>43497</c:v>
                </c:pt>
                <c:pt idx="62">
                  <c:v>43525</c:v>
                </c:pt>
                <c:pt idx="63">
                  <c:v>43556</c:v>
                </c:pt>
                <c:pt idx="64">
                  <c:v>43586</c:v>
                </c:pt>
                <c:pt idx="65">
                  <c:v>43617</c:v>
                </c:pt>
                <c:pt idx="66">
                  <c:v>43647</c:v>
                </c:pt>
                <c:pt idx="67">
                  <c:v>43678</c:v>
                </c:pt>
                <c:pt idx="68">
                  <c:v>43709</c:v>
                </c:pt>
                <c:pt idx="69">
                  <c:v>43739</c:v>
                </c:pt>
                <c:pt idx="70">
                  <c:v>43770</c:v>
                </c:pt>
                <c:pt idx="71">
                  <c:v>43800</c:v>
                </c:pt>
                <c:pt idx="72">
                  <c:v>43831</c:v>
                </c:pt>
                <c:pt idx="73">
                  <c:v>43862</c:v>
                </c:pt>
                <c:pt idx="74">
                  <c:v>43891</c:v>
                </c:pt>
                <c:pt idx="75">
                  <c:v>43922</c:v>
                </c:pt>
                <c:pt idx="76">
                  <c:v>43952</c:v>
                </c:pt>
                <c:pt idx="77">
                  <c:v>43983</c:v>
                </c:pt>
                <c:pt idx="78">
                  <c:v>44013</c:v>
                </c:pt>
                <c:pt idx="79">
                  <c:v>44044</c:v>
                </c:pt>
                <c:pt idx="80">
                  <c:v>44075</c:v>
                </c:pt>
                <c:pt idx="81">
                  <c:v>44105</c:v>
                </c:pt>
                <c:pt idx="82">
                  <c:v>44136</c:v>
                </c:pt>
                <c:pt idx="83">
                  <c:v>44166</c:v>
                </c:pt>
                <c:pt idx="84">
                  <c:v>44197</c:v>
                </c:pt>
                <c:pt idx="85">
                  <c:v>44228</c:v>
                </c:pt>
                <c:pt idx="86">
                  <c:v>44256</c:v>
                </c:pt>
                <c:pt idx="87">
                  <c:v>44287</c:v>
                </c:pt>
                <c:pt idx="88">
                  <c:v>44317</c:v>
                </c:pt>
                <c:pt idx="89">
                  <c:v>44348</c:v>
                </c:pt>
                <c:pt idx="90">
                  <c:v>44378</c:v>
                </c:pt>
                <c:pt idx="91">
                  <c:v>44409</c:v>
                </c:pt>
                <c:pt idx="92">
                  <c:v>44440</c:v>
                </c:pt>
                <c:pt idx="93">
                  <c:v>44470</c:v>
                </c:pt>
                <c:pt idx="94">
                  <c:v>44501</c:v>
                </c:pt>
                <c:pt idx="95">
                  <c:v>44531</c:v>
                </c:pt>
              </c:numCache>
            </c:numRef>
          </c:cat>
          <c:val>
            <c:numRef>
              <c:f>'Core CPI'!$D$569:$D$902</c:f>
              <c:numCache>
                <c:formatCode>0.00%</c:formatCode>
                <c:ptCount val="334"/>
                <c:pt idx="0">
                  <c:v>1.6070344358370396E-2</c:v>
                </c:pt>
                <c:pt idx="1">
                  <c:v>1.55480739049487E-2</c:v>
                </c:pt>
                <c:pt idx="2">
                  <c:v>1.6456609706435685E-2</c:v>
                </c:pt>
                <c:pt idx="3">
                  <c:v>1.8210555250137477E-2</c:v>
                </c:pt>
                <c:pt idx="4">
                  <c:v>1.945526961836249E-2</c:v>
                </c:pt>
                <c:pt idx="5">
                  <c:v>1.9228626526676645E-2</c:v>
                </c:pt>
                <c:pt idx="6">
                  <c:v>1.8449632290063273E-2</c:v>
                </c:pt>
                <c:pt idx="7">
                  <c:v>1.7363956028949832E-2</c:v>
                </c:pt>
                <c:pt idx="8">
                  <c:v>1.740945888368135E-2</c:v>
                </c:pt>
                <c:pt idx="9">
                  <c:v>1.8176323104362787E-2</c:v>
                </c:pt>
                <c:pt idx="10">
                  <c:v>1.7415947552462365E-2</c:v>
                </c:pt>
                <c:pt idx="11">
                  <c:v>1.6224195046636681E-2</c:v>
                </c:pt>
                <c:pt idx="12">
                  <c:v>1.6316255652417112E-2</c:v>
                </c:pt>
                <c:pt idx="13">
                  <c:v>1.6880834938713275E-2</c:v>
                </c:pt>
                <c:pt idx="14">
                  <c:v>1.7453777073428402E-2</c:v>
                </c:pt>
                <c:pt idx="15">
                  <c:v>1.8028278328946483E-2</c:v>
                </c:pt>
                <c:pt idx="16">
                  <c:v>1.7509440952473136E-2</c:v>
                </c:pt>
                <c:pt idx="17">
                  <c:v>1.7772676244654971E-2</c:v>
                </c:pt>
                <c:pt idx="18">
                  <c:v>1.8346312894897059E-2</c:v>
                </c:pt>
                <c:pt idx="19">
                  <c:v>1.8506323273421305E-2</c:v>
                </c:pt>
                <c:pt idx="20">
                  <c:v>1.8970961446650982E-2</c:v>
                </c:pt>
                <c:pt idx="21">
                  <c:v>1.9135335359608003E-2</c:v>
                </c:pt>
                <c:pt idx="22">
                  <c:v>1.9974275238246436E-2</c:v>
                </c:pt>
                <c:pt idx="23">
                  <c:v>2.0715072792840898E-2</c:v>
                </c:pt>
                <c:pt idx="24">
                  <c:v>2.1450225385824691E-2</c:v>
                </c:pt>
                <c:pt idx="25">
                  <c:v>2.2225738220941635E-2</c:v>
                </c:pt>
                <c:pt idx="26">
                  <c:v>2.1424269485576689E-2</c:v>
                </c:pt>
                <c:pt idx="27">
                  <c:v>2.1566547612141839E-2</c:v>
                </c:pt>
                <c:pt idx="28">
                  <c:v>2.2545595974976053E-2</c:v>
                </c:pt>
                <c:pt idx="29">
                  <c:v>2.2622116465067087E-2</c:v>
                </c:pt>
                <c:pt idx="30">
                  <c:v>2.1701399624842868E-2</c:v>
                </c:pt>
                <c:pt idx="31">
                  <c:v>2.3087345614186794E-2</c:v>
                </c:pt>
                <c:pt idx="32">
                  <c:v>2.2711206825691735E-2</c:v>
                </c:pt>
                <c:pt idx="33">
                  <c:v>2.2045551507991184E-2</c:v>
                </c:pt>
                <c:pt idx="34">
                  <c:v>2.1454219398053483E-2</c:v>
                </c:pt>
                <c:pt idx="35">
                  <c:v>2.1971236613002779E-2</c:v>
                </c:pt>
                <c:pt idx="36">
                  <c:v>2.2481680308628019E-2</c:v>
                </c:pt>
                <c:pt idx="37">
                  <c:v>2.1966518675410374E-2</c:v>
                </c:pt>
                <c:pt idx="38">
                  <c:v>2.0019275109489948E-2</c:v>
                </c:pt>
                <c:pt idx="39">
                  <c:v>1.9067049008116059E-2</c:v>
                </c:pt>
                <c:pt idx="40">
                  <c:v>1.7605619555145523E-2</c:v>
                </c:pt>
                <c:pt idx="41">
                  <c:v>1.7298214429991157E-2</c:v>
                </c:pt>
                <c:pt idx="42">
                  <c:v>1.7019799942702384E-2</c:v>
                </c:pt>
                <c:pt idx="43">
                  <c:v>1.680198693357703E-2</c:v>
                </c:pt>
                <c:pt idx="44">
                  <c:v>1.6866123885839104E-2</c:v>
                </c:pt>
                <c:pt idx="45">
                  <c:v>1.7632514790761899E-2</c:v>
                </c:pt>
                <c:pt idx="46">
                  <c:v>1.7087473595183623E-2</c:v>
                </c:pt>
                <c:pt idx="47">
                  <c:v>1.7557618437900151E-2</c:v>
                </c:pt>
                <c:pt idx="48">
                  <c:v>1.8146465332066406E-2</c:v>
                </c:pt>
                <c:pt idx="49">
                  <c:v>1.8210224668497456E-2</c:v>
                </c:pt>
                <c:pt idx="50">
                  <c:v>2.105359677239314E-2</c:v>
                </c:pt>
                <c:pt idx="51">
                  <c:v>2.1508286501201967E-2</c:v>
                </c:pt>
                <c:pt idx="52">
                  <c:v>2.2541831021758423E-2</c:v>
                </c:pt>
                <c:pt idx="53">
                  <c:v>2.2682688565732894E-2</c:v>
                </c:pt>
                <c:pt idx="54">
                  <c:v>2.3340884834971293E-2</c:v>
                </c:pt>
                <c:pt idx="55">
                  <c:v>2.1706512745598622E-2</c:v>
                </c:pt>
                <c:pt idx="56">
                  <c:v>2.171602006014885E-2</c:v>
                </c:pt>
                <c:pt idx="57">
                  <c:v>2.1511822825250871E-2</c:v>
                </c:pt>
                <c:pt idx="58">
                  <c:v>2.2349296929188554E-2</c:v>
                </c:pt>
                <c:pt idx="59">
                  <c:v>2.1882913632288399E-2</c:v>
                </c:pt>
                <c:pt idx="60">
                  <c:v>2.1222946821067568E-2</c:v>
                </c:pt>
                <c:pt idx="61">
                  <c:v>2.0550197281893796E-2</c:v>
                </c:pt>
                <c:pt idx="62">
                  <c:v>2.0389119035440755E-2</c:v>
                </c:pt>
                <c:pt idx="63">
                  <c:v>2.1016457826818796E-2</c:v>
                </c:pt>
                <c:pt idx="64">
                  <c:v>2.0326104286486592E-2</c:v>
                </c:pt>
                <c:pt idx="65">
                  <c:v>2.1678690968959542E-2</c:v>
                </c:pt>
                <c:pt idx="66">
                  <c:v>2.2044740821152941E-2</c:v>
                </c:pt>
                <c:pt idx="67">
                  <c:v>2.3523713577185471E-2</c:v>
                </c:pt>
                <c:pt idx="68">
                  <c:v>2.3474668708951308E-2</c:v>
                </c:pt>
                <c:pt idx="69">
                  <c:v>2.3309870303372095E-2</c:v>
                </c:pt>
                <c:pt idx="70">
                  <c:v>2.3175221170711024E-2</c:v>
                </c:pt>
                <c:pt idx="71">
                  <c:v>2.2233937346319243E-2</c:v>
                </c:pt>
                <c:pt idx="72">
                  <c:v>2.260587745133804E-2</c:v>
                </c:pt>
                <c:pt idx="73">
                  <c:v>2.3603685151233868E-2</c:v>
                </c:pt>
                <c:pt idx="74">
                  <c:v>2.0972759519245099E-2</c:v>
                </c:pt>
                <c:pt idx="75">
                  <c:v>1.4447624499141391E-2</c:v>
                </c:pt>
                <c:pt idx="76">
                  <c:v>1.2397859625586871E-2</c:v>
                </c:pt>
                <c:pt idx="77">
                  <c:v>1.202886928628695E-2</c:v>
                </c:pt>
                <c:pt idx="78">
                  <c:v>1.5575685846079126E-2</c:v>
                </c:pt>
                <c:pt idx="79">
                  <c:v>1.7047067775628279E-2</c:v>
                </c:pt>
                <c:pt idx="80">
                  <c:v>1.7203130727920561E-2</c:v>
                </c:pt>
                <c:pt idx="81">
                  <c:v>1.6315380377774302E-2</c:v>
                </c:pt>
                <c:pt idx="82">
                  <c:v>1.6546922505999751E-2</c:v>
                </c:pt>
                <c:pt idx="83">
                  <c:v>1.614524319501898E-2</c:v>
                </c:pt>
                <c:pt idx="84">
                  <c:v>1.396513784894067E-2</c:v>
                </c:pt>
                <c:pt idx="85">
                  <c:v>1.2826181447563671E-2</c:v>
                </c:pt>
                <c:pt idx="86">
                  <c:v>1.6468030882242732E-2</c:v>
                </c:pt>
                <c:pt idx="87">
                  <c:v>2.9582148392241742E-2</c:v>
                </c:pt>
                <c:pt idx="88">
                  <c:v>3.7950285540041553E-2</c:v>
                </c:pt>
                <c:pt idx="89">
                  <c:v>4.4531737030666756E-2</c:v>
                </c:pt>
                <c:pt idx="90">
                  <c:v>4.2327488962431159E-2</c:v>
                </c:pt>
                <c:pt idx="91">
                  <c:v>3.9768624327201629E-2</c:v>
                </c:pt>
                <c:pt idx="92">
                  <c:v>4.0355928739945472E-2</c:v>
                </c:pt>
                <c:pt idx="93">
                  <c:v>4.5832559866344789E-2</c:v>
                </c:pt>
                <c:pt idx="94">
                  <c:v>4.9596210793161358E-2</c:v>
                </c:pt>
                <c:pt idx="95">
                  <c:v>5.4897384603986132E-2</c:v>
                </c:pt>
              </c:numCache>
            </c:numRef>
          </c:val>
          <c:smooth val="0"/>
          <c:extLst>
            <c:ext xmlns:c16="http://schemas.microsoft.com/office/drawing/2014/chart" uri="{C3380CC4-5D6E-409C-BE32-E72D297353CC}">
              <c16:uniqueId val="{00000000-3B42-A74A-8FAF-FC168BF28C14}"/>
            </c:ext>
          </c:extLst>
        </c:ser>
        <c:dLbls>
          <c:showLegendKey val="0"/>
          <c:showVal val="0"/>
          <c:showCatName val="0"/>
          <c:showSerName val="0"/>
          <c:showPercent val="0"/>
          <c:showBubbleSize val="0"/>
        </c:dLbls>
        <c:smooth val="0"/>
        <c:axId val="441892151"/>
        <c:axId val="441886247"/>
      </c:lineChart>
      <c:dateAx>
        <c:axId val="441892151"/>
        <c:scaling>
          <c:orientation val="minMax"/>
        </c:scaling>
        <c:delete val="0"/>
        <c:axPos val="b"/>
        <c:numFmt formatCode="[$-409]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1886247"/>
        <c:crosses val="autoZero"/>
        <c:auto val="0"/>
        <c:lblOffset val="100"/>
        <c:baseTimeUnit val="months"/>
      </c:dateAx>
      <c:valAx>
        <c:axId val="441886247"/>
        <c:scaling>
          <c:orientation val="minMax"/>
          <c:min val="0.01"/>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1892151"/>
        <c:crosses val="autoZero"/>
        <c:crossBetween val="between"/>
      </c:valAx>
    </c:plotArea>
    <c:plotVisOnly val="1"/>
    <c:dispBlanksAs val="gap"/>
    <c:showDLblsOverMax val="0"/>
  </c:chart>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Table5[[#Headers],[All Items Less Food &amp; Energy m/m %]]</c:f>
          <c:strCache>
            <c:ptCount val="1"/>
            <c:pt idx="0">
              <c:v>All Items Less Food &amp; Energy m/m %</c:v>
            </c:pt>
          </c:strCache>
        </c:strRef>
      </c:tx>
      <c:overlay val="0"/>
      <c:spPr>
        <a:noFill/>
        <a:ln>
          <a:noFill/>
          <a:prstDash val="solid"/>
        </a:ln>
      </c:spPr>
    </c:title>
    <c:autoTitleDeleted val="0"/>
    <c:plotArea>
      <c:layout/>
      <c:lineChart>
        <c:grouping val="standard"/>
        <c:varyColors val="0"/>
        <c:ser>
          <c:idx val="1"/>
          <c:order val="0"/>
          <c:tx>
            <c:v>Core CPI m/m %</c:v>
          </c:tx>
          <c:spPr>
            <a:ln w="28575" cap="rnd">
              <a:solidFill>
                <a:schemeClr val="accent2"/>
              </a:solidFill>
              <a:prstDash val="solid"/>
              <a:round/>
            </a:ln>
          </c:spPr>
          <c:marker>
            <c:symbol val="none"/>
          </c:marker>
          <c:cat>
            <c:numRef>
              <c:f>'Core CPI'!$A$449:$A$666</c:f>
              <c:numCache>
                <c:formatCode>[$-409]mmm\-yy;@</c:formatCode>
                <c:ptCount val="218"/>
                <c:pt idx="0">
                  <c:v>37987</c:v>
                </c:pt>
                <c:pt idx="1">
                  <c:v>38018</c:v>
                </c:pt>
                <c:pt idx="2">
                  <c:v>38047</c:v>
                </c:pt>
                <c:pt idx="3">
                  <c:v>38078</c:v>
                </c:pt>
                <c:pt idx="4">
                  <c:v>38108</c:v>
                </c:pt>
                <c:pt idx="5">
                  <c:v>38139</c:v>
                </c:pt>
                <c:pt idx="6">
                  <c:v>38169</c:v>
                </c:pt>
                <c:pt idx="7">
                  <c:v>38200</c:v>
                </c:pt>
                <c:pt idx="8">
                  <c:v>38231</c:v>
                </c:pt>
                <c:pt idx="9">
                  <c:v>38261</c:v>
                </c:pt>
                <c:pt idx="10">
                  <c:v>38292</c:v>
                </c:pt>
                <c:pt idx="11">
                  <c:v>38322</c:v>
                </c:pt>
                <c:pt idx="12">
                  <c:v>38353</c:v>
                </c:pt>
                <c:pt idx="13">
                  <c:v>38384</c:v>
                </c:pt>
                <c:pt idx="14">
                  <c:v>38412</c:v>
                </c:pt>
                <c:pt idx="15">
                  <c:v>38443</c:v>
                </c:pt>
                <c:pt idx="16">
                  <c:v>38473</c:v>
                </c:pt>
                <c:pt idx="17">
                  <c:v>38504</c:v>
                </c:pt>
                <c:pt idx="18">
                  <c:v>38534</c:v>
                </c:pt>
                <c:pt idx="19">
                  <c:v>38565</c:v>
                </c:pt>
                <c:pt idx="20">
                  <c:v>38596</c:v>
                </c:pt>
                <c:pt idx="21">
                  <c:v>38626</c:v>
                </c:pt>
                <c:pt idx="22">
                  <c:v>38657</c:v>
                </c:pt>
                <c:pt idx="23">
                  <c:v>38687</c:v>
                </c:pt>
                <c:pt idx="24">
                  <c:v>38718</c:v>
                </c:pt>
                <c:pt idx="25">
                  <c:v>38749</c:v>
                </c:pt>
                <c:pt idx="26">
                  <c:v>38777</c:v>
                </c:pt>
                <c:pt idx="27">
                  <c:v>38808</c:v>
                </c:pt>
                <c:pt idx="28">
                  <c:v>38838</c:v>
                </c:pt>
                <c:pt idx="29">
                  <c:v>38869</c:v>
                </c:pt>
                <c:pt idx="30">
                  <c:v>38899</c:v>
                </c:pt>
                <c:pt idx="31">
                  <c:v>38930</c:v>
                </c:pt>
                <c:pt idx="32">
                  <c:v>38961</c:v>
                </c:pt>
                <c:pt idx="33">
                  <c:v>38991</c:v>
                </c:pt>
                <c:pt idx="34">
                  <c:v>39022</c:v>
                </c:pt>
                <c:pt idx="35">
                  <c:v>39052</c:v>
                </c:pt>
                <c:pt idx="36">
                  <c:v>39083</c:v>
                </c:pt>
                <c:pt idx="37">
                  <c:v>39114</c:v>
                </c:pt>
                <c:pt idx="38">
                  <c:v>39142</c:v>
                </c:pt>
                <c:pt idx="39">
                  <c:v>39173</c:v>
                </c:pt>
                <c:pt idx="40">
                  <c:v>39203</c:v>
                </c:pt>
                <c:pt idx="41">
                  <c:v>39234</c:v>
                </c:pt>
                <c:pt idx="42">
                  <c:v>39264</c:v>
                </c:pt>
                <c:pt idx="43">
                  <c:v>39295</c:v>
                </c:pt>
                <c:pt idx="44">
                  <c:v>39326</c:v>
                </c:pt>
                <c:pt idx="45">
                  <c:v>39356</c:v>
                </c:pt>
                <c:pt idx="46">
                  <c:v>39387</c:v>
                </c:pt>
                <c:pt idx="47">
                  <c:v>39417</c:v>
                </c:pt>
                <c:pt idx="48">
                  <c:v>39448</c:v>
                </c:pt>
                <c:pt idx="49">
                  <c:v>39479</c:v>
                </c:pt>
                <c:pt idx="50">
                  <c:v>39508</c:v>
                </c:pt>
                <c:pt idx="51">
                  <c:v>39539</c:v>
                </c:pt>
                <c:pt idx="52">
                  <c:v>39569</c:v>
                </c:pt>
                <c:pt idx="53">
                  <c:v>39600</c:v>
                </c:pt>
                <c:pt idx="54">
                  <c:v>39630</c:v>
                </c:pt>
                <c:pt idx="55">
                  <c:v>39661</c:v>
                </c:pt>
                <c:pt idx="56">
                  <c:v>39692</c:v>
                </c:pt>
                <c:pt idx="57">
                  <c:v>39722</c:v>
                </c:pt>
                <c:pt idx="58">
                  <c:v>39753</c:v>
                </c:pt>
                <c:pt idx="59">
                  <c:v>39783</c:v>
                </c:pt>
                <c:pt idx="60">
                  <c:v>39814</c:v>
                </c:pt>
                <c:pt idx="61">
                  <c:v>39845</c:v>
                </c:pt>
                <c:pt idx="62">
                  <c:v>39873</c:v>
                </c:pt>
                <c:pt idx="63">
                  <c:v>39904</c:v>
                </c:pt>
                <c:pt idx="64">
                  <c:v>39934</c:v>
                </c:pt>
                <c:pt idx="65">
                  <c:v>39965</c:v>
                </c:pt>
                <c:pt idx="66">
                  <c:v>39995</c:v>
                </c:pt>
                <c:pt idx="67">
                  <c:v>40026</c:v>
                </c:pt>
                <c:pt idx="68">
                  <c:v>40057</c:v>
                </c:pt>
                <c:pt idx="69">
                  <c:v>40087</c:v>
                </c:pt>
                <c:pt idx="70">
                  <c:v>40118</c:v>
                </c:pt>
                <c:pt idx="71">
                  <c:v>40148</c:v>
                </c:pt>
                <c:pt idx="72">
                  <c:v>40179</c:v>
                </c:pt>
                <c:pt idx="73">
                  <c:v>40210</c:v>
                </c:pt>
                <c:pt idx="74">
                  <c:v>40238</c:v>
                </c:pt>
                <c:pt idx="75">
                  <c:v>40269</c:v>
                </c:pt>
                <c:pt idx="76">
                  <c:v>40299</c:v>
                </c:pt>
                <c:pt idx="77">
                  <c:v>40330</c:v>
                </c:pt>
                <c:pt idx="78">
                  <c:v>40360</c:v>
                </c:pt>
                <c:pt idx="79">
                  <c:v>40391</c:v>
                </c:pt>
                <c:pt idx="80">
                  <c:v>40422</c:v>
                </c:pt>
                <c:pt idx="81">
                  <c:v>40452</c:v>
                </c:pt>
                <c:pt idx="82">
                  <c:v>40483</c:v>
                </c:pt>
                <c:pt idx="83">
                  <c:v>40513</c:v>
                </c:pt>
                <c:pt idx="84">
                  <c:v>40544</c:v>
                </c:pt>
                <c:pt idx="85">
                  <c:v>40575</c:v>
                </c:pt>
                <c:pt idx="86">
                  <c:v>40603</c:v>
                </c:pt>
                <c:pt idx="87">
                  <c:v>40634</c:v>
                </c:pt>
                <c:pt idx="88">
                  <c:v>40664</c:v>
                </c:pt>
                <c:pt idx="89">
                  <c:v>40695</c:v>
                </c:pt>
                <c:pt idx="90">
                  <c:v>40725</c:v>
                </c:pt>
                <c:pt idx="91">
                  <c:v>40756</c:v>
                </c:pt>
                <c:pt idx="92">
                  <c:v>40787</c:v>
                </c:pt>
                <c:pt idx="93">
                  <c:v>40817</c:v>
                </c:pt>
                <c:pt idx="94">
                  <c:v>40848</c:v>
                </c:pt>
                <c:pt idx="95">
                  <c:v>40878</c:v>
                </c:pt>
                <c:pt idx="96">
                  <c:v>40909</c:v>
                </c:pt>
                <c:pt idx="97">
                  <c:v>40940</c:v>
                </c:pt>
                <c:pt idx="98">
                  <c:v>40969</c:v>
                </c:pt>
                <c:pt idx="99">
                  <c:v>41000</c:v>
                </c:pt>
                <c:pt idx="100">
                  <c:v>41030</c:v>
                </c:pt>
                <c:pt idx="101">
                  <c:v>41061</c:v>
                </c:pt>
                <c:pt idx="102">
                  <c:v>41091</c:v>
                </c:pt>
                <c:pt idx="103">
                  <c:v>41122</c:v>
                </c:pt>
                <c:pt idx="104">
                  <c:v>41153</c:v>
                </c:pt>
                <c:pt idx="105">
                  <c:v>41183</c:v>
                </c:pt>
                <c:pt idx="106">
                  <c:v>41214</c:v>
                </c:pt>
                <c:pt idx="107">
                  <c:v>41244</c:v>
                </c:pt>
                <c:pt idx="108">
                  <c:v>41275</c:v>
                </c:pt>
                <c:pt idx="109">
                  <c:v>41306</c:v>
                </c:pt>
                <c:pt idx="110">
                  <c:v>41334</c:v>
                </c:pt>
                <c:pt idx="111">
                  <c:v>41365</c:v>
                </c:pt>
                <c:pt idx="112">
                  <c:v>41395</c:v>
                </c:pt>
                <c:pt idx="113">
                  <c:v>41426</c:v>
                </c:pt>
                <c:pt idx="114">
                  <c:v>41456</c:v>
                </c:pt>
                <c:pt idx="115">
                  <c:v>41487</c:v>
                </c:pt>
                <c:pt idx="116">
                  <c:v>41518</c:v>
                </c:pt>
                <c:pt idx="117">
                  <c:v>41548</c:v>
                </c:pt>
                <c:pt idx="118">
                  <c:v>41579</c:v>
                </c:pt>
                <c:pt idx="119">
                  <c:v>41609</c:v>
                </c:pt>
                <c:pt idx="120">
                  <c:v>41640</c:v>
                </c:pt>
                <c:pt idx="121">
                  <c:v>41671</c:v>
                </c:pt>
                <c:pt idx="122">
                  <c:v>41699</c:v>
                </c:pt>
                <c:pt idx="123">
                  <c:v>41730</c:v>
                </c:pt>
                <c:pt idx="124">
                  <c:v>41760</c:v>
                </c:pt>
                <c:pt idx="125">
                  <c:v>41791</c:v>
                </c:pt>
                <c:pt idx="126">
                  <c:v>41821</c:v>
                </c:pt>
                <c:pt idx="127">
                  <c:v>41852</c:v>
                </c:pt>
                <c:pt idx="128">
                  <c:v>41883</c:v>
                </c:pt>
                <c:pt idx="129">
                  <c:v>41913</c:v>
                </c:pt>
                <c:pt idx="130">
                  <c:v>41944</c:v>
                </c:pt>
                <c:pt idx="131">
                  <c:v>41974</c:v>
                </c:pt>
                <c:pt idx="132">
                  <c:v>42005</c:v>
                </c:pt>
                <c:pt idx="133">
                  <c:v>42036</c:v>
                </c:pt>
                <c:pt idx="134">
                  <c:v>42064</c:v>
                </c:pt>
                <c:pt idx="135">
                  <c:v>42095</c:v>
                </c:pt>
                <c:pt idx="136">
                  <c:v>42125</c:v>
                </c:pt>
                <c:pt idx="137">
                  <c:v>42156</c:v>
                </c:pt>
                <c:pt idx="138">
                  <c:v>42186</c:v>
                </c:pt>
                <c:pt idx="139">
                  <c:v>42217</c:v>
                </c:pt>
                <c:pt idx="140">
                  <c:v>42248</c:v>
                </c:pt>
                <c:pt idx="141">
                  <c:v>42278</c:v>
                </c:pt>
                <c:pt idx="142">
                  <c:v>42309</c:v>
                </c:pt>
                <c:pt idx="143">
                  <c:v>42339</c:v>
                </c:pt>
                <c:pt idx="144">
                  <c:v>42370</c:v>
                </c:pt>
                <c:pt idx="145">
                  <c:v>42401</c:v>
                </c:pt>
                <c:pt idx="146">
                  <c:v>42430</c:v>
                </c:pt>
                <c:pt idx="147">
                  <c:v>42461</c:v>
                </c:pt>
                <c:pt idx="148">
                  <c:v>42491</c:v>
                </c:pt>
                <c:pt idx="149">
                  <c:v>42522</c:v>
                </c:pt>
                <c:pt idx="150">
                  <c:v>42552</c:v>
                </c:pt>
                <c:pt idx="151">
                  <c:v>42583</c:v>
                </c:pt>
                <c:pt idx="152">
                  <c:v>42614</c:v>
                </c:pt>
                <c:pt idx="153">
                  <c:v>42644</c:v>
                </c:pt>
                <c:pt idx="154">
                  <c:v>42675</c:v>
                </c:pt>
                <c:pt idx="155">
                  <c:v>42705</c:v>
                </c:pt>
                <c:pt idx="156">
                  <c:v>42736</c:v>
                </c:pt>
                <c:pt idx="157">
                  <c:v>42767</c:v>
                </c:pt>
                <c:pt idx="158">
                  <c:v>42795</c:v>
                </c:pt>
                <c:pt idx="159">
                  <c:v>42826</c:v>
                </c:pt>
                <c:pt idx="160">
                  <c:v>42856</c:v>
                </c:pt>
                <c:pt idx="161">
                  <c:v>42887</c:v>
                </c:pt>
                <c:pt idx="162">
                  <c:v>42917</c:v>
                </c:pt>
                <c:pt idx="163">
                  <c:v>42948</c:v>
                </c:pt>
                <c:pt idx="164">
                  <c:v>42979</c:v>
                </c:pt>
                <c:pt idx="165">
                  <c:v>43009</c:v>
                </c:pt>
                <c:pt idx="166">
                  <c:v>43040</c:v>
                </c:pt>
                <c:pt idx="167">
                  <c:v>43070</c:v>
                </c:pt>
                <c:pt idx="168">
                  <c:v>43101</c:v>
                </c:pt>
                <c:pt idx="169">
                  <c:v>43132</c:v>
                </c:pt>
                <c:pt idx="170">
                  <c:v>43160</c:v>
                </c:pt>
                <c:pt idx="171">
                  <c:v>43191</c:v>
                </c:pt>
                <c:pt idx="172">
                  <c:v>43221</c:v>
                </c:pt>
                <c:pt idx="173">
                  <c:v>43252</c:v>
                </c:pt>
                <c:pt idx="174">
                  <c:v>43282</c:v>
                </c:pt>
                <c:pt idx="175">
                  <c:v>43313</c:v>
                </c:pt>
                <c:pt idx="176">
                  <c:v>43344</c:v>
                </c:pt>
                <c:pt idx="177">
                  <c:v>43374</c:v>
                </c:pt>
                <c:pt idx="178">
                  <c:v>43405</c:v>
                </c:pt>
                <c:pt idx="179">
                  <c:v>43435</c:v>
                </c:pt>
                <c:pt idx="180">
                  <c:v>43466</c:v>
                </c:pt>
                <c:pt idx="181">
                  <c:v>43497</c:v>
                </c:pt>
                <c:pt idx="182">
                  <c:v>43525</c:v>
                </c:pt>
                <c:pt idx="183">
                  <c:v>43556</c:v>
                </c:pt>
                <c:pt idx="184">
                  <c:v>43586</c:v>
                </c:pt>
                <c:pt idx="185">
                  <c:v>43617</c:v>
                </c:pt>
                <c:pt idx="186">
                  <c:v>43647</c:v>
                </c:pt>
                <c:pt idx="187">
                  <c:v>43678</c:v>
                </c:pt>
                <c:pt idx="188">
                  <c:v>43709</c:v>
                </c:pt>
                <c:pt idx="189">
                  <c:v>43739</c:v>
                </c:pt>
                <c:pt idx="190">
                  <c:v>43770</c:v>
                </c:pt>
                <c:pt idx="191">
                  <c:v>43800</c:v>
                </c:pt>
                <c:pt idx="192">
                  <c:v>43831</c:v>
                </c:pt>
                <c:pt idx="193">
                  <c:v>43862</c:v>
                </c:pt>
                <c:pt idx="194">
                  <c:v>43891</c:v>
                </c:pt>
                <c:pt idx="195">
                  <c:v>43922</c:v>
                </c:pt>
                <c:pt idx="196">
                  <c:v>43952</c:v>
                </c:pt>
                <c:pt idx="197">
                  <c:v>43983</c:v>
                </c:pt>
                <c:pt idx="198">
                  <c:v>44013</c:v>
                </c:pt>
                <c:pt idx="199">
                  <c:v>44044</c:v>
                </c:pt>
                <c:pt idx="200">
                  <c:v>44075</c:v>
                </c:pt>
                <c:pt idx="201">
                  <c:v>44105</c:v>
                </c:pt>
                <c:pt idx="202">
                  <c:v>44136</c:v>
                </c:pt>
                <c:pt idx="203">
                  <c:v>44166</c:v>
                </c:pt>
                <c:pt idx="204">
                  <c:v>44197</c:v>
                </c:pt>
                <c:pt idx="205">
                  <c:v>44228</c:v>
                </c:pt>
                <c:pt idx="206">
                  <c:v>44256</c:v>
                </c:pt>
                <c:pt idx="207">
                  <c:v>44287</c:v>
                </c:pt>
                <c:pt idx="208">
                  <c:v>44317</c:v>
                </c:pt>
                <c:pt idx="209">
                  <c:v>44348</c:v>
                </c:pt>
                <c:pt idx="210">
                  <c:v>44378</c:v>
                </c:pt>
                <c:pt idx="211">
                  <c:v>44409</c:v>
                </c:pt>
                <c:pt idx="212">
                  <c:v>44440</c:v>
                </c:pt>
                <c:pt idx="213">
                  <c:v>44470</c:v>
                </c:pt>
                <c:pt idx="214">
                  <c:v>44501</c:v>
                </c:pt>
                <c:pt idx="215">
                  <c:v>44531</c:v>
                </c:pt>
              </c:numCache>
            </c:numRef>
          </c:cat>
          <c:val>
            <c:numRef>
              <c:f>'Core CPI'!$C$449:$C$666</c:f>
              <c:numCache>
                <c:formatCode>0.00%</c:formatCode>
                <c:ptCount val="218"/>
                <c:pt idx="0">
                  <c:v>2.0597322348095042E-3</c:v>
                </c:pt>
                <c:pt idx="1">
                  <c:v>1.5416238437821756E-3</c:v>
                </c:pt>
                <c:pt idx="2">
                  <c:v>3.0785017957926848E-3</c:v>
                </c:pt>
                <c:pt idx="3">
                  <c:v>2.0460358056266273E-3</c:v>
                </c:pt>
                <c:pt idx="4">
                  <c:v>1.5313935681469267E-3</c:v>
                </c:pt>
                <c:pt idx="5">
                  <c:v>2.0387359836901413E-3</c:v>
                </c:pt>
                <c:pt idx="6">
                  <c:v>1.0172939979654987E-3</c:v>
                </c:pt>
                <c:pt idx="7">
                  <c:v>5.0813008130078411E-4</c:v>
                </c:pt>
                <c:pt idx="8">
                  <c:v>3.0472320975113982E-3</c:v>
                </c:pt>
                <c:pt idx="9">
                  <c:v>2.0253164556962313E-3</c:v>
                </c:pt>
                <c:pt idx="10">
                  <c:v>2.0212228398181187E-3</c:v>
                </c:pt>
                <c:pt idx="11">
                  <c:v>1.5128593040846341E-3</c:v>
                </c:pt>
                <c:pt idx="12">
                  <c:v>2.0140986908358796E-3</c:v>
                </c:pt>
                <c:pt idx="13">
                  <c:v>2.0100502512563098E-3</c:v>
                </c:pt>
                <c:pt idx="14">
                  <c:v>3.5105315947842959E-3</c:v>
                </c:pt>
                <c:pt idx="15">
                  <c:v>4.9975012493750281E-4</c:v>
                </c:pt>
                <c:pt idx="16">
                  <c:v>1.4985014985015553E-3</c:v>
                </c:pt>
                <c:pt idx="17">
                  <c:v>4.9875311720695421E-4</c:v>
                </c:pt>
                <c:pt idx="18">
                  <c:v>1.4955134596211933E-3</c:v>
                </c:pt>
                <c:pt idx="19">
                  <c:v>9.9552015928316886E-4</c:v>
                </c:pt>
                <c:pt idx="20">
                  <c:v>9.945300845351421E-4</c:v>
                </c:pt>
                <c:pt idx="21">
                  <c:v>3.477396920019814E-3</c:v>
                </c:pt>
                <c:pt idx="22">
                  <c:v>2.4752475247524753E-3</c:v>
                </c:pt>
                <c:pt idx="23">
                  <c:v>1.4814814814815376E-3</c:v>
                </c:pt>
                <c:pt idx="24">
                  <c:v>1.9723865877710909E-3</c:v>
                </c:pt>
                <c:pt idx="25">
                  <c:v>1.9685039370079022E-3</c:v>
                </c:pt>
                <c:pt idx="26">
                  <c:v>3.4381139489195337E-3</c:v>
                </c:pt>
                <c:pt idx="27">
                  <c:v>2.4473813020068525E-3</c:v>
                </c:pt>
                <c:pt idx="28">
                  <c:v>2.9296874999999722E-3</c:v>
                </c:pt>
                <c:pt idx="29">
                  <c:v>2.4342745861733201E-3</c:v>
                </c:pt>
                <c:pt idx="30">
                  <c:v>1.9426906265177545E-3</c:v>
                </c:pt>
                <c:pt idx="31">
                  <c:v>2.4236548715462916E-3</c:v>
                </c:pt>
                <c:pt idx="32">
                  <c:v>1.9342359767890581E-3</c:v>
                </c:pt>
                <c:pt idx="33">
                  <c:v>1.9305019305019581E-3</c:v>
                </c:pt>
                <c:pt idx="34">
                  <c:v>9.633911368016236E-4</c:v>
                </c:pt>
                <c:pt idx="35">
                  <c:v>1.4436958614051153E-3</c:v>
                </c:pt>
                <c:pt idx="36">
                  <c:v>2.4026910139356081E-3</c:v>
                </c:pt>
                <c:pt idx="37">
                  <c:v>2.564717162032582E-3</c:v>
                </c:pt>
                <c:pt idx="38">
                  <c:v>1.3531929136682786E-3</c:v>
                </c:pt>
                <c:pt idx="39">
                  <c:v>1.5710206381495751E-3</c:v>
                </c:pt>
                <c:pt idx="40">
                  <c:v>1.4827387280865929E-3</c:v>
                </c:pt>
                <c:pt idx="41">
                  <c:v>1.5900370373896884E-3</c:v>
                </c:pt>
                <c:pt idx="42">
                  <c:v>1.8109053576181615E-3</c:v>
                </c:pt>
                <c:pt idx="43">
                  <c:v>1.6415764827563475E-3</c:v>
                </c:pt>
                <c:pt idx="44">
                  <c:v>2.0604493200517353E-3</c:v>
                </c:pt>
                <c:pt idx="45">
                  <c:v>2.4721820433553426E-3</c:v>
                </c:pt>
                <c:pt idx="46">
                  <c:v>2.7490015418927954E-3</c:v>
                </c:pt>
                <c:pt idx="47">
                  <c:v>2.3887896172294261E-3</c:v>
                </c:pt>
                <c:pt idx="48">
                  <c:v>2.82875478495825E-3</c:v>
                </c:pt>
                <c:pt idx="49">
                  <c:v>7.8588770226086034E-4</c:v>
                </c:pt>
                <c:pt idx="50">
                  <c:v>2.2483044232234168E-3</c:v>
                </c:pt>
                <c:pt idx="51">
                  <c:v>6.529241675217554E-4</c:v>
                </c:pt>
                <c:pt idx="52">
                  <c:v>1.7524235645041237E-3</c:v>
                </c:pt>
                <c:pt idx="53">
                  <c:v>2.270443294748202E-3</c:v>
                </c:pt>
                <c:pt idx="54">
                  <c:v>2.5113265002970737E-3</c:v>
                </c:pt>
                <c:pt idx="55">
                  <c:v>1.9818026069038839E-3</c:v>
                </c:pt>
                <c:pt idx="56">
                  <c:v>1.4787909035874228E-3</c:v>
                </c:pt>
                <c:pt idx="57">
                  <c:v>3.4607983831157825E-4</c:v>
                </c:pt>
                <c:pt idx="58">
                  <c:v>7.334354300053131E-4</c:v>
                </c:pt>
                <c:pt idx="59">
                  <c:v>-1.0140725615007978E-4</c:v>
                </c:pt>
                <c:pt idx="60">
                  <c:v>1.9407629364987542E-3</c:v>
                </c:pt>
                <c:pt idx="61">
                  <c:v>2.0520276425607001E-3</c:v>
                </c:pt>
                <c:pt idx="62">
                  <c:v>2.1166985013222907E-3</c:v>
                </c:pt>
                <c:pt idx="63">
                  <c:v>2.0755728443595414E-3</c:v>
                </c:pt>
                <c:pt idx="64">
                  <c:v>9.053249567913432E-4</c:v>
                </c:pt>
                <c:pt idx="65">
                  <c:v>9.5018821035704421E-4</c:v>
                </c:pt>
                <c:pt idx="66">
                  <c:v>6.8914527730115399E-4</c:v>
                </c:pt>
                <c:pt idx="67">
                  <c:v>1.0626507892348644E-3</c:v>
                </c:pt>
                <c:pt idx="68">
                  <c:v>1.931698071946542E-3</c:v>
                </c:pt>
                <c:pt idx="69">
                  <c:v>2.6418697708258335E-3</c:v>
                </c:pt>
                <c:pt idx="70">
                  <c:v>7.4829592609553712E-4</c:v>
                </c:pt>
                <c:pt idx="71">
                  <c:v>9.7432318526643623E-4</c:v>
                </c:pt>
                <c:pt idx="72">
                  <c:v>-1.1227765176723685E-3</c:v>
                </c:pt>
                <c:pt idx="73">
                  <c:v>4.4417652844309219E-4</c:v>
                </c:pt>
                <c:pt idx="74">
                  <c:v>2.3558086539721425E-4</c:v>
                </c:pt>
                <c:pt idx="75">
                  <c:v>1.766440350933527E-4</c:v>
                </c:pt>
                <c:pt idx="76">
                  <c:v>6.3399480124256798E-4</c:v>
                </c:pt>
                <c:pt idx="77">
                  <c:v>1.0499542907830275E-3</c:v>
                </c:pt>
                <c:pt idx="78">
                  <c:v>7.6403519082801142E-4</c:v>
                </c:pt>
                <c:pt idx="79">
                  <c:v>6.5955015065745674E-4</c:v>
                </c:pt>
                <c:pt idx="80">
                  <c:v>9.1192682915830329E-4</c:v>
                </c:pt>
                <c:pt idx="81">
                  <c:v>5.3673475831149452E-4</c:v>
                </c:pt>
                <c:pt idx="82">
                  <c:v>1.4380381373123039E-3</c:v>
                </c:pt>
                <c:pt idx="83">
                  <c:v>8.7328774831301696E-4</c:v>
                </c:pt>
                <c:pt idx="84">
                  <c:v>2.0688755661298444E-3</c:v>
                </c:pt>
                <c:pt idx="85">
                  <c:v>1.840190661705617E-3</c:v>
                </c:pt>
                <c:pt idx="86">
                  <c:v>1.0796862189926836E-3</c:v>
                </c:pt>
                <c:pt idx="87">
                  <c:v>1.2217279619071313E-3</c:v>
                </c:pt>
                <c:pt idx="88">
                  <c:v>2.0024404743281209E-3</c:v>
                </c:pt>
                <c:pt idx="89">
                  <c:v>2.3285379725660371E-3</c:v>
                </c:pt>
                <c:pt idx="90">
                  <c:v>2.3186780419853694E-3</c:v>
                </c:pt>
                <c:pt idx="91">
                  <c:v>2.8594517312115616E-3</c:v>
                </c:pt>
                <c:pt idx="92">
                  <c:v>1.1334354605909813E-3</c:v>
                </c:pt>
                <c:pt idx="93">
                  <c:v>1.715918237380506E-3</c:v>
                </c:pt>
                <c:pt idx="94">
                  <c:v>1.7350533760695111E-3</c:v>
                </c:pt>
                <c:pt idx="95">
                  <c:v>2.230067122376036E-3</c:v>
                </c:pt>
                <c:pt idx="96">
                  <c:v>2.0755920054528632E-3</c:v>
                </c:pt>
                <c:pt idx="97">
                  <c:v>6.8896817142573524E-4</c:v>
                </c:pt>
                <c:pt idx="98">
                  <c:v>1.9470780673058266E-3</c:v>
                </c:pt>
                <c:pt idx="99">
                  <c:v>1.8688889083412516E-3</c:v>
                </c:pt>
                <c:pt idx="100">
                  <c:v>1.3935912278018759E-3</c:v>
                </c:pt>
                <c:pt idx="101">
                  <c:v>1.7406554287509202E-3</c:v>
                </c:pt>
                <c:pt idx="102">
                  <c:v>1.5111726612752573E-3</c:v>
                </c:pt>
                <c:pt idx="103">
                  <c:v>1.1436274296647616E-3</c:v>
                </c:pt>
                <c:pt idx="104">
                  <c:v>1.8502994792231684E-3</c:v>
                </c:pt>
                <c:pt idx="105">
                  <c:v>1.5824225371652921E-3</c:v>
                </c:pt>
                <c:pt idx="106">
                  <c:v>1.3245377103678043E-3</c:v>
                </c:pt>
                <c:pt idx="107">
                  <c:v>1.7075173993860795E-3</c:v>
                </c:pt>
                <c:pt idx="108">
                  <c:v>2.1749919085123277E-3</c:v>
                </c:pt>
                <c:pt idx="109">
                  <c:v>1.4640721012447841E-3</c:v>
                </c:pt>
                <c:pt idx="110">
                  <c:v>9.6745481986001036E-4</c:v>
                </c:pt>
                <c:pt idx="111">
                  <c:v>1.6323444762314531E-4</c:v>
                </c:pt>
                <c:pt idx="112">
                  <c:v>7.0437053326010042E-4</c:v>
                </c:pt>
                <c:pt idx="113">
                  <c:v>1.5193393878005844E-3</c:v>
                </c:pt>
                <c:pt idx="114">
                  <c:v>2.2712663381187106E-3</c:v>
                </c:pt>
                <c:pt idx="115">
                  <c:v>1.9497178040021263E-3</c:v>
                </c:pt>
                <c:pt idx="116">
                  <c:v>1.5533251399698546E-3</c:v>
                </c:pt>
                <c:pt idx="117">
                  <c:v>9.416276097145447E-4</c:v>
                </c:pt>
                <c:pt idx="118">
                  <c:v>1.8644565619932514E-3</c:v>
                </c:pt>
                <c:pt idx="119">
                  <c:v>1.6995313542289747E-3</c:v>
                </c:pt>
                <c:pt idx="120">
                  <c:v>8.5680716324732723E-4</c:v>
                </c:pt>
                <c:pt idx="121">
                  <c:v>9.4930941977695263E-4</c:v>
                </c:pt>
                <c:pt idx="122">
                  <c:v>1.8629464191205949E-3</c:v>
                </c:pt>
                <c:pt idx="123">
                  <c:v>1.8890649762282206E-3</c:v>
                </c:pt>
                <c:pt idx="124">
                  <c:v>1.9276844165485323E-3</c:v>
                </c:pt>
                <c:pt idx="125">
                  <c:v>1.2966837733497498E-3</c:v>
                </c:pt>
                <c:pt idx="126">
                  <c:v>1.5052325752511347E-3</c:v>
                </c:pt>
                <c:pt idx="127">
                  <c:v>8.8163059677998264E-4</c:v>
                </c:pt>
                <c:pt idx="128">
                  <c:v>2E-3</c:v>
                </c:pt>
                <c:pt idx="129">
                  <c:v>1.6960793346343635E-3</c:v>
                </c:pt>
                <c:pt idx="130">
                  <c:v>1.1162627356380295E-3</c:v>
                </c:pt>
                <c:pt idx="131">
                  <c:v>5.261883085969346E-4</c:v>
                </c:pt>
                <c:pt idx="132">
                  <c:v>9.4747562441566992E-4</c:v>
                </c:pt>
                <c:pt idx="133">
                  <c:v>1.5053521314701576E-3</c:v>
                </c:pt>
                <c:pt idx="134">
                  <c:v>2.4274270106423666E-3</c:v>
                </c:pt>
                <c:pt idx="135">
                  <c:v>2.4547776785529196E-3</c:v>
                </c:pt>
                <c:pt idx="136">
                  <c:v>1.4170526961291446E-3</c:v>
                </c:pt>
                <c:pt idx="137">
                  <c:v>1.5557247360233227E-3</c:v>
                </c:pt>
                <c:pt idx="138">
                  <c:v>2.0697005750545507E-3</c:v>
                </c:pt>
                <c:pt idx="139">
                  <c:v>1.0388967905510258E-3</c:v>
                </c:pt>
                <c:pt idx="140">
                  <c:v>2.0550455692970229E-3</c:v>
                </c:pt>
                <c:pt idx="141">
                  <c:v>1.8576665735093383E-3</c:v>
                </c:pt>
                <c:pt idx="142">
                  <c:v>1.9403695316859194E-3</c:v>
                </c:pt>
                <c:pt idx="143">
                  <c:v>1.2528609037793948E-3</c:v>
                </c:pt>
                <c:pt idx="144">
                  <c:v>1.6683909432543252E-3</c:v>
                </c:pt>
                <c:pt idx="145">
                  <c:v>2.265722275519905E-3</c:v>
                </c:pt>
                <c:pt idx="146">
                  <c:v>1.6414809987374038E-3</c:v>
                </c:pt>
                <c:pt idx="147">
                  <c:v>2.5944134714308586E-3</c:v>
                </c:pt>
                <c:pt idx="148">
                  <c:v>2.3767901975656671E-3</c:v>
                </c:pt>
                <c:pt idx="149">
                  <c:v>1.6306744841929439E-3</c:v>
                </c:pt>
                <c:pt idx="150">
                  <c:v>1.1674880827341669E-3</c:v>
                </c:pt>
                <c:pt idx="151">
                  <c:v>2.396813932187089E-3</c:v>
                </c:pt>
                <c:pt idx="152">
                  <c:v>1.6866393208358774E-3</c:v>
                </c:pt>
                <c:pt idx="153">
                  <c:v>1.205584266321533E-3</c:v>
                </c:pt>
                <c:pt idx="154">
                  <c:v>1.3606698188181785E-3</c:v>
                </c:pt>
                <c:pt idx="155">
                  <c:v>1.7596530397104107E-3</c:v>
                </c:pt>
                <c:pt idx="156">
                  <c:v>2.1686939820742702E-3</c:v>
                </c:pt>
                <c:pt idx="157">
                  <c:v>1.7607461411311997E-3</c:v>
                </c:pt>
                <c:pt idx="158">
                  <c:v>-2.6703546788989712E-4</c:v>
                </c:pt>
                <c:pt idx="159">
                  <c:v>1.6584541293913028E-3</c:v>
                </c:pt>
                <c:pt idx="160">
                  <c:v>9.3929600560389566E-4</c:v>
                </c:pt>
                <c:pt idx="161">
                  <c:v>1.3280951775035117E-3</c:v>
                </c:pt>
                <c:pt idx="162">
                  <c:v>8.9348825757874339E-4</c:v>
                </c:pt>
                <c:pt idx="163">
                  <c:v>2.1821326974731355E-3</c:v>
                </c:pt>
                <c:pt idx="164">
                  <c:v>1.7498228403345203E-3</c:v>
                </c:pt>
                <c:pt idx="165">
                  <c:v>1.9601721473765281E-3</c:v>
                </c:pt>
                <c:pt idx="166">
                  <c:v>8.2434377896544136E-4</c:v>
                </c:pt>
                <c:pt idx="167">
                  <c:v>2.2227126552745798E-3</c:v>
                </c:pt>
                <c:pt idx="168">
                  <c:v>2.7486355128427432E-3</c:v>
                </c:pt>
                <c:pt idx="169">
                  <c:v>1.8234793554686868E-3</c:v>
                </c:pt>
                <c:pt idx="170">
                  <c:v>2.5247385232041483E-3</c:v>
                </c:pt>
                <c:pt idx="171">
                  <c:v>2.1045069245695805E-3</c:v>
                </c:pt>
                <c:pt idx="172">
                  <c:v>1.9520291752383593E-3</c:v>
                </c:pt>
                <c:pt idx="173">
                  <c:v>1.4660304794347795E-3</c:v>
                </c:pt>
                <c:pt idx="174">
                  <c:v>1.5376610466968051E-3</c:v>
                </c:pt>
                <c:pt idx="175">
                  <c:v>5.8155313457130718E-4</c:v>
                </c:pt>
                <c:pt idx="176">
                  <c:v>1.75914445133295E-3</c:v>
                </c:pt>
                <c:pt idx="177">
                  <c:v>1.7599232596098931E-3</c:v>
                </c:pt>
                <c:pt idx="178">
                  <c:v>1.6448575036007113E-3</c:v>
                </c:pt>
                <c:pt idx="179">
                  <c:v>1.7655108609755409E-3</c:v>
                </c:pt>
                <c:pt idx="180">
                  <c:v>2.1010262705244186E-3</c:v>
                </c:pt>
                <c:pt idx="181">
                  <c:v>1.163509574954198E-3</c:v>
                </c:pt>
                <c:pt idx="182">
                  <c:v>2.3665053198426629E-3</c:v>
                </c:pt>
                <c:pt idx="183">
                  <c:v>2.7206042726114843E-3</c:v>
                </c:pt>
                <c:pt idx="184">
                  <c:v>1.2745659225338797E-3</c:v>
                </c:pt>
                <c:pt idx="185">
                  <c:v>2.7936154643575981E-3</c:v>
                </c:pt>
                <c:pt idx="186">
                  <c:v>1.8964947152786281E-3</c:v>
                </c:pt>
                <c:pt idx="187">
                  <c:v>2.0294671036660333E-3</c:v>
                </c:pt>
                <c:pt idx="188">
                  <c:v>1.7111424904694594E-3</c:v>
                </c:pt>
                <c:pt idx="189">
                  <c:v>1.5986213308239203E-3</c:v>
                </c:pt>
                <c:pt idx="190">
                  <c:v>1.5130590960887251E-3</c:v>
                </c:pt>
                <c:pt idx="191">
                  <c:v>8.4392318791980288E-4</c:v>
                </c:pt>
                <c:pt idx="192">
                  <c:v>2.4656410101974871E-3</c:v>
                </c:pt>
                <c:pt idx="193">
                  <c:v>2.1403948840806935E-3</c:v>
                </c:pt>
                <c:pt idx="194">
                  <c:v>-2.0983527930568198E-4</c:v>
                </c:pt>
                <c:pt idx="195">
                  <c:v>-3.6878794693050764E-3</c:v>
                </c:pt>
                <c:pt idx="196">
                  <c:v>-7.4858183240799692E-4</c:v>
                </c:pt>
                <c:pt idx="197">
                  <c:v>2.4281255999728268E-3</c:v>
                </c:pt>
                <c:pt idx="198">
                  <c:v>5.4078007525855962E-3</c:v>
                </c:pt>
                <c:pt idx="199">
                  <c:v>3.481223059741136E-3</c:v>
                </c:pt>
                <c:pt idx="200">
                  <c:v>1.8648521890609348E-3</c:v>
                </c:pt>
                <c:pt idx="201">
                  <c:v>7.2448960636083311E-4</c:v>
                </c:pt>
                <c:pt idx="202">
                  <c:v>1.7412288843511939E-3</c:v>
                </c:pt>
                <c:pt idx="203">
                  <c:v>4.4844877491941222E-4</c:v>
                </c:pt>
                <c:pt idx="204">
                  <c:v>3.1488478921234178E-4</c:v>
                </c:pt>
                <c:pt idx="205">
                  <c:v>1.0147208591797091E-3</c:v>
                </c:pt>
                <c:pt idx="206">
                  <c:v>3.3851401596011106E-3</c:v>
                </c:pt>
                <c:pt idx="207">
                  <c:v>9.1661934855869903E-3</c:v>
                </c:pt>
                <c:pt idx="208">
                  <c:v>7.3730361709902414E-3</c:v>
                </c:pt>
                <c:pt idx="209">
                  <c:v>8.7843376203220989E-3</c:v>
                </c:pt>
                <c:pt idx="210">
                  <c:v>3.2861149061623185E-3</c:v>
                </c:pt>
                <c:pt idx="211">
                  <c:v>1.0177241680823378E-3</c:v>
                </c:pt>
                <c:pt idx="212">
                  <c:v>2.4307469803606153E-3</c:v>
                </c:pt>
                <c:pt idx="213">
                  <c:v>5.9924933129059926E-3</c:v>
                </c:pt>
                <c:pt idx="214">
                  <c:v>5.3462077779159326E-3</c:v>
                </c:pt>
                <c:pt idx="215">
                  <c:v>5.5013930035557523E-3</c:v>
                </c:pt>
              </c:numCache>
            </c:numRef>
          </c:val>
          <c:smooth val="0"/>
          <c:extLst>
            <c:ext xmlns:c16="http://schemas.microsoft.com/office/drawing/2014/chart" uri="{C3380CC4-5D6E-409C-BE32-E72D297353CC}">
              <c16:uniqueId val="{00000000-CD66-9B4F-8AFF-E7D3E14C79CF}"/>
            </c:ext>
          </c:extLst>
        </c:ser>
        <c:dLbls>
          <c:showLegendKey val="0"/>
          <c:showVal val="0"/>
          <c:showCatName val="0"/>
          <c:showSerName val="0"/>
          <c:showPercent val="0"/>
          <c:showBubbleSize val="0"/>
        </c:dLbls>
        <c:smooth val="0"/>
        <c:axId val="10846495"/>
        <c:axId val="10837311"/>
      </c:lineChart>
      <c:dateAx>
        <c:axId val="10846495"/>
        <c:scaling>
          <c:orientation val="minMax"/>
        </c:scaling>
        <c:delete val="0"/>
        <c:axPos val="b"/>
        <c:numFmt formatCode="[$-409]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837311"/>
        <c:crosses val="autoZero"/>
        <c:auto val="0"/>
        <c:lblOffset val="100"/>
        <c:baseTimeUnit val="months"/>
      </c:dateAx>
      <c:valAx>
        <c:axId val="10837311"/>
        <c:scaling>
          <c:orientation val="minMax"/>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846495"/>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Table5[[#Headers],[All Items Less Food &amp; Energy m/m %]]</c:f>
          <c:strCache>
            <c:ptCount val="1"/>
            <c:pt idx="0">
              <c:v>All Items Less Food &amp; Energy m/m %</c:v>
            </c:pt>
          </c:strCache>
        </c:strRef>
      </c:tx>
      <c:overlay val="0"/>
      <c:spPr>
        <a:noFill/>
        <a:ln>
          <a:noFill/>
          <a:prstDash val="solid"/>
        </a:ln>
      </c:spPr>
    </c:title>
    <c:autoTitleDeleted val="0"/>
    <c:plotArea>
      <c:layout/>
      <c:barChart>
        <c:barDir val="col"/>
        <c:grouping val="clustered"/>
        <c:varyColors val="0"/>
        <c:ser>
          <c:idx val="1"/>
          <c:order val="0"/>
          <c:tx>
            <c:v>Core CPI m/m %</c:v>
          </c:tx>
          <c:spPr>
            <a:solidFill>
              <a:schemeClr val="tx1"/>
            </a:solidFill>
            <a:ln>
              <a:noFill/>
              <a:prstDash val="solid"/>
            </a:ln>
          </c:spPr>
          <c:invertIfNegative val="0"/>
          <c:cat>
            <c:numRef>
              <c:f>'Core CPI'!$A$449:$A$666</c:f>
              <c:numCache>
                <c:formatCode>[$-409]mmm\-yy;@</c:formatCode>
                <c:ptCount val="218"/>
                <c:pt idx="0">
                  <c:v>37987</c:v>
                </c:pt>
                <c:pt idx="1">
                  <c:v>38018</c:v>
                </c:pt>
                <c:pt idx="2">
                  <c:v>38047</c:v>
                </c:pt>
                <c:pt idx="3">
                  <c:v>38078</c:v>
                </c:pt>
                <c:pt idx="4">
                  <c:v>38108</c:v>
                </c:pt>
                <c:pt idx="5">
                  <c:v>38139</c:v>
                </c:pt>
                <c:pt idx="6">
                  <c:v>38169</c:v>
                </c:pt>
                <c:pt idx="7">
                  <c:v>38200</c:v>
                </c:pt>
                <c:pt idx="8">
                  <c:v>38231</c:v>
                </c:pt>
                <c:pt idx="9">
                  <c:v>38261</c:v>
                </c:pt>
                <c:pt idx="10">
                  <c:v>38292</c:v>
                </c:pt>
                <c:pt idx="11">
                  <c:v>38322</c:v>
                </c:pt>
                <c:pt idx="12">
                  <c:v>38353</c:v>
                </c:pt>
                <c:pt idx="13">
                  <c:v>38384</c:v>
                </c:pt>
                <c:pt idx="14">
                  <c:v>38412</c:v>
                </c:pt>
                <c:pt idx="15">
                  <c:v>38443</c:v>
                </c:pt>
                <c:pt idx="16">
                  <c:v>38473</c:v>
                </c:pt>
                <c:pt idx="17">
                  <c:v>38504</c:v>
                </c:pt>
                <c:pt idx="18">
                  <c:v>38534</c:v>
                </c:pt>
                <c:pt idx="19">
                  <c:v>38565</c:v>
                </c:pt>
                <c:pt idx="20">
                  <c:v>38596</c:v>
                </c:pt>
                <c:pt idx="21">
                  <c:v>38626</c:v>
                </c:pt>
                <c:pt idx="22">
                  <c:v>38657</c:v>
                </c:pt>
                <c:pt idx="23">
                  <c:v>38687</c:v>
                </c:pt>
                <c:pt idx="24">
                  <c:v>38718</c:v>
                </c:pt>
                <c:pt idx="25">
                  <c:v>38749</c:v>
                </c:pt>
                <c:pt idx="26">
                  <c:v>38777</c:v>
                </c:pt>
                <c:pt idx="27">
                  <c:v>38808</c:v>
                </c:pt>
                <c:pt idx="28">
                  <c:v>38838</c:v>
                </c:pt>
                <c:pt idx="29">
                  <c:v>38869</c:v>
                </c:pt>
                <c:pt idx="30">
                  <c:v>38899</c:v>
                </c:pt>
                <c:pt idx="31">
                  <c:v>38930</c:v>
                </c:pt>
                <c:pt idx="32">
                  <c:v>38961</c:v>
                </c:pt>
                <c:pt idx="33">
                  <c:v>38991</c:v>
                </c:pt>
                <c:pt idx="34">
                  <c:v>39022</c:v>
                </c:pt>
                <c:pt idx="35">
                  <c:v>39052</c:v>
                </c:pt>
                <c:pt idx="36">
                  <c:v>39083</c:v>
                </c:pt>
                <c:pt idx="37">
                  <c:v>39114</c:v>
                </c:pt>
                <c:pt idx="38">
                  <c:v>39142</c:v>
                </c:pt>
                <c:pt idx="39">
                  <c:v>39173</c:v>
                </c:pt>
                <c:pt idx="40">
                  <c:v>39203</c:v>
                </c:pt>
                <c:pt idx="41">
                  <c:v>39234</c:v>
                </c:pt>
                <c:pt idx="42">
                  <c:v>39264</c:v>
                </c:pt>
                <c:pt idx="43">
                  <c:v>39295</c:v>
                </c:pt>
                <c:pt idx="44">
                  <c:v>39326</c:v>
                </c:pt>
                <c:pt idx="45">
                  <c:v>39356</c:v>
                </c:pt>
                <c:pt idx="46">
                  <c:v>39387</c:v>
                </c:pt>
                <c:pt idx="47">
                  <c:v>39417</c:v>
                </c:pt>
                <c:pt idx="48">
                  <c:v>39448</c:v>
                </c:pt>
                <c:pt idx="49">
                  <c:v>39479</c:v>
                </c:pt>
                <c:pt idx="50">
                  <c:v>39508</c:v>
                </c:pt>
                <c:pt idx="51">
                  <c:v>39539</c:v>
                </c:pt>
                <c:pt idx="52">
                  <c:v>39569</c:v>
                </c:pt>
                <c:pt idx="53">
                  <c:v>39600</c:v>
                </c:pt>
                <c:pt idx="54">
                  <c:v>39630</c:v>
                </c:pt>
                <c:pt idx="55">
                  <c:v>39661</c:v>
                </c:pt>
                <c:pt idx="56">
                  <c:v>39692</c:v>
                </c:pt>
                <c:pt idx="57">
                  <c:v>39722</c:v>
                </c:pt>
                <c:pt idx="58">
                  <c:v>39753</c:v>
                </c:pt>
                <c:pt idx="59">
                  <c:v>39783</c:v>
                </c:pt>
                <c:pt idx="60">
                  <c:v>39814</c:v>
                </c:pt>
                <c:pt idx="61">
                  <c:v>39845</c:v>
                </c:pt>
                <c:pt idx="62">
                  <c:v>39873</c:v>
                </c:pt>
                <c:pt idx="63">
                  <c:v>39904</c:v>
                </c:pt>
                <c:pt idx="64">
                  <c:v>39934</c:v>
                </c:pt>
                <c:pt idx="65">
                  <c:v>39965</c:v>
                </c:pt>
                <c:pt idx="66">
                  <c:v>39995</c:v>
                </c:pt>
                <c:pt idx="67">
                  <c:v>40026</c:v>
                </c:pt>
                <c:pt idx="68">
                  <c:v>40057</c:v>
                </c:pt>
                <c:pt idx="69">
                  <c:v>40087</c:v>
                </c:pt>
                <c:pt idx="70">
                  <c:v>40118</c:v>
                </c:pt>
                <c:pt idx="71">
                  <c:v>40148</c:v>
                </c:pt>
                <c:pt idx="72">
                  <c:v>40179</c:v>
                </c:pt>
                <c:pt idx="73">
                  <c:v>40210</c:v>
                </c:pt>
                <c:pt idx="74">
                  <c:v>40238</c:v>
                </c:pt>
                <c:pt idx="75">
                  <c:v>40269</c:v>
                </c:pt>
                <c:pt idx="76">
                  <c:v>40299</c:v>
                </c:pt>
                <c:pt idx="77">
                  <c:v>40330</c:v>
                </c:pt>
                <c:pt idx="78">
                  <c:v>40360</c:v>
                </c:pt>
                <c:pt idx="79">
                  <c:v>40391</c:v>
                </c:pt>
                <c:pt idx="80">
                  <c:v>40422</c:v>
                </c:pt>
                <c:pt idx="81">
                  <c:v>40452</c:v>
                </c:pt>
                <c:pt idx="82">
                  <c:v>40483</c:v>
                </c:pt>
                <c:pt idx="83">
                  <c:v>40513</c:v>
                </c:pt>
                <c:pt idx="84">
                  <c:v>40544</c:v>
                </c:pt>
                <c:pt idx="85">
                  <c:v>40575</c:v>
                </c:pt>
                <c:pt idx="86">
                  <c:v>40603</c:v>
                </c:pt>
                <c:pt idx="87">
                  <c:v>40634</c:v>
                </c:pt>
                <c:pt idx="88">
                  <c:v>40664</c:v>
                </c:pt>
                <c:pt idx="89">
                  <c:v>40695</c:v>
                </c:pt>
                <c:pt idx="90">
                  <c:v>40725</c:v>
                </c:pt>
                <c:pt idx="91">
                  <c:v>40756</c:v>
                </c:pt>
                <c:pt idx="92">
                  <c:v>40787</c:v>
                </c:pt>
                <c:pt idx="93">
                  <c:v>40817</c:v>
                </c:pt>
                <c:pt idx="94">
                  <c:v>40848</c:v>
                </c:pt>
                <c:pt idx="95">
                  <c:v>40878</c:v>
                </c:pt>
                <c:pt idx="96">
                  <c:v>40909</c:v>
                </c:pt>
                <c:pt idx="97">
                  <c:v>40940</c:v>
                </c:pt>
                <c:pt idx="98">
                  <c:v>40969</c:v>
                </c:pt>
                <c:pt idx="99">
                  <c:v>41000</c:v>
                </c:pt>
                <c:pt idx="100">
                  <c:v>41030</c:v>
                </c:pt>
                <c:pt idx="101">
                  <c:v>41061</c:v>
                </c:pt>
                <c:pt idx="102">
                  <c:v>41091</c:v>
                </c:pt>
                <c:pt idx="103">
                  <c:v>41122</c:v>
                </c:pt>
                <c:pt idx="104">
                  <c:v>41153</c:v>
                </c:pt>
                <c:pt idx="105">
                  <c:v>41183</c:v>
                </c:pt>
                <c:pt idx="106">
                  <c:v>41214</c:v>
                </c:pt>
                <c:pt idx="107">
                  <c:v>41244</c:v>
                </c:pt>
                <c:pt idx="108">
                  <c:v>41275</c:v>
                </c:pt>
                <c:pt idx="109">
                  <c:v>41306</c:v>
                </c:pt>
                <c:pt idx="110">
                  <c:v>41334</c:v>
                </c:pt>
                <c:pt idx="111">
                  <c:v>41365</c:v>
                </c:pt>
                <c:pt idx="112">
                  <c:v>41395</c:v>
                </c:pt>
                <c:pt idx="113">
                  <c:v>41426</c:v>
                </c:pt>
                <c:pt idx="114">
                  <c:v>41456</c:v>
                </c:pt>
                <c:pt idx="115">
                  <c:v>41487</c:v>
                </c:pt>
                <c:pt idx="116">
                  <c:v>41518</c:v>
                </c:pt>
                <c:pt idx="117">
                  <c:v>41548</c:v>
                </c:pt>
                <c:pt idx="118">
                  <c:v>41579</c:v>
                </c:pt>
                <c:pt idx="119">
                  <c:v>41609</c:v>
                </c:pt>
                <c:pt idx="120">
                  <c:v>41640</c:v>
                </c:pt>
                <c:pt idx="121">
                  <c:v>41671</c:v>
                </c:pt>
                <c:pt idx="122">
                  <c:v>41699</c:v>
                </c:pt>
                <c:pt idx="123">
                  <c:v>41730</c:v>
                </c:pt>
                <c:pt idx="124">
                  <c:v>41760</c:v>
                </c:pt>
                <c:pt idx="125">
                  <c:v>41791</c:v>
                </c:pt>
                <c:pt idx="126">
                  <c:v>41821</c:v>
                </c:pt>
                <c:pt idx="127">
                  <c:v>41852</c:v>
                </c:pt>
                <c:pt idx="128">
                  <c:v>41883</c:v>
                </c:pt>
                <c:pt idx="129">
                  <c:v>41913</c:v>
                </c:pt>
                <c:pt idx="130">
                  <c:v>41944</c:v>
                </c:pt>
                <c:pt idx="131">
                  <c:v>41974</c:v>
                </c:pt>
                <c:pt idx="132">
                  <c:v>42005</c:v>
                </c:pt>
                <c:pt idx="133">
                  <c:v>42036</c:v>
                </c:pt>
                <c:pt idx="134">
                  <c:v>42064</c:v>
                </c:pt>
                <c:pt idx="135">
                  <c:v>42095</c:v>
                </c:pt>
                <c:pt idx="136">
                  <c:v>42125</c:v>
                </c:pt>
                <c:pt idx="137">
                  <c:v>42156</c:v>
                </c:pt>
                <c:pt idx="138">
                  <c:v>42186</c:v>
                </c:pt>
                <c:pt idx="139">
                  <c:v>42217</c:v>
                </c:pt>
                <c:pt idx="140">
                  <c:v>42248</c:v>
                </c:pt>
                <c:pt idx="141">
                  <c:v>42278</c:v>
                </c:pt>
                <c:pt idx="142">
                  <c:v>42309</c:v>
                </c:pt>
                <c:pt idx="143">
                  <c:v>42339</c:v>
                </c:pt>
                <c:pt idx="144">
                  <c:v>42370</c:v>
                </c:pt>
                <c:pt idx="145">
                  <c:v>42401</c:v>
                </c:pt>
                <c:pt idx="146">
                  <c:v>42430</c:v>
                </c:pt>
                <c:pt idx="147">
                  <c:v>42461</c:v>
                </c:pt>
                <c:pt idx="148">
                  <c:v>42491</c:v>
                </c:pt>
                <c:pt idx="149">
                  <c:v>42522</c:v>
                </c:pt>
                <c:pt idx="150">
                  <c:v>42552</c:v>
                </c:pt>
                <c:pt idx="151">
                  <c:v>42583</c:v>
                </c:pt>
                <c:pt idx="152">
                  <c:v>42614</c:v>
                </c:pt>
                <c:pt idx="153">
                  <c:v>42644</c:v>
                </c:pt>
                <c:pt idx="154">
                  <c:v>42675</c:v>
                </c:pt>
                <c:pt idx="155">
                  <c:v>42705</c:v>
                </c:pt>
                <c:pt idx="156">
                  <c:v>42736</c:v>
                </c:pt>
                <c:pt idx="157">
                  <c:v>42767</c:v>
                </c:pt>
                <c:pt idx="158">
                  <c:v>42795</c:v>
                </c:pt>
                <c:pt idx="159">
                  <c:v>42826</c:v>
                </c:pt>
                <c:pt idx="160">
                  <c:v>42856</c:v>
                </c:pt>
                <c:pt idx="161">
                  <c:v>42887</c:v>
                </c:pt>
                <c:pt idx="162">
                  <c:v>42917</c:v>
                </c:pt>
                <c:pt idx="163">
                  <c:v>42948</c:v>
                </c:pt>
                <c:pt idx="164">
                  <c:v>42979</c:v>
                </c:pt>
                <c:pt idx="165">
                  <c:v>43009</c:v>
                </c:pt>
                <c:pt idx="166">
                  <c:v>43040</c:v>
                </c:pt>
                <c:pt idx="167">
                  <c:v>43070</c:v>
                </c:pt>
                <c:pt idx="168">
                  <c:v>43101</c:v>
                </c:pt>
                <c:pt idx="169">
                  <c:v>43132</c:v>
                </c:pt>
                <c:pt idx="170">
                  <c:v>43160</c:v>
                </c:pt>
                <c:pt idx="171">
                  <c:v>43191</c:v>
                </c:pt>
                <c:pt idx="172">
                  <c:v>43221</c:v>
                </c:pt>
                <c:pt idx="173">
                  <c:v>43252</c:v>
                </c:pt>
                <c:pt idx="174">
                  <c:v>43282</c:v>
                </c:pt>
                <c:pt idx="175">
                  <c:v>43313</c:v>
                </c:pt>
                <c:pt idx="176">
                  <c:v>43344</c:v>
                </c:pt>
                <c:pt idx="177">
                  <c:v>43374</c:v>
                </c:pt>
                <c:pt idx="178">
                  <c:v>43405</c:v>
                </c:pt>
                <c:pt idx="179">
                  <c:v>43435</c:v>
                </c:pt>
                <c:pt idx="180">
                  <c:v>43466</c:v>
                </c:pt>
                <c:pt idx="181">
                  <c:v>43497</c:v>
                </c:pt>
                <c:pt idx="182">
                  <c:v>43525</c:v>
                </c:pt>
                <c:pt idx="183">
                  <c:v>43556</c:v>
                </c:pt>
                <c:pt idx="184">
                  <c:v>43586</c:v>
                </c:pt>
                <c:pt idx="185">
                  <c:v>43617</c:v>
                </c:pt>
                <c:pt idx="186">
                  <c:v>43647</c:v>
                </c:pt>
                <c:pt idx="187">
                  <c:v>43678</c:v>
                </c:pt>
                <c:pt idx="188">
                  <c:v>43709</c:v>
                </c:pt>
                <c:pt idx="189">
                  <c:v>43739</c:v>
                </c:pt>
                <c:pt idx="190">
                  <c:v>43770</c:v>
                </c:pt>
                <c:pt idx="191">
                  <c:v>43800</c:v>
                </c:pt>
                <c:pt idx="192">
                  <c:v>43831</c:v>
                </c:pt>
                <c:pt idx="193">
                  <c:v>43862</c:v>
                </c:pt>
                <c:pt idx="194">
                  <c:v>43891</c:v>
                </c:pt>
                <c:pt idx="195">
                  <c:v>43922</c:v>
                </c:pt>
                <c:pt idx="196">
                  <c:v>43952</c:v>
                </c:pt>
                <c:pt idx="197">
                  <c:v>43983</c:v>
                </c:pt>
                <c:pt idx="198">
                  <c:v>44013</c:v>
                </c:pt>
                <c:pt idx="199">
                  <c:v>44044</c:v>
                </c:pt>
                <c:pt idx="200">
                  <c:v>44075</c:v>
                </c:pt>
                <c:pt idx="201">
                  <c:v>44105</c:v>
                </c:pt>
                <c:pt idx="202">
                  <c:v>44136</c:v>
                </c:pt>
                <c:pt idx="203">
                  <c:v>44166</c:v>
                </c:pt>
                <c:pt idx="204">
                  <c:v>44197</c:v>
                </c:pt>
                <c:pt idx="205">
                  <c:v>44228</c:v>
                </c:pt>
                <c:pt idx="206">
                  <c:v>44256</c:v>
                </c:pt>
                <c:pt idx="207">
                  <c:v>44287</c:v>
                </c:pt>
                <c:pt idx="208">
                  <c:v>44317</c:v>
                </c:pt>
                <c:pt idx="209">
                  <c:v>44348</c:v>
                </c:pt>
                <c:pt idx="210">
                  <c:v>44378</c:v>
                </c:pt>
                <c:pt idx="211">
                  <c:v>44409</c:v>
                </c:pt>
                <c:pt idx="212">
                  <c:v>44440</c:v>
                </c:pt>
                <c:pt idx="213">
                  <c:v>44470</c:v>
                </c:pt>
                <c:pt idx="214">
                  <c:v>44501</c:v>
                </c:pt>
                <c:pt idx="215">
                  <c:v>44531</c:v>
                </c:pt>
              </c:numCache>
            </c:numRef>
          </c:cat>
          <c:val>
            <c:numRef>
              <c:f>'Core CPI'!$C$449:$C$666</c:f>
              <c:numCache>
                <c:formatCode>0.00%</c:formatCode>
                <c:ptCount val="218"/>
                <c:pt idx="0">
                  <c:v>2.0597322348095042E-3</c:v>
                </c:pt>
                <c:pt idx="1">
                  <c:v>1.5416238437821756E-3</c:v>
                </c:pt>
                <c:pt idx="2">
                  <c:v>3.0785017957926848E-3</c:v>
                </c:pt>
                <c:pt idx="3">
                  <c:v>2.0460358056266273E-3</c:v>
                </c:pt>
                <c:pt idx="4">
                  <c:v>1.5313935681469267E-3</c:v>
                </c:pt>
                <c:pt idx="5">
                  <c:v>2.0387359836901413E-3</c:v>
                </c:pt>
                <c:pt idx="6">
                  <c:v>1.0172939979654987E-3</c:v>
                </c:pt>
                <c:pt idx="7">
                  <c:v>5.0813008130078411E-4</c:v>
                </c:pt>
                <c:pt idx="8">
                  <c:v>3.0472320975113982E-3</c:v>
                </c:pt>
                <c:pt idx="9">
                  <c:v>2.0253164556962313E-3</c:v>
                </c:pt>
                <c:pt idx="10">
                  <c:v>2.0212228398181187E-3</c:v>
                </c:pt>
                <c:pt idx="11">
                  <c:v>1.5128593040846341E-3</c:v>
                </c:pt>
                <c:pt idx="12">
                  <c:v>2.0140986908358796E-3</c:v>
                </c:pt>
                <c:pt idx="13">
                  <c:v>2.0100502512563098E-3</c:v>
                </c:pt>
                <c:pt idx="14">
                  <c:v>3.5105315947842959E-3</c:v>
                </c:pt>
                <c:pt idx="15">
                  <c:v>4.9975012493750281E-4</c:v>
                </c:pt>
                <c:pt idx="16">
                  <c:v>1.4985014985015553E-3</c:v>
                </c:pt>
                <c:pt idx="17">
                  <c:v>4.9875311720695421E-4</c:v>
                </c:pt>
                <c:pt idx="18">
                  <c:v>1.4955134596211933E-3</c:v>
                </c:pt>
                <c:pt idx="19">
                  <c:v>9.9552015928316886E-4</c:v>
                </c:pt>
                <c:pt idx="20">
                  <c:v>9.945300845351421E-4</c:v>
                </c:pt>
                <c:pt idx="21">
                  <c:v>3.477396920019814E-3</c:v>
                </c:pt>
                <c:pt idx="22">
                  <c:v>2.4752475247524753E-3</c:v>
                </c:pt>
                <c:pt idx="23">
                  <c:v>1.4814814814815376E-3</c:v>
                </c:pt>
                <c:pt idx="24">
                  <c:v>1.9723865877710909E-3</c:v>
                </c:pt>
                <c:pt idx="25">
                  <c:v>1.9685039370079022E-3</c:v>
                </c:pt>
                <c:pt idx="26">
                  <c:v>3.4381139489195337E-3</c:v>
                </c:pt>
                <c:pt idx="27">
                  <c:v>2.4473813020068525E-3</c:v>
                </c:pt>
                <c:pt idx="28">
                  <c:v>2.9296874999999722E-3</c:v>
                </c:pt>
                <c:pt idx="29">
                  <c:v>2.4342745861733201E-3</c:v>
                </c:pt>
                <c:pt idx="30">
                  <c:v>1.9426906265177545E-3</c:v>
                </c:pt>
                <c:pt idx="31">
                  <c:v>2.4236548715462916E-3</c:v>
                </c:pt>
                <c:pt idx="32">
                  <c:v>1.9342359767890581E-3</c:v>
                </c:pt>
                <c:pt idx="33">
                  <c:v>1.9305019305019581E-3</c:v>
                </c:pt>
                <c:pt idx="34">
                  <c:v>9.633911368016236E-4</c:v>
                </c:pt>
                <c:pt idx="35">
                  <c:v>1.4436958614051153E-3</c:v>
                </c:pt>
                <c:pt idx="36">
                  <c:v>2.4026910139356081E-3</c:v>
                </c:pt>
                <c:pt idx="37">
                  <c:v>2.564717162032582E-3</c:v>
                </c:pt>
                <c:pt idx="38">
                  <c:v>1.3531929136682786E-3</c:v>
                </c:pt>
                <c:pt idx="39">
                  <c:v>1.5710206381495751E-3</c:v>
                </c:pt>
                <c:pt idx="40">
                  <c:v>1.4827387280865929E-3</c:v>
                </c:pt>
                <c:pt idx="41">
                  <c:v>1.5900370373896884E-3</c:v>
                </c:pt>
                <c:pt idx="42">
                  <c:v>1.8109053576181615E-3</c:v>
                </c:pt>
                <c:pt idx="43">
                  <c:v>1.6415764827563475E-3</c:v>
                </c:pt>
                <c:pt idx="44">
                  <c:v>2.0604493200517353E-3</c:v>
                </c:pt>
                <c:pt idx="45">
                  <c:v>2.4721820433553426E-3</c:v>
                </c:pt>
                <c:pt idx="46">
                  <c:v>2.7490015418927954E-3</c:v>
                </c:pt>
                <c:pt idx="47">
                  <c:v>2.3887896172294261E-3</c:v>
                </c:pt>
                <c:pt idx="48">
                  <c:v>2.82875478495825E-3</c:v>
                </c:pt>
                <c:pt idx="49">
                  <c:v>7.8588770226086034E-4</c:v>
                </c:pt>
                <c:pt idx="50">
                  <c:v>2.2483044232234168E-3</c:v>
                </c:pt>
                <c:pt idx="51">
                  <c:v>6.529241675217554E-4</c:v>
                </c:pt>
                <c:pt idx="52">
                  <c:v>1.7524235645041237E-3</c:v>
                </c:pt>
                <c:pt idx="53">
                  <c:v>2.270443294748202E-3</c:v>
                </c:pt>
                <c:pt idx="54">
                  <c:v>2.5113265002970737E-3</c:v>
                </c:pt>
                <c:pt idx="55">
                  <c:v>1.9818026069038839E-3</c:v>
                </c:pt>
                <c:pt idx="56">
                  <c:v>1.4787909035874228E-3</c:v>
                </c:pt>
                <c:pt idx="57">
                  <c:v>3.4607983831157825E-4</c:v>
                </c:pt>
                <c:pt idx="58">
                  <c:v>7.334354300053131E-4</c:v>
                </c:pt>
                <c:pt idx="59">
                  <c:v>-1.0140725615007978E-4</c:v>
                </c:pt>
                <c:pt idx="60">
                  <c:v>1.9407629364987542E-3</c:v>
                </c:pt>
                <c:pt idx="61">
                  <c:v>2.0520276425607001E-3</c:v>
                </c:pt>
                <c:pt idx="62">
                  <c:v>2.1166985013222907E-3</c:v>
                </c:pt>
                <c:pt idx="63">
                  <c:v>2.0755728443595414E-3</c:v>
                </c:pt>
                <c:pt idx="64">
                  <c:v>9.053249567913432E-4</c:v>
                </c:pt>
                <c:pt idx="65">
                  <c:v>9.5018821035704421E-4</c:v>
                </c:pt>
                <c:pt idx="66">
                  <c:v>6.8914527730115399E-4</c:v>
                </c:pt>
                <c:pt idx="67">
                  <c:v>1.0626507892348644E-3</c:v>
                </c:pt>
                <c:pt idx="68">
                  <c:v>1.931698071946542E-3</c:v>
                </c:pt>
                <c:pt idx="69">
                  <c:v>2.6418697708258335E-3</c:v>
                </c:pt>
                <c:pt idx="70">
                  <c:v>7.4829592609553712E-4</c:v>
                </c:pt>
                <c:pt idx="71">
                  <c:v>9.7432318526643623E-4</c:v>
                </c:pt>
                <c:pt idx="72">
                  <c:v>-1.1227765176723685E-3</c:v>
                </c:pt>
                <c:pt idx="73">
                  <c:v>4.4417652844309219E-4</c:v>
                </c:pt>
                <c:pt idx="74">
                  <c:v>2.3558086539721425E-4</c:v>
                </c:pt>
                <c:pt idx="75">
                  <c:v>1.766440350933527E-4</c:v>
                </c:pt>
                <c:pt idx="76">
                  <c:v>6.3399480124256798E-4</c:v>
                </c:pt>
                <c:pt idx="77">
                  <c:v>1.0499542907830275E-3</c:v>
                </c:pt>
                <c:pt idx="78">
                  <c:v>7.6403519082801142E-4</c:v>
                </c:pt>
                <c:pt idx="79">
                  <c:v>6.5955015065745674E-4</c:v>
                </c:pt>
                <c:pt idx="80">
                  <c:v>9.1192682915830329E-4</c:v>
                </c:pt>
                <c:pt idx="81">
                  <c:v>5.3673475831149452E-4</c:v>
                </c:pt>
                <c:pt idx="82">
                  <c:v>1.4380381373123039E-3</c:v>
                </c:pt>
                <c:pt idx="83">
                  <c:v>8.7328774831301696E-4</c:v>
                </c:pt>
                <c:pt idx="84">
                  <c:v>2.0688755661298444E-3</c:v>
                </c:pt>
                <c:pt idx="85">
                  <c:v>1.840190661705617E-3</c:v>
                </c:pt>
                <c:pt idx="86">
                  <c:v>1.0796862189926836E-3</c:v>
                </c:pt>
                <c:pt idx="87">
                  <c:v>1.2217279619071313E-3</c:v>
                </c:pt>
                <c:pt idx="88">
                  <c:v>2.0024404743281209E-3</c:v>
                </c:pt>
                <c:pt idx="89">
                  <c:v>2.3285379725660371E-3</c:v>
                </c:pt>
                <c:pt idx="90">
                  <c:v>2.3186780419853694E-3</c:v>
                </c:pt>
                <c:pt idx="91">
                  <c:v>2.8594517312115616E-3</c:v>
                </c:pt>
                <c:pt idx="92">
                  <c:v>1.1334354605909813E-3</c:v>
                </c:pt>
                <c:pt idx="93">
                  <c:v>1.715918237380506E-3</c:v>
                </c:pt>
                <c:pt idx="94">
                  <c:v>1.7350533760695111E-3</c:v>
                </c:pt>
                <c:pt idx="95">
                  <c:v>2.230067122376036E-3</c:v>
                </c:pt>
                <c:pt idx="96">
                  <c:v>2.0755920054528632E-3</c:v>
                </c:pt>
                <c:pt idx="97">
                  <c:v>6.8896817142573524E-4</c:v>
                </c:pt>
                <c:pt idx="98">
                  <c:v>1.9470780673058266E-3</c:v>
                </c:pt>
                <c:pt idx="99">
                  <c:v>1.8688889083412516E-3</c:v>
                </c:pt>
                <c:pt idx="100">
                  <c:v>1.3935912278018759E-3</c:v>
                </c:pt>
                <c:pt idx="101">
                  <c:v>1.7406554287509202E-3</c:v>
                </c:pt>
                <c:pt idx="102">
                  <c:v>1.5111726612752573E-3</c:v>
                </c:pt>
                <c:pt idx="103">
                  <c:v>1.1436274296647616E-3</c:v>
                </c:pt>
                <c:pt idx="104">
                  <c:v>1.8502994792231684E-3</c:v>
                </c:pt>
                <c:pt idx="105">
                  <c:v>1.5824225371652921E-3</c:v>
                </c:pt>
                <c:pt idx="106">
                  <c:v>1.3245377103678043E-3</c:v>
                </c:pt>
                <c:pt idx="107">
                  <c:v>1.7075173993860795E-3</c:v>
                </c:pt>
                <c:pt idx="108">
                  <c:v>2.1749919085123277E-3</c:v>
                </c:pt>
                <c:pt idx="109">
                  <c:v>1.4640721012447841E-3</c:v>
                </c:pt>
                <c:pt idx="110">
                  <c:v>9.6745481986001036E-4</c:v>
                </c:pt>
                <c:pt idx="111">
                  <c:v>1.6323444762314531E-4</c:v>
                </c:pt>
                <c:pt idx="112">
                  <c:v>7.0437053326010042E-4</c:v>
                </c:pt>
                <c:pt idx="113">
                  <c:v>1.5193393878005844E-3</c:v>
                </c:pt>
                <c:pt idx="114">
                  <c:v>2.2712663381187106E-3</c:v>
                </c:pt>
                <c:pt idx="115">
                  <c:v>1.9497178040021263E-3</c:v>
                </c:pt>
                <c:pt idx="116">
                  <c:v>1.5533251399698546E-3</c:v>
                </c:pt>
                <c:pt idx="117">
                  <c:v>9.416276097145447E-4</c:v>
                </c:pt>
                <c:pt idx="118">
                  <c:v>1.8644565619932514E-3</c:v>
                </c:pt>
                <c:pt idx="119">
                  <c:v>1.6995313542289747E-3</c:v>
                </c:pt>
                <c:pt idx="120">
                  <c:v>8.5680716324732723E-4</c:v>
                </c:pt>
                <c:pt idx="121">
                  <c:v>9.4930941977695263E-4</c:v>
                </c:pt>
                <c:pt idx="122">
                  <c:v>1.8629464191205949E-3</c:v>
                </c:pt>
                <c:pt idx="123">
                  <c:v>1.8890649762282206E-3</c:v>
                </c:pt>
                <c:pt idx="124">
                  <c:v>1.9276844165485323E-3</c:v>
                </c:pt>
                <c:pt idx="125">
                  <c:v>1.2966837733497498E-3</c:v>
                </c:pt>
                <c:pt idx="126">
                  <c:v>1.5052325752511347E-3</c:v>
                </c:pt>
                <c:pt idx="127">
                  <c:v>8.8163059677998264E-4</c:v>
                </c:pt>
                <c:pt idx="128">
                  <c:v>2E-3</c:v>
                </c:pt>
                <c:pt idx="129">
                  <c:v>1.6960793346343635E-3</c:v>
                </c:pt>
                <c:pt idx="130">
                  <c:v>1.1162627356380295E-3</c:v>
                </c:pt>
                <c:pt idx="131">
                  <c:v>5.261883085969346E-4</c:v>
                </c:pt>
                <c:pt idx="132">
                  <c:v>9.4747562441566992E-4</c:v>
                </c:pt>
                <c:pt idx="133">
                  <c:v>1.5053521314701576E-3</c:v>
                </c:pt>
                <c:pt idx="134">
                  <c:v>2.4274270106423666E-3</c:v>
                </c:pt>
                <c:pt idx="135">
                  <c:v>2.4547776785529196E-3</c:v>
                </c:pt>
                <c:pt idx="136">
                  <c:v>1.4170526961291446E-3</c:v>
                </c:pt>
                <c:pt idx="137">
                  <c:v>1.5557247360233227E-3</c:v>
                </c:pt>
                <c:pt idx="138">
                  <c:v>2.0697005750545507E-3</c:v>
                </c:pt>
                <c:pt idx="139">
                  <c:v>1.0388967905510258E-3</c:v>
                </c:pt>
                <c:pt idx="140">
                  <c:v>2.0550455692970229E-3</c:v>
                </c:pt>
                <c:pt idx="141">
                  <c:v>1.8576665735093383E-3</c:v>
                </c:pt>
                <c:pt idx="142">
                  <c:v>1.9403695316859194E-3</c:v>
                </c:pt>
                <c:pt idx="143">
                  <c:v>1.2528609037793948E-3</c:v>
                </c:pt>
                <c:pt idx="144">
                  <c:v>1.6683909432543252E-3</c:v>
                </c:pt>
                <c:pt idx="145">
                  <c:v>2.265722275519905E-3</c:v>
                </c:pt>
                <c:pt idx="146">
                  <c:v>1.6414809987374038E-3</c:v>
                </c:pt>
                <c:pt idx="147">
                  <c:v>2.5944134714308586E-3</c:v>
                </c:pt>
                <c:pt idx="148">
                  <c:v>2.3767901975656671E-3</c:v>
                </c:pt>
                <c:pt idx="149">
                  <c:v>1.6306744841929439E-3</c:v>
                </c:pt>
                <c:pt idx="150">
                  <c:v>1.1674880827341669E-3</c:v>
                </c:pt>
                <c:pt idx="151">
                  <c:v>2.396813932187089E-3</c:v>
                </c:pt>
                <c:pt idx="152">
                  <c:v>1.6866393208358774E-3</c:v>
                </c:pt>
                <c:pt idx="153">
                  <c:v>1.205584266321533E-3</c:v>
                </c:pt>
                <c:pt idx="154">
                  <c:v>1.3606698188181785E-3</c:v>
                </c:pt>
                <c:pt idx="155">
                  <c:v>1.7596530397104107E-3</c:v>
                </c:pt>
                <c:pt idx="156">
                  <c:v>2.1686939820742702E-3</c:v>
                </c:pt>
                <c:pt idx="157">
                  <c:v>1.7607461411311997E-3</c:v>
                </c:pt>
                <c:pt idx="158">
                  <c:v>-2.6703546788989712E-4</c:v>
                </c:pt>
                <c:pt idx="159">
                  <c:v>1.6584541293913028E-3</c:v>
                </c:pt>
                <c:pt idx="160">
                  <c:v>9.3929600560389566E-4</c:v>
                </c:pt>
                <c:pt idx="161">
                  <c:v>1.3280951775035117E-3</c:v>
                </c:pt>
                <c:pt idx="162">
                  <c:v>8.9348825757874339E-4</c:v>
                </c:pt>
                <c:pt idx="163">
                  <c:v>2.1821326974731355E-3</c:v>
                </c:pt>
                <c:pt idx="164">
                  <c:v>1.7498228403345203E-3</c:v>
                </c:pt>
                <c:pt idx="165">
                  <c:v>1.9601721473765281E-3</c:v>
                </c:pt>
                <c:pt idx="166">
                  <c:v>8.2434377896544136E-4</c:v>
                </c:pt>
                <c:pt idx="167">
                  <c:v>2.2227126552745798E-3</c:v>
                </c:pt>
                <c:pt idx="168">
                  <c:v>2.7486355128427432E-3</c:v>
                </c:pt>
                <c:pt idx="169">
                  <c:v>1.8234793554686868E-3</c:v>
                </c:pt>
                <c:pt idx="170">
                  <c:v>2.5247385232041483E-3</c:v>
                </c:pt>
                <c:pt idx="171">
                  <c:v>2.1045069245695805E-3</c:v>
                </c:pt>
                <c:pt idx="172">
                  <c:v>1.9520291752383593E-3</c:v>
                </c:pt>
                <c:pt idx="173">
                  <c:v>1.4660304794347795E-3</c:v>
                </c:pt>
                <c:pt idx="174">
                  <c:v>1.5376610466968051E-3</c:v>
                </c:pt>
                <c:pt idx="175">
                  <c:v>5.8155313457130718E-4</c:v>
                </c:pt>
                <c:pt idx="176">
                  <c:v>1.75914445133295E-3</c:v>
                </c:pt>
                <c:pt idx="177">
                  <c:v>1.7599232596098931E-3</c:v>
                </c:pt>
                <c:pt idx="178">
                  <c:v>1.6448575036007113E-3</c:v>
                </c:pt>
                <c:pt idx="179">
                  <c:v>1.7655108609755409E-3</c:v>
                </c:pt>
                <c:pt idx="180">
                  <c:v>2.1010262705244186E-3</c:v>
                </c:pt>
                <c:pt idx="181">
                  <c:v>1.163509574954198E-3</c:v>
                </c:pt>
                <c:pt idx="182">
                  <c:v>2.3665053198426629E-3</c:v>
                </c:pt>
                <c:pt idx="183">
                  <c:v>2.7206042726114843E-3</c:v>
                </c:pt>
                <c:pt idx="184">
                  <c:v>1.2745659225338797E-3</c:v>
                </c:pt>
                <c:pt idx="185">
                  <c:v>2.7936154643575981E-3</c:v>
                </c:pt>
                <c:pt idx="186">
                  <c:v>1.8964947152786281E-3</c:v>
                </c:pt>
                <c:pt idx="187">
                  <c:v>2.0294671036660333E-3</c:v>
                </c:pt>
                <c:pt idx="188">
                  <c:v>1.7111424904694594E-3</c:v>
                </c:pt>
                <c:pt idx="189">
                  <c:v>1.5986213308239203E-3</c:v>
                </c:pt>
                <c:pt idx="190">
                  <c:v>1.5130590960887251E-3</c:v>
                </c:pt>
                <c:pt idx="191">
                  <c:v>8.4392318791980288E-4</c:v>
                </c:pt>
                <c:pt idx="192">
                  <c:v>2.4656410101974871E-3</c:v>
                </c:pt>
                <c:pt idx="193">
                  <c:v>2.1403948840806935E-3</c:v>
                </c:pt>
                <c:pt idx="194">
                  <c:v>-2.0983527930568198E-4</c:v>
                </c:pt>
                <c:pt idx="195">
                  <c:v>-3.6878794693050764E-3</c:v>
                </c:pt>
                <c:pt idx="196">
                  <c:v>-7.4858183240799692E-4</c:v>
                </c:pt>
                <c:pt idx="197">
                  <c:v>2.4281255999728268E-3</c:v>
                </c:pt>
                <c:pt idx="198">
                  <c:v>5.4078007525855962E-3</c:v>
                </c:pt>
                <c:pt idx="199">
                  <c:v>3.481223059741136E-3</c:v>
                </c:pt>
                <c:pt idx="200">
                  <c:v>1.8648521890609348E-3</c:v>
                </c:pt>
                <c:pt idx="201">
                  <c:v>7.2448960636083311E-4</c:v>
                </c:pt>
                <c:pt idx="202">
                  <c:v>1.7412288843511939E-3</c:v>
                </c:pt>
                <c:pt idx="203">
                  <c:v>4.4844877491941222E-4</c:v>
                </c:pt>
                <c:pt idx="204">
                  <c:v>3.1488478921234178E-4</c:v>
                </c:pt>
                <c:pt idx="205">
                  <c:v>1.0147208591797091E-3</c:v>
                </c:pt>
                <c:pt idx="206">
                  <c:v>3.3851401596011106E-3</c:v>
                </c:pt>
                <c:pt idx="207">
                  <c:v>9.1661934855869903E-3</c:v>
                </c:pt>
                <c:pt idx="208">
                  <c:v>7.3730361709902414E-3</c:v>
                </c:pt>
                <c:pt idx="209">
                  <c:v>8.7843376203220989E-3</c:v>
                </c:pt>
                <c:pt idx="210">
                  <c:v>3.2861149061623185E-3</c:v>
                </c:pt>
                <c:pt idx="211">
                  <c:v>1.0177241680823378E-3</c:v>
                </c:pt>
                <c:pt idx="212">
                  <c:v>2.4307469803606153E-3</c:v>
                </c:pt>
                <c:pt idx="213">
                  <c:v>5.9924933129059926E-3</c:v>
                </c:pt>
                <c:pt idx="214">
                  <c:v>5.3462077779159326E-3</c:v>
                </c:pt>
                <c:pt idx="215">
                  <c:v>5.5013930035557523E-3</c:v>
                </c:pt>
              </c:numCache>
            </c:numRef>
          </c:val>
          <c:extLst>
            <c:ext xmlns:c16="http://schemas.microsoft.com/office/drawing/2014/chart" uri="{C3380CC4-5D6E-409C-BE32-E72D297353CC}">
              <c16:uniqueId val="{00000000-64ED-6643-9CE8-F8F6A8404807}"/>
            </c:ext>
          </c:extLst>
        </c:ser>
        <c:dLbls>
          <c:showLegendKey val="0"/>
          <c:showVal val="0"/>
          <c:showCatName val="0"/>
          <c:showSerName val="0"/>
          <c:showPercent val="0"/>
          <c:showBubbleSize val="0"/>
        </c:dLbls>
        <c:gapWidth val="150"/>
        <c:axId val="10846495"/>
        <c:axId val="10837311"/>
      </c:barChart>
      <c:dateAx>
        <c:axId val="10846495"/>
        <c:scaling>
          <c:orientation val="minMax"/>
          <c:min val="43466"/>
        </c:scaling>
        <c:delete val="0"/>
        <c:axPos val="b"/>
        <c:numFmt formatCode="[$-409]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837311"/>
        <c:crosses val="autoZero"/>
        <c:auto val="0"/>
        <c:lblOffset val="100"/>
        <c:baseTimeUnit val="months"/>
      </c:dateAx>
      <c:valAx>
        <c:axId val="10837311"/>
        <c:scaling>
          <c:orientation val="minMax"/>
          <c:max val="0.01"/>
          <c:min val="-5.000000000000001E-3"/>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846495"/>
        <c:crosses val="autoZero"/>
        <c:crossBetween val="between"/>
      </c:valAx>
    </c:plotArea>
    <c:plotVisOnly val="1"/>
    <c:dispBlanksAs val="gap"/>
    <c:showDLblsOverMax val="0"/>
  </c:chart>
  <c:printSettings>
    <c:headerFooter/>
    <c:pageMargins b="0.75" l="0.7" r="0.7" t="0.75" header="0.3" footer="0.3"/>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strike="noStrike" kern="1200" spc="0" baseline="0">
                <a:solidFill>
                  <a:schemeClr val="tx1">
                    <a:lumMod val="65000"/>
                    <a:lumOff val="35000"/>
                  </a:schemeClr>
                </a:solidFill>
                <a:latin typeface="+mn-lt"/>
                <a:ea typeface="+mn-ea"/>
                <a:cs typeface="+mn-cs"/>
              </a:defRPr>
            </a:pPr>
            <a:r>
              <a:rPr lang="en-US" b="1"/>
              <a:t>Core CPI y/y % since 2014</a:t>
            </a:r>
          </a:p>
        </c:rich>
      </c:tx>
      <c:overlay val="0"/>
      <c:spPr>
        <a:noFill/>
        <a:ln>
          <a:noFill/>
          <a:prstDash val="solid"/>
        </a:ln>
      </c:spPr>
    </c:title>
    <c:autoTitleDeleted val="0"/>
    <c:plotArea>
      <c:layout/>
      <c:lineChart>
        <c:grouping val="standard"/>
        <c:varyColors val="0"/>
        <c:ser>
          <c:idx val="2"/>
          <c:order val="0"/>
          <c:tx>
            <c:strRef>
              <c:f>'Core CPI'!$D$569</c:f>
              <c:strCache>
                <c:ptCount val="1"/>
                <c:pt idx="0">
                  <c:v>1.61%</c:v>
                </c:pt>
              </c:strCache>
            </c:strRef>
          </c:tx>
          <c:spPr>
            <a:ln w="28575" cap="rnd">
              <a:solidFill>
                <a:srgbClr val="0070C0"/>
              </a:solidFill>
              <a:prstDash val="solid"/>
              <a:round/>
            </a:ln>
          </c:spPr>
          <c:marker>
            <c:symbol val="none"/>
          </c:marker>
          <c:cat>
            <c:numRef>
              <c:f>'Core CPI'!$A$569:$A$902</c:f>
              <c:numCache>
                <c:formatCode>[$-409]mmm\-yy;@</c:formatCode>
                <c:ptCount val="334"/>
                <c:pt idx="0">
                  <c:v>41640</c:v>
                </c:pt>
                <c:pt idx="1">
                  <c:v>41671</c:v>
                </c:pt>
                <c:pt idx="2">
                  <c:v>41699</c:v>
                </c:pt>
                <c:pt idx="3">
                  <c:v>41730</c:v>
                </c:pt>
                <c:pt idx="4">
                  <c:v>41760</c:v>
                </c:pt>
                <c:pt idx="5">
                  <c:v>41791</c:v>
                </c:pt>
                <c:pt idx="6">
                  <c:v>41821</c:v>
                </c:pt>
                <c:pt idx="7">
                  <c:v>41852</c:v>
                </c:pt>
                <c:pt idx="8">
                  <c:v>41883</c:v>
                </c:pt>
                <c:pt idx="9">
                  <c:v>41913</c:v>
                </c:pt>
                <c:pt idx="10">
                  <c:v>41944</c:v>
                </c:pt>
                <c:pt idx="11">
                  <c:v>41974</c:v>
                </c:pt>
                <c:pt idx="12">
                  <c:v>42005</c:v>
                </c:pt>
                <c:pt idx="13">
                  <c:v>42036</c:v>
                </c:pt>
                <c:pt idx="14">
                  <c:v>42064</c:v>
                </c:pt>
                <c:pt idx="15">
                  <c:v>42095</c:v>
                </c:pt>
                <c:pt idx="16">
                  <c:v>42125</c:v>
                </c:pt>
                <c:pt idx="17">
                  <c:v>42156</c:v>
                </c:pt>
                <c:pt idx="18">
                  <c:v>42186</c:v>
                </c:pt>
                <c:pt idx="19">
                  <c:v>42217</c:v>
                </c:pt>
                <c:pt idx="20">
                  <c:v>42248</c:v>
                </c:pt>
                <c:pt idx="21">
                  <c:v>42278</c:v>
                </c:pt>
                <c:pt idx="22">
                  <c:v>42309</c:v>
                </c:pt>
                <c:pt idx="23">
                  <c:v>42339</c:v>
                </c:pt>
                <c:pt idx="24">
                  <c:v>42370</c:v>
                </c:pt>
                <c:pt idx="25">
                  <c:v>42401</c:v>
                </c:pt>
                <c:pt idx="26">
                  <c:v>42430</c:v>
                </c:pt>
                <c:pt idx="27">
                  <c:v>42461</c:v>
                </c:pt>
                <c:pt idx="28">
                  <c:v>42491</c:v>
                </c:pt>
                <c:pt idx="29">
                  <c:v>42522</c:v>
                </c:pt>
                <c:pt idx="30">
                  <c:v>42552</c:v>
                </c:pt>
                <c:pt idx="31">
                  <c:v>42583</c:v>
                </c:pt>
                <c:pt idx="32">
                  <c:v>42614</c:v>
                </c:pt>
                <c:pt idx="33">
                  <c:v>42644</c:v>
                </c:pt>
                <c:pt idx="34">
                  <c:v>42675</c:v>
                </c:pt>
                <c:pt idx="35">
                  <c:v>42705</c:v>
                </c:pt>
                <c:pt idx="36">
                  <c:v>42736</c:v>
                </c:pt>
                <c:pt idx="37">
                  <c:v>42767</c:v>
                </c:pt>
                <c:pt idx="38">
                  <c:v>42795</c:v>
                </c:pt>
                <c:pt idx="39">
                  <c:v>42826</c:v>
                </c:pt>
                <c:pt idx="40">
                  <c:v>42856</c:v>
                </c:pt>
                <c:pt idx="41">
                  <c:v>42887</c:v>
                </c:pt>
                <c:pt idx="42">
                  <c:v>42917</c:v>
                </c:pt>
                <c:pt idx="43">
                  <c:v>42948</c:v>
                </c:pt>
                <c:pt idx="44">
                  <c:v>42979</c:v>
                </c:pt>
                <c:pt idx="45">
                  <c:v>43009</c:v>
                </c:pt>
                <c:pt idx="46">
                  <c:v>43040</c:v>
                </c:pt>
                <c:pt idx="47">
                  <c:v>43070</c:v>
                </c:pt>
                <c:pt idx="48">
                  <c:v>43101</c:v>
                </c:pt>
                <c:pt idx="49">
                  <c:v>43132</c:v>
                </c:pt>
                <c:pt idx="50">
                  <c:v>43160</c:v>
                </c:pt>
                <c:pt idx="51">
                  <c:v>43191</c:v>
                </c:pt>
                <c:pt idx="52">
                  <c:v>43221</c:v>
                </c:pt>
                <c:pt idx="53">
                  <c:v>43252</c:v>
                </c:pt>
                <c:pt idx="54">
                  <c:v>43282</c:v>
                </c:pt>
                <c:pt idx="55">
                  <c:v>43313</c:v>
                </c:pt>
                <c:pt idx="56">
                  <c:v>43344</c:v>
                </c:pt>
                <c:pt idx="57">
                  <c:v>43374</c:v>
                </c:pt>
                <c:pt idx="58">
                  <c:v>43405</c:v>
                </c:pt>
                <c:pt idx="59">
                  <c:v>43435</c:v>
                </c:pt>
                <c:pt idx="60">
                  <c:v>43466</c:v>
                </c:pt>
                <c:pt idx="61">
                  <c:v>43497</c:v>
                </c:pt>
                <c:pt idx="62">
                  <c:v>43525</c:v>
                </c:pt>
                <c:pt idx="63">
                  <c:v>43556</c:v>
                </c:pt>
                <c:pt idx="64">
                  <c:v>43586</c:v>
                </c:pt>
                <c:pt idx="65">
                  <c:v>43617</c:v>
                </c:pt>
                <c:pt idx="66">
                  <c:v>43647</c:v>
                </c:pt>
                <c:pt idx="67">
                  <c:v>43678</c:v>
                </c:pt>
                <c:pt idx="68">
                  <c:v>43709</c:v>
                </c:pt>
                <c:pt idx="69">
                  <c:v>43739</c:v>
                </c:pt>
                <c:pt idx="70">
                  <c:v>43770</c:v>
                </c:pt>
                <c:pt idx="71">
                  <c:v>43800</c:v>
                </c:pt>
                <c:pt idx="72">
                  <c:v>43831</c:v>
                </c:pt>
                <c:pt idx="73">
                  <c:v>43862</c:v>
                </c:pt>
                <c:pt idx="74">
                  <c:v>43891</c:v>
                </c:pt>
                <c:pt idx="75">
                  <c:v>43922</c:v>
                </c:pt>
                <c:pt idx="76">
                  <c:v>43952</c:v>
                </c:pt>
                <c:pt idx="77">
                  <c:v>43983</c:v>
                </c:pt>
                <c:pt idx="78">
                  <c:v>44013</c:v>
                </c:pt>
                <c:pt idx="79">
                  <c:v>44044</c:v>
                </c:pt>
                <c:pt idx="80">
                  <c:v>44075</c:v>
                </c:pt>
                <c:pt idx="81">
                  <c:v>44105</c:v>
                </c:pt>
                <c:pt idx="82">
                  <c:v>44136</c:v>
                </c:pt>
                <c:pt idx="83">
                  <c:v>44166</c:v>
                </c:pt>
                <c:pt idx="84">
                  <c:v>44197</c:v>
                </c:pt>
                <c:pt idx="85">
                  <c:v>44228</c:v>
                </c:pt>
                <c:pt idx="86">
                  <c:v>44256</c:v>
                </c:pt>
                <c:pt idx="87">
                  <c:v>44287</c:v>
                </c:pt>
                <c:pt idx="88">
                  <c:v>44317</c:v>
                </c:pt>
                <c:pt idx="89">
                  <c:v>44348</c:v>
                </c:pt>
                <c:pt idx="90">
                  <c:v>44378</c:v>
                </c:pt>
                <c:pt idx="91">
                  <c:v>44409</c:v>
                </c:pt>
                <c:pt idx="92">
                  <c:v>44440</c:v>
                </c:pt>
                <c:pt idx="93">
                  <c:v>44470</c:v>
                </c:pt>
                <c:pt idx="94">
                  <c:v>44501</c:v>
                </c:pt>
                <c:pt idx="95">
                  <c:v>44531</c:v>
                </c:pt>
              </c:numCache>
            </c:numRef>
          </c:cat>
          <c:val>
            <c:numRef>
              <c:f>'Core CPI'!$D$569:$D$902</c:f>
              <c:numCache>
                <c:formatCode>0.00%</c:formatCode>
                <c:ptCount val="334"/>
                <c:pt idx="0">
                  <c:v>1.6070344358370396E-2</c:v>
                </c:pt>
                <c:pt idx="1">
                  <c:v>1.55480739049487E-2</c:v>
                </c:pt>
                <c:pt idx="2">
                  <c:v>1.6456609706435685E-2</c:v>
                </c:pt>
                <c:pt idx="3">
                  <c:v>1.8210555250137477E-2</c:v>
                </c:pt>
                <c:pt idx="4">
                  <c:v>1.945526961836249E-2</c:v>
                </c:pt>
                <c:pt idx="5">
                  <c:v>1.9228626526676645E-2</c:v>
                </c:pt>
                <c:pt idx="6">
                  <c:v>1.8449632290063273E-2</c:v>
                </c:pt>
                <c:pt idx="7">
                  <c:v>1.7363956028949832E-2</c:v>
                </c:pt>
                <c:pt idx="8">
                  <c:v>1.740945888368135E-2</c:v>
                </c:pt>
                <c:pt idx="9">
                  <c:v>1.8176323104362787E-2</c:v>
                </c:pt>
                <c:pt idx="10">
                  <c:v>1.7415947552462365E-2</c:v>
                </c:pt>
                <c:pt idx="11">
                  <c:v>1.6224195046636681E-2</c:v>
                </c:pt>
                <c:pt idx="12">
                  <c:v>1.6316255652417112E-2</c:v>
                </c:pt>
                <c:pt idx="13">
                  <c:v>1.6880834938713275E-2</c:v>
                </c:pt>
                <c:pt idx="14">
                  <c:v>1.7453777073428402E-2</c:v>
                </c:pt>
                <c:pt idx="15">
                  <c:v>1.8028278328946483E-2</c:v>
                </c:pt>
                <c:pt idx="16">
                  <c:v>1.7509440952473136E-2</c:v>
                </c:pt>
                <c:pt idx="17">
                  <c:v>1.7772676244654971E-2</c:v>
                </c:pt>
                <c:pt idx="18">
                  <c:v>1.8346312894897059E-2</c:v>
                </c:pt>
                <c:pt idx="19">
                  <c:v>1.8506323273421305E-2</c:v>
                </c:pt>
                <c:pt idx="20">
                  <c:v>1.8970961446650982E-2</c:v>
                </c:pt>
                <c:pt idx="21">
                  <c:v>1.9135335359608003E-2</c:v>
                </c:pt>
                <c:pt idx="22">
                  <c:v>1.9974275238246436E-2</c:v>
                </c:pt>
                <c:pt idx="23">
                  <c:v>2.0715072792840898E-2</c:v>
                </c:pt>
                <c:pt idx="24">
                  <c:v>2.1450225385824691E-2</c:v>
                </c:pt>
                <c:pt idx="25">
                  <c:v>2.2225738220941635E-2</c:v>
                </c:pt>
                <c:pt idx="26">
                  <c:v>2.1424269485576689E-2</c:v>
                </c:pt>
                <c:pt idx="27">
                  <c:v>2.1566547612141839E-2</c:v>
                </c:pt>
                <c:pt idx="28">
                  <c:v>2.2545595974976053E-2</c:v>
                </c:pt>
                <c:pt idx="29">
                  <c:v>2.2622116465067087E-2</c:v>
                </c:pt>
                <c:pt idx="30">
                  <c:v>2.1701399624842868E-2</c:v>
                </c:pt>
                <c:pt idx="31">
                  <c:v>2.3087345614186794E-2</c:v>
                </c:pt>
                <c:pt idx="32">
                  <c:v>2.2711206825691735E-2</c:v>
                </c:pt>
                <c:pt idx="33">
                  <c:v>2.2045551507991184E-2</c:v>
                </c:pt>
                <c:pt idx="34">
                  <c:v>2.1454219398053483E-2</c:v>
                </c:pt>
                <c:pt idx="35">
                  <c:v>2.1971236613002779E-2</c:v>
                </c:pt>
                <c:pt idx="36">
                  <c:v>2.2481680308628019E-2</c:v>
                </c:pt>
                <c:pt idx="37">
                  <c:v>2.1966518675410374E-2</c:v>
                </c:pt>
                <c:pt idx="38">
                  <c:v>2.0019275109489948E-2</c:v>
                </c:pt>
                <c:pt idx="39">
                  <c:v>1.9067049008116059E-2</c:v>
                </c:pt>
                <c:pt idx="40">
                  <c:v>1.7605619555145523E-2</c:v>
                </c:pt>
                <c:pt idx="41">
                  <c:v>1.7298214429991157E-2</c:v>
                </c:pt>
                <c:pt idx="42">
                  <c:v>1.7019799942702384E-2</c:v>
                </c:pt>
                <c:pt idx="43">
                  <c:v>1.680198693357703E-2</c:v>
                </c:pt>
                <c:pt idx="44">
                  <c:v>1.6866123885839104E-2</c:v>
                </c:pt>
                <c:pt idx="45">
                  <c:v>1.7632514790761899E-2</c:v>
                </c:pt>
                <c:pt idx="46">
                  <c:v>1.7087473595183623E-2</c:v>
                </c:pt>
                <c:pt idx="47">
                  <c:v>1.7557618437900151E-2</c:v>
                </c:pt>
                <c:pt idx="48">
                  <c:v>1.8146465332066406E-2</c:v>
                </c:pt>
                <c:pt idx="49">
                  <c:v>1.8210224668497456E-2</c:v>
                </c:pt>
                <c:pt idx="50">
                  <c:v>2.105359677239314E-2</c:v>
                </c:pt>
                <c:pt idx="51">
                  <c:v>2.1508286501201967E-2</c:v>
                </c:pt>
                <c:pt idx="52">
                  <c:v>2.2541831021758423E-2</c:v>
                </c:pt>
                <c:pt idx="53">
                  <c:v>2.2682688565732894E-2</c:v>
                </c:pt>
                <c:pt idx="54">
                  <c:v>2.3340884834971293E-2</c:v>
                </c:pt>
                <c:pt idx="55">
                  <c:v>2.1706512745598622E-2</c:v>
                </c:pt>
                <c:pt idx="56">
                  <c:v>2.171602006014885E-2</c:v>
                </c:pt>
                <c:pt idx="57">
                  <c:v>2.1511822825250871E-2</c:v>
                </c:pt>
                <c:pt idx="58">
                  <c:v>2.2349296929188554E-2</c:v>
                </c:pt>
                <c:pt idx="59">
                  <c:v>2.1882913632288399E-2</c:v>
                </c:pt>
                <c:pt idx="60">
                  <c:v>2.1222946821067568E-2</c:v>
                </c:pt>
                <c:pt idx="61">
                  <c:v>2.0550197281893796E-2</c:v>
                </c:pt>
                <c:pt idx="62">
                  <c:v>2.0389119035440755E-2</c:v>
                </c:pt>
                <c:pt idx="63">
                  <c:v>2.1016457826818796E-2</c:v>
                </c:pt>
                <c:pt idx="64">
                  <c:v>2.0326104286486592E-2</c:v>
                </c:pt>
                <c:pt idx="65">
                  <c:v>2.1678690968959542E-2</c:v>
                </c:pt>
                <c:pt idx="66">
                  <c:v>2.2044740821152941E-2</c:v>
                </c:pt>
                <c:pt idx="67">
                  <c:v>2.3523713577185471E-2</c:v>
                </c:pt>
                <c:pt idx="68">
                  <c:v>2.3474668708951308E-2</c:v>
                </c:pt>
                <c:pt idx="69">
                  <c:v>2.3309870303372095E-2</c:v>
                </c:pt>
                <c:pt idx="70">
                  <c:v>2.3175221170711024E-2</c:v>
                </c:pt>
                <c:pt idx="71">
                  <c:v>2.2233937346319243E-2</c:v>
                </c:pt>
                <c:pt idx="72">
                  <c:v>2.260587745133804E-2</c:v>
                </c:pt>
                <c:pt idx="73">
                  <c:v>2.3603685151233868E-2</c:v>
                </c:pt>
                <c:pt idx="74">
                  <c:v>2.0972759519245099E-2</c:v>
                </c:pt>
                <c:pt idx="75">
                  <c:v>1.4447624499141391E-2</c:v>
                </c:pt>
                <c:pt idx="76">
                  <c:v>1.2397859625586871E-2</c:v>
                </c:pt>
                <c:pt idx="77">
                  <c:v>1.202886928628695E-2</c:v>
                </c:pt>
                <c:pt idx="78">
                  <c:v>1.5575685846079126E-2</c:v>
                </c:pt>
                <c:pt idx="79">
                  <c:v>1.7047067775628279E-2</c:v>
                </c:pt>
                <c:pt idx="80">
                  <c:v>1.7203130727920561E-2</c:v>
                </c:pt>
                <c:pt idx="81">
                  <c:v>1.6315380377774302E-2</c:v>
                </c:pt>
                <c:pt idx="82">
                  <c:v>1.6546922505999751E-2</c:v>
                </c:pt>
                <c:pt idx="83">
                  <c:v>1.614524319501898E-2</c:v>
                </c:pt>
                <c:pt idx="84">
                  <c:v>1.396513784894067E-2</c:v>
                </c:pt>
                <c:pt idx="85">
                  <c:v>1.2826181447563671E-2</c:v>
                </c:pt>
                <c:pt idx="86">
                  <c:v>1.6468030882242732E-2</c:v>
                </c:pt>
                <c:pt idx="87">
                  <c:v>2.9582148392241742E-2</c:v>
                </c:pt>
                <c:pt idx="88">
                  <c:v>3.7950285540041553E-2</c:v>
                </c:pt>
                <c:pt idx="89">
                  <c:v>4.4531737030666756E-2</c:v>
                </c:pt>
                <c:pt idx="90">
                  <c:v>4.2327488962431159E-2</c:v>
                </c:pt>
                <c:pt idx="91">
                  <c:v>3.9768624327201629E-2</c:v>
                </c:pt>
                <c:pt idx="92">
                  <c:v>4.0355928739945472E-2</c:v>
                </c:pt>
                <c:pt idx="93">
                  <c:v>4.5832559866344789E-2</c:v>
                </c:pt>
                <c:pt idx="94">
                  <c:v>4.9596210793161358E-2</c:v>
                </c:pt>
                <c:pt idx="95">
                  <c:v>5.4897384603986132E-2</c:v>
                </c:pt>
              </c:numCache>
            </c:numRef>
          </c:val>
          <c:smooth val="0"/>
          <c:extLst>
            <c:ext xmlns:c16="http://schemas.microsoft.com/office/drawing/2014/chart" uri="{C3380CC4-5D6E-409C-BE32-E72D297353CC}">
              <c16:uniqueId val="{00000000-3C26-2F4F-A395-C14CFE6BB2D1}"/>
            </c:ext>
          </c:extLst>
        </c:ser>
        <c:dLbls>
          <c:showLegendKey val="0"/>
          <c:showVal val="0"/>
          <c:showCatName val="0"/>
          <c:showSerName val="0"/>
          <c:showPercent val="0"/>
          <c:showBubbleSize val="0"/>
        </c:dLbls>
        <c:smooth val="0"/>
        <c:axId val="441892151"/>
        <c:axId val="441886247"/>
      </c:lineChart>
      <c:dateAx>
        <c:axId val="441892151"/>
        <c:scaling>
          <c:orientation val="minMax"/>
        </c:scaling>
        <c:delete val="0"/>
        <c:axPos val="b"/>
        <c:numFmt formatCode="[$-409]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1886247"/>
        <c:crosses val="autoZero"/>
        <c:auto val="0"/>
        <c:lblOffset val="100"/>
        <c:baseTimeUnit val="months"/>
      </c:dateAx>
      <c:valAx>
        <c:axId val="441886247"/>
        <c:scaling>
          <c:orientation val="minMax"/>
          <c:min val="0.01"/>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1892151"/>
        <c:crosses val="autoZero"/>
        <c:crossBetween val="between"/>
      </c:valAx>
    </c:plotArea>
    <c:plotVisOnly val="1"/>
    <c:dispBlanksAs val="gap"/>
    <c:showDLblsOverMax val="0"/>
  </c:chart>
  <c:printSettings>
    <c:headerFooter/>
    <c:pageMargins b="0.75" l="0.7" r="0.7" t="0.75" header="0.3" footer="0.3"/>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marL="0" marR="0" lvl="0" indent="0" algn="ctr" defTabSz="914400" rtl="0" eaLnBrk="1" fontAlgn="auto" latinLnBrk="0" hangingPunct="1">
              <a:lnSpc>
                <a:spcPct val="100000"/>
              </a:lnSpc>
              <a:spcBef>
                <a:spcPts val="0"/>
              </a:spcBef>
              <a:spcAft>
                <a:spcPts val="0"/>
              </a:spcAft>
              <a:buClrTx/>
              <a:buSzTx/>
              <a:buFontTx/>
              <a:buNone/>
              <a:tabLst/>
              <a:defRPr/>
            </a:pPr>
            <a:r>
              <a:rPr lang="en-GB" sz="1800" b="1" i="0" baseline="0">
                <a:effectLst/>
              </a:rPr>
              <a:t>Core CPI m/m %</a:t>
            </a:r>
            <a:endParaRPr lang="en-SG">
              <a:effectLst/>
            </a:endParaRPr>
          </a:p>
        </c:rich>
      </c:tx>
      <c:overlay val="0"/>
      <c:spPr>
        <a:noFill/>
        <a:ln>
          <a:noFill/>
          <a:prstDash val="solid"/>
        </a:ln>
      </c:spPr>
    </c:title>
    <c:autoTitleDeleted val="0"/>
    <c:plotArea>
      <c:layout/>
      <c:lineChart>
        <c:grouping val="standard"/>
        <c:varyColors val="0"/>
        <c:ser>
          <c:idx val="1"/>
          <c:order val="0"/>
          <c:tx>
            <c:v>Core CPI m/m %</c:v>
          </c:tx>
          <c:spPr>
            <a:ln w="28575" cap="rnd">
              <a:solidFill>
                <a:schemeClr val="accent2"/>
              </a:solidFill>
              <a:prstDash val="solid"/>
              <a:round/>
            </a:ln>
          </c:spPr>
          <c:marker>
            <c:symbol val="none"/>
          </c:marker>
          <c:cat>
            <c:numRef>
              <c:f>'Core CPI'!$A$449:$A$676</c:f>
              <c:numCache>
                <c:formatCode>[$-409]mmm\-yy;@</c:formatCode>
                <c:ptCount val="228"/>
                <c:pt idx="0">
                  <c:v>37987</c:v>
                </c:pt>
                <c:pt idx="1">
                  <c:v>38018</c:v>
                </c:pt>
                <c:pt idx="2">
                  <c:v>38047</c:v>
                </c:pt>
                <c:pt idx="3">
                  <c:v>38078</c:v>
                </c:pt>
                <c:pt idx="4">
                  <c:v>38108</c:v>
                </c:pt>
                <c:pt idx="5">
                  <c:v>38139</c:v>
                </c:pt>
                <c:pt idx="6">
                  <c:v>38169</c:v>
                </c:pt>
                <c:pt idx="7">
                  <c:v>38200</c:v>
                </c:pt>
                <c:pt idx="8">
                  <c:v>38231</c:v>
                </c:pt>
                <c:pt idx="9">
                  <c:v>38261</c:v>
                </c:pt>
                <c:pt idx="10">
                  <c:v>38292</c:v>
                </c:pt>
                <c:pt idx="11">
                  <c:v>38322</c:v>
                </c:pt>
                <c:pt idx="12">
                  <c:v>38353</c:v>
                </c:pt>
                <c:pt idx="13">
                  <c:v>38384</c:v>
                </c:pt>
                <c:pt idx="14">
                  <c:v>38412</c:v>
                </c:pt>
                <c:pt idx="15">
                  <c:v>38443</c:v>
                </c:pt>
                <c:pt idx="16">
                  <c:v>38473</c:v>
                </c:pt>
                <c:pt idx="17">
                  <c:v>38504</c:v>
                </c:pt>
                <c:pt idx="18">
                  <c:v>38534</c:v>
                </c:pt>
                <c:pt idx="19">
                  <c:v>38565</c:v>
                </c:pt>
                <c:pt idx="20">
                  <c:v>38596</c:v>
                </c:pt>
                <c:pt idx="21">
                  <c:v>38626</c:v>
                </c:pt>
                <c:pt idx="22">
                  <c:v>38657</c:v>
                </c:pt>
                <c:pt idx="23">
                  <c:v>38687</c:v>
                </c:pt>
                <c:pt idx="24">
                  <c:v>38718</c:v>
                </c:pt>
                <c:pt idx="25">
                  <c:v>38749</c:v>
                </c:pt>
                <c:pt idx="26">
                  <c:v>38777</c:v>
                </c:pt>
                <c:pt idx="27">
                  <c:v>38808</c:v>
                </c:pt>
                <c:pt idx="28">
                  <c:v>38838</c:v>
                </c:pt>
                <c:pt idx="29">
                  <c:v>38869</c:v>
                </c:pt>
                <c:pt idx="30">
                  <c:v>38899</c:v>
                </c:pt>
                <c:pt idx="31">
                  <c:v>38930</c:v>
                </c:pt>
                <c:pt idx="32">
                  <c:v>38961</c:v>
                </c:pt>
                <c:pt idx="33">
                  <c:v>38991</c:v>
                </c:pt>
                <c:pt idx="34">
                  <c:v>39022</c:v>
                </c:pt>
                <c:pt idx="35">
                  <c:v>39052</c:v>
                </c:pt>
                <c:pt idx="36">
                  <c:v>39083</c:v>
                </c:pt>
                <c:pt idx="37">
                  <c:v>39114</c:v>
                </c:pt>
                <c:pt idx="38">
                  <c:v>39142</c:v>
                </c:pt>
                <c:pt idx="39">
                  <c:v>39173</c:v>
                </c:pt>
                <c:pt idx="40">
                  <c:v>39203</c:v>
                </c:pt>
                <c:pt idx="41">
                  <c:v>39234</c:v>
                </c:pt>
                <c:pt idx="42">
                  <c:v>39264</c:v>
                </c:pt>
                <c:pt idx="43">
                  <c:v>39295</c:v>
                </c:pt>
                <c:pt idx="44">
                  <c:v>39326</c:v>
                </c:pt>
                <c:pt idx="45">
                  <c:v>39356</c:v>
                </c:pt>
                <c:pt idx="46">
                  <c:v>39387</c:v>
                </c:pt>
                <c:pt idx="47">
                  <c:v>39417</c:v>
                </c:pt>
                <c:pt idx="48">
                  <c:v>39448</c:v>
                </c:pt>
                <c:pt idx="49">
                  <c:v>39479</c:v>
                </c:pt>
                <c:pt idx="50">
                  <c:v>39508</c:v>
                </c:pt>
                <c:pt idx="51">
                  <c:v>39539</c:v>
                </c:pt>
                <c:pt idx="52">
                  <c:v>39569</c:v>
                </c:pt>
                <c:pt idx="53">
                  <c:v>39600</c:v>
                </c:pt>
                <c:pt idx="54">
                  <c:v>39630</c:v>
                </c:pt>
                <c:pt idx="55">
                  <c:v>39661</c:v>
                </c:pt>
                <c:pt idx="56">
                  <c:v>39692</c:v>
                </c:pt>
                <c:pt idx="57">
                  <c:v>39722</c:v>
                </c:pt>
                <c:pt idx="58">
                  <c:v>39753</c:v>
                </c:pt>
                <c:pt idx="59">
                  <c:v>39783</c:v>
                </c:pt>
                <c:pt idx="60">
                  <c:v>39814</c:v>
                </c:pt>
                <c:pt idx="61">
                  <c:v>39845</c:v>
                </c:pt>
                <c:pt idx="62">
                  <c:v>39873</c:v>
                </c:pt>
                <c:pt idx="63">
                  <c:v>39904</c:v>
                </c:pt>
                <c:pt idx="64">
                  <c:v>39934</c:v>
                </c:pt>
                <c:pt idx="65">
                  <c:v>39965</c:v>
                </c:pt>
                <c:pt idx="66">
                  <c:v>39995</c:v>
                </c:pt>
                <c:pt idx="67">
                  <c:v>40026</c:v>
                </c:pt>
                <c:pt idx="68">
                  <c:v>40057</c:v>
                </c:pt>
                <c:pt idx="69">
                  <c:v>40087</c:v>
                </c:pt>
                <c:pt idx="70">
                  <c:v>40118</c:v>
                </c:pt>
                <c:pt idx="71">
                  <c:v>40148</c:v>
                </c:pt>
                <c:pt idx="72">
                  <c:v>40179</c:v>
                </c:pt>
                <c:pt idx="73">
                  <c:v>40210</c:v>
                </c:pt>
                <c:pt idx="74">
                  <c:v>40238</c:v>
                </c:pt>
                <c:pt idx="75">
                  <c:v>40269</c:v>
                </c:pt>
                <c:pt idx="76">
                  <c:v>40299</c:v>
                </c:pt>
                <c:pt idx="77">
                  <c:v>40330</c:v>
                </c:pt>
                <c:pt idx="78">
                  <c:v>40360</c:v>
                </c:pt>
                <c:pt idx="79">
                  <c:v>40391</c:v>
                </c:pt>
                <c:pt idx="80">
                  <c:v>40422</c:v>
                </c:pt>
                <c:pt idx="81">
                  <c:v>40452</c:v>
                </c:pt>
                <c:pt idx="82">
                  <c:v>40483</c:v>
                </c:pt>
                <c:pt idx="83">
                  <c:v>40513</c:v>
                </c:pt>
                <c:pt idx="84">
                  <c:v>40544</c:v>
                </c:pt>
                <c:pt idx="85">
                  <c:v>40575</c:v>
                </c:pt>
                <c:pt idx="86">
                  <c:v>40603</c:v>
                </c:pt>
                <c:pt idx="87">
                  <c:v>40634</c:v>
                </c:pt>
                <c:pt idx="88">
                  <c:v>40664</c:v>
                </c:pt>
                <c:pt idx="89">
                  <c:v>40695</c:v>
                </c:pt>
                <c:pt idx="90">
                  <c:v>40725</c:v>
                </c:pt>
                <c:pt idx="91">
                  <c:v>40756</c:v>
                </c:pt>
                <c:pt idx="92">
                  <c:v>40787</c:v>
                </c:pt>
                <c:pt idx="93">
                  <c:v>40817</c:v>
                </c:pt>
                <c:pt idx="94">
                  <c:v>40848</c:v>
                </c:pt>
                <c:pt idx="95">
                  <c:v>40878</c:v>
                </c:pt>
                <c:pt idx="96">
                  <c:v>40909</c:v>
                </c:pt>
                <c:pt idx="97">
                  <c:v>40940</c:v>
                </c:pt>
                <c:pt idx="98">
                  <c:v>40969</c:v>
                </c:pt>
                <c:pt idx="99">
                  <c:v>41000</c:v>
                </c:pt>
                <c:pt idx="100">
                  <c:v>41030</c:v>
                </c:pt>
                <c:pt idx="101">
                  <c:v>41061</c:v>
                </c:pt>
                <c:pt idx="102">
                  <c:v>41091</c:v>
                </c:pt>
                <c:pt idx="103">
                  <c:v>41122</c:v>
                </c:pt>
                <c:pt idx="104">
                  <c:v>41153</c:v>
                </c:pt>
                <c:pt idx="105">
                  <c:v>41183</c:v>
                </c:pt>
                <c:pt idx="106">
                  <c:v>41214</c:v>
                </c:pt>
                <c:pt idx="107">
                  <c:v>41244</c:v>
                </c:pt>
                <c:pt idx="108">
                  <c:v>41275</c:v>
                </c:pt>
                <c:pt idx="109">
                  <c:v>41306</c:v>
                </c:pt>
                <c:pt idx="110">
                  <c:v>41334</c:v>
                </c:pt>
                <c:pt idx="111">
                  <c:v>41365</c:v>
                </c:pt>
                <c:pt idx="112">
                  <c:v>41395</c:v>
                </c:pt>
                <c:pt idx="113">
                  <c:v>41426</c:v>
                </c:pt>
                <c:pt idx="114">
                  <c:v>41456</c:v>
                </c:pt>
                <c:pt idx="115">
                  <c:v>41487</c:v>
                </c:pt>
                <c:pt idx="116">
                  <c:v>41518</c:v>
                </c:pt>
                <c:pt idx="117">
                  <c:v>41548</c:v>
                </c:pt>
                <c:pt idx="118">
                  <c:v>41579</c:v>
                </c:pt>
                <c:pt idx="119">
                  <c:v>41609</c:v>
                </c:pt>
                <c:pt idx="120">
                  <c:v>41640</c:v>
                </c:pt>
                <c:pt idx="121">
                  <c:v>41671</c:v>
                </c:pt>
                <c:pt idx="122">
                  <c:v>41699</c:v>
                </c:pt>
                <c:pt idx="123">
                  <c:v>41730</c:v>
                </c:pt>
                <c:pt idx="124">
                  <c:v>41760</c:v>
                </c:pt>
                <c:pt idx="125">
                  <c:v>41791</c:v>
                </c:pt>
                <c:pt idx="126">
                  <c:v>41821</c:v>
                </c:pt>
                <c:pt idx="127">
                  <c:v>41852</c:v>
                </c:pt>
                <c:pt idx="128">
                  <c:v>41883</c:v>
                </c:pt>
                <c:pt idx="129">
                  <c:v>41913</c:v>
                </c:pt>
                <c:pt idx="130">
                  <c:v>41944</c:v>
                </c:pt>
                <c:pt idx="131">
                  <c:v>41974</c:v>
                </c:pt>
                <c:pt idx="132">
                  <c:v>42005</c:v>
                </c:pt>
                <c:pt idx="133">
                  <c:v>42036</c:v>
                </c:pt>
                <c:pt idx="134">
                  <c:v>42064</c:v>
                </c:pt>
                <c:pt idx="135">
                  <c:v>42095</c:v>
                </c:pt>
                <c:pt idx="136">
                  <c:v>42125</c:v>
                </c:pt>
                <c:pt idx="137">
                  <c:v>42156</c:v>
                </c:pt>
                <c:pt idx="138">
                  <c:v>42186</c:v>
                </c:pt>
                <c:pt idx="139">
                  <c:v>42217</c:v>
                </c:pt>
                <c:pt idx="140">
                  <c:v>42248</c:v>
                </c:pt>
                <c:pt idx="141">
                  <c:v>42278</c:v>
                </c:pt>
                <c:pt idx="142">
                  <c:v>42309</c:v>
                </c:pt>
                <c:pt idx="143">
                  <c:v>42339</c:v>
                </c:pt>
                <c:pt idx="144">
                  <c:v>42370</c:v>
                </c:pt>
                <c:pt idx="145">
                  <c:v>42401</c:v>
                </c:pt>
                <c:pt idx="146">
                  <c:v>42430</c:v>
                </c:pt>
                <c:pt idx="147">
                  <c:v>42461</c:v>
                </c:pt>
                <c:pt idx="148">
                  <c:v>42491</c:v>
                </c:pt>
                <c:pt idx="149">
                  <c:v>42522</c:v>
                </c:pt>
                <c:pt idx="150">
                  <c:v>42552</c:v>
                </c:pt>
                <c:pt idx="151">
                  <c:v>42583</c:v>
                </c:pt>
                <c:pt idx="152">
                  <c:v>42614</c:v>
                </c:pt>
                <c:pt idx="153">
                  <c:v>42644</c:v>
                </c:pt>
                <c:pt idx="154">
                  <c:v>42675</c:v>
                </c:pt>
                <c:pt idx="155">
                  <c:v>42705</c:v>
                </c:pt>
                <c:pt idx="156">
                  <c:v>42736</c:v>
                </c:pt>
                <c:pt idx="157">
                  <c:v>42767</c:v>
                </c:pt>
                <c:pt idx="158">
                  <c:v>42795</c:v>
                </c:pt>
                <c:pt idx="159">
                  <c:v>42826</c:v>
                </c:pt>
                <c:pt idx="160">
                  <c:v>42856</c:v>
                </c:pt>
                <c:pt idx="161">
                  <c:v>42887</c:v>
                </c:pt>
                <c:pt idx="162">
                  <c:v>42917</c:v>
                </c:pt>
                <c:pt idx="163">
                  <c:v>42948</c:v>
                </c:pt>
                <c:pt idx="164">
                  <c:v>42979</c:v>
                </c:pt>
                <c:pt idx="165">
                  <c:v>43009</c:v>
                </c:pt>
                <c:pt idx="166">
                  <c:v>43040</c:v>
                </c:pt>
                <c:pt idx="167">
                  <c:v>43070</c:v>
                </c:pt>
                <c:pt idx="168">
                  <c:v>43101</c:v>
                </c:pt>
                <c:pt idx="169">
                  <c:v>43132</c:v>
                </c:pt>
                <c:pt idx="170">
                  <c:v>43160</c:v>
                </c:pt>
                <c:pt idx="171">
                  <c:v>43191</c:v>
                </c:pt>
                <c:pt idx="172">
                  <c:v>43221</c:v>
                </c:pt>
                <c:pt idx="173">
                  <c:v>43252</c:v>
                </c:pt>
                <c:pt idx="174">
                  <c:v>43282</c:v>
                </c:pt>
                <c:pt idx="175">
                  <c:v>43313</c:v>
                </c:pt>
                <c:pt idx="176">
                  <c:v>43344</c:v>
                </c:pt>
                <c:pt idx="177">
                  <c:v>43374</c:v>
                </c:pt>
                <c:pt idx="178">
                  <c:v>43405</c:v>
                </c:pt>
                <c:pt idx="179">
                  <c:v>43435</c:v>
                </c:pt>
                <c:pt idx="180">
                  <c:v>43466</c:v>
                </c:pt>
                <c:pt idx="181">
                  <c:v>43497</c:v>
                </c:pt>
                <c:pt idx="182">
                  <c:v>43525</c:v>
                </c:pt>
                <c:pt idx="183">
                  <c:v>43556</c:v>
                </c:pt>
                <c:pt idx="184">
                  <c:v>43586</c:v>
                </c:pt>
                <c:pt idx="185">
                  <c:v>43617</c:v>
                </c:pt>
                <c:pt idx="186">
                  <c:v>43647</c:v>
                </c:pt>
                <c:pt idx="187">
                  <c:v>43678</c:v>
                </c:pt>
                <c:pt idx="188">
                  <c:v>43709</c:v>
                </c:pt>
                <c:pt idx="189">
                  <c:v>43739</c:v>
                </c:pt>
                <c:pt idx="190">
                  <c:v>43770</c:v>
                </c:pt>
                <c:pt idx="191">
                  <c:v>43800</c:v>
                </c:pt>
                <c:pt idx="192">
                  <c:v>43831</c:v>
                </c:pt>
                <c:pt idx="193">
                  <c:v>43862</c:v>
                </c:pt>
                <c:pt idx="194">
                  <c:v>43891</c:v>
                </c:pt>
                <c:pt idx="195">
                  <c:v>43922</c:v>
                </c:pt>
                <c:pt idx="196">
                  <c:v>43952</c:v>
                </c:pt>
                <c:pt idx="197">
                  <c:v>43983</c:v>
                </c:pt>
                <c:pt idx="198">
                  <c:v>44013</c:v>
                </c:pt>
                <c:pt idx="199">
                  <c:v>44044</c:v>
                </c:pt>
                <c:pt idx="200">
                  <c:v>44075</c:v>
                </c:pt>
                <c:pt idx="201">
                  <c:v>44105</c:v>
                </c:pt>
                <c:pt idx="202">
                  <c:v>44136</c:v>
                </c:pt>
                <c:pt idx="203">
                  <c:v>44166</c:v>
                </c:pt>
                <c:pt idx="204">
                  <c:v>44197</c:v>
                </c:pt>
                <c:pt idx="205">
                  <c:v>44228</c:v>
                </c:pt>
                <c:pt idx="206">
                  <c:v>44256</c:v>
                </c:pt>
                <c:pt idx="207">
                  <c:v>44287</c:v>
                </c:pt>
                <c:pt idx="208">
                  <c:v>44317</c:v>
                </c:pt>
                <c:pt idx="209">
                  <c:v>44348</c:v>
                </c:pt>
                <c:pt idx="210">
                  <c:v>44378</c:v>
                </c:pt>
                <c:pt idx="211">
                  <c:v>44409</c:v>
                </c:pt>
                <c:pt idx="212">
                  <c:v>44440</c:v>
                </c:pt>
                <c:pt idx="213">
                  <c:v>44470</c:v>
                </c:pt>
                <c:pt idx="214">
                  <c:v>44501</c:v>
                </c:pt>
                <c:pt idx="215">
                  <c:v>44531</c:v>
                </c:pt>
              </c:numCache>
            </c:numRef>
          </c:cat>
          <c:val>
            <c:numRef>
              <c:f>'Core CPI'!$C$449:$C$676</c:f>
              <c:numCache>
                <c:formatCode>0.00%</c:formatCode>
                <c:ptCount val="228"/>
                <c:pt idx="0">
                  <c:v>2.0597322348095042E-3</c:v>
                </c:pt>
                <c:pt idx="1">
                  <c:v>1.5416238437821756E-3</c:v>
                </c:pt>
                <c:pt idx="2">
                  <c:v>3.0785017957926848E-3</c:v>
                </c:pt>
                <c:pt idx="3">
                  <c:v>2.0460358056266273E-3</c:v>
                </c:pt>
                <c:pt idx="4">
                  <c:v>1.5313935681469267E-3</c:v>
                </c:pt>
                <c:pt idx="5">
                  <c:v>2.0387359836901413E-3</c:v>
                </c:pt>
                <c:pt idx="6">
                  <c:v>1.0172939979654987E-3</c:v>
                </c:pt>
                <c:pt idx="7">
                  <c:v>5.0813008130078411E-4</c:v>
                </c:pt>
                <c:pt idx="8">
                  <c:v>3.0472320975113982E-3</c:v>
                </c:pt>
                <c:pt idx="9">
                  <c:v>2.0253164556962313E-3</c:v>
                </c:pt>
                <c:pt idx="10">
                  <c:v>2.0212228398181187E-3</c:v>
                </c:pt>
                <c:pt idx="11">
                  <c:v>1.5128593040846341E-3</c:v>
                </c:pt>
                <c:pt idx="12">
                  <c:v>2.0140986908358796E-3</c:v>
                </c:pt>
                <c:pt idx="13">
                  <c:v>2.0100502512563098E-3</c:v>
                </c:pt>
                <c:pt idx="14">
                  <c:v>3.5105315947842959E-3</c:v>
                </c:pt>
                <c:pt idx="15">
                  <c:v>4.9975012493750281E-4</c:v>
                </c:pt>
                <c:pt idx="16">
                  <c:v>1.4985014985015553E-3</c:v>
                </c:pt>
                <c:pt idx="17">
                  <c:v>4.9875311720695421E-4</c:v>
                </c:pt>
                <c:pt idx="18">
                  <c:v>1.4955134596211933E-3</c:v>
                </c:pt>
                <c:pt idx="19">
                  <c:v>9.9552015928316886E-4</c:v>
                </c:pt>
                <c:pt idx="20">
                  <c:v>9.945300845351421E-4</c:v>
                </c:pt>
                <c:pt idx="21">
                  <c:v>3.477396920019814E-3</c:v>
                </c:pt>
                <c:pt idx="22">
                  <c:v>2.4752475247524753E-3</c:v>
                </c:pt>
                <c:pt idx="23">
                  <c:v>1.4814814814815376E-3</c:v>
                </c:pt>
                <c:pt idx="24">
                  <c:v>1.9723865877710909E-3</c:v>
                </c:pt>
                <c:pt idx="25">
                  <c:v>1.9685039370079022E-3</c:v>
                </c:pt>
                <c:pt idx="26">
                  <c:v>3.4381139489195337E-3</c:v>
                </c:pt>
                <c:pt idx="27">
                  <c:v>2.4473813020068525E-3</c:v>
                </c:pt>
                <c:pt idx="28">
                  <c:v>2.9296874999999722E-3</c:v>
                </c:pt>
                <c:pt idx="29">
                  <c:v>2.4342745861733201E-3</c:v>
                </c:pt>
                <c:pt idx="30">
                  <c:v>1.9426906265177545E-3</c:v>
                </c:pt>
                <c:pt idx="31">
                  <c:v>2.4236548715462916E-3</c:v>
                </c:pt>
                <c:pt idx="32">
                  <c:v>1.9342359767890581E-3</c:v>
                </c:pt>
                <c:pt idx="33">
                  <c:v>1.9305019305019581E-3</c:v>
                </c:pt>
                <c:pt idx="34">
                  <c:v>9.633911368016236E-4</c:v>
                </c:pt>
                <c:pt idx="35">
                  <c:v>1.4436958614051153E-3</c:v>
                </c:pt>
                <c:pt idx="36">
                  <c:v>2.4026910139356081E-3</c:v>
                </c:pt>
                <c:pt idx="37">
                  <c:v>2.564717162032582E-3</c:v>
                </c:pt>
                <c:pt idx="38">
                  <c:v>1.3531929136682786E-3</c:v>
                </c:pt>
                <c:pt idx="39">
                  <c:v>1.5710206381495751E-3</c:v>
                </c:pt>
                <c:pt idx="40">
                  <c:v>1.4827387280865929E-3</c:v>
                </c:pt>
                <c:pt idx="41">
                  <c:v>1.5900370373896884E-3</c:v>
                </c:pt>
                <c:pt idx="42">
                  <c:v>1.8109053576181615E-3</c:v>
                </c:pt>
                <c:pt idx="43">
                  <c:v>1.6415764827563475E-3</c:v>
                </c:pt>
                <c:pt idx="44">
                  <c:v>2.0604493200517353E-3</c:v>
                </c:pt>
                <c:pt idx="45">
                  <c:v>2.4721820433553426E-3</c:v>
                </c:pt>
                <c:pt idx="46">
                  <c:v>2.7490015418927954E-3</c:v>
                </c:pt>
                <c:pt idx="47">
                  <c:v>2.3887896172294261E-3</c:v>
                </c:pt>
                <c:pt idx="48">
                  <c:v>2.82875478495825E-3</c:v>
                </c:pt>
                <c:pt idx="49">
                  <c:v>7.8588770226086034E-4</c:v>
                </c:pt>
                <c:pt idx="50">
                  <c:v>2.2483044232234168E-3</c:v>
                </c:pt>
                <c:pt idx="51">
                  <c:v>6.529241675217554E-4</c:v>
                </c:pt>
                <c:pt idx="52">
                  <c:v>1.7524235645041237E-3</c:v>
                </c:pt>
                <c:pt idx="53">
                  <c:v>2.270443294748202E-3</c:v>
                </c:pt>
                <c:pt idx="54">
                  <c:v>2.5113265002970737E-3</c:v>
                </c:pt>
                <c:pt idx="55">
                  <c:v>1.9818026069038839E-3</c:v>
                </c:pt>
                <c:pt idx="56">
                  <c:v>1.4787909035874228E-3</c:v>
                </c:pt>
                <c:pt idx="57">
                  <c:v>3.4607983831157825E-4</c:v>
                </c:pt>
                <c:pt idx="58">
                  <c:v>7.334354300053131E-4</c:v>
                </c:pt>
                <c:pt idx="59">
                  <c:v>-1.0140725615007978E-4</c:v>
                </c:pt>
                <c:pt idx="60">
                  <c:v>1.9407629364987542E-3</c:v>
                </c:pt>
                <c:pt idx="61">
                  <c:v>2.0520276425607001E-3</c:v>
                </c:pt>
                <c:pt idx="62">
                  <c:v>2.1166985013222907E-3</c:v>
                </c:pt>
                <c:pt idx="63">
                  <c:v>2.0755728443595414E-3</c:v>
                </c:pt>
                <c:pt idx="64">
                  <c:v>9.053249567913432E-4</c:v>
                </c:pt>
                <c:pt idx="65">
                  <c:v>9.5018821035704421E-4</c:v>
                </c:pt>
                <c:pt idx="66">
                  <c:v>6.8914527730115399E-4</c:v>
                </c:pt>
                <c:pt idx="67">
                  <c:v>1.0626507892348644E-3</c:v>
                </c:pt>
                <c:pt idx="68">
                  <c:v>1.931698071946542E-3</c:v>
                </c:pt>
                <c:pt idx="69">
                  <c:v>2.6418697708258335E-3</c:v>
                </c:pt>
                <c:pt idx="70">
                  <c:v>7.4829592609553712E-4</c:v>
                </c:pt>
                <c:pt idx="71">
                  <c:v>9.7432318526643623E-4</c:v>
                </c:pt>
                <c:pt idx="72">
                  <c:v>-1.1227765176723685E-3</c:v>
                </c:pt>
                <c:pt idx="73">
                  <c:v>4.4417652844309219E-4</c:v>
                </c:pt>
                <c:pt idx="74">
                  <c:v>2.3558086539721425E-4</c:v>
                </c:pt>
                <c:pt idx="75">
                  <c:v>1.766440350933527E-4</c:v>
                </c:pt>
                <c:pt idx="76">
                  <c:v>6.3399480124256798E-4</c:v>
                </c:pt>
                <c:pt idx="77">
                  <c:v>1.0499542907830275E-3</c:v>
                </c:pt>
                <c:pt idx="78">
                  <c:v>7.6403519082801142E-4</c:v>
                </c:pt>
                <c:pt idx="79">
                  <c:v>6.5955015065745674E-4</c:v>
                </c:pt>
                <c:pt idx="80">
                  <c:v>9.1192682915830329E-4</c:v>
                </c:pt>
                <c:pt idx="81">
                  <c:v>5.3673475831149452E-4</c:v>
                </c:pt>
                <c:pt idx="82">
                  <c:v>1.4380381373123039E-3</c:v>
                </c:pt>
                <c:pt idx="83">
                  <c:v>8.7328774831301696E-4</c:v>
                </c:pt>
                <c:pt idx="84">
                  <c:v>2.0688755661298444E-3</c:v>
                </c:pt>
                <c:pt idx="85">
                  <c:v>1.840190661705617E-3</c:v>
                </c:pt>
                <c:pt idx="86">
                  <c:v>1.0796862189926836E-3</c:v>
                </c:pt>
                <c:pt idx="87">
                  <c:v>1.2217279619071313E-3</c:v>
                </c:pt>
                <c:pt idx="88">
                  <c:v>2.0024404743281209E-3</c:v>
                </c:pt>
                <c:pt idx="89">
                  <c:v>2.3285379725660371E-3</c:v>
                </c:pt>
                <c:pt idx="90">
                  <c:v>2.3186780419853694E-3</c:v>
                </c:pt>
                <c:pt idx="91">
                  <c:v>2.8594517312115616E-3</c:v>
                </c:pt>
                <c:pt idx="92">
                  <c:v>1.1334354605909813E-3</c:v>
                </c:pt>
                <c:pt idx="93">
                  <c:v>1.715918237380506E-3</c:v>
                </c:pt>
                <c:pt idx="94">
                  <c:v>1.7350533760695111E-3</c:v>
                </c:pt>
                <c:pt idx="95">
                  <c:v>2.230067122376036E-3</c:v>
                </c:pt>
                <c:pt idx="96">
                  <c:v>2.0755920054528632E-3</c:v>
                </c:pt>
                <c:pt idx="97">
                  <c:v>6.8896817142573524E-4</c:v>
                </c:pt>
                <c:pt idx="98">
                  <c:v>1.9470780673058266E-3</c:v>
                </c:pt>
                <c:pt idx="99">
                  <c:v>1.8688889083412516E-3</c:v>
                </c:pt>
                <c:pt idx="100">
                  <c:v>1.3935912278018759E-3</c:v>
                </c:pt>
                <c:pt idx="101">
                  <c:v>1.7406554287509202E-3</c:v>
                </c:pt>
                <c:pt idx="102">
                  <c:v>1.5111726612752573E-3</c:v>
                </c:pt>
                <c:pt idx="103">
                  <c:v>1.1436274296647616E-3</c:v>
                </c:pt>
                <c:pt idx="104">
                  <c:v>1.8502994792231684E-3</c:v>
                </c:pt>
                <c:pt idx="105">
                  <c:v>1.5824225371652921E-3</c:v>
                </c:pt>
                <c:pt idx="106">
                  <c:v>1.3245377103678043E-3</c:v>
                </c:pt>
                <c:pt idx="107">
                  <c:v>1.7075173993860795E-3</c:v>
                </c:pt>
                <c:pt idx="108">
                  <c:v>2.1749919085123277E-3</c:v>
                </c:pt>
                <c:pt idx="109">
                  <c:v>1.4640721012447841E-3</c:v>
                </c:pt>
                <c:pt idx="110">
                  <c:v>9.6745481986001036E-4</c:v>
                </c:pt>
                <c:pt idx="111">
                  <c:v>1.6323444762314531E-4</c:v>
                </c:pt>
                <c:pt idx="112">
                  <c:v>7.0437053326010042E-4</c:v>
                </c:pt>
                <c:pt idx="113">
                  <c:v>1.5193393878005844E-3</c:v>
                </c:pt>
                <c:pt idx="114">
                  <c:v>2.2712663381187106E-3</c:v>
                </c:pt>
                <c:pt idx="115">
                  <c:v>1.9497178040021263E-3</c:v>
                </c:pt>
                <c:pt idx="116">
                  <c:v>1.5533251399698546E-3</c:v>
                </c:pt>
                <c:pt idx="117">
                  <c:v>9.416276097145447E-4</c:v>
                </c:pt>
                <c:pt idx="118">
                  <c:v>1.8644565619932514E-3</c:v>
                </c:pt>
                <c:pt idx="119">
                  <c:v>1.6995313542289747E-3</c:v>
                </c:pt>
                <c:pt idx="120">
                  <c:v>8.5680716324732723E-4</c:v>
                </c:pt>
                <c:pt idx="121">
                  <c:v>9.4930941977695263E-4</c:v>
                </c:pt>
                <c:pt idx="122">
                  <c:v>1.8629464191205949E-3</c:v>
                </c:pt>
                <c:pt idx="123">
                  <c:v>1.8890649762282206E-3</c:v>
                </c:pt>
                <c:pt idx="124">
                  <c:v>1.9276844165485323E-3</c:v>
                </c:pt>
                <c:pt idx="125">
                  <c:v>1.2966837733497498E-3</c:v>
                </c:pt>
                <c:pt idx="126">
                  <c:v>1.5052325752511347E-3</c:v>
                </c:pt>
                <c:pt idx="127">
                  <c:v>8.8163059677998264E-4</c:v>
                </c:pt>
                <c:pt idx="128">
                  <c:v>2E-3</c:v>
                </c:pt>
                <c:pt idx="129">
                  <c:v>1.6960793346343635E-3</c:v>
                </c:pt>
                <c:pt idx="130">
                  <c:v>1.1162627356380295E-3</c:v>
                </c:pt>
                <c:pt idx="131">
                  <c:v>5.261883085969346E-4</c:v>
                </c:pt>
                <c:pt idx="132">
                  <c:v>9.4747562441566992E-4</c:v>
                </c:pt>
                <c:pt idx="133">
                  <c:v>1.5053521314701576E-3</c:v>
                </c:pt>
                <c:pt idx="134">
                  <c:v>2.4274270106423666E-3</c:v>
                </c:pt>
                <c:pt idx="135">
                  <c:v>2.4547776785529196E-3</c:v>
                </c:pt>
                <c:pt idx="136">
                  <c:v>1.4170526961291446E-3</c:v>
                </c:pt>
                <c:pt idx="137">
                  <c:v>1.5557247360233227E-3</c:v>
                </c:pt>
                <c:pt idx="138">
                  <c:v>2.0697005750545507E-3</c:v>
                </c:pt>
                <c:pt idx="139">
                  <c:v>1.0388967905510258E-3</c:v>
                </c:pt>
                <c:pt idx="140">
                  <c:v>2.0550455692970229E-3</c:v>
                </c:pt>
                <c:pt idx="141">
                  <c:v>1.8576665735093383E-3</c:v>
                </c:pt>
                <c:pt idx="142">
                  <c:v>1.9403695316859194E-3</c:v>
                </c:pt>
                <c:pt idx="143">
                  <c:v>1.2528609037793948E-3</c:v>
                </c:pt>
                <c:pt idx="144">
                  <c:v>1.6683909432543252E-3</c:v>
                </c:pt>
                <c:pt idx="145">
                  <c:v>2.265722275519905E-3</c:v>
                </c:pt>
                <c:pt idx="146">
                  <c:v>1.6414809987374038E-3</c:v>
                </c:pt>
                <c:pt idx="147">
                  <c:v>2.5944134714308586E-3</c:v>
                </c:pt>
                <c:pt idx="148">
                  <c:v>2.3767901975656671E-3</c:v>
                </c:pt>
                <c:pt idx="149">
                  <c:v>1.6306744841929439E-3</c:v>
                </c:pt>
                <c:pt idx="150">
                  <c:v>1.1674880827341669E-3</c:v>
                </c:pt>
                <c:pt idx="151">
                  <c:v>2.396813932187089E-3</c:v>
                </c:pt>
                <c:pt idx="152">
                  <c:v>1.6866393208358774E-3</c:v>
                </c:pt>
                <c:pt idx="153">
                  <c:v>1.205584266321533E-3</c:v>
                </c:pt>
                <c:pt idx="154">
                  <c:v>1.3606698188181785E-3</c:v>
                </c:pt>
                <c:pt idx="155">
                  <c:v>1.7596530397104107E-3</c:v>
                </c:pt>
                <c:pt idx="156">
                  <c:v>2.1686939820742702E-3</c:v>
                </c:pt>
                <c:pt idx="157">
                  <c:v>1.7607461411311997E-3</c:v>
                </c:pt>
                <c:pt idx="158">
                  <c:v>-2.6703546788989712E-4</c:v>
                </c:pt>
                <c:pt idx="159">
                  <c:v>1.6584541293913028E-3</c:v>
                </c:pt>
                <c:pt idx="160">
                  <c:v>9.3929600560389566E-4</c:v>
                </c:pt>
                <c:pt idx="161">
                  <c:v>1.3280951775035117E-3</c:v>
                </c:pt>
                <c:pt idx="162">
                  <c:v>8.9348825757874339E-4</c:v>
                </c:pt>
                <c:pt idx="163">
                  <c:v>2.1821326974731355E-3</c:v>
                </c:pt>
                <c:pt idx="164">
                  <c:v>1.7498228403345203E-3</c:v>
                </c:pt>
                <c:pt idx="165">
                  <c:v>1.9601721473765281E-3</c:v>
                </c:pt>
                <c:pt idx="166">
                  <c:v>8.2434377896544136E-4</c:v>
                </c:pt>
                <c:pt idx="167">
                  <c:v>2.2227126552745798E-3</c:v>
                </c:pt>
                <c:pt idx="168">
                  <c:v>2.7486355128427432E-3</c:v>
                </c:pt>
                <c:pt idx="169">
                  <c:v>1.8234793554686868E-3</c:v>
                </c:pt>
                <c:pt idx="170">
                  <c:v>2.5247385232041483E-3</c:v>
                </c:pt>
                <c:pt idx="171">
                  <c:v>2.1045069245695805E-3</c:v>
                </c:pt>
                <c:pt idx="172">
                  <c:v>1.9520291752383593E-3</c:v>
                </c:pt>
                <c:pt idx="173">
                  <c:v>1.4660304794347795E-3</c:v>
                </c:pt>
                <c:pt idx="174">
                  <c:v>1.5376610466968051E-3</c:v>
                </c:pt>
                <c:pt idx="175">
                  <c:v>5.8155313457130718E-4</c:v>
                </c:pt>
                <c:pt idx="176">
                  <c:v>1.75914445133295E-3</c:v>
                </c:pt>
                <c:pt idx="177">
                  <c:v>1.7599232596098931E-3</c:v>
                </c:pt>
                <c:pt idx="178">
                  <c:v>1.6448575036007113E-3</c:v>
                </c:pt>
                <c:pt idx="179">
                  <c:v>1.7655108609755409E-3</c:v>
                </c:pt>
                <c:pt idx="180">
                  <c:v>2.1010262705244186E-3</c:v>
                </c:pt>
                <c:pt idx="181">
                  <c:v>1.163509574954198E-3</c:v>
                </c:pt>
                <c:pt idx="182">
                  <c:v>2.3665053198426629E-3</c:v>
                </c:pt>
                <c:pt idx="183">
                  <c:v>2.7206042726114843E-3</c:v>
                </c:pt>
                <c:pt idx="184">
                  <c:v>1.2745659225338797E-3</c:v>
                </c:pt>
                <c:pt idx="185">
                  <c:v>2.7936154643575981E-3</c:v>
                </c:pt>
                <c:pt idx="186">
                  <c:v>1.8964947152786281E-3</c:v>
                </c:pt>
                <c:pt idx="187">
                  <c:v>2.0294671036660333E-3</c:v>
                </c:pt>
                <c:pt idx="188">
                  <c:v>1.7111424904694594E-3</c:v>
                </c:pt>
                <c:pt idx="189">
                  <c:v>1.5986213308239203E-3</c:v>
                </c:pt>
                <c:pt idx="190">
                  <c:v>1.5130590960887251E-3</c:v>
                </c:pt>
                <c:pt idx="191">
                  <c:v>8.4392318791980288E-4</c:v>
                </c:pt>
                <c:pt idx="192">
                  <c:v>2.4656410101974871E-3</c:v>
                </c:pt>
                <c:pt idx="193">
                  <c:v>2.1403948840806935E-3</c:v>
                </c:pt>
                <c:pt idx="194">
                  <c:v>-2.0983527930568198E-4</c:v>
                </c:pt>
                <c:pt idx="195">
                  <c:v>-3.6878794693050764E-3</c:v>
                </c:pt>
                <c:pt idx="196">
                  <c:v>-7.4858183240799692E-4</c:v>
                </c:pt>
                <c:pt idx="197">
                  <c:v>2.4281255999728268E-3</c:v>
                </c:pt>
                <c:pt idx="198">
                  <c:v>5.4078007525855962E-3</c:v>
                </c:pt>
                <c:pt idx="199">
                  <c:v>3.481223059741136E-3</c:v>
                </c:pt>
                <c:pt idx="200">
                  <c:v>1.8648521890609348E-3</c:v>
                </c:pt>
                <c:pt idx="201">
                  <c:v>7.2448960636083311E-4</c:v>
                </c:pt>
                <c:pt idx="202">
                  <c:v>1.7412288843511939E-3</c:v>
                </c:pt>
                <c:pt idx="203">
                  <c:v>4.4844877491941222E-4</c:v>
                </c:pt>
                <c:pt idx="204">
                  <c:v>3.1488478921234178E-4</c:v>
                </c:pt>
                <c:pt idx="205">
                  <c:v>1.0147208591797091E-3</c:v>
                </c:pt>
                <c:pt idx="206">
                  <c:v>3.3851401596011106E-3</c:v>
                </c:pt>
                <c:pt idx="207">
                  <c:v>9.1661934855869903E-3</c:v>
                </c:pt>
                <c:pt idx="208">
                  <c:v>7.3730361709902414E-3</c:v>
                </c:pt>
                <c:pt idx="209">
                  <c:v>8.7843376203220989E-3</c:v>
                </c:pt>
                <c:pt idx="210">
                  <c:v>3.2861149061623185E-3</c:v>
                </c:pt>
                <c:pt idx="211">
                  <c:v>1.0177241680823378E-3</c:v>
                </c:pt>
                <c:pt idx="212">
                  <c:v>2.4307469803606153E-3</c:v>
                </c:pt>
                <c:pt idx="213">
                  <c:v>5.9924933129059926E-3</c:v>
                </c:pt>
                <c:pt idx="214">
                  <c:v>5.3462077779159326E-3</c:v>
                </c:pt>
                <c:pt idx="215">
                  <c:v>5.5013930035557523E-3</c:v>
                </c:pt>
              </c:numCache>
            </c:numRef>
          </c:val>
          <c:smooth val="0"/>
          <c:extLst>
            <c:ext xmlns:c16="http://schemas.microsoft.com/office/drawing/2014/chart" uri="{C3380CC4-5D6E-409C-BE32-E72D297353CC}">
              <c16:uniqueId val="{00000000-546F-694B-B15B-26CFD2F45392}"/>
            </c:ext>
          </c:extLst>
        </c:ser>
        <c:dLbls>
          <c:showLegendKey val="0"/>
          <c:showVal val="0"/>
          <c:showCatName val="0"/>
          <c:showSerName val="0"/>
          <c:showPercent val="0"/>
          <c:showBubbleSize val="0"/>
        </c:dLbls>
        <c:smooth val="0"/>
        <c:axId val="10846495"/>
        <c:axId val="10837311"/>
      </c:lineChart>
      <c:dateAx>
        <c:axId val="10846495"/>
        <c:scaling>
          <c:orientation val="minMax"/>
        </c:scaling>
        <c:delete val="0"/>
        <c:axPos val="b"/>
        <c:numFmt formatCode="[$-409]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837311"/>
        <c:crosses val="autoZero"/>
        <c:auto val="0"/>
        <c:lblOffset val="100"/>
        <c:baseTimeUnit val="months"/>
      </c:dateAx>
      <c:valAx>
        <c:axId val="10837311"/>
        <c:scaling>
          <c:orientation val="minMax"/>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846495"/>
        <c:crosses val="autoZero"/>
        <c:crossBetween val="between"/>
      </c:valAx>
    </c:plotArea>
    <c:plotVisOnly val="1"/>
    <c:dispBlanksAs val="gap"/>
    <c:showDLblsOverMax val="0"/>
  </c:chart>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3" Type="http://schemas.openxmlformats.org/officeDocument/2006/relationships/chart" Target="../charts/chart4.xml"/><Relationship Id="rId2" Type="http://schemas.openxmlformats.org/officeDocument/2006/relationships/chart" Target="../charts/chart3.xml"/><Relationship Id="rId1" Type="http://schemas.openxmlformats.org/officeDocument/2006/relationships/chart" Target="../charts/chart2.xml"/><Relationship Id="rId5" Type="http://schemas.openxmlformats.org/officeDocument/2006/relationships/chart" Target="../charts/chart6.xml"/><Relationship Id="rId4" Type="http://schemas.openxmlformats.org/officeDocument/2006/relationships/chart" Target="../charts/chart5.xml"/></Relationships>
</file>

<file path=xl/drawings/_rels/drawing3.xml.rels><?xml version="1.0" encoding="UTF-8" standalone="yes"?>
<Relationships xmlns="http://schemas.openxmlformats.org/package/2006/relationships"><Relationship Id="rId3" Type="http://schemas.openxmlformats.org/officeDocument/2006/relationships/chart" Target="../charts/chart9.xml"/><Relationship Id="rId2" Type="http://schemas.openxmlformats.org/officeDocument/2006/relationships/chart" Target="../charts/chart8.xml"/><Relationship Id="rId1" Type="http://schemas.openxmlformats.org/officeDocument/2006/relationships/chart" Target="../charts/chart7.xml"/></Relationships>
</file>

<file path=xl/drawings/_rels/drawing4.xml.rels><?xml version="1.0" encoding="UTF-8" standalone="yes"?>
<Relationships xmlns="http://schemas.openxmlformats.org/package/2006/relationships"><Relationship Id="rId3" Type="http://schemas.openxmlformats.org/officeDocument/2006/relationships/chart" Target="../charts/chart12.xml"/><Relationship Id="rId2" Type="http://schemas.openxmlformats.org/officeDocument/2006/relationships/chart" Target="../charts/chart11.xml"/><Relationship Id="rId1" Type="http://schemas.openxmlformats.org/officeDocument/2006/relationships/chart" Target="../charts/chart10.xml"/></Relationships>
</file>

<file path=xl/drawings/_rels/drawing5.xml.rels><?xml version="1.0" encoding="UTF-8" standalone="yes"?>
<Relationships xmlns="http://schemas.openxmlformats.org/package/2006/relationships"><Relationship Id="rId3" Type="http://schemas.openxmlformats.org/officeDocument/2006/relationships/chart" Target="../charts/chart15.xml"/><Relationship Id="rId7" Type="http://schemas.openxmlformats.org/officeDocument/2006/relationships/chart" Target="../charts/chart19.xml"/><Relationship Id="rId2" Type="http://schemas.openxmlformats.org/officeDocument/2006/relationships/chart" Target="../charts/chart14.xml"/><Relationship Id="rId1" Type="http://schemas.openxmlformats.org/officeDocument/2006/relationships/chart" Target="../charts/chart13.xml"/><Relationship Id="rId6" Type="http://schemas.openxmlformats.org/officeDocument/2006/relationships/chart" Target="../charts/chart18.xml"/><Relationship Id="rId5" Type="http://schemas.openxmlformats.org/officeDocument/2006/relationships/chart" Target="../charts/chart17.xml"/><Relationship Id="rId4" Type="http://schemas.openxmlformats.org/officeDocument/2006/relationships/chart" Target="../charts/chart16.xml"/></Relationships>
</file>

<file path=xl/drawings/_rels/drawing6.xml.rels><?xml version="1.0" encoding="UTF-8" standalone="yes"?>
<Relationships xmlns="http://schemas.openxmlformats.org/package/2006/relationships"><Relationship Id="rId2" Type="http://schemas.openxmlformats.org/officeDocument/2006/relationships/chart" Target="../charts/chart21.xml"/><Relationship Id="rId1" Type="http://schemas.openxmlformats.org/officeDocument/2006/relationships/chart" Target="../charts/chart20.xml"/></Relationships>
</file>

<file path=xl/drawings/drawing1.xml><?xml version="1.0" encoding="utf-8"?>
<xdr:wsDr xmlns:xdr="http://schemas.openxmlformats.org/drawingml/2006/spreadsheetDrawing" xmlns:a="http://schemas.openxmlformats.org/drawingml/2006/main">
  <xdr:twoCellAnchor>
    <xdr:from>
      <xdr:col>12</xdr:col>
      <xdr:colOff>361949</xdr:colOff>
      <xdr:row>1</xdr:row>
      <xdr:rowOff>171450</xdr:rowOff>
    </xdr:from>
    <xdr:to>
      <xdr:col>18</xdr:col>
      <xdr:colOff>790575</xdr:colOff>
      <xdr:row>7</xdr:row>
      <xdr:rowOff>390525</xdr:rowOff>
    </xdr:to>
    <xdr:graphicFrame macro="">
      <xdr:nvGraphicFramePr>
        <xdr:cNvPr id="2" name="Chart 1">
          <a:extLst>
            <a:ext uri="{FF2B5EF4-FFF2-40B4-BE49-F238E27FC236}">
              <a16:creationId xmlns:a16="http://schemas.microsoft.com/office/drawing/2014/main" id="{00000000-0008-0000-00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7</xdr:col>
      <xdr:colOff>381000</xdr:colOff>
      <xdr:row>604</xdr:row>
      <xdr:rowOff>159203</xdr:rowOff>
    </xdr:from>
    <xdr:to>
      <xdr:col>22</xdr:col>
      <xdr:colOff>190500</xdr:colOff>
      <xdr:row>632</xdr:row>
      <xdr:rowOff>13607</xdr:rowOff>
    </xdr:to>
    <xdr:graphicFrame macro="">
      <xdr:nvGraphicFramePr>
        <xdr:cNvPr id="2" name="Chart 1">
          <a:extLst>
            <a:ext uri="{FF2B5EF4-FFF2-40B4-BE49-F238E27FC236}">
              <a16:creationId xmlns:a16="http://schemas.microsoft.com/office/drawing/2014/main" id="{00000000-0008-0000-04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7</xdr:col>
      <xdr:colOff>67235</xdr:colOff>
      <xdr:row>831</xdr:row>
      <xdr:rowOff>134471</xdr:rowOff>
    </xdr:from>
    <xdr:to>
      <xdr:col>15</xdr:col>
      <xdr:colOff>459440</xdr:colOff>
      <xdr:row>851</xdr:row>
      <xdr:rowOff>33618</xdr:rowOff>
    </xdr:to>
    <xdr:graphicFrame macro="">
      <xdr:nvGraphicFramePr>
        <xdr:cNvPr id="3" name="Chart 2">
          <a:extLst>
            <a:ext uri="{FF2B5EF4-FFF2-40B4-BE49-F238E27FC236}">
              <a16:creationId xmlns:a16="http://schemas.microsoft.com/office/drawing/2014/main" id="{00000000-0008-0000-04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15</xdr:col>
      <xdr:colOff>470647</xdr:colOff>
      <xdr:row>831</xdr:row>
      <xdr:rowOff>134470</xdr:rowOff>
    </xdr:from>
    <xdr:to>
      <xdr:col>24</xdr:col>
      <xdr:colOff>257736</xdr:colOff>
      <xdr:row>851</xdr:row>
      <xdr:rowOff>33617</xdr:rowOff>
    </xdr:to>
    <xdr:graphicFrame macro="">
      <xdr:nvGraphicFramePr>
        <xdr:cNvPr id="4" name="Chart 3">
          <a:extLst>
            <a:ext uri="{FF2B5EF4-FFF2-40B4-BE49-F238E27FC236}">
              <a16:creationId xmlns:a16="http://schemas.microsoft.com/office/drawing/2014/main" id="{00000000-0008-0000-04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11</xdr:col>
      <xdr:colOff>78441</xdr:colOff>
      <xdr:row>851</xdr:row>
      <xdr:rowOff>22411</xdr:rowOff>
    </xdr:from>
    <xdr:to>
      <xdr:col>19</xdr:col>
      <xdr:colOff>470647</xdr:colOff>
      <xdr:row>870</xdr:row>
      <xdr:rowOff>112058</xdr:rowOff>
    </xdr:to>
    <xdr:graphicFrame macro="">
      <xdr:nvGraphicFramePr>
        <xdr:cNvPr id="5" name="Chart 4">
          <a:extLst>
            <a:ext uri="{FF2B5EF4-FFF2-40B4-BE49-F238E27FC236}">
              <a16:creationId xmlns:a16="http://schemas.microsoft.com/office/drawing/2014/main" id="{00000000-0008-0000-04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7</xdr:col>
      <xdr:colOff>543485</xdr:colOff>
      <xdr:row>804</xdr:row>
      <xdr:rowOff>146796</xdr:rowOff>
    </xdr:from>
    <xdr:to>
      <xdr:col>17</xdr:col>
      <xdr:colOff>0</xdr:colOff>
      <xdr:row>825</xdr:row>
      <xdr:rowOff>168087</xdr:rowOff>
    </xdr:to>
    <xdr:graphicFrame macro="">
      <xdr:nvGraphicFramePr>
        <xdr:cNvPr id="6" name="Chart 5">
          <a:extLst>
            <a:ext uri="{FF2B5EF4-FFF2-40B4-BE49-F238E27FC236}">
              <a16:creationId xmlns:a16="http://schemas.microsoft.com/office/drawing/2014/main" id="{00000000-0008-0000-04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4</xdr:col>
      <xdr:colOff>299446</xdr:colOff>
      <xdr:row>630</xdr:row>
      <xdr:rowOff>16809</xdr:rowOff>
    </xdr:from>
    <xdr:to>
      <xdr:col>11</xdr:col>
      <xdr:colOff>523563</xdr:colOff>
      <xdr:row>649</xdr:row>
      <xdr:rowOff>106456</xdr:rowOff>
    </xdr:to>
    <xdr:graphicFrame macro="">
      <xdr:nvGraphicFramePr>
        <xdr:cNvPr id="2" name="Chart 1">
          <a:extLst>
            <a:ext uri="{FF2B5EF4-FFF2-40B4-BE49-F238E27FC236}">
              <a16:creationId xmlns:a16="http://schemas.microsoft.com/office/drawing/2014/main" id="{00000000-0008-0000-05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11</xdr:col>
      <xdr:colOff>534770</xdr:colOff>
      <xdr:row>630</xdr:row>
      <xdr:rowOff>16808</xdr:rowOff>
    </xdr:from>
    <xdr:to>
      <xdr:col>20</xdr:col>
      <xdr:colOff>321858</xdr:colOff>
      <xdr:row>649</xdr:row>
      <xdr:rowOff>106455</xdr:rowOff>
    </xdr:to>
    <xdr:graphicFrame macro="">
      <xdr:nvGraphicFramePr>
        <xdr:cNvPr id="3" name="Chart 2">
          <a:extLst>
            <a:ext uri="{FF2B5EF4-FFF2-40B4-BE49-F238E27FC236}">
              <a16:creationId xmlns:a16="http://schemas.microsoft.com/office/drawing/2014/main" id="{00000000-0008-0000-05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7</xdr:col>
      <xdr:colOff>142564</xdr:colOff>
      <xdr:row>649</xdr:row>
      <xdr:rowOff>95249</xdr:rowOff>
    </xdr:from>
    <xdr:to>
      <xdr:col>15</xdr:col>
      <xdr:colOff>534770</xdr:colOff>
      <xdr:row>668</xdr:row>
      <xdr:rowOff>184896</xdr:rowOff>
    </xdr:to>
    <xdr:graphicFrame macro="">
      <xdr:nvGraphicFramePr>
        <xdr:cNvPr id="4" name="Chart 3">
          <a:extLst>
            <a:ext uri="{FF2B5EF4-FFF2-40B4-BE49-F238E27FC236}">
              <a16:creationId xmlns:a16="http://schemas.microsoft.com/office/drawing/2014/main" id="{00000000-0008-0000-05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4</xdr:col>
      <xdr:colOff>295768</xdr:colOff>
      <xdr:row>624</xdr:row>
      <xdr:rowOff>156204</xdr:rowOff>
    </xdr:from>
    <xdr:to>
      <xdr:col>13</xdr:col>
      <xdr:colOff>82856</xdr:colOff>
      <xdr:row>644</xdr:row>
      <xdr:rowOff>55351</xdr:rowOff>
    </xdr:to>
    <xdr:graphicFrame macro="">
      <xdr:nvGraphicFramePr>
        <xdr:cNvPr id="2" name="Chart 1">
          <a:extLst>
            <a:ext uri="{FF2B5EF4-FFF2-40B4-BE49-F238E27FC236}">
              <a16:creationId xmlns:a16="http://schemas.microsoft.com/office/drawing/2014/main" id="{00000000-0008-0000-06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94063</xdr:colOff>
      <xdr:row>624</xdr:row>
      <xdr:rowOff>156203</xdr:rowOff>
    </xdr:from>
    <xdr:to>
      <xdr:col>21</xdr:col>
      <xdr:colOff>585424</xdr:colOff>
      <xdr:row>644</xdr:row>
      <xdr:rowOff>55350</xdr:rowOff>
    </xdr:to>
    <xdr:graphicFrame macro="">
      <xdr:nvGraphicFramePr>
        <xdr:cNvPr id="3" name="Chart 2">
          <a:extLst>
            <a:ext uri="{FF2B5EF4-FFF2-40B4-BE49-F238E27FC236}">
              <a16:creationId xmlns:a16="http://schemas.microsoft.com/office/drawing/2014/main" id="{00000000-0008-0000-06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8</xdr:col>
      <xdr:colOff>306974</xdr:colOff>
      <xdr:row>644</xdr:row>
      <xdr:rowOff>44144</xdr:rowOff>
    </xdr:from>
    <xdr:to>
      <xdr:col>17</xdr:col>
      <xdr:colOff>94063</xdr:colOff>
      <xdr:row>663</xdr:row>
      <xdr:rowOff>133791</xdr:rowOff>
    </xdr:to>
    <xdr:graphicFrame macro="">
      <xdr:nvGraphicFramePr>
        <xdr:cNvPr id="4" name="Chart 3">
          <a:extLst>
            <a:ext uri="{FF2B5EF4-FFF2-40B4-BE49-F238E27FC236}">
              <a16:creationId xmlns:a16="http://schemas.microsoft.com/office/drawing/2014/main" id="{00000000-0008-0000-06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6</xdr:col>
      <xdr:colOff>599510</xdr:colOff>
      <xdr:row>570</xdr:row>
      <xdr:rowOff>29136</xdr:rowOff>
    </xdr:from>
    <xdr:to>
      <xdr:col>16</xdr:col>
      <xdr:colOff>448235</xdr:colOff>
      <xdr:row>590</xdr:row>
      <xdr:rowOff>89648</xdr:rowOff>
    </xdr:to>
    <xdr:graphicFrame macro="">
      <xdr:nvGraphicFramePr>
        <xdr:cNvPr id="2" name="Chart 1">
          <a:extLst>
            <a:ext uri="{FF2B5EF4-FFF2-40B4-BE49-F238E27FC236}">
              <a16:creationId xmlns:a16="http://schemas.microsoft.com/office/drawing/2014/main" id="{00000000-0008-0000-07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17</xdr:col>
      <xdr:colOff>212911</xdr:colOff>
      <xdr:row>570</xdr:row>
      <xdr:rowOff>22412</xdr:rowOff>
    </xdr:from>
    <xdr:to>
      <xdr:col>27</xdr:col>
      <xdr:colOff>200104</xdr:colOff>
      <xdr:row>590</xdr:row>
      <xdr:rowOff>112060</xdr:rowOff>
    </xdr:to>
    <xdr:graphicFrame macro="">
      <xdr:nvGraphicFramePr>
        <xdr:cNvPr id="3" name="Chart 2">
          <a:extLst>
            <a:ext uri="{FF2B5EF4-FFF2-40B4-BE49-F238E27FC236}">
              <a16:creationId xmlns:a16="http://schemas.microsoft.com/office/drawing/2014/main" id="{00000000-0008-0000-07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7</xdr:col>
      <xdr:colOff>0</xdr:colOff>
      <xdr:row>594</xdr:row>
      <xdr:rowOff>89648</xdr:rowOff>
    </xdr:from>
    <xdr:to>
      <xdr:col>15</xdr:col>
      <xdr:colOff>392205</xdr:colOff>
      <xdr:row>613</xdr:row>
      <xdr:rowOff>179295</xdr:rowOff>
    </xdr:to>
    <xdr:graphicFrame macro="">
      <xdr:nvGraphicFramePr>
        <xdr:cNvPr id="4" name="Chart 3">
          <a:extLst>
            <a:ext uri="{FF2B5EF4-FFF2-40B4-BE49-F238E27FC236}">
              <a16:creationId xmlns:a16="http://schemas.microsoft.com/office/drawing/2014/main" id="{00000000-0008-0000-07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15</xdr:col>
      <xdr:colOff>403412</xdr:colOff>
      <xdr:row>594</xdr:row>
      <xdr:rowOff>89647</xdr:rowOff>
    </xdr:from>
    <xdr:to>
      <xdr:col>24</xdr:col>
      <xdr:colOff>190501</xdr:colOff>
      <xdr:row>613</xdr:row>
      <xdr:rowOff>179294</xdr:rowOff>
    </xdr:to>
    <xdr:graphicFrame macro="">
      <xdr:nvGraphicFramePr>
        <xdr:cNvPr id="5" name="Chart 4">
          <a:extLst>
            <a:ext uri="{FF2B5EF4-FFF2-40B4-BE49-F238E27FC236}">
              <a16:creationId xmlns:a16="http://schemas.microsoft.com/office/drawing/2014/main" id="{00000000-0008-0000-07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6</xdr:col>
      <xdr:colOff>582706</xdr:colOff>
      <xdr:row>615</xdr:row>
      <xdr:rowOff>67233</xdr:rowOff>
    </xdr:from>
    <xdr:to>
      <xdr:col>15</xdr:col>
      <xdr:colOff>369794</xdr:colOff>
      <xdr:row>634</xdr:row>
      <xdr:rowOff>156880</xdr:rowOff>
    </xdr:to>
    <xdr:graphicFrame macro="">
      <xdr:nvGraphicFramePr>
        <xdr:cNvPr id="6" name="Chart 5">
          <a:extLst>
            <a:ext uri="{FF2B5EF4-FFF2-40B4-BE49-F238E27FC236}">
              <a16:creationId xmlns:a16="http://schemas.microsoft.com/office/drawing/2014/main" id="{00000000-0008-0000-07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16</xdr:col>
      <xdr:colOff>324970</xdr:colOff>
      <xdr:row>614</xdr:row>
      <xdr:rowOff>112059</xdr:rowOff>
    </xdr:from>
    <xdr:to>
      <xdr:col>24</xdr:col>
      <xdr:colOff>549088</xdr:colOff>
      <xdr:row>633</xdr:row>
      <xdr:rowOff>168089</xdr:rowOff>
    </xdr:to>
    <xdr:graphicFrame macro="">
      <xdr:nvGraphicFramePr>
        <xdr:cNvPr id="7" name="Chart 6">
          <a:extLst>
            <a:ext uri="{FF2B5EF4-FFF2-40B4-BE49-F238E27FC236}">
              <a16:creationId xmlns:a16="http://schemas.microsoft.com/office/drawing/2014/main" id="{00000000-0008-0000-07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16</xdr:col>
      <xdr:colOff>257735</xdr:colOff>
      <xdr:row>635</xdr:row>
      <xdr:rowOff>11206</xdr:rowOff>
    </xdr:from>
    <xdr:to>
      <xdr:col>24</xdr:col>
      <xdr:colOff>481853</xdr:colOff>
      <xdr:row>654</xdr:row>
      <xdr:rowOff>67236</xdr:rowOff>
    </xdr:to>
    <xdr:graphicFrame macro="">
      <xdr:nvGraphicFramePr>
        <xdr:cNvPr id="8" name="Chart 7">
          <a:extLst>
            <a:ext uri="{FF2B5EF4-FFF2-40B4-BE49-F238E27FC236}">
              <a16:creationId xmlns:a16="http://schemas.microsoft.com/office/drawing/2014/main" id="{00000000-0008-0000-0700-000008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0</xdr:col>
      <xdr:colOff>122997</xdr:colOff>
      <xdr:row>8</xdr:row>
      <xdr:rowOff>95251</xdr:rowOff>
    </xdr:from>
    <xdr:to>
      <xdr:col>6</xdr:col>
      <xdr:colOff>228600</xdr:colOff>
      <xdr:row>25</xdr:row>
      <xdr:rowOff>66675</xdr:rowOff>
    </xdr:to>
    <xdr:graphicFrame macro="">
      <xdr:nvGraphicFramePr>
        <xdr:cNvPr id="2" name="Chart 1">
          <a:extLst>
            <a:ext uri="{FF2B5EF4-FFF2-40B4-BE49-F238E27FC236}">
              <a16:creationId xmlns:a16="http://schemas.microsoft.com/office/drawing/2014/main" id="{00000000-0008-0000-08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238125</xdr:colOff>
      <xdr:row>8</xdr:row>
      <xdr:rowOff>104776</xdr:rowOff>
    </xdr:from>
    <xdr:to>
      <xdr:col>12</xdr:col>
      <xdr:colOff>9525</xdr:colOff>
      <xdr:row>25</xdr:row>
      <xdr:rowOff>76200</xdr:rowOff>
    </xdr:to>
    <xdr:graphicFrame macro="">
      <xdr:nvGraphicFramePr>
        <xdr:cNvPr id="3" name="Chart 2">
          <a:extLst>
            <a:ext uri="{FF2B5EF4-FFF2-40B4-BE49-F238E27FC236}">
              <a16:creationId xmlns:a16="http://schemas.microsoft.com/office/drawing/2014/main" id="{00000000-0008-0000-08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able2" displayName="Table2" ref="A4:F904" totalsRowShown="0" headerRowDxfId="37" dataDxfId="35" headerRowBorderDxfId="36">
  <autoFilter ref="A4:F904" xr:uid="{00000000-0009-0000-0100-000001000000}"/>
  <tableColumns count="6">
    <tableColumn id="1" xr3:uid="{00000000-0010-0000-0000-000001000000}" name="Date" dataDxfId="34"/>
    <tableColumn id="2" xr3:uid="{00000000-0010-0000-0000-000002000000}" name="Consumer Price Index (NSA)" dataDxfId="33">
      <calculatedColumnFormula>VLOOKUP(Table2[[#This Row],[Date]],Database!A:E,2,)</calculatedColumnFormula>
    </tableColumn>
    <tableColumn id="3" xr3:uid="{00000000-0010-0000-0000-000003000000}" name="Consumer Price Index m/m %" dataDxfId="32">
      <calculatedColumnFormula>(B5-B4)/B4</calculatedColumnFormula>
    </tableColumn>
    <tableColumn id="4" xr3:uid="{00000000-0010-0000-0000-000004000000}" name="Consumer Price Index y/y %" dataDxfId="31"/>
    <tableColumn id="5" xr3:uid="{00000000-0010-0000-0000-000005000000}" name="FED Funds Rate" dataDxfId="30">
      <calculatedColumnFormula>VLOOKUP(Table2[[#This Row],[Date]],'Fed Fund New'!$A:$C,2,FALSE)</calculatedColumnFormula>
    </tableColumn>
    <tableColumn id="6" xr3:uid="{00000000-0010-0000-0000-000006000000}" name="Fed Target" dataDxfId="29">
      <calculatedColumnFormula>VLOOKUP(Table2[[#This Row],[Date]],'Fed Fund New'!$A:$C,3,FALSE)</calculatedColumnFormula>
    </tableColumn>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1000000}" name="Table3" displayName="Table3" ref="A4:D664" totalsRowShown="0" headerRowDxfId="28" dataDxfId="26" headerRowBorderDxfId="27" tableBorderDxfId="25">
  <autoFilter ref="A4:D664" xr:uid="{00000000-0009-0000-0100-000002000000}"/>
  <tableColumns count="4">
    <tableColumn id="1" xr3:uid="{00000000-0010-0000-0100-000001000000}" name="Date" dataDxfId="24"/>
    <tableColumn id="2" xr3:uid="{00000000-0010-0000-0100-000002000000}" name="Food and Beverages" dataDxfId="23">
      <calculatedColumnFormula>VLOOKUP(Table3[[#This Row],[Date]],Database!A:E,4,)</calculatedColumnFormula>
    </tableColumn>
    <tableColumn id="3" xr3:uid="{00000000-0010-0000-0100-000003000000}" name="Food and Beverages m/m %" dataDxfId="22">
      <calculatedColumnFormula>(B5-B4)/B4</calculatedColumnFormula>
    </tableColumn>
    <tableColumn id="4" xr3:uid="{00000000-0010-0000-0100-000004000000}" name="Food and Beverages y/y %" dataDxfId="21"/>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2000000}" name="Table4" displayName="Table4" ref="A4:D664" totalsRowShown="0" headerRowDxfId="20" dataDxfId="18" headerRowBorderDxfId="19" tableBorderDxfId="17">
  <autoFilter ref="A4:D664" xr:uid="{00000000-0009-0000-0100-000003000000}"/>
  <tableColumns count="4">
    <tableColumn id="1" xr3:uid="{00000000-0010-0000-0200-000001000000}" name="Date" dataDxfId="16"/>
    <tableColumn id="2" xr3:uid="{00000000-0010-0000-0200-000002000000}" name="Energy Index" dataDxfId="15">
      <calculatedColumnFormula>VLOOKUP(Table4[[#This Row],[Date]],Database!A:E,3,)</calculatedColumnFormula>
    </tableColumn>
    <tableColumn id="3" xr3:uid="{00000000-0010-0000-0200-000003000000}" name="Energy Index m/m %" dataDxfId="14">
      <calculatedColumnFormula>(B5-B4)/B4</calculatedColumnFormula>
    </tableColumn>
    <tableColumn id="4" xr3:uid="{00000000-0010-0000-0200-000004000000}" name="Energy Index y/y %" dataDxfId="13"/>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00000000-000C-0000-FFFF-FFFF03000000}" name="Table5" displayName="Table5" ref="A4:F664" totalsRowShown="0" headerRowDxfId="12" dataDxfId="10" headerRowBorderDxfId="11">
  <autoFilter ref="A4:F664" xr:uid="{00000000-0009-0000-0100-000004000000}"/>
  <tableColumns count="6">
    <tableColumn id="1" xr3:uid="{00000000-0010-0000-0300-000001000000}" name="Date" dataDxfId="9"/>
    <tableColumn id="2" xr3:uid="{00000000-0010-0000-0300-000002000000}" name="All Items Less Food &amp; Energy" dataDxfId="8">
      <calculatedColumnFormula>VLOOKUP(Table5[[#This Row],[Date]],Database!A:E,5,)</calculatedColumnFormula>
    </tableColumn>
    <tableColumn id="3" xr3:uid="{00000000-0010-0000-0300-000003000000}" name="All Items Less Food &amp; Energy m/m %" dataDxfId="7">
      <calculatedColumnFormula>(B5-B4)/B4</calculatedColumnFormula>
    </tableColumn>
    <tableColumn id="4" xr3:uid="{00000000-0010-0000-0300-000004000000}" name="All Items Less Food &amp; Energy y/y %" dataDxfId="6"/>
    <tableColumn id="5" xr3:uid="{00000000-0010-0000-0300-000005000000}" name="Fed Target" dataDxfId="5">
      <calculatedColumnFormula>VLOOKUP(Table5[[#This Row],[Date]],'Fed Fund New'!$A:$C,2,FALSE)</calculatedColumnFormula>
    </tableColumn>
    <tableColumn id="6" xr3:uid="{00000000-0010-0000-0300-000006000000}" name="2%" dataDxfId="4"/>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hyperlink" Target="https://www.bls.gov/cpi/" TargetMode="External"/></Relationships>
</file>

<file path=xl/worksheets/_rels/sheet4.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drawing" Target="../drawings/drawing2.xml"/></Relationships>
</file>

<file path=xl/worksheets/_rels/sheet5.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drawing" Target="../drawings/drawing3.xml"/></Relationships>
</file>

<file path=xl/worksheets/_rels/sheet6.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drawing" Target="../drawings/drawing4.xml"/></Relationships>
</file>

<file path=xl/worksheets/_rels/sheet7.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drawing" Target="../drawings/drawing5.xml"/></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9.xml.rels><?xml version="1.0" encoding="UTF-8" standalone="yes"?>
<Relationships xmlns="http://schemas.openxmlformats.org/package/2006/relationships"><Relationship Id="rId3" Type="http://schemas.openxmlformats.org/officeDocument/2006/relationships/hyperlink" Target="https://research.stlouisfed.org/fred2/series/CPIFABSL" TargetMode="External"/><Relationship Id="rId2" Type="http://schemas.openxmlformats.org/officeDocument/2006/relationships/hyperlink" Target="https://research.stlouisfed.org/fred2/series/CPILFESL" TargetMode="External"/><Relationship Id="rId1" Type="http://schemas.openxmlformats.org/officeDocument/2006/relationships/hyperlink" Target="https://research.stlouisfed.org/fred2/series/CPIAUCSL" TargetMode="External"/><Relationship Id="rId4" Type="http://schemas.openxmlformats.org/officeDocument/2006/relationships/hyperlink" Target="https://research.stlouisfed.org/fred2/series/CPIENGSL" TargetMode="External"/></Relationships>
</file>

<file path=xl/worksheets/_rels/sheet10.xml.rels><?xml version="1.0" encoding="UTF-8" standalone="yes"?>
<Relationships xmlns="http://schemas.openxmlformats.org/package/2006/relationships"><Relationship Id="rId3" Type="http://schemas.openxmlformats.org/officeDocument/2006/relationships/hyperlink" Target="https://research.stlouisfed.org/fred2/series/FEDFUNDS" TargetMode="External"/><Relationship Id="rId2" Type="http://schemas.openxmlformats.org/officeDocument/2006/relationships/hyperlink" Target="https://research.stlouisfed.org/fred2/series/DFEDTARL" TargetMode="External"/><Relationship Id="rId1" Type="http://schemas.openxmlformats.org/officeDocument/2006/relationships/hyperlink" Target="https://research.stlouisfed.org/fred2/series/DFEDTARU"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tabColor rgb="FFFFFF00"/>
  </sheetPr>
  <dimension ref="B1:S23"/>
  <sheetViews>
    <sheetView tabSelected="1" zoomScale="130" zoomScaleNormal="130" workbookViewId="0">
      <selection activeCell="X16" sqref="X16"/>
    </sheetView>
  </sheetViews>
  <sheetFormatPr baseColWidth="10" defaultColWidth="9.1640625" defaultRowHeight="15" x14ac:dyDescent="0.2"/>
  <cols>
    <col min="1" max="1" width="9.1640625" style="74" customWidth="1"/>
    <col min="2" max="10" width="12.83203125" style="74" customWidth="1"/>
    <col min="11" max="13" width="5.6640625" style="74" customWidth="1"/>
    <col min="14" max="14" width="19" style="74" customWidth="1"/>
    <col min="15" max="15" width="9.1640625" style="74" customWidth="1"/>
    <col min="16" max="19" width="12.33203125" style="74" customWidth="1"/>
    <col min="20" max="23" width="9.1640625" style="74" customWidth="1"/>
    <col min="24" max="16384" width="9.1640625" style="74"/>
  </cols>
  <sheetData>
    <row r="1" spans="2:19" x14ac:dyDescent="0.2">
      <c r="B1" s="86"/>
      <c r="C1" s="85"/>
      <c r="D1" s="85"/>
      <c r="E1" s="85"/>
      <c r="F1" s="85"/>
      <c r="G1" s="85"/>
      <c r="H1" s="85"/>
      <c r="I1" s="85"/>
      <c r="J1" s="85"/>
    </row>
    <row r="2" spans="2:19" ht="16" customHeight="1" thickBot="1" x14ac:dyDescent="0.25">
      <c r="B2" s="87"/>
      <c r="C2" s="87"/>
      <c r="D2" s="87"/>
      <c r="E2" s="87"/>
      <c r="F2" s="87"/>
      <c r="G2" s="87"/>
      <c r="H2" s="87"/>
      <c r="I2" s="87"/>
      <c r="J2" s="87"/>
    </row>
    <row r="3" spans="2:19" ht="16" customHeight="1" thickBot="1" x14ac:dyDescent="0.25">
      <c r="B3" s="88" t="s">
        <v>0</v>
      </c>
      <c r="C3" s="89"/>
      <c r="D3" s="89"/>
      <c r="E3" s="89"/>
      <c r="F3" s="89"/>
      <c r="G3" s="89"/>
      <c r="H3" s="89"/>
      <c r="I3" s="89"/>
      <c r="J3" s="90"/>
    </row>
    <row r="5" spans="2:19" x14ac:dyDescent="0.2">
      <c r="B5" s="78" t="s">
        <v>1</v>
      </c>
      <c r="C5" s="79"/>
      <c r="D5" s="79"/>
      <c r="E5" s="79"/>
      <c r="F5" s="79"/>
      <c r="G5" s="79"/>
      <c r="H5" s="79"/>
      <c r="I5" s="79"/>
      <c r="J5" s="80"/>
    </row>
    <row r="7" spans="2:19" ht="240.75" customHeight="1" x14ac:dyDescent="0.2">
      <c r="B7" s="91" t="s">
        <v>2</v>
      </c>
      <c r="C7" s="85"/>
      <c r="D7" s="85"/>
      <c r="E7" s="85"/>
      <c r="F7" s="85"/>
      <c r="G7" s="85"/>
      <c r="H7" s="85"/>
      <c r="I7" s="85"/>
      <c r="J7" s="85"/>
    </row>
    <row r="8" spans="2:19" ht="33.75" customHeight="1" x14ac:dyDescent="0.2">
      <c r="B8" s="92" t="s">
        <v>3</v>
      </c>
      <c r="C8" s="85"/>
      <c r="D8" s="85"/>
      <c r="E8" s="85"/>
      <c r="F8" s="85"/>
      <c r="G8" s="85"/>
      <c r="H8" s="85"/>
      <c r="I8" s="85"/>
      <c r="J8" s="85"/>
    </row>
    <row r="9" spans="2:19" x14ac:dyDescent="0.2">
      <c r="B9" s="40"/>
      <c r="C9" s="40"/>
      <c r="D9" s="40"/>
      <c r="E9" s="40"/>
    </row>
    <row r="10" spans="2:19" x14ac:dyDescent="0.2">
      <c r="B10" s="78" t="s">
        <v>4</v>
      </c>
      <c r="C10" s="79"/>
      <c r="D10" s="79"/>
      <c r="E10" s="79"/>
      <c r="F10" s="79"/>
      <c r="G10" s="79"/>
      <c r="H10" s="79"/>
      <c r="I10" s="79"/>
      <c r="J10" s="80"/>
      <c r="N10" s="78" t="s">
        <v>5</v>
      </c>
      <c r="O10" s="79"/>
      <c r="P10" s="79"/>
      <c r="Q10" s="79"/>
      <c r="R10" s="79"/>
      <c r="S10" s="80"/>
    </row>
    <row r="12" spans="2:19" x14ac:dyDescent="0.2">
      <c r="B12" s="78" t="s">
        <v>6</v>
      </c>
      <c r="C12" s="79"/>
      <c r="D12" s="79"/>
      <c r="E12" s="79"/>
      <c r="F12" s="80"/>
      <c r="G12" s="78" t="s">
        <v>7</v>
      </c>
      <c r="H12" s="79"/>
      <c r="I12" s="79"/>
      <c r="J12" s="80"/>
      <c r="N12" s="13" t="s">
        <v>8</v>
      </c>
    </row>
    <row r="13" spans="2:19" ht="16" customHeight="1" thickBot="1" x14ac:dyDescent="0.25"/>
    <row r="14" spans="2:19" x14ac:dyDescent="0.2">
      <c r="B14" s="74" t="s">
        <v>9</v>
      </c>
      <c r="G14" s="85"/>
      <c r="H14" s="85"/>
      <c r="I14" s="85"/>
      <c r="J14" s="85"/>
      <c r="P14" s="43">
        <v>44531</v>
      </c>
      <c r="Q14" s="44"/>
    </row>
    <row r="15" spans="2:19" ht="16" customHeight="1" thickBot="1" x14ac:dyDescent="0.25">
      <c r="B15" s="74" t="s">
        <v>10</v>
      </c>
      <c r="G15" s="85"/>
      <c r="H15" s="85"/>
      <c r="I15" s="85"/>
      <c r="J15" s="85"/>
      <c r="P15" s="45" t="s">
        <v>11</v>
      </c>
      <c r="Q15" s="45" t="s">
        <v>12</v>
      </c>
    </row>
    <row r="16" spans="2:19" ht="44.25" customHeight="1" x14ac:dyDescent="0.2">
      <c r="B16" s="3" t="s">
        <v>13</v>
      </c>
      <c r="G16" s="94" t="s">
        <v>14</v>
      </c>
      <c r="H16" s="85"/>
      <c r="I16" s="85"/>
      <c r="J16" s="85"/>
      <c r="N16" s="81" t="s">
        <v>15</v>
      </c>
      <c r="O16" s="82"/>
      <c r="P16" s="54">
        <f>(VLOOKUP($P$14,Database!A:D,MATCH(Note!S16,Database!A1:D1,),)-VLOOKUP($N$22,Database!A:D,MATCH(Note!S16,Database!A1:D1,),))/VLOOKUP($N$22,Database!A:D,MATCH(Note!S16,Database!A1:D1,),)</f>
        <v>4.7045324153758309E-3</v>
      </c>
      <c r="Q16" s="55">
        <f>(VLOOKUP($P$14,Database!A:D,MATCH(Note!S16,Database!A1:D1,),)-VLOOKUP($N$23,Database!A:D,MATCH(Note!S16,Database!A1:D1,),))/VLOOKUP($N$23,Database!A:D,MATCH(Note!S16,Database!A1:D1,),)</f>
        <v>7.1234133659580992E-2</v>
      </c>
      <c r="S16" s="8" t="s">
        <v>13</v>
      </c>
    </row>
    <row r="17" spans="2:19" ht="44.25" customHeight="1" x14ac:dyDescent="0.2">
      <c r="B17" s="3" t="s">
        <v>16</v>
      </c>
      <c r="G17" s="94" t="s">
        <v>17</v>
      </c>
      <c r="H17" s="85"/>
      <c r="I17" s="85"/>
      <c r="J17" s="85"/>
      <c r="N17" s="83" t="s">
        <v>18</v>
      </c>
      <c r="O17" s="80"/>
      <c r="P17" s="56">
        <f>(VLOOKUP($P$14,Database!A:D,MATCH(Note!S17,Database!A1:D1,),)-VLOOKUP($N$22,Database!A:D,MATCH(Note!S17,Database!A1:D1,),))/VLOOKUP($N$22,Database!A:D,MATCH(Note!S17,Database!A1:D1,),)</f>
        <v>4.9853423912090021E-3</v>
      </c>
      <c r="Q17" s="57">
        <f>(VLOOKUP($P$14,Database!A:D,MATCH(Note!S17,Database!A1:D1,),)-VLOOKUP($N$23,Database!A:D,MATCH(Note!S17,Database!A1:D1,),))/VLOOKUP($N$23,Database!A:D,MATCH(Note!S17,Database!A1:D1,),)</f>
        <v>6.01448067699943E-2</v>
      </c>
      <c r="S17" s="8" t="s">
        <v>19</v>
      </c>
    </row>
    <row r="18" spans="2:19" ht="44.25" customHeight="1" x14ac:dyDescent="0.2">
      <c r="B18" s="3" t="s">
        <v>19</v>
      </c>
      <c r="G18" s="84" t="s">
        <v>20</v>
      </c>
      <c r="H18" s="85"/>
      <c r="I18" s="85"/>
      <c r="J18" s="85"/>
      <c r="N18" s="83" t="s">
        <v>21</v>
      </c>
      <c r="O18" s="80"/>
      <c r="P18" s="56">
        <f>(VLOOKUP($P$14,Database!A:D,MATCH(Note!S18,Database!A1:D1,),)-VLOOKUP($N$22,Database!A:D,MATCH(Note!S18,Database!A1:D1,),))/VLOOKUP($N$22,Database!A:D,MATCH(Note!S18,Database!A1:D1,),)</f>
        <v>-3.9114805915879949E-3</v>
      </c>
      <c r="Q18" s="57">
        <f>(VLOOKUP($P$14,Database!A:D,MATCH(Note!S18,Database!A1:D1,),)-VLOOKUP($N$23,Database!A:D,MATCH(Note!S18,Database!A1:D1,),))/VLOOKUP($N$23,Database!A:D,MATCH(Note!S18,Database!A1:D1,),)</f>
        <v>0.29631447701702357</v>
      </c>
      <c r="S18" s="8" t="s">
        <v>16</v>
      </c>
    </row>
    <row r="19" spans="2:19" ht="44.25" customHeight="1" thickBot="1" x14ac:dyDescent="0.25">
      <c r="B19" s="3" t="s">
        <v>22</v>
      </c>
      <c r="G19" s="94" t="s">
        <v>23</v>
      </c>
      <c r="H19" s="85"/>
      <c r="I19" s="85"/>
      <c r="J19" s="85"/>
      <c r="N19" s="76" t="s">
        <v>24</v>
      </c>
      <c r="O19" s="77"/>
      <c r="P19" s="58">
        <f>(VLOOKUP($P$14,Database!A:E,MATCH(Note!S19,Database!A1:E1,),)-VLOOKUP($N$22,Database!A:E,MATCH(Note!S19,Database!A1:E1,),))/VLOOKUP($N$22,Database!A:E,MATCH(Note!S19,Database!A1:E1,),)</f>
        <v>5.5013930035557523E-3</v>
      </c>
      <c r="Q19" s="59">
        <f>(VLOOKUP($P$14,Database!A:E,MATCH(Note!S19,Database!A1:E1,),)-VLOOKUP($N$23,Database!A:E,MATCH(Note!S19,Database!A1:E1,),))/VLOOKUP($N$23,Database!A:E,MATCH(Note!S19,Database!A1:E1,),)</f>
        <v>5.4897384603986132E-2</v>
      </c>
      <c r="S19" s="8" t="s">
        <v>22</v>
      </c>
    </row>
    <row r="21" spans="2:19" ht="16" customHeight="1" thickBot="1" x14ac:dyDescent="0.25">
      <c r="B21" s="41"/>
    </row>
    <row r="22" spans="2:19" ht="30" customHeight="1" thickBot="1" x14ac:dyDescent="0.25">
      <c r="B22" s="93"/>
      <c r="C22" s="85"/>
      <c r="D22" s="85"/>
      <c r="E22" s="85"/>
      <c r="F22" s="85"/>
      <c r="G22" s="85"/>
      <c r="H22" s="85"/>
      <c r="I22" s="85"/>
      <c r="J22" s="85"/>
      <c r="N22" s="44">
        <f>DATE(YEAR($P$14),MONTH($P$14)-1,DAY($P$14))</f>
        <v>44501</v>
      </c>
    </row>
    <row r="23" spans="2:19" ht="16" customHeight="1" thickBot="1" x14ac:dyDescent="0.25">
      <c r="B23" s="42"/>
      <c r="N23" s="46">
        <f>DATE(YEAR($P$14)-1,MONTH($P$14),DAY($P$14))</f>
        <v>44166</v>
      </c>
      <c r="P23" s="47"/>
      <c r="Q23" s="47"/>
    </row>
  </sheetData>
  <mergeCells count="20">
    <mergeCell ref="B22:J22"/>
    <mergeCell ref="G19:J19"/>
    <mergeCell ref="B12:F12"/>
    <mergeCell ref="G12:J12"/>
    <mergeCell ref="G14:J14"/>
    <mergeCell ref="G15:J15"/>
    <mergeCell ref="G16:J16"/>
    <mergeCell ref="G17:J17"/>
    <mergeCell ref="B1:J2"/>
    <mergeCell ref="B3:J3"/>
    <mergeCell ref="B5:J5"/>
    <mergeCell ref="B7:J7"/>
    <mergeCell ref="B8:J8"/>
    <mergeCell ref="N19:O19"/>
    <mergeCell ref="B10:J10"/>
    <mergeCell ref="N10:S10"/>
    <mergeCell ref="N16:O16"/>
    <mergeCell ref="N17:O17"/>
    <mergeCell ref="N18:O18"/>
    <mergeCell ref="G18:J18"/>
  </mergeCells>
  <conditionalFormatting sqref="P16:Q19">
    <cfRule type="cellIs" dxfId="3" priority="7" operator="lessThan">
      <formula>0</formula>
    </cfRule>
    <cfRule type="cellIs" dxfId="2" priority="8" operator="greaterThan">
      <formula>0</formula>
    </cfRule>
  </conditionalFormatting>
  <hyperlinks>
    <hyperlink ref="B8" r:id="rId1" xr:uid="{00000000-0004-0000-0000-000000000000}"/>
  </hyperlinks>
  <pageMargins left="0.7" right="0.7" top="0.75" bottom="0.75" header="0.3" footer="0.3"/>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1">
    <tabColor theme="1" tint="0.499984740745262"/>
  </sheetPr>
  <dimension ref="A1:WVM901"/>
  <sheetViews>
    <sheetView topLeftCell="A846" zoomScale="130" zoomScaleNormal="130" workbookViewId="0">
      <selection activeCell="D906" sqref="D906"/>
    </sheetView>
  </sheetViews>
  <sheetFormatPr baseColWidth="10" defaultColWidth="8.83203125" defaultRowHeight="15" x14ac:dyDescent="0.2"/>
  <cols>
    <col min="1" max="1" width="12.6640625" style="60" customWidth="1"/>
    <col min="2" max="5" width="10.6640625" style="60" customWidth="1"/>
    <col min="257" max="257" width="12.6640625" style="60" customWidth="1"/>
    <col min="258" max="261" width="10.6640625" style="60" customWidth="1"/>
    <col min="513" max="513" width="12.6640625" style="60" customWidth="1"/>
    <col min="514" max="517" width="10.6640625" style="60" customWidth="1"/>
    <col min="769" max="769" width="12.6640625" style="60" customWidth="1"/>
    <col min="770" max="773" width="10.6640625" style="60" customWidth="1"/>
    <col min="1025" max="1025" width="12.6640625" style="60" customWidth="1"/>
    <col min="1026" max="1029" width="10.6640625" style="60" customWidth="1"/>
    <col min="1281" max="1281" width="12.6640625" style="60" customWidth="1"/>
    <col min="1282" max="1285" width="10.6640625" style="60" customWidth="1"/>
    <col min="1537" max="1537" width="12.6640625" style="60" customWidth="1"/>
    <col min="1538" max="1541" width="10.6640625" style="60" customWidth="1"/>
    <col min="1793" max="1793" width="12.6640625" style="60" customWidth="1"/>
    <col min="1794" max="1797" width="10.6640625" style="60" customWidth="1"/>
    <col min="2049" max="2049" width="12.6640625" style="60" customWidth="1"/>
    <col min="2050" max="2053" width="10.6640625" style="60" customWidth="1"/>
    <col min="2305" max="2305" width="12.6640625" style="60" customWidth="1"/>
    <col min="2306" max="2309" width="10.6640625" style="60" customWidth="1"/>
    <col min="2561" max="2561" width="12.6640625" style="60" customWidth="1"/>
    <col min="2562" max="2565" width="10.6640625" style="60" customWidth="1"/>
    <col min="2817" max="2817" width="12.6640625" style="60" customWidth="1"/>
    <col min="2818" max="2821" width="10.6640625" style="60" customWidth="1"/>
    <col min="3073" max="3073" width="12.6640625" style="60" customWidth="1"/>
    <col min="3074" max="3077" width="10.6640625" style="60" customWidth="1"/>
    <col min="3329" max="3329" width="12.6640625" style="60" customWidth="1"/>
    <col min="3330" max="3333" width="10.6640625" style="60" customWidth="1"/>
    <col min="3585" max="3585" width="12.6640625" style="60" customWidth="1"/>
    <col min="3586" max="3589" width="10.6640625" style="60" customWidth="1"/>
    <col min="3841" max="3841" width="12.6640625" style="60" customWidth="1"/>
    <col min="3842" max="3845" width="10.6640625" style="60" customWidth="1"/>
    <col min="4097" max="4097" width="12.6640625" style="60" customWidth="1"/>
    <col min="4098" max="4101" width="10.6640625" style="60" customWidth="1"/>
    <col min="4353" max="4353" width="12.6640625" style="60" customWidth="1"/>
    <col min="4354" max="4357" width="10.6640625" style="60" customWidth="1"/>
    <col min="4609" max="4609" width="12.6640625" style="60" customWidth="1"/>
    <col min="4610" max="4613" width="10.6640625" style="60" customWidth="1"/>
    <col min="4865" max="4865" width="12.6640625" style="60" customWidth="1"/>
    <col min="4866" max="4869" width="10.6640625" style="60" customWidth="1"/>
    <col min="5121" max="5121" width="12.6640625" style="60" customWidth="1"/>
    <col min="5122" max="5125" width="10.6640625" style="60" customWidth="1"/>
    <col min="5377" max="5377" width="12.6640625" style="60" customWidth="1"/>
    <col min="5378" max="5381" width="10.6640625" style="60" customWidth="1"/>
    <col min="5633" max="5633" width="12.6640625" style="60" customWidth="1"/>
    <col min="5634" max="5637" width="10.6640625" style="60" customWidth="1"/>
    <col min="5889" max="5889" width="12.6640625" style="60" customWidth="1"/>
    <col min="5890" max="5893" width="10.6640625" style="60" customWidth="1"/>
    <col min="6145" max="6145" width="12.6640625" style="60" customWidth="1"/>
    <col min="6146" max="6149" width="10.6640625" style="60" customWidth="1"/>
    <col min="6401" max="6401" width="12.6640625" style="60" customWidth="1"/>
    <col min="6402" max="6405" width="10.6640625" style="60" customWidth="1"/>
    <col min="6657" max="6657" width="12.6640625" style="60" customWidth="1"/>
    <col min="6658" max="6661" width="10.6640625" style="60" customWidth="1"/>
    <col min="6913" max="6913" width="12.6640625" style="60" customWidth="1"/>
    <col min="6914" max="6917" width="10.6640625" style="60" customWidth="1"/>
    <col min="7169" max="7169" width="12.6640625" style="60" customWidth="1"/>
    <col min="7170" max="7173" width="10.6640625" style="60" customWidth="1"/>
    <col min="7425" max="7425" width="12.6640625" style="60" customWidth="1"/>
    <col min="7426" max="7429" width="10.6640625" style="60" customWidth="1"/>
    <col min="7681" max="7681" width="12.6640625" style="60" customWidth="1"/>
    <col min="7682" max="7685" width="10.6640625" style="60" customWidth="1"/>
    <col min="7937" max="7937" width="12.6640625" style="60" customWidth="1"/>
    <col min="7938" max="7941" width="10.6640625" style="60" customWidth="1"/>
    <col min="8193" max="8193" width="12.6640625" style="60" customWidth="1"/>
    <col min="8194" max="8197" width="10.6640625" style="60" customWidth="1"/>
    <col min="8449" max="8449" width="12.6640625" style="60" customWidth="1"/>
    <col min="8450" max="8453" width="10.6640625" style="60" customWidth="1"/>
    <col min="8705" max="8705" width="12.6640625" style="60" customWidth="1"/>
    <col min="8706" max="8709" width="10.6640625" style="60" customWidth="1"/>
    <col min="8961" max="8961" width="12.6640625" style="60" customWidth="1"/>
    <col min="8962" max="8965" width="10.6640625" style="60" customWidth="1"/>
    <col min="9217" max="9217" width="12.6640625" style="60" customWidth="1"/>
    <col min="9218" max="9221" width="10.6640625" style="60" customWidth="1"/>
    <col min="9473" max="9473" width="12.6640625" style="60" customWidth="1"/>
    <col min="9474" max="9477" width="10.6640625" style="60" customWidth="1"/>
    <col min="9729" max="9729" width="12.6640625" style="60" customWidth="1"/>
    <col min="9730" max="9733" width="10.6640625" style="60" customWidth="1"/>
    <col min="9985" max="9985" width="12.6640625" style="60" customWidth="1"/>
    <col min="9986" max="9989" width="10.6640625" style="60" customWidth="1"/>
    <col min="10241" max="10241" width="12.6640625" style="60" customWidth="1"/>
    <col min="10242" max="10245" width="10.6640625" style="60" customWidth="1"/>
    <col min="10497" max="10497" width="12.6640625" style="60" customWidth="1"/>
    <col min="10498" max="10501" width="10.6640625" style="60" customWidth="1"/>
    <col min="10753" max="10753" width="12.6640625" style="60" customWidth="1"/>
    <col min="10754" max="10757" width="10.6640625" style="60" customWidth="1"/>
    <col min="11009" max="11009" width="12.6640625" style="60" customWidth="1"/>
    <col min="11010" max="11013" width="10.6640625" style="60" customWidth="1"/>
    <col min="11265" max="11265" width="12.6640625" style="60" customWidth="1"/>
    <col min="11266" max="11269" width="10.6640625" style="60" customWidth="1"/>
    <col min="11521" max="11521" width="12.6640625" style="60" customWidth="1"/>
    <col min="11522" max="11525" width="10.6640625" style="60" customWidth="1"/>
    <col min="11777" max="11777" width="12.6640625" style="60" customWidth="1"/>
    <col min="11778" max="11781" width="10.6640625" style="60" customWidth="1"/>
    <col min="12033" max="12033" width="12.6640625" style="60" customWidth="1"/>
    <col min="12034" max="12037" width="10.6640625" style="60" customWidth="1"/>
    <col min="12289" max="12289" width="12.6640625" style="60" customWidth="1"/>
    <col min="12290" max="12293" width="10.6640625" style="60" customWidth="1"/>
    <col min="12545" max="12545" width="12.6640625" style="60" customWidth="1"/>
    <col min="12546" max="12549" width="10.6640625" style="60" customWidth="1"/>
    <col min="12801" max="12801" width="12.6640625" style="60" customWidth="1"/>
    <col min="12802" max="12805" width="10.6640625" style="60" customWidth="1"/>
    <col min="13057" max="13057" width="12.6640625" style="60" customWidth="1"/>
    <col min="13058" max="13061" width="10.6640625" style="60" customWidth="1"/>
    <col min="13313" max="13313" width="12.6640625" style="60" customWidth="1"/>
    <col min="13314" max="13317" width="10.6640625" style="60" customWidth="1"/>
    <col min="13569" max="13569" width="12.6640625" style="60" customWidth="1"/>
    <col min="13570" max="13573" width="10.6640625" style="60" customWidth="1"/>
    <col min="13825" max="13825" width="12.6640625" style="60" customWidth="1"/>
    <col min="13826" max="13829" width="10.6640625" style="60" customWidth="1"/>
    <col min="14081" max="14081" width="12.6640625" style="60" customWidth="1"/>
    <col min="14082" max="14085" width="10.6640625" style="60" customWidth="1"/>
    <col min="14337" max="14337" width="12.6640625" style="60" customWidth="1"/>
    <col min="14338" max="14341" width="10.6640625" style="60" customWidth="1"/>
    <col min="14593" max="14593" width="12.6640625" style="60" customWidth="1"/>
    <col min="14594" max="14597" width="10.6640625" style="60" customWidth="1"/>
    <col min="14849" max="14849" width="12.6640625" style="60" customWidth="1"/>
    <col min="14850" max="14853" width="10.6640625" style="60" customWidth="1"/>
    <col min="15105" max="15105" width="12.6640625" style="60" customWidth="1"/>
    <col min="15106" max="15109" width="10.6640625" style="60" customWidth="1"/>
    <col min="15361" max="15361" width="12.6640625" style="60" customWidth="1"/>
    <col min="15362" max="15365" width="10.6640625" style="60" customWidth="1"/>
    <col min="15617" max="15617" width="12.6640625" style="60" customWidth="1"/>
    <col min="15618" max="15621" width="10.6640625" style="60" customWidth="1"/>
    <col min="15873" max="15873" width="12.6640625" style="60" customWidth="1"/>
    <col min="15874" max="15877" width="10.6640625" style="60" customWidth="1"/>
    <col min="16129" max="16129" width="12.6640625" style="60" customWidth="1"/>
    <col min="16130" max="16133" width="10.6640625" style="60" customWidth="1"/>
  </cols>
  <sheetData>
    <row r="1" spans="1:5" x14ac:dyDescent="0.2">
      <c r="A1" t="s">
        <v>25</v>
      </c>
      <c r="B1" t="s">
        <v>13</v>
      </c>
      <c r="C1" t="s">
        <v>16</v>
      </c>
      <c r="D1" t="s">
        <v>19</v>
      </c>
      <c r="E1" t="s">
        <v>22</v>
      </c>
    </row>
    <row r="2" spans="1:5" x14ac:dyDescent="0.2">
      <c r="A2" s="75">
        <v>17168</v>
      </c>
      <c r="B2">
        <v>21.48</v>
      </c>
    </row>
    <row r="3" spans="1:5" x14ac:dyDescent="0.2">
      <c r="A3" s="75">
        <v>17199</v>
      </c>
      <c r="B3">
        <v>21.62</v>
      </c>
    </row>
    <row r="4" spans="1:5" x14ac:dyDescent="0.2">
      <c r="A4" s="75">
        <v>17227</v>
      </c>
      <c r="B4">
        <v>22</v>
      </c>
    </row>
    <row r="5" spans="1:5" x14ac:dyDescent="0.2">
      <c r="A5" s="75">
        <v>17258</v>
      </c>
      <c r="B5">
        <v>22</v>
      </c>
    </row>
    <row r="6" spans="1:5" x14ac:dyDescent="0.2">
      <c r="A6" s="75">
        <v>17288</v>
      </c>
      <c r="B6">
        <v>21.95</v>
      </c>
    </row>
    <row r="7" spans="1:5" x14ac:dyDescent="0.2">
      <c r="A7" s="75">
        <v>17319</v>
      </c>
      <c r="B7">
        <v>22.08</v>
      </c>
    </row>
    <row r="8" spans="1:5" x14ac:dyDescent="0.2">
      <c r="A8" s="75">
        <v>17349</v>
      </c>
      <c r="B8">
        <v>22.23</v>
      </c>
    </row>
    <row r="9" spans="1:5" x14ac:dyDescent="0.2">
      <c r="A9" s="75">
        <v>17380</v>
      </c>
      <c r="B9">
        <v>22.4</v>
      </c>
    </row>
    <row r="10" spans="1:5" x14ac:dyDescent="0.2">
      <c r="A10" s="75">
        <v>17411</v>
      </c>
      <c r="B10">
        <v>22.84</v>
      </c>
    </row>
    <row r="11" spans="1:5" x14ac:dyDescent="0.2">
      <c r="A11" s="75">
        <v>17441</v>
      </c>
      <c r="B11">
        <v>22.91</v>
      </c>
    </row>
    <row r="12" spans="1:5" x14ac:dyDescent="0.2">
      <c r="A12" s="75">
        <v>17472</v>
      </c>
      <c r="B12">
        <v>23.06</v>
      </c>
    </row>
    <row r="13" spans="1:5" x14ac:dyDescent="0.2">
      <c r="A13" s="75">
        <v>17502</v>
      </c>
      <c r="B13">
        <v>23.41</v>
      </c>
    </row>
    <row r="14" spans="1:5" x14ac:dyDescent="0.2">
      <c r="A14" s="75">
        <v>17533</v>
      </c>
      <c r="B14">
        <v>23.68</v>
      </c>
    </row>
    <row r="15" spans="1:5" x14ac:dyDescent="0.2">
      <c r="A15" s="75">
        <v>17564</v>
      </c>
      <c r="B15">
        <v>23.67</v>
      </c>
    </row>
    <row r="16" spans="1:5" x14ac:dyDescent="0.2">
      <c r="A16" s="75">
        <v>17593</v>
      </c>
      <c r="B16">
        <v>23.5</v>
      </c>
    </row>
    <row r="17" spans="1:2" x14ac:dyDescent="0.2">
      <c r="A17" s="75">
        <v>17624</v>
      </c>
      <c r="B17">
        <v>23.82</v>
      </c>
    </row>
    <row r="18" spans="1:2" x14ac:dyDescent="0.2">
      <c r="A18" s="75">
        <v>17654</v>
      </c>
      <c r="B18">
        <v>24.01</v>
      </c>
    </row>
    <row r="19" spans="1:2" x14ac:dyDescent="0.2">
      <c r="A19" s="75">
        <v>17685</v>
      </c>
      <c r="B19">
        <v>24.15</v>
      </c>
    </row>
    <row r="20" spans="1:2" x14ac:dyDescent="0.2">
      <c r="A20" s="75">
        <v>17715</v>
      </c>
      <c r="B20">
        <v>24.4</v>
      </c>
    </row>
    <row r="21" spans="1:2" x14ac:dyDescent="0.2">
      <c r="A21" s="75">
        <v>17746</v>
      </c>
      <c r="B21">
        <v>24.43</v>
      </c>
    </row>
    <row r="22" spans="1:2" x14ac:dyDescent="0.2">
      <c r="A22" s="75">
        <v>17777</v>
      </c>
      <c r="B22">
        <v>24.36</v>
      </c>
    </row>
    <row r="23" spans="1:2" x14ac:dyDescent="0.2">
      <c r="A23" s="75">
        <v>17807</v>
      </c>
      <c r="B23">
        <v>24.31</v>
      </c>
    </row>
    <row r="24" spans="1:2" x14ac:dyDescent="0.2">
      <c r="A24" s="75">
        <v>17838</v>
      </c>
      <c r="B24">
        <v>24.16</v>
      </c>
    </row>
    <row r="25" spans="1:2" x14ac:dyDescent="0.2">
      <c r="A25" s="75">
        <v>17868</v>
      </c>
      <c r="B25">
        <v>24.05</v>
      </c>
    </row>
    <row r="26" spans="1:2" x14ac:dyDescent="0.2">
      <c r="A26" s="75">
        <v>17899</v>
      </c>
      <c r="B26">
        <v>24.01</v>
      </c>
    </row>
    <row r="27" spans="1:2" x14ac:dyDescent="0.2">
      <c r="A27" s="75">
        <v>17930</v>
      </c>
      <c r="B27">
        <v>23.91</v>
      </c>
    </row>
    <row r="28" spans="1:2" x14ac:dyDescent="0.2">
      <c r="A28" s="75">
        <v>17958</v>
      </c>
      <c r="B28">
        <v>23.91</v>
      </c>
    </row>
    <row r="29" spans="1:2" x14ac:dyDescent="0.2">
      <c r="A29" s="75">
        <v>17989</v>
      </c>
      <c r="B29">
        <v>23.92</v>
      </c>
    </row>
    <row r="30" spans="1:2" x14ac:dyDescent="0.2">
      <c r="A30" s="75">
        <v>18019</v>
      </c>
      <c r="B30">
        <v>23.91</v>
      </c>
    </row>
    <row r="31" spans="1:2" x14ac:dyDescent="0.2">
      <c r="A31" s="75">
        <v>18050</v>
      </c>
      <c r="B31">
        <v>23.92</v>
      </c>
    </row>
    <row r="32" spans="1:2" x14ac:dyDescent="0.2">
      <c r="A32" s="75">
        <v>18080</v>
      </c>
      <c r="B32">
        <v>23.7</v>
      </c>
    </row>
    <row r="33" spans="1:2" x14ac:dyDescent="0.2">
      <c r="A33" s="75">
        <v>18111</v>
      </c>
      <c r="B33">
        <v>23.7</v>
      </c>
    </row>
    <row r="34" spans="1:2" x14ac:dyDescent="0.2">
      <c r="A34" s="75">
        <v>18142</v>
      </c>
      <c r="B34">
        <v>23.75</v>
      </c>
    </row>
    <row r="35" spans="1:2" x14ac:dyDescent="0.2">
      <c r="A35" s="75">
        <v>18172</v>
      </c>
      <c r="B35">
        <v>23.67</v>
      </c>
    </row>
    <row r="36" spans="1:2" x14ac:dyDescent="0.2">
      <c r="A36" s="75">
        <v>18203</v>
      </c>
      <c r="B36">
        <v>23.7</v>
      </c>
    </row>
    <row r="37" spans="1:2" x14ac:dyDescent="0.2">
      <c r="A37" s="75">
        <v>18233</v>
      </c>
      <c r="B37">
        <v>23.61</v>
      </c>
    </row>
    <row r="38" spans="1:2" x14ac:dyDescent="0.2">
      <c r="A38" s="75">
        <v>18264</v>
      </c>
      <c r="B38">
        <v>23.51</v>
      </c>
    </row>
    <row r="39" spans="1:2" x14ac:dyDescent="0.2">
      <c r="A39" s="75">
        <v>18295</v>
      </c>
      <c r="B39">
        <v>23.61</v>
      </c>
    </row>
    <row r="40" spans="1:2" x14ac:dyDescent="0.2">
      <c r="A40" s="75">
        <v>18323</v>
      </c>
      <c r="B40">
        <v>23.64</v>
      </c>
    </row>
    <row r="41" spans="1:2" x14ac:dyDescent="0.2">
      <c r="A41" s="75">
        <v>18354</v>
      </c>
      <c r="B41">
        <v>23.65</v>
      </c>
    </row>
    <row r="42" spans="1:2" x14ac:dyDescent="0.2">
      <c r="A42" s="75">
        <v>18384</v>
      </c>
      <c r="B42">
        <v>23.77</v>
      </c>
    </row>
    <row r="43" spans="1:2" x14ac:dyDescent="0.2">
      <c r="A43" s="75">
        <v>18415</v>
      </c>
      <c r="B43">
        <v>23.88</v>
      </c>
    </row>
    <row r="44" spans="1:2" x14ac:dyDescent="0.2">
      <c r="A44" s="75">
        <v>18445</v>
      </c>
      <c r="B44">
        <v>24.07</v>
      </c>
    </row>
    <row r="45" spans="1:2" x14ac:dyDescent="0.2">
      <c r="A45" s="75">
        <v>18476</v>
      </c>
      <c r="B45">
        <v>24.2</v>
      </c>
    </row>
    <row r="46" spans="1:2" x14ac:dyDescent="0.2">
      <c r="A46" s="75">
        <v>18507</v>
      </c>
      <c r="B46">
        <v>24.34</v>
      </c>
    </row>
    <row r="47" spans="1:2" x14ac:dyDescent="0.2">
      <c r="A47" s="75">
        <v>18537</v>
      </c>
      <c r="B47">
        <v>24.5</v>
      </c>
    </row>
    <row r="48" spans="1:2" x14ac:dyDescent="0.2">
      <c r="A48" s="75">
        <v>18568</v>
      </c>
      <c r="B48">
        <v>24.6</v>
      </c>
    </row>
    <row r="49" spans="1:2" x14ac:dyDescent="0.2">
      <c r="A49" s="75">
        <v>18598</v>
      </c>
      <c r="B49">
        <v>24.98</v>
      </c>
    </row>
    <row r="50" spans="1:2" x14ac:dyDescent="0.2">
      <c r="A50" s="75">
        <v>18629</v>
      </c>
      <c r="B50">
        <v>25.38</v>
      </c>
    </row>
    <row r="51" spans="1:2" x14ac:dyDescent="0.2">
      <c r="A51" s="75">
        <v>18660</v>
      </c>
      <c r="B51">
        <v>25.83</v>
      </c>
    </row>
    <row r="52" spans="1:2" x14ac:dyDescent="0.2">
      <c r="A52" s="75">
        <v>18688</v>
      </c>
      <c r="B52">
        <v>25.88</v>
      </c>
    </row>
    <row r="53" spans="1:2" x14ac:dyDescent="0.2">
      <c r="A53" s="75">
        <v>18719</v>
      </c>
      <c r="B53">
        <v>25.92</v>
      </c>
    </row>
    <row r="54" spans="1:2" x14ac:dyDescent="0.2">
      <c r="A54" s="75">
        <v>18749</v>
      </c>
      <c r="B54">
        <v>25.99</v>
      </c>
    </row>
    <row r="55" spans="1:2" x14ac:dyDescent="0.2">
      <c r="A55" s="75">
        <v>18780</v>
      </c>
      <c r="B55">
        <v>25.93</v>
      </c>
    </row>
    <row r="56" spans="1:2" x14ac:dyDescent="0.2">
      <c r="A56" s="75">
        <v>18810</v>
      </c>
      <c r="B56">
        <v>25.91</v>
      </c>
    </row>
    <row r="57" spans="1:2" x14ac:dyDescent="0.2">
      <c r="A57" s="75">
        <v>18841</v>
      </c>
      <c r="B57">
        <v>25.86</v>
      </c>
    </row>
    <row r="58" spans="1:2" x14ac:dyDescent="0.2">
      <c r="A58" s="75">
        <v>18872</v>
      </c>
      <c r="B58">
        <v>26.03</v>
      </c>
    </row>
    <row r="59" spans="1:2" x14ac:dyDescent="0.2">
      <c r="A59" s="75">
        <v>18902</v>
      </c>
      <c r="B59">
        <v>26.16</v>
      </c>
    </row>
    <row r="60" spans="1:2" x14ac:dyDescent="0.2">
      <c r="A60" s="75">
        <v>18933</v>
      </c>
      <c r="B60">
        <v>26.32</v>
      </c>
    </row>
    <row r="61" spans="1:2" x14ac:dyDescent="0.2">
      <c r="A61" s="75">
        <v>18963</v>
      </c>
      <c r="B61">
        <v>26.47</v>
      </c>
    </row>
    <row r="62" spans="1:2" x14ac:dyDescent="0.2">
      <c r="A62" s="75">
        <v>18994</v>
      </c>
      <c r="B62">
        <v>26.45</v>
      </c>
    </row>
    <row r="63" spans="1:2" x14ac:dyDescent="0.2">
      <c r="A63" s="75">
        <v>19025</v>
      </c>
      <c r="B63">
        <v>26.41</v>
      </c>
    </row>
    <row r="64" spans="1:2" x14ac:dyDescent="0.2">
      <c r="A64" s="75">
        <v>19054</v>
      </c>
      <c r="B64">
        <v>26.39</v>
      </c>
    </row>
    <row r="65" spans="1:2" x14ac:dyDescent="0.2">
      <c r="A65" s="75">
        <v>19085</v>
      </c>
      <c r="B65">
        <v>26.46</v>
      </c>
    </row>
    <row r="66" spans="1:2" x14ac:dyDescent="0.2">
      <c r="A66" s="75">
        <v>19115</v>
      </c>
      <c r="B66">
        <v>26.47</v>
      </c>
    </row>
    <row r="67" spans="1:2" x14ac:dyDescent="0.2">
      <c r="A67" s="75">
        <v>19146</v>
      </c>
      <c r="B67">
        <v>26.53</v>
      </c>
    </row>
    <row r="68" spans="1:2" x14ac:dyDescent="0.2">
      <c r="A68" s="75">
        <v>19176</v>
      </c>
      <c r="B68">
        <v>26.68</v>
      </c>
    </row>
    <row r="69" spans="1:2" x14ac:dyDescent="0.2">
      <c r="A69" s="75">
        <v>19207</v>
      </c>
      <c r="B69">
        <v>26.69</v>
      </c>
    </row>
    <row r="70" spans="1:2" x14ac:dyDescent="0.2">
      <c r="A70" s="75">
        <v>19238</v>
      </c>
      <c r="B70">
        <v>26.63</v>
      </c>
    </row>
    <row r="71" spans="1:2" x14ac:dyDescent="0.2">
      <c r="A71" s="75">
        <v>19268</v>
      </c>
      <c r="B71">
        <v>26.69</v>
      </c>
    </row>
    <row r="72" spans="1:2" x14ac:dyDescent="0.2">
      <c r="A72" s="75">
        <v>19299</v>
      </c>
      <c r="B72">
        <v>26.69</v>
      </c>
    </row>
    <row r="73" spans="1:2" x14ac:dyDescent="0.2">
      <c r="A73" s="75">
        <v>19329</v>
      </c>
      <c r="B73">
        <v>26.71</v>
      </c>
    </row>
    <row r="74" spans="1:2" x14ac:dyDescent="0.2">
      <c r="A74" s="75">
        <v>19360</v>
      </c>
      <c r="B74">
        <v>26.64</v>
      </c>
    </row>
    <row r="75" spans="1:2" x14ac:dyDescent="0.2">
      <c r="A75" s="75">
        <v>19391</v>
      </c>
      <c r="B75">
        <v>26.59</v>
      </c>
    </row>
    <row r="76" spans="1:2" x14ac:dyDescent="0.2">
      <c r="A76" s="75">
        <v>19419</v>
      </c>
      <c r="B76">
        <v>26.63</v>
      </c>
    </row>
    <row r="77" spans="1:2" x14ac:dyDescent="0.2">
      <c r="A77" s="75">
        <v>19450</v>
      </c>
      <c r="B77">
        <v>26.69</v>
      </c>
    </row>
    <row r="78" spans="1:2" x14ac:dyDescent="0.2">
      <c r="A78" s="75">
        <v>19480</v>
      </c>
      <c r="B78">
        <v>26.7</v>
      </c>
    </row>
    <row r="79" spans="1:2" x14ac:dyDescent="0.2">
      <c r="A79" s="75">
        <v>19511</v>
      </c>
      <c r="B79">
        <v>26.77</v>
      </c>
    </row>
    <row r="80" spans="1:2" x14ac:dyDescent="0.2">
      <c r="A80" s="75">
        <v>19541</v>
      </c>
      <c r="B80">
        <v>26.79</v>
      </c>
    </row>
    <row r="81" spans="1:2" x14ac:dyDescent="0.2">
      <c r="A81" s="75">
        <v>19572</v>
      </c>
      <c r="B81">
        <v>26.85</v>
      </c>
    </row>
    <row r="82" spans="1:2" x14ac:dyDescent="0.2">
      <c r="A82" s="75">
        <v>19603</v>
      </c>
      <c r="B82">
        <v>26.89</v>
      </c>
    </row>
    <row r="83" spans="1:2" x14ac:dyDescent="0.2">
      <c r="A83" s="75">
        <v>19633</v>
      </c>
      <c r="B83">
        <v>26.95</v>
      </c>
    </row>
    <row r="84" spans="1:2" x14ac:dyDescent="0.2">
      <c r="A84" s="75">
        <v>19664</v>
      </c>
      <c r="B84">
        <v>26.85</v>
      </c>
    </row>
    <row r="85" spans="1:2" x14ac:dyDescent="0.2">
      <c r="A85" s="75">
        <v>19694</v>
      </c>
      <c r="B85">
        <v>26.87</v>
      </c>
    </row>
    <row r="86" spans="1:2" x14ac:dyDescent="0.2">
      <c r="A86" s="75">
        <v>19725</v>
      </c>
      <c r="B86">
        <v>26.94</v>
      </c>
    </row>
    <row r="87" spans="1:2" x14ac:dyDescent="0.2">
      <c r="A87" s="75">
        <v>19756</v>
      </c>
      <c r="B87">
        <v>26.99</v>
      </c>
    </row>
    <row r="88" spans="1:2" x14ac:dyDescent="0.2">
      <c r="A88" s="75">
        <v>19784</v>
      </c>
      <c r="B88">
        <v>26.93</v>
      </c>
    </row>
    <row r="89" spans="1:2" x14ac:dyDescent="0.2">
      <c r="A89" s="75">
        <v>19815</v>
      </c>
      <c r="B89">
        <v>26.86</v>
      </c>
    </row>
    <row r="90" spans="1:2" x14ac:dyDescent="0.2">
      <c r="A90" s="75">
        <v>19845</v>
      </c>
      <c r="B90">
        <v>26.93</v>
      </c>
    </row>
    <row r="91" spans="1:2" x14ac:dyDescent="0.2">
      <c r="A91" s="75">
        <v>19876</v>
      </c>
      <c r="B91">
        <v>26.94</v>
      </c>
    </row>
    <row r="92" spans="1:2" x14ac:dyDescent="0.2">
      <c r="A92" s="75">
        <v>19906</v>
      </c>
      <c r="B92">
        <v>26.86</v>
      </c>
    </row>
    <row r="93" spans="1:2" x14ac:dyDescent="0.2">
      <c r="A93" s="75">
        <v>19937</v>
      </c>
      <c r="B93">
        <v>26.85</v>
      </c>
    </row>
    <row r="94" spans="1:2" x14ac:dyDescent="0.2">
      <c r="A94" s="75">
        <v>19968</v>
      </c>
      <c r="B94">
        <v>26.81</v>
      </c>
    </row>
    <row r="95" spans="1:2" x14ac:dyDescent="0.2">
      <c r="A95" s="75">
        <v>19998</v>
      </c>
      <c r="B95">
        <v>26.72</v>
      </c>
    </row>
    <row r="96" spans="1:2" x14ac:dyDescent="0.2">
      <c r="A96" s="75">
        <v>20029</v>
      </c>
      <c r="B96">
        <v>26.78</v>
      </c>
    </row>
    <row r="97" spans="1:2" x14ac:dyDescent="0.2">
      <c r="A97" s="75">
        <v>20059</v>
      </c>
      <c r="B97">
        <v>26.77</v>
      </c>
    </row>
    <row r="98" spans="1:2" x14ac:dyDescent="0.2">
      <c r="A98" s="75">
        <v>20090</v>
      </c>
      <c r="B98">
        <v>26.77</v>
      </c>
    </row>
    <row r="99" spans="1:2" x14ac:dyDescent="0.2">
      <c r="A99" s="75">
        <v>20121</v>
      </c>
      <c r="B99">
        <v>26.82</v>
      </c>
    </row>
    <row r="100" spans="1:2" x14ac:dyDescent="0.2">
      <c r="A100" s="75">
        <v>20149</v>
      </c>
      <c r="B100">
        <v>26.79</v>
      </c>
    </row>
    <row r="101" spans="1:2" x14ac:dyDescent="0.2">
      <c r="A101" s="75">
        <v>20180</v>
      </c>
      <c r="B101">
        <v>26.79</v>
      </c>
    </row>
    <row r="102" spans="1:2" x14ac:dyDescent="0.2">
      <c r="A102" s="75">
        <v>20210</v>
      </c>
      <c r="B102">
        <v>26.77</v>
      </c>
    </row>
    <row r="103" spans="1:2" x14ac:dyDescent="0.2">
      <c r="A103" s="75">
        <v>20241</v>
      </c>
      <c r="B103">
        <v>26.71</v>
      </c>
    </row>
    <row r="104" spans="1:2" x14ac:dyDescent="0.2">
      <c r="A104" s="75">
        <v>20271</v>
      </c>
      <c r="B104">
        <v>26.76</v>
      </c>
    </row>
    <row r="105" spans="1:2" x14ac:dyDescent="0.2">
      <c r="A105" s="75">
        <v>20302</v>
      </c>
      <c r="B105">
        <v>26.72</v>
      </c>
    </row>
    <row r="106" spans="1:2" x14ac:dyDescent="0.2">
      <c r="A106" s="75">
        <v>20333</v>
      </c>
      <c r="B106">
        <v>26.85</v>
      </c>
    </row>
    <row r="107" spans="1:2" x14ac:dyDescent="0.2">
      <c r="A107" s="75">
        <v>20363</v>
      </c>
      <c r="B107">
        <v>26.82</v>
      </c>
    </row>
    <row r="108" spans="1:2" x14ac:dyDescent="0.2">
      <c r="A108" s="75">
        <v>20394</v>
      </c>
      <c r="B108">
        <v>26.88</v>
      </c>
    </row>
    <row r="109" spans="1:2" x14ac:dyDescent="0.2">
      <c r="A109" s="75">
        <v>20424</v>
      </c>
      <c r="B109">
        <v>26.87</v>
      </c>
    </row>
    <row r="110" spans="1:2" x14ac:dyDescent="0.2">
      <c r="A110" s="75">
        <v>20455</v>
      </c>
      <c r="B110">
        <v>26.83</v>
      </c>
    </row>
    <row r="111" spans="1:2" x14ac:dyDescent="0.2">
      <c r="A111" s="75">
        <v>20486</v>
      </c>
      <c r="B111">
        <v>26.86</v>
      </c>
    </row>
    <row r="112" spans="1:2" x14ac:dyDescent="0.2">
      <c r="A112" s="75">
        <v>20515</v>
      </c>
      <c r="B112">
        <v>26.89</v>
      </c>
    </row>
    <row r="113" spans="1:5" x14ac:dyDescent="0.2">
      <c r="A113" s="75">
        <v>20546</v>
      </c>
      <c r="B113">
        <v>26.93</v>
      </c>
    </row>
    <row r="114" spans="1:5" x14ac:dyDescent="0.2">
      <c r="A114" s="75">
        <v>20576</v>
      </c>
      <c r="B114">
        <v>27.03</v>
      </c>
    </row>
    <row r="115" spans="1:5" x14ac:dyDescent="0.2">
      <c r="A115" s="75">
        <v>20607</v>
      </c>
      <c r="B115">
        <v>27.15</v>
      </c>
    </row>
    <row r="116" spans="1:5" x14ac:dyDescent="0.2">
      <c r="A116" s="75">
        <v>20637</v>
      </c>
      <c r="B116">
        <v>27.29</v>
      </c>
    </row>
    <row r="117" spans="1:5" x14ac:dyDescent="0.2">
      <c r="A117" s="75">
        <v>20668</v>
      </c>
      <c r="B117">
        <v>27.31</v>
      </c>
    </row>
    <row r="118" spans="1:5" x14ac:dyDescent="0.2">
      <c r="A118" s="75">
        <v>20699</v>
      </c>
      <c r="B118">
        <v>27.35</v>
      </c>
    </row>
    <row r="119" spans="1:5" x14ac:dyDescent="0.2">
      <c r="A119" s="75">
        <v>20729</v>
      </c>
      <c r="B119">
        <v>27.51</v>
      </c>
    </row>
    <row r="120" spans="1:5" x14ac:dyDescent="0.2">
      <c r="A120" s="75">
        <v>20760</v>
      </c>
      <c r="B120">
        <v>27.51</v>
      </c>
    </row>
    <row r="121" spans="1:5" x14ac:dyDescent="0.2">
      <c r="A121" s="75">
        <v>20790</v>
      </c>
      <c r="B121">
        <v>27.63</v>
      </c>
    </row>
    <row r="122" spans="1:5" x14ac:dyDescent="0.2">
      <c r="A122" s="75">
        <v>20821</v>
      </c>
      <c r="B122">
        <v>27.67</v>
      </c>
      <c r="C122">
        <v>21.3</v>
      </c>
      <c r="E122">
        <v>28.5</v>
      </c>
    </row>
    <row r="123" spans="1:5" x14ac:dyDescent="0.2">
      <c r="A123" s="75">
        <v>20852</v>
      </c>
      <c r="B123">
        <v>27.8</v>
      </c>
      <c r="C123">
        <v>21.4</v>
      </c>
      <c r="E123">
        <v>28.6</v>
      </c>
    </row>
    <row r="124" spans="1:5" x14ac:dyDescent="0.2">
      <c r="A124" s="75">
        <v>20880</v>
      </c>
      <c r="B124">
        <v>27.86</v>
      </c>
      <c r="C124">
        <v>21.5</v>
      </c>
      <c r="E124">
        <v>28.7</v>
      </c>
    </row>
    <row r="125" spans="1:5" x14ac:dyDescent="0.2">
      <c r="A125" s="75">
        <v>20911</v>
      </c>
      <c r="B125">
        <v>27.93</v>
      </c>
      <c r="C125">
        <v>21.6</v>
      </c>
      <c r="E125">
        <v>28.8</v>
      </c>
    </row>
    <row r="126" spans="1:5" x14ac:dyDescent="0.2">
      <c r="A126" s="75">
        <v>20941</v>
      </c>
      <c r="B126">
        <v>28</v>
      </c>
      <c r="C126">
        <v>21.6</v>
      </c>
      <c r="E126">
        <v>28.8</v>
      </c>
    </row>
    <row r="127" spans="1:5" x14ac:dyDescent="0.2">
      <c r="A127" s="75">
        <v>20972</v>
      </c>
      <c r="B127">
        <v>28.11</v>
      </c>
      <c r="C127">
        <v>21.6</v>
      </c>
      <c r="E127">
        <v>28.9</v>
      </c>
    </row>
    <row r="128" spans="1:5" x14ac:dyDescent="0.2">
      <c r="A128" s="75">
        <v>21002</v>
      </c>
      <c r="B128">
        <v>28.19</v>
      </c>
      <c r="C128">
        <v>21.5</v>
      </c>
      <c r="E128">
        <v>29</v>
      </c>
    </row>
    <row r="129" spans="1:5" x14ac:dyDescent="0.2">
      <c r="A129" s="75">
        <v>21033</v>
      </c>
      <c r="B129">
        <v>28.28</v>
      </c>
      <c r="C129">
        <v>21.4</v>
      </c>
      <c r="E129">
        <v>29</v>
      </c>
    </row>
    <row r="130" spans="1:5" x14ac:dyDescent="0.2">
      <c r="A130" s="75">
        <v>21064</v>
      </c>
      <c r="B130">
        <v>28.32</v>
      </c>
      <c r="C130">
        <v>21.4</v>
      </c>
      <c r="E130">
        <v>29.1</v>
      </c>
    </row>
    <row r="131" spans="1:5" x14ac:dyDescent="0.2">
      <c r="A131" s="75">
        <v>21094</v>
      </c>
      <c r="B131">
        <v>28.32</v>
      </c>
      <c r="C131">
        <v>21.4</v>
      </c>
      <c r="E131">
        <v>29.2</v>
      </c>
    </row>
    <row r="132" spans="1:5" x14ac:dyDescent="0.2">
      <c r="A132" s="75">
        <v>21125</v>
      </c>
      <c r="B132">
        <v>28.41</v>
      </c>
      <c r="C132">
        <v>21.5</v>
      </c>
      <c r="E132">
        <v>29.3</v>
      </c>
    </row>
    <row r="133" spans="1:5" x14ac:dyDescent="0.2">
      <c r="A133" s="75">
        <v>21155</v>
      </c>
      <c r="B133">
        <v>28.47</v>
      </c>
      <c r="C133">
        <v>21.5</v>
      </c>
      <c r="E133">
        <v>29.3</v>
      </c>
    </row>
    <row r="134" spans="1:5" x14ac:dyDescent="0.2">
      <c r="A134" s="75">
        <v>21186</v>
      </c>
      <c r="B134">
        <v>28.64</v>
      </c>
      <c r="C134">
        <v>21.6</v>
      </c>
      <c r="E134">
        <v>29.3</v>
      </c>
    </row>
    <row r="135" spans="1:5" x14ac:dyDescent="0.2">
      <c r="A135" s="75">
        <v>21217</v>
      </c>
      <c r="B135">
        <v>28.7</v>
      </c>
      <c r="C135">
        <v>21.3</v>
      </c>
      <c r="E135">
        <v>29.4</v>
      </c>
    </row>
    <row r="136" spans="1:5" x14ac:dyDescent="0.2">
      <c r="A136" s="75">
        <v>21245</v>
      </c>
      <c r="B136">
        <v>28.87</v>
      </c>
      <c r="C136">
        <v>21.4</v>
      </c>
      <c r="E136">
        <v>29.5</v>
      </c>
    </row>
    <row r="137" spans="1:5" x14ac:dyDescent="0.2">
      <c r="A137" s="75">
        <v>21276</v>
      </c>
      <c r="B137">
        <v>28.94</v>
      </c>
      <c r="C137">
        <v>21.4</v>
      </c>
      <c r="E137">
        <v>29.5</v>
      </c>
    </row>
    <row r="138" spans="1:5" x14ac:dyDescent="0.2">
      <c r="A138" s="75">
        <v>21306</v>
      </c>
      <c r="B138">
        <v>28.94</v>
      </c>
      <c r="C138">
        <v>21.5</v>
      </c>
      <c r="E138">
        <v>29.5</v>
      </c>
    </row>
    <row r="139" spans="1:5" x14ac:dyDescent="0.2">
      <c r="A139" s="75">
        <v>21337</v>
      </c>
      <c r="B139">
        <v>28.91</v>
      </c>
      <c r="C139">
        <v>21.5</v>
      </c>
      <c r="E139">
        <v>29.6</v>
      </c>
    </row>
    <row r="140" spans="1:5" x14ac:dyDescent="0.2">
      <c r="A140" s="75">
        <v>21367</v>
      </c>
      <c r="B140">
        <v>28.89</v>
      </c>
      <c r="C140">
        <v>21.6</v>
      </c>
      <c r="E140">
        <v>29.6</v>
      </c>
    </row>
    <row r="141" spans="1:5" x14ac:dyDescent="0.2">
      <c r="A141" s="75">
        <v>21398</v>
      </c>
      <c r="B141">
        <v>28.94</v>
      </c>
      <c r="C141">
        <v>21.7</v>
      </c>
      <c r="E141">
        <v>29.6</v>
      </c>
    </row>
    <row r="142" spans="1:5" x14ac:dyDescent="0.2">
      <c r="A142" s="75">
        <v>21429</v>
      </c>
      <c r="B142">
        <v>28.91</v>
      </c>
      <c r="C142">
        <v>21.7</v>
      </c>
      <c r="E142">
        <v>29.7</v>
      </c>
    </row>
    <row r="143" spans="1:5" x14ac:dyDescent="0.2">
      <c r="A143" s="75">
        <v>21459</v>
      </c>
      <c r="B143">
        <v>28.91</v>
      </c>
      <c r="C143">
        <v>21.7</v>
      </c>
      <c r="E143">
        <v>29.7</v>
      </c>
    </row>
    <row r="144" spans="1:5" x14ac:dyDescent="0.2">
      <c r="A144" s="75">
        <v>21490</v>
      </c>
      <c r="B144">
        <v>28.95</v>
      </c>
      <c r="C144">
        <v>21.4</v>
      </c>
      <c r="E144">
        <v>29.8</v>
      </c>
    </row>
    <row r="145" spans="1:5" x14ac:dyDescent="0.2">
      <c r="A145" s="75">
        <v>21520</v>
      </c>
      <c r="B145">
        <v>28.97</v>
      </c>
      <c r="C145">
        <v>21.4</v>
      </c>
      <c r="E145">
        <v>29.9</v>
      </c>
    </row>
    <row r="146" spans="1:5" x14ac:dyDescent="0.2">
      <c r="A146" s="75">
        <v>21551</v>
      </c>
      <c r="B146">
        <v>29.01</v>
      </c>
      <c r="C146">
        <v>21.4</v>
      </c>
      <c r="E146">
        <v>29.9</v>
      </c>
    </row>
    <row r="147" spans="1:5" x14ac:dyDescent="0.2">
      <c r="A147" s="75">
        <v>21582</v>
      </c>
      <c r="B147">
        <v>29</v>
      </c>
      <c r="C147">
        <v>21.6</v>
      </c>
      <c r="E147">
        <v>29.9</v>
      </c>
    </row>
    <row r="148" spans="1:5" x14ac:dyDescent="0.2">
      <c r="A148" s="75">
        <v>21610</v>
      </c>
      <c r="B148">
        <v>28.97</v>
      </c>
      <c r="C148">
        <v>21.7</v>
      </c>
      <c r="E148">
        <v>30</v>
      </c>
    </row>
    <row r="149" spans="1:5" x14ac:dyDescent="0.2">
      <c r="A149" s="75">
        <v>21641</v>
      </c>
      <c r="B149">
        <v>28.98</v>
      </c>
      <c r="C149">
        <v>21.8</v>
      </c>
      <c r="E149">
        <v>30</v>
      </c>
    </row>
    <row r="150" spans="1:5" x14ac:dyDescent="0.2">
      <c r="A150" s="75">
        <v>21671</v>
      </c>
      <c r="B150">
        <v>29.04</v>
      </c>
      <c r="C150">
        <v>21.8</v>
      </c>
      <c r="E150">
        <v>30.1</v>
      </c>
    </row>
    <row r="151" spans="1:5" x14ac:dyDescent="0.2">
      <c r="A151" s="75">
        <v>21702</v>
      </c>
      <c r="B151">
        <v>29.11</v>
      </c>
      <c r="C151">
        <v>21.9</v>
      </c>
      <c r="E151">
        <v>30.2</v>
      </c>
    </row>
    <row r="152" spans="1:5" x14ac:dyDescent="0.2">
      <c r="A152" s="75">
        <v>21732</v>
      </c>
      <c r="B152">
        <v>29.15</v>
      </c>
      <c r="C152">
        <v>21.8</v>
      </c>
      <c r="E152">
        <v>30.2</v>
      </c>
    </row>
    <row r="153" spans="1:5" x14ac:dyDescent="0.2">
      <c r="A153" s="75">
        <v>21763</v>
      </c>
      <c r="B153">
        <v>29.18</v>
      </c>
      <c r="C153">
        <v>21.9</v>
      </c>
      <c r="E153">
        <v>30.2</v>
      </c>
    </row>
    <row r="154" spans="1:5" x14ac:dyDescent="0.2">
      <c r="A154" s="75">
        <v>21794</v>
      </c>
      <c r="B154">
        <v>29.25</v>
      </c>
      <c r="C154">
        <v>21.9</v>
      </c>
      <c r="E154">
        <v>30.3</v>
      </c>
    </row>
    <row r="155" spans="1:5" x14ac:dyDescent="0.2">
      <c r="A155" s="75">
        <v>21824</v>
      </c>
      <c r="B155">
        <v>29.35</v>
      </c>
      <c r="C155">
        <v>22.2</v>
      </c>
      <c r="E155">
        <v>30.4</v>
      </c>
    </row>
    <row r="156" spans="1:5" x14ac:dyDescent="0.2">
      <c r="A156" s="75">
        <v>21855</v>
      </c>
      <c r="B156">
        <v>29.35</v>
      </c>
      <c r="C156">
        <v>22.2</v>
      </c>
      <c r="E156">
        <v>30.4</v>
      </c>
    </row>
    <row r="157" spans="1:5" x14ac:dyDescent="0.2">
      <c r="A157" s="75">
        <v>21885</v>
      </c>
      <c r="B157">
        <v>29.41</v>
      </c>
      <c r="C157">
        <v>22.3</v>
      </c>
      <c r="E157">
        <v>30.5</v>
      </c>
    </row>
    <row r="158" spans="1:5" x14ac:dyDescent="0.2">
      <c r="A158" s="75">
        <v>21916</v>
      </c>
      <c r="B158">
        <v>29.37</v>
      </c>
      <c r="C158">
        <v>22.3</v>
      </c>
      <c r="E158">
        <v>30.5</v>
      </c>
    </row>
    <row r="159" spans="1:5" x14ac:dyDescent="0.2">
      <c r="A159" s="75">
        <v>21947</v>
      </c>
      <c r="B159">
        <v>29.41</v>
      </c>
      <c r="C159">
        <v>22.2</v>
      </c>
      <c r="E159">
        <v>30.6</v>
      </c>
    </row>
    <row r="160" spans="1:5" x14ac:dyDescent="0.2">
      <c r="A160" s="75">
        <v>21976</v>
      </c>
      <c r="B160">
        <v>29.41</v>
      </c>
      <c r="C160">
        <v>22.3</v>
      </c>
      <c r="E160">
        <v>30.6</v>
      </c>
    </row>
    <row r="161" spans="1:5" x14ac:dyDescent="0.2">
      <c r="A161" s="75">
        <v>22007</v>
      </c>
      <c r="B161">
        <v>29.54</v>
      </c>
      <c r="C161">
        <v>22.4</v>
      </c>
      <c r="E161">
        <v>30.6</v>
      </c>
    </row>
    <row r="162" spans="1:5" x14ac:dyDescent="0.2">
      <c r="A162" s="75">
        <v>22037</v>
      </c>
      <c r="B162">
        <v>29.57</v>
      </c>
      <c r="C162">
        <v>22.3</v>
      </c>
      <c r="E162">
        <v>30.6</v>
      </c>
    </row>
    <row r="163" spans="1:5" x14ac:dyDescent="0.2">
      <c r="A163" s="75">
        <v>22068</v>
      </c>
      <c r="B163">
        <v>29.61</v>
      </c>
      <c r="C163">
        <v>22.4</v>
      </c>
      <c r="E163">
        <v>30.7</v>
      </c>
    </row>
    <row r="164" spans="1:5" x14ac:dyDescent="0.2">
      <c r="A164" s="75">
        <v>22098</v>
      </c>
      <c r="B164">
        <v>29.55</v>
      </c>
      <c r="C164">
        <v>22.5</v>
      </c>
      <c r="E164">
        <v>30.6</v>
      </c>
    </row>
    <row r="165" spans="1:5" x14ac:dyDescent="0.2">
      <c r="A165" s="75">
        <v>22129</v>
      </c>
      <c r="B165">
        <v>29.61</v>
      </c>
      <c r="C165">
        <v>22.5</v>
      </c>
      <c r="E165">
        <v>30.6</v>
      </c>
    </row>
    <row r="166" spans="1:5" x14ac:dyDescent="0.2">
      <c r="A166" s="75">
        <v>22160</v>
      </c>
      <c r="B166">
        <v>29.61</v>
      </c>
      <c r="C166">
        <v>22.6</v>
      </c>
      <c r="E166">
        <v>30.6</v>
      </c>
    </row>
    <row r="167" spans="1:5" x14ac:dyDescent="0.2">
      <c r="A167" s="75">
        <v>22190</v>
      </c>
      <c r="B167">
        <v>29.75</v>
      </c>
      <c r="C167">
        <v>22.5</v>
      </c>
      <c r="E167">
        <v>30.8</v>
      </c>
    </row>
    <row r="168" spans="1:5" x14ac:dyDescent="0.2">
      <c r="A168" s="75">
        <v>22221</v>
      </c>
      <c r="B168">
        <v>29.78</v>
      </c>
      <c r="C168">
        <v>22.7</v>
      </c>
      <c r="E168">
        <v>30.8</v>
      </c>
    </row>
    <row r="169" spans="1:5" x14ac:dyDescent="0.2">
      <c r="A169" s="75">
        <v>22251</v>
      </c>
      <c r="B169">
        <v>29.81</v>
      </c>
      <c r="C169">
        <v>22.6</v>
      </c>
      <c r="E169">
        <v>30.7</v>
      </c>
    </row>
    <row r="170" spans="1:5" x14ac:dyDescent="0.2">
      <c r="A170" s="75">
        <v>22282</v>
      </c>
      <c r="B170">
        <v>29.84</v>
      </c>
      <c r="C170">
        <v>22.7</v>
      </c>
      <c r="E170">
        <v>30.8</v>
      </c>
    </row>
    <row r="171" spans="1:5" x14ac:dyDescent="0.2">
      <c r="A171" s="75">
        <v>22313</v>
      </c>
      <c r="B171">
        <v>29.84</v>
      </c>
      <c r="C171">
        <v>22.6</v>
      </c>
      <c r="E171">
        <v>30.8</v>
      </c>
    </row>
    <row r="172" spans="1:5" x14ac:dyDescent="0.2">
      <c r="A172" s="75">
        <v>22341</v>
      </c>
      <c r="B172">
        <v>29.84</v>
      </c>
      <c r="C172">
        <v>22.6</v>
      </c>
      <c r="E172">
        <v>30.9</v>
      </c>
    </row>
    <row r="173" spans="1:5" x14ac:dyDescent="0.2">
      <c r="A173" s="75">
        <v>22372</v>
      </c>
      <c r="B173">
        <v>29.81</v>
      </c>
      <c r="C173">
        <v>22.2</v>
      </c>
      <c r="E173">
        <v>30.9</v>
      </c>
    </row>
    <row r="174" spans="1:5" x14ac:dyDescent="0.2">
      <c r="A174" s="75">
        <v>22402</v>
      </c>
      <c r="B174">
        <v>29.84</v>
      </c>
      <c r="C174">
        <v>22.4</v>
      </c>
      <c r="E174">
        <v>30.9</v>
      </c>
    </row>
    <row r="175" spans="1:5" x14ac:dyDescent="0.2">
      <c r="A175" s="75">
        <v>22433</v>
      </c>
      <c r="B175">
        <v>29.84</v>
      </c>
      <c r="C175">
        <v>22.5</v>
      </c>
      <c r="E175">
        <v>31</v>
      </c>
    </row>
    <row r="176" spans="1:5" x14ac:dyDescent="0.2">
      <c r="A176" s="75">
        <v>22463</v>
      </c>
      <c r="B176">
        <v>29.92</v>
      </c>
      <c r="C176">
        <v>22.5</v>
      </c>
      <c r="E176">
        <v>31</v>
      </c>
    </row>
    <row r="177" spans="1:5" x14ac:dyDescent="0.2">
      <c r="A177" s="75">
        <v>22494</v>
      </c>
      <c r="B177">
        <v>29.94</v>
      </c>
      <c r="C177">
        <v>22.5</v>
      </c>
      <c r="E177">
        <v>31.1</v>
      </c>
    </row>
    <row r="178" spans="1:5" x14ac:dyDescent="0.2">
      <c r="A178" s="75">
        <v>22525</v>
      </c>
      <c r="B178">
        <v>29.98</v>
      </c>
      <c r="C178">
        <v>22.6</v>
      </c>
      <c r="E178">
        <v>31.1</v>
      </c>
    </row>
    <row r="179" spans="1:5" x14ac:dyDescent="0.2">
      <c r="A179" s="75">
        <v>22555</v>
      </c>
      <c r="B179">
        <v>29.98</v>
      </c>
      <c r="C179">
        <v>22.4</v>
      </c>
      <c r="E179">
        <v>31.1</v>
      </c>
    </row>
    <row r="180" spans="1:5" x14ac:dyDescent="0.2">
      <c r="A180" s="75">
        <v>22586</v>
      </c>
      <c r="B180">
        <v>29.98</v>
      </c>
      <c r="C180">
        <v>22.5</v>
      </c>
      <c r="E180">
        <v>31.2</v>
      </c>
    </row>
    <row r="181" spans="1:5" x14ac:dyDescent="0.2">
      <c r="A181" s="75">
        <v>22616</v>
      </c>
      <c r="B181">
        <v>30.01</v>
      </c>
      <c r="C181">
        <v>22.4</v>
      </c>
      <c r="E181">
        <v>31.2</v>
      </c>
    </row>
    <row r="182" spans="1:5" x14ac:dyDescent="0.2">
      <c r="A182" s="75">
        <v>22647</v>
      </c>
      <c r="B182">
        <v>30.04</v>
      </c>
      <c r="C182">
        <v>22.4</v>
      </c>
      <c r="E182">
        <v>31.2</v>
      </c>
    </row>
    <row r="183" spans="1:5" x14ac:dyDescent="0.2">
      <c r="A183" s="75">
        <v>22678</v>
      </c>
      <c r="B183">
        <v>30.11</v>
      </c>
      <c r="C183">
        <v>22.6</v>
      </c>
      <c r="E183">
        <v>31.2</v>
      </c>
    </row>
    <row r="184" spans="1:5" x14ac:dyDescent="0.2">
      <c r="A184" s="75">
        <v>22706</v>
      </c>
      <c r="B184">
        <v>30.17</v>
      </c>
      <c r="C184">
        <v>22.4</v>
      </c>
      <c r="E184">
        <v>31.3</v>
      </c>
    </row>
    <row r="185" spans="1:5" x14ac:dyDescent="0.2">
      <c r="A185" s="75">
        <v>22737</v>
      </c>
      <c r="B185">
        <v>30.21</v>
      </c>
      <c r="C185">
        <v>22.7</v>
      </c>
      <c r="E185">
        <v>31.3</v>
      </c>
    </row>
    <row r="186" spans="1:5" x14ac:dyDescent="0.2">
      <c r="A186" s="75">
        <v>22767</v>
      </c>
      <c r="B186">
        <v>30.24</v>
      </c>
      <c r="C186">
        <v>22.7</v>
      </c>
      <c r="E186">
        <v>31.4</v>
      </c>
    </row>
    <row r="187" spans="1:5" x14ac:dyDescent="0.2">
      <c r="A187" s="75">
        <v>22798</v>
      </c>
      <c r="B187">
        <v>30.21</v>
      </c>
      <c r="C187">
        <v>22.5</v>
      </c>
      <c r="E187">
        <v>31.4</v>
      </c>
    </row>
    <row r="188" spans="1:5" x14ac:dyDescent="0.2">
      <c r="A188" s="75">
        <v>22828</v>
      </c>
      <c r="B188">
        <v>30.22</v>
      </c>
      <c r="C188">
        <v>22.3</v>
      </c>
      <c r="E188">
        <v>31.4</v>
      </c>
    </row>
    <row r="189" spans="1:5" x14ac:dyDescent="0.2">
      <c r="A189" s="75">
        <v>22859</v>
      </c>
      <c r="B189">
        <v>30.28</v>
      </c>
      <c r="C189">
        <v>22.4</v>
      </c>
      <c r="E189">
        <v>31.5</v>
      </c>
    </row>
    <row r="190" spans="1:5" x14ac:dyDescent="0.2">
      <c r="A190" s="75">
        <v>22890</v>
      </c>
      <c r="B190">
        <v>30.42</v>
      </c>
      <c r="C190">
        <v>22.8</v>
      </c>
      <c r="E190">
        <v>31.5</v>
      </c>
    </row>
    <row r="191" spans="1:5" x14ac:dyDescent="0.2">
      <c r="A191" s="75">
        <v>22920</v>
      </c>
      <c r="B191">
        <v>30.38</v>
      </c>
      <c r="C191">
        <v>22.7</v>
      </c>
      <c r="E191">
        <v>31.5</v>
      </c>
    </row>
    <row r="192" spans="1:5" x14ac:dyDescent="0.2">
      <c r="A192" s="75">
        <v>22951</v>
      </c>
      <c r="B192">
        <v>30.38</v>
      </c>
      <c r="C192">
        <v>22.7</v>
      </c>
      <c r="E192">
        <v>31.5</v>
      </c>
    </row>
    <row r="193" spans="1:5" x14ac:dyDescent="0.2">
      <c r="A193" s="75">
        <v>22981</v>
      </c>
      <c r="B193">
        <v>30.38</v>
      </c>
      <c r="C193">
        <v>22.8</v>
      </c>
      <c r="E193">
        <v>31.6</v>
      </c>
    </row>
    <row r="194" spans="1:5" x14ac:dyDescent="0.2">
      <c r="A194" s="75">
        <v>23012</v>
      </c>
      <c r="B194">
        <v>30.44</v>
      </c>
      <c r="C194">
        <v>22.8</v>
      </c>
      <c r="E194">
        <v>31.5</v>
      </c>
    </row>
    <row r="195" spans="1:5" x14ac:dyDescent="0.2">
      <c r="A195" s="75">
        <v>23043</v>
      </c>
      <c r="B195">
        <v>30.48</v>
      </c>
      <c r="C195">
        <v>22.7</v>
      </c>
      <c r="E195">
        <v>31.6</v>
      </c>
    </row>
    <row r="196" spans="1:5" x14ac:dyDescent="0.2">
      <c r="A196" s="75">
        <v>23071</v>
      </c>
      <c r="B196">
        <v>30.51</v>
      </c>
      <c r="C196">
        <v>22.7</v>
      </c>
      <c r="E196">
        <v>31.7</v>
      </c>
    </row>
    <row r="197" spans="1:5" x14ac:dyDescent="0.2">
      <c r="A197" s="75">
        <v>23102</v>
      </c>
      <c r="B197">
        <v>30.48</v>
      </c>
      <c r="C197">
        <v>22.6</v>
      </c>
      <c r="E197">
        <v>31.7</v>
      </c>
    </row>
    <row r="198" spans="1:5" x14ac:dyDescent="0.2">
      <c r="A198" s="75">
        <v>23132</v>
      </c>
      <c r="B198">
        <v>30.51</v>
      </c>
      <c r="C198">
        <v>22.6</v>
      </c>
      <c r="E198">
        <v>31.7</v>
      </c>
    </row>
    <row r="199" spans="1:5" x14ac:dyDescent="0.2">
      <c r="A199" s="75">
        <v>23163</v>
      </c>
      <c r="B199">
        <v>30.61</v>
      </c>
      <c r="C199">
        <v>22.5</v>
      </c>
      <c r="E199">
        <v>31.8</v>
      </c>
    </row>
    <row r="200" spans="1:5" x14ac:dyDescent="0.2">
      <c r="A200" s="75">
        <v>23193</v>
      </c>
      <c r="B200">
        <v>30.69</v>
      </c>
      <c r="C200">
        <v>22.7</v>
      </c>
      <c r="E200">
        <v>31.8</v>
      </c>
    </row>
    <row r="201" spans="1:5" x14ac:dyDescent="0.2">
      <c r="A201" s="75">
        <v>23224</v>
      </c>
      <c r="B201">
        <v>30.75</v>
      </c>
      <c r="C201">
        <v>22.6</v>
      </c>
      <c r="E201">
        <v>31.9</v>
      </c>
    </row>
    <row r="202" spans="1:5" x14ac:dyDescent="0.2">
      <c r="A202" s="75">
        <v>23255</v>
      </c>
      <c r="B202">
        <v>30.72</v>
      </c>
      <c r="C202">
        <v>22.5</v>
      </c>
      <c r="E202">
        <v>31.9</v>
      </c>
    </row>
    <row r="203" spans="1:5" x14ac:dyDescent="0.2">
      <c r="A203" s="75">
        <v>23285</v>
      </c>
      <c r="B203">
        <v>30.75</v>
      </c>
      <c r="C203">
        <v>22.7</v>
      </c>
      <c r="E203">
        <v>32</v>
      </c>
    </row>
    <row r="204" spans="1:5" x14ac:dyDescent="0.2">
      <c r="A204" s="75">
        <v>23316</v>
      </c>
      <c r="B204">
        <v>30.78</v>
      </c>
      <c r="C204">
        <v>22.6</v>
      </c>
      <c r="E204">
        <v>32</v>
      </c>
    </row>
    <row r="205" spans="1:5" x14ac:dyDescent="0.2">
      <c r="A205" s="75">
        <v>23346</v>
      </c>
      <c r="B205">
        <v>30.88</v>
      </c>
      <c r="C205">
        <v>22.6</v>
      </c>
      <c r="E205">
        <v>32.1</v>
      </c>
    </row>
    <row r="206" spans="1:5" x14ac:dyDescent="0.2">
      <c r="A206" s="75">
        <v>23377</v>
      </c>
      <c r="B206">
        <v>30.94</v>
      </c>
      <c r="C206">
        <v>22.8</v>
      </c>
      <c r="E206">
        <v>32.200000000000003</v>
      </c>
    </row>
    <row r="207" spans="1:5" x14ac:dyDescent="0.2">
      <c r="A207" s="75">
        <v>23408</v>
      </c>
      <c r="B207">
        <v>30.91</v>
      </c>
      <c r="C207">
        <v>22.2</v>
      </c>
      <c r="E207">
        <v>32.200000000000003</v>
      </c>
    </row>
    <row r="208" spans="1:5" x14ac:dyDescent="0.2">
      <c r="A208" s="75">
        <v>23437</v>
      </c>
      <c r="B208">
        <v>30.94</v>
      </c>
      <c r="C208">
        <v>22.6</v>
      </c>
      <c r="E208">
        <v>32.200000000000003</v>
      </c>
    </row>
    <row r="209" spans="1:5" x14ac:dyDescent="0.2">
      <c r="A209" s="75">
        <v>23468</v>
      </c>
      <c r="B209">
        <v>30.95</v>
      </c>
      <c r="C209">
        <v>22.5</v>
      </c>
      <c r="E209">
        <v>32.200000000000003</v>
      </c>
    </row>
    <row r="210" spans="1:5" x14ac:dyDescent="0.2">
      <c r="A210" s="75">
        <v>23498</v>
      </c>
      <c r="B210">
        <v>30.98</v>
      </c>
      <c r="C210">
        <v>22.5</v>
      </c>
      <c r="E210">
        <v>32.200000000000003</v>
      </c>
    </row>
    <row r="211" spans="1:5" x14ac:dyDescent="0.2">
      <c r="A211" s="75">
        <v>23529</v>
      </c>
      <c r="B211">
        <v>31.01</v>
      </c>
      <c r="C211">
        <v>22.6</v>
      </c>
      <c r="E211">
        <v>32.299999999999997</v>
      </c>
    </row>
    <row r="212" spans="1:5" x14ac:dyDescent="0.2">
      <c r="A212" s="75">
        <v>23559</v>
      </c>
      <c r="B212">
        <v>31.02</v>
      </c>
      <c r="C212">
        <v>22.5</v>
      </c>
      <c r="E212">
        <v>32.299999999999997</v>
      </c>
    </row>
    <row r="213" spans="1:5" x14ac:dyDescent="0.2">
      <c r="A213" s="75">
        <v>23590</v>
      </c>
      <c r="B213">
        <v>31.05</v>
      </c>
      <c r="C213">
        <v>22.6</v>
      </c>
      <c r="E213">
        <v>32.299999999999997</v>
      </c>
    </row>
    <row r="214" spans="1:5" x14ac:dyDescent="0.2">
      <c r="A214" s="75">
        <v>23621</v>
      </c>
      <c r="B214">
        <v>31.08</v>
      </c>
      <c r="C214">
        <v>22.5</v>
      </c>
      <c r="E214">
        <v>32.299999999999997</v>
      </c>
    </row>
    <row r="215" spans="1:5" x14ac:dyDescent="0.2">
      <c r="A215" s="75">
        <v>23651</v>
      </c>
      <c r="B215">
        <v>31.12</v>
      </c>
      <c r="C215">
        <v>22.5</v>
      </c>
      <c r="E215">
        <v>32.4</v>
      </c>
    </row>
    <row r="216" spans="1:5" x14ac:dyDescent="0.2">
      <c r="A216" s="75">
        <v>23682</v>
      </c>
      <c r="B216">
        <v>31.21</v>
      </c>
      <c r="C216">
        <v>22.5</v>
      </c>
      <c r="E216">
        <v>32.5</v>
      </c>
    </row>
    <row r="217" spans="1:5" x14ac:dyDescent="0.2">
      <c r="A217" s="75">
        <v>23712</v>
      </c>
      <c r="B217">
        <v>31.25</v>
      </c>
      <c r="C217">
        <v>22.6</v>
      </c>
      <c r="E217">
        <v>32.5</v>
      </c>
    </row>
    <row r="218" spans="1:5" x14ac:dyDescent="0.2">
      <c r="A218" s="75">
        <v>23743</v>
      </c>
      <c r="B218">
        <v>31.28</v>
      </c>
      <c r="C218">
        <v>22.8</v>
      </c>
      <c r="E218">
        <v>32.6</v>
      </c>
    </row>
    <row r="219" spans="1:5" x14ac:dyDescent="0.2">
      <c r="A219" s="75">
        <v>23774</v>
      </c>
      <c r="B219">
        <v>31.28</v>
      </c>
      <c r="C219">
        <v>22.7</v>
      </c>
      <c r="E219">
        <v>32.6</v>
      </c>
    </row>
    <row r="220" spans="1:5" x14ac:dyDescent="0.2">
      <c r="A220" s="75">
        <v>23802</v>
      </c>
      <c r="B220">
        <v>31.31</v>
      </c>
      <c r="C220">
        <v>22.6</v>
      </c>
      <c r="E220">
        <v>32.6</v>
      </c>
    </row>
    <row r="221" spans="1:5" x14ac:dyDescent="0.2">
      <c r="A221" s="75">
        <v>23833</v>
      </c>
      <c r="B221">
        <v>31.38</v>
      </c>
      <c r="C221">
        <v>22.9</v>
      </c>
      <c r="E221">
        <v>32.700000000000003</v>
      </c>
    </row>
    <row r="222" spans="1:5" x14ac:dyDescent="0.2">
      <c r="A222" s="75">
        <v>23863</v>
      </c>
      <c r="B222">
        <v>31.48</v>
      </c>
      <c r="C222">
        <v>23</v>
      </c>
      <c r="E222">
        <v>32.700000000000003</v>
      </c>
    </row>
    <row r="223" spans="1:5" x14ac:dyDescent="0.2">
      <c r="A223" s="75">
        <v>23894</v>
      </c>
      <c r="B223">
        <v>31.61</v>
      </c>
      <c r="C223">
        <v>23.1</v>
      </c>
      <c r="E223">
        <v>32.700000000000003</v>
      </c>
    </row>
    <row r="224" spans="1:5" x14ac:dyDescent="0.2">
      <c r="A224" s="75">
        <v>23924</v>
      </c>
      <c r="B224">
        <v>31.58</v>
      </c>
      <c r="C224">
        <v>23</v>
      </c>
      <c r="E224">
        <v>32.700000000000003</v>
      </c>
    </row>
    <row r="225" spans="1:5" x14ac:dyDescent="0.2">
      <c r="A225" s="75">
        <v>23955</v>
      </c>
      <c r="B225">
        <v>31.55</v>
      </c>
      <c r="C225">
        <v>23</v>
      </c>
      <c r="E225">
        <v>32.700000000000003</v>
      </c>
    </row>
    <row r="226" spans="1:5" x14ac:dyDescent="0.2">
      <c r="A226" s="75">
        <v>23986</v>
      </c>
      <c r="B226">
        <v>31.62</v>
      </c>
      <c r="C226">
        <v>23.1</v>
      </c>
      <c r="E226">
        <v>32.799999999999997</v>
      </c>
    </row>
    <row r="227" spans="1:5" x14ac:dyDescent="0.2">
      <c r="A227" s="75">
        <v>24016</v>
      </c>
      <c r="B227">
        <v>31.65</v>
      </c>
      <c r="C227">
        <v>23</v>
      </c>
      <c r="E227">
        <v>32.799999999999997</v>
      </c>
    </row>
    <row r="228" spans="1:5" x14ac:dyDescent="0.2">
      <c r="A228" s="75">
        <v>24047</v>
      </c>
      <c r="B228">
        <v>31.75</v>
      </c>
      <c r="C228">
        <v>23.1</v>
      </c>
      <c r="E228">
        <v>32.9</v>
      </c>
    </row>
    <row r="229" spans="1:5" x14ac:dyDescent="0.2">
      <c r="A229" s="75">
        <v>24077</v>
      </c>
      <c r="B229">
        <v>31.85</v>
      </c>
      <c r="C229">
        <v>23.1</v>
      </c>
      <c r="E229">
        <v>33</v>
      </c>
    </row>
    <row r="230" spans="1:5" x14ac:dyDescent="0.2">
      <c r="A230" s="75">
        <v>24108</v>
      </c>
      <c r="B230">
        <v>31.88</v>
      </c>
      <c r="C230">
        <v>23.1</v>
      </c>
      <c r="E230">
        <v>33</v>
      </c>
    </row>
    <row r="231" spans="1:5" x14ac:dyDescent="0.2">
      <c r="A231" s="75">
        <v>24139</v>
      </c>
      <c r="B231">
        <v>32.08</v>
      </c>
      <c r="C231">
        <v>23.2</v>
      </c>
      <c r="E231">
        <v>33.1</v>
      </c>
    </row>
    <row r="232" spans="1:5" x14ac:dyDescent="0.2">
      <c r="A232" s="75">
        <v>24167</v>
      </c>
      <c r="B232">
        <v>32.18</v>
      </c>
      <c r="C232">
        <v>23.2</v>
      </c>
      <c r="E232">
        <v>33.1</v>
      </c>
    </row>
    <row r="233" spans="1:5" x14ac:dyDescent="0.2">
      <c r="A233" s="75">
        <v>24198</v>
      </c>
      <c r="B233">
        <v>32.28</v>
      </c>
      <c r="C233">
        <v>23.2</v>
      </c>
      <c r="E233">
        <v>33.299999999999997</v>
      </c>
    </row>
    <row r="234" spans="1:5" x14ac:dyDescent="0.2">
      <c r="A234" s="75">
        <v>24228</v>
      </c>
      <c r="B234">
        <v>32.35</v>
      </c>
      <c r="C234">
        <v>23.2</v>
      </c>
      <c r="E234">
        <v>33.4</v>
      </c>
    </row>
    <row r="235" spans="1:5" x14ac:dyDescent="0.2">
      <c r="A235" s="75">
        <v>24259</v>
      </c>
      <c r="B235">
        <v>32.380000000000003</v>
      </c>
      <c r="C235">
        <v>23.3</v>
      </c>
      <c r="E235">
        <v>33.5</v>
      </c>
    </row>
    <row r="236" spans="1:5" x14ac:dyDescent="0.2">
      <c r="A236" s="75">
        <v>24289</v>
      </c>
      <c r="B236">
        <v>32.450000000000003</v>
      </c>
      <c r="C236">
        <v>23.4</v>
      </c>
      <c r="E236">
        <v>33.6</v>
      </c>
    </row>
    <row r="237" spans="1:5" x14ac:dyDescent="0.2">
      <c r="A237" s="75">
        <v>24320</v>
      </c>
      <c r="B237">
        <v>32.65</v>
      </c>
      <c r="C237">
        <v>23.3</v>
      </c>
      <c r="E237">
        <v>33.700000000000003</v>
      </c>
    </row>
    <row r="238" spans="1:5" x14ac:dyDescent="0.2">
      <c r="A238" s="75">
        <v>24351</v>
      </c>
      <c r="B238">
        <v>32.75</v>
      </c>
      <c r="C238">
        <v>23.4</v>
      </c>
      <c r="E238">
        <v>33.799999999999997</v>
      </c>
    </row>
    <row r="239" spans="1:5" x14ac:dyDescent="0.2">
      <c r="A239" s="75">
        <v>24381</v>
      </c>
      <c r="B239">
        <v>32.85</v>
      </c>
      <c r="C239">
        <v>23.4</v>
      </c>
      <c r="E239">
        <v>34</v>
      </c>
    </row>
    <row r="240" spans="1:5" x14ac:dyDescent="0.2">
      <c r="A240" s="75">
        <v>24412</v>
      </c>
      <c r="B240">
        <v>32.880000000000003</v>
      </c>
      <c r="C240">
        <v>23.5</v>
      </c>
      <c r="E240">
        <v>34</v>
      </c>
    </row>
    <row r="241" spans="1:5" x14ac:dyDescent="0.2">
      <c r="A241" s="75">
        <v>24442</v>
      </c>
      <c r="B241">
        <v>32.92</v>
      </c>
      <c r="C241">
        <v>23.5</v>
      </c>
      <c r="E241">
        <v>34.1</v>
      </c>
    </row>
    <row r="242" spans="1:5" x14ac:dyDescent="0.2">
      <c r="A242" s="75">
        <v>24473</v>
      </c>
      <c r="B242">
        <v>32.9</v>
      </c>
      <c r="C242">
        <v>23.6</v>
      </c>
      <c r="D242">
        <v>34.799999999999997</v>
      </c>
      <c r="E242">
        <v>34.200000000000003</v>
      </c>
    </row>
    <row r="243" spans="1:5" x14ac:dyDescent="0.2">
      <c r="A243" s="75">
        <v>24504</v>
      </c>
      <c r="B243">
        <v>33</v>
      </c>
      <c r="C243">
        <v>23.7</v>
      </c>
      <c r="D243">
        <v>34.700000000000003</v>
      </c>
      <c r="E243">
        <v>34.200000000000003</v>
      </c>
    </row>
    <row r="244" spans="1:5" x14ac:dyDescent="0.2">
      <c r="A244" s="75">
        <v>24532</v>
      </c>
      <c r="B244">
        <v>33</v>
      </c>
      <c r="C244">
        <v>23.6</v>
      </c>
      <c r="D244">
        <v>34.700000000000003</v>
      </c>
      <c r="E244">
        <v>34.299999999999997</v>
      </c>
    </row>
    <row r="245" spans="1:5" x14ac:dyDescent="0.2">
      <c r="A245" s="75">
        <v>24563</v>
      </c>
      <c r="B245">
        <v>33.1</v>
      </c>
      <c r="C245">
        <v>23.9</v>
      </c>
      <c r="D245">
        <v>34.6</v>
      </c>
      <c r="E245">
        <v>34.4</v>
      </c>
    </row>
    <row r="246" spans="1:5" x14ac:dyDescent="0.2">
      <c r="A246" s="75">
        <v>24593</v>
      </c>
      <c r="B246">
        <v>33.1</v>
      </c>
      <c r="C246">
        <v>23.9</v>
      </c>
      <c r="D246">
        <v>34.6</v>
      </c>
      <c r="E246">
        <v>34.5</v>
      </c>
    </row>
    <row r="247" spans="1:5" x14ac:dyDescent="0.2">
      <c r="A247" s="75">
        <v>24624</v>
      </c>
      <c r="B247">
        <v>33.299999999999997</v>
      </c>
      <c r="C247">
        <v>23.8</v>
      </c>
      <c r="D247">
        <v>34.9</v>
      </c>
      <c r="E247">
        <v>34.6</v>
      </c>
    </row>
    <row r="248" spans="1:5" x14ac:dyDescent="0.2">
      <c r="A248" s="75">
        <v>24654</v>
      </c>
      <c r="B248">
        <v>33.4</v>
      </c>
      <c r="C248">
        <v>23.8</v>
      </c>
      <c r="D248">
        <v>35</v>
      </c>
      <c r="E248">
        <v>34.700000000000003</v>
      </c>
    </row>
    <row r="249" spans="1:5" x14ac:dyDescent="0.2">
      <c r="A249" s="75">
        <v>24685</v>
      </c>
      <c r="B249">
        <v>33.5</v>
      </c>
      <c r="C249">
        <v>23.9</v>
      </c>
      <c r="D249">
        <v>35.200000000000003</v>
      </c>
      <c r="E249">
        <v>34.9</v>
      </c>
    </row>
    <row r="250" spans="1:5" x14ac:dyDescent="0.2">
      <c r="A250" s="75">
        <v>24716</v>
      </c>
      <c r="B250">
        <v>33.6</v>
      </c>
      <c r="C250">
        <v>24</v>
      </c>
      <c r="D250">
        <v>35.200000000000003</v>
      </c>
      <c r="E250">
        <v>35</v>
      </c>
    </row>
    <row r="251" spans="1:5" x14ac:dyDescent="0.2">
      <c r="A251" s="75">
        <v>24746</v>
      </c>
      <c r="B251">
        <v>33.700000000000003</v>
      </c>
      <c r="C251">
        <v>23.9</v>
      </c>
      <c r="D251">
        <v>35.299999999999997</v>
      </c>
      <c r="E251">
        <v>35.1</v>
      </c>
    </row>
    <row r="252" spans="1:5" x14ac:dyDescent="0.2">
      <c r="A252" s="75">
        <v>24777</v>
      </c>
      <c r="B252">
        <v>33.9</v>
      </c>
      <c r="C252">
        <v>24</v>
      </c>
      <c r="D252">
        <v>35.4</v>
      </c>
      <c r="E252">
        <v>35.200000000000003</v>
      </c>
    </row>
    <row r="253" spans="1:5" x14ac:dyDescent="0.2">
      <c r="A253" s="75">
        <v>24807</v>
      </c>
      <c r="B253">
        <v>34</v>
      </c>
      <c r="C253">
        <v>23.9</v>
      </c>
      <c r="D253">
        <v>35.5</v>
      </c>
      <c r="E253">
        <v>35.4</v>
      </c>
    </row>
    <row r="254" spans="1:5" x14ac:dyDescent="0.2">
      <c r="A254" s="75">
        <v>24838</v>
      </c>
      <c r="B254">
        <v>34.1</v>
      </c>
      <c r="C254">
        <v>24</v>
      </c>
      <c r="D254">
        <v>35.5</v>
      </c>
      <c r="E254">
        <v>35.5</v>
      </c>
    </row>
    <row r="255" spans="1:5" x14ac:dyDescent="0.2">
      <c r="A255" s="75">
        <v>24869</v>
      </c>
      <c r="B255">
        <v>34.200000000000003</v>
      </c>
      <c r="C255">
        <v>24.1</v>
      </c>
      <c r="D255">
        <v>35.700000000000003</v>
      </c>
      <c r="E255">
        <v>35.700000000000003</v>
      </c>
    </row>
    <row r="256" spans="1:5" x14ac:dyDescent="0.2">
      <c r="A256" s="75">
        <v>24898</v>
      </c>
      <c r="B256">
        <v>34.299999999999997</v>
      </c>
      <c r="C256">
        <v>24.1</v>
      </c>
      <c r="D256">
        <v>35.799999999999997</v>
      </c>
      <c r="E256">
        <v>35.799999999999997</v>
      </c>
    </row>
    <row r="257" spans="1:5" x14ac:dyDescent="0.2">
      <c r="A257" s="75">
        <v>24929</v>
      </c>
      <c r="B257">
        <v>34.4</v>
      </c>
      <c r="C257">
        <v>24</v>
      </c>
      <c r="D257">
        <v>36</v>
      </c>
      <c r="E257">
        <v>35.9</v>
      </c>
    </row>
    <row r="258" spans="1:5" x14ac:dyDescent="0.2">
      <c r="A258" s="75">
        <v>24959</v>
      </c>
      <c r="B258">
        <v>34.5</v>
      </c>
      <c r="C258">
        <v>24.1</v>
      </c>
      <c r="D258">
        <v>36.1</v>
      </c>
      <c r="E258">
        <v>36</v>
      </c>
    </row>
    <row r="259" spans="1:5" x14ac:dyDescent="0.2">
      <c r="A259" s="75">
        <v>24990</v>
      </c>
      <c r="B259">
        <v>34.700000000000003</v>
      </c>
      <c r="C259">
        <v>24.2</v>
      </c>
      <c r="D259">
        <v>36.1</v>
      </c>
      <c r="E259">
        <v>36.200000000000003</v>
      </c>
    </row>
    <row r="260" spans="1:5" x14ac:dyDescent="0.2">
      <c r="A260" s="75">
        <v>25020</v>
      </c>
      <c r="B260">
        <v>34.9</v>
      </c>
      <c r="C260">
        <v>24.2</v>
      </c>
      <c r="D260">
        <v>36.200000000000003</v>
      </c>
      <c r="E260">
        <v>36.4</v>
      </c>
    </row>
    <row r="261" spans="1:5" x14ac:dyDescent="0.2">
      <c r="A261" s="75">
        <v>25051</v>
      </c>
      <c r="B261">
        <v>35</v>
      </c>
      <c r="C261">
        <v>24.3</v>
      </c>
      <c r="D261">
        <v>36.299999999999997</v>
      </c>
      <c r="E261">
        <v>36.5</v>
      </c>
    </row>
    <row r="262" spans="1:5" x14ac:dyDescent="0.2">
      <c r="A262" s="75">
        <v>25082</v>
      </c>
      <c r="B262">
        <v>35.1</v>
      </c>
      <c r="C262">
        <v>24.3</v>
      </c>
      <c r="D262">
        <v>36.5</v>
      </c>
      <c r="E262">
        <v>36.700000000000003</v>
      </c>
    </row>
    <row r="263" spans="1:5" x14ac:dyDescent="0.2">
      <c r="A263" s="75">
        <v>25112</v>
      </c>
      <c r="B263">
        <v>35.299999999999997</v>
      </c>
      <c r="C263">
        <v>24.3</v>
      </c>
      <c r="D263">
        <v>36.799999999999997</v>
      </c>
      <c r="E263">
        <v>36.9</v>
      </c>
    </row>
    <row r="264" spans="1:5" x14ac:dyDescent="0.2">
      <c r="A264" s="75">
        <v>25143</v>
      </c>
      <c r="B264">
        <v>35.4</v>
      </c>
      <c r="C264">
        <v>24.4</v>
      </c>
      <c r="D264">
        <v>36.799999999999997</v>
      </c>
      <c r="E264">
        <v>37.1</v>
      </c>
    </row>
    <row r="265" spans="1:5" x14ac:dyDescent="0.2">
      <c r="A265" s="75">
        <v>25173</v>
      </c>
      <c r="B265">
        <v>35.6</v>
      </c>
      <c r="C265">
        <v>24.3</v>
      </c>
      <c r="D265">
        <v>37</v>
      </c>
      <c r="E265">
        <v>37.200000000000003</v>
      </c>
    </row>
    <row r="266" spans="1:5" x14ac:dyDescent="0.2">
      <c r="A266" s="75">
        <v>25204</v>
      </c>
      <c r="B266">
        <v>35.700000000000003</v>
      </c>
      <c r="C266">
        <v>24.4</v>
      </c>
      <c r="D266">
        <v>37</v>
      </c>
      <c r="E266">
        <v>37.299999999999997</v>
      </c>
    </row>
    <row r="267" spans="1:5" x14ac:dyDescent="0.2">
      <c r="A267" s="75">
        <v>25235</v>
      </c>
      <c r="B267">
        <v>35.799999999999997</v>
      </c>
      <c r="C267">
        <v>24.4</v>
      </c>
      <c r="D267">
        <v>37</v>
      </c>
      <c r="E267">
        <v>37.6</v>
      </c>
    </row>
    <row r="268" spans="1:5" x14ac:dyDescent="0.2">
      <c r="A268" s="75">
        <v>25263</v>
      </c>
      <c r="B268">
        <v>36.1</v>
      </c>
      <c r="C268">
        <v>24.7</v>
      </c>
      <c r="D268">
        <v>37.1</v>
      </c>
      <c r="E268">
        <v>37.799999999999997</v>
      </c>
    </row>
    <row r="269" spans="1:5" x14ac:dyDescent="0.2">
      <c r="A269" s="75">
        <v>25294</v>
      </c>
      <c r="B269">
        <v>36.299999999999997</v>
      </c>
      <c r="C269">
        <v>24.9</v>
      </c>
      <c r="D269">
        <v>37.4</v>
      </c>
      <c r="E269">
        <v>38.1</v>
      </c>
    </row>
    <row r="270" spans="1:5" x14ac:dyDescent="0.2">
      <c r="A270" s="75">
        <v>25324</v>
      </c>
      <c r="B270">
        <v>36.4</v>
      </c>
      <c r="C270">
        <v>24.8</v>
      </c>
      <c r="D270">
        <v>37.6</v>
      </c>
      <c r="E270">
        <v>38.1</v>
      </c>
    </row>
    <row r="271" spans="1:5" x14ac:dyDescent="0.2">
      <c r="A271" s="75">
        <v>25355</v>
      </c>
      <c r="B271">
        <v>36.6</v>
      </c>
      <c r="C271">
        <v>25</v>
      </c>
      <c r="D271">
        <v>38</v>
      </c>
      <c r="E271">
        <v>38.299999999999997</v>
      </c>
    </row>
    <row r="272" spans="1:5" x14ac:dyDescent="0.2">
      <c r="A272" s="75">
        <v>25385</v>
      </c>
      <c r="B272">
        <v>36.799999999999997</v>
      </c>
      <c r="C272">
        <v>24.9</v>
      </c>
      <c r="D272">
        <v>38.200000000000003</v>
      </c>
      <c r="E272">
        <v>38.5</v>
      </c>
    </row>
    <row r="273" spans="1:5" x14ac:dyDescent="0.2">
      <c r="A273" s="75">
        <v>25416</v>
      </c>
      <c r="B273">
        <v>36.9</v>
      </c>
      <c r="C273">
        <v>24.9</v>
      </c>
      <c r="D273">
        <v>38.4</v>
      </c>
      <c r="E273">
        <v>38.700000000000003</v>
      </c>
    </row>
    <row r="274" spans="1:5" x14ac:dyDescent="0.2">
      <c r="A274" s="75">
        <v>25447</v>
      </c>
      <c r="B274">
        <v>37.1</v>
      </c>
      <c r="C274">
        <v>25</v>
      </c>
      <c r="D274">
        <v>38.6</v>
      </c>
      <c r="E274">
        <v>38.9</v>
      </c>
    </row>
    <row r="275" spans="1:5" x14ac:dyDescent="0.2">
      <c r="A275" s="75">
        <v>25477</v>
      </c>
      <c r="B275">
        <v>37.299999999999997</v>
      </c>
      <c r="C275">
        <v>25</v>
      </c>
      <c r="D275">
        <v>38.700000000000003</v>
      </c>
      <c r="E275">
        <v>39.1</v>
      </c>
    </row>
    <row r="276" spans="1:5" x14ac:dyDescent="0.2">
      <c r="A276" s="75">
        <v>25508</v>
      </c>
      <c r="B276">
        <v>37.5</v>
      </c>
      <c r="C276">
        <v>25</v>
      </c>
      <c r="D276">
        <v>39.1</v>
      </c>
      <c r="E276">
        <v>39.200000000000003</v>
      </c>
    </row>
    <row r="277" spans="1:5" x14ac:dyDescent="0.2">
      <c r="A277" s="75">
        <v>25538</v>
      </c>
      <c r="B277">
        <v>37.700000000000003</v>
      </c>
      <c r="C277">
        <v>25.1</v>
      </c>
      <c r="D277">
        <v>39.5</v>
      </c>
      <c r="E277">
        <v>39.4</v>
      </c>
    </row>
    <row r="278" spans="1:5" x14ac:dyDescent="0.2">
      <c r="A278" s="75">
        <v>25569</v>
      </c>
      <c r="B278">
        <v>37.9</v>
      </c>
      <c r="C278">
        <v>25.1</v>
      </c>
      <c r="D278">
        <v>39.6</v>
      </c>
      <c r="E278">
        <v>39.6</v>
      </c>
    </row>
    <row r="279" spans="1:5" x14ac:dyDescent="0.2">
      <c r="A279" s="75">
        <v>25600</v>
      </c>
      <c r="B279">
        <v>38.1</v>
      </c>
      <c r="C279">
        <v>25.1</v>
      </c>
      <c r="D279">
        <v>39.799999999999997</v>
      </c>
      <c r="E279">
        <v>39.799999999999997</v>
      </c>
    </row>
    <row r="280" spans="1:5" x14ac:dyDescent="0.2">
      <c r="A280" s="75">
        <v>25628</v>
      </c>
      <c r="B280">
        <v>38.299999999999997</v>
      </c>
      <c r="C280">
        <v>25</v>
      </c>
      <c r="D280">
        <v>39.799999999999997</v>
      </c>
      <c r="E280">
        <v>40.1</v>
      </c>
    </row>
    <row r="281" spans="1:5" x14ac:dyDescent="0.2">
      <c r="A281" s="75">
        <v>25659</v>
      </c>
      <c r="B281">
        <v>38.5</v>
      </c>
      <c r="C281">
        <v>25.5</v>
      </c>
      <c r="D281">
        <v>39.9</v>
      </c>
      <c r="E281">
        <v>40.4</v>
      </c>
    </row>
    <row r="282" spans="1:5" x14ac:dyDescent="0.2">
      <c r="A282" s="75">
        <v>25689</v>
      </c>
      <c r="B282">
        <v>38.6</v>
      </c>
      <c r="C282">
        <v>25.4</v>
      </c>
      <c r="D282">
        <v>40.1</v>
      </c>
      <c r="E282">
        <v>40.5</v>
      </c>
    </row>
    <row r="283" spans="1:5" x14ac:dyDescent="0.2">
      <c r="A283" s="75">
        <v>25720</v>
      </c>
      <c r="B283">
        <v>38.799999999999997</v>
      </c>
      <c r="C283">
        <v>25.3</v>
      </c>
      <c r="D283">
        <v>40.1</v>
      </c>
      <c r="E283">
        <v>40.799999999999997</v>
      </c>
    </row>
    <row r="284" spans="1:5" x14ac:dyDescent="0.2">
      <c r="A284" s="75">
        <v>25750</v>
      </c>
      <c r="B284">
        <v>38.9</v>
      </c>
      <c r="C284">
        <v>25.5</v>
      </c>
      <c r="D284">
        <v>40.200000000000003</v>
      </c>
      <c r="E284">
        <v>40.9</v>
      </c>
    </row>
    <row r="285" spans="1:5" x14ac:dyDescent="0.2">
      <c r="A285" s="75">
        <v>25781</v>
      </c>
      <c r="B285">
        <v>39</v>
      </c>
      <c r="C285">
        <v>25.4</v>
      </c>
      <c r="D285">
        <v>40.200000000000003</v>
      </c>
      <c r="E285">
        <v>41.1</v>
      </c>
    </row>
    <row r="286" spans="1:5" x14ac:dyDescent="0.2">
      <c r="A286" s="75">
        <v>25812</v>
      </c>
      <c r="B286">
        <v>39.200000000000003</v>
      </c>
      <c r="C286">
        <v>25.6</v>
      </c>
      <c r="D286">
        <v>40.4</v>
      </c>
      <c r="E286">
        <v>41.3</v>
      </c>
    </row>
    <row r="287" spans="1:5" x14ac:dyDescent="0.2">
      <c r="A287" s="75">
        <v>25842</v>
      </c>
      <c r="B287">
        <v>39.4</v>
      </c>
      <c r="C287">
        <v>25.9</v>
      </c>
      <c r="D287">
        <v>40.5</v>
      </c>
      <c r="E287">
        <v>41.5</v>
      </c>
    </row>
    <row r="288" spans="1:5" x14ac:dyDescent="0.2">
      <c r="A288" s="75">
        <v>25873</v>
      </c>
      <c r="B288">
        <v>39.6</v>
      </c>
      <c r="C288">
        <v>26</v>
      </c>
      <c r="D288">
        <v>40.4</v>
      </c>
      <c r="E288">
        <v>41.8</v>
      </c>
    </row>
    <row r="289" spans="1:5" x14ac:dyDescent="0.2">
      <c r="A289" s="75">
        <v>25903</v>
      </c>
      <c r="B289">
        <v>39.799999999999997</v>
      </c>
      <c r="C289">
        <v>26.2</v>
      </c>
      <c r="D289">
        <v>40.5</v>
      </c>
      <c r="E289">
        <v>42</v>
      </c>
    </row>
    <row r="290" spans="1:5" x14ac:dyDescent="0.2">
      <c r="A290" s="75">
        <v>25934</v>
      </c>
      <c r="B290">
        <v>39.9</v>
      </c>
      <c r="C290">
        <v>26.3</v>
      </c>
      <c r="D290">
        <v>40.5</v>
      </c>
      <c r="E290">
        <v>42.1</v>
      </c>
    </row>
    <row r="291" spans="1:5" x14ac:dyDescent="0.2">
      <c r="A291" s="75">
        <v>25965</v>
      </c>
      <c r="B291">
        <v>39.9</v>
      </c>
      <c r="C291">
        <v>26.2</v>
      </c>
      <c r="D291">
        <v>40.5</v>
      </c>
      <c r="E291">
        <v>42.2</v>
      </c>
    </row>
    <row r="292" spans="1:5" x14ac:dyDescent="0.2">
      <c r="A292" s="75">
        <v>25993</v>
      </c>
      <c r="B292">
        <v>40</v>
      </c>
      <c r="C292">
        <v>26.2</v>
      </c>
      <c r="D292">
        <v>40.9</v>
      </c>
      <c r="E292">
        <v>42.2</v>
      </c>
    </row>
    <row r="293" spans="1:5" x14ac:dyDescent="0.2">
      <c r="A293" s="75">
        <v>26024</v>
      </c>
      <c r="B293">
        <v>40.1</v>
      </c>
      <c r="C293">
        <v>26.1</v>
      </c>
      <c r="D293">
        <v>41.1</v>
      </c>
      <c r="E293">
        <v>42.4</v>
      </c>
    </row>
    <row r="294" spans="1:5" x14ac:dyDescent="0.2">
      <c r="A294" s="75">
        <v>26054</v>
      </c>
      <c r="B294">
        <v>40.299999999999997</v>
      </c>
      <c r="C294">
        <v>26.2</v>
      </c>
      <c r="D294">
        <v>41.3</v>
      </c>
      <c r="E294">
        <v>42.6</v>
      </c>
    </row>
    <row r="295" spans="1:5" x14ac:dyDescent="0.2">
      <c r="A295" s="75">
        <v>26085</v>
      </c>
      <c r="B295">
        <v>40.5</v>
      </c>
      <c r="C295">
        <v>26.3</v>
      </c>
      <c r="D295">
        <v>41.5</v>
      </c>
      <c r="E295">
        <v>42.8</v>
      </c>
    </row>
    <row r="296" spans="1:5" x14ac:dyDescent="0.2">
      <c r="A296" s="75">
        <v>26115</v>
      </c>
      <c r="B296">
        <v>40.6</v>
      </c>
      <c r="C296">
        <v>26.3</v>
      </c>
      <c r="D296">
        <v>41.6</v>
      </c>
      <c r="E296">
        <v>42.9</v>
      </c>
    </row>
    <row r="297" spans="1:5" x14ac:dyDescent="0.2">
      <c r="A297" s="75">
        <v>26146</v>
      </c>
      <c r="B297">
        <v>40.700000000000003</v>
      </c>
      <c r="C297">
        <v>26.8</v>
      </c>
      <c r="D297">
        <v>41.6</v>
      </c>
      <c r="E297">
        <v>43</v>
      </c>
    </row>
    <row r="298" spans="1:5" x14ac:dyDescent="0.2">
      <c r="A298" s="75">
        <v>26177</v>
      </c>
      <c r="B298">
        <v>40.799999999999997</v>
      </c>
      <c r="C298">
        <v>26.9</v>
      </c>
      <c r="D298">
        <v>41.6</v>
      </c>
      <c r="E298">
        <v>43</v>
      </c>
    </row>
    <row r="299" spans="1:5" x14ac:dyDescent="0.2">
      <c r="A299" s="75">
        <v>26207</v>
      </c>
      <c r="B299">
        <v>40.9</v>
      </c>
      <c r="C299">
        <v>27</v>
      </c>
      <c r="D299">
        <v>41.7</v>
      </c>
      <c r="E299">
        <v>43.1</v>
      </c>
    </row>
    <row r="300" spans="1:5" x14ac:dyDescent="0.2">
      <c r="A300" s="75">
        <v>26238</v>
      </c>
      <c r="B300">
        <v>41</v>
      </c>
      <c r="C300">
        <v>26.9</v>
      </c>
      <c r="D300">
        <v>41.9</v>
      </c>
      <c r="E300">
        <v>43.2</v>
      </c>
    </row>
    <row r="301" spans="1:5" x14ac:dyDescent="0.2">
      <c r="A301" s="75">
        <v>26268</v>
      </c>
      <c r="B301">
        <v>41.1</v>
      </c>
      <c r="C301">
        <v>27</v>
      </c>
      <c r="D301">
        <v>42.3</v>
      </c>
      <c r="E301">
        <v>43.3</v>
      </c>
    </row>
    <row r="302" spans="1:5" x14ac:dyDescent="0.2">
      <c r="A302" s="75">
        <v>26299</v>
      </c>
      <c r="B302">
        <v>41.2</v>
      </c>
      <c r="C302">
        <v>27</v>
      </c>
      <c r="D302">
        <v>42.2</v>
      </c>
      <c r="E302">
        <v>43.5</v>
      </c>
    </row>
    <row r="303" spans="1:5" x14ac:dyDescent="0.2">
      <c r="A303" s="75">
        <v>26330</v>
      </c>
      <c r="B303">
        <v>41.4</v>
      </c>
      <c r="C303">
        <v>26.8</v>
      </c>
      <c r="D303">
        <v>42.6</v>
      </c>
      <c r="E303">
        <v>43.6</v>
      </c>
    </row>
    <row r="304" spans="1:5" x14ac:dyDescent="0.2">
      <c r="A304" s="75">
        <v>26359</v>
      </c>
      <c r="B304">
        <v>41.4</v>
      </c>
      <c r="C304">
        <v>26.9</v>
      </c>
      <c r="D304">
        <v>42.6</v>
      </c>
      <c r="E304">
        <v>43.6</v>
      </c>
    </row>
    <row r="305" spans="1:5" x14ac:dyDescent="0.2">
      <c r="A305" s="75">
        <v>26390</v>
      </c>
      <c r="B305">
        <v>41.5</v>
      </c>
      <c r="C305">
        <v>26.9</v>
      </c>
      <c r="D305">
        <v>42.6</v>
      </c>
      <c r="E305">
        <v>43.8</v>
      </c>
    </row>
    <row r="306" spans="1:5" x14ac:dyDescent="0.2">
      <c r="A306" s="75">
        <v>26420</v>
      </c>
      <c r="B306">
        <v>41.6</v>
      </c>
      <c r="C306">
        <v>27</v>
      </c>
      <c r="D306">
        <v>42.7</v>
      </c>
      <c r="E306">
        <v>43.9</v>
      </c>
    </row>
    <row r="307" spans="1:5" x14ac:dyDescent="0.2">
      <c r="A307" s="75">
        <v>26451</v>
      </c>
      <c r="B307">
        <v>41.7</v>
      </c>
      <c r="C307">
        <v>27</v>
      </c>
      <c r="D307">
        <v>42.8</v>
      </c>
      <c r="E307">
        <v>44</v>
      </c>
    </row>
    <row r="308" spans="1:5" x14ac:dyDescent="0.2">
      <c r="A308" s="75">
        <v>26481</v>
      </c>
      <c r="B308">
        <v>41.8</v>
      </c>
      <c r="C308">
        <v>27.1</v>
      </c>
      <c r="D308">
        <v>43.1</v>
      </c>
      <c r="E308">
        <v>44.1</v>
      </c>
    </row>
    <row r="309" spans="1:5" x14ac:dyDescent="0.2">
      <c r="A309" s="75">
        <v>26512</v>
      </c>
      <c r="B309">
        <v>41.9</v>
      </c>
      <c r="C309">
        <v>27.3</v>
      </c>
      <c r="D309">
        <v>43.1</v>
      </c>
      <c r="E309">
        <v>44.3</v>
      </c>
    </row>
    <row r="310" spans="1:5" x14ac:dyDescent="0.2">
      <c r="A310" s="75">
        <v>26543</v>
      </c>
      <c r="B310">
        <v>42.1</v>
      </c>
      <c r="C310">
        <v>27.6</v>
      </c>
      <c r="D310">
        <v>43.5</v>
      </c>
      <c r="E310">
        <v>44.3</v>
      </c>
    </row>
    <row r="311" spans="1:5" x14ac:dyDescent="0.2">
      <c r="A311" s="75">
        <v>26573</v>
      </c>
      <c r="B311">
        <v>42.2</v>
      </c>
      <c r="C311">
        <v>27.7</v>
      </c>
      <c r="D311">
        <v>43.7</v>
      </c>
      <c r="E311">
        <v>44.4</v>
      </c>
    </row>
    <row r="312" spans="1:5" x14ac:dyDescent="0.2">
      <c r="A312" s="75">
        <v>26604</v>
      </c>
      <c r="B312">
        <v>42.4</v>
      </c>
      <c r="C312">
        <v>27.9</v>
      </c>
      <c r="D312">
        <v>43.9</v>
      </c>
      <c r="E312">
        <v>44.4</v>
      </c>
    </row>
    <row r="313" spans="1:5" x14ac:dyDescent="0.2">
      <c r="A313" s="75">
        <v>26634</v>
      </c>
      <c r="B313">
        <v>42.5</v>
      </c>
      <c r="C313">
        <v>27.8</v>
      </c>
      <c r="D313">
        <v>44.1</v>
      </c>
      <c r="E313">
        <v>44.6</v>
      </c>
    </row>
    <row r="314" spans="1:5" x14ac:dyDescent="0.2">
      <c r="A314" s="75">
        <v>26665</v>
      </c>
      <c r="B314">
        <v>42.7</v>
      </c>
      <c r="C314">
        <v>27.9</v>
      </c>
      <c r="D314">
        <v>44.8</v>
      </c>
      <c r="E314">
        <v>44.6</v>
      </c>
    </row>
    <row r="315" spans="1:5" x14ac:dyDescent="0.2">
      <c r="A315" s="75">
        <v>26696</v>
      </c>
      <c r="B315">
        <v>43</v>
      </c>
      <c r="C315">
        <v>28.2</v>
      </c>
      <c r="D315">
        <v>45.5</v>
      </c>
      <c r="E315">
        <v>44.8</v>
      </c>
    </row>
    <row r="316" spans="1:5" x14ac:dyDescent="0.2">
      <c r="A316" s="75">
        <v>26724</v>
      </c>
      <c r="B316">
        <v>43.4</v>
      </c>
      <c r="C316">
        <v>28.3</v>
      </c>
      <c r="D316">
        <v>46.5</v>
      </c>
      <c r="E316">
        <v>45</v>
      </c>
    </row>
    <row r="317" spans="1:5" x14ac:dyDescent="0.2">
      <c r="A317" s="75">
        <v>26755</v>
      </c>
      <c r="B317">
        <v>43.7</v>
      </c>
      <c r="C317">
        <v>28.6</v>
      </c>
      <c r="D317">
        <v>47.2</v>
      </c>
      <c r="E317">
        <v>45.1</v>
      </c>
    </row>
    <row r="318" spans="1:5" x14ac:dyDescent="0.2">
      <c r="A318" s="75">
        <v>26785</v>
      </c>
      <c r="B318">
        <v>43.9</v>
      </c>
      <c r="C318">
        <v>28.8</v>
      </c>
      <c r="D318">
        <v>47.8</v>
      </c>
      <c r="E318">
        <v>45.3</v>
      </c>
    </row>
    <row r="319" spans="1:5" x14ac:dyDescent="0.2">
      <c r="A319" s="75">
        <v>26816</v>
      </c>
      <c r="B319">
        <v>44.2</v>
      </c>
      <c r="C319">
        <v>29.2</v>
      </c>
      <c r="D319">
        <v>48.3</v>
      </c>
      <c r="E319">
        <v>45.4</v>
      </c>
    </row>
    <row r="320" spans="1:5" x14ac:dyDescent="0.2">
      <c r="A320" s="75">
        <v>26846</v>
      </c>
      <c r="B320">
        <v>44.2</v>
      </c>
      <c r="C320">
        <v>29.2</v>
      </c>
      <c r="D320">
        <v>48.4</v>
      </c>
      <c r="E320">
        <v>45.5</v>
      </c>
    </row>
    <row r="321" spans="1:5" x14ac:dyDescent="0.2">
      <c r="A321" s="75">
        <v>26877</v>
      </c>
      <c r="B321">
        <v>45</v>
      </c>
      <c r="C321">
        <v>29.4</v>
      </c>
      <c r="D321">
        <v>50.9</v>
      </c>
      <c r="E321">
        <v>45.7</v>
      </c>
    </row>
    <row r="322" spans="1:5" x14ac:dyDescent="0.2">
      <c r="A322" s="75">
        <v>26908</v>
      </c>
      <c r="B322">
        <v>45.2</v>
      </c>
      <c r="C322">
        <v>29.4</v>
      </c>
      <c r="D322">
        <v>50.9</v>
      </c>
      <c r="E322">
        <v>46</v>
      </c>
    </row>
    <row r="323" spans="1:5" x14ac:dyDescent="0.2">
      <c r="A323" s="75">
        <v>26938</v>
      </c>
      <c r="B323">
        <v>45.6</v>
      </c>
      <c r="C323">
        <v>30.3</v>
      </c>
      <c r="D323">
        <v>51.2</v>
      </c>
      <c r="E323">
        <v>46.3</v>
      </c>
    </row>
    <row r="324" spans="1:5" x14ac:dyDescent="0.2">
      <c r="A324" s="75">
        <v>26969</v>
      </c>
      <c r="B324">
        <v>45.9</v>
      </c>
      <c r="C324">
        <v>31.5</v>
      </c>
      <c r="D324">
        <v>51.8</v>
      </c>
      <c r="E324">
        <v>46.5</v>
      </c>
    </row>
    <row r="325" spans="1:5" x14ac:dyDescent="0.2">
      <c r="A325" s="75">
        <v>26999</v>
      </c>
      <c r="B325">
        <v>46.3</v>
      </c>
      <c r="C325">
        <v>32.5</v>
      </c>
      <c r="D325">
        <v>52.3</v>
      </c>
      <c r="E325">
        <v>46.7</v>
      </c>
    </row>
    <row r="326" spans="1:5" x14ac:dyDescent="0.2">
      <c r="A326" s="75">
        <v>27030</v>
      </c>
      <c r="B326">
        <v>46.8</v>
      </c>
      <c r="C326">
        <v>34.1</v>
      </c>
      <c r="D326">
        <v>52.9</v>
      </c>
      <c r="E326">
        <v>46.9</v>
      </c>
    </row>
    <row r="327" spans="1:5" x14ac:dyDescent="0.2">
      <c r="A327" s="75">
        <v>27061</v>
      </c>
      <c r="B327">
        <v>47.3</v>
      </c>
      <c r="C327">
        <v>35.4</v>
      </c>
      <c r="D327">
        <v>54</v>
      </c>
      <c r="E327">
        <v>47.2</v>
      </c>
    </row>
    <row r="328" spans="1:5" x14ac:dyDescent="0.2">
      <c r="A328" s="75">
        <v>27089</v>
      </c>
      <c r="B328">
        <v>47.8</v>
      </c>
      <c r="C328">
        <v>36.9</v>
      </c>
      <c r="D328">
        <v>54.5</v>
      </c>
      <c r="E328">
        <v>47.6</v>
      </c>
    </row>
    <row r="329" spans="1:5" x14ac:dyDescent="0.2">
      <c r="A329" s="75">
        <v>27120</v>
      </c>
      <c r="B329">
        <v>48.1</v>
      </c>
      <c r="C329">
        <v>37.6</v>
      </c>
      <c r="D329">
        <v>54.4</v>
      </c>
      <c r="E329">
        <v>47.9</v>
      </c>
    </row>
    <row r="330" spans="1:5" x14ac:dyDescent="0.2">
      <c r="A330" s="75">
        <v>27150</v>
      </c>
      <c r="B330">
        <v>48.6</v>
      </c>
      <c r="C330">
        <v>38.299999999999997</v>
      </c>
      <c r="D330">
        <v>54.8</v>
      </c>
      <c r="E330">
        <v>48.5</v>
      </c>
    </row>
    <row r="331" spans="1:5" x14ac:dyDescent="0.2">
      <c r="A331" s="75">
        <v>27181</v>
      </c>
      <c r="B331">
        <v>49</v>
      </c>
      <c r="C331">
        <v>38.6</v>
      </c>
      <c r="D331">
        <v>54.9</v>
      </c>
      <c r="E331">
        <v>49</v>
      </c>
    </row>
    <row r="332" spans="1:5" x14ac:dyDescent="0.2">
      <c r="A332" s="75">
        <v>27211</v>
      </c>
      <c r="B332">
        <v>49.3</v>
      </c>
      <c r="C332">
        <v>38.9</v>
      </c>
      <c r="D332">
        <v>54.8</v>
      </c>
      <c r="E332">
        <v>49.5</v>
      </c>
    </row>
    <row r="333" spans="1:5" x14ac:dyDescent="0.2">
      <c r="A333" s="75">
        <v>27242</v>
      </c>
      <c r="B333">
        <v>49.9</v>
      </c>
      <c r="C333">
        <v>39.200000000000003</v>
      </c>
      <c r="D333">
        <v>55.5</v>
      </c>
      <c r="E333">
        <v>50.2</v>
      </c>
    </row>
    <row r="334" spans="1:5" x14ac:dyDescent="0.2">
      <c r="A334" s="75">
        <v>27273</v>
      </c>
      <c r="B334">
        <v>50.6</v>
      </c>
      <c r="C334">
        <v>39.299999999999997</v>
      </c>
      <c r="D334">
        <v>56.6</v>
      </c>
      <c r="E334">
        <v>50.7</v>
      </c>
    </row>
    <row r="335" spans="1:5" x14ac:dyDescent="0.2">
      <c r="A335" s="75">
        <v>27303</v>
      </c>
      <c r="B335">
        <v>51</v>
      </c>
      <c r="C335">
        <v>39.200000000000003</v>
      </c>
      <c r="D335">
        <v>57.2</v>
      </c>
      <c r="E335">
        <v>51.2</v>
      </c>
    </row>
    <row r="336" spans="1:5" x14ac:dyDescent="0.2">
      <c r="A336" s="75">
        <v>27334</v>
      </c>
      <c r="B336">
        <v>51.5</v>
      </c>
      <c r="C336">
        <v>39.4</v>
      </c>
      <c r="D336">
        <v>57.9</v>
      </c>
      <c r="E336">
        <v>51.6</v>
      </c>
    </row>
    <row r="337" spans="1:5" x14ac:dyDescent="0.2">
      <c r="A337" s="75">
        <v>27364</v>
      </c>
      <c r="B337">
        <v>51.9</v>
      </c>
      <c r="C337">
        <v>39.6</v>
      </c>
      <c r="D337">
        <v>58.6</v>
      </c>
      <c r="E337">
        <v>52</v>
      </c>
    </row>
    <row r="338" spans="1:5" x14ac:dyDescent="0.2">
      <c r="A338" s="75">
        <v>27395</v>
      </c>
      <c r="B338">
        <v>52.3</v>
      </c>
      <c r="C338">
        <v>40</v>
      </c>
      <c r="D338">
        <v>58.8</v>
      </c>
      <c r="E338">
        <v>52.3</v>
      </c>
    </row>
    <row r="339" spans="1:5" x14ac:dyDescent="0.2">
      <c r="A339" s="75">
        <v>27426</v>
      </c>
      <c r="B339">
        <v>52.6</v>
      </c>
      <c r="C339">
        <v>40.299999999999997</v>
      </c>
      <c r="D339">
        <v>59</v>
      </c>
      <c r="E339">
        <v>52.8</v>
      </c>
    </row>
    <row r="340" spans="1:5" x14ac:dyDescent="0.2">
      <c r="A340" s="75">
        <v>27454</v>
      </c>
      <c r="B340">
        <v>52.8</v>
      </c>
      <c r="C340">
        <v>40.6</v>
      </c>
      <c r="D340">
        <v>58.9</v>
      </c>
      <c r="E340">
        <v>53</v>
      </c>
    </row>
    <row r="341" spans="1:5" x14ac:dyDescent="0.2">
      <c r="A341" s="75">
        <v>27485</v>
      </c>
      <c r="B341">
        <v>53</v>
      </c>
      <c r="C341">
        <v>41</v>
      </c>
      <c r="D341">
        <v>58.8</v>
      </c>
      <c r="E341">
        <v>53.3</v>
      </c>
    </row>
    <row r="342" spans="1:5" x14ac:dyDescent="0.2">
      <c r="A342" s="75">
        <v>27515</v>
      </c>
      <c r="B342">
        <v>53.1</v>
      </c>
      <c r="C342">
        <v>41.3</v>
      </c>
      <c r="D342">
        <v>59</v>
      </c>
      <c r="E342">
        <v>53.5</v>
      </c>
    </row>
    <row r="343" spans="1:5" x14ac:dyDescent="0.2">
      <c r="A343" s="75">
        <v>27546</v>
      </c>
      <c r="B343">
        <v>53.5</v>
      </c>
      <c r="C343">
        <v>41.7</v>
      </c>
      <c r="D343">
        <v>59.6</v>
      </c>
      <c r="E343">
        <v>53.8</v>
      </c>
    </row>
    <row r="344" spans="1:5" x14ac:dyDescent="0.2">
      <c r="A344" s="75">
        <v>27576</v>
      </c>
      <c r="B344">
        <v>54</v>
      </c>
      <c r="C344">
        <v>42.5</v>
      </c>
      <c r="D344">
        <v>60.6</v>
      </c>
      <c r="E344">
        <v>54</v>
      </c>
    </row>
    <row r="345" spans="1:5" x14ac:dyDescent="0.2">
      <c r="A345" s="75">
        <v>27607</v>
      </c>
      <c r="B345">
        <v>54.2</v>
      </c>
      <c r="C345">
        <v>42.8</v>
      </c>
      <c r="D345">
        <v>60.7</v>
      </c>
      <c r="E345">
        <v>54.2</v>
      </c>
    </row>
    <row r="346" spans="1:5" x14ac:dyDescent="0.2">
      <c r="A346" s="75">
        <v>27638</v>
      </c>
      <c r="B346">
        <v>54.6</v>
      </c>
      <c r="C346">
        <v>43.2</v>
      </c>
      <c r="D346">
        <v>61</v>
      </c>
      <c r="E346">
        <v>54.5</v>
      </c>
    </row>
    <row r="347" spans="1:5" x14ac:dyDescent="0.2">
      <c r="A347" s="75">
        <v>27668</v>
      </c>
      <c r="B347">
        <v>54.9</v>
      </c>
      <c r="C347">
        <v>43.5</v>
      </c>
      <c r="D347">
        <v>61.6</v>
      </c>
      <c r="E347">
        <v>54.8</v>
      </c>
    </row>
    <row r="348" spans="1:5" x14ac:dyDescent="0.2">
      <c r="A348" s="75">
        <v>27699</v>
      </c>
      <c r="B348">
        <v>55.3</v>
      </c>
      <c r="C348">
        <v>43.9</v>
      </c>
      <c r="D348">
        <v>62</v>
      </c>
      <c r="E348">
        <v>55.2</v>
      </c>
    </row>
    <row r="349" spans="1:5" x14ac:dyDescent="0.2">
      <c r="A349" s="75">
        <v>27729</v>
      </c>
      <c r="B349">
        <v>55.6</v>
      </c>
      <c r="C349">
        <v>44.1</v>
      </c>
      <c r="D349">
        <v>62.3</v>
      </c>
      <c r="E349">
        <v>55.5</v>
      </c>
    </row>
    <row r="350" spans="1:5" x14ac:dyDescent="0.2">
      <c r="A350" s="75">
        <v>27760</v>
      </c>
      <c r="B350">
        <v>55.8</v>
      </c>
      <c r="C350">
        <v>44.5</v>
      </c>
      <c r="D350">
        <v>62.2</v>
      </c>
      <c r="E350">
        <v>55.9</v>
      </c>
    </row>
    <row r="351" spans="1:5" x14ac:dyDescent="0.2">
      <c r="A351" s="75">
        <v>27791</v>
      </c>
      <c r="B351">
        <v>55.9</v>
      </c>
      <c r="C351">
        <v>44.4</v>
      </c>
      <c r="D351">
        <v>61.6</v>
      </c>
      <c r="E351">
        <v>56.2</v>
      </c>
    </row>
    <row r="352" spans="1:5" x14ac:dyDescent="0.2">
      <c r="A352" s="75">
        <v>27820</v>
      </c>
      <c r="B352">
        <v>56</v>
      </c>
      <c r="C352">
        <v>44.1</v>
      </c>
      <c r="D352">
        <v>61.3</v>
      </c>
      <c r="E352">
        <v>56.5</v>
      </c>
    </row>
    <row r="353" spans="1:5" x14ac:dyDescent="0.2">
      <c r="A353" s="75">
        <v>27851</v>
      </c>
      <c r="B353">
        <v>56.1</v>
      </c>
      <c r="C353">
        <v>43.9</v>
      </c>
      <c r="D353">
        <v>61.3</v>
      </c>
      <c r="E353">
        <v>56.7</v>
      </c>
    </row>
    <row r="354" spans="1:5" x14ac:dyDescent="0.2">
      <c r="A354" s="75">
        <v>27881</v>
      </c>
      <c r="B354">
        <v>56.4</v>
      </c>
      <c r="C354">
        <v>44.1</v>
      </c>
      <c r="D354">
        <v>61.6</v>
      </c>
      <c r="E354">
        <v>57</v>
      </c>
    </row>
    <row r="355" spans="1:5" x14ac:dyDescent="0.2">
      <c r="A355" s="75">
        <v>27912</v>
      </c>
      <c r="B355">
        <v>56.7</v>
      </c>
      <c r="C355">
        <v>44.4</v>
      </c>
      <c r="D355">
        <v>61.7</v>
      </c>
      <c r="E355">
        <v>57.2</v>
      </c>
    </row>
    <row r="356" spans="1:5" x14ac:dyDescent="0.2">
      <c r="A356" s="75">
        <v>27942</v>
      </c>
      <c r="B356">
        <v>57</v>
      </c>
      <c r="C356">
        <v>44.8</v>
      </c>
      <c r="D356">
        <v>62</v>
      </c>
      <c r="E356">
        <v>57.6</v>
      </c>
    </row>
    <row r="357" spans="1:5" x14ac:dyDescent="0.2">
      <c r="A357" s="75">
        <v>27973</v>
      </c>
      <c r="B357">
        <v>57.3</v>
      </c>
      <c r="C357">
        <v>45.2</v>
      </c>
      <c r="D357">
        <v>62.2</v>
      </c>
      <c r="E357">
        <v>57.9</v>
      </c>
    </row>
    <row r="358" spans="1:5" x14ac:dyDescent="0.2">
      <c r="A358" s="75">
        <v>28004</v>
      </c>
      <c r="B358">
        <v>57.6</v>
      </c>
      <c r="C358">
        <v>45.7</v>
      </c>
      <c r="D358">
        <v>62.5</v>
      </c>
      <c r="E358">
        <v>58.2</v>
      </c>
    </row>
    <row r="359" spans="1:5" x14ac:dyDescent="0.2">
      <c r="A359" s="75">
        <v>28034</v>
      </c>
      <c r="B359">
        <v>57.9</v>
      </c>
      <c r="C359">
        <v>46.1</v>
      </c>
      <c r="D359">
        <v>62.8</v>
      </c>
      <c r="E359">
        <v>58.5</v>
      </c>
    </row>
    <row r="360" spans="1:5" x14ac:dyDescent="0.2">
      <c r="A360" s="75">
        <v>28065</v>
      </c>
      <c r="B360">
        <v>58.1</v>
      </c>
      <c r="C360">
        <v>46.8</v>
      </c>
      <c r="D360">
        <v>62.8</v>
      </c>
      <c r="E360">
        <v>58.7</v>
      </c>
    </row>
    <row r="361" spans="1:5" x14ac:dyDescent="0.2">
      <c r="A361" s="75">
        <v>28095</v>
      </c>
      <c r="B361">
        <v>58.4</v>
      </c>
      <c r="C361">
        <v>47.5</v>
      </c>
      <c r="D361">
        <v>62.9</v>
      </c>
      <c r="E361">
        <v>58.9</v>
      </c>
    </row>
    <row r="362" spans="1:5" x14ac:dyDescent="0.2">
      <c r="A362" s="75">
        <v>28126</v>
      </c>
      <c r="B362">
        <v>58.7</v>
      </c>
      <c r="C362">
        <v>48.1</v>
      </c>
      <c r="D362">
        <v>63.1</v>
      </c>
      <c r="E362">
        <v>59.3</v>
      </c>
    </row>
    <row r="363" spans="1:5" x14ac:dyDescent="0.2">
      <c r="A363" s="75">
        <v>28157</v>
      </c>
      <c r="B363">
        <v>59.3</v>
      </c>
      <c r="C363">
        <v>48.1</v>
      </c>
      <c r="D363">
        <v>64.2</v>
      </c>
      <c r="E363">
        <v>59.7</v>
      </c>
    </row>
    <row r="364" spans="1:5" x14ac:dyDescent="0.2">
      <c r="A364" s="75">
        <v>28185</v>
      </c>
      <c r="B364">
        <v>59.6</v>
      </c>
      <c r="C364">
        <v>48.4</v>
      </c>
      <c r="D364">
        <v>64.5</v>
      </c>
      <c r="E364">
        <v>60</v>
      </c>
    </row>
    <row r="365" spans="1:5" x14ac:dyDescent="0.2">
      <c r="A365" s="75">
        <v>28216</v>
      </c>
      <c r="B365">
        <v>60</v>
      </c>
      <c r="C365">
        <v>48.6</v>
      </c>
      <c r="D365">
        <v>65.2</v>
      </c>
      <c r="E365">
        <v>60.3</v>
      </c>
    </row>
    <row r="366" spans="1:5" x14ac:dyDescent="0.2">
      <c r="A366" s="75">
        <v>28246</v>
      </c>
      <c r="B366">
        <v>60.2</v>
      </c>
      <c r="C366">
        <v>48.9</v>
      </c>
      <c r="D366">
        <v>65.5</v>
      </c>
      <c r="E366">
        <v>60.6</v>
      </c>
    </row>
    <row r="367" spans="1:5" x14ac:dyDescent="0.2">
      <c r="A367" s="75">
        <v>28277</v>
      </c>
      <c r="B367">
        <v>60.5</v>
      </c>
      <c r="C367">
        <v>48.9</v>
      </c>
      <c r="D367">
        <v>65.900000000000006</v>
      </c>
      <c r="E367">
        <v>61</v>
      </c>
    </row>
    <row r="368" spans="1:5" x14ac:dyDescent="0.2">
      <c r="A368" s="75">
        <v>28307</v>
      </c>
      <c r="B368">
        <v>60.8</v>
      </c>
      <c r="C368">
        <v>49.1</v>
      </c>
      <c r="D368">
        <v>66.099999999999994</v>
      </c>
      <c r="E368">
        <v>61.2</v>
      </c>
    </row>
    <row r="369" spans="1:5" x14ac:dyDescent="0.2">
      <c r="A369" s="75">
        <v>28338</v>
      </c>
      <c r="B369">
        <v>61.1</v>
      </c>
      <c r="C369">
        <v>49.5</v>
      </c>
      <c r="D369">
        <v>66.400000000000006</v>
      </c>
      <c r="E369">
        <v>61.5</v>
      </c>
    </row>
    <row r="370" spans="1:5" x14ac:dyDescent="0.2">
      <c r="A370" s="75">
        <v>28369</v>
      </c>
      <c r="B370">
        <v>61.3</v>
      </c>
      <c r="C370">
        <v>49.8</v>
      </c>
      <c r="D370">
        <v>66.599999999999994</v>
      </c>
      <c r="E370">
        <v>61.8</v>
      </c>
    </row>
    <row r="371" spans="1:5" x14ac:dyDescent="0.2">
      <c r="A371" s="75">
        <v>28399</v>
      </c>
      <c r="B371">
        <v>61.6</v>
      </c>
      <c r="C371">
        <v>50.5</v>
      </c>
      <c r="D371">
        <v>66.8</v>
      </c>
      <c r="E371">
        <v>62</v>
      </c>
    </row>
    <row r="372" spans="1:5" x14ac:dyDescent="0.2">
      <c r="A372" s="75">
        <v>28430</v>
      </c>
      <c r="B372">
        <v>62</v>
      </c>
      <c r="C372">
        <v>51.3</v>
      </c>
      <c r="D372">
        <v>67.400000000000006</v>
      </c>
      <c r="E372">
        <v>62.3</v>
      </c>
    </row>
    <row r="373" spans="1:5" x14ac:dyDescent="0.2">
      <c r="A373" s="75">
        <v>28460</v>
      </c>
      <c r="B373">
        <v>62.3</v>
      </c>
      <c r="C373">
        <v>51.6</v>
      </c>
      <c r="D373">
        <v>67.5</v>
      </c>
      <c r="E373">
        <v>62.7</v>
      </c>
    </row>
    <row r="374" spans="1:5" x14ac:dyDescent="0.2">
      <c r="A374" s="75">
        <v>28491</v>
      </c>
      <c r="B374">
        <v>62.7</v>
      </c>
      <c r="C374">
        <v>51.1</v>
      </c>
      <c r="D374">
        <v>68.099999999999994</v>
      </c>
      <c r="E374">
        <v>63.1</v>
      </c>
    </row>
    <row r="375" spans="1:5" x14ac:dyDescent="0.2">
      <c r="A375" s="75">
        <v>28522</v>
      </c>
      <c r="B375">
        <v>63</v>
      </c>
      <c r="C375">
        <v>50.6</v>
      </c>
      <c r="D375">
        <v>68.8</v>
      </c>
      <c r="E375">
        <v>63.4</v>
      </c>
    </row>
    <row r="376" spans="1:5" x14ac:dyDescent="0.2">
      <c r="A376" s="75">
        <v>28550</v>
      </c>
      <c r="B376">
        <v>63.4</v>
      </c>
      <c r="C376">
        <v>51</v>
      </c>
      <c r="D376">
        <v>69.599999999999994</v>
      </c>
      <c r="E376">
        <v>63.8</v>
      </c>
    </row>
    <row r="377" spans="1:5" x14ac:dyDescent="0.2">
      <c r="A377" s="75">
        <v>28581</v>
      </c>
      <c r="B377">
        <v>63.9</v>
      </c>
      <c r="C377">
        <v>51.4</v>
      </c>
      <c r="D377">
        <v>70.7</v>
      </c>
      <c r="E377">
        <v>64.3</v>
      </c>
    </row>
    <row r="378" spans="1:5" x14ac:dyDescent="0.2">
      <c r="A378" s="75">
        <v>28611</v>
      </c>
      <c r="B378">
        <v>64.5</v>
      </c>
      <c r="C378">
        <v>51.7</v>
      </c>
      <c r="D378">
        <v>71.7</v>
      </c>
      <c r="E378">
        <v>64.7</v>
      </c>
    </row>
    <row r="379" spans="1:5" x14ac:dyDescent="0.2">
      <c r="A379" s="75">
        <v>28642</v>
      </c>
      <c r="B379">
        <v>65</v>
      </c>
      <c r="C379">
        <v>51.9</v>
      </c>
      <c r="D379">
        <v>72.8</v>
      </c>
      <c r="E379">
        <v>65.2</v>
      </c>
    </row>
    <row r="380" spans="1:5" x14ac:dyDescent="0.2">
      <c r="A380" s="75">
        <v>28672</v>
      </c>
      <c r="B380">
        <v>65.5</v>
      </c>
      <c r="C380">
        <v>52.1</v>
      </c>
      <c r="D380">
        <v>73.099999999999994</v>
      </c>
      <c r="E380">
        <v>65.599999999999994</v>
      </c>
    </row>
    <row r="381" spans="1:5" x14ac:dyDescent="0.2">
      <c r="A381" s="75">
        <v>28703</v>
      </c>
      <c r="B381">
        <v>65.900000000000006</v>
      </c>
      <c r="C381">
        <v>52.6</v>
      </c>
      <c r="D381">
        <v>73.400000000000006</v>
      </c>
      <c r="E381">
        <v>66.099999999999994</v>
      </c>
    </row>
    <row r="382" spans="1:5" x14ac:dyDescent="0.2">
      <c r="A382" s="75">
        <v>28734</v>
      </c>
      <c r="B382">
        <v>66.5</v>
      </c>
      <c r="C382">
        <v>53.2</v>
      </c>
      <c r="D382">
        <v>73.7</v>
      </c>
      <c r="E382">
        <v>66.7</v>
      </c>
    </row>
    <row r="383" spans="1:5" x14ac:dyDescent="0.2">
      <c r="A383" s="75">
        <v>28764</v>
      </c>
      <c r="B383">
        <v>67.099999999999994</v>
      </c>
      <c r="C383">
        <v>54.1</v>
      </c>
      <c r="D383">
        <v>74.3</v>
      </c>
      <c r="E383">
        <v>67.2</v>
      </c>
    </row>
    <row r="384" spans="1:5" x14ac:dyDescent="0.2">
      <c r="A384" s="75">
        <v>28795</v>
      </c>
      <c r="B384">
        <v>67.5</v>
      </c>
      <c r="C384">
        <v>54.9</v>
      </c>
      <c r="D384">
        <v>74.8</v>
      </c>
      <c r="E384">
        <v>67.599999999999994</v>
      </c>
    </row>
    <row r="385" spans="1:5" x14ac:dyDescent="0.2">
      <c r="A385" s="75">
        <v>28825</v>
      </c>
      <c r="B385">
        <v>67.900000000000006</v>
      </c>
      <c r="C385">
        <v>55.9</v>
      </c>
      <c r="D385">
        <v>75.2</v>
      </c>
      <c r="E385">
        <v>68</v>
      </c>
    </row>
    <row r="386" spans="1:5" x14ac:dyDescent="0.2">
      <c r="A386" s="75">
        <v>28856</v>
      </c>
      <c r="B386">
        <v>68.5</v>
      </c>
      <c r="C386">
        <v>55.8</v>
      </c>
      <c r="D386">
        <v>76.5</v>
      </c>
      <c r="E386">
        <v>68.5</v>
      </c>
    </row>
    <row r="387" spans="1:5" x14ac:dyDescent="0.2">
      <c r="A387" s="75">
        <v>28887</v>
      </c>
      <c r="B387">
        <v>69.2</v>
      </c>
      <c r="C387">
        <v>55.9</v>
      </c>
      <c r="D387">
        <v>77.7</v>
      </c>
      <c r="E387">
        <v>69.2</v>
      </c>
    </row>
    <row r="388" spans="1:5" x14ac:dyDescent="0.2">
      <c r="A388" s="75">
        <v>28915</v>
      </c>
      <c r="B388">
        <v>69.900000000000006</v>
      </c>
      <c r="C388">
        <v>57.4</v>
      </c>
      <c r="D388">
        <v>78.400000000000006</v>
      </c>
      <c r="E388">
        <v>69.8</v>
      </c>
    </row>
    <row r="389" spans="1:5" x14ac:dyDescent="0.2">
      <c r="A389" s="75">
        <v>28946</v>
      </c>
      <c r="B389">
        <v>70.599999999999994</v>
      </c>
      <c r="C389">
        <v>59.5</v>
      </c>
      <c r="D389">
        <v>78.900000000000006</v>
      </c>
      <c r="E389">
        <v>70.3</v>
      </c>
    </row>
    <row r="390" spans="1:5" x14ac:dyDescent="0.2">
      <c r="A390" s="75">
        <v>28976</v>
      </c>
      <c r="B390">
        <v>71.400000000000006</v>
      </c>
      <c r="C390">
        <v>62</v>
      </c>
      <c r="D390">
        <v>79.7</v>
      </c>
      <c r="E390">
        <v>70.8</v>
      </c>
    </row>
    <row r="391" spans="1:5" x14ac:dyDescent="0.2">
      <c r="A391" s="75">
        <v>29007</v>
      </c>
      <c r="B391">
        <v>72.2</v>
      </c>
      <c r="C391">
        <v>64.7</v>
      </c>
      <c r="D391">
        <v>80</v>
      </c>
      <c r="E391">
        <v>71.3</v>
      </c>
    </row>
    <row r="392" spans="1:5" x14ac:dyDescent="0.2">
      <c r="A392" s="75">
        <v>29037</v>
      </c>
      <c r="B392">
        <v>73</v>
      </c>
      <c r="C392">
        <v>67.3</v>
      </c>
      <c r="D392">
        <v>80.400000000000006</v>
      </c>
      <c r="E392">
        <v>71.900000000000006</v>
      </c>
    </row>
    <row r="393" spans="1:5" x14ac:dyDescent="0.2">
      <c r="A393" s="75">
        <v>29068</v>
      </c>
      <c r="B393">
        <v>73.7</v>
      </c>
      <c r="C393">
        <v>69.7</v>
      </c>
      <c r="D393">
        <v>80.3</v>
      </c>
      <c r="E393">
        <v>72.7</v>
      </c>
    </row>
    <row r="394" spans="1:5" x14ac:dyDescent="0.2">
      <c r="A394" s="75">
        <v>29099</v>
      </c>
      <c r="B394">
        <v>74.400000000000006</v>
      </c>
      <c r="C394">
        <v>71.900000000000006</v>
      </c>
      <c r="D394">
        <v>80.900000000000006</v>
      </c>
      <c r="E394">
        <v>73.3</v>
      </c>
    </row>
    <row r="395" spans="1:5" x14ac:dyDescent="0.2">
      <c r="A395" s="75">
        <v>29129</v>
      </c>
      <c r="B395">
        <v>75.2</v>
      </c>
      <c r="C395">
        <v>73.5</v>
      </c>
      <c r="D395">
        <v>81.5</v>
      </c>
      <c r="E395">
        <v>74</v>
      </c>
    </row>
    <row r="396" spans="1:5" x14ac:dyDescent="0.2">
      <c r="A396" s="75">
        <v>29160</v>
      </c>
      <c r="B396">
        <v>76</v>
      </c>
      <c r="C396">
        <v>74.8</v>
      </c>
      <c r="D396">
        <v>82.1</v>
      </c>
      <c r="E396">
        <v>74.8</v>
      </c>
    </row>
    <row r="397" spans="1:5" x14ac:dyDescent="0.2">
      <c r="A397" s="75">
        <v>29190</v>
      </c>
      <c r="B397">
        <v>76.900000000000006</v>
      </c>
      <c r="C397">
        <v>76.8</v>
      </c>
      <c r="D397">
        <v>82.8</v>
      </c>
      <c r="E397">
        <v>75.7</v>
      </c>
    </row>
    <row r="398" spans="1:5" x14ac:dyDescent="0.2">
      <c r="A398" s="75">
        <v>29221</v>
      </c>
      <c r="B398">
        <v>78</v>
      </c>
      <c r="C398">
        <v>79.099999999999994</v>
      </c>
      <c r="D398">
        <v>83.3</v>
      </c>
      <c r="E398">
        <v>76.7</v>
      </c>
    </row>
    <row r="399" spans="1:5" x14ac:dyDescent="0.2">
      <c r="A399" s="75">
        <v>29252</v>
      </c>
      <c r="B399">
        <v>79</v>
      </c>
      <c r="C399">
        <v>81.900000000000006</v>
      </c>
      <c r="D399">
        <v>83.4</v>
      </c>
      <c r="E399">
        <v>77.5</v>
      </c>
    </row>
    <row r="400" spans="1:5" x14ac:dyDescent="0.2">
      <c r="A400" s="75">
        <v>29281</v>
      </c>
      <c r="B400">
        <v>80.099999999999994</v>
      </c>
      <c r="C400">
        <v>84.5</v>
      </c>
      <c r="D400">
        <v>84.1</v>
      </c>
      <c r="E400">
        <v>78.599999999999994</v>
      </c>
    </row>
    <row r="401" spans="1:5" x14ac:dyDescent="0.2">
      <c r="A401" s="75">
        <v>29312</v>
      </c>
      <c r="B401">
        <v>80.900000000000006</v>
      </c>
      <c r="C401">
        <v>85.4</v>
      </c>
      <c r="D401">
        <v>84.6</v>
      </c>
      <c r="E401">
        <v>79.5</v>
      </c>
    </row>
    <row r="402" spans="1:5" x14ac:dyDescent="0.2">
      <c r="A402" s="75">
        <v>29342</v>
      </c>
      <c r="B402">
        <v>81.7</v>
      </c>
      <c r="C402">
        <v>86.4</v>
      </c>
      <c r="D402">
        <v>85.2</v>
      </c>
      <c r="E402">
        <v>80.099999999999994</v>
      </c>
    </row>
    <row r="403" spans="1:5" x14ac:dyDescent="0.2">
      <c r="A403" s="75">
        <v>29373</v>
      </c>
      <c r="B403">
        <v>82.5</v>
      </c>
      <c r="C403">
        <v>86.5</v>
      </c>
      <c r="D403">
        <v>85.7</v>
      </c>
      <c r="E403">
        <v>81</v>
      </c>
    </row>
    <row r="404" spans="1:5" x14ac:dyDescent="0.2">
      <c r="A404" s="75">
        <v>29403</v>
      </c>
      <c r="B404">
        <v>82.6</v>
      </c>
      <c r="C404">
        <v>86.7</v>
      </c>
      <c r="D404">
        <v>86.5</v>
      </c>
      <c r="E404">
        <v>80.8</v>
      </c>
    </row>
    <row r="405" spans="1:5" x14ac:dyDescent="0.2">
      <c r="A405" s="75">
        <v>29434</v>
      </c>
      <c r="B405">
        <v>83.2</v>
      </c>
      <c r="C405">
        <v>87.2</v>
      </c>
      <c r="D405">
        <v>87.9</v>
      </c>
      <c r="E405">
        <v>81.3</v>
      </c>
    </row>
    <row r="406" spans="1:5" x14ac:dyDescent="0.2">
      <c r="A406" s="75">
        <v>29465</v>
      </c>
      <c r="B406">
        <v>83.9</v>
      </c>
      <c r="C406">
        <v>87.5</v>
      </c>
      <c r="D406">
        <v>88.9</v>
      </c>
      <c r="E406">
        <v>82.1</v>
      </c>
    </row>
    <row r="407" spans="1:5" x14ac:dyDescent="0.2">
      <c r="A407" s="75">
        <v>29495</v>
      </c>
      <c r="B407">
        <v>84.7</v>
      </c>
      <c r="C407">
        <v>88</v>
      </c>
      <c r="D407">
        <v>89.6</v>
      </c>
      <c r="E407">
        <v>83</v>
      </c>
    </row>
    <row r="408" spans="1:5" x14ac:dyDescent="0.2">
      <c r="A408" s="75">
        <v>29526</v>
      </c>
      <c r="B408">
        <v>85.6</v>
      </c>
      <c r="C408">
        <v>88.8</v>
      </c>
      <c r="D408">
        <v>90.6</v>
      </c>
      <c r="E408">
        <v>83.9</v>
      </c>
    </row>
    <row r="409" spans="1:5" x14ac:dyDescent="0.2">
      <c r="A409" s="75">
        <v>29556</v>
      </c>
      <c r="B409">
        <v>86.4</v>
      </c>
      <c r="C409">
        <v>90.7</v>
      </c>
      <c r="D409">
        <v>91.2</v>
      </c>
      <c r="E409">
        <v>84.9</v>
      </c>
    </row>
    <row r="410" spans="1:5" x14ac:dyDescent="0.2">
      <c r="A410" s="75">
        <v>29587</v>
      </c>
      <c r="B410">
        <v>87.2</v>
      </c>
      <c r="C410">
        <v>92.1</v>
      </c>
      <c r="D410">
        <v>91.5</v>
      </c>
      <c r="E410">
        <v>85.4</v>
      </c>
    </row>
    <row r="411" spans="1:5" x14ac:dyDescent="0.2">
      <c r="A411" s="75">
        <v>29618</v>
      </c>
      <c r="B411">
        <v>88</v>
      </c>
      <c r="C411">
        <v>95.2</v>
      </c>
      <c r="D411">
        <v>92</v>
      </c>
      <c r="E411">
        <v>85.9</v>
      </c>
    </row>
    <row r="412" spans="1:5" x14ac:dyDescent="0.2">
      <c r="A412" s="75">
        <v>29646</v>
      </c>
      <c r="B412">
        <v>88.6</v>
      </c>
      <c r="C412">
        <v>97.4</v>
      </c>
      <c r="D412">
        <v>92.5</v>
      </c>
      <c r="E412">
        <v>86.4</v>
      </c>
    </row>
    <row r="413" spans="1:5" x14ac:dyDescent="0.2">
      <c r="A413" s="75">
        <v>29677</v>
      </c>
      <c r="B413">
        <v>89.1</v>
      </c>
      <c r="C413">
        <v>97.6</v>
      </c>
      <c r="D413">
        <v>92.6</v>
      </c>
      <c r="E413">
        <v>87</v>
      </c>
    </row>
    <row r="414" spans="1:5" x14ac:dyDescent="0.2">
      <c r="A414" s="75">
        <v>29707</v>
      </c>
      <c r="B414">
        <v>89.7</v>
      </c>
      <c r="C414">
        <v>97.9</v>
      </c>
      <c r="D414">
        <v>92.7</v>
      </c>
      <c r="E414">
        <v>87.8</v>
      </c>
    </row>
    <row r="415" spans="1:5" x14ac:dyDescent="0.2">
      <c r="A415" s="75">
        <v>29738</v>
      </c>
      <c r="B415">
        <v>90.5</v>
      </c>
      <c r="C415">
        <v>97.3</v>
      </c>
      <c r="D415">
        <v>93.1</v>
      </c>
      <c r="E415">
        <v>88.6</v>
      </c>
    </row>
    <row r="416" spans="1:5" x14ac:dyDescent="0.2">
      <c r="A416" s="75">
        <v>29768</v>
      </c>
      <c r="B416">
        <v>91.5</v>
      </c>
      <c r="C416">
        <v>97.3</v>
      </c>
      <c r="D416">
        <v>93.8</v>
      </c>
      <c r="E416">
        <v>89.8</v>
      </c>
    </row>
    <row r="417" spans="1:5" x14ac:dyDescent="0.2">
      <c r="A417" s="75">
        <v>29799</v>
      </c>
      <c r="B417">
        <v>92.2</v>
      </c>
      <c r="C417">
        <v>97.8</v>
      </c>
      <c r="D417">
        <v>94.3</v>
      </c>
      <c r="E417">
        <v>90.7</v>
      </c>
    </row>
    <row r="418" spans="1:5" x14ac:dyDescent="0.2">
      <c r="A418" s="75">
        <v>29830</v>
      </c>
      <c r="B418">
        <v>93.1</v>
      </c>
      <c r="C418">
        <v>98.6</v>
      </c>
      <c r="D418">
        <v>94.7</v>
      </c>
      <c r="E418">
        <v>91.8</v>
      </c>
    </row>
    <row r="419" spans="1:5" x14ac:dyDescent="0.2">
      <c r="A419" s="75">
        <v>29860</v>
      </c>
      <c r="B419">
        <v>93.4</v>
      </c>
      <c r="C419">
        <v>99.2</v>
      </c>
      <c r="D419">
        <v>94.8</v>
      </c>
      <c r="E419">
        <v>92.1</v>
      </c>
    </row>
    <row r="420" spans="1:5" x14ac:dyDescent="0.2">
      <c r="A420" s="75">
        <v>29891</v>
      </c>
      <c r="B420">
        <v>93.8</v>
      </c>
      <c r="C420">
        <v>100.5</v>
      </c>
      <c r="D420">
        <v>95</v>
      </c>
      <c r="E420">
        <v>92.5</v>
      </c>
    </row>
    <row r="421" spans="1:5" x14ac:dyDescent="0.2">
      <c r="A421" s="75">
        <v>29921</v>
      </c>
      <c r="B421">
        <v>94.1</v>
      </c>
      <c r="C421">
        <v>101.5</v>
      </c>
      <c r="D421">
        <v>95.2</v>
      </c>
      <c r="E421">
        <v>93</v>
      </c>
    </row>
    <row r="422" spans="1:5" x14ac:dyDescent="0.2">
      <c r="A422" s="75">
        <v>29952</v>
      </c>
      <c r="B422">
        <v>94.4</v>
      </c>
      <c r="C422">
        <v>100.6</v>
      </c>
      <c r="D422">
        <v>95.5</v>
      </c>
      <c r="E422">
        <v>93.3</v>
      </c>
    </row>
    <row r="423" spans="1:5" x14ac:dyDescent="0.2">
      <c r="A423" s="75">
        <v>29983</v>
      </c>
      <c r="B423">
        <v>94.7</v>
      </c>
      <c r="C423">
        <v>98</v>
      </c>
      <c r="D423">
        <v>96.2</v>
      </c>
      <c r="E423">
        <v>93.8</v>
      </c>
    </row>
    <row r="424" spans="1:5" x14ac:dyDescent="0.2">
      <c r="A424" s="75">
        <v>30011</v>
      </c>
      <c r="B424">
        <v>94.7</v>
      </c>
      <c r="C424">
        <v>96.6</v>
      </c>
      <c r="D424">
        <v>96.1</v>
      </c>
      <c r="E424">
        <v>93.9</v>
      </c>
    </row>
    <row r="425" spans="1:5" x14ac:dyDescent="0.2">
      <c r="A425" s="75">
        <v>30042</v>
      </c>
      <c r="B425">
        <v>95</v>
      </c>
      <c r="C425">
        <v>94.2</v>
      </c>
      <c r="D425">
        <v>96.3</v>
      </c>
      <c r="E425">
        <v>94.7</v>
      </c>
    </row>
    <row r="426" spans="1:5" x14ac:dyDescent="0.2">
      <c r="A426" s="75">
        <v>30072</v>
      </c>
      <c r="B426">
        <v>95.9</v>
      </c>
      <c r="C426">
        <v>95.7</v>
      </c>
      <c r="D426">
        <v>97.1</v>
      </c>
      <c r="E426">
        <v>95.4</v>
      </c>
    </row>
    <row r="427" spans="1:5" x14ac:dyDescent="0.2">
      <c r="A427" s="75">
        <v>30103</v>
      </c>
      <c r="B427">
        <v>97</v>
      </c>
      <c r="C427">
        <v>98.4</v>
      </c>
      <c r="D427">
        <v>98</v>
      </c>
      <c r="E427">
        <v>96.1</v>
      </c>
    </row>
    <row r="428" spans="1:5" x14ac:dyDescent="0.2">
      <c r="A428" s="75">
        <v>30133</v>
      </c>
      <c r="B428">
        <v>97.5</v>
      </c>
      <c r="C428">
        <v>99.3</v>
      </c>
      <c r="D428">
        <v>98.1</v>
      </c>
      <c r="E428">
        <v>96.7</v>
      </c>
    </row>
    <row r="429" spans="1:5" x14ac:dyDescent="0.2">
      <c r="A429" s="75">
        <v>30164</v>
      </c>
      <c r="B429">
        <v>97.7</v>
      </c>
      <c r="C429">
        <v>99.8</v>
      </c>
      <c r="D429">
        <v>97.9</v>
      </c>
      <c r="E429">
        <v>97.1</v>
      </c>
    </row>
    <row r="430" spans="1:5" x14ac:dyDescent="0.2">
      <c r="A430" s="75">
        <v>30195</v>
      </c>
      <c r="B430">
        <v>97.7</v>
      </c>
      <c r="C430">
        <v>100.3</v>
      </c>
      <c r="D430">
        <v>98</v>
      </c>
      <c r="E430">
        <v>97.2</v>
      </c>
    </row>
    <row r="431" spans="1:5" x14ac:dyDescent="0.2">
      <c r="A431" s="75">
        <v>30225</v>
      </c>
      <c r="B431">
        <v>98.1</v>
      </c>
      <c r="C431">
        <v>101.7</v>
      </c>
      <c r="D431">
        <v>98.1</v>
      </c>
      <c r="E431">
        <v>97.5</v>
      </c>
    </row>
    <row r="432" spans="1:5" x14ac:dyDescent="0.2">
      <c r="A432" s="75">
        <v>30256</v>
      </c>
      <c r="B432">
        <v>98</v>
      </c>
      <c r="C432">
        <v>102.5</v>
      </c>
      <c r="D432">
        <v>98.2</v>
      </c>
      <c r="E432">
        <v>97.3</v>
      </c>
    </row>
    <row r="433" spans="1:5" x14ac:dyDescent="0.2">
      <c r="A433" s="75">
        <v>30286</v>
      </c>
      <c r="B433">
        <v>97.7</v>
      </c>
      <c r="C433">
        <v>102.8</v>
      </c>
      <c r="D433">
        <v>98.1</v>
      </c>
      <c r="E433">
        <v>97.2</v>
      </c>
    </row>
    <row r="434" spans="1:5" x14ac:dyDescent="0.2">
      <c r="A434" s="75">
        <v>30317</v>
      </c>
      <c r="B434">
        <v>97.9</v>
      </c>
      <c r="C434">
        <v>99.6</v>
      </c>
      <c r="D434">
        <v>98</v>
      </c>
      <c r="E434">
        <v>97.6</v>
      </c>
    </row>
    <row r="435" spans="1:5" x14ac:dyDescent="0.2">
      <c r="A435" s="75">
        <v>30348</v>
      </c>
      <c r="B435">
        <v>98</v>
      </c>
      <c r="C435">
        <v>97.7</v>
      </c>
      <c r="D435">
        <v>98.2</v>
      </c>
      <c r="E435">
        <v>98</v>
      </c>
    </row>
    <row r="436" spans="1:5" x14ac:dyDescent="0.2">
      <c r="A436" s="75">
        <v>30376</v>
      </c>
      <c r="B436">
        <v>98.1</v>
      </c>
      <c r="C436">
        <v>96.8</v>
      </c>
      <c r="D436">
        <v>98.8</v>
      </c>
      <c r="E436">
        <v>98.2</v>
      </c>
    </row>
    <row r="437" spans="1:5" x14ac:dyDescent="0.2">
      <c r="A437" s="75">
        <v>30407</v>
      </c>
      <c r="B437">
        <v>98.8</v>
      </c>
      <c r="C437">
        <v>98.9</v>
      </c>
      <c r="D437">
        <v>99.2</v>
      </c>
      <c r="E437">
        <v>98.6</v>
      </c>
    </row>
    <row r="438" spans="1:5" x14ac:dyDescent="0.2">
      <c r="A438" s="75">
        <v>30437</v>
      </c>
      <c r="B438">
        <v>99.2</v>
      </c>
      <c r="C438">
        <v>100.4</v>
      </c>
      <c r="D438">
        <v>99.5</v>
      </c>
      <c r="E438">
        <v>98.9</v>
      </c>
    </row>
    <row r="439" spans="1:5" x14ac:dyDescent="0.2">
      <c r="A439" s="75">
        <v>30468</v>
      </c>
      <c r="B439">
        <v>99.4</v>
      </c>
      <c r="C439">
        <v>100.6</v>
      </c>
      <c r="D439">
        <v>99.6</v>
      </c>
      <c r="E439">
        <v>99.2</v>
      </c>
    </row>
    <row r="440" spans="1:5" x14ac:dyDescent="0.2">
      <c r="A440" s="75">
        <v>30498</v>
      </c>
      <c r="B440">
        <v>99.8</v>
      </c>
      <c r="C440">
        <v>100.9</v>
      </c>
      <c r="D440">
        <v>99.6</v>
      </c>
      <c r="E440">
        <v>99.8</v>
      </c>
    </row>
    <row r="441" spans="1:5" x14ac:dyDescent="0.2">
      <c r="A441" s="75">
        <v>30529</v>
      </c>
      <c r="B441">
        <v>100.1</v>
      </c>
      <c r="C441">
        <v>101.2</v>
      </c>
      <c r="D441">
        <v>99.6</v>
      </c>
      <c r="E441">
        <v>100.1</v>
      </c>
    </row>
    <row r="442" spans="1:5" x14ac:dyDescent="0.2">
      <c r="A442" s="75">
        <v>30560</v>
      </c>
      <c r="B442">
        <v>100.4</v>
      </c>
      <c r="C442">
        <v>101</v>
      </c>
      <c r="D442">
        <v>100</v>
      </c>
      <c r="E442">
        <v>100.5</v>
      </c>
    </row>
    <row r="443" spans="1:5" x14ac:dyDescent="0.2">
      <c r="A443" s="75">
        <v>30590</v>
      </c>
      <c r="B443">
        <v>100.8</v>
      </c>
      <c r="C443">
        <v>100.8</v>
      </c>
      <c r="D443">
        <v>100.3</v>
      </c>
      <c r="E443">
        <v>101</v>
      </c>
    </row>
    <row r="444" spans="1:5" x14ac:dyDescent="0.2">
      <c r="A444" s="75">
        <v>30621</v>
      </c>
      <c r="B444">
        <v>101.1</v>
      </c>
      <c r="C444">
        <v>100.5</v>
      </c>
      <c r="D444">
        <v>100.3</v>
      </c>
      <c r="E444">
        <v>101.5</v>
      </c>
    </row>
    <row r="445" spans="1:5" x14ac:dyDescent="0.2">
      <c r="A445" s="75">
        <v>30651</v>
      </c>
      <c r="B445">
        <v>101.4</v>
      </c>
      <c r="C445">
        <v>100</v>
      </c>
      <c r="D445">
        <v>100.6</v>
      </c>
      <c r="E445">
        <v>101.8</v>
      </c>
    </row>
    <row r="446" spans="1:5" x14ac:dyDescent="0.2">
      <c r="A446" s="75">
        <v>30682</v>
      </c>
      <c r="B446">
        <v>102.1</v>
      </c>
      <c r="C446">
        <v>100.2</v>
      </c>
      <c r="D446">
        <v>101.9</v>
      </c>
      <c r="E446">
        <v>102.5</v>
      </c>
    </row>
    <row r="447" spans="1:5" x14ac:dyDescent="0.2">
      <c r="A447" s="75">
        <v>30713</v>
      </c>
      <c r="B447">
        <v>102.6</v>
      </c>
      <c r="C447">
        <v>101.4</v>
      </c>
      <c r="D447">
        <v>102.5</v>
      </c>
      <c r="E447">
        <v>102.8</v>
      </c>
    </row>
    <row r="448" spans="1:5" x14ac:dyDescent="0.2">
      <c r="A448" s="75">
        <v>30742</v>
      </c>
      <c r="B448">
        <v>102.9</v>
      </c>
      <c r="C448">
        <v>101.4</v>
      </c>
      <c r="D448">
        <v>102.8</v>
      </c>
      <c r="E448">
        <v>103.2</v>
      </c>
    </row>
    <row r="449" spans="1:5" x14ac:dyDescent="0.2">
      <c r="A449" s="75">
        <v>30773</v>
      </c>
      <c r="B449">
        <v>103.3</v>
      </c>
      <c r="C449">
        <v>101.7</v>
      </c>
      <c r="D449">
        <v>102.8</v>
      </c>
      <c r="E449">
        <v>103.7</v>
      </c>
    </row>
    <row r="450" spans="1:5" x14ac:dyDescent="0.2">
      <c r="A450" s="75">
        <v>30803</v>
      </c>
      <c r="B450">
        <v>103.5</v>
      </c>
      <c r="C450">
        <v>101.6</v>
      </c>
      <c r="D450">
        <v>102.6</v>
      </c>
      <c r="E450">
        <v>104.1</v>
      </c>
    </row>
    <row r="451" spans="1:5" x14ac:dyDescent="0.2">
      <c r="A451" s="75">
        <v>30834</v>
      </c>
      <c r="B451">
        <v>103.7</v>
      </c>
      <c r="C451">
        <v>100.8</v>
      </c>
      <c r="D451">
        <v>103</v>
      </c>
      <c r="E451">
        <v>104.5</v>
      </c>
    </row>
    <row r="452" spans="1:5" x14ac:dyDescent="0.2">
      <c r="A452" s="75">
        <v>30864</v>
      </c>
      <c r="B452">
        <v>104.1</v>
      </c>
      <c r="C452">
        <v>100.5</v>
      </c>
      <c r="D452">
        <v>103.2</v>
      </c>
      <c r="E452">
        <v>105</v>
      </c>
    </row>
    <row r="453" spans="1:5" x14ac:dyDescent="0.2">
      <c r="A453" s="75">
        <v>30895</v>
      </c>
      <c r="B453">
        <v>104.4</v>
      </c>
      <c r="C453">
        <v>100.1</v>
      </c>
      <c r="D453">
        <v>103.8</v>
      </c>
      <c r="E453">
        <v>105.4</v>
      </c>
    </row>
    <row r="454" spans="1:5" x14ac:dyDescent="0.2">
      <c r="A454" s="75">
        <v>30926</v>
      </c>
      <c r="B454">
        <v>104.7</v>
      </c>
      <c r="C454">
        <v>100.6</v>
      </c>
      <c r="D454">
        <v>103.7</v>
      </c>
      <c r="E454">
        <v>105.8</v>
      </c>
    </row>
    <row r="455" spans="1:5" x14ac:dyDescent="0.2">
      <c r="A455" s="75">
        <v>30956</v>
      </c>
      <c r="B455">
        <v>105.1</v>
      </c>
      <c r="C455">
        <v>101.1</v>
      </c>
      <c r="D455">
        <v>103.9</v>
      </c>
      <c r="E455">
        <v>106.2</v>
      </c>
    </row>
    <row r="456" spans="1:5" x14ac:dyDescent="0.2">
      <c r="A456" s="75">
        <v>30987</v>
      </c>
      <c r="B456">
        <v>105.3</v>
      </c>
      <c r="C456">
        <v>100.8</v>
      </c>
      <c r="D456">
        <v>104</v>
      </c>
      <c r="E456">
        <v>106.4</v>
      </c>
    </row>
    <row r="457" spans="1:5" x14ac:dyDescent="0.2">
      <c r="A457" s="75">
        <v>31017</v>
      </c>
      <c r="B457">
        <v>105.5</v>
      </c>
      <c r="C457">
        <v>100.1</v>
      </c>
      <c r="D457">
        <v>104.4</v>
      </c>
      <c r="E457">
        <v>106.8</v>
      </c>
    </row>
    <row r="458" spans="1:5" x14ac:dyDescent="0.2">
      <c r="A458" s="75">
        <v>31048</v>
      </c>
      <c r="B458">
        <v>105.7</v>
      </c>
      <c r="C458">
        <v>100.3</v>
      </c>
      <c r="D458">
        <v>104.5</v>
      </c>
      <c r="E458">
        <v>107.1</v>
      </c>
    </row>
    <row r="459" spans="1:5" x14ac:dyDescent="0.2">
      <c r="A459" s="75">
        <v>31079</v>
      </c>
      <c r="B459">
        <v>106.3</v>
      </c>
      <c r="C459">
        <v>100.3</v>
      </c>
      <c r="D459">
        <v>105</v>
      </c>
      <c r="E459">
        <v>107.7</v>
      </c>
    </row>
    <row r="460" spans="1:5" x14ac:dyDescent="0.2">
      <c r="A460" s="75">
        <v>31107</v>
      </c>
      <c r="B460">
        <v>106.8</v>
      </c>
      <c r="C460">
        <v>101.3</v>
      </c>
      <c r="D460">
        <v>105.4</v>
      </c>
      <c r="E460">
        <v>108.1</v>
      </c>
    </row>
    <row r="461" spans="1:5" x14ac:dyDescent="0.2">
      <c r="A461" s="75">
        <v>31138</v>
      </c>
      <c r="B461">
        <v>107</v>
      </c>
      <c r="C461">
        <v>102.3</v>
      </c>
      <c r="D461">
        <v>105.3</v>
      </c>
      <c r="E461">
        <v>108.4</v>
      </c>
    </row>
    <row r="462" spans="1:5" x14ac:dyDescent="0.2">
      <c r="A462" s="75">
        <v>31168</v>
      </c>
      <c r="B462">
        <v>107.2</v>
      </c>
      <c r="C462">
        <v>102.2</v>
      </c>
      <c r="D462">
        <v>105.1</v>
      </c>
      <c r="E462">
        <v>108.8</v>
      </c>
    </row>
    <row r="463" spans="1:5" x14ac:dyDescent="0.2">
      <c r="A463" s="75">
        <v>31199</v>
      </c>
      <c r="B463">
        <v>107.5</v>
      </c>
      <c r="C463">
        <v>102.2</v>
      </c>
      <c r="D463">
        <v>105.4</v>
      </c>
      <c r="E463">
        <v>109.1</v>
      </c>
    </row>
    <row r="464" spans="1:5" x14ac:dyDescent="0.2">
      <c r="A464" s="75">
        <v>31229</v>
      </c>
      <c r="B464">
        <v>107.7</v>
      </c>
      <c r="C464">
        <v>102.2</v>
      </c>
      <c r="D464">
        <v>105.4</v>
      </c>
      <c r="E464">
        <v>109.4</v>
      </c>
    </row>
    <row r="465" spans="1:5" x14ac:dyDescent="0.2">
      <c r="A465" s="75">
        <v>31260</v>
      </c>
      <c r="B465">
        <v>107.9</v>
      </c>
      <c r="C465">
        <v>101.2</v>
      </c>
      <c r="D465">
        <v>105.5</v>
      </c>
      <c r="E465">
        <v>109.8</v>
      </c>
    </row>
    <row r="466" spans="1:5" x14ac:dyDescent="0.2">
      <c r="A466" s="75">
        <v>31291</v>
      </c>
      <c r="B466">
        <v>108.1</v>
      </c>
      <c r="C466">
        <v>101.2</v>
      </c>
      <c r="D466">
        <v>105.7</v>
      </c>
      <c r="E466">
        <v>110</v>
      </c>
    </row>
    <row r="467" spans="1:5" x14ac:dyDescent="0.2">
      <c r="A467" s="75">
        <v>31321</v>
      </c>
      <c r="B467">
        <v>108.5</v>
      </c>
      <c r="C467">
        <v>101.2</v>
      </c>
      <c r="D467">
        <v>105.9</v>
      </c>
      <c r="E467">
        <v>110.5</v>
      </c>
    </row>
    <row r="468" spans="1:5" x14ac:dyDescent="0.2">
      <c r="A468" s="75">
        <v>31352</v>
      </c>
      <c r="B468">
        <v>109</v>
      </c>
      <c r="C468">
        <v>101.8</v>
      </c>
      <c r="D468">
        <v>106.5</v>
      </c>
      <c r="E468">
        <v>111.1</v>
      </c>
    </row>
    <row r="469" spans="1:5" x14ac:dyDescent="0.2">
      <c r="A469" s="75">
        <v>31382</v>
      </c>
      <c r="B469">
        <v>109.5</v>
      </c>
      <c r="C469">
        <v>102.4</v>
      </c>
      <c r="D469">
        <v>107.3</v>
      </c>
      <c r="E469">
        <v>111.4</v>
      </c>
    </row>
    <row r="470" spans="1:5" x14ac:dyDescent="0.2">
      <c r="A470" s="75">
        <v>31413</v>
      </c>
      <c r="B470">
        <v>109.9</v>
      </c>
      <c r="C470">
        <v>102.6</v>
      </c>
      <c r="D470">
        <v>107.5</v>
      </c>
      <c r="E470">
        <v>111.9</v>
      </c>
    </row>
    <row r="471" spans="1:5" x14ac:dyDescent="0.2">
      <c r="A471" s="75">
        <v>31444</v>
      </c>
      <c r="B471">
        <v>109.7</v>
      </c>
      <c r="C471">
        <v>99.5</v>
      </c>
      <c r="D471">
        <v>107.4</v>
      </c>
      <c r="E471">
        <v>112.2</v>
      </c>
    </row>
    <row r="472" spans="1:5" x14ac:dyDescent="0.2">
      <c r="A472" s="75">
        <v>31472</v>
      </c>
      <c r="B472">
        <v>109.1</v>
      </c>
      <c r="C472">
        <v>92.6</v>
      </c>
      <c r="D472">
        <v>107.6</v>
      </c>
      <c r="E472">
        <v>112.5</v>
      </c>
    </row>
    <row r="473" spans="1:5" x14ac:dyDescent="0.2">
      <c r="A473" s="75">
        <v>31503</v>
      </c>
      <c r="B473">
        <v>108.7</v>
      </c>
      <c r="C473">
        <v>87.2</v>
      </c>
      <c r="D473">
        <v>107.8</v>
      </c>
      <c r="E473">
        <v>112.9</v>
      </c>
    </row>
    <row r="474" spans="1:5" x14ac:dyDescent="0.2">
      <c r="A474" s="75">
        <v>31533</v>
      </c>
      <c r="B474">
        <v>109</v>
      </c>
      <c r="C474">
        <v>87.2</v>
      </c>
      <c r="D474">
        <v>108.2</v>
      </c>
      <c r="E474">
        <v>113.1</v>
      </c>
    </row>
    <row r="475" spans="1:5" x14ac:dyDescent="0.2">
      <c r="A475" s="75">
        <v>31564</v>
      </c>
      <c r="B475">
        <v>109.4</v>
      </c>
      <c r="C475">
        <v>88.8</v>
      </c>
      <c r="D475">
        <v>108.3</v>
      </c>
      <c r="E475">
        <v>113.4</v>
      </c>
    </row>
    <row r="476" spans="1:5" x14ac:dyDescent="0.2">
      <c r="A476" s="75">
        <v>31594</v>
      </c>
      <c r="B476">
        <v>109.5</v>
      </c>
      <c r="C476">
        <v>85.6</v>
      </c>
      <c r="D476">
        <v>109.1</v>
      </c>
      <c r="E476">
        <v>113.8</v>
      </c>
    </row>
    <row r="477" spans="1:5" x14ac:dyDescent="0.2">
      <c r="A477" s="75">
        <v>31625</v>
      </c>
      <c r="B477">
        <v>109.6</v>
      </c>
      <c r="C477">
        <v>83.6</v>
      </c>
      <c r="D477">
        <v>110</v>
      </c>
      <c r="E477">
        <v>114.2</v>
      </c>
    </row>
    <row r="478" spans="1:5" x14ac:dyDescent="0.2">
      <c r="A478" s="75">
        <v>31656</v>
      </c>
      <c r="B478">
        <v>110</v>
      </c>
      <c r="C478">
        <v>84.4</v>
      </c>
      <c r="D478">
        <v>110.1</v>
      </c>
      <c r="E478">
        <v>114.6</v>
      </c>
    </row>
    <row r="479" spans="1:5" x14ac:dyDescent="0.2">
      <c r="A479" s="75">
        <v>31686</v>
      </c>
      <c r="B479">
        <v>110.2</v>
      </c>
      <c r="C479">
        <v>82.8</v>
      </c>
      <c r="D479">
        <v>110.4</v>
      </c>
      <c r="E479">
        <v>115</v>
      </c>
    </row>
    <row r="480" spans="1:5" x14ac:dyDescent="0.2">
      <c r="A480" s="75">
        <v>31717</v>
      </c>
      <c r="B480">
        <v>110.4</v>
      </c>
      <c r="C480">
        <v>82.1</v>
      </c>
      <c r="D480">
        <v>111</v>
      </c>
      <c r="E480">
        <v>115.3</v>
      </c>
    </row>
    <row r="481" spans="1:5" x14ac:dyDescent="0.2">
      <c r="A481" s="75">
        <v>31747</v>
      </c>
      <c r="B481">
        <v>110.8</v>
      </c>
      <c r="C481">
        <v>82.5</v>
      </c>
      <c r="D481">
        <v>111.3</v>
      </c>
      <c r="E481">
        <v>115.6</v>
      </c>
    </row>
    <row r="482" spans="1:5" x14ac:dyDescent="0.2">
      <c r="A482" s="75">
        <v>31778</v>
      </c>
      <c r="B482">
        <v>111.4</v>
      </c>
      <c r="C482">
        <v>85.4</v>
      </c>
      <c r="D482">
        <v>111.9</v>
      </c>
      <c r="E482">
        <v>115.9</v>
      </c>
    </row>
    <row r="483" spans="1:5" x14ac:dyDescent="0.2">
      <c r="A483" s="75">
        <v>31809</v>
      </c>
      <c r="B483">
        <v>111.8</v>
      </c>
      <c r="C483">
        <v>87.4</v>
      </c>
      <c r="D483">
        <v>112.2</v>
      </c>
      <c r="E483">
        <v>116.2</v>
      </c>
    </row>
    <row r="484" spans="1:5" x14ac:dyDescent="0.2">
      <c r="A484" s="75">
        <v>31837</v>
      </c>
      <c r="B484">
        <v>112.2</v>
      </c>
      <c r="C484">
        <v>87.6</v>
      </c>
      <c r="D484">
        <v>112.4</v>
      </c>
      <c r="E484">
        <v>116.6</v>
      </c>
    </row>
    <row r="485" spans="1:5" x14ac:dyDescent="0.2">
      <c r="A485" s="75">
        <v>31868</v>
      </c>
      <c r="B485">
        <v>112.7</v>
      </c>
      <c r="C485">
        <v>87.6</v>
      </c>
      <c r="D485">
        <v>112.6</v>
      </c>
      <c r="E485">
        <v>117.3</v>
      </c>
    </row>
    <row r="486" spans="1:5" x14ac:dyDescent="0.2">
      <c r="A486" s="75">
        <v>31898</v>
      </c>
      <c r="B486">
        <v>113</v>
      </c>
      <c r="C486">
        <v>87.1</v>
      </c>
      <c r="D486">
        <v>113.2</v>
      </c>
      <c r="E486">
        <v>117.7</v>
      </c>
    </row>
    <row r="487" spans="1:5" x14ac:dyDescent="0.2">
      <c r="A487" s="75">
        <v>31929</v>
      </c>
      <c r="B487">
        <v>113.5</v>
      </c>
      <c r="C487">
        <v>88.5</v>
      </c>
      <c r="D487">
        <v>113.8</v>
      </c>
      <c r="E487">
        <v>117.9</v>
      </c>
    </row>
    <row r="488" spans="1:5" x14ac:dyDescent="0.2">
      <c r="A488" s="75">
        <v>31959</v>
      </c>
      <c r="B488">
        <v>113.8</v>
      </c>
      <c r="C488">
        <v>89.2</v>
      </c>
      <c r="D488">
        <v>113.7</v>
      </c>
      <c r="E488">
        <v>118.3</v>
      </c>
    </row>
    <row r="489" spans="1:5" x14ac:dyDescent="0.2">
      <c r="A489" s="75">
        <v>31990</v>
      </c>
      <c r="B489">
        <v>114.3</v>
      </c>
      <c r="C489">
        <v>90.5</v>
      </c>
      <c r="D489">
        <v>113.9</v>
      </c>
      <c r="E489">
        <v>118.7</v>
      </c>
    </row>
    <row r="490" spans="1:5" x14ac:dyDescent="0.2">
      <c r="A490" s="75">
        <v>32021</v>
      </c>
      <c r="B490">
        <v>114.7</v>
      </c>
      <c r="C490">
        <v>90.3</v>
      </c>
      <c r="D490">
        <v>114.4</v>
      </c>
      <c r="E490">
        <v>119.2</v>
      </c>
    </row>
    <row r="491" spans="1:5" x14ac:dyDescent="0.2">
      <c r="A491" s="75">
        <v>32051</v>
      </c>
      <c r="B491">
        <v>115</v>
      </c>
      <c r="C491">
        <v>89.6</v>
      </c>
      <c r="D491">
        <v>114.6</v>
      </c>
      <c r="E491">
        <v>119.8</v>
      </c>
    </row>
    <row r="492" spans="1:5" x14ac:dyDescent="0.2">
      <c r="A492" s="75">
        <v>32082</v>
      </c>
      <c r="B492">
        <v>115.4</v>
      </c>
      <c r="C492">
        <v>90</v>
      </c>
      <c r="D492">
        <v>114.7</v>
      </c>
      <c r="E492">
        <v>120.1</v>
      </c>
    </row>
    <row r="493" spans="1:5" x14ac:dyDescent="0.2">
      <c r="A493" s="75">
        <v>32112</v>
      </c>
      <c r="B493">
        <v>115.6</v>
      </c>
      <c r="C493">
        <v>89.5</v>
      </c>
      <c r="D493">
        <v>115.2</v>
      </c>
      <c r="E493">
        <v>120.4</v>
      </c>
    </row>
    <row r="494" spans="1:5" x14ac:dyDescent="0.2">
      <c r="A494" s="75">
        <v>32143</v>
      </c>
      <c r="B494">
        <v>116</v>
      </c>
      <c r="C494">
        <v>88.8</v>
      </c>
      <c r="D494">
        <v>115.6</v>
      </c>
      <c r="E494">
        <v>120.9</v>
      </c>
    </row>
    <row r="495" spans="1:5" x14ac:dyDescent="0.2">
      <c r="A495" s="75">
        <v>32174</v>
      </c>
      <c r="B495">
        <v>116.2</v>
      </c>
      <c r="C495">
        <v>88.7</v>
      </c>
      <c r="D495">
        <v>115.7</v>
      </c>
      <c r="E495">
        <v>121.2</v>
      </c>
    </row>
    <row r="496" spans="1:5" x14ac:dyDescent="0.2">
      <c r="A496" s="75">
        <v>32203</v>
      </c>
      <c r="B496">
        <v>116.5</v>
      </c>
      <c r="C496">
        <v>88.4</v>
      </c>
      <c r="D496">
        <v>115.9</v>
      </c>
      <c r="E496">
        <v>121.7</v>
      </c>
    </row>
    <row r="497" spans="1:5" x14ac:dyDescent="0.2">
      <c r="A497" s="75">
        <v>32234</v>
      </c>
      <c r="B497">
        <v>117.2</v>
      </c>
      <c r="C497">
        <v>88.8</v>
      </c>
      <c r="D497">
        <v>116.5</v>
      </c>
      <c r="E497">
        <v>122.3</v>
      </c>
    </row>
    <row r="498" spans="1:5" x14ac:dyDescent="0.2">
      <c r="A498" s="75">
        <v>32264</v>
      </c>
      <c r="B498">
        <v>117.5</v>
      </c>
      <c r="C498">
        <v>88.5</v>
      </c>
      <c r="D498">
        <v>116.9</v>
      </c>
      <c r="E498">
        <v>122.7</v>
      </c>
    </row>
    <row r="499" spans="1:5" x14ac:dyDescent="0.2">
      <c r="A499" s="75">
        <v>32295</v>
      </c>
      <c r="B499">
        <v>118</v>
      </c>
      <c r="C499">
        <v>88.9</v>
      </c>
      <c r="D499">
        <v>117.6</v>
      </c>
      <c r="E499">
        <v>123.2</v>
      </c>
    </row>
    <row r="500" spans="1:5" x14ac:dyDescent="0.2">
      <c r="A500" s="75">
        <v>32325</v>
      </c>
      <c r="B500">
        <v>118.5</v>
      </c>
      <c r="C500">
        <v>89.4</v>
      </c>
      <c r="D500">
        <v>118.8</v>
      </c>
      <c r="E500">
        <v>123.6</v>
      </c>
    </row>
    <row r="501" spans="1:5" x14ac:dyDescent="0.2">
      <c r="A501" s="75">
        <v>32356</v>
      </c>
      <c r="B501">
        <v>119</v>
      </c>
      <c r="C501">
        <v>90.1</v>
      </c>
      <c r="D501">
        <v>119.4</v>
      </c>
      <c r="E501">
        <v>124</v>
      </c>
    </row>
    <row r="502" spans="1:5" x14ac:dyDescent="0.2">
      <c r="A502" s="75">
        <v>32387</v>
      </c>
      <c r="B502">
        <v>119.5</v>
      </c>
      <c r="C502">
        <v>89.8</v>
      </c>
      <c r="D502">
        <v>120</v>
      </c>
      <c r="E502">
        <v>124.7</v>
      </c>
    </row>
    <row r="503" spans="1:5" x14ac:dyDescent="0.2">
      <c r="A503" s="75">
        <v>32417</v>
      </c>
      <c r="B503">
        <v>119.9</v>
      </c>
      <c r="C503">
        <v>89.8</v>
      </c>
      <c r="D503">
        <v>120.3</v>
      </c>
      <c r="E503">
        <v>125.2</v>
      </c>
    </row>
    <row r="504" spans="1:5" x14ac:dyDescent="0.2">
      <c r="A504" s="75">
        <v>32448</v>
      </c>
      <c r="B504">
        <v>120.3</v>
      </c>
      <c r="C504">
        <v>89.8</v>
      </c>
      <c r="D504">
        <v>120.5</v>
      </c>
      <c r="E504">
        <v>125.6</v>
      </c>
    </row>
    <row r="505" spans="1:5" x14ac:dyDescent="0.2">
      <c r="A505" s="75">
        <v>32478</v>
      </c>
      <c r="B505">
        <v>120.7</v>
      </c>
      <c r="C505">
        <v>89.6</v>
      </c>
      <c r="D505">
        <v>121</v>
      </c>
      <c r="E505">
        <v>126</v>
      </c>
    </row>
    <row r="506" spans="1:5" x14ac:dyDescent="0.2">
      <c r="A506" s="75">
        <v>32509</v>
      </c>
      <c r="B506">
        <v>121.2</v>
      </c>
      <c r="C506">
        <v>90.3</v>
      </c>
      <c r="D506">
        <v>121.5</v>
      </c>
      <c r="E506">
        <v>126.5</v>
      </c>
    </row>
    <row r="507" spans="1:5" x14ac:dyDescent="0.2">
      <c r="A507" s="75">
        <v>32540</v>
      </c>
      <c r="B507">
        <v>121.6</v>
      </c>
      <c r="C507">
        <v>90.8</v>
      </c>
      <c r="D507">
        <v>122.3</v>
      </c>
      <c r="E507">
        <v>126.9</v>
      </c>
    </row>
    <row r="508" spans="1:5" x14ac:dyDescent="0.2">
      <c r="A508" s="75">
        <v>32568</v>
      </c>
      <c r="B508">
        <v>122.2</v>
      </c>
      <c r="C508">
        <v>91.8</v>
      </c>
      <c r="D508">
        <v>123.1</v>
      </c>
      <c r="E508">
        <v>127.4</v>
      </c>
    </row>
    <row r="509" spans="1:5" x14ac:dyDescent="0.2">
      <c r="A509" s="75">
        <v>32599</v>
      </c>
      <c r="B509">
        <v>123.1</v>
      </c>
      <c r="C509">
        <v>96.6</v>
      </c>
      <c r="D509">
        <v>123.7</v>
      </c>
      <c r="E509">
        <v>127.8</v>
      </c>
    </row>
    <row r="510" spans="1:5" x14ac:dyDescent="0.2">
      <c r="A510" s="75">
        <v>32629</v>
      </c>
      <c r="B510">
        <v>123.7</v>
      </c>
      <c r="C510">
        <v>97.4</v>
      </c>
      <c r="D510">
        <v>124.6</v>
      </c>
      <c r="E510">
        <v>128.30000000000001</v>
      </c>
    </row>
    <row r="511" spans="1:5" x14ac:dyDescent="0.2">
      <c r="A511" s="75">
        <v>32660</v>
      </c>
      <c r="B511">
        <v>124.1</v>
      </c>
      <c r="C511">
        <v>96.9</v>
      </c>
      <c r="D511">
        <v>124.9</v>
      </c>
      <c r="E511">
        <v>128.80000000000001</v>
      </c>
    </row>
    <row r="512" spans="1:5" x14ac:dyDescent="0.2">
      <c r="A512" s="75">
        <v>32690</v>
      </c>
      <c r="B512">
        <v>124.5</v>
      </c>
      <c r="C512">
        <v>96.7</v>
      </c>
      <c r="D512">
        <v>125.4</v>
      </c>
      <c r="E512">
        <v>129.19999999999999</v>
      </c>
    </row>
    <row r="513" spans="1:5" x14ac:dyDescent="0.2">
      <c r="A513" s="75">
        <v>32721</v>
      </c>
      <c r="B513">
        <v>124.5</v>
      </c>
      <c r="C513">
        <v>94.9</v>
      </c>
      <c r="D513">
        <v>125.7</v>
      </c>
      <c r="E513">
        <v>129.5</v>
      </c>
    </row>
    <row r="514" spans="1:5" x14ac:dyDescent="0.2">
      <c r="A514" s="75">
        <v>32752</v>
      </c>
      <c r="B514">
        <v>124.8</v>
      </c>
      <c r="C514">
        <v>93.8</v>
      </c>
      <c r="D514">
        <v>126.1</v>
      </c>
      <c r="E514">
        <v>129.9</v>
      </c>
    </row>
    <row r="515" spans="1:5" x14ac:dyDescent="0.2">
      <c r="A515" s="75">
        <v>32782</v>
      </c>
      <c r="B515">
        <v>125.4</v>
      </c>
      <c r="C515">
        <v>94.4</v>
      </c>
      <c r="D515">
        <v>126.7</v>
      </c>
      <c r="E515">
        <v>130.6</v>
      </c>
    </row>
    <row r="516" spans="1:5" x14ac:dyDescent="0.2">
      <c r="A516" s="75">
        <v>32813</v>
      </c>
      <c r="B516">
        <v>125.9</v>
      </c>
      <c r="C516">
        <v>93.9</v>
      </c>
      <c r="D516">
        <v>127.2</v>
      </c>
      <c r="E516">
        <v>131.1</v>
      </c>
    </row>
    <row r="517" spans="1:5" x14ac:dyDescent="0.2">
      <c r="A517" s="75">
        <v>32843</v>
      </c>
      <c r="B517">
        <v>126.3</v>
      </c>
      <c r="C517">
        <v>94.2</v>
      </c>
      <c r="D517">
        <v>127.7</v>
      </c>
      <c r="E517">
        <v>131.6</v>
      </c>
    </row>
    <row r="518" spans="1:5" x14ac:dyDescent="0.2">
      <c r="A518" s="75">
        <v>32874</v>
      </c>
      <c r="B518">
        <v>127.5</v>
      </c>
      <c r="C518">
        <v>98.9</v>
      </c>
      <c r="D518">
        <v>129.4</v>
      </c>
      <c r="E518">
        <v>132.1</v>
      </c>
    </row>
    <row r="519" spans="1:5" x14ac:dyDescent="0.2">
      <c r="A519" s="75">
        <v>32905</v>
      </c>
      <c r="B519">
        <v>128</v>
      </c>
      <c r="C519">
        <v>98.2</v>
      </c>
      <c r="D519">
        <v>130.5</v>
      </c>
      <c r="E519">
        <v>132.69999999999999</v>
      </c>
    </row>
    <row r="520" spans="1:5" x14ac:dyDescent="0.2">
      <c r="A520" s="75">
        <v>32933</v>
      </c>
      <c r="B520">
        <v>128.6</v>
      </c>
      <c r="C520">
        <v>97.6</v>
      </c>
      <c r="D520">
        <v>130.69999999999999</v>
      </c>
      <c r="E520">
        <v>133.5</v>
      </c>
    </row>
    <row r="521" spans="1:5" x14ac:dyDescent="0.2">
      <c r="A521" s="75">
        <v>32964</v>
      </c>
      <c r="B521">
        <v>128.9</v>
      </c>
      <c r="C521">
        <v>97.5</v>
      </c>
      <c r="D521">
        <v>130.6</v>
      </c>
      <c r="E521">
        <v>134</v>
      </c>
    </row>
    <row r="522" spans="1:5" x14ac:dyDescent="0.2">
      <c r="A522" s="75">
        <v>32994</v>
      </c>
      <c r="B522">
        <v>129.1</v>
      </c>
      <c r="C522">
        <v>96.7</v>
      </c>
      <c r="D522">
        <v>130.9</v>
      </c>
      <c r="E522">
        <v>134.4</v>
      </c>
    </row>
    <row r="523" spans="1:5" x14ac:dyDescent="0.2">
      <c r="A523" s="75">
        <v>33025</v>
      </c>
      <c r="B523">
        <v>129.9</v>
      </c>
      <c r="C523">
        <v>97.3</v>
      </c>
      <c r="D523">
        <v>131.80000000000001</v>
      </c>
      <c r="E523">
        <v>135.1</v>
      </c>
    </row>
    <row r="524" spans="1:5" x14ac:dyDescent="0.2">
      <c r="A524" s="75">
        <v>33055</v>
      </c>
      <c r="B524">
        <v>130.5</v>
      </c>
      <c r="C524">
        <v>97.1</v>
      </c>
      <c r="D524">
        <v>132.5</v>
      </c>
      <c r="E524">
        <v>135.80000000000001</v>
      </c>
    </row>
    <row r="525" spans="1:5" x14ac:dyDescent="0.2">
      <c r="A525" s="75">
        <v>33086</v>
      </c>
      <c r="B525">
        <v>131.6</v>
      </c>
      <c r="C525">
        <v>101.6</v>
      </c>
      <c r="D525">
        <v>132.9</v>
      </c>
      <c r="E525">
        <v>136.6</v>
      </c>
    </row>
    <row r="526" spans="1:5" x14ac:dyDescent="0.2">
      <c r="A526" s="75">
        <v>33117</v>
      </c>
      <c r="B526">
        <v>132.5</v>
      </c>
      <c r="C526">
        <v>106.5</v>
      </c>
      <c r="D526">
        <v>133.30000000000001</v>
      </c>
      <c r="E526">
        <v>137.1</v>
      </c>
    </row>
    <row r="527" spans="1:5" x14ac:dyDescent="0.2">
      <c r="A527" s="75">
        <v>33147</v>
      </c>
      <c r="B527">
        <v>133.4</v>
      </c>
      <c r="C527">
        <v>110.8</v>
      </c>
      <c r="D527">
        <v>133.80000000000001</v>
      </c>
      <c r="E527">
        <v>137.6</v>
      </c>
    </row>
    <row r="528" spans="1:5" x14ac:dyDescent="0.2">
      <c r="A528" s="75">
        <v>33178</v>
      </c>
      <c r="B528">
        <v>133.69999999999999</v>
      </c>
      <c r="C528">
        <v>111.2</v>
      </c>
      <c r="D528">
        <v>134.19999999999999</v>
      </c>
      <c r="E528">
        <v>138</v>
      </c>
    </row>
    <row r="529" spans="1:5" x14ac:dyDescent="0.2">
      <c r="A529" s="75">
        <v>33208</v>
      </c>
      <c r="B529">
        <v>134.19999999999999</v>
      </c>
      <c r="C529">
        <v>111</v>
      </c>
      <c r="D529">
        <v>134.30000000000001</v>
      </c>
      <c r="E529">
        <v>138.6</v>
      </c>
    </row>
    <row r="530" spans="1:5" x14ac:dyDescent="0.2">
      <c r="A530" s="75">
        <v>33239</v>
      </c>
      <c r="B530">
        <v>134.69999999999999</v>
      </c>
      <c r="C530">
        <v>108.5</v>
      </c>
      <c r="D530">
        <v>135.19999999999999</v>
      </c>
      <c r="E530">
        <v>139.5</v>
      </c>
    </row>
    <row r="531" spans="1:5" x14ac:dyDescent="0.2">
      <c r="A531" s="75">
        <v>33270</v>
      </c>
      <c r="B531">
        <v>134.80000000000001</v>
      </c>
      <c r="C531">
        <v>104.5</v>
      </c>
      <c r="D531">
        <v>135.69999999999999</v>
      </c>
      <c r="E531">
        <v>140.19999999999999</v>
      </c>
    </row>
    <row r="532" spans="1:5" x14ac:dyDescent="0.2">
      <c r="A532" s="75">
        <v>33298</v>
      </c>
      <c r="B532">
        <v>134.80000000000001</v>
      </c>
      <c r="C532">
        <v>101.9</v>
      </c>
      <c r="D532">
        <v>135.9</v>
      </c>
      <c r="E532">
        <v>140.5</v>
      </c>
    </row>
    <row r="533" spans="1:5" x14ac:dyDescent="0.2">
      <c r="A533" s="75">
        <v>33329</v>
      </c>
      <c r="B533">
        <v>135.1</v>
      </c>
      <c r="C533">
        <v>101.2</v>
      </c>
      <c r="D533">
        <v>136.6</v>
      </c>
      <c r="E533">
        <v>140.9</v>
      </c>
    </row>
    <row r="534" spans="1:5" x14ac:dyDescent="0.2">
      <c r="A534" s="75">
        <v>33359</v>
      </c>
      <c r="B534">
        <v>135.6</v>
      </c>
      <c r="C534">
        <v>102.1</v>
      </c>
      <c r="D534">
        <v>137.1</v>
      </c>
      <c r="E534">
        <v>141.30000000000001</v>
      </c>
    </row>
    <row r="535" spans="1:5" x14ac:dyDescent="0.2">
      <c r="A535" s="75">
        <v>33390</v>
      </c>
      <c r="B535">
        <v>136</v>
      </c>
      <c r="C535">
        <v>101.1</v>
      </c>
      <c r="D535">
        <v>137.80000000000001</v>
      </c>
      <c r="E535">
        <v>141.80000000000001</v>
      </c>
    </row>
    <row r="536" spans="1:5" x14ac:dyDescent="0.2">
      <c r="A536" s="75">
        <v>33420</v>
      </c>
      <c r="B536">
        <v>136.19999999999999</v>
      </c>
      <c r="C536">
        <v>100.7</v>
      </c>
      <c r="D536">
        <v>137.19999999999999</v>
      </c>
      <c r="E536">
        <v>142.30000000000001</v>
      </c>
    </row>
    <row r="537" spans="1:5" x14ac:dyDescent="0.2">
      <c r="A537" s="75">
        <v>33451</v>
      </c>
      <c r="B537">
        <v>136.6</v>
      </c>
      <c r="C537">
        <v>101.1</v>
      </c>
      <c r="D537">
        <v>136.80000000000001</v>
      </c>
      <c r="E537">
        <v>142.9</v>
      </c>
    </row>
    <row r="538" spans="1:5" x14ac:dyDescent="0.2">
      <c r="A538" s="75">
        <v>33482</v>
      </c>
      <c r="B538">
        <v>137</v>
      </c>
      <c r="C538">
        <v>101.5</v>
      </c>
      <c r="D538">
        <v>137</v>
      </c>
      <c r="E538">
        <v>143.4</v>
      </c>
    </row>
    <row r="539" spans="1:5" x14ac:dyDescent="0.2">
      <c r="A539" s="75">
        <v>33512</v>
      </c>
      <c r="B539">
        <v>137.19999999999999</v>
      </c>
      <c r="C539">
        <v>101.6</v>
      </c>
      <c r="D539">
        <v>136.9</v>
      </c>
      <c r="E539">
        <v>143.69999999999999</v>
      </c>
    </row>
    <row r="540" spans="1:5" x14ac:dyDescent="0.2">
      <c r="A540" s="75">
        <v>33543</v>
      </c>
      <c r="B540">
        <v>137.80000000000001</v>
      </c>
      <c r="C540">
        <v>102.4</v>
      </c>
      <c r="D540">
        <v>137.4</v>
      </c>
      <c r="E540">
        <v>144.19999999999999</v>
      </c>
    </row>
    <row r="541" spans="1:5" x14ac:dyDescent="0.2">
      <c r="A541" s="75">
        <v>33573</v>
      </c>
      <c r="B541">
        <v>138.19999999999999</v>
      </c>
      <c r="C541">
        <v>103.1</v>
      </c>
      <c r="D541">
        <v>137.6</v>
      </c>
      <c r="E541">
        <v>144.69999999999999</v>
      </c>
    </row>
    <row r="542" spans="1:5" x14ac:dyDescent="0.2">
      <c r="A542" s="75">
        <v>33604</v>
      </c>
      <c r="B542">
        <v>138.30000000000001</v>
      </c>
      <c r="C542">
        <v>101.5</v>
      </c>
      <c r="D542">
        <v>137.30000000000001</v>
      </c>
      <c r="E542">
        <v>145.1</v>
      </c>
    </row>
    <row r="543" spans="1:5" x14ac:dyDescent="0.2">
      <c r="A543" s="75">
        <v>33635</v>
      </c>
      <c r="B543">
        <v>138.6</v>
      </c>
      <c r="C543">
        <v>101.2</v>
      </c>
      <c r="D543">
        <v>137.80000000000001</v>
      </c>
      <c r="E543">
        <v>145.4</v>
      </c>
    </row>
    <row r="544" spans="1:5" x14ac:dyDescent="0.2">
      <c r="A544" s="75">
        <v>33664</v>
      </c>
      <c r="B544">
        <v>139.1</v>
      </c>
      <c r="C544">
        <v>101.2</v>
      </c>
      <c r="D544">
        <v>138.30000000000001</v>
      </c>
      <c r="E544">
        <v>145.9</v>
      </c>
    </row>
    <row r="545" spans="1:5" x14ac:dyDescent="0.2">
      <c r="A545" s="75">
        <v>33695</v>
      </c>
      <c r="B545">
        <v>139.4</v>
      </c>
      <c r="C545">
        <v>101.4</v>
      </c>
      <c r="D545">
        <v>138.19999999999999</v>
      </c>
      <c r="E545">
        <v>146.30000000000001</v>
      </c>
    </row>
    <row r="546" spans="1:5" x14ac:dyDescent="0.2">
      <c r="A546" s="75">
        <v>33725</v>
      </c>
      <c r="B546">
        <v>139.69999999999999</v>
      </c>
      <c r="C546">
        <v>102</v>
      </c>
      <c r="D546">
        <v>138.1</v>
      </c>
      <c r="E546">
        <v>146.80000000000001</v>
      </c>
    </row>
    <row r="547" spans="1:5" x14ac:dyDescent="0.2">
      <c r="A547" s="75">
        <v>33756</v>
      </c>
      <c r="B547">
        <v>140.1</v>
      </c>
      <c r="C547">
        <v>103.3</v>
      </c>
      <c r="D547">
        <v>138.4</v>
      </c>
      <c r="E547">
        <v>147.1</v>
      </c>
    </row>
    <row r="548" spans="1:5" x14ac:dyDescent="0.2">
      <c r="A548" s="75">
        <v>33786</v>
      </c>
      <c r="B548">
        <v>140.5</v>
      </c>
      <c r="C548">
        <v>103.7</v>
      </c>
      <c r="D548">
        <v>138.30000000000001</v>
      </c>
      <c r="E548">
        <v>147.6</v>
      </c>
    </row>
    <row r="549" spans="1:5" x14ac:dyDescent="0.2">
      <c r="A549" s="75">
        <v>33817</v>
      </c>
      <c r="B549">
        <v>140.80000000000001</v>
      </c>
      <c r="C549">
        <v>103.5</v>
      </c>
      <c r="D549">
        <v>139.1</v>
      </c>
      <c r="E549">
        <v>147.9</v>
      </c>
    </row>
    <row r="550" spans="1:5" x14ac:dyDescent="0.2">
      <c r="A550" s="75">
        <v>33848</v>
      </c>
      <c r="B550">
        <v>141.1</v>
      </c>
      <c r="C550">
        <v>103.6</v>
      </c>
      <c r="D550">
        <v>139.69999999999999</v>
      </c>
      <c r="E550">
        <v>148.1</v>
      </c>
    </row>
    <row r="551" spans="1:5" x14ac:dyDescent="0.2">
      <c r="A551" s="75">
        <v>33878</v>
      </c>
      <c r="B551">
        <v>141.69999999999999</v>
      </c>
      <c r="C551">
        <v>104.3</v>
      </c>
      <c r="D551">
        <v>139.69999999999999</v>
      </c>
      <c r="E551">
        <v>148.80000000000001</v>
      </c>
    </row>
    <row r="552" spans="1:5" x14ac:dyDescent="0.2">
      <c r="A552" s="75">
        <v>33909</v>
      </c>
      <c r="B552">
        <v>142.1</v>
      </c>
      <c r="C552">
        <v>105.1</v>
      </c>
      <c r="D552">
        <v>139.6</v>
      </c>
      <c r="E552">
        <v>149.19999999999999</v>
      </c>
    </row>
    <row r="553" spans="1:5" x14ac:dyDescent="0.2">
      <c r="A553" s="75">
        <v>33939</v>
      </c>
      <c r="B553">
        <v>142.30000000000001</v>
      </c>
      <c r="C553">
        <v>105.3</v>
      </c>
      <c r="D553">
        <v>139.6</v>
      </c>
      <c r="E553">
        <v>149.6</v>
      </c>
    </row>
    <row r="554" spans="1:5" x14ac:dyDescent="0.2">
      <c r="A554" s="75">
        <v>33970</v>
      </c>
      <c r="B554">
        <v>142.80000000000001</v>
      </c>
      <c r="C554">
        <v>105</v>
      </c>
      <c r="D554">
        <v>140</v>
      </c>
      <c r="E554">
        <v>150.1</v>
      </c>
    </row>
    <row r="555" spans="1:5" x14ac:dyDescent="0.2">
      <c r="A555" s="75">
        <v>34001</v>
      </c>
      <c r="B555">
        <v>143.1</v>
      </c>
      <c r="C555">
        <v>104.3</v>
      </c>
      <c r="D555">
        <v>140.4</v>
      </c>
      <c r="E555">
        <v>150.6</v>
      </c>
    </row>
    <row r="556" spans="1:5" x14ac:dyDescent="0.2">
      <c r="A556" s="75">
        <v>34029</v>
      </c>
      <c r="B556">
        <v>143.30000000000001</v>
      </c>
      <c r="C556">
        <v>104.9</v>
      </c>
      <c r="D556">
        <v>140.4</v>
      </c>
      <c r="E556">
        <v>150.80000000000001</v>
      </c>
    </row>
    <row r="557" spans="1:5" x14ac:dyDescent="0.2">
      <c r="A557" s="75">
        <v>34060</v>
      </c>
      <c r="B557">
        <v>143.80000000000001</v>
      </c>
      <c r="C557">
        <v>104.9</v>
      </c>
      <c r="D557">
        <v>140.80000000000001</v>
      </c>
      <c r="E557">
        <v>151.4</v>
      </c>
    </row>
    <row r="558" spans="1:5" x14ac:dyDescent="0.2">
      <c r="A558" s="75">
        <v>34090</v>
      </c>
      <c r="B558">
        <v>144.19999999999999</v>
      </c>
      <c r="C558">
        <v>104.3</v>
      </c>
      <c r="D558">
        <v>141.69999999999999</v>
      </c>
      <c r="E558">
        <v>151.80000000000001</v>
      </c>
    </row>
    <row r="559" spans="1:5" x14ac:dyDescent="0.2">
      <c r="A559" s="75">
        <v>34121</v>
      </c>
      <c r="B559">
        <v>144.30000000000001</v>
      </c>
      <c r="C559">
        <v>103.9</v>
      </c>
      <c r="D559">
        <v>141.4</v>
      </c>
      <c r="E559">
        <v>152.1</v>
      </c>
    </row>
    <row r="560" spans="1:5" x14ac:dyDescent="0.2">
      <c r="A560" s="75">
        <v>34151</v>
      </c>
      <c r="B560">
        <v>144.5</v>
      </c>
      <c r="C560">
        <v>103.4</v>
      </c>
      <c r="D560">
        <v>141.4</v>
      </c>
      <c r="E560">
        <v>152.30000000000001</v>
      </c>
    </row>
    <row r="561" spans="1:5" x14ac:dyDescent="0.2">
      <c r="A561" s="75">
        <v>34182</v>
      </c>
      <c r="B561">
        <v>144.80000000000001</v>
      </c>
      <c r="C561">
        <v>103.4</v>
      </c>
      <c r="D561">
        <v>141.9</v>
      </c>
      <c r="E561">
        <v>152.80000000000001</v>
      </c>
    </row>
    <row r="562" spans="1:5" x14ac:dyDescent="0.2">
      <c r="A562" s="75">
        <v>34213</v>
      </c>
      <c r="B562">
        <v>145</v>
      </c>
      <c r="C562">
        <v>103</v>
      </c>
      <c r="D562">
        <v>142.1</v>
      </c>
      <c r="E562">
        <v>152.9</v>
      </c>
    </row>
    <row r="563" spans="1:5" x14ac:dyDescent="0.2">
      <c r="A563" s="75">
        <v>34243</v>
      </c>
      <c r="B563">
        <v>145.6</v>
      </c>
      <c r="C563">
        <v>105.3</v>
      </c>
      <c r="D563">
        <v>142.69999999999999</v>
      </c>
      <c r="E563">
        <v>153.4</v>
      </c>
    </row>
    <row r="564" spans="1:5" x14ac:dyDescent="0.2">
      <c r="A564" s="75">
        <v>34274</v>
      </c>
      <c r="B564">
        <v>146</v>
      </c>
      <c r="C564">
        <v>104.4</v>
      </c>
      <c r="D564">
        <v>143</v>
      </c>
      <c r="E564">
        <v>153.9</v>
      </c>
    </row>
    <row r="565" spans="1:5" x14ac:dyDescent="0.2">
      <c r="A565" s="75">
        <v>34304</v>
      </c>
      <c r="B565">
        <v>146.30000000000001</v>
      </c>
      <c r="C565">
        <v>103.7</v>
      </c>
      <c r="D565">
        <v>143.5</v>
      </c>
      <c r="E565">
        <v>154.30000000000001</v>
      </c>
    </row>
    <row r="566" spans="1:5" x14ac:dyDescent="0.2">
      <c r="A566" s="75">
        <v>34335</v>
      </c>
      <c r="B566">
        <v>146.30000000000001</v>
      </c>
      <c r="C566">
        <v>102.8</v>
      </c>
      <c r="D566">
        <v>143.6</v>
      </c>
      <c r="E566">
        <v>154.5</v>
      </c>
    </row>
    <row r="567" spans="1:5" x14ac:dyDescent="0.2">
      <c r="A567" s="75">
        <v>34366</v>
      </c>
      <c r="B567">
        <v>146.69999999999999</v>
      </c>
      <c r="C567">
        <v>104.1</v>
      </c>
      <c r="D567">
        <v>143.4</v>
      </c>
      <c r="E567">
        <v>154.80000000000001</v>
      </c>
    </row>
    <row r="568" spans="1:5" x14ac:dyDescent="0.2">
      <c r="A568" s="75">
        <v>34394</v>
      </c>
      <c r="B568">
        <v>147.1</v>
      </c>
      <c r="C568">
        <v>104.3</v>
      </c>
      <c r="D568">
        <v>143.4</v>
      </c>
      <c r="E568">
        <v>155.30000000000001</v>
      </c>
    </row>
    <row r="569" spans="1:5" x14ac:dyDescent="0.2">
      <c r="A569" s="75">
        <v>34425</v>
      </c>
      <c r="B569">
        <v>147.19999999999999</v>
      </c>
      <c r="C569">
        <v>103.7</v>
      </c>
      <c r="D569">
        <v>143.69999999999999</v>
      </c>
      <c r="E569">
        <v>155.5</v>
      </c>
    </row>
    <row r="570" spans="1:5" x14ac:dyDescent="0.2">
      <c r="A570" s="75">
        <v>34455</v>
      </c>
      <c r="B570">
        <v>147.5</v>
      </c>
      <c r="C570">
        <v>102.8</v>
      </c>
      <c r="D570">
        <v>144</v>
      </c>
      <c r="E570">
        <v>155.9</v>
      </c>
    </row>
    <row r="571" spans="1:5" x14ac:dyDescent="0.2">
      <c r="A571" s="75">
        <v>34486</v>
      </c>
      <c r="B571">
        <v>147.9</v>
      </c>
      <c r="C571">
        <v>103.1</v>
      </c>
      <c r="D571">
        <v>144.4</v>
      </c>
      <c r="E571">
        <v>156.4</v>
      </c>
    </row>
    <row r="572" spans="1:5" x14ac:dyDescent="0.2">
      <c r="A572" s="75">
        <v>34516</v>
      </c>
      <c r="B572">
        <v>148.4</v>
      </c>
      <c r="C572">
        <v>104.5</v>
      </c>
      <c r="D572">
        <v>145.19999999999999</v>
      </c>
      <c r="E572">
        <v>156.69999999999999</v>
      </c>
    </row>
    <row r="573" spans="1:5" x14ac:dyDescent="0.2">
      <c r="A573" s="75">
        <v>34547</v>
      </c>
      <c r="B573">
        <v>149</v>
      </c>
      <c r="C573">
        <v>106.7</v>
      </c>
      <c r="D573">
        <v>145.6</v>
      </c>
      <c r="E573">
        <v>157.1</v>
      </c>
    </row>
    <row r="574" spans="1:5" x14ac:dyDescent="0.2">
      <c r="A574" s="75">
        <v>34578</v>
      </c>
      <c r="B574">
        <v>149.30000000000001</v>
      </c>
      <c r="C574">
        <v>106.1</v>
      </c>
      <c r="D574">
        <v>145.80000000000001</v>
      </c>
      <c r="E574">
        <v>157.5</v>
      </c>
    </row>
    <row r="575" spans="1:5" x14ac:dyDescent="0.2">
      <c r="A575" s="75">
        <v>34608</v>
      </c>
      <c r="B575">
        <v>149.4</v>
      </c>
      <c r="C575">
        <v>105.7</v>
      </c>
      <c r="D575">
        <v>145.80000000000001</v>
      </c>
      <c r="E575">
        <v>157.80000000000001</v>
      </c>
    </row>
    <row r="576" spans="1:5" x14ac:dyDescent="0.2">
      <c r="A576" s="75">
        <v>34639</v>
      </c>
      <c r="B576">
        <v>149.80000000000001</v>
      </c>
      <c r="C576">
        <v>106.1</v>
      </c>
      <c r="D576">
        <v>146.19999999999999</v>
      </c>
      <c r="E576">
        <v>158.19999999999999</v>
      </c>
    </row>
    <row r="577" spans="1:5" x14ac:dyDescent="0.2">
      <c r="A577" s="75">
        <v>34669</v>
      </c>
      <c r="B577">
        <v>150.1</v>
      </c>
      <c r="C577">
        <v>105.9</v>
      </c>
      <c r="D577">
        <v>147.19999999999999</v>
      </c>
      <c r="E577">
        <v>158.30000000000001</v>
      </c>
    </row>
    <row r="578" spans="1:5" x14ac:dyDescent="0.2">
      <c r="A578" s="75">
        <v>34700</v>
      </c>
      <c r="B578">
        <v>150.5</v>
      </c>
      <c r="C578">
        <v>105.7</v>
      </c>
      <c r="D578">
        <v>147.19999999999999</v>
      </c>
      <c r="E578">
        <v>159</v>
      </c>
    </row>
    <row r="579" spans="1:5" x14ac:dyDescent="0.2">
      <c r="A579" s="75">
        <v>34731</v>
      </c>
      <c r="B579">
        <v>150.9</v>
      </c>
      <c r="C579">
        <v>105.8</v>
      </c>
      <c r="D579">
        <v>147.69999999999999</v>
      </c>
      <c r="E579">
        <v>159.4</v>
      </c>
    </row>
    <row r="580" spans="1:5" x14ac:dyDescent="0.2">
      <c r="A580" s="75">
        <v>34759</v>
      </c>
      <c r="B580">
        <v>151.19999999999999</v>
      </c>
      <c r="C580">
        <v>105.5</v>
      </c>
      <c r="D580">
        <v>147.5</v>
      </c>
      <c r="E580">
        <v>159.9</v>
      </c>
    </row>
    <row r="581" spans="1:5" x14ac:dyDescent="0.2">
      <c r="A581" s="75">
        <v>34790</v>
      </c>
      <c r="B581">
        <v>151.80000000000001</v>
      </c>
      <c r="C581">
        <v>105.6</v>
      </c>
      <c r="D581">
        <v>148.5</v>
      </c>
      <c r="E581">
        <v>160.4</v>
      </c>
    </row>
    <row r="582" spans="1:5" x14ac:dyDescent="0.2">
      <c r="A582" s="75">
        <v>34820</v>
      </c>
      <c r="B582">
        <v>152.1</v>
      </c>
      <c r="C582">
        <v>105.8</v>
      </c>
      <c r="D582">
        <v>148.69999999999999</v>
      </c>
      <c r="E582">
        <v>160.69999999999999</v>
      </c>
    </row>
    <row r="583" spans="1:5" x14ac:dyDescent="0.2">
      <c r="A583" s="75">
        <v>34851</v>
      </c>
      <c r="B583">
        <v>152.4</v>
      </c>
      <c r="C583">
        <v>106.7</v>
      </c>
      <c r="D583">
        <v>148.80000000000001</v>
      </c>
      <c r="E583">
        <v>161.1</v>
      </c>
    </row>
    <row r="584" spans="1:5" x14ac:dyDescent="0.2">
      <c r="A584" s="75">
        <v>34881</v>
      </c>
      <c r="B584">
        <v>152.6</v>
      </c>
      <c r="C584">
        <v>105.8</v>
      </c>
      <c r="D584">
        <v>149</v>
      </c>
      <c r="E584">
        <v>161.4</v>
      </c>
    </row>
    <row r="585" spans="1:5" x14ac:dyDescent="0.2">
      <c r="A585" s="75">
        <v>34912</v>
      </c>
      <c r="B585">
        <v>152.9</v>
      </c>
      <c r="C585">
        <v>105.6</v>
      </c>
      <c r="D585">
        <v>149.1</v>
      </c>
      <c r="E585">
        <v>161.80000000000001</v>
      </c>
    </row>
    <row r="586" spans="1:5" x14ac:dyDescent="0.2">
      <c r="A586" s="75">
        <v>34943</v>
      </c>
      <c r="B586">
        <v>153.1</v>
      </c>
      <c r="C586">
        <v>104.1</v>
      </c>
      <c r="D586">
        <v>149.6</v>
      </c>
      <c r="E586">
        <v>162.19999999999999</v>
      </c>
    </row>
    <row r="587" spans="1:5" x14ac:dyDescent="0.2">
      <c r="A587" s="75">
        <v>34973</v>
      </c>
      <c r="B587">
        <v>153.5</v>
      </c>
      <c r="C587">
        <v>104.4</v>
      </c>
      <c r="D587">
        <v>150</v>
      </c>
      <c r="E587">
        <v>162.69999999999999</v>
      </c>
    </row>
    <row r="588" spans="1:5" x14ac:dyDescent="0.2">
      <c r="A588" s="75">
        <v>35004</v>
      </c>
      <c r="B588">
        <v>153.69999999999999</v>
      </c>
      <c r="C588">
        <v>103.4</v>
      </c>
      <c r="D588">
        <v>150</v>
      </c>
      <c r="E588">
        <v>163</v>
      </c>
    </row>
    <row r="589" spans="1:5" x14ac:dyDescent="0.2">
      <c r="A589" s="75">
        <v>35034</v>
      </c>
      <c r="B589">
        <v>153.9</v>
      </c>
      <c r="C589">
        <v>104.4</v>
      </c>
      <c r="D589">
        <v>150.30000000000001</v>
      </c>
      <c r="E589">
        <v>163.1</v>
      </c>
    </row>
    <row r="590" spans="1:5" x14ac:dyDescent="0.2">
      <c r="A590" s="75">
        <v>35065</v>
      </c>
      <c r="B590">
        <v>154.69999999999999</v>
      </c>
      <c r="C590">
        <v>106.9</v>
      </c>
      <c r="D590">
        <v>150.80000000000001</v>
      </c>
      <c r="E590">
        <v>163.69999999999999</v>
      </c>
    </row>
    <row r="591" spans="1:5" x14ac:dyDescent="0.2">
      <c r="A591" s="75">
        <v>35096</v>
      </c>
      <c r="B591">
        <v>155</v>
      </c>
      <c r="C591">
        <v>107.1</v>
      </c>
      <c r="D591">
        <v>151.19999999999999</v>
      </c>
      <c r="E591">
        <v>164</v>
      </c>
    </row>
    <row r="592" spans="1:5" x14ac:dyDescent="0.2">
      <c r="A592" s="75">
        <v>35125</v>
      </c>
      <c r="B592">
        <v>155.5</v>
      </c>
      <c r="C592">
        <v>108.3</v>
      </c>
      <c r="D592">
        <v>151.9</v>
      </c>
      <c r="E592">
        <v>164.4</v>
      </c>
    </row>
    <row r="593" spans="1:5" x14ac:dyDescent="0.2">
      <c r="A593" s="75">
        <v>35156</v>
      </c>
      <c r="B593">
        <v>156.1</v>
      </c>
      <c r="C593">
        <v>111.2</v>
      </c>
      <c r="D593">
        <v>152.5</v>
      </c>
      <c r="E593">
        <v>164.6</v>
      </c>
    </row>
    <row r="594" spans="1:5" x14ac:dyDescent="0.2">
      <c r="A594" s="75">
        <v>35186</v>
      </c>
      <c r="B594">
        <v>156.4</v>
      </c>
      <c r="C594">
        <v>112</v>
      </c>
      <c r="D594">
        <v>152.4</v>
      </c>
      <c r="E594">
        <v>165</v>
      </c>
    </row>
    <row r="595" spans="1:5" x14ac:dyDescent="0.2">
      <c r="A595" s="75">
        <v>35217</v>
      </c>
      <c r="B595">
        <v>156.69999999999999</v>
      </c>
      <c r="C595">
        <v>110.3</v>
      </c>
      <c r="D595">
        <v>153.30000000000001</v>
      </c>
      <c r="E595">
        <v>165.4</v>
      </c>
    </row>
    <row r="596" spans="1:5" x14ac:dyDescent="0.2">
      <c r="A596" s="75">
        <v>35247</v>
      </c>
      <c r="B596">
        <v>157</v>
      </c>
      <c r="C596">
        <v>110.1</v>
      </c>
      <c r="D596">
        <v>153.80000000000001</v>
      </c>
      <c r="E596">
        <v>165.7</v>
      </c>
    </row>
    <row r="597" spans="1:5" x14ac:dyDescent="0.2">
      <c r="A597" s="75">
        <v>35278</v>
      </c>
      <c r="B597">
        <v>157.19999999999999</v>
      </c>
      <c r="C597">
        <v>109.7</v>
      </c>
      <c r="D597">
        <v>154.30000000000001</v>
      </c>
      <c r="E597">
        <v>166</v>
      </c>
    </row>
    <row r="598" spans="1:5" x14ac:dyDescent="0.2">
      <c r="A598" s="75">
        <v>35309</v>
      </c>
      <c r="B598">
        <v>157.69999999999999</v>
      </c>
      <c r="C598">
        <v>109.8</v>
      </c>
      <c r="D598">
        <v>155</v>
      </c>
      <c r="E598">
        <v>166.5</v>
      </c>
    </row>
    <row r="599" spans="1:5" x14ac:dyDescent="0.2">
      <c r="A599" s="75">
        <v>35339</v>
      </c>
      <c r="B599">
        <v>158.19999999999999</v>
      </c>
      <c r="C599">
        <v>110.5</v>
      </c>
      <c r="D599">
        <v>155.9</v>
      </c>
      <c r="E599">
        <v>166.8</v>
      </c>
    </row>
    <row r="600" spans="1:5" x14ac:dyDescent="0.2">
      <c r="A600" s="75">
        <v>35370</v>
      </c>
      <c r="B600">
        <v>158.69999999999999</v>
      </c>
      <c r="C600">
        <v>111.8</v>
      </c>
      <c r="D600">
        <v>156.4</v>
      </c>
      <c r="E600">
        <v>167.2</v>
      </c>
    </row>
    <row r="601" spans="1:5" x14ac:dyDescent="0.2">
      <c r="A601" s="75">
        <v>35400</v>
      </c>
      <c r="B601">
        <v>159.1</v>
      </c>
      <c r="C601">
        <v>113.9</v>
      </c>
      <c r="D601">
        <v>156.6</v>
      </c>
      <c r="E601">
        <v>167.4</v>
      </c>
    </row>
    <row r="602" spans="1:5" x14ac:dyDescent="0.2">
      <c r="A602" s="75">
        <v>35431</v>
      </c>
      <c r="B602">
        <v>159.4</v>
      </c>
      <c r="C602">
        <v>115.2</v>
      </c>
      <c r="D602">
        <v>156.30000000000001</v>
      </c>
      <c r="E602">
        <v>167.8</v>
      </c>
    </row>
    <row r="603" spans="1:5" x14ac:dyDescent="0.2">
      <c r="A603" s="75">
        <v>35462</v>
      </c>
      <c r="B603">
        <v>159.69999999999999</v>
      </c>
      <c r="C603">
        <v>115</v>
      </c>
      <c r="D603">
        <v>156.9</v>
      </c>
      <c r="E603">
        <v>168.1</v>
      </c>
    </row>
    <row r="604" spans="1:5" x14ac:dyDescent="0.2">
      <c r="A604" s="75">
        <v>35490</v>
      </c>
      <c r="B604">
        <v>159.80000000000001</v>
      </c>
      <c r="C604">
        <v>113</v>
      </c>
      <c r="D604">
        <v>157</v>
      </c>
      <c r="E604">
        <v>168.4</v>
      </c>
    </row>
    <row r="605" spans="1:5" x14ac:dyDescent="0.2">
      <c r="A605" s="75">
        <v>35521</v>
      </c>
      <c r="B605">
        <v>159.9</v>
      </c>
      <c r="C605">
        <v>111</v>
      </c>
      <c r="D605">
        <v>157</v>
      </c>
      <c r="E605">
        <v>168.9</v>
      </c>
    </row>
    <row r="606" spans="1:5" x14ac:dyDescent="0.2">
      <c r="A606" s="75">
        <v>35551</v>
      </c>
      <c r="B606">
        <v>159.9</v>
      </c>
      <c r="C606">
        <v>108.8</v>
      </c>
      <c r="D606">
        <v>157.1</v>
      </c>
      <c r="E606">
        <v>169.2</v>
      </c>
    </row>
    <row r="607" spans="1:5" x14ac:dyDescent="0.2">
      <c r="A607" s="75">
        <v>35582</v>
      </c>
      <c r="B607">
        <v>160.19999999999999</v>
      </c>
      <c r="C607">
        <v>110</v>
      </c>
      <c r="D607">
        <v>157.4</v>
      </c>
      <c r="E607">
        <v>169.4</v>
      </c>
    </row>
    <row r="608" spans="1:5" x14ac:dyDescent="0.2">
      <c r="A608" s="75">
        <v>35612</v>
      </c>
      <c r="B608">
        <v>160.4</v>
      </c>
      <c r="C608">
        <v>109.1</v>
      </c>
      <c r="D608">
        <v>157.69999999999999</v>
      </c>
      <c r="E608">
        <v>169.7</v>
      </c>
    </row>
    <row r="609" spans="1:5" x14ac:dyDescent="0.2">
      <c r="A609" s="75">
        <v>35643</v>
      </c>
      <c r="B609">
        <v>160.80000000000001</v>
      </c>
      <c r="C609">
        <v>110.9</v>
      </c>
      <c r="D609">
        <v>158.19999999999999</v>
      </c>
      <c r="E609">
        <v>169.8</v>
      </c>
    </row>
    <row r="610" spans="1:5" x14ac:dyDescent="0.2">
      <c r="A610" s="75">
        <v>35674</v>
      </c>
      <c r="B610">
        <v>161.19999999999999</v>
      </c>
      <c r="C610">
        <v>112.4</v>
      </c>
      <c r="D610">
        <v>158.4</v>
      </c>
      <c r="E610">
        <v>170.2</v>
      </c>
    </row>
    <row r="611" spans="1:5" x14ac:dyDescent="0.2">
      <c r="A611" s="75">
        <v>35704</v>
      </c>
      <c r="B611">
        <v>161.5</v>
      </c>
      <c r="C611">
        <v>111.8</v>
      </c>
      <c r="D611">
        <v>158.69999999999999</v>
      </c>
      <c r="E611">
        <v>170.6</v>
      </c>
    </row>
    <row r="612" spans="1:5" x14ac:dyDescent="0.2">
      <c r="A612" s="75">
        <v>35735</v>
      </c>
      <c r="B612">
        <v>161.69999999999999</v>
      </c>
      <c r="C612">
        <v>111.4</v>
      </c>
      <c r="D612">
        <v>159</v>
      </c>
      <c r="E612">
        <v>170.8</v>
      </c>
    </row>
    <row r="613" spans="1:5" x14ac:dyDescent="0.2">
      <c r="A613" s="75">
        <v>35765</v>
      </c>
      <c r="B613">
        <v>161.80000000000001</v>
      </c>
      <c r="C613">
        <v>109.8</v>
      </c>
      <c r="D613">
        <v>159.19999999999999</v>
      </c>
      <c r="E613">
        <v>171.2</v>
      </c>
    </row>
    <row r="614" spans="1:5" x14ac:dyDescent="0.2">
      <c r="A614" s="75">
        <v>35796</v>
      </c>
      <c r="B614">
        <v>162</v>
      </c>
      <c r="C614">
        <v>107.5</v>
      </c>
      <c r="D614">
        <v>159.9</v>
      </c>
      <c r="E614">
        <v>171.6</v>
      </c>
    </row>
    <row r="615" spans="1:5" x14ac:dyDescent="0.2">
      <c r="A615" s="75">
        <v>35827</v>
      </c>
      <c r="B615">
        <v>162</v>
      </c>
      <c r="C615">
        <v>105.1</v>
      </c>
      <c r="D615">
        <v>159.9</v>
      </c>
      <c r="E615">
        <v>171.9</v>
      </c>
    </row>
    <row r="616" spans="1:5" x14ac:dyDescent="0.2">
      <c r="A616" s="75">
        <v>35855</v>
      </c>
      <c r="B616">
        <v>162</v>
      </c>
      <c r="C616">
        <v>103.3</v>
      </c>
      <c r="D616">
        <v>160.1</v>
      </c>
      <c r="E616">
        <v>172.2</v>
      </c>
    </row>
    <row r="617" spans="1:5" x14ac:dyDescent="0.2">
      <c r="A617" s="75">
        <v>35886</v>
      </c>
      <c r="B617">
        <v>162.19999999999999</v>
      </c>
      <c r="C617">
        <v>102.4</v>
      </c>
      <c r="D617">
        <v>160.19999999999999</v>
      </c>
      <c r="E617">
        <v>172.5</v>
      </c>
    </row>
    <row r="618" spans="1:5" x14ac:dyDescent="0.2">
      <c r="A618" s="75">
        <v>35916</v>
      </c>
      <c r="B618">
        <v>162.6</v>
      </c>
      <c r="C618">
        <v>103.2</v>
      </c>
      <c r="D618">
        <v>160.69999999999999</v>
      </c>
      <c r="E618">
        <v>172.9</v>
      </c>
    </row>
    <row r="619" spans="1:5" x14ac:dyDescent="0.2">
      <c r="A619" s="75">
        <v>35947</v>
      </c>
      <c r="B619">
        <v>162.80000000000001</v>
      </c>
      <c r="C619">
        <v>103.6</v>
      </c>
      <c r="D619">
        <v>160.6</v>
      </c>
      <c r="E619">
        <v>173.2</v>
      </c>
    </row>
    <row r="620" spans="1:5" x14ac:dyDescent="0.2">
      <c r="A620" s="75">
        <v>35977</v>
      </c>
      <c r="B620">
        <v>163.19999999999999</v>
      </c>
      <c r="C620">
        <v>103.3</v>
      </c>
      <c r="D620">
        <v>161</v>
      </c>
      <c r="E620">
        <v>173.5</v>
      </c>
    </row>
    <row r="621" spans="1:5" x14ac:dyDescent="0.2">
      <c r="A621" s="75">
        <v>36008</v>
      </c>
      <c r="B621">
        <v>163.4</v>
      </c>
      <c r="C621">
        <v>102.1</v>
      </c>
      <c r="D621">
        <v>161.4</v>
      </c>
      <c r="E621">
        <v>174</v>
      </c>
    </row>
    <row r="622" spans="1:5" x14ac:dyDescent="0.2">
      <c r="A622" s="75">
        <v>36039</v>
      </c>
      <c r="B622">
        <v>163.5</v>
      </c>
      <c r="C622">
        <v>101.3</v>
      </c>
      <c r="D622">
        <v>161.5</v>
      </c>
      <c r="E622">
        <v>174.2</v>
      </c>
    </row>
    <row r="623" spans="1:5" x14ac:dyDescent="0.2">
      <c r="A623" s="75">
        <v>36069</v>
      </c>
      <c r="B623">
        <v>163.9</v>
      </c>
      <c r="C623">
        <v>101.5</v>
      </c>
      <c r="D623">
        <v>162.4</v>
      </c>
      <c r="E623">
        <v>174.4</v>
      </c>
    </row>
    <row r="624" spans="1:5" x14ac:dyDescent="0.2">
      <c r="A624" s="75">
        <v>36100</v>
      </c>
      <c r="B624">
        <v>164.1</v>
      </c>
      <c r="C624">
        <v>101.1</v>
      </c>
      <c r="D624">
        <v>162.69999999999999</v>
      </c>
      <c r="E624">
        <v>174.8</v>
      </c>
    </row>
    <row r="625" spans="1:5" x14ac:dyDescent="0.2">
      <c r="A625" s="75">
        <v>36130</v>
      </c>
      <c r="B625">
        <v>164.4</v>
      </c>
      <c r="C625">
        <v>100.1</v>
      </c>
      <c r="D625">
        <v>162.80000000000001</v>
      </c>
      <c r="E625">
        <v>175.4</v>
      </c>
    </row>
    <row r="626" spans="1:5" x14ac:dyDescent="0.2">
      <c r="A626" s="75">
        <v>36161</v>
      </c>
      <c r="B626">
        <v>164.7</v>
      </c>
      <c r="C626">
        <v>99.7</v>
      </c>
      <c r="D626">
        <v>163.4</v>
      </c>
      <c r="E626">
        <v>175.6</v>
      </c>
    </row>
    <row r="627" spans="1:5" x14ac:dyDescent="0.2">
      <c r="A627" s="75">
        <v>36192</v>
      </c>
      <c r="B627">
        <v>164.7</v>
      </c>
      <c r="C627">
        <v>99.2</v>
      </c>
      <c r="D627">
        <v>163.80000000000001</v>
      </c>
      <c r="E627">
        <v>175.6</v>
      </c>
    </row>
    <row r="628" spans="1:5" x14ac:dyDescent="0.2">
      <c r="A628" s="75">
        <v>36220</v>
      </c>
      <c r="B628">
        <v>164.8</v>
      </c>
      <c r="C628">
        <v>100.4</v>
      </c>
      <c r="D628">
        <v>163.69999999999999</v>
      </c>
      <c r="E628">
        <v>175.7</v>
      </c>
    </row>
    <row r="629" spans="1:5" x14ac:dyDescent="0.2">
      <c r="A629" s="75">
        <v>36251</v>
      </c>
      <c r="B629">
        <v>165.9</v>
      </c>
      <c r="C629">
        <v>105.5</v>
      </c>
      <c r="D629">
        <v>163.9</v>
      </c>
      <c r="E629">
        <v>176.3</v>
      </c>
    </row>
    <row r="630" spans="1:5" x14ac:dyDescent="0.2">
      <c r="A630" s="75">
        <v>36281</v>
      </c>
      <c r="B630">
        <v>166</v>
      </c>
      <c r="C630">
        <v>104.9</v>
      </c>
      <c r="D630">
        <v>164.2</v>
      </c>
      <c r="E630">
        <v>176.5</v>
      </c>
    </row>
    <row r="631" spans="1:5" x14ac:dyDescent="0.2">
      <c r="A631" s="75">
        <v>36312</v>
      </c>
      <c r="B631">
        <v>166</v>
      </c>
      <c r="C631">
        <v>104.5</v>
      </c>
      <c r="D631">
        <v>164.1</v>
      </c>
      <c r="E631">
        <v>176.6</v>
      </c>
    </row>
    <row r="632" spans="1:5" x14ac:dyDescent="0.2">
      <c r="A632" s="75">
        <v>36342</v>
      </c>
      <c r="B632">
        <v>166.7</v>
      </c>
      <c r="C632">
        <v>106.7</v>
      </c>
      <c r="D632">
        <v>164.4</v>
      </c>
      <c r="E632">
        <v>177.1</v>
      </c>
    </row>
    <row r="633" spans="1:5" x14ac:dyDescent="0.2">
      <c r="A633" s="75">
        <v>36373</v>
      </c>
      <c r="B633">
        <v>167.1</v>
      </c>
      <c r="C633">
        <v>109.5</v>
      </c>
      <c r="D633">
        <v>164.7</v>
      </c>
      <c r="E633">
        <v>177.3</v>
      </c>
    </row>
    <row r="634" spans="1:5" x14ac:dyDescent="0.2">
      <c r="A634" s="75">
        <v>36404</v>
      </c>
      <c r="B634">
        <v>167.8</v>
      </c>
      <c r="C634">
        <v>111.8</v>
      </c>
      <c r="D634">
        <v>165.1</v>
      </c>
      <c r="E634">
        <v>177.8</v>
      </c>
    </row>
    <row r="635" spans="1:5" x14ac:dyDescent="0.2">
      <c r="A635" s="75">
        <v>36434</v>
      </c>
      <c r="B635">
        <v>168.1</v>
      </c>
      <c r="C635">
        <v>112</v>
      </c>
      <c r="D635">
        <v>165.5</v>
      </c>
      <c r="E635">
        <v>178.1</v>
      </c>
    </row>
    <row r="636" spans="1:5" x14ac:dyDescent="0.2">
      <c r="A636" s="75">
        <v>36465</v>
      </c>
      <c r="B636">
        <v>168.4</v>
      </c>
      <c r="C636">
        <v>111.5</v>
      </c>
      <c r="D636">
        <v>165.8</v>
      </c>
      <c r="E636">
        <v>178.4</v>
      </c>
    </row>
    <row r="637" spans="1:5" x14ac:dyDescent="0.2">
      <c r="A637" s="75">
        <v>36495</v>
      </c>
      <c r="B637">
        <v>168.8</v>
      </c>
      <c r="C637">
        <v>113.8</v>
      </c>
      <c r="D637">
        <v>166</v>
      </c>
      <c r="E637">
        <v>178.7</v>
      </c>
    </row>
    <row r="638" spans="1:5" x14ac:dyDescent="0.2">
      <c r="A638" s="75">
        <v>36526</v>
      </c>
      <c r="B638">
        <v>169.3</v>
      </c>
      <c r="C638">
        <v>115</v>
      </c>
      <c r="D638">
        <v>166.1</v>
      </c>
      <c r="E638">
        <v>179.3</v>
      </c>
    </row>
    <row r="639" spans="1:5" x14ac:dyDescent="0.2">
      <c r="A639" s="75">
        <v>36557</v>
      </c>
      <c r="B639">
        <v>170</v>
      </c>
      <c r="C639">
        <v>118.8</v>
      </c>
      <c r="D639">
        <v>166.7</v>
      </c>
      <c r="E639">
        <v>179.4</v>
      </c>
    </row>
    <row r="640" spans="1:5" x14ac:dyDescent="0.2">
      <c r="A640" s="75">
        <v>36586</v>
      </c>
      <c r="B640">
        <v>171</v>
      </c>
      <c r="C640">
        <v>124.3</v>
      </c>
      <c r="D640">
        <v>167.1</v>
      </c>
      <c r="E640">
        <v>180</v>
      </c>
    </row>
    <row r="641" spans="1:5" x14ac:dyDescent="0.2">
      <c r="A641" s="75">
        <v>36617</v>
      </c>
      <c r="B641">
        <v>170.9</v>
      </c>
      <c r="C641">
        <v>120.9</v>
      </c>
      <c r="D641">
        <v>167.2</v>
      </c>
      <c r="E641">
        <v>180.3</v>
      </c>
    </row>
    <row r="642" spans="1:5" x14ac:dyDescent="0.2">
      <c r="A642" s="75">
        <v>36647</v>
      </c>
      <c r="B642">
        <v>171.2</v>
      </c>
      <c r="C642">
        <v>120</v>
      </c>
      <c r="D642">
        <v>167.8</v>
      </c>
      <c r="E642">
        <v>180.7</v>
      </c>
    </row>
    <row r="643" spans="1:5" x14ac:dyDescent="0.2">
      <c r="A643" s="75">
        <v>36678</v>
      </c>
      <c r="B643">
        <v>172.2</v>
      </c>
      <c r="C643">
        <v>126.8</v>
      </c>
      <c r="D643">
        <v>168</v>
      </c>
      <c r="E643">
        <v>181.1</v>
      </c>
    </row>
    <row r="644" spans="1:5" x14ac:dyDescent="0.2">
      <c r="A644" s="75">
        <v>36708</v>
      </c>
      <c r="B644">
        <v>172.7</v>
      </c>
      <c r="C644">
        <v>127.3</v>
      </c>
      <c r="D644">
        <v>168.8</v>
      </c>
      <c r="E644">
        <v>181.5</v>
      </c>
    </row>
    <row r="645" spans="1:5" x14ac:dyDescent="0.2">
      <c r="A645" s="75">
        <v>36739</v>
      </c>
      <c r="B645">
        <v>172.7</v>
      </c>
      <c r="C645">
        <v>123.8</v>
      </c>
      <c r="D645">
        <v>169.3</v>
      </c>
      <c r="E645">
        <v>181.9</v>
      </c>
    </row>
    <row r="646" spans="1:5" x14ac:dyDescent="0.2">
      <c r="A646" s="75">
        <v>36770</v>
      </c>
      <c r="B646">
        <v>173.6</v>
      </c>
      <c r="C646">
        <v>129.19999999999999</v>
      </c>
      <c r="D646">
        <v>169.4</v>
      </c>
      <c r="E646">
        <v>182.3</v>
      </c>
    </row>
    <row r="647" spans="1:5" x14ac:dyDescent="0.2">
      <c r="A647" s="75">
        <v>36800</v>
      </c>
      <c r="B647">
        <v>173.9</v>
      </c>
      <c r="C647">
        <v>129.6</v>
      </c>
      <c r="D647">
        <v>169.6</v>
      </c>
      <c r="E647">
        <v>182.6</v>
      </c>
    </row>
    <row r="648" spans="1:5" x14ac:dyDescent="0.2">
      <c r="A648" s="75">
        <v>36831</v>
      </c>
      <c r="B648">
        <v>174.2</v>
      </c>
      <c r="C648">
        <v>129.19999999999999</v>
      </c>
      <c r="D648">
        <v>169.7</v>
      </c>
      <c r="E648">
        <v>183.1</v>
      </c>
    </row>
    <row r="649" spans="1:5" x14ac:dyDescent="0.2">
      <c r="A649" s="75">
        <v>36861</v>
      </c>
      <c r="B649">
        <v>174.6</v>
      </c>
      <c r="C649">
        <v>130.1</v>
      </c>
      <c r="D649">
        <v>170.5</v>
      </c>
      <c r="E649">
        <v>183.3</v>
      </c>
    </row>
    <row r="650" spans="1:5" x14ac:dyDescent="0.2">
      <c r="A650" s="75">
        <v>36892</v>
      </c>
      <c r="B650">
        <v>175.6</v>
      </c>
      <c r="C650">
        <v>135</v>
      </c>
      <c r="D650">
        <v>170.9</v>
      </c>
      <c r="E650">
        <v>183.9</v>
      </c>
    </row>
    <row r="651" spans="1:5" x14ac:dyDescent="0.2">
      <c r="A651" s="75">
        <v>36923</v>
      </c>
      <c r="B651">
        <v>176</v>
      </c>
      <c r="C651">
        <v>134.1</v>
      </c>
      <c r="D651">
        <v>171.7</v>
      </c>
      <c r="E651">
        <v>184.4</v>
      </c>
    </row>
    <row r="652" spans="1:5" x14ac:dyDescent="0.2">
      <c r="A652" s="75">
        <v>36951</v>
      </c>
      <c r="B652">
        <v>176.1</v>
      </c>
      <c r="C652">
        <v>131.69999999999999</v>
      </c>
      <c r="D652">
        <v>172.2</v>
      </c>
      <c r="E652">
        <v>184.7</v>
      </c>
    </row>
    <row r="653" spans="1:5" x14ac:dyDescent="0.2">
      <c r="A653" s="75">
        <v>36982</v>
      </c>
      <c r="B653">
        <v>176.4</v>
      </c>
      <c r="C653">
        <v>132.30000000000001</v>
      </c>
      <c r="D653">
        <v>172.6</v>
      </c>
      <c r="E653">
        <v>185.1</v>
      </c>
    </row>
    <row r="654" spans="1:5" x14ac:dyDescent="0.2">
      <c r="A654" s="75">
        <v>37012</v>
      </c>
      <c r="B654">
        <v>177.3</v>
      </c>
      <c r="C654">
        <v>138.4</v>
      </c>
      <c r="D654">
        <v>172.9</v>
      </c>
      <c r="E654">
        <v>185.3</v>
      </c>
    </row>
    <row r="655" spans="1:5" x14ac:dyDescent="0.2">
      <c r="A655" s="75">
        <v>37043</v>
      </c>
      <c r="B655">
        <v>177.7</v>
      </c>
      <c r="C655">
        <v>136.9</v>
      </c>
      <c r="D655">
        <v>173.5</v>
      </c>
      <c r="E655">
        <v>186</v>
      </c>
    </row>
    <row r="656" spans="1:5" x14ac:dyDescent="0.2">
      <c r="A656" s="75">
        <v>37073</v>
      </c>
      <c r="B656">
        <v>177.4</v>
      </c>
      <c r="C656">
        <v>129.6</v>
      </c>
      <c r="D656">
        <v>174.1</v>
      </c>
      <c r="E656">
        <v>186.4</v>
      </c>
    </row>
    <row r="657" spans="1:5" x14ac:dyDescent="0.2">
      <c r="A657" s="75">
        <v>37104</v>
      </c>
      <c r="B657">
        <v>177.4</v>
      </c>
      <c r="C657">
        <v>127.3</v>
      </c>
      <c r="D657">
        <v>174.5</v>
      </c>
      <c r="E657">
        <v>186.7</v>
      </c>
    </row>
    <row r="658" spans="1:5" x14ac:dyDescent="0.2">
      <c r="A658" s="75">
        <v>37135</v>
      </c>
      <c r="B658">
        <v>178.1</v>
      </c>
      <c r="C658">
        <v>130.9</v>
      </c>
      <c r="D658">
        <v>174.7</v>
      </c>
      <c r="E658">
        <v>187.1</v>
      </c>
    </row>
    <row r="659" spans="1:5" x14ac:dyDescent="0.2">
      <c r="A659" s="75">
        <v>37165</v>
      </c>
      <c r="B659">
        <v>177.6</v>
      </c>
      <c r="C659">
        <v>122.9</v>
      </c>
      <c r="D659">
        <v>175.3</v>
      </c>
      <c r="E659">
        <v>187.4</v>
      </c>
    </row>
    <row r="660" spans="1:5" x14ac:dyDescent="0.2">
      <c r="A660" s="75">
        <v>37196</v>
      </c>
      <c r="B660">
        <v>177.5</v>
      </c>
      <c r="C660">
        <v>116.9</v>
      </c>
      <c r="D660">
        <v>175.4</v>
      </c>
      <c r="E660">
        <v>188.1</v>
      </c>
    </row>
    <row r="661" spans="1:5" x14ac:dyDescent="0.2">
      <c r="A661" s="75">
        <v>37226</v>
      </c>
      <c r="B661">
        <v>177.4</v>
      </c>
      <c r="C661">
        <v>113.9</v>
      </c>
      <c r="D661">
        <v>175.2</v>
      </c>
      <c r="E661">
        <v>188.4</v>
      </c>
    </row>
    <row r="662" spans="1:5" x14ac:dyDescent="0.2">
      <c r="A662" s="75">
        <v>37257</v>
      </c>
      <c r="B662">
        <v>177.7</v>
      </c>
      <c r="C662">
        <v>114.2</v>
      </c>
      <c r="D662">
        <v>175.8</v>
      </c>
      <c r="E662">
        <v>188.7</v>
      </c>
    </row>
    <row r="663" spans="1:5" x14ac:dyDescent="0.2">
      <c r="A663" s="75">
        <v>37288</v>
      </c>
      <c r="B663">
        <v>178</v>
      </c>
      <c r="C663">
        <v>113.5</v>
      </c>
      <c r="D663">
        <v>176.2</v>
      </c>
      <c r="E663">
        <v>189.1</v>
      </c>
    </row>
    <row r="664" spans="1:5" x14ac:dyDescent="0.2">
      <c r="A664" s="75">
        <v>37316</v>
      </c>
      <c r="B664">
        <v>178.5</v>
      </c>
      <c r="C664">
        <v>117.6</v>
      </c>
      <c r="D664">
        <v>176.6</v>
      </c>
      <c r="E664">
        <v>189.2</v>
      </c>
    </row>
    <row r="665" spans="1:5" x14ac:dyDescent="0.2">
      <c r="A665" s="75">
        <v>37347</v>
      </c>
      <c r="B665">
        <v>179.3</v>
      </c>
      <c r="C665">
        <v>121.5</v>
      </c>
      <c r="D665">
        <v>176.9</v>
      </c>
      <c r="E665">
        <v>189.7</v>
      </c>
    </row>
    <row r="666" spans="1:5" x14ac:dyDescent="0.2">
      <c r="A666" s="75">
        <v>37377</v>
      </c>
      <c r="B666">
        <v>179.5</v>
      </c>
      <c r="C666">
        <v>121.9</v>
      </c>
      <c r="D666">
        <v>176.4</v>
      </c>
      <c r="E666">
        <v>190</v>
      </c>
    </row>
    <row r="667" spans="1:5" x14ac:dyDescent="0.2">
      <c r="A667" s="75">
        <v>37408</v>
      </c>
      <c r="B667">
        <v>179.6</v>
      </c>
      <c r="C667">
        <v>121.6</v>
      </c>
      <c r="D667">
        <v>176.5</v>
      </c>
      <c r="E667">
        <v>190.2</v>
      </c>
    </row>
    <row r="668" spans="1:5" x14ac:dyDescent="0.2">
      <c r="A668" s="75">
        <v>37438</v>
      </c>
      <c r="B668">
        <v>180</v>
      </c>
      <c r="C668">
        <v>122.4</v>
      </c>
      <c r="D668">
        <v>176.7</v>
      </c>
      <c r="E668">
        <v>190.5</v>
      </c>
    </row>
    <row r="669" spans="1:5" x14ac:dyDescent="0.2">
      <c r="A669" s="75">
        <v>37469</v>
      </c>
      <c r="B669">
        <v>180.5</v>
      </c>
      <c r="C669">
        <v>123.1</v>
      </c>
      <c r="D669">
        <v>176.7</v>
      </c>
      <c r="E669">
        <v>191.1</v>
      </c>
    </row>
    <row r="670" spans="1:5" x14ac:dyDescent="0.2">
      <c r="A670" s="75">
        <v>37500</v>
      </c>
      <c r="B670">
        <v>180.8</v>
      </c>
      <c r="C670">
        <v>123.7</v>
      </c>
      <c r="D670">
        <v>177</v>
      </c>
      <c r="E670">
        <v>191.3</v>
      </c>
    </row>
    <row r="671" spans="1:5" x14ac:dyDescent="0.2">
      <c r="A671" s="75">
        <v>37530</v>
      </c>
      <c r="B671">
        <v>181.2</v>
      </c>
      <c r="C671">
        <v>126.9</v>
      </c>
      <c r="D671">
        <v>177</v>
      </c>
      <c r="E671">
        <v>191.5</v>
      </c>
    </row>
    <row r="672" spans="1:5" x14ac:dyDescent="0.2">
      <c r="A672" s="75">
        <v>37561</v>
      </c>
      <c r="B672">
        <v>181.5</v>
      </c>
      <c r="C672">
        <v>126.7</v>
      </c>
      <c r="D672">
        <v>177.5</v>
      </c>
      <c r="E672">
        <v>191.9</v>
      </c>
    </row>
    <row r="673" spans="1:5" x14ac:dyDescent="0.2">
      <c r="A673" s="75">
        <v>37591</v>
      </c>
      <c r="B673">
        <v>181.8</v>
      </c>
      <c r="C673">
        <v>127.1</v>
      </c>
      <c r="D673">
        <v>177.7</v>
      </c>
      <c r="E673">
        <v>192.1</v>
      </c>
    </row>
    <row r="674" spans="1:5" x14ac:dyDescent="0.2">
      <c r="A674" s="75">
        <v>37622</v>
      </c>
      <c r="B674">
        <v>182.6</v>
      </c>
      <c r="C674">
        <v>133.5</v>
      </c>
      <c r="D674">
        <v>177.7</v>
      </c>
      <c r="E674">
        <v>192.4</v>
      </c>
    </row>
    <row r="675" spans="1:5" x14ac:dyDescent="0.2">
      <c r="A675" s="75">
        <v>37653</v>
      </c>
      <c r="B675">
        <v>183.6</v>
      </c>
      <c r="C675">
        <v>140.80000000000001</v>
      </c>
      <c r="D675">
        <v>178.7</v>
      </c>
      <c r="E675">
        <v>192.5</v>
      </c>
    </row>
    <row r="676" spans="1:5" x14ac:dyDescent="0.2">
      <c r="A676" s="75">
        <v>37681</v>
      </c>
      <c r="B676">
        <v>183.9</v>
      </c>
      <c r="C676">
        <v>143.9</v>
      </c>
      <c r="D676">
        <v>179</v>
      </c>
      <c r="E676">
        <v>192.5</v>
      </c>
    </row>
    <row r="677" spans="1:5" x14ac:dyDescent="0.2">
      <c r="A677" s="75">
        <v>37712</v>
      </c>
      <c r="B677">
        <v>183.2</v>
      </c>
      <c r="C677">
        <v>136.5</v>
      </c>
      <c r="D677">
        <v>179.1</v>
      </c>
      <c r="E677">
        <v>192.5</v>
      </c>
    </row>
    <row r="678" spans="1:5" x14ac:dyDescent="0.2">
      <c r="A678" s="75">
        <v>37742</v>
      </c>
      <c r="B678">
        <v>182.9</v>
      </c>
      <c r="C678">
        <v>129.4</v>
      </c>
      <c r="D678">
        <v>179.4</v>
      </c>
      <c r="E678">
        <v>192.9</v>
      </c>
    </row>
    <row r="679" spans="1:5" x14ac:dyDescent="0.2">
      <c r="A679" s="75">
        <v>37773</v>
      </c>
      <c r="B679">
        <v>183.1</v>
      </c>
      <c r="C679">
        <v>129.80000000000001</v>
      </c>
      <c r="D679">
        <v>180.3</v>
      </c>
      <c r="E679">
        <v>193</v>
      </c>
    </row>
    <row r="680" spans="1:5" x14ac:dyDescent="0.2">
      <c r="A680" s="75">
        <v>37803</v>
      </c>
      <c r="B680">
        <v>183.7</v>
      </c>
      <c r="C680">
        <v>132.19999999999999</v>
      </c>
      <c r="D680">
        <v>180.4</v>
      </c>
      <c r="E680">
        <v>193.4</v>
      </c>
    </row>
    <row r="681" spans="1:5" x14ac:dyDescent="0.2">
      <c r="A681" s="75">
        <v>37834</v>
      </c>
      <c r="B681">
        <v>184.5</v>
      </c>
      <c r="C681">
        <v>137.80000000000001</v>
      </c>
      <c r="D681">
        <v>181.1</v>
      </c>
      <c r="E681">
        <v>193.6</v>
      </c>
    </row>
    <row r="682" spans="1:5" x14ac:dyDescent="0.2">
      <c r="A682" s="75">
        <v>37865</v>
      </c>
      <c r="B682">
        <v>185.1</v>
      </c>
      <c r="C682">
        <v>142.9</v>
      </c>
      <c r="D682">
        <v>181.5</v>
      </c>
      <c r="E682">
        <v>193.7</v>
      </c>
    </row>
    <row r="683" spans="1:5" x14ac:dyDescent="0.2">
      <c r="A683" s="75">
        <v>37895</v>
      </c>
      <c r="B683">
        <v>184.9</v>
      </c>
      <c r="C683">
        <v>137.80000000000001</v>
      </c>
      <c r="D683">
        <v>182.2</v>
      </c>
      <c r="E683">
        <v>194</v>
      </c>
    </row>
    <row r="684" spans="1:5" x14ac:dyDescent="0.2">
      <c r="A684" s="75">
        <v>37926</v>
      </c>
      <c r="B684">
        <v>185</v>
      </c>
      <c r="C684">
        <v>136.9</v>
      </c>
      <c r="D684">
        <v>183.1</v>
      </c>
      <c r="E684">
        <v>194</v>
      </c>
    </row>
    <row r="685" spans="1:5" x14ac:dyDescent="0.2">
      <c r="A685" s="75">
        <v>37956</v>
      </c>
      <c r="B685">
        <v>185.5</v>
      </c>
      <c r="C685">
        <v>138.80000000000001</v>
      </c>
      <c r="D685">
        <v>184</v>
      </c>
      <c r="E685">
        <v>194.2</v>
      </c>
    </row>
    <row r="686" spans="1:5" x14ac:dyDescent="0.2">
      <c r="A686" s="75">
        <v>37987</v>
      </c>
      <c r="B686">
        <v>186.3</v>
      </c>
      <c r="C686">
        <v>143.9</v>
      </c>
      <c r="D686">
        <v>183.9</v>
      </c>
      <c r="E686">
        <v>194.6</v>
      </c>
    </row>
    <row r="687" spans="1:5" x14ac:dyDescent="0.2">
      <c r="A687" s="75">
        <v>38018</v>
      </c>
      <c r="B687">
        <v>186.7</v>
      </c>
      <c r="C687">
        <v>145.80000000000001</v>
      </c>
      <c r="D687">
        <v>184.3</v>
      </c>
      <c r="E687">
        <v>194.9</v>
      </c>
    </row>
    <row r="688" spans="1:5" x14ac:dyDescent="0.2">
      <c r="A688" s="75">
        <v>38047</v>
      </c>
      <c r="B688">
        <v>187.1</v>
      </c>
      <c r="C688">
        <v>145.1</v>
      </c>
      <c r="D688">
        <v>184.7</v>
      </c>
      <c r="E688">
        <v>195.5</v>
      </c>
    </row>
    <row r="689" spans="1:5" x14ac:dyDescent="0.2">
      <c r="A689" s="75">
        <v>38078</v>
      </c>
      <c r="B689">
        <v>187.4</v>
      </c>
      <c r="C689">
        <v>143.4</v>
      </c>
      <c r="D689">
        <v>185.1</v>
      </c>
      <c r="E689">
        <v>195.9</v>
      </c>
    </row>
    <row r="690" spans="1:5" x14ac:dyDescent="0.2">
      <c r="A690" s="75">
        <v>38108</v>
      </c>
      <c r="B690">
        <v>188.2</v>
      </c>
      <c r="C690">
        <v>147.6</v>
      </c>
      <c r="D690">
        <v>186.5</v>
      </c>
      <c r="E690">
        <v>196.2</v>
      </c>
    </row>
    <row r="691" spans="1:5" x14ac:dyDescent="0.2">
      <c r="A691" s="75">
        <v>38139</v>
      </c>
      <c r="B691">
        <v>188.9</v>
      </c>
      <c r="C691">
        <v>151.5</v>
      </c>
      <c r="D691">
        <v>186.9</v>
      </c>
      <c r="E691">
        <v>196.6</v>
      </c>
    </row>
    <row r="692" spans="1:5" x14ac:dyDescent="0.2">
      <c r="A692" s="75">
        <v>38169</v>
      </c>
      <c r="B692">
        <v>189.1</v>
      </c>
      <c r="C692">
        <v>151.1</v>
      </c>
      <c r="D692">
        <v>187.3</v>
      </c>
      <c r="E692">
        <v>196.8</v>
      </c>
    </row>
    <row r="693" spans="1:5" x14ac:dyDescent="0.2">
      <c r="A693" s="75">
        <v>38200</v>
      </c>
      <c r="B693">
        <v>189.2</v>
      </c>
      <c r="C693">
        <v>151.5</v>
      </c>
      <c r="D693">
        <v>187.5</v>
      </c>
      <c r="E693">
        <v>196.9</v>
      </c>
    </row>
    <row r="694" spans="1:5" x14ac:dyDescent="0.2">
      <c r="A694" s="75">
        <v>38231</v>
      </c>
      <c r="B694">
        <v>189.8</v>
      </c>
      <c r="C694">
        <v>152.9</v>
      </c>
      <c r="D694">
        <v>187.4</v>
      </c>
      <c r="E694">
        <v>197.5</v>
      </c>
    </row>
    <row r="695" spans="1:5" x14ac:dyDescent="0.2">
      <c r="A695" s="75">
        <v>38261</v>
      </c>
      <c r="B695">
        <v>190.8</v>
      </c>
      <c r="C695">
        <v>158.6</v>
      </c>
      <c r="D695">
        <v>188.3</v>
      </c>
      <c r="E695">
        <v>197.9</v>
      </c>
    </row>
    <row r="696" spans="1:5" x14ac:dyDescent="0.2">
      <c r="A696" s="75">
        <v>38292</v>
      </c>
      <c r="B696">
        <v>191.7</v>
      </c>
      <c r="C696">
        <v>163.80000000000001</v>
      </c>
      <c r="D696">
        <v>188.9</v>
      </c>
      <c r="E696">
        <v>198.3</v>
      </c>
    </row>
    <row r="697" spans="1:5" x14ac:dyDescent="0.2">
      <c r="A697" s="75">
        <v>38322</v>
      </c>
      <c r="B697">
        <v>191.7</v>
      </c>
      <c r="C697">
        <v>162.30000000000001</v>
      </c>
      <c r="D697">
        <v>188.9</v>
      </c>
      <c r="E697">
        <v>198.6</v>
      </c>
    </row>
    <row r="698" spans="1:5" x14ac:dyDescent="0.2">
      <c r="A698" s="75">
        <v>38353</v>
      </c>
      <c r="B698">
        <v>191.6</v>
      </c>
      <c r="C698">
        <v>157.19999999999999</v>
      </c>
      <c r="D698">
        <v>189.1</v>
      </c>
      <c r="E698">
        <v>199</v>
      </c>
    </row>
    <row r="699" spans="1:5" x14ac:dyDescent="0.2">
      <c r="A699" s="75">
        <v>38384</v>
      </c>
      <c r="B699">
        <v>192.4</v>
      </c>
      <c r="C699">
        <v>161.80000000000001</v>
      </c>
      <c r="D699">
        <v>189.2</v>
      </c>
      <c r="E699">
        <v>199.4</v>
      </c>
    </row>
    <row r="700" spans="1:5" x14ac:dyDescent="0.2">
      <c r="A700" s="75">
        <v>38412</v>
      </c>
      <c r="B700">
        <v>193.1</v>
      </c>
      <c r="C700">
        <v>163.5</v>
      </c>
      <c r="D700">
        <v>189.6</v>
      </c>
      <c r="E700">
        <v>200.1</v>
      </c>
    </row>
    <row r="701" spans="1:5" x14ac:dyDescent="0.2">
      <c r="A701" s="75">
        <v>38443</v>
      </c>
      <c r="B701">
        <v>193.7</v>
      </c>
      <c r="C701">
        <v>166.7</v>
      </c>
      <c r="D701">
        <v>190.8</v>
      </c>
      <c r="E701">
        <v>200.2</v>
      </c>
    </row>
    <row r="702" spans="1:5" x14ac:dyDescent="0.2">
      <c r="A702" s="75">
        <v>38473</v>
      </c>
      <c r="B702">
        <v>193.6</v>
      </c>
      <c r="C702">
        <v>163.30000000000001</v>
      </c>
      <c r="D702">
        <v>191</v>
      </c>
      <c r="E702">
        <v>200.5</v>
      </c>
    </row>
    <row r="703" spans="1:5" x14ac:dyDescent="0.2">
      <c r="A703" s="75">
        <v>38504</v>
      </c>
      <c r="B703">
        <v>193.7</v>
      </c>
      <c r="C703">
        <v>163.69999999999999</v>
      </c>
      <c r="D703">
        <v>191</v>
      </c>
      <c r="E703">
        <v>200.6</v>
      </c>
    </row>
    <row r="704" spans="1:5" x14ac:dyDescent="0.2">
      <c r="A704" s="75">
        <v>38534</v>
      </c>
      <c r="B704">
        <v>194.9</v>
      </c>
      <c r="C704">
        <v>172.8</v>
      </c>
      <c r="D704">
        <v>191.4</v>
      </c>
      <c r="E704">
        <v>200.9</v>
      </c>
    </row>
    <row r="705" spans="1:5" x14ac:dyDescent="0.2">
      <c r="A705" s="75">
        <v>38565</v>
      </c>
      <c r="B705">
        <v>196.1</v>
      </c>
      <c r="C705">
        <v>183.5</v>
      </c>
      <c r="D705">
        <v>191.5</v>
      </c>
      <c r="E705">
        <v>201.1</v>
      </c>
    </row>
    <row r="706" spans="1:5" x14ac:dyDescent="0.2">
      <c r="A706" s="75">
        <v>38596</v>
      </c>
      <c r="B706">
        <v>198.8</v>
      </c>
      <c r="C706">
        <v>208.2</v>
      </c>
      <c r="D706">
        <v>191.9</v>
      </c>
      <c r="E706">
        <v>201.3</v>
      </c>
    </row>
    <row r="707" spans="1:5" x14ac:dyDescent="0.2">
      <c r="A707" s="75">
        <v>38626</v>
      </c>
      <c r="B707">
        <v>199.1</v>
      </c>
      <c r="C707">
        <v>205.9</v>
      </c>
      <c r="D707">
        <v>192.4</v>
      </c>
      <c r="E707">
        <v>202</v>
      </c>
    </row>
    <row r="708" spans="1:5" x14ac:dyDescent="0.2">
      <c r="A708" s="75">
        <v>38657</v>
      </c>
      <c r="B708">
        <v>198.1</v>
      </c>
      <c r="C708">
        <v>191</v>
      </c>
      <c r="D708">
        <v>193</v>
      </c>
      <c r="E708">
        <v>202.5</v>
      </c>
    </row>
    <row r="709" spans="1:5" x14ac:dyDescent="0.2">
      <c r="A709" s="75">
        <v>38687</v>
      </c>
      <c r="B709">
        <v>198.1</v>
      </c>
      <c r="C709">
        <v>187.6</v>
      </c>
      <c r="D709">
        <v>193.3</v>
      </c>
      <c r="E709">
        <v>202.8</v>
      </c>
    </row>
    <row r="710" spans="1:5" x14ac:dyDescent="0.2">
      <c r="A710" s="75">
        <v>38718</v>
      </c>
      <c r="B710">
        <v>199.3</v>
      </c>
      <c r="C710">
        <v>196.6</v>
      </c>
      <c r="D710">
        <v>194.1</v>
      </c>
      <c r="E710">
        <v>203.2</v>
      </c>
    </row>
    <row r="711" spans="1:5" x14ac:dyDescent="0.2">
      <c r="A711" s="75">
        <v>38749</v>
      </c>
      <c r="B711">
        <v>199.4</v>
      </c>
      <c r="C711">
        <v>194.1</v>
      </c>
      <c r="D711">
        <v>194.2</v>
      </c>
      <c r="E711">
        <v>203.6</v>
      </c>
    </row>
    <row r="712" spans="1:5" x14ac:dyDescent="0.2">
      <c r="A712" s="75">
        <v>38777</v>
      </c>
      <c r="B712">
        <v>199.7</v>
      </c>
      <c r="C712">
        <v>192</v>
      </c>
      <c r="D712">
        <v>194.4</v>
      </c>
      <c r="E712">
        <v>204.3</v>
      </c>
    </row>
    <row r="713" spans="1:5" x14ac:dyDescent="0.2">
      <c r="A713" s="75">
        <v>38808</v>
      </c>
      <c r="B713">
        <v>200.7</v>
      </c>
      <c r="C713">
        <v>198.5</v>
      </c>
      <c r="D713">
        <v>194.3</v>
      </c>
      <c r="E713">
        <v>204.8</v>
      </c>
    </row>
    <row r="714" spans="1:5" x14ac:dyDescent="0.2">
      <c r="A714" s="75">
        <v>38838</v>
      </c>
      <c r="B714">
        <v>201.3</v>
      </c>
      <c r="C714">
        <v>199.8</v>
      </c>
      <c r="D714">
        <v>194.7</v>
      </c>
      <c r="E714">
        <v>205.4</v>
      </c>
    </row>
    <row r="715" spans="1:5" x14ac:dyDescent="0.2">
      <c r="A715" s="75">
        <v>38869</v>
      </c>
      <c r="B715">
        <v>201.8</v>
      </c>
      <c r="C715">
        <v>199.8</v>
      </c>
      <c r="D715">
        <v>195.3</v>
      </c>
      <c r="E715">
        <v>205.9</v>
      </c>
    </row>
    <row r="716" spans="1:5" x14ac:dyDescent="0.2">
      <c r="A716" s="75">
        <v>38899</v>
      </c>
      <c r="B716">
        <v>202.9</v>
      </c>
      <c r="C716">
        <v>207.9</v>
      </c>
      <c r="D716">
        <v>195.7</v>
      </c>
      <c r="E716">
        <v>206.3</v>
      </c>
    </row>
    <row r="717" spans="1:5" x14ac:dyDescent="0.2">
      <c r="A717" s="75">
        <v>38930</v>
      </c>
      <c r="B717">
        <v>203.8</v>
      </c>
      <c r="C717">
        <v>211.9</v>
      </c>
      <c r="D717">
        <v>196.2</v>
      </c>
      <c r="E717">
        <v>206.8</v>
      </c>
    </row>
    <row r="718" spans="1:5" x14ac:dyDescent="0.2">
      <c r="A718" s="75">
        <v>38961</v>
      </c>
      <c r="B718">
        <v>202.8</v>
      </c>
      <c r="C718">
        <v>198.1</v>
      </c>
      <c r="D718">
        <v>196.8</v>
      </c>
      <c r="E718">
        <v>207.2</v>
      </c>
    </row>
    <row r="719" spans="1:5" x14ac:dyDescent="0.2">
      <c r="A719" s="75">
        <v>38991</v>
      </c>
      <c r="B719">
        <v>201.9</v>
      </c>
      <c r="C719">
        <v>184.1</v>
      </c>
      <c r="D719">
        <v>197.4</v>
      </c>
      <c r="E719">
        <v>207.6</v>
      </c>
    </row>
    <row r="720" spans="1:5" x14ac:dyDescent="0.2">
      <c r="A720" s="75">
        <v>39022</v>
      </c>
      <c r="B720">
        <v>202</v>
      </c>
      <c r="C720">
        <v>184.1</v>
      </c>
      <c r="D720">
        <v>197.4</v>
      </c>
      <c r="E720">
        <v>207.8</v>
      </c>
    </row>
    <row r="721" spans="1:5" x14ac:dyDescent="0.2">
      <c r="A721" s="75">
        <v>39052</v>
      </c>
      <c r="B721">
        <v>203.1</v>
      </c>
      <c r="C721">
        <v>192.7</v>
      </c>
      <c r="D721">
        <v>197.5</v>
      </c>
      <c r="E721">
        <v>208.1</v>
      </c>
    </row>
    <row r="722" spans="1:5" x14ac:dyDescent="0.2">
      <c r="A722" s="75">
        <v>39083</v>
      </c>
      <c r="B722">
        <v>203.43700000000001</v>
      </c>
      <c r="C722">
        <v>190.28100000000001</v>
      </c>
      <c r="D722">
        <v>198.81299999999999</v>
      </c>
      <c r="E722">
        <v>208.6</v>
      </c>
    </row>
    <row r="723" spans="1:5" x14ac:dyDescent="0.2">
      <c r="A723" s="75">
        <v>39114</v>
      </c>
      <c r="B723">
        <v>204.226</v>
      </c>
      <c r="C723">
        <v>192.31</v>
      </c>
      <c r="D723">
        <v>200.126</v>
      </c>
      <c r="E723">
        <v>209.13499999999999</v>
      </c>
    </row>
    <row r="724" spans="1:5" x14ac:dyDescent="0.2">
      <c r="A724" s="75">
        <v>39142</v>
      </c>
      <c r="B724">
        <v>205.28800000000001</v>
      </c>
      <c r="C724">
        <v>200.20599999999999</v>
      </c>
      <c r="D724">
        <v>200.85300000000001</v>
      </c>
      <c r="E724">
        <v>209.41800000000001</v>
      </c>
    </row>
    <row r="725" spans="1:5" x14ac:dyDescent="0.2">
      <c r="A725" s="75">
        <v>39173</v>
      </c>
      <c r="B725">
        <v>205.904</v>
      </c>
      <c r="C725">
        <v>203.30699999999999</v>
      </c>
      <c r="D725">
        <v>201.392</v>
      </c>
      <c r="E725">
        <v>209.74700000000001</v>
      </c>
    </row>
    <row r="726" spans="1:5" x14ac:dyDescent="0.2">
      <c r="A726" s="75">
        <v>39203</v>
      </c>
      <c r="B726">
        <v>206.755</v>
      </c>
      <c r="C726">
        <v>208.63499999999999</v>
      </c>
      <c r="D726">
        <v>202.15700000000001</v>
      </c>
      <c r="E726">
        <v>210.05799999999999</v>
      </c>
    </row>
    <row r="727" spans="1:5" x14ac:dyDescent="0.2">
      <c r="A727" s="75">
        <v>39234</v>
      </c>
      <c r="B727">
        <v>207.23400000000001</v>
      </c>
      <c r="C727">
        <v>209.79900000000001</v>
      </c>
      <c r="D727">
        <v>202.977</v>
      </c>
      <c r="E727">
        <v>210.392</v>
      </c>
    </row>
    <row r="728" spans="1:5" x14ac:dyDescent="0.2">
      <c r="A728" s="75">
        <v>39264</v>
      </c>
      <c r="B728">
        <v>207.60300000000001</v>
      </c>
      <c r="C728">
        <v>209.63900000000001</v>
      </c>
      <c r="D728">
        <v>203.64</v>
      </c>
      <c r="E728">
        <v>210.773</v>
      </c>
    </row>
    <row r="729" spans="1:5" x14ac:dyDescent="0.2">
      <c r="A729" s="75">
        <v>39295</v>
      </c>
      <c r="B729">
        <v>207.667</v>
      </c>
      <c r="C729">
        <v>206.41200000000001</v>
      </c>
      <c r="D729">
        <v>204.41800000000001</v>
      </c>
      <c r="E729">
        <v>211.119</v>
      </c>
    </row>
    <row r="730" spans="1:5" x14ac:dyDescent="0.2">
      <c r="A730" s="75">
        <v>39326</v>
      </c>
      <c r="B730">
        <v>208.547</v>
      </c>
      <c r="C730">
        <v>210.74199999999999</v>
      </c>
      <c r="D730">
        <v>205.34700000000001</v>
      </c>
      <c r="E730">
        <v>211.554</v>
      </c>
    </row>
    <row r="731" spans="1:5" x14ac:dyDescent="0.2">
      <c r="A731" s="75">
        <v>39356</v>
      </c>
      <c r="B731">
        <v>209.19</v>
      </c>
      <c r="C731">
        <v>212.386</v>
      </c>
      <c r="D731">
        <v>205.988</v>
      </c>
      <c r="E731">
        <v>212.077</v>
      </c>
    </row>
    <row r="732" spans="1:5" x14ac:dyDescent="0.2">
      <c r="A732" s="75">
        <v>39387</v>
      </c>
      <c r="B732">
        <v>210.834</v>
      </c>
      <c r="C732">
        <v>223.81399999999999</v>
      </c>
      <c r="D732">
        <v>206.78899999999999</v>
      </c>
      <c r="E732">
        <v>212.66</v>
      </c>
    </row>
    <row r="733" spans="1:5" x14ac:dyDescent="0.2">
      <c r="A733" s="75">
        <v>39417</v>
      </c>
      <c r="B733">
        <v>211.44499999999999</v>
      </c>
      <c r="C733">
        <v>225.649</v>
      </c>
      <c r="D733">
        <v>207.14099999999999</v>
      </c>
      <c r="E733">
        <v>213.16800000000001</v>
      </c>
    </row>
    <row r="734" spans="1:5" x14ac:dyDescent="0.2">
      <c r="A734" s="75">
        <v>39448</v>
      </c>
      <c r="B734">
        <v>212.17400000000001</v>
      </c>
      <c r="C734">
        <v>226.77500000000001</v>
      </c>
      <c r="D734">
        <v>208.392</v>
      </c>
      <c r="E734">
        <v>213.77099999999999</v>
      </c>
    </row>
    <row r="735" spans="1:5" x14ac:dyDescent="0.2">
      <c r="A735" s="75">
        <v>39479</v>
      </c>
      <c r="B735">
        <v>212.68700000000001</v>
      </c>
      <c r="C735">
        <v>229.73099999999999</v>
      </c>
      <c r="D735">
        <v>209.18299999999999</v>
      </c>
      <c r="E735">
        <v>213.93899999999999</v>
      </c>
    </row>
    <row r="736" spans="1:5" x14ac:dyDescent="0.2">
      <c r="A736" s="75">
        <v>39508</v>
      </c>
      <c r="B736">
        <v>213.44800000000001</v>
      </c>
      <c r="C736">
        <v>233.34899999999999</v>
      </c>
      <c r="D736">
        <v>209.595</v>
      </c>
      <c r="E736">
        <v>214.42</v>
      </c>
    </row>
    <row r="737" spans="1:5" x14ac:dyDescent="0.2">
      <c r="A737" s="75">
        <v>39539</v>
      </c>
      <c r="B737">
        <v>213.94200000000001</v>
      </c>
      <c r="C737">
        <v>234.77799999999999</v>
      </c>
      <c r="D737">
        <v>211.36799999999999</v>
      </c>
      <c r="E737">
        <v>214.56</v>
      </c>
    </row>
    <row r="738" spans="1:5" x14ac:dyDescent="0.2">
      <c r="A738" s="75">
        <v>39569</v>
      </c>
      <c r="B738">
        <v>215.208</v>
      </c>
      <c r="C738">
        <v>243.92400000000001</v>
      </c>
      <c r="D738">
        <v>212.20400000000001</v>
      </c>
      <c r="E738">
        <v>214.93600000000001</v>
      </c>
    </row>
    <row r="739" spans="1:5" x14ac:dyDescent="0.2">
      <c r="A739" s="75">
        <v>39600</v>
      </c>
      <c r="B739">
        <v>217.46299999999999</v>
      </c>
      <c r="C739">
        <v>262.08100000000002</v>
      </c>
      <c r="D739">
        <v>213.452</v>
      </c>
      <c r="E739">
        <v>215.42400000000001</v>
      </c>
    </row>
    <row r="740" spans="1:5" x14ac:dyDescent="0.2">
      <c r="A740" s="75">
        <v>39630</v>
      </c>
      <c r="B740">
        <v>219.01599999999999</v>
      </c>
      <c r="C740">
        <v>271.149</v>
      </c>
      <c r="D740">
        <v>215.44900000000001</v>
      </c>
      <c r="E740">
        <v>215.965</v>
      </c>
    </row>
    <row r="741" spans="1:5" x14ac:dyDescent="0.2">
      <c r="A741" s="75">
        <v>39661</v>
      </c>
      <c r="B741">
        <v>218.69</v>
      </c>
      <c r="C741">
        <v>262.56599999999997</v>
      </c>
      <c r="D741">
        <v>216.53</v>
      </c>
      <c r="E741">
        <v>216.393</v>
      </c>
    </row>
    <row r="742" spans="1:5" x14ac:dyDescent="0.2">
      <c r="A742" s="75">
        <v>39692</v>
      </c>
      <c r="B742">
        <v>218.87700000000001</v>
      </c>
      <c r="C742">
        <v>260.125</v>
      </c>
      <c r="D742">
        <v>217.749</v>
      </c>
      <c r="E742">
        <v>216.71299999999999</v>
      </c>
    </row>
    <row r="743" spans="1:5" x14ac:dyDescent="0.2">
      <c r="A743" s="75">
        <v>39722</v>
      </c>
      <c r="B743">
        <v>216.995</v>
      </c>
      <c r="C743">
        <v>238.065</v>
      </c>
      <c r="D743">
        <v>218.63200000000001</v>
      </c>
      <c r="E743">
        <v>216.78800000000001</v>
      </c>
    </row>
    <row r="744" spans="1:5" x14ac:dyDescent="0.2">
      <c r="A744" s="75">
        <v>39753</v>
      </c>
      <c r="B744">
        <v>213.15299999999999</v>
      </c>
      <c r="C744">
        <v>195.155</v>
      </c>
      <c r="D744">
        <v>219.07900000000001</v>
      </c>
      <c r="E744">
        <v>216.947</v>
      </c>
    </row>
    <row r="745" spans="1:5" x14ac:dyDescent="0.2">
      <c r="A745" s="75">
        <v>39783</v>
      </c>
      <c r="B745">
        <v>211.398</v>
      </c>
      <c r="C745">
        <v>176.583</v>
      </c>
      <c r="D745">
        <v>219.15100000000001</v>
      </c>
      <c r="E745">
        <v>216.92500000000001</v>
      </c>
    </row>
    <row r="746" spans="1:5" x14ac:dyDescent="0.2">
      <c r="A746" s="75">
        <v>39814</v>
      </c>
      <c r="B746">
        <v>211.93299999999999</v>
      </c>
      <c r="C746">
        <v>178.661</v>
      </c>
      <c r="D746">
        <v>219.32300000000001</v>
      </c>
      <c r="E746">
        <v>217.346</v>
      </c>
    </row>
    <row r="747" spans="1:5" x14ac:dyDescent="0.2">
      <c r="A747" s="75">
        <v>39845</v>
      </c>
      <c r="B747">
        <v>212.70500000000001</v>
      </c>
      <c r="C747">
        <v>183.721</v>
      </c>
      <c r="D747">
        <v>219.05799999999999</v>
      </c>
      <c r="E747">
        <v>217.792</v>
      </c>
    </row>
    <row r="748" spans="1:5" x14ac:dyDescent="0.2">
      <c r="A748" s="75">
        <v>39873</v>
      </c>
      <c r="B748">
        <v>212.495</v>
      </c>
      <c r="C748">
        <v>178.41499999999999</v>
      </c>
      <c r="D748">
        <v>218.68199999999999</v>
      </c>
      <c r="E748">
        <v>218.25299999999999</v>
      </c>
    </row>
    <row r="749" spans="1:5" x14ac:dyDescent="0.2">
      <c r="A749" s="75">
        <v>39904</v>
      </c>
      <c r="B749">
        <v>212.709</v>
      </c>
      <c r="C749">
        <v>177.55199999999999</v>
      </c>
      <c r="D749">
        <v>218.37200000000001</v>
      </c>
      <c r="E749">
        <v>218.70599999999999</v>
      </c>
    </row>
    <row r="750" spans="1:5" x14ac:dyDescent="0.2">
      <c r="A750" s="75">
        <v>39934</v>
      </c>
      <c r="B750">
        <v>213.02199999999999</v>
      </c>
      <c r="C750">
        <v>179.83</v>
      </c>
      <c r="D750">
        <v>218.053</v>
      </c>
      <c r="E750">
        <v>218.904</v>
      </c>
    </row>
    <row r="751" spans="1:5" x14ac:dyDescent="0.2">
      <c r="A751" s="75">
        <v>39965</v>
      </c>
      <c r="B751">
        <v>214.79</v>
      </c>
      <c r="C751">
        <v>197.03299999999999</v>
      </c>
      <c r="D751">
        <v>218.09200000000001</v>
      </c>
      <c r="E751">
        <v>219.11199999999999</v>
      </c>
    </row>
    <row r="752" spans="1:5" x14ac:dyDescent="0.2">
      <c r="A752" s="75">
        <v>39995</v>
      </c>
      <c r="B752">
        <v>214.726</v>
      </c>
      <c r="C752">
        <v>195.77799999999999</v>
      </c>
      <c r="D752">
        <v>217.72499999999999</v>
      </c>
      <c r="E752">
        <v>219.26300000000001</v>
      </c>
    </row>
    <row r="753" spans="1:5" x14ac:dyDescent="0.2">
      <c r="A753" s="75">
        <v>40026</v>
      </c>
      <c r="B753">
        <v>215.44499999999999</v>
      </c>
      <c r="C753">
        <v>201.583</v>
      </c>
      <c r="D753">
        <v>217.738</v>
      </c>
      <c r="E753">
        <v>219.49600000000001</v>
      </c>
    </row>
    <row r="754" spans="1:5" x14ac:dyDescent="0.2">
      <c r="A754" s="75">
        <v>40057</v>
      </c>
      <c r="B754">
        <v>215.86099999999999</v>
      </c>
      <c r="C754">
        <v>202.77699999999999</v>
      </c>
      <c r="D754">
        <v>217.66399999999999</v>
      </c>
      <c r="E754">
        <v>219.92</v>
      </c>
    </row>
    <row r="755" spans="1:5" x14ac:dyDescent="0.2">
      <c r="A755" s="75">
        <v>40087</v>
      </c>
      <c r="B755">
        <v>216.50899999999999</v>
      </c>
      <c r="C755">
        <v>204.71899999999999</v>
      </c>
      <c r="D755">
        <v>217.881</v>
      </c>
      <c r="E755">
        <v>220.501</v>
      </c>
    </row>
    <row r="756" spans="1:5" x14ac:dyDescent="0.2">
      <c r="A756" s="75">
        <v>40118</v>
      </c>
      <c r="B756">
        <v>217.23400000000001</v>
      </c>
      <c r="C756">
        <v>210.93199999999999</v>
      </c>
      <c r="D756">
        <v>218.05500000000001</v>
      </c>
      <c r="E756">
        <v>220.666</v>
      </c>
    </row>
    <row r="757" spans="1:5" x14ac:dyDescent="0.2">
      <c r="A757" s="75">
        <v>40148</v>
      </c>
      <c r="B757">
        <v>217.34700000000001</v>
      </c>
      <c r="C757">
        <v>209.91499999999999</v>
      </c>
      <c r="D757">
        <v>218.34100000000001</v>
      </c>
      <c r="E757">
        <v>220.881</v>
      </c>
    </row>
    <row r="758" spans="1:5" x14ac:dyDescent="0.2">
      <c r="A758" s="75">
        <v>40179</v>
      </c>
      <c r="B758">
        <v>217.488</v>
      </c>
      <c r="C758">
        <v>212.80699999999999</v>
      </c>
      <c r="D758">
        <v>218.85499999999999</v>
      </c>
      <c r="E758">
        <v>220.63300000000001</v>
      </c>
    </row>
    <row r="759" spans="1:5" x14ac:dyDescent="0.2">
      <c r="A759" s="75">
        <v>40210</v>
      </c>
      <c r="B759">
        <v>217.28100000000001</v>
      </c>
      <c r="C759">
        <v>209.624</v>
      </c>
      <c r="D759">
        <v>218.898</v>
      </c>
      <c r="E759">
        <v>220.73099999999999</v>
      </c>
    </row>
    <row r="760" spans="1:5" x14ac:dyDescent="0.2">
      <c r="A760" s="75">
        <v>40238</v>
      </c>
      <c r="B760">
        <v>217.35300000000001</v>
      </c>
      <c r="C760">
        <v>209.32599999999999</v>
      </c>
      <c r="D760">
        <v>219.321</v>
      </c>
      <c r="E760">
        <v>220.78299999999999</v>
      </c>
    </row>
    <row r="761" spans="1:5" x14ac:dyDescent="0.2">
      <c r="A761" s="75">
        <v>40269</v>
      </c>
      <c r="B761">
        <v>217.40299999999999</v>
      </c>
      <c r="C761">
        <v>209.21899999999999</v>
      </c>
      <c r="D761">
        <v>219.53100000000001</v>
      </c>
      <c r="E761">
        <v>220.822</v>
      </c>
    </row>
    <row r="762" spans="1:5" x14ac:dyDescent="0.2">
      <c r="A762" s="75">
        <v>40299</v>
      </c>
      <c r="B762">
        <v>217.29</v>
      </c>
      <c r="C762">
        <v>206.631</v>
      </c>
      <c r="D762">
        <v>219.65100000000001</v>
      </c>
      <c r="E762">
        <v>220.96199999999999</v>
      </c>
    </row>
    <row r="763" spans="1:5" x14ac:dyDescent="0.2">
      <c r="A763" s="75">
        <v>40330</v>
      </c>
      <c r="B763">
        <v>217.19900000000001</v>
      </c>
      <c r="C763">
        <v>203.76400000000001</v>
      </c>
      <c r="D763">
        <v>219.62700000000001</v>
      </c>
      <c r="E763">
        <v>221.19399999999999</v>
      </c>
    </row>
    <row r="764" spans="1:5" x14ac:dyDescent="0.2">
      <c r="A764" s="75">
        <v>40360</v>
      </c>
      <c r="B764">
        <v>217.60499999999999</v>
      </c>
      <c r="C764">
        <v>206.87700000000001</v>
      </c>
      <c r="D764">
        <v>219.643</v>
      </c>
      <c r="E764">
        <v>221.363</v>
      </c>
    </row>
    <row r="765" spans="1:5" x14ac:dyDescent="0.2">
      <c r="A765" s="75">
        <v>40391</v>
      </c>
      <c r="B765">
        <v>217.923</v>
      </c>
      <c r="C765">
        <v>208.77</v>
      </c>
      <c r="D765">
        <v>219.87899999999999</v>
      </c>
      <c r="E765">
        <v>221.50899999999999</v>
      </c>
    </row>
    <row r="766" spans="1:5" x14ac:dyDescent="0.2">
      <c r="A766" s="75">
        <v>40422</v>
      </c>
      <c r="B766">
        <v>218.27500000000001</v>
      </c>
      <c r="C766">
        <v>209.83199999999999</v>
      </c>
      <c r="D766">
        <v>220.59800000000001</v>
      </c>
      <c r="E766">
        <v>221.71100000000001</v>
      </c>
    </row>
    <row r="767" spans="1:5" x14ac:dyDescent="0.2">
      <c r="A767" s="75">
        <v>40452</v>
      </c>
      <c r="B767">
        <v>219.035</v>
      </c>
      <c r="C767">
        <v>216.71</v>
      </c>
      <c r="D767">
        <v>220.911</v>
      </c>
      <c r="E767">
        <v>221.83</v>
      </c>
    </row>
    <row r="768" spans="1:5" x14ac:dyDescent="0.2">
      <c r="A768" s="75">
        <v>40483</v>
      </c>
      <c r="B768">
        <v>219.59</v>
      </c>
      <c r="C768">
        <v>219.49600000000001</v>
      </c>
      <c r="D768">
        <v>221.315</v>
      </c>
      <c r="E768">
        <v>222.149</v>
      </c>
    </row>
    <row r="769" spans="1:5" x14ac:dyDescent="0.2">
      <c r="A769" s="75">
        <v>40513</v>
      </c>
      <c r="B769">
        <v>220.47200000000001</v>
      </c>
      <c r="C769">
        <v>227.13</v>
      </c>
      <c r="D769">
        <v>221.55600000000001</v>
      </c>
      <c r="E769">
        <v>222.34299999999999</v>
      </c>
    </row>
    <row r="770" spans="1:5" x14ac:dyDescent="0.2">
      <c r="A770" s="75">
        <v>40544</v>
      </c>
      <c r="B770">
        <v>221.18700000000001</v>
      </c>
      <c r="C770">
        <v>229.25800000000001</v>
      </c>
      <c r="D770">
        <v>222.73500000000001</v>
      </c>
      <c r="E770">
        <v>222.803</v>
      </c>
    </row>
    <row r="771" spans="1:5" x14ac:dyDescent="0.2">
      <c r="A771" s="75">
        <v>40575</v>
      </c>
      <c r="B771">
        <v>221.898</v>
      </c>
      <c r="C771">
        <v>232.06800000000001</v>
      </c>
      <c r="D771">
        <v>223.73400000000001</v>
      </c>
      <c r="E771">
        <v>223.21299999999999</v>
      </c>
    </row>
    <row r="772" spans="1:5" x14ac:dyDescent="0.2">
      <c r="A772" s="75">
        <v>40603</v>
      </c>
      <c r="B772">
        <v>223.04599999999999</v>
      </c>
      <c r="C772">
        <v>240.07900000000001</v>
      </c>
      <c r="D772">
        <v>225.33699999999999</v>
      </c>
      <c r="E772">
        <v>223.45400000000001</v>
      </c>
    </row>
    <row r="773" spans="1:5" x14ac:dyDescent="0.2">
      <c r="A773" s="75">
        <v>40634</v>
      </c>
      <c r="B773">
        <v>224.09299999999999</v>
      </c>
      <c r="C773">
        <v>247.977</v>
      </c>
      <c r="D773">
        <v>226.18</v>
      </c>
      <c r="E773">
        <v>223.727</v>
      </c>
    </row>
    <row r="774" spans="1:5" x14ac:dyDescent="0.2">
      <c r="A774" s="75">
        <v>40664</v>
      </c>
      <c r="B774">
        <v>224.80600000000001</v>
      </c>
      <c r="C774">
        <v>250.744</v>
      </c>
      <c r="D774">
        <v>227.04499999999999</v>
      </c>
      <c r="E774">
        <v>224.17500000000001</v>
      </c>
    </row>
    <row r="775" spans="1:5" x14ac:dyDescent="0.2">
      <c r="A775" s="75">
        <v>40695</v>
      </c>
      <c r="B775">
        <v>224.80600000000001</v>
      </c>
      <c r="C775">
        <v>245.53399999999999</v>
      </c>
      <c r="D775">
        <v>227.60300000000001</v>
      </c>
      <c r="E775">
        <v>224.697</v>
      </c>
    </row>
    <row r="776" spans="1:5" x14ac:dyDescent="0.2">
      <c r="A776" s="75">
        <v>40725</v>
      </c>
      <c r="B776">
        <v>225.39500000000001</v>
      </c>
      <c r="C776">
        <v>246.18700000000001</v>
      </c>
      <c r="D776">
        <v>228.47300000000001</v>
      </c>
      <c r="E776">
        <v>225.21799999999999</v>
      </c>
    </row>
    <row r="777" spans="1:5" x14ac:dyDescent="0.2">
      <c r="A777" s="75">
        <v>40756</v>
      </c>
      <c r="B777">
        <v>226.10599999999999</v>
      </c>
      <c r="C777">
        <v>246.88</v>
      </c>
      <c r="D777">
        <v>229.577</v>
      </c>
      <c r="E777">
        <v>225.86199999999999</v>
      </c>
    </row>
    <row r="778" spans="1:5" x14ac:dyDescent="0.2">
      <c r="A778" s="75">
        <v>40787</v>
      </c>
      <c r="B778">
        <v>226.59700000000001</v>
      </c>
      <c r="C778">
        <v>248.55</v>
      </c>
      <c r="D778">
        <v>230.56100000000001</v>
      </c>
      <c r="E778">
        <v>226.11799999999999</v>
      </c>
    </row>
    <row r="779" spans="1:5" x14ac:dyDescent="0.2">
      <c r="A779" s="75">
        <v>40817</v>
      </c>
      <c r="B779">
        <v>226.75</v>
      </c>
      <c r="C779">
        <v>246.655</v>
      </c>
      <c r="D779">
        <v>230.77600000000001</v>
      </c>
      <c r="E779">
        <v>226.506</v>
      </c>
    </row>
    <row r="780" spans="1:5" x14ac:dyDescent="0.2">
      <c r="A780" s="75">
        <v>40848</v>
      </c>
      <c r="B780">
        <v>227.16900000000001</v>
      </c>
      <c r="C780">
        <v>247.64</v>
      </c>
      <c r="D780">
        <v>230.976</v>
      </c>
      <c r="E780">
        <v>226.899</v>
      </c>
    </row>
    <row r="781" spans="1:5" x14ac:dyDescent="0.2">
      <c r="A781" s="75">
        <v>40878</v>
      </c>
      <c r="B781">
        <v>227.22300000000001</v>
      </c>
      <c r="C781">
        <v>243.35300000000001</v>
      </c>
      <c r="D781">
        <v>231.392</v>
      </c>
      <c r="E781">
        <v>227.405</v>
      </c>
    </row>
    <row r="782" spans="1:5" x14ac:dyDescent="0.2">
      <c r="A782" s="75">
        <v>40909</v>
      </c>
      <c r="B782">
        <v>227.84200000000001</v>
      </c>
      <c r="C782">
        <v>244.876</v>
      </c>
      <c r="D782">
        <v>232.131</v>
      </c>
      <c r="E782">
        <v>227.87700000000001</v>
      </c>
    </row>
    <row r="783" spans="1:5" x14ac:dyDescent="0.2">
      <c r="A783" s="75">
        <v>40940</v>
      </c>
      <c r="B783">
        <v>228.32900000000001</v>
      </c>
      <c r="C783">
        <v>248.898</v>
      </c>
      <c r="D783">
        <v>232.10300000000001</v>
      </c>
      <c r="E783">
        <v>228.03399999999999</v>
      </c>
    </row>
    <row r="784" spans="1:5" x14ac:dyDescent="0.2">
      <c r="A784" s="75">
        <v>40969</v>
      </c>
      <c r="B784">
        <v>228.80699999999999</v>
      </c>
      <c r="C784">
        <v>249.74199999999999</v>
      </c>
      <c r="D784">
        <v>232.50200000000001</v>
      </c>
      <c r="E784">
        <v>228.47800000000001</v>
      </c>
    </row>
    <row r="785" spans="1:5" x14ac:dyDescent="0.2">
      <c r="A785" s="75">
        <v>41000</v>
      </c>
      <c r="B785">
        <v>229.18700000000001</v>
      </c>
      <c r="C785">
        <v>249.67699999999999</v>
      </c>
      <c r="D785">
        <v>232.934</v>
      </c>
      <c r="E785">
        <v>228.905</v>
      </c>
    </row>
    <row r="786" spans="1:5" x14ac:dyDescent="0.2">
      <c r="A786" s="75">
        <v>41030</v>
      </c>
      <c r="B786">
        <v>228.71299999999999</v>
      </c>
      <c r="C786">
        <v>241.80600000000001</v>
      </c>
      <c r="D786">
        <v>233.12700000000001</v>
      </c>
      <c r="E786">
        <v>229.22399999999999</v>
      </c>
    </row>
    <row r="787" spans="1:5" x14ac:dyDescent="0.2">
      <c r="A787" s="75">
        <v>41061</v>
      </c>
      <c r="B787">
        <v>228.524</v>
      </c>
      <c r="C787">
        <v>235.89699999999999</v>
      </c>
      <c r="D787">
        <v>233.624</v>
      </c>
      <c r="E787">
        <v>229.62299999999999</v>
      </c>
    </row>
    <row r="788" spans="1:5" x14ac:dyDescent="0.2">
      <c r="A788" s="75">
        <v>41091</v>
      </c>
      <c r="B788">
        <v>228.59</v>
      </c>
      <c r="C788">
        <v>233.56800000000001</v>
      </c>
      <c r="D788">
        <v>233.75200000000001</v>
      </c>
      <c r="E788">
        <v>229.97</v>
      </c>
    </row>
    <row r="789" spans="1:5" x14ac:dyDescent="0.2">
      <c r="A789" s="75">
        <v>41122</v>
      </c>
      <c r="B789">
        <v>229.91800000000001</v>
      </c>
      <c r="C789">
        <v>244.98699999999999</v>
      </c>
      <c r="D789">
        <v>234.108</v>
      </c>
      <c r="E789">
        <v>230.233</v>
      </c>
    </row>
    <row r="790" spans="1:5" x14ac:dyDescent="0.2">
      <c r="A790" s="75">
        <v>41153</v>
      </c>
      <c r="B790">
        <v>231.01499999999999</v>
      </c>
      <c r="C790">
        <v>252.98699999999999</v>
      </c>
      <c r="D790">
        <v>234.286</v>
      </c>
      <c r="E790">
        <v>230.65899999999999</v>
      </c>
    </row>
    <row r="791" spans="1:5" x14ac:dyDescent="0.2">
      <c r="A791" s="75">
        <v>41183</v>
      </c>
      <c r="B791">
        <v>231.63800000000001</v>
      </c>
      <c r="C791">
        <v>256.017</v>
      </c>
      <c r="D791">
        <v>234.69399999999999</v>
      </c>
      <c r="E791">
        <v>231.024</v>
      </c>
    </row>
    <row r="792" spans="1:5" x14ac:dyDescent="0.2">
      <c r="A792" s="75">
        <v>41214</v>
      </c>
      <c r="B792">
        <v>231.249</v>
      </c>
      <c r="C792">
        <v>248.81899999999999</v>
      </c>
      <c r="D792">
        <v>235.1</v>
      </c>
      <c r="E792">
        <v>231.33</v>
      </c>
    </row>
    <row r="793" spans="1:5" x14ac:dyDescent="0.2">
      <c r="A793" s="75">
        <v>41244</v>
      </c>
      <c r="B793">
        <v>231.221</v>
      </c>
      <c r="C793">
        <v>244.708</v>
      </c>
      <c r="D793">
        <v>235.52099999999999</v>
      </c>
      <c r="E793">
        <v>231.72499999999999</v>
      </c>
    </row>
    <row r="794" spans="1:5" x14ac:dyDescent="0.2">
      <c r="A794" s="75">
        <v>41275</v>
      </c>
      <c r="B794">
        <v>231.679</v>
      </c>
      <c r="C794">
        <v>245.02500000000001</v>
      </c>
      <c r="D794">
        <v>235.86</v>
      </c>
      <c r="E794">
        <v>232.22900000000001</v>
      </c>
    </row>
    <row r="795" spans="1:5" x14ac:dyDescent="0.2">
      <c r="A795" s="75">
        <v>41306</v>
      </c>
      <c r="B795">
        <v>232.93700000000001</v>
      </c>
      <c r="C795">
        <v>255.696</v>
      </c>
      <c r="D795">
        <v>235.90299999999999</v>
      </c>
      <c r="E795">
        <v>232.56899999999999</v>
      </c>
    </row>
    <row r="796" spans="1:5" x14ac:dyDescent="0.2">
      <c r="A796" s="75">
        <v>41334</v>
      </c>
      <c r="B796">
        <v>232.28200000000001</v>
      </c>
      <c r="C796">
        <v>246.595</v>
      </c>
      <c r="D796">
        <v>236.13</v>
      </c>
      <c r="E796">
        <v>232.79400000000001</v>
      </c>
    </row>
    <row r="797" spans="1:5" x14ac:dyDescent="0.2">
      <c r="A797" s="75">
        <v>41365</v>
      </c>
      <c r="B797">
        <v>231.797</v>
      </c>
      <c r="C797">
        <v>240.47300000000001</v>
      </c>
      <c r="D797">
        <v>236.57400000000001</v>
      </c>
      <c r="E797">
        <v>232.83199999999999</v>
      </c>
    </row>
    <row r="798" spans="1:5" x14ac:dyDescent="0.2">
      <c r="A798" s="75">
        <v>41395</v>
      </c>
      <c r="B798">
        <v>231.893</v>
      </c>
      <c r="C798">
        <v>240.46799999999999</v>
      </c>
      <c r="D798">
        <v>236.387</v>
      </c>
      <c r="E798">
        <v>232.99600000000001</v>
      </c>
    </row>
    <row r="799" spans="1:5" x14ac:dyDescent="0.2">
      <c r="A799" s="75">
        <v>41426</v>
      </c>
      <c r="B799">
        <v>232.44499999999999</v>
      </c>
      <c r="C799">
        <v>242.71100000000001</v>
      </c>
      <c r="D799">
        <v>236.91200000000001</v>
      </c>
      <c r="E799">
        <v>233.35</v>
      </c>
    </row>
    <row r="800" spans="1:5" x14ac:dyDescent="0.2">
      <c r="A800" s="75">
        <v>41456</v>
      </c>
      <c r="B800">
        <v>232.9</v>
      </c>
      <c r="C800">
        <v>242.98599999999999</v>
      </c>
      <c r="D800">
        <v>237.13300000000001</v>
      </c>
      <c r="E800">
        <v>233.88</v>
      </c>
    </row>
    <row r="801" spans="1:5" x14ac:dyDescent="0.2">
      <c r="A801" s="75">
        <v>41487</v>
      </c>
      <c r="B801">
        <v>233.45599999999999</v>
      </c>
      <c r="C801">
        <v>244.833</v>
      </c>
      <c r="D801">
        <v>237.40700000000001</v>
      </c>
      <c r="E801">
        <v>234.33600000000001</v>
      </c>
    </row>
    <row r="802" spans="1:5" x14ac:dyDescent="0.2">
      <c r="A802" s="75">
        <v>41518</v>
      </c>
      <c r="B802">
        <v>233.54400000000001</v>
      </c>
      <c r="C802">
        <v>242.745</v>
      </c>
      <c r="D802">
        <v>237.464</v>
      </c>
      <c r="E802">
        <v>234.7</v>
      </c>
    </row>
    <row r="803" spans="1:5" x14ac:dyDescent="0.2">
      <c r="A803" s="75">
        <v>41548</v>
      </c>
      <c r="B803">
        <v>233.66900000000001</v>
      </c>
      <c r="C803">
        <v>241.95400000000001</v>
      </c>
      <c r="D803">
        <v>237.69300000000001</v>
      </c>
      <c r="E803">
        <v>234.92099999999999</v>
      </c>
    </row>
    <row r="804" spans="1:5" x14ac:dyDescent="0.2">
      <c r="A804" s="75">
        <v>41579</v>
      </c>
      <c r="B804">
        <v>234.1</v>
      </c>
      <c r="C804">
        <v>242.71799999999999</v>
      </c>
      <c r="D804">
        <v>237.89500000000001</v>
      </c>
      <c r="E804">
        <v>235.35900000000001</v>
      </c>
    </row>
    <row r="805" spans="1:5" x14ac:dyDescent="0.2">
      <c r="A805" s="75">
        <v>41609</v>
      </c>
      <c r="B805">
        <v>234.71899999999999</v>
      </c>
      <c r="C805">
        <v>245.733</v>
      </c>
      <c r="D805">
        <v>238.13300000000001</v>
      </c>
      <c r="E805">
        <v>235.75899999999999</v>
      </c>
    </row>
    <row r="806" spans="1:5" x14ac:dyDescent="0.2">
      <c r="A806" s="75">
        <v>41640</v>
      </c>
      <c r="B806">
        <v>235.28800000000001</v>
      </c>
      <c r="C806">
        <v>250.34</v>
      </c>
      <c r="D806">
        <v>238.417</v>
      </c>
      <c r="E806">
        <v>235.96100000000001</v>
      </c>
    </row>
    <row r="807" spans="1:5" x14ac:dyDescent="0.2">
      <c r="A807" s="75">
        <v>41671</v>
      </c>
      <c r="B807">
        <v>235.547</v>
      </c>
      <c r="C807">
        <v>249.92500000000001</v>
      </c>
      <c r="D807">
        <v>239.24700000000001</v>
      </c>
      <c r="E807">
        <v>236.185</v>
      </c>
    </row>
    <row r="808" spans="1:5" x14ac:dyDescent="0.2">
      <c r="A808" s="75">
        <v>41699</v>
      </c>
      <c r="B808">
        <v>236.02799999999999</v>
      </c>
      <c r="C808">
        <v>249.96100000000001</v>
      </c>
      <c r="D808">
        <v>240.24</v>
      </c>
      <c r="E808">
        <v>236.625</v>
      </c>
    </row>
    <row r="809" spans="1:5" x14ac:dyDescent="0.2">
      <c r="A809" s="75">
        <v>41730</v>
      </c>
      <c r="B809">
        <v>236.46799999999999</v>
      </c>
      <c r="C809">
        <v>249.864</v>
      </c>
      <c r="D809">
        <v>240.995</v>
      </c>
      <c r="E809">
        <v>237.072</v>
      </c>
    </row>
    <row r="810" spans="1:5" x14ac:dyDescent="0.2">
      <c r="A810" s="75">
        <v>41760</v>
      </c>
      <c r="B810">
        <v>236.91800000000001</v>
      </c>
      <c r="C810">
        <v>249.21299999999999</v>
      </c>
      <c r="D810">
        <v>242.107</v>
      </c>
      <c r="E810">
        <v>237.529</v>
      </c>
    </row>
    <row r="811" spans="1:5" x14ac:dyDescent="0.2">
      <c r="A811" s="75">
        <v>41791</v>
      </c>
      <c r="B811">
        <v>237.23099999999999</v>
      </c>
      <c r="C811">
        <v>249.714</v>
      </c>
      <c r="D811">
        <v>242.345</v>
      </c>
      <c r="E811">
        <v>237.83699999999999</v>
      </c>
    </row>
    <row r="812" spans="1:5" x14ac:dyDescent="0.2">
      <c r="A812" s="75">
        <v>41821</v>
      </c>
      <c r="B812">
        <v>237.49799999999999</v>
      </c>
      <c r="C812">
        <v>248.744</v>
      </c>
      <c r="D812">
        <v>242.88300000000001</v>
      </c>
      <c r="E812">
        <v>238.19499999999999</v>
      </c>
    </row>
    <row r="813" spans="1:5" x14ac:dyDescent="0.2">
      <c r="A813" s="75">
        <v>41852</v>
      </c>
      <c r="B813">
        <v>237.46</v>
      </c>
      <c r="C813">
        <v>245.69900000000001</v>
      </c>
      <c r="D813">
        <v>243.505</v>
      </c>
      <c r="E813">
        <v>238.405</v>
      </c>
    </row>
    <row r="814" spans="1:5" x14ac:dyDescent="0.2">
      <c r="A814" s="75">
        <v>41883</v>
      </c>
      <c r="B814">
        <v>237.477</v>
      </c>
      <c r="C814">
        <v>241.61</v>
      </c>
      <c r="D814">
        <v>244.148</v>
      </c>
      <c r="E814">
        <v>238.786</v>
      </c>
    </row>
    <row r="815" spans="1:5" x14ac:dyDescent="0.2">
      <c r="A815" s="75">
        <v>41913</v>
      </c>
      <c r="B815">
        <v>237.43</v>
      </c>
      <c r="C815">
        <v>237.06100000000001</v>
      </c>
      <c r="D815">
        <v>244.5</v>
      </c>
      <c r="E815">
        <v>239.191</v>
      </c>
    </row>
    <row r="816" spans="1:5" x14ac:dyDescent="0.2">
      <c r="A816" s="75">
        <v>41944</v>
      </c>
      <c r="B816">
        <v>236.983</v>
      </c>
      <c r="C816">
        <v>229.01599999999999</v>
      </c>
      <c r="D816">
        <v>245.10599999999999</v>
      </c>
      <c r="E816">
        <v>239.458</v>
      </c>
    </row>
    <row r="817" spans="1:5" x14ac:dyDescent="0.2">
      <c r="A817" s="75">
        <v>41974</v>
      </c>
      <c r="B817">
        <v>236.25200000000001</v>
      </c>
      <c r="C817">
        <v>218.536</v>
      </c>
      <c r="D817">
        <v>245.84</v>
      </c>
      <c r="E817">
        <v>239.584</v>
      </c>
    </row>
    <row r="818" spans="1:5" x14ac:dyDescent="0.2">
      <c r="A818" s="75">
        <v>42005</v>
      </c>
      <c r="B818">
        <v>234.74700000000001</v>
      </c>
      <c r="C818">
        <v>199.92599999999999</v>
      </c>
      <c r="D818">
        <v>245.76400000000001</v>
      </c>
      <c r="E818">
        <v>239.81100000000001</v>
      </c>
    </row>
    <row r="819" spans="1:5" x14ac:dyDescent="0.2">
      <c r="A819" s="75">
        <v>42036</v>
      </c>
      <c r="B819">
        <v>235.34200000000001</v>
      </c>
      <c r="C819">
        <v>203.02099999999999</v>
      </c>
      <c r="D819">
        <v>246.05600000000001</v>
      </c>
      <c r="E819">
        <v>240.172</v>
      </c>
    </row>
    <row r="820" spans="1:5" x14ac:dyDescent="0.2">
      <c r="A820" s="75">
        <v>42064</v>
      </c>
      <c r="B820">
        <v>235.976</v>
      </c>
      <c r="C820">
        <v>205.75700000000001</v>
      </c>
      <c r="D820">
        <v>245.685</v>
      </c>
      <c r="E820">
        <v>240.755</v>
      </c>
    </row>
    <row r="821" spans="1:5" x14ac:dyDescent="0.2">
      <c r="A821" s="75">
        <v>42095</v>
      </c>
      <c r="B821">
        <v>236.22200000000001</v>
      </c>
      <c r="C821">
        <v>203.577</v>
      </c>
      <c r="D821">
        <v>245.61500000000001</v>
      </c>
      <c r="E821">
        <v>241.346</v>
      </c>
    </row>
    <row r="822" spans="1:5" x14ac:dyDescent="0.2">
      <c r="A822" s="75">
        <v>42125</v>
      </c>
      <c r="B822">
        <v>237.001</v>
      </c>
      <c r="C822">
        <v>208.97300000000001</v>
      </c>
      <c r="D822">
        <v>245.886</v>
      </c>
      <c r="E822">
        <v>241.68799999999999</v>
      </c>
    </row>
    <row r="823" spans="1:5" x14ac:dyDescent="0.2">
      <c r="A823" s="75">
        <v>42156</v>
      </c>
      <c r="B823">
        <v>237.65700000000001</v>
      </c>
      <c r="C823">
        <v>212.01499999999999</v>
      </c>
      <c r="D823">
        <v>246.511</v>
      </c>
      <c r="E823">
        <v>242.06399999999999</v>
      </c>
    </row>
    <row r="824" spans="1:5" x14ac:dyDescent="0.2">
      <c r="A824" s="75">
        <v>42186</v>
      </c>
      <c r="B824">
        <v>238.03399999999999</v>
      </c>
      <c r="C824">
        <v>211.62299999999999</v>
      </c>
      <c r="D824">
        <v>246.733</v>
      </c>
      <c r="E824">
        <v>242.565</v>
      </c>
    </row>
    <row r="825" spans="1:5" x14ac:dyDescent="0.2">
      <c r="A825" s="75">
        <v>42217</v>
      </c>
      <c r="B825">
        <v>238.03299999999999</v>
      </c>
      <c r="C825">
        <v>208.57900000000001</v>
      </c>
      <c r="D825">
        <v>247.29499999999999</v>
      </c>
      <c r="E825">
        <v>242.81700000000001</v>
      </c>
    </row>
    <row r="826" spans="1:5" x14ac:dyDescent="0.2">
      <c r="A826" s="75">
        <v>42248</v>
      </c>
      <c r="B826">
        <v>237.49799999999999</v>
      </c>
      <c r="C826">
        <v>197.24600000000001</v>
      </c>
      <c r="D826">
        <v>247.98400000000001</v>
      </c>
      <c r="E826">
        <v>243.316</v>
      </c>
    </row>
    <row r="827" spans="1:5" x14ac:dyDescent="0.2">
      <c r="A827" s="75">
        <v>42278</v>
      </c>
      <c r="B827">
        <v>237.733</v>
      </c>
      <c r="C827">
        <v>195.61600000000001</v>
      </c>
      <c r="D827">
        <v>248.28800000000001</v>
      </c>
      <c r="E827">
        <v>243.768</v>
      </c>
    </row>
    <row r="828" spans="1:5" x14ac:dyDescent="0.2">
      <c r="A828" s="75">
        <v>42309</v>
      </c>
      <c r="B828">
        <v>238.017</v>
      </c>
      <c r="C828">
        <v>195.114</v>
      </c>
      <c r="D828">
        <v>248.07499999999999</v>
      </c>
      <c r="E828">
        <v>244.24100000000001</v>
      </c>
    </row>
    <row r="829" spans="1:5" x14ac:dyDescent="0.2">
      <c r="A829" s="75">
        <v>42339</v>
      </c>
      <c r="B829">
        <v>237.761</v>
      </c>
      <c r="C829">
        <v>190.143</v>
      </c>
      <c r="D829">
        <v>247.761</v>
      </c>
      <c r="E829">
        <v>244.547</v>
      </c>
    </row>
    <row r="830" spans="1:5" x14ac:dyDescent="0.2">
      <c r="A830" s="75">
        <v>42370</v>
      </c>
      <c r="B830">
        <v>237.65199999999999</v>
      </c>
      <c r="C830">
        <v>185.23500000000001</v>
      </c>
      <c r="D830">
        <v>247.96700000000001</v>
      </c>
      <c r="E830">
        <v>244.95500000000001</v>
      </c>
    </row>
    <row r="831" spans="1:5" x14ac:dyDescent="0.2">
      <c r="A831" s="75">
        <v>42401</v>
      </c>
      <c r="B831">
        <v>237.33600000000001</v>
      </c>
      <c r="C831">
        <v>176.40100000000001</v>
      </c>
      <c r="D831">
        <v>248.244</v>
      </c>
      <c r="E831">
        <v>245.51</v>
      </c>
    </row>
    <row r="832" spans="1:5" x14ac:dyDescent="0.2">
      <c r="A832" s="75">
        <v>42430</v>
      </c>
      <c r="B832">
        <v>238.08</v>
      </c>
      <c r="C832">
        <v>182.23400000000001</v>
      </c>
      <c r="D832">
        <v>247.69900000000001</v>
      </c>
      <c r="E832">
        <v>245.91300000000001</v>
      </c>
    </row>
    <row r="833" spans="1:5" x14ac:dyDescent="0.2">
      <c r="A833" s="75">
        <v>42461</v>
      </c>
      <c r="B833">
        <v>238.99199999999999</v>
      </c>
      <c r="C833">
        <v>186.71299999999999</v>
      </c>
      <c r="D833">
        <v>247.90600000000001</v>
      </c>
      <c r="E833">
        <v>246.55099999999999</v>
      </c>
    </row>
    <row r="834" spans="1:5" x14ac:dyDescent="0.2">
      <c r="A834" s="75">
        <v>42491</v>
      </c>
      <c r="B834">
        <v>239.55699999999999</v>
      </c>
      <c r="C834">
        <v>188.596</v>
      </c>
      <c r="D834">
        <v>247.57499999999999</v>
      </c>
      <c r="E834">
        <v>247.137</v>
      </c>
    </row>
    <row r="835" spans="1:5" x14ac:dyDescent="0.2">
      <c r="A835" s="75">
        <v>42522</v>
      </c>
      <c r="B835">
        <v>240.22200000000001</v>
      </c>
      <c r="C835">
        <v>192.899</v>
      </c>
      <c r="D835">
        <v>247.42</v>
      </c>
      <c r="E835">
        <v>247.54</v>
      </c>
    </row>
    <row r="836" spans="1:5" x14ac:dyDescent="0.2">
      <c r="A836" s="75">
        <v>42552</v>
      </c>
      <c r="B836">
        <v>240.101</v>
      </c>
      <c r="C836">
        <v>189.04599999999999</v>
      </c>
      <c r="D836">
        <v>247.40600000000001</v>
      </c>
      <c r="E836">
        <v>247.82900000000001</v>
      </c>
    </row>
    <row r="837" spans="1:5" x14ac:dyDescent="0.2">
      <c r="A837" s="75">
        <v>42583</v>
      </c>
      <c r="B837">
        <v>240.54499999999999</v>
      </c>
      <c r="C837">
        <v>188.77199999999999</v>
      </c>
      <c r="D837">
        <v>247.47900000000001</v>
      </c>
      <c r="E837">
        <v>248.423</v>
      </c>
    </row>
    <row r="838" spans="1:5" x14ac:dyDescent="0.2">
      <c r="A838" s="75">
        <v>42614</v>
      </c>
      <c r="B838">
        <v>241.17599999999999</v>
      </c>
      <c r="C838">
        <v>192.24299999999999</v>
      </c>
      <c r="D838">
        <v>247.52799999999999</v>
      </c>
      <c r="E838">
        <v>248.84200000000001</v>
      </c>
    </row>
    <row r="839" spans="1:5" x14ac:dyDescent="0.2">
      <c r="A839" s="75">
        <v>42644</v>
      </c>
      <c r="B839">
        <v>241.74100000000001</v>
      </c>
      <c r="C839">
        <v>195.97900000000001</v>
      </c>
      <c r="D839">
        <v>247.596</v>
      </c>
      <c r="E839">
        <v>249.142</v>
      </c>
    </row>
    <row r="840" spans="1:5" x14ac:dyDescent="0.2">
      <c r="A840" s="75">
        <v>42675</v>
      </c>
      <c r="B840">
        <v>242.02600000000001</v>
      </c>
      <c r="C840">
        <v>196.37200000000001</v>
      </c>
      <c r="D840">
        <v>247.52500000000001</v>
      </c>
      <c r="E840">
        <v>249.48099999999999</v>
      </c>
    </row>
    <row r="841" spans="1:5" x14ac:dyDescent="0.2">
      <c r="A841" s="75">
        <v>42705</v>
      </c>
      <c r="B841">
        <v>242.637</v>
      </c>
      <c r="C841">
        <v>199.51300000000001</v>
      </c>
      <c r="D841">
        <v>247.53</v>
      </c>
      <c r="E841">
        <v>249.92</v>
      </c>
    </row>
    <row r="842" spans="1:5" x14ac:dyDescent="0.2">
      <c r="A842" s="75">
        <v>42736</v>
      </c>
      <c r="B842">
        <v>243.62</v>
      </c>
      <c r="C842">
        <v>205.49600000000001</v>
      </c>
      <c r="D842">
        <v>247.86500000000001</v>
      </c>
      <c r="E842">
        <v>250.46199999999999</v>
      </c>
    </row>
    <row r="843" spans="1:5" x14ac:dyDescent="0.2">
      <c r="A843" s="75">
        <v>42767</v>
      </c>
      <c r="B843">
        <v>243.87200000000001</v>
      </c>
      <c r="C843">
        <v>203.54400000000001</v>
      </c>
      <c r="D843">
        <v>248.44300000000001</v>
      </c>
      <c r="E843">
        <v>250.90299999999999</v>
      </c>
    </row>
    <row r="844" spans="1:5" x14ac:dyDescent="0.2">
      <c r="A844" s="75">
        <v>42795</v>
      </c>
      <c r="B844">
        <v>243.76599999999999</v>
      </c>
      <c r="C844">
        <v>202.18299999999999</v>
      </c>
      <c r="D844">
        <v>248.92599999999999</v>
      </c>
      <c r="E844">
        <v>250.83600000000001</v>
      </c>
    </row>
    <row r="845" spans="1:5" x14ac:dyDescent="0.2">
      <c r="A845" s="75">
        <v>42826</v>
      </c>
      <c r="B845">
        <v>244.274</v>
      </c>
      <c r="C845">
        <v>203.792</v>
      </c>
      <c r="D845">
        <v>249.28800000000001</v>
      </c>
      <c r="E845">
        <v>251.25200000000001</v>
      </c>
    </row>
    <row r="846" spans="1:5" x14ac:dyDescent="0.2">
      <c r="A846" s="75">
        <v>42856</v>
      </c>
      <c r="B846">
        <v>244.06899999999999</v>
      </c>
      <c r="C846">
        <v>198.72399999999999</v>
      </c>
      <c r="D846">
        <v>249.68600000000001</v>
      </c>
      <c r="E846">
        <v>251.488</v>
      </c>
    </row>
    <row r="847" spans="1:5" x14ac:dyDescent="0.2">
      <c r="A847" s="75">
        <v>42887</v>
      </c>
      <c r="B847">
        <v>244.21799999999999</v>
      </c>
      <c r="C847">
        <v>197.744</v>
      </c>
      <c r="D847">
        <v>249.53800000000001</v>
      </c>
      <c r="E847">
        <v>251.822</v>
      </c>
    </row>
    <row r="848" spans="1:5" x14ac:dyDescent="0.2">
      <c r="A848" s="75">
        <v>42917</v>
      </c>
      <c r="B848">
        <v>244.28</v>
      </c>
      <c r="C848">
        <v>195.72900000000001</v>
      </c>
      <c r="D848">
        <v>250.03200000000001</v>
      </c>
      <c r="E848">
        <v>252.047</v>
      </c>
    </row>
    <row r="849" spans="1:5" x14ac:dyDescent="0.2">
      <c r="A849" s="75">
        <v>42948</v>
      </c>
      <c r="B849">
        <v>245.20500000000001</v>
      </c>
      <c r="C849">
        <v>201.12100000000001</v>
      </c>
      <c r="D849">
        <v>250.249</v>
      </c>
      <c r="E849">
        <v>252.59700000000001</v>
      </c>
    </row>
    <row r="850" spans="1:5" x14ac:dyDescent="0.2">
      <c r="A850" s="75">
        <v>42979</v>
      </c>
      <c r="B850">
        <v>246.55099999999999</v>
      </c>
      <c r="C850">
        <v>211.929</v>
      </c>
      <c r="D850">
        <v>250.678</v>
      </c>
      <c r="E850">
        <v>253.03899999999999</v>
      </c>
    </row>
    <row r="851" spans="1:5" x14ac:dyDescent="0.2">
      <c r="A851" s="75">
        <v>43009</v>
      </c>
      <c r="B851">
        <v>246.65700000000001</v>
      </c>
      <c r="C851">
        <v>208.42699999999999</v>
      </c>
      <c r="D851">
        <v>250.91900000000001</v>
      </c>
      <c r="E851">
        <v>253.535</v>
      </c>
    </row>
    <row r="852" spans="1:5" x14ac:dyDescent="0.2">
      <c r="A852" s="75">
        <v>43040</v>
      </c>
      <c r="B852">
        <v>247.37799999999999</v>
      </c>
      <c r="C852">
        <v>214.655</v>
      </c>
      <c r="D852">
        <v>251.04499999999999</v>
      </c>
      <c r="E852">
        <v>253.744</v>
      </c>
    </row>
    <row r="853" spans="1:5" x14ac:dyDescent="0.2">
      <c r="A853" s="75">
        <v>43070</v>
      </c>
      <c r="B853">
        <v>247.73599999999999</v>
      </c>
      <c r="C853">
        <v>213.119</v>
      </c>
      <c r="D853">
        <v>251.47900000000001</v>
      </c>
      <c r="E853">
        <v>254.30799999999999</v>
      </c>
    </row>
    <row r="854" spans="1:5" x14ac:dyDescent="0.2">
      <c r="A854" s="75">
        <v>43101</v>
      </c>
      <c r="B854">
        <v>248.721</v>
      </c>
      <c r="C854">
        <v>217.273</v>
      </c>
      <c r="D854">
        <v>251.94800000000001</v>
      </c>
      <c r="E854">
        <v>255.00700000000001</v>
      </c>
    </row>
    <row r="855" spans="1:5" x14ac:dyDescent="0.2">
      <c r="A855" s="75">
        <v>43132</v>
      </c>
      <c r="B855">
        <v>249.3</v>
      </c>
      <c r="C855">
        <v>219.76499999999999</v>
      </c>
      <c r="D855">
        <v>251.96100000000001</v>
      </c>
      <c r="E855">
        <v>255.47200000000001</v>
      </c>
    </row>
    <row r="856" spans="1:5" x14ac:dyDescent="0.2">
      <c r="A856" s="75">
        <v>43160</v>
      </c>
      <c r="B856">
        <v>249.517</v>
      </c>
      <c r="C856">
        <v>216.49199999999999</v>
      </c>
      <c r="D856">
        <v>252.08199999999999</v>
      </c>
      <c r="E856">
        <v>256.11700000000002</v>
      </c>
    </row>
    <row r="857" spans="1:5" x14ac:dyDescent="0.2">
      <c r="A857" s="75">
        <v>43191</v>
      </c>
      <c r="B857">
        <v>250.27500000000001</v>
      </c>
      <c r="C857">
        <v>219.42400000000001</v>
      </c>
      <c r="D857">
        <v>252.68600000000001</v>
      </c>
      <c r="E857">
        <v>256.65600000000001</v>
      </c>
    </row>
    <row r="858" spans="1:5" x14ac:dyDescent="0.2">
      <c r="A858" s="75">
        <v>43221</v>
      </c>
      <c r="B858">
        <v>250.786</v>
      </c>
      <c r="C858">
        <v>220.77</v>
      </c>
      <c r="D858">
        <v>252.70599999999999</v>
      </c>
      <c r="E858">
        <v>257.15699999999998</v>
      </c>
    </row>
    <row r="859" spans="1:5" x14ac:dyDescent="0.2">
      <c r="A859" s="75">
        <v>43252</v>
      </c>
      <c r="B859">
        <v>251.15199999999999</v>
      </c>
      <c r="C859">
        <v>221.14500000000001</v>
      </c>
      <c r="D859">
        <v>253.06800000000001</v>
      </c>
      <c r="E859">
        <v>257.53399999999999</v>
      </c>
    </row>
    <row r="860" spans="1:5" x14ac:dyDescent="0.2">
      <c r="A860" s="75">
        <v>43282</v>
      </c>
      <c r="B860">
        <v>251.345</v>
      </c>
      <c r="C860">
        <v>219.16800000000001</v>
      </c>
      <c r="D860">
        <v>253.53100000000001</v>
      </c>
      <c r="E860">
        <v>257.93</v>
      </c>
    </row>
    <row r="861" spans="1:5" x14ac:dyDescent="0.2">
      <c r="A861" s="75">
        <v>43313</v>
      </c>
      <c r="B861">
        <v>251.73500000000001</v>
      </c>
      <c r="C861">
        <v>221.76300000000001</v>
      </c>
      <c r="D861">
        <v>253.81399999999999</v>
      </c>
      <c r="E861">
        <v>258.08</v>
      </c>
    </row>
    <row r="862" spans="1:5" x14ac:dyDescent="0.2">
      <c r="A862" s="75">
        <v>43344</v>
      </c>
      <c r="B862">
        <v>252.18299999999999</v>
      </c>
      <c r="C862">
        <v>222.392</v>
      </c>
      <c r="D862">
        <v>254.20099999999999</v>
      </c>
      <c r="E862">
        <v>258.53399999999999</v>
      </c>
    </row>
    <row r="863" spans="1:5" x14ac:dyDescent="0.2">
      <c r="A863" s="75">
        <v>43374</v>
      </c>
      <c r="B863">
        <v>252.899</v>
      </c>
      <c r="C863">
        <v>226.73500000000001</v>
      </c>
      <c r="D863">
        <v>254.06399999999999</v>
      </c>
      <c r="E863">
        <v>258.98899999999998</v>
      </c>
    </row>
    <row r="864" spans="1:5" x14ac:dyDescent="0.2">
      <c r="A864" s="75">
        <v>43405</v>
      </c>
      <c r="B864">
        <v>252.822</v>
      </c>
      <c r="C864">
        <v>221.303</v>
      </c>
      <c r="D864">
        <v>254.68600000000001</v>
      </c>
      <c r="E864">
        <v>259.41500000000002</v>
      </c>
    </row>
    <row r="865" spans="1:5" x14ac:dyDescent="0.2">
      <c r="A865" s="75">
        <v>43435</v>
      </c>
      <c r="B865">
        <v>252.49299999999999</v>
      </c>
      <c r="C865">
        <v>212.43600000000001</v>
      </c>
      <c r="D865">
        <v>255.529</v>
      </c>
      <c r="E865">
        <v>259.87299999999999</v>
      </c>
    </row>
    <row r="866" spans="1:5" x14ac:dyDescent="0.2">
      <c r="A866" s="75">
        <v>43466</v>
      </c>
      <c r="B866">
        <v>252.441</v>
      </c>
      <c r="C866">
        <v>206.32400000000001</v>
      </c>
      <c r="D866">
        <v>256.07600000000002</v>
      </c>
      <c r="E866">
        <v>260.41899999999998</v>
      </c>
    </row>
    <row r="867" spans="1:5" x14ac:dyDescent="0.2">
      <c r="A867" s="75">
        <v>43497</v>
      </c>
      <c r="B867">
        <v>252.96899999999999</v>
      </c>
      <c r="C867">
        <v>208.33600000000001</v>
      </c>
      <c r="D867">
        <v>256.916</v>
      </c>
      <c r="E867">
        <v>260.72199999999998</v>
      </c>
    </row>
    <row r="868" spans="1:5" x14ac:dyDescent="0.2">
      <c r="A868" s="75">
        <v>43525</v>
      </c>
      <c r="B868">
        <v>254.14699999999999</v>
      </c>
      <c r="C868">
        <v>215.56200000000001</v>
      </c>
      <c r="D868">
        <v>257.28500000000003</v>
      </c>
      <c r="E868">
        <v>261.339</v>
      </c>
    </row>
    <row r="869" spans="1:5" x14ac:dyDescent="0.2">
      <c r="A869" s="75">
        <v>43556</v>
      </c>
      <c r="B869">
        <v>255.32599999999999</v>
      </c>
      <c r="C869">
        <v>222.97399999999999</v>
      </c>
      <c r="D869">
        <v>257.02600000000001</v>
      </c>
      <c r="E869">
        <v>262.05</v>
      </c>
    </row>
    <row r="870" spans="1:5" x14ac:dyDescent="0.2">
      <c r="A870" s="75">
        <v>43586</v>
      </c>
      <c r="B870">
        <v>255.37100000000001</v>
      </c>
      <c r="C870">
        <v>219.84800000000001</v>
      </c>
      <c r="D870">
        <v>257.57100000000003</v>
      </c>
      <c r="E870">
        <v>262.38400000000001</v>
      </c>
    </row>
    <row r="871" spans="1:5" x14ac:dyDescent="0.2">
      <c r="A871" s="75">
        <v>43617</v>
      </c>
      <c r="B871">
        <v>255.423</v>
      </c>
      <c r="C871">
        <v>213.97900000000001</v>
      </c>
      <c r="D871">
        <v>257.70699999999999</v>
      </c>
      <c r="E871">
        <v>263.11700000000002</v>
      </c>
    </row>
    <row r="872" spans="1:5" x14ac:dyDescent="0.2">
      <c r="A872" s="75">
        <v>43647</v>
      </c>
      <c r="B872">
        <v>255.92500000000001</v>
      </c>
      <c r="C872">
        <v>214.95</v>
      </c>
      <c r="D872">
        <v>257.99799999999999</v>
      </c>
      <c r="E872">
        <v>263.61599999999999</v>
      </c>
    </row>
    <row r="873" spans="1:5" x14ac:dyDescent="0.2">
      <c r="A873" s="75">
        <v>43678</v>
      </c>
      <c r="B873">
        <v>256.11799999999999</v>
      </c>
      <c r="C873">
        <v>212.267</v>
      </c>
      <c r="D873">
        <v>258.15800000000002</v>
      </c>
      <c r="E873">
        <v>264.15100000000001</v>
      </c>
    </row>
    <row r="874" spans="1:5" x14ac:dyDescent="0.2">
      <c r="A874" s="75">
        <v>43709</v>
      </c>
      <c r="B874">
        <v>256.53199999999998</v>
      </c>
      <c r="C874">
        <v>212.05199999999999</v>
      </c>
      <c r="D874">
        <v>258.74</v>
      </c>
      <c r="E874">
        <v>264.60300000000001</v>
      </c>
    </row>
    <row r="875" spans="1:5" x14ac:dyDescent="0.2">
      <c r="A875" s="75">
        <v>43739</v>
      </c>
      <c r="B875">
        <v>257.387</v>
      </c>
      <c r="C875">
        <v>217.18600000000001</v>
      </c>
      <c r="D875">
        <v>259.21600000000001</v>
      </c>
      <c r="E875">
        <v>265.02600000000001</v>
      </c>
    </row>
    <row r="876" spans="1:5" x14ac:dyDescent="0.2">
      <c r="A876" s="75">
        <v>43770</v>
      </c>
      <c r="B876">
        <v>257.98899999999998</v>
      </c>
      <c r="C876">
        <v>219.77</v>
      </c>
      <c r="D876">
        <v>259.59800000000001</v>
      </c>
      <c r="E876">
        <v>265.42700000000002</v>
      </c>
    </row>
    <row r="877" spans="1:5" x14ac:dyDescent="0.2">
      <c r="A877" s="75">
        <v>43800</v>
      </c>
      <c r="B877">
        <v>258.20299999999997</v>
      </c>
      <c r="C877">
        <v>219.71799999999999</v>
      </c>
      <c r="D877">
        <v>259.97000000000003</v>
      </c>
      <c r="E877">
        <v>265.65100000000001</v>
      </c>
    </row>
    <row r="878" spans="1:5" x14ac:dyDescent="0.2">
      <c r="A878" s="75">
        <v>43831</v>
      </c>
      <c r="B878">
        <v>258.68700000000001</v>
      </c>
      <c r="C878">
        <v>219.11699999999999</v>
      </c>
      <c r="D878">
        <v>260.57900000000001</v>
      </c>
      <c r="E878">
        <v>266.30599999999998</v>
      </c>
    </row>
    <row r="879" spans="1:5" x14ac:dyDescent="0.2">
      <c r="A879" s="75">
        <v>43862</v>
      </c>
      <c r="B879">
        <v>258.82400000000001</v>
      </c>
      <c r="C879">
        <v>213.96299999999999</v>
      </c>
      <c r="D879">
        <v>261.41199999999998</v>
      </c>
      <c r="E879">
        <v>266.87599999999998</v>
      </c>
    </row>
    <row r="880" spans="1:5" x14ac:dyDescent="0.2">
      <c r="A880" s="75">
        <v>43891</v>
      </c>
      <c r="B880">
        <v>257.98899999999998</v>
      </c>
      <c r="C880">
        <v>202.995</v>
      </c>
      <c r="D880">
        <v>262.13200000000001</v>
      </c>
      <c r="E880">
        <v>266.82</v>
      </c>
    </row>
    <row r="881" spans="1:5" x14ac:dyDescent="0.2">
      <c r="A881" s="75">
        <v>43922</v>
      </c>
      <c r="B881">
        <v>256.19200000000001</v>
      </c>
      <c r="C881">
        <v>183.78800000000001</v>
      </c>
      <c r="D881">
        <v>265.702</v>
      </c>
      <c r="E881">
        <v>265.83600000000001</v>
      </c>
    </row>
    <row r="882" spans="1:5" x14ac:dyDescent="0.2">
      <c r="A882" s="75">
        <v>43952</v>
      </c>
      <c r="B882">
        <v>255.94200000000001</v>
      </c>
      <c r="C882">
        <v>179.61</v>
      </c>
      <c r="D882">
        <v>267.47300000000001</v>
      </c>
      <c r="E882">
        <v>265.637</v>
      </c>
    </row>
    <row r="883" spans="1:5" x14ac:dyDescent="0.2">
      <c r="A883" s="75">
        <v>43983</v>
      </c>
      <c r="B883">
        <v>257.28199999999998</v>
      </c>
      <c r="C883">
        <v>187.59100000000001</v>
      </c>
      <c r="D883">
        <v>268.84100000000001</v>
      </c>
      <c r="E883">
        <v>266.28199999999998</v>
      </c>
    </row>
    <row r="884" spans="1:5" x14ac:dyDescent="0.2">
      <c r="A884" s="75">
        <v>44013</v>
      </c>
      <c r="B884">
        <v>258.60399999999998</v>
      </c>
      <c r="C884">
        <v>191.566</v>
      </c>
      <c r="D884">
        <v>268.04700000000003</v>
      </c>
      <c r="E884">
        <v>267.72199999999998</v>
      </c>
    </row>
    <row r="885" spans="1:5" x14ac:dyDescent="0.2">
      <c r="A885" s="75">
        <v>44044</v>
      </c>
      <c r="B885">
        <v>259.51100000000002</v>
      </c>
      <c r="C885">
        <v>193.36199999999999</v>
      </c>
      <c r="D885">
        <v>268.37299999999999</v>
      </c>
      <c r="E885">
        <v>268.654</v>
      </c>
    </row>
    <row r="886" spans="1:5" x14ac:dyDescent="0.2">
      <c r="A886" s="75">
        <v>44075</v>
      </c>
      <c r="B886">
        <v>260.149</v>
      </c>
      <c r="C886">
        <v>195.995</v>
      </c>
      <c r="D886">
        <v>268.62099999999998</v>
      </c>
      <c r="E886">
        <v>269.15499999999997</v>
      </c>
    </row>
    <row r="887" spans="1:5" x14ac:dyDescent="0.2">
      <c r="A887" s="75">
        <v>44105</v>
      </c>
      <c r="B887">
        <v>260.46199999999999</v>
      </c>
      <c r="C887">
        <v>197.15700000000001</v>
      </c>
      <c r="D887">
        <v>269.16399999999999</v>
      </c>
      <c r="E887">
        <v>269.35000000000002</v>
      </c>
    </row>
    <row r="888" spans="1:5" x14ac:dyDescent="0.2">
      <c r="A888" s="75">
        <v>44136</v>
      </c>
      <c r="B888">
        <v>260.92700000000002</v>
      </c>
      <c r="C888">
        <v>198.57599999999999</v>
      </c>
      <c r="D888">
        <v>269.14999999999998</v>
      </c>
      <c r="E888">
        <v>269.81900000000002</v>
      </c>
    </row>
    <row r="889" spans="1:5" x14ac:dyDescent="0.2">
      <c r="A889" s="75">
        <v>44166</v>
      </c>
      <c r="B889">
        <v>261.56</v>
      </c>
      <c r="C889">
        <v>203.71600000000001</v>
      </c>
      <c r="D889">
        <v>270.01499999999999</v>
      </c>
      <c r="E889">
        <v>269.94</v>
      </c>
    </row>
    <row r="890" spans="1:5" x14ac:dyDescent="0.2">
      <c r="A890" s="75">
        <v>44197</v>
      </c>
      <c r="B890">
        <v>262.23099999999999</v>
      </c>
      <c r="C890">
        <v>210.822</v>
      </c>
      <c r="D890">
        <v>270.21199999999999</v>
      </c>
      <c r="E890">
        <v>270.02499999999998</v>
      </c>
    </row>
    <row r="891" spans="1:5" x14ac:dyDescent="0.2">
      <c r="A891" s="75">
        <v>44228</v>
      </c>
      <c r="B891">
        <v>263.161</v>
      </c>
      <c r="C891">
        <v>218.946</v>
      </c>
      <c r="D891">
        <v>270.60399999999998</v>
      </c>
      <c r="E891">
        <v>270.29899999999998</v>
      </c>
    </row>
    <row r="892" spans="1:5" x14ac:dyDescent="0.2">
      <c r="A892" s="75">
        <v>44256</v>
      </c>
      <c r="B892">
        <v>264.79300000000001</v>
      </c>
      <c r="C892">
        <v>229.886</v>
      </c>
      <c r="D892">
        <v>270.94600000000003</v>
      </c>
      <c r="E892">
        <v>271.214</v>
      </c>
    </row>
    <row r="893" spans="1:5" x14ac:dyDescent="0.2">
      <c r="A893" s="75">
        <v>44287</v>
      </c>
      <c r="B893">
        <v>266.83199999999999</v>
      </c>
      <c r="C893">
        <v>229.65799999999999</v>
      </c>
      <c r="D893">
        <v>271.93299999999999</v>
      </c>
      <c r="E893">
        <v>273.7</v>
      </c>
    </row>
    <row r="894" spans="1:5" x14ac:dyDescent="0.2">
      <c r="A894" s="75">
        <v>44317</v>
      </c>
      <c r="B894">
        <v>268.55099999999999</v>
      </c>
      <c r="C894">
        <v>229.63</v>
      </c>
      <c r="D894">
        <v>273.12200000000001</v>
      </c>
      <c r="E894">
        <v>275.71800000000002</v>
      </c>
    </row>
    <row r="895" spans="1:5" x14ac:dyDescent="0.2">
      <c r="A895" s="75">
        <v>44348</v>
      </c>
      <c r="B895">
        <v>270.98099999999999</v>
      </c>
      <c r="C895">
        <v>232.995</v>
      </c>
      <c r="D895">
        <v>275.18299999999999</v>
      </c>
      <c r="E895">
        <v>278.14</v>
      </c>
    </row>
    <row r="896" spans="1:5" x14ac:dyDescent="0.2">
      <c r="A896" s="75">
        <v>44378</v>
      </c>
      <c r="B896">
        <v>272.26499999999999</v>
      </c>
      <c r="C896">
        <v>236.79599999999999</v>
      </c>
      <c r="D896">
        <v>277.09100000000001</v>
      </c>
      <c r="E896">
        <v>279.05399999999997</v>
      </c>
    </row>
    <row r="897" spans="1:5" x14ac:dyDescent="0.2">
      <c r="A897" s="75">
        <v>44409</v>
      </c>
      <c r="B897">
        <v>273.012</v>
      </c>
      <c r="C897">
        <v>241.47399999999999</v>
      </c>
      <c r="D897">
        <v>278.17700000000002</v>
      </c>
      <c r="E897">
        <v>279.33800000000002</v>
      </c>
    </row>
    <row r="898" spans="1:5" x14ac:dyDescent="0.2">
      <c r="A898" s="75">
        <v>44440</v>
      </c>
      <c r="B898">
        <v>274.13799999999998</v>
      </c>
      <c r="C898">
        <v>244.565</v>
      </c>
      <c r="D898">
        <v>280.608</v>
      </c>
      <c r="E898">
        <v>280.017</v>
      </c>
    </row>
    <row r="899" spans="1:5" x14ac:dyDescent="0.2">
      <c r="A899" s="75">
        <v>44470</v>
      </c>
      <c r="B899">
        <v>276.72399999999999</v>
      </c>
      <c r="C899">
        <v>256.22699999999998</v>
      </c>
      <c r="D899">
        <v>282.952</v>
      </c>
      <c r="E899">
        <v>281.69499999999999</v>
      </c>
    </row>
    <row r="900" spans="1:5" x14ac:dyDescent="0.2">
      <c r="A900" s="75">
        <v>44501</v>
      </c>
      <c r="B900">
        <v>278.88</v>
      </c>
      <c r="C900">
        <v>265.11700000000002</v>
      </c>
      <c r="D900">
        <v>284.83499999999998</v>
      </c>
      <c r="E900">
        <v>283.20100000000002</v>
      </c>
    </row>
    <row r="901" spans="1:5" x14ac:dyDescent="0.2">
      <c r="A901" s="75">
        <v>44531</v>
      </c>
      <c r="B901">
        <v>280.19200000000001</v>
      </c>
      <c r="C901">
        <v>264.08</v>
      </c>
      <c r="D901">
        <v>286.255</v>
      </c>
      <c r="E901">
        <v>284.75900000000001</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4">
    <tabColor theme="1" tint="0.499984740745262"/>
  </sheetPr>
  <dimension ref="A1:F811"/>
  <sheetViews>
    <sheetView zoomScale="130" zoomScaleNormal="130" workbookViewId="0">
      <pane ySplit="1" topLeftCell="A761" activePane="bottomLeft" state="frozen"/>
      <selection pane="bottomLeft" activeCell="N27" sqref="N27"/>
    </sheetView>
  </sheetViews>
  <sheetFormatPr baseColWidth="10" defaultColWidth="9.1640625" defaultRowHeight="15" x14ac:dyDescent="0.2"/>
  <cols>
    <col min="1" max="1" width="13.1640625" style="74" customWidth="1"/>
    <col min="2" max="2" width="20.33203125" style="5" customWidth="1"/>
    <col min="3" max="4" width="9.1640625" style="74" customWidth="1"/>
    <col min="5" max="5" width="13.33203125" style="5" customWidth="1"/>
    <col min="6" max="6" width="16.33203125" style="5" customWidth="1"/>
    <col min="7" max="10" width="9.1640625" style="74" customWidth="1"/>
    <col min="11" max="16384" width="9.1640625" style="74"/>
  </cols>
  <sheetData>
    <row r="1" spans="1:3" x14ac:dyDescent="0.2">
      <c r="A1" t="s">
        <v>25</v>
      </c>
      <c r="B1" t="s">
        <v>26</v>
      </c>
      <c r="C1" t="s">
        <v>27</v>
      </c>
    </row>
    <row r="2" spans="1:3" x14ac:dyDescent="0.2">
      <c r="A2" s="75">
        <v>19906</v>
      </c>
      <c r="B2"/>
      <c r="C2">
        <v>0.8</v>
      </c>
    </row>
    <row r="3" spans="1:3" x14ac:dyDescent="0.2">
      <c r="A3" s="75">
        <v>19937</v>
      </c>
      <c r="B3"/>
      <c r="C3">
        <v>1.22</v>
      </c>
    </row>
    <row r="4" spans="1:3" x14ac:dyDescent="0.2">
      <c r="A4" s="75">
        <v>19968</v>
      </c>
      <c r="B4"/>
      <c r="C4">
        <v>1.07</v>
      </c>
    </row>
    <row r="5" spans="1:3" x14ac:dyDescent="0.2">
      <c r="A5" s="75">
        <v>19998</v>
      </c>
      <c r="B5"/>
      <c r="C5">
        <v>0.85</v>
      </c>
    </row>
    <row r="6" spans="1:3" x14ac:dyDescent="0.2">
      <c r="A6" s="75">
        <v>20029</v>
      </c>
      <c r="B6"/>
      <c r="C6">
        <v>0.83</v>
      </c>
    </row>
    <row r="7" spans="1:3" x14ac:dyDescent="0.2">
      <c r="A7" s="75">
        <v>20059</v>
      </c>
      <c r="B7"/>
      <c r="C7">
        <v>1.28</v>
      </c>
    </row>
    <row r="8" spans="1:3" x14ac:dyDescent="0.2">
      <c r="A8" s="75">
        <v>20090</v>
      </c>
      <c r="B8"/>
      <c r="C8">
        <v>1.39</v>
      </c>
    </row>
    <row r="9" spans="1:3" x14ac:dyDescent="0.2">
      <c r="A9" s="75">
        <v>20121</v>
      </c>
      <c r="B9"/>
      <c r="C9">
        <v>1.29</v>
      </c>
    </row>
    <row r="10" spans="1:3" x14ac:dyDescent="0.2">
      <c r="A10" s="75">
        <v>20149</v>
      </c>
      <c r="B10"/>
      <c r="C10">
        <v>1.35</v>
      </c>
    </row>
    <row r="11" spans="1:3" x14ac:dyDescent="0.2">
      <c r="A11" s="75">
        <v>20180</v>
      </c>
      <c r="B11"/>
      <c r="C11">
        <v>1.43</v>
      </c>
    </row>
    <row r="12" spans="1:3" x14ac:dyDescent="0.2">
      <c r="A12" s="75">
        <v>20210</v>
      </c>
      <c r="B12"/>
      <c r="C12">
        <v>1.43</v>
      </c>
    </row>
    <row r="13" spans="1:3" x14ac:dyDescent="0.2">
      <c r="A13" s="75">
        <v>20241</v>
      </c>
      <c r="B13"/>
      <c r="C13">
        <v>1.64</v>
      </c>
    </row>
    <row r="14" spans="1:3" x14ac:dyDescent="0.2">
      <c r="A14" s="75">
        <v>20271</v>
      </c>
      <c r="B14"/>
      <c r="C14">
        <v>1.68</v>
      </c>
    </row>
    <row r="15" spans="1:3" x14ac:dyDescent="0.2">
      <c r="A15" s="75">
        <v>20302</v>
      </c>
      <c r="B15"/>
      <c r="C15">
        <v>1.96</v>
      </c>
    </row>
    <row r="16" spans="1:3" x14ac:dyDescent="0.2">
      <c r="A16" s="75">
        <v>20333</v>
      </c>
      <c r="B16"/>
      <c r="C16">
        <v>2.1800000000000002</v>
      </c>
    </row>
    <row r="17" spans="1:3" x14ac:dyDescent="0.2">
      <c r="A17" s="75">
        <v>20363</v>
      </c>
      <c r="B17"/>
      <c r="C17">
        <v>2.2400000000000002</v>
      </c>
    </row>
    <row r="18" spans="1:3" x14ac:dyDescent="0.2">
      <c r="A18" s="75">
        <v>20394</v>
      </c>
      <c r="B18"/>
      <c r="C18">
        <v>2.35</v>
      </c>
    </row>
    <row r="19" spans="1:3" x14ac:dyDescent="0.2">
      <c r="A19" s="75">
        <v>20424</v>
      </c>
      <c r="B19"/>
      <c r="C19">
        <v>2.48</v>
      </c>
    </row>
    <row r="20" spans="1:3" x14ac:dyDescent="0.2">
      <c r="A20" s="75">
        <v>20455</v>
      </c>
      <c r="B20"/>
      <c r="C20">
        <v>2.4500000000000002</v>
      </c>
    </row>
    <row r="21" spans="1:3" x14ac:dyDescent="0.2">
      <c r="A21" s="75">
        <v>20486</v>
      </c>
      <c r="B21"/>
      <c r="C21">
        <v>2.5</v>
      </c>
    </row>
    <row r="22" spans="1:3" x14ac:dyDescent="0.2">
      <c r="A22" s="75">
        <v>20515</v>
      </c>
      <c r="B22"/>
      <c r="C22">
        <v>2.5</v>
      </c>
    </row>
    <row r="23" spans="1:3" x14ac:dyDescent="0.2">
      <c r="A23" s="75">
        <v>20546</v>
      </c>
      <c r="B23"/>
      <c r="C23">
        <v>2.62</v>
      </c>
    </row>
    <row r="24" spans="1:3" x14ac:dyDescent="0.2">
      <c r="A24" s="75">
        <v>20576</v>
      </c>
      <c r="B24"/>
      <c r="C24">
        <v>2.75</v>
      </c>
    </row>
    <row r="25" spans="1:3" x14ac:dyDescent="0.2">
      <c r="A25" s="75">
        <v>20607</v>
      </c>
      <c r="B25"/>
      <c r="C25">
        <v>2.71</v>
      </c>
    </row>
    <row r="26" spans="1:3" x14ac:dyDescent="0.2">
      <c r="A26" s="75">
        <v>20637</v>
      </c>
      <c r="B26"/>
      <c r="C26">
        <v>2.75</v>
      </c>
    </row>
    <row r="27" spans="1:3" x14ac:dyDescent="0.2">
      <c r="A27" s="75">
        <v>20668</v>
      </c>
      <c r="B27"/>
      <c r="C27">
        <v>2.73</v>
      </c>
    </row>
    <row r="28" spans="1:3" x14ac:dyDescent="0.2">
      <c r="A28" s="75">
        <v>20699</v>
      </c>
      <c r="B28"/>
      <c r="C28">
        <v>2.95</v>
      </c>
    </row>
    <row r="29" spans="1:3" x14ac:dyDescent="0.2">
      <c r="A29" s="75">
        <v>20729</v>
      </c>
      <c r="B29"/>
      <c r="C29">
        <v>2.96</v>
      </c>
    </row>
    <row r="30" spans="1:3" x14ac:dyDescent="0.2">
      <c r="A30" s="75">
        <v>20760</v>
      </c>
      <c r="B30"/>
      <c r="C30">
        <v>2.88</v>
      </c>
    </row>
    <row r="31" spans="1:3" x14ac:dyDescent="0.2">
      <c r="A31" s="75">
        <v>20790</v>
      </c>
      <c r="B31"/>
      <c r="C31">
        <v>2.94</v>
      </c>
    </row>
    <row r="32" spans="1:3" x14ac:dyDescent="0.2">
      <c r="A32" s="75">
        <v>20821</v>
      </c>
      <c r="B32"/>
      <c r="C32">
        <v>2.84</v>
      </c>
    </row>
    <row r="33" spans="1:3" x14ac:dyDescent="0.2">
      <c r="A33" s="75">
        <v>20852</v>
      </c>
      <c r="B33"/>
      <c r="C33">
        <v>3</v>
      </c>
    </row>
    <row r="34" spans="1:3" x14ac:dyDescent="0.2">
      <c r="A34" s="75">
        <v>20880</v>
      </c>
      <c r="B34"/>
      <c r="C34">
        <v>2.96</v>
      </c>
    </row>
    <row r="35" spans="1:3" x14ac:dyDescent="0.2">
      <c r="A35" s="75">
        <v>20911</v>
      </c>
      <c r="B35"/>
      <c r="C35">
        <v>3</v>
      </c>
    </row>
    <row r="36" spans="1:3" x14ac:dyDescent="0.2">
      <c r="A36" s="75">
        <v>20941</v>
      </c>
      <c r="B36"/>
      <c r="C36">
        <v>3</v>
      </c>
    </row>
    <row r="37" spans="1:3" x14ac:dyDescent="0.2">
      <c r="A37" s="75">
        <v>20972</v>
      </c>
      <c r="B37"/>
      <c r="C37">
        <v>3</v>
      </c>
    </row>
    <row r="38" spans="1:3" x14ac:dyDescent="0.2">
      <c r="A38" s="75">
        <v>21002</v>
      </c>
      <c r="B38"/>
      <c r="C38">
        <v>2.99</v>
      </c>
    </row>
    <row r="39" spans="1:3" x14ac:dyDescent="0.2">
      <c r="A39" s="75">
        <v>21033</v>
      </c>
      <c r="B39"/>
      <c r="C39">
        <v>3.24</v>
      </c>
    </row>
    <row r="40" spans="1:3" x14ac:dyDescent="0.2">
      <c r="A40" s="75">
        <v>21064</v>
      </c>
      <c r="B40"/>
      <c r="C40">
        <v>3.47</v>
      </c>
    </row>
    <row r="41" spans="1:3" x14ac:dyDescent="0.2">
      <c r="A41" s="75">
        <v>21094</v>
      </c>
      <c r="B41"/>
      <c r="C41">
        <v>3.5</v>
      </c>
    </row>
    <row r="42" spans="1:3" x14ac:dyDescent="0.2">
      <c r="A42" s="75">
        <v>21125</v>
      </c>
      <c r="B42"/>
      <c r="C42">
        <v>3.28</v>
      </c>
    </row>
    <row r="43" spans="1:3" x14ac:dyDescent="0.2">
      <c r="A43" s="75">
        <v>21155</v>
      </c>
      <c r="B43"/>
      <c r="C43">
        <v>2.98</v>
      </c>
    </row>
    <row r="44" spans="1:3" x14ac:dyDescent="0.2">
      <c r="A44" s="75">
        <v>21186</v>
      </c>
      <c r="B44"/>
      <c r="C44">
        <v>2.72</v>
      </c>
    </row>
    <row r="45" spans="1:3" x14ac:dyDescent="0.2">
      <c r="A45" s="75">
        <v>21217</v>
      </c>
      <c r="B45"/>
      <c r="C45">
        <v>1.67</v>
      </c>
    </row>
    <row r="46" spans="1:3" x14ac:dyDescent="0.2">
      <c r="A46" s="75">
        <v>21245</v>
      </c>
      <c r="B46"/>
      <c r="C46">
        <v>1.2</v>
      </c>
    </row>
    <row r="47" spans="1:3" x14ac:dyDescent="0.2">
      <c r="A47" s="75">
        <v>21276</v>
      </c>
      <c r="B47"/>
      <c r="C47">
        <v>1.26</v>
      </c>
    </row>
    <row r="48" spans="1:3" x14ac:dyDescent="0.2">
      <c r="A48" s="75">
        <v>21306</v>
      </c>
      <c r="B48"/>
      <c r="C48">
        <v>0.63</v>
      </c>
    </row>
    <row r="49" spans="1:3" x14ac:dyDescent="0.2">
      <c r="A49" s="75">
        <v>21337</v>
      </c>
      <c r="B49"/>
      <c r="C49">
        <v>0.93</v>
      </c>
    </row>
    <row r="50" spans="1:3" x14ac:dyDescent="0.2">
      <c r="A50" s="75">
        <v>21367</v>
      </c>
      <c r="B50"/>
      <c r="C50">
        <v>0.68</v>
      </c>
    </row>
    <row r="51" spans="1:3" x14ac:dyDescent="0.2">
      <c r="A51" s="75">
        <v>21398</v>
      </c>
      <c r="B51"/>
      <c r="C51">
        <v>1.53</v>
      </c>
    </row>
    <row r="52" spans="1:3" x14ac:dyDescent="0.2">
      <c r="A52" s="75">
        <v>21429</v>
      </c>
      <c r="B52"/>
      <c r="C52">
        <v>1.76</v>
      </c>
    </row>
    <row r="53" spans="1:3" x14ac:dyDescent="0.2">
      <c r="A53" s="75">
        <v>21459</v>
      </c>
      <c r="B53"/>
      <c r="C53">
        <v>1.8</v>
      </c>
    </row>
    <row r="54" spans="1:3" x14ac:dyDescent="0.2">
      <c r="A54" s="75">
        <v>21490</v>
      </c>
      <c r="B54"/>
      <c r="C54">
        <v>2.27</v>
      </c>
    </row>
    <row r="55" spans="1:3" x14ac:dyDescent="0.2">
      <c r="A55" s="75">
        <v>21520</v>
      </c>
      <c r="B55"/>
      <c r="C55">
        <v>2.42</v>
      </c>
    </row>
    <row r="56" spans="1:3" x14ac:dyDescent="0.2">
      <c r="A56" s="75">
        <v>21551</v>
      </c>
      <c r="B56"/>
      <c r="C56">
        <v>2.48</v>
      </c>
    </row>
    <row r="57" spans="1:3" x14ac:dyDescent="0.2">
      <c r="A57" s="75">
        <v>21582</v>
      </c>
      <c r="B57"/>
      <c r="C57">
        <v>2.4300000000000002</v>
      </c>
    </row>
    <row r="58" spans="1:3" x14ac:dyDescent="0.2">
      <c r="A58" s="75">
        <v>21610</v>
      </c>
      <c r="B58"/>
      <c r="C58">
        <v>2.8</v>
      </c>
    </row>
    <row r="59" spans="1:3" x14ac:dyDescent="0.2">
      <c r="A59" s="75">
        <v>21641</v>
      </c>
      <c r="B59"/>
      <c r="C59">
        <v>2.96</v>
      </c>
    </row>
    <row r="60" spans="1:3" x14ac:dyDescent="0.2">
      <c r="A60" s="75">
        <v>21671</v>
      </c>
      <c r="B60"/>
      <c r="C60">
        <v>2.9</v>
      </c>
    </row>
    <row r="61" spans="1:3" x14ac:dyDescent="0.2">
      <c r="A61" s="75">
        <v>21702</v>
      </c>
      <c r="B61"/>
      <c r="C61">
        <v>3.39</v>
      </c>
    </row>
    <row r="62" spans="1:3" x14ac:dyDescent="0.2">
      <c r="A62" s="75">
        <v>21732</v>
      </c>
      <c r="B62"/>
      <c r="C62">
        <v>3.47</v>
      </c>
    </row>
    <row r="63" spans="1:3" x14ac:dyDescent="0.2">
      <c r="A63" s="75">
        <v>21763</v>
      </c>
      <c r="B63"/>
      <c r="C63">
        <v>3.5</v>
      </c>
    </row>
    <row r="64" spans="1:3" x14ac:dyDescent="0.2">
      <c r="A64" s="75">
        <v>21794</v>
      </c>
      <c r="B64"/>
      <c r="C64">
        <v>3.76</v>
      </c>
    </row>
    <row r="65" spans="1:3" x14ac:dyDescent="0.2">
      <c r="A65" s="75">
        <v>21824</v>
      </c>
      <c r="B65"/>
      <c r="C65">
        <v>3.98</v>
      </c>
    </row>
    <row r="66" spans="1:3" x14ac:dyDescent="0.2">
      <c r="A66" s="75">
        <v>21855</v>
      </c>
      <c r="B66"/>
      <c r="C66">
        <v>4</v>
      </c>
    </row>
    <row r="67" spans="1:3" x14ac:dyDescent="0.2">
      <c r="A67" s="75">
        <v>21885</v>
      </c>
      <c r="B67"/>
      <c r="C67">
        <v>3.99</v>
      </c>
    </row>
    <row r="68" spans="1:3" x14ac:dyDescent="0.2">
      <c r="A68" s="75">
        <v>21916</v>
      </c>
      <c r="B68"/>
      <c r="C68">
        <v>3.99</v>
      </c>
    </row>
    <row r="69" spans="1:3" x14ac:dyDescent="0.2">
      <c r="A69" s="75">
        <v>21947</v>
      </c>
      <c r="B69"/>
      <c r="C69">
        <v>3.97</v>
      </c>
    </row>
    <row r="70" spans="1:3" x14ac:dyDescent="0.2">
      <c r="A70" s="75">
        <v>21976</v>
      </c>
      <c r="B70"/>
      <c r="C70">
        <v>3.84</v>
      </c>
    </row>
    <row r="71" spans="1:3" x14ac:dyDescent="0.2">
      <c r="A71" s="75">
        <v>22007</v>
      </c>
      <c r="B71"/>
      <c r="C71">
        <v>3.92</v>
      </c>
    </row>
    <row r="72" spans="1:3" x14ac:dyDescent="0.2">
      <c r="A72" s="75">
        <v>22037</v>
      </c>
      <c r="B72"/>
      <c r="C72">
        <v>3.85</v>
      </c>
    </row>
    <row r="73" spans="1:3" x14ac:dyDescent="0.2">
      <c r="A73" s="75">
        <v>22068</v>
      </c>
      <c r="B73"/>
      <c r="C73">
        <v>3.32</v>
      </c>
    </row>
    <row r="74" spans="1:3" x14ac:dyDescent="0.2">
      <c r="A74" s="75">
        <v>22098</v>
      </c>
      <c r="B74"/>
      <c r="C74">
        <v>3.23</v>
      </c>
    </row>
    <row r="75" spans="1:3" x14ac:dyDescent="0.2">
      <c r="A75" s="75">
        <v>22129</v>
      </c>
      <c r="B75"/>
      <c r="C75">
        <v>2.98</v>
      </c>
    </row>
    <row r="76" spans="1:3" x14ac:dyDescent="0.2">
      <c r="A76" s="75">
        <v>22160</v>
      </c>
      <c r="B76"/>
      <c r="C76">
        <v>2.6</v>
      </c>
    </row>
    <row r="77" spans="1:3" x14ac:dyDescent="0.2">
      <c r="A77" s="75">
        <v>22190</v>
      </c>
      <c r="B77"/>
      <c r="C77">
        <v>2.4700000000000002</v>
      </c>
    </row>
    <row r="78" spans="1:3" x14ac:dyDescent="0.2">
      <c r="A78" s="75">
        <v>22221</v>
      </c>
      <c r="B78"/>
      <c r="C78">
        <v>2.44</v>
      </c>
    </row>
    <row r="79" spans="1:3" x14ac:dyDescent="0.2">
      <c r="A79" s="75">
        <v>22251</v>
      </c>
      <c r="B79"/>
      <c r="C79">
        <v>1.98</v>
      </c>
    </row>
    <row r="80" spans="1:3" x14ac:dyDescent="0.2">
      <c r="A80" s="75">
        <v>22282</v>
      </c>
      <c r="B80"/>
      <c r="C80">
        <v>1.45</v>
      </c>
    </row>
    <row r="81" spans="1:3" x14ac:dyDescent="0.2">
      <c r="A81" s="75">
        <v>22313</v>
      </c>
      <c r="B81"/>
      <c r="C81">
        <v>2.54</v>
      </c>
    </row>
    <row r="82" spans="1:3" x14ac:dyDescent="0.2">
      <c r="A82" s="75">
        <v>22341</v>
      </c>
      <c r="B82"/>
      <c r="C82">
        <v>2.02</v>
      </c>
    </row>
    <row r="83" spans="1:3" x14ac:dyDescent="0.2">
      <c r="A83" s="75">
        <v>22372</v>
      </c>
      <c r="B83"/>
      <c r="C83">
        <v>1.49</v>
      </c>
    </row>
    <row r="84" spans="1:3" x14ac:dyDescent="0.2">
      <c r="A84" s="75">
        <v>22402</v>
      </c>
      <c r="B84"/>
      <c r="C84">
        <v>1.98</v>
      </c>
    </row>
    <row r="85" spans="1:3" x14ac:dyDescent="0.2">
      <c r="A85" s="75">
        <v>22433</v>
      </c>
      <c r="B85"/>
      <c r="C85">
        <v>1.73</v>
      </c>
    </row>
    <row r="86" spans="1:3" x14ac:dyDescent="0.2">
      <c r="A86" s="75">
        <v>22463</v>
      </c>
      <c r="B86"/>
      <c r="C86">
        <v>1.17</v>
      </c>
    </row>
    <row r="87" spans="1:3" x14ac:dyDescent="0.2">
      <c r="A87" s="75">
        <v>22494</v>
      </c>
      <c r="B87"/>
      <c r="C87">
        <v>2</v>
      </c>
    </row>
    <row r="88" spans="1:3" x14ac:dyDescent="0.2">
      <c r="A88" s="75">
        <v>22525</v>
      </c>
      <c r="B88"/>
      <c r="C88">
        <v>1.88</v>
      </c>
    </row>
    <row r="89" spans="1:3" x14ac:dyDescent="0.2">
      <c r="A89" s="75">
        <v>22555</v>
      </c>
      <c r="B89"/>
      <c r="C89">
        <v>2.2599999999999998</v>
      </c>
    </row>
    <row r="90" spans="1:3" x14ac:dyDescent="0.2">
      <c r="A90" s="75">
        <v>22586</v>
      </c>
      <c r="B90"/>
      <c r="C90">
        <v>2.61</v>
      </c>
    </row>
    <row r="91" spans="1:3" x14ac:dyDescent="0.2">
      <c r="A91" s="75">
        <v>22616</v>
      </c>
      <c r="B91"/>
      <c r="C91">
        <v>2.33</v>
      </c>
    </row>
    <row r="92" spans="1:3" x14ac:dyDescent="0.2">
      <c r="A92" s="75">
        <v>22647</v>
      </c>
      <c r="B92"/>
      <c r="C92">
        <v>2.15</v>
      </c>
    </row>
    <row r="93" spans="1:3" x14ac:dyDescent="0.2">
      <c r="A93" s="75">
        <v>22678</v>
      </c>
      <c r="B93"/>
      <c r="C93">
        <v>2.37</v>
      </c>
    </row>
    <row r="94" spans="1:3" x14ac:dyDescent="0.2">
      <c r="A94" s="75">
        <v>22706</v>
      </c>
      <c r="B94"/>
      <c r="C94">
        <v>2.85</v>
      </c>
    </row>
    <row r="95" spans="1:3" x14ac:dyDescent="0.2">
      <c r="A95" s="75">
        <v>22737</v>
      </c>
      <c r="B95"/>
      <c r="C95">
        <v>2.78</v>
      </c>
    </row>
    <row r="96" spans="1:3" x14ac:dyDescent="0.2">
      <c r="A96" s="75">
        <v>22767</v>
      </c>
      <c r="B96"/>
      <c r="C96">
        <v>2.36</v>
      </c>
    </row>
    <row r="97" spans="1:3" x14ac:dyDescent="0.2">
      <c r="A97" s="75">
        <v>22798</v>
      </c>
      <c r="B97"/>
      <c r="C97">
        <v>2.68</v>
      </c>
    </row>
    <row r="98" spans="1:3" x14ac:dyDescent="0.2">
      <c r="A98" s="75">
        <v>22828</v>
      </c>
      <c r="B98"/>
      <c r="C98">
        <v>2.71</v>
      </c>
    </row>
    <row r="99" spans="1:3" x14ac:dyDescent="0.2">
      <c r="A99" s="75">
        <v>22859</v>
      </c>
      <c r="B99"/>
      <c r="C99">
        <v>2.93</v>
      </c>
    </row>
    <row r="100" spans="1:3" x14ac:dyDescent="0.2">
      <c r="A100" s="75">
        <v>22890</v>
      </c>
      <c r="B100"/>
      <c r="C100">
        <v>2.9</v>
      </c>
    </row>
    <row r="101" spans="1:3" x14ac:dyDescent="0.2">
      <c r="A101" s="75">
        <v>22920</v>
      </c>
      <c r="B101"/>
      <c r="C101">
        <v>2.9</v>
      </c>
    </row>
    <row r="102" spans="1:3" x14ac:dyDescent="0.2">
      <c r="A102" s="75">
        <v>22951</v>
      </c>
      <c r="B102"/>
      <c r="C102">
        <v>2.94</v>
      </c>
    </row>
    <row r="103" spans="1:3" x14ac:dyDescent="0.2">
      <c r="A103" s="75">
        <v>22981</v>
      </c>
      <c r="B103"/>
      <c r="C103">
        <v>2.93</v>
      </c>
    </row>
    <row r="104" spans="1:3" x14ac:dyDescent="0.2">
      <c r="A104" s="75">
        <v>23012</v>
      </c>
      <c r="B104"/>
      <c r="C104">
        <v>2.92</v>
      </c>
    </row>
    <row r="105" spans="1:3" x14ac:dyDescent="0.2">
      <c r="A105" s="75">
        <v>23043</v>
      </c>
      <c r="B105"/>
      <c r="C105">
        <v>3</v>
      </c>
    </row>
    <row r="106" spans="1:3" x14ac:dyDescent="0.2">
      <c r="A106" s="75">
        <v>23071</v>
      </c>
      <c r="B106"/>
      <c r="C106">
        <v>2.98</v>
      </c>
    </row>
    <row r="107" spans="1:3" x14ac:dyDescent="0.2">
      <c r="A107" s="75">
        <v>23102</v>
      </c>
      <c r="B107"/>
      <c r="C107">
        <v>2.9</v>
      </c>
    </row>
    <row r="108" spans="1:3" x14ac:dyDescent="0.2">
      <c r="A108" s="75">
        <v>23132</v>
      </c>
      <c r="B108"/>
      <c r="C108">
        <v>3</v>
      </c>
    </row>
    <row r="109" spans="1:3" x14ac:dyDescent="0.2">
      <c r="A109" s="75">
        <v>23163</v>
      </c>
      <c r="B109"/>
      <c r="C109">
        <v>2.99</v>
      </c>
    </row>
    <row r="110" spans="1:3" x14ac:dyDescent="0.2">
      <c r="A110" s="75">
        <v>23193</v>
      </c>
      <c r="B110"/>
      <c r="C110">
        <v>3.02</v>
      </c>
    </row>
    <row r="111" spans="1:3" x14ac:dyDescent="0.2">
      <c r="A111" s="75">
        <v>23224</v>
      </c>
      <c r="B111"/>
      <c r="C111">
        <v>3.49</v>
      </c>
    </row>
    <row r="112" spans="1:3" x14ac:dyDescent="0.2">
      <c r="A112" s="75">
        <v>23255</v>
      </c>
      <c r="B112"/>
      <c r="C112">
        <v>3.48</v>
      </c>
    </row>
    <row r="113" spans="1:3" x14ac:dyDescent="0.2">
      <c r="A113" s="75">
        <v>23285</v>
      </c>
      <c r="B113"/>
      <c r="C113">
        <v>3.5</v>
      </c>
    </row>
    <row r="114" spans="1:3" x14ac:dyDescent="0.2">
      <c r="A114" s="75">
        <v>23316</v>
      </c>
      <c r="B114"/>
      <c r="C114">
        <v>3.48</v>
      </c>
    </row>
    <row r="115" spans="1:3" x14ac:dyDescent="0.2">
      <c r="A115" s="75">
        <v>23346</v>
      </c>
      <c r="B115"/>
      <c r="C115">
        <v>3.38</v>
      </c>
    </row>
    <row r="116" spans="1:3" x14ac:dyDescent="0.2">
      <c r="A116" s="75">
        <v>23377</v>
      </c>
      <c r="B116"/>
      <c r="C116">
        <v>3.48</v>
      </c>
    </row>
    <row r="117" spans="1:3" x14ac:dyDescent="0.2">
      <c r="A117" s="75">
        <v>23408</v>
      </c>
      <c r="B117"/>
      <c r="C117">
        <v>3.48</v>
      </c>
    </row>
    <row r="118" spans="1:3" x14ac:dyDescent="0.2">
      <c r="A118" s="75">
        <v>23437</v>
      </c>
      <c r="B118"/>
      <c r="C118">
        <v>3.43</v>
      </c>
    </row>
    <row r="119" spans="1:3" x14ac:dyDescent="0.2">
      <c r="A119" s="75">
        <v>23468</v>
      </c>
      <c r="B119"/>
      <c r="C119">
        <v>3.47</v>
      </c>
    </row>
    <row r="120" spans="1:3" x14ac:dyDescent="0.2">
      <c r="A120" s="75">
        <v>23498</v>
      </c>
      <c r="B120"/>
      <c r="C120">
        <v>3.5</v>
      </c>
    </row>
    <row r="121" spans="1:3" x14ac:dyDescent="0.2">
      <c r="A121" s="75">
        <v>23529</v>
      </c>
      <c r="B121"/>
      <c r="C121">
        <v>3.5</v>
      </c>
    </row>
    <row r="122" spans="1:3" x14ac:dyDescent="0.2">
      <c r="A122" s="75">
        <v>23559</v>
      </c>
      <c r="B122"/>
      <c r="C122">
        <v>3.42</v>
      </c>
    </row>
    <row r="123" spans="1:3" x14ac:dyDescent="0.2">
      <c r="A123" s="75">
        <v>23590</v>
      </c>
      <c r="B123"/>
      <c r="C123">
        <v>3.5</v>
      </c>
    </row>
    <row r="124" spans="1:3" x14ac:dyDescent="0.2">
      <c r="A124" s="75">
        <v>23621</v>
      </c>
      <c r="B124"/>
      <c r="C124">
        <v>3.45</v>
      </c>
    </row>
    <row r="125" spans="1:3" x14ac:dyDescent="0.2">
      <c r="A125" s="75">
        <v>23651</v>
      </c>
      <c r="B125"/>
      <c r="C125">
        <v>3.36</v>
      </c>
    </row>
    <row r="126" spans="1:3" x14ac:dyDescent="0.2">
      <c r="A126" s="75">
        <v>23682</v>
      </c>
      <c r="B126"/>
      <c r="C126">
        <v>3.52</v>
      </c>
    </row>
    <row r="127" spans="1:3" x14ac:dyDescent="0.2">
      <c r="A127" s="75">
        <v>23712</v>
      </c>
      <c r="B127"/>
      <c r="C127">
        <v>3.85</v>
      </c>
    </row>
    <row r="128" spans="1:3" x14ac:dyDescent="0.2">
      <c r="A128" s="75">
        <v>23743</v>
      </c>
      <c r="B128"/>
      <c r="C128">
        <v>3.9</v>
      </c>
    </row>
    <row r="129" spans="1:3" x14ac:dyDescent="0.2">
      <c r="A129" s="75">
        <v>23774</v>
      </c>
      <c r="B129"/>
      <c r="C129">
        <v>3.98</v>
      </c>
    </row>
    <row r="130" spans="1:3" x14ac:dyDescent="0.2">
      <c r="A130" s="75">
        <v>23802</v>
      </c>
      <c r="B130"/>
      <c r="C130">
        <v>4.05</v>
      </c>
    </row>
    <row r="131" spans="1:3" x14ac:dyDescent="0.2">
      <c r="A131" s="75">
        <v>23833</v>
      </c>
      <c r="B131"/>
      <c r="C131">
        <v>4.09</v>
      </c>
    </row>
    <row r="132" spans="1:3" x14ac:dyDescent="0.2">
      <c r="A132" s="75">
        <v>23863</v>
      </c>
      <c r="B132"/>
      <c r="C132">
        <v>4.0999999999999996</v>
      </c>
    </row>
    <row r="133" spans="1:3" x14ac:dyDescent="0.2">
      <c r="A133" s="75">
        <v>23894</v>
      </c>
      <c r="B133"/>
      <c r="C133">
        <v>4.05</v>
      </c>
    </row>
    <row r="134" spans="1:3" x14ac:dyDescent="0.2">
      <c r="A134" s="75">
        <v>23924</v>
      </c>
      <c r="B134"/>
      <c r="C134">
        <v>4.09</v>
      </c>
    </row>
    <row r="135" spans="1:3" x14ac:dyDescent="0.2">
      <c r="A135" s="75">
        <v>23955</v>
      </c>
      <c r="B135"/>
      <c r="C135">
        <v>4.12</v>
      </c>
    </row>
    <row r="136" spans="1:3" x14ac:dyDescent="0.2">
      <c r="A136" s="75">
        <v>23986</v>
      </c>
      <c r="B136"/>
      <c r="C136">
        <v>4.0199999999999996</v>
      </c>
    </row>
    <row r="137" spans="1:3" x14ac:dyDescent="0.2">
      <c r="A137" s="75">
        <v>24016</v>
      </c>
      <c r="B137"/>
      <c r="C137">
        <v>4.08</v>
      </c>
    </row>
    <row r="138" spans="1:3" x14ac:dyDescent="0.2">
      <c r="A138" s="75">
        <v>24047</v>
      </c>
      <c r="B138"/>
      <c r="C138">
        <v>4.0999999999999996</v>
      </c>
    </row>
    <row r="139" spans="1:3" x14ac:dyDescent="0.2">
      <c r="A139" s="75">
        <v>24077</v>
      </c>
      <c r="B139"/>
      <c r="C139">
        <v>4.32</v>
      </c>
    </row>
    <row r="140" spans="1:3" x14ac:dyDescent="0.2">
      <c r="A140" s="75">
        <v>24108</v>
      </c>
      <c r="B140"/>
      <c r="C140">
        <v>4.42</v>
      </c>
    </row>
    <row r="141" spans="1:3" x14ac:dyDescent="0.2">
      <c r="A141" s="75">
        <v>24139</v>
      </c>
      <c r="B141"/>
      <c r="C141">
        <v>4.5999999999999996</v>
      </c>
    </row>
    <row r="142" spans="1:3" x14ac:dyDescent="0.2">
      <c r="A142" s="75">
        <v>24167</v>
      </c>
      <c r="B142"/>
      <c r="C142">
        <v>4.66</v>
      </c>
    </row>
    <row r="143" spans="1:3" x14ac:dyDescent="0.2">
      <c r="A143" s="75">
        <v>24198</v>
      </c>
      <c r="B143"/>
      <c r="C143">
        <v>4.67</v>
      </c>
    </row>
    <row r="144" spans="1:3" x14ac:dyDescent="0.2">
      <c r="A144" s="75">
        <v>24228</v>
      </c>
      <c r="B144"/>
      <c r="C144">
        <v>4.9000000000000004</v>
      </c>
    </row>
    <row r="145" spans="1:3" x14ac:dyDescent="0.2">
      <c r="A145" s="75">
        <v>24259</v>
      </c>
      <c r="B145"/>
      <c r="C145">
        <v>5.17</v>
      </c>
    </row>
    <row r="146" spans="1:3" x14ac:dyDescent="0.2">
      <c r="A146" s="75">
        <v>24289</v>
      </c>
      <c r="B146"/>
      <c r="C146">
        <v>5.3</v>
      </c>
    </row>
    <row r="147" spans="1:3" x14ac:dyDescent="0.2">
      <c r="A147" s="75">
        <v>24320</v>
      </c>
      <c r="B147"/>
      <c r="C147">
        <v>5.53</v>
      </c>
    </row>
    <row r="148" spans="1:3" x14ac:dyDescent="0.2">
      <c r="A148" s="75">
        <v>24351</v>
      </c>
      <c r="B148"/>
      <c r="C148">
        <v>5.4</v>
      </c>
    </row>
    <row r="149" spans="1:3" x14ac:dyDescent="0.2">
      <c r="A149" s="75">
        <v>24381</v>
      </c>
      <c r="B149"/>
      <c r="C149">
        <v>5.53</v>
      </c>
    </row>
    <row r="150" spans="1:3" x14ac:dyDescent="0.2">
      <c r="A150" s="75">
        <v>24412</v>
      </c>
      <c r="B150"/>
      <c r="C150">
        <v>5.76</v>
      </c>
    </row>
    <row r="151" spans="1:3" x14ac:dyDescent="0.2">
      <c r="A151" s="75">
        <v>24442</v>
      </c>
      <c r="B151"/>
      <c r="C151">
        <v>5.4</v>
      </c>
    </row>
    <row r="152" spans="1:3" x14ac:dyDescent="0.2">
      <c r="A152" s="75">
        <v>24473</v>
      </c>
      <c r="B152"/>
      <c r="C152">
        <v>4.9400000000000004</v>
      </c>
    </row>
    <row r="153" spans="1:3" x14ac:dyDescent="0.2">
      <c r="A153" s="75">
        <v>24504</v>
      </c>
      <c r="B153"/>
      <c r="C153">
        <v>5</v>
      </c>
    </row>
    <row r="154" spans="1:3" x14ac:dyDescent="0.2">
      <c r="A154" s="75">
        <v>24532</v>
      </c>
      <c r="B154"/>
      <c r="C154">
        <v>4.53</v>
      </c>
    </row>
    <row r="155" spans="1:3" x14ac:dyDescent="0.2">
      <c r="A155" s="75">
        <v>24563</v>
      </c>
      <c r="B155"/>
      <c r="C155">
        <v>4.05</v>
      </c>
    </row>
    <row r="156" spans="1:3" x14ac:dyDescent="0.2">
      <c r="A156" s="75">
        <v>24593</v>
      </c>
      <c r="B156"/>
      <c r="C156">
        <v>3.94</v>
      </c>
    </row>
    <row r="157" spans="1:3" x14ac:dyDescent="0.2">
      <c r="A157" s="75">
        <v>24624</v>
      </c>
      <c r="B157"/>
      <c r="C157">
        <v>3.98</v>
      </c>
    </row>
    <row r="158" spans="1:3" x14ac:dyDescent="0.2">
      <c r="A158" s="75">
        <v>24654</v>
      </c>
      <c r="B158"/>
      <c r="C158">
        <v>3.79</v>
      </c>
    </row>
    <row r="159" spans="1:3" x14ac:dyDescent="0.2">
      <c r="A159" s="75">
        <v>24685</v>
      </c>
      <c r="B159"/>
      <c r="C159">
        <v>3.9</v>
      </c>
    </row>
    <row r="160" spans="1:3" x14ac:dyDescent="0.2">
      <c r="A160" s="75">
        <v>24716</v>
      </c>
      <c r="B160"/>
      <c r="C160">
        <v>3.99</v>
      </c>
    </row>
    <row r="161" spans="1:3" x14ac:dyDescent="0.2">
      <c r="A161" s="75">
        <v>24746</v>
      </c>
      <c r="B161"/>
      <c r="C161">
        <v>3.88</v>
      </c>
    </row>
    <row r="162" spans="1:3" x14ac:dyDescent="0.2">
      <c r="A162" s="75">
        <v>24777</v>
      </c>
      <c r="B162"/>
      <c r="C162">
        <v>4.13</v>
      </c>
    </row>
    <row r="163" spans="1:3" x14ac:dyDescent="0.2">
      <c r="A163" s="75">
        <v>24807</v>
      </c>
      <c r="B163"/>
      <c r="C163">
        <v>4.51</v>
      </c>
    </row>
    <row r="164" spans="1:3" x14ac:dyDescent="0.2">
      <c r="A164" s="75">
        <v>24838</v>
      </c>
      <c r="B164"/>
      <c r="C164">
        <v>4.6100000000000003</v>
      </c>
    </row>
    <row r="165" spans="1:3" x14ac:dyDescent="0.2">
      <c r="A165" s="75">
        <v>24869</v>
      </c>
      <c r="B165"/>
      <c r="C165">
        <v>4.71</v>
      </c>
    </row>
    <row r="166" spans="1:3" x14ac:dyDescent="0.2">
      <c r="A166" s="75">
        <v>24898</v>
      </c>
      <c r="B166"/>
      <c r="C166">
        <v>5.05</v>
      </c>
    </row>
    <row r="167" spans="1:3" x14ac:dyDescent="0.2">
      <c r="A167" s="75">
        <v>24929</v>
      </c>
      <c r="B167"/>
      <c r="C167">
        <v>5.76</v>
      </c>
    </row>
    <row r="168" spans="1:3" x14ac:dyDescent="0.2">
      <c r="A168" s="75">
        <v>24959</v>
      </c>
      <c r="B168"/>
      <c r="C168">
        <v>6.12</v>
      </c>
    </row>
    <row r="169" spans="1:3" x14ac:dyDescent="0.2">
      <c r="A169" s="75">
        <v>24990</v>
      </c>
      <c r="B169"/>
      <c r="C169">
        <v>6.07</v>
      </c>
    </row>
    <row r="170" spans="1:3" x14ac:dyDescent="0.2">
      <c r="A170" s="75">
        <v>25020</v>
      </c>
      <c r="B170"/>
      <c r="C170">
        <v>6.03</v>
      </c>
    </row>
    <row r="171" spans="1:3" x14ac:dyDescent="0.2">
      <c r="A171" s="75">
        <v>25051</v>
      </c>
      <c r="B171"/>
      <c r="C171">
        <v>6.03</v>
      </c>
    </row>
    <row r="172" spans="1:3" x14ac:dyDescent="0.2">
      <c r="A172" s="75">
        <v>25082</v>
      </c>
      <c r="B172"/>
      <c r="C172">
        <v>5.78</v>
      </c>
    </row>
    <row r="173" spans="1:3" x14ac:dyDescent="0.2">
      <c r="A173" s="75">
        <v>25112</v>
      </c>
      <c r="B173"/>
      <c r="C173">
        <v>5.91</v>
      </c>
    </row>
    <row r="174" spans="1:3" x14ac:dyDescent="0.2">
      <c r="A174" s="75">
        <v>25143</v>
      </c>
      <c r="B174"/>
      <c r="C174">
        <v>5.82</v>
      </c>
    </row>
    <row r="175" spans="1:3" x14ac:dyDescent="0.2">
      <c r="A175" s="75">
        <v>25173</v>
      </c>
      <c r="B175"/>
      <c r="C175">
        <v>6.02</v>
      </c>
    </row>
    <row r="176" spans="1:3" x14ac:dyDescent="0.2">
      <c r="A176" s="75">
        <v>25204</v>
      </c>
      <c r="B176"/>
      <c r="C176">
        <v>6.3</v>
      </c>
    </row>
    <row r="177" spans="1:3" x14ac:dyDescent="0.2">
      <c r="A177" s="75">
        <v>25235</v>
      </c>
      <c r="B177"/>
      <c r="C177">
        <v>6.61</v>
      </c>
    </row>
    <row r="178" spans="1:3" x14ac:dyDescent="0.2">
      <c r="A178" s="75">
        <v>25263</v>
      </c>
      <c r="B178"/>
      <c r="C178">
        <v>6.79</v>
      </c>
    </row>
    <row r="179" spans="1:3" x14ac:dyDescent="0.2">
      <c r="A179" s="75">
        <v>25294</v>
      </c>
      <c r="B179"/>
      <c r="C179">
        <v>7.41</v>
      </c>
    </row>
    <row r="180" spans="1:3" x14ac:dyDescent="0.2">
      <c r="A180" s="75">
        <v>25324</v>
      </c>
      <c r="B180"/>
      <c r="C180">
        <v>8.67</v>
      </c>
    </row>
    <row r="181" spans="1:3" x14ac:dyDescent="0.2">
      <c r="A181" s="75">
        <v>25355</v>
      </c>
      <c r="B181"/>
      <c r="C181">
        <v>8.9</v>
      </c>
    </row>
    <row r="182" spans="1:3" x14ac:dyDescent="0.2">
      <c r="A182" s="75">
        <v>25385</v>
      </c>
      <c r="B182"/>
      <c r="C182">
        <v>8.61</v>
      </c>
    </row>
    <row r="183" spans="1:3" x14ac:dyDescent="0.2">
      <c r="A183" s="75">
        <v>25416</v>
      </c>
      <c r="B183"/>
      <c r="C183">
        <v>9.19</v>
      </c>
    </row>
    <row r="184" spans="1:3" x14ac:dyDescent="0.2">
      <c r="A184" s="75">
        <v>25447</v>
      </c>
      <c r="B184"/>
      <c r="C184">
        <v>9.15</v>
      </c>
    </row>
    <row r="185" spans="1:3" x14ac:dyDescent="0.2">
      <c r="A185" s="75">
        <v>25477</v>
      </c>
      <c r="B185"/>
      <c r="C185">
        <v>9</v>
      </c>
    </row>
    <row r="186" spans="1:3" x14ac:dyDescent="0.2">
      <c r="A186" s="75">
        <v>25508</v>
      </c>
      <c r="B186"/>
      <c r="C186">
        <v>8.85</v>
      </c>
    </row>
    <row r="187" spans="1:3" x14ac:dyDescent="0.2">
      <c r="A187" s="75">
        <v>25538</v>
      </c>
      <c r="B187"/>
      <c r="C187">
        <v>8.9700000000000006</v>
      </c>
    </row>
    <row r="188" spans="1:3" x14ac:dyDescent="0.2">
      <c r="A188" s="75">
        <v>25569</v>
      </c>
      <c r="B188"/>
      <c r="C188">
        <v>8.98</v>
      </c>
    </row>
    <row r="189" spans="1:3" x14ac:dyDescent="0.2">
      <c r="A189" s="75">
        <v>25600</v>
      </c>
      <c r="B189"/>
      <c r="C189">
        <v>8.98</v>
      </c>
    </row>
    <row r="190" spans="1:3" x14ac:dyDescent="0.2">
      <c r="A190" s="75">
        <v>25628</v>
      </c>
      <c r="B190"/>
      <c r="C190">
        <v>7.76</v>
      </c>
    </row>
    <row r="191" spans="1:3" x14ac:dyDescent="0.2">
      <c r="A191" s="75">
        <v>25659</v>
      </c>
      <c r="B191"/>
      <c r="C191">
        <v>8.1</v>
      </c>
    </row>
    <row r="192" spans="1:3" x14ac:dyDescent="0.2">
      <c r="A192" s="75">
        <v>25689</v>
      </c>
      <c r="B192"/>
      <c r="C192">
        <v>7.95</v>
      </c>
    </row>
    <row r="193" spans="1:3" x14ac:dyDescent="0.2">
      <c r="A193" s="75">
        <v>25720</v>
      </c>
      <c r="B193"/>
      <c r="C193">
        <v>7.61</v>
      </c>
    </row>
    <row r="194" spans="1:3" x14ac:dyDescent="0.2">
      <c r="A194" s="75">
        <v>25750</v>
      </c>
      <c r="B194"/>
      <c r="C194">
        <v>7.21</v>
      </c>
    </row>
    <row r="195" spans="1:3" x14ac:dyDescent="0.2">
      <c r="A195" s="75">
        <v>25781</v>
      </c>
      <c r="B195"/>
      <c r="C195">
        <v>6.62</v>
      </c>
    </row>
    <row r="196" spans="1:3" x14ac:dyDescent="0.2">
      <c r="A196" s="75">
        <v>25812</v>
      </c>
      <c r="B196"/>
      <c r="C196">
        <v>6.29</v>
      </c>
    </row>
    <row r="197" spans="1:3" x14ac:dyDescent="0.2">
      <c r="A197" s="75">
        <v>25842</v>
      </c>
      <c r="B197"/>
      <c r="C197">
        <v>6.2</v>
      </c>
    </row>
    <row r="198" spans="1:3" x14ac:dyDescent="0.2">
      <c r="A198" s="75">
        <v>25873</v>
      </c>
      <c r="B198"/>
      <c r="C198">
        <v>5.6</v>
      </c>
    </row>
    <row r="199" spans="1:3" x14ac:dyDescent="0.2">
      <c r="A199" s="75">
        <v>25903</v>
      </c>
      <c r="B199"/>
      <c r="C199">
        <v>4.9000000000000004</v>
      </c>
    </row>
    <row r="200" spans="1:3" x14ac:dyDescent="0.2">
      <c r="A200" s="75">
        <v>25934</v>
      </c>
      <c r="B200"/>
      <c r="C200">
        <v>4.1399999999999997</v>
      </c>
    </row>
    <row r="201" spans="1:3" x14ac:dyDescent="0.2">
      <c r="A201" s="75">
        <v>25965</v>
      </c>
      <c r="B201"/>
      <c r="C201">
        <v>3.72</v>
      </c>
    </row>
    <row r="202" spans="1:3" x14ac:dyDescent="0.2">
      <c r="A202" s="75">
        <v>25993</v>
      </c>
      <c r="B202"/>
      <c r="C202">
        <v>3.71</v>
      </c>
    </row>
    <row r="203" spans="1:3" x14ac:dyDescent="0.2">
      <c r="A203" s="75">
        <v>26024</v>
      </c>
      <c r="B203"/>
      <c r="C203">
        <v>4.16</v>
      </c>
    </row>
    <row r="204" spans="1:3" x14ac:dyDescent="0.2">
      <c r="A204" s="75">
        <v>26054</v>
      </c>
      <c r="B204"/>
      <c r="C204">
        <v>4.63</v>
      </c>
    </row>
    <row r="205" spans="1:3" x14ac:dyDescent="0.2">
      <c r="A205" s="75">
        <v>26085</v>
      </c>
      <c r="B205"/>
      <c r="C205">
        <v>4.91</v>
      </c>
    </row>
    <row r="206" spans="1:3" x14ac:dyDescent="0.2">
      <c r="A206" s="75">
        <v>26115</v>
      </c>
      <c r="B206"/>
      <c r="C206">
        <v>5.31</v>
      </c>
    </row>
    <row r="207" spans="1:3" x14ac:dyDescent="0.2">
      <c r="A207" s="75">
        <v>26146</v>
      </c>
      <c r="B207"/>
      <c r="C207">
        <v>5.57</v>
      </c>
    </row>
    <row r="208" spans="1:3" x14ac:dyDescent="0.2">
      <c r="A208" s="75">
        <v>26177</v>
      </c>
      <c r="B208"/>
      <c r="C208">
        <v>5.55</v>
      </c>
    </row>
    <row r="209" spans="1:3" x14ac:dyDescent="0.2">
      <c r="A209" s="75">
        <v>26207</v>
      </c>
      <c r="B209"/>
      <c r="C209">
        <v>5.2</v>
      </c>
    </row>
    <row r="210" spans="1:3" x14ac:dyDescent="0.2">
      <c r="A210" s="75">
        <v>26238</v>
      </c>
      <c r="B210"/>
      <c r="C210">
        <v>4.91</v>
      </c>
    </row>
    <row r="211" spans="1:3" x14ac:dyDescent="0.2">
      <c r="A211" s="75">
        <v>26268</v>
      </c>
      <c r="B211"/>
      <c r="C211">
        <v>4.1399999999999997</v>
      </c>
    </row>
    <row r="212" spans="1:3" x14ac:dyDescent="0.2">
      <c r="A212" s="75">
        <v>26299</v>
      </c>
      <c r="B212"/>
      <c r="C212">
        <v>3.51</v>
      </c>
    </row>
    <row r="213" spans="1:3" x14ac:dyDescent="0.2">
      <c r="A213" s="75">
        <v>26330</v>
      </c>
      <c r="B213"/>
      <c r="C213">
        <v>3.3</v>
      </c>
    </row>
    <row r="214" spans="1:3" x14ac:dyDescent="0.2">
      <c r="A214" s="75">
        <v>26359</v>
      </c>
      <c r="B214"/>
      <c r="C214">
        <v>3.83</v>
      </c>
    </row>
    <row r="215" spans="1:3" x14ac:dyDescent="0.2">
      <c r="A215" s="75">
        <v>26390</v>
      </c>
      <c r="B215"/>
      <c r="C215">
        <v>4.17</v>
      </c>
    </row>
    <row r="216" spans="1:3" x14ac:dyDescent="0.2">
      <c r="A216" s="75">
        <v>26420</v>
      </c>
      <c r="B216"/>
      <c r="C216">
        <v>4.2699999999999996</v>
      </c>
    </row>
    <row r="217" spans="1:3" x14ac:dyDescent="0.2">
      <c r="A217" s="75">
        <v>26451</v>
      </c>
      <c r="B217"/>
      <c r="C217">
        <v>4.46</v>
      </c>
    </row>
    <row r="218" spans="1:3" x14ac:dyDescent="0.2">
      <c r="A218" s="75">
        <v>26481</v>
      </c>
      <c r="B218"/>
      <c r="C218">
        <v>4.55</v>
      </c>
    </row>
    <row r="219" spans="1:3" x14ac:dyDescent="0.2">
      <c r="A219" s="75">
        <v>26512</v>
      </c>
      <c r="B219"/>
      <c r="C219">
        <v>4.8099999999999996</v>
      </c>
    </row>
    <row r="220" spans="1:3" x14ac:dyDescent="0.2">
      <c r="A220" s="75">
        <v>26543</v>
      </c>
      <c r="B220"/>
      <c r="C220">
        <v>4.87</v>
      </c>
    </row>
    <row r="221" spans="1:3" x14ac:dyDescent="0.2">
      <c r="A221" s="75">
        <v>26573</v>
      </c>
      <c r="B221"/>
      <c r="C221">
        <v>5.05</v>
      </c>
    </row>
    <row r="222" spans="1:3" x14ac:dyDescent="0.2">
      <c r="A222" s="75">
        <v>26604</v>
      </c>
      <c r="B222"/>
      <c r="C222">
        <v>5.0599999999999996</v>
      </c>
    </row>
    <row r="223" spans="1:3" x14ac:dyDescent="0.2">
      <c r="A223" s="75">
        <v>26634</v>
      </c>
      <c r="B223"/>
      <c r="C223">
        <v>5.33</v>
      </c>
    </row>
    <row r="224" spans="1:3" x14ac:dyDescent="0.2">
      <c r="A224" s="75">
        <v>26665</v>
      </c>
      <c r="B224"/>
      <c r="C224">
        <v>5.94</v>
      </c>
    </row>
    <row r="225" spans="1:3" x14ac:dyDescent="0.2">
      <c r="A225" s="75">
        <v>26696</v>
      </c>
      <c r="B225"/>
      <c r="C225">
        <v>6.58</v>
      </c>
    </row>
    <row r="226" spans="1:3" x14ac:dyDescent="0.2">
      <c r="A226" s="75">
        <v>26724</v>
      </c>
      <c r="B226"/>
      <c r="C226">
        <v>7.09</v>
      </c>
    </row>
    <row r="227" spans="1:3" x14ac:dyDescent="0.2">
      <c r="A227" s="75">
        <v>26755</v>
      </c>
      <c r="B227"/>
      <c r="C227">
        <v>7.12</v>
      </c>
    </row>
    <row r="228" spans="1:3" x14ac:dyDescent="0.2">
      <c r="A228" s="75">
        <v>26785</v>
      </c>
      <c r="B228"/>
      <c r="C228">
        <v>7.84</v>
      </c>
    </row>
    <row r="229" spans="1:3" x14ac:dyDescent="0.2">
      <c r="A229" s="75">
        <v>26816</v>
      </c>
      <c r="B229"/>
      <c r="C229">
        <v>8.49</v>
      </c>
    </row>
    <row r="230" spans="1:3" x14ac:dyDescent="0.2">
      <c r="A230" s="75">
        <v>26846</v>
      </c>
      <c r="B230"/>
      <c r="C230">
        <v>10.4</v>
      </c>
    </row>
    <row r="231" spans="1:3" x14ac:dyDescent="0.2">
      <c r="A231" s="75">
        <v>26877</v>
      </c>
      <c r="B231"/>
      <c r="C231">
        <v>10.5</v>
      </c>
    </row>
    <row r="232" spans="1:3" x14ac:dyDescent="0.2">
      <c r="A232" s="75">
        <v>26908</v>
      </c>
      <c r="B232"/>
      <c r="C232">
        <v>10.78</v>
      </c>
    </row>
    <row r="233" spans="1:3" x14ac:dyDescent="0.2">
      <c r="A233" s="75">
        <v>26938</v>
      </c>
      <c r="B233"/>
      <c r="C233">
        <v>10.01</v>
      </c>
    </row>
    <row r="234" spans="1:3" x14ac:dyDescent="0.2">
      <c r="A234" s="75">
        <v>26969</v>
      </c>
      <c r="B234"/>
      <c r="C234">
        <v>10.029999999999999</v>
      </c>
    </row>
    <row r="235" spans="1:3" x14ac:dyDescent="0.2">
      <c r="A235" s="75">
        <v>26999</v>
      </c>
      <c r="B235"/>
      <c r="C235">
        <v>9.9499999999999993</v>
      </c>
    </row>
    <row r="236" spans="1:3" x14ac:dyDescent="0.2">
      <c r="A236" s="75">
        <v>27030</v>
      </c>
      <c r="B236"/>
      <c r="C236">
        <v>9.65</v>
      </c>
    </row>
    <row r="237" spans="1:3" x14ac:dyDescent="0.2">
      <c r="A237" s="75">
        <v>27061</v>
      </c>
      <c r="B237"/>
      <c r="C237">
        <v>8.9700000000000006</v>
      </c>
    </row>
    <row r="238" spans="1:3" x14ac:dyDescent="0.2">
      <c r="A238" s="75">
        <v>27089</v>
      </c>
      <c r="B238"/>
      <c r="C238">
        <v>9.35</v>
      </c>
    </row>
    <row r="239" spans="1:3" x14ac:dyDescent="0.2">
      <c r="A239" s="75">
        <v>27120</v>
      </c>
      <c r="B239"/>
      <c r="C239">
        <v>10.51</v>
      </c>
    </row>
    <row r="240" spans="1:3" x14ac:dyDescent="0.2">
      <c r="A240" s="75">
        <v>27150</v>
      </c>
      <c r="B240"/>
      <c r="C240">
        <v>11.31</v>
      </c>
    </row>
    <row r="241" spans="1:3" x14ac:dyDescent="0.2">
      <c r="A241" s="75">
        <v>27181</v>
      </c>
      <c r="B241"/>
      <c r="C241">
        <v>11.93</v>
      </c>
    </row>
    <row r="242" spans="1:3" x14ac:dyDescent="0.2">
      <c r="A242" s="75">
        <v>27211</v>
      </c>
      <c r="B242"/>
      <c r="C242">
        <v>12.92</v>
      </c>
    </row>
    <row r="243" spans="1:3" x14ac:dyDescent="0.2">
      <c r="A243" s="75">
        <v>27242</v>
      </c>
      <c r="B243"/>
      <c r="C243">
        <v>12.01</v>
      </c>
    </row>
    <row r="244" spans="1:3" x14ac:dyDescent="0.2">
      <c r="A244" s="75">
        <v>27273</v>
      </c>
      <c r="B244"/>
      <c r="C244">
        <v>11.34</v>
      </c>
    </row>
    <row r="245" spans="1:3" x14ac:dyDescent="0.2">
      <c r="A245" s="75">
        <v>27303</v>
      </c>
      <c r="B245"/>
      <c r="C245">
        <v>10.06</v>
      </c>
    </row>
    <row r="246" spans="1:3" x14ac:dyDescent="0.2">
      <c r="A246" s="75">
        <v>27334</v>
      </c>
      <c r="B246"/>
      <c r="C246">
        <v>9.4499999999999993</v>
      </c>
    </row>
    <row r="247" spans="1:3" x14ac:dyDescent="0.2">
      <c r="A247" s="75">
        <v>27364</v>
      </c>
      <c r="B247"/>
      <c r="C247">
        <v>8.5299999999999994</v>
      </c>
    </row>
    <row r="248" spans="1:3" x14ac:dyDescent="0.2">
      <c r="A248" s="75">
        <v>27395</v>
      </c>
      <c r="B248"/>
      <c r="C248">
        <v>7.13</v>
      </c>
    </row>
    <row r="249" spans="1:3" x14ac:dyDescent="0.2">
      <c r="A249" s="75">
        <v>27426</v>
      </c>
      <c r="B249"/>
      <c r="C249">
        <v>6.24</v>
      </c>
    </row>
    <row r="250" spans="1:3" x14ac:dyDescent="0.2">
      <c r="A250" s="75">
        <v>27454</v>
      </c>
      <c r="B250"/>
      <c r="C250">
        <v>5.54</v>
      </c>
    </row>
    <row r="251" spans="1:3" x14ac:dyDescent="0.2">
      <c r="A251" s="75">
        <v>27485</v>
      </c>
      <c r="B251"/>
      <c r="C251">
        <v>5.49</v>
      </c>
    </row>
    <row r="252" spans="1:3" x14ac:dyDescent="0.2">
      <c r="A252" s="75">
        <v>27515</v>
      </c>
      <c r="B252"/>
      <c r="C252">
        <v>5.22</v>
      </c>
    </row>
    <row r="253" spans="1:3" x14ac:dyDescent="0.2">
      <c r="A253" s="75">
        <v>27546</v>
      </c>
      <c r="B253"/>
      <c r="C253">
        <v>5.55</v>
      </c>
    </row>
    <row r="254" spans="1:3" x14ac:dyDescent="0.2">
      <c r="A254" s="75">
        <v>27576</v>
      </c>
      <c r="B254"/>
      <c r="C254">
        <v>6.1</v>
      </c>
    </row>
    <row r="255" spans="1:3" x14ac:dyDescent="0.2">
      <c r="A255" s="75">
        <v>27607</v>
      </c>
      <c r="B255"/>
      <c r="C255">
        <v>6.14</v>
      </c>
    </row>
    <row r="256" spans="1:3" x14ac:dyDescent="0.2">
      <c r="A256" s="75">
        <v>27638</v>
      </c>
      <c r="B256"/>
      <c r="C256">
        <v>6.24</v>
      </c>
    </row>
    <row r="257" spans="1:3" x14ac:dyDescent="0.2">
      <c r="A257" s="75">
        <v>27668</v>
      </c>
      <c r="B257"/>
      <c r="C257">
        <v>5.82</v>
      </c>
    </row>
    <row r="258" spans="1:3" x14ac:dyDescent="0.2">
      <c r="A258" s="75">
        <v>27699</v>
      </c>
      <c r="B258"/>
      <c r="C258">
        <v>5.22</v>
      </c>
    </row>
    <row r="259" spans="1:3" x14ac:dyDescent="0.2">
      <c r="A259" s="75">
        <v>27729</v>
      </c>
      <c r="B259"/>
      <c r="C259">
        <v>5.2</v>
      </c>
    </row>
    <row r="260" spans="1:3" x14ac:dyDescent="0.2">
      <c r="A260" s="75">
        <v>27760</v>
      </c>
      <c r="B260"/>
      <c r="C260">
        <v>4.87</v>
      </c>
    </row>
    <row r="261" spans="1:3" x14ac:dyDescent="0.2">
      <c r="A261" s="75">
        <v>27791</v>
      </c>
      <c r="B261"/>
      <c r="C261">
        <v>4.7699999999999996</v>
      </c>
    </row>
    <row r="262" spans="1:3" x14ac:dyDescent="0.2">
      <c r="A262" s="75">
        <v>27820</v>
      </c>
      <c r="B262"/>
      <c r="C262">
        <v>4.84</v>
      </c>
    </row>
    <row r="263" spans="1:3" x14ac:dyDescent="0.2">
      <c r="A263" s="75">
        <v>27851</v>
      </c>
      <c r="B263"/>
      <c r="C263">
        <v>4.82</v>
      </c>
    </row>
    <row r="264" spans="1:3" x14ac:dyDescent="0.2">
      <c r="A264" s="75">
        <v>27881</v>
      </c>
      <c r="B264"/>
      <c r="C264">
        <v>5.29</v>
      </c>
    </row>
    <row r="265" spans="1:3" x14ac:dyDescent="0.2">
      <c r="A265" s="75">
        <v>27912</v>
      </c>
      <c r="B265"/>
      <c r="C265">
        <v>5.48</v>
      </c>
    </row>
    <row r="266" spans="1:3" x14ac:dyDescent="0.2">
      <c r="A266" s="75">
        <v>27942</v>
      </c>
      <c r="B266"/>
      <c r="C266">
        <v>5.31</v>
      </c>
    </row>
    <row r="267" spans="1:3" x14ac:dyDescent="0.2">
      <c r="A267" s="75">
        <v>27973</v>
      </c>
      <c r="B267"/>
      <c r="C267">
        <v>5.29</v>
      </c>
    </row>
    <row r="268" spans="1:3" x14ac:dyDescent="0.2">
      <c r="A268" s="75">
        <v>28004</v>
      </c>
      <c r="B268"/>
      <c r="C268">
        <v>5.25</v>
      </c>
    </row>
    <row r="269" spans="1:3" x14ac:dyDescent="0.2">
      <c r="A269" s="75">
        <v>28034</v>
      </c>
      <c r="B269"/>
      <c r="C269">
        <v>5.0199999999999996</v>
      </c>
    </row>
    <row r="270" spans="1:3" x14ac:dyDescent="0.2">
      <c r="A270" s="75">
        <v>28065</v>
      </c>
      <c r="B270"/>
      <c r="C270">
        <v>4.95</v>
      </c>
    </row>
    <row r="271" spans="1:3" x14ac:dyDescent="0.2">
      <c r="A271" s="75">
        <v>28095</v>
      </c>
      <c r="B271"/>
      <c r="C271">
        <v>4.6500000000000004</v>
      </c>
    </row>
    <row r="272" spans="1:3" x14ac:dyDescent="0.2">
      <c r="A272" s="75">
        <v>28126</v>
      </c>
      <c r="B272"/>
      <c r="C272">
        <v>4.6100000000000003</v>
      </c>
    </row>
    <row r="273" spans="1:3" x14ac:dyDescent="0.2">
      <c r="A273" s="75">
        <v>28157</v>
      </c>
      <c r="B273"/>
      <c r="C273">
        <v>4.68</v>
      </c>
    </row>
    <row r="274" spans="1:3" x14ac:dyDescent="0.2">
      <c r="A274" s="75">
        <v>28185</v>
      </c>
      <c r="B274"/>
      <c r="C274">
        <v>4.6900000000000004</v>
      </c>
    </row>
    <row r="275" spans="1:3" x14ac:dyDescent="0.2">
      <c r="A275" s="75">
        <v>28216</v>
      </c>
      <c r="B275"/>
      <c r="C275">
        <v>4.7300000000000004</v>
      </c>
    </row>
    <row r="276" spans="1:3" x14ac:dyDescent="0.2">
      <c r="A276" s="75">
        <v>28246</v>
      </c>
      <c r="B276"/>
      <c r="C276">
        <v>5.35</v>
      </c>
    </row>
    <row r="277" spans="1:3" x14ac:dyDescent="0.2">
      <c r="A277" s="75">
        <v>28277</v>
      </c>
      <c r="B277"/>
      <c r="C277">
        <v>5.39</v>
      </c>
    </row>
    <row r="278" spans="1:3" x14ac:dyDescent="0.2">
      <c r="A278" s="75">
        <v>28307</v>
      </c>
      <c r="B278"/>
      <c r="C278">
        <v>5.42</v>
      </c>
    </row>
    <row r="279" spans="1:3" x14ac:dyDescent="0.2">
      <c r="A279" s="75">
        <v>28338</v>
      </c>
      <c r="B279"/>
      <c r="C279">
        <v>5.9</v>
      </c>
    </row>
    <row r="280" spans="1:3" x14ac:dyDescent="0.2">
      <c r="A280" s="75">
        <v>28369</v>
      </c>
      <c r="B280"/>
      <c r="C280">
        <v>6.14</v>
      </c>
    </row>
    <row r="281" spans="1:3" x14ac:dyDescent="0.2">
      <c r="A281" s="75">
        <v>28399</v>
      </c>
      <c r="B281"/>
      <c r="C281">
        <v>6.47</v>
      </c>
    </row>
    <row r="282" spans="1:3" x14ac:dyDescent="0.2">
      <c r="A282" s="75">
        <v>28430</v>
      </c>
      <c r="B282"/>
      <c r="C282">
        <v>6.51</v>
      </c>
    </row>
    <row r="283" spans="1:3" x14ac:dyDescent="0.2">
      <c r="A283" s="75">
        <v>28460</v>
      </c>
      <c r="B283"/>
      <c r="C283">
        <v>6.56</v>
      </c>
    </row>
    <row r="284" spans="1:3" x14ac:dyDescent="0.2">
      <c r="A284" s="75">
        <v>28491</v>
      </c>
      <c r="B284"/>
      <c r="C284">
        <v>6.7</v>
      </c>
    </row>
    <row r="285" spans="1:3" x14ac:dyDescent="0.2">
      <c r="A285" s="75">
        <v>28522</v>
      </c>
      <c r="B285"/>
      <c r="C285">
        <v>6.78</v>
      </c>
    </row>
    <row r="286" spans="1:3" x14ac:dyDescent="0.2">
      <c r="A286" s="75">
        <v>28550</v>
      </c>
      <c r="B286"/>
      <c r="C286">
        <v>6.79</v>
      </c>
    </row>
    <row r="287" spans="1:3" x14ac:dyDescent="0.2">
      <c r="A287" s="75">
        <v>28581</v>
      </c>
      <c r="B287"/>
      <c r="C287">
        <v>6.89</v>
      </c>
    </row>
    <row r="288" spans="1:3" x14ac:dyDescent="0.2">
      <c r="A288" s="75">
        <v>28611</v>
      </c>
      <c r="B288"/>
      <c r="C288">
        <v>7.36</v>
      </c>
    </row>
    <row r="289" spans="1:3" x14ac:dyDescent="0.2">
      <c r="A289" s="75">
        <v>28642</v>
      </c>
      <c r="B289"/>
      <c r="C289">
        <v>7.6</v>
      </c>
    </row>
    <row r="290" spans="1:3" x14ac:dyDescent="0.2">
      <c r="A290" s="75">
        <v>28672</v>
      </c>
      <c r="B290"/>
      <c r="C290">
        <v>7.81</v>
      </c>
    </row>
    <row r="291" spans="1:3" x14ac:dyDescent="0.2">
      <c r="A291" s="75">
        <v>28703</v>
      </c>
      <c r="B291"/>
      <c r="C291">
        <v>8.0399999999999991</v>
      </c>
    </row>
    <row r="292" spans="1:3" x14ac:dyDescent="0.2">
      <c r="A292" s="75">
        <v>28734</v>
      </c>
      <c r="B292"/>
      <c r="C292">
        <v>8.4499999999999993</v>
      </c>
    </row>
    <row r="293" spans="1:3" x14ac:dyDescent="0.2">
      <c r="A293" s="75">
        <v>28764</v>
      </c>
      <c r="B293"/>
      <c r="C293">
        <v>8.9600000000000009</v>
      </c>
    </row>
    <row r="294" spans="1:3" x14ac:dyDescent="0.2">
      <c r="A294" s="75">
        <v>28795</v>
      </c>
      <c r="B294"/>
      <c r="C294">
        <v>9.76</v>
      </c>
    </row>
    <row r="295" spans="1:3" x14ac:dyDescent="0.2">
      <c r="A295" s="75">
        <v>28825</v>
      </c>
      <c r="B295"/>
      <c r="C295">
        <v>10.029999999999999</v>
      </c>
    </row>
    <row r="296" spans="1:3" x14ac:dyDescent="0.2">
      <c r="A296" s="75">
        <v>28856</v>
      </c>
      <c r="B296"/>
      <c r="C296">
        <v>10.07</v>
      </c>
    </row>
    <row r="297" spans="1:3" x14ac:dyDescent="0.2">
      <c r="A297" s="75">
        <v>28887</v>
      </c>
      <c r="B297"/>
      <c r="C297">
        <v>10.06</v>
      </c>
    </row>
    <row r="298" spans="1:3" x14ac:dyDescent="0.2">
      <c r="A298" s="75">
        <v>28915</v>
      </c>
      <c r="B298"/>
      <c r="C298">
        <v>10.09</v>
      </c>
    </row>
    <row r="299" spans="1:3" x14ac:dyDescent="0.2">
      <c r="A299" s="75">
        <v>28946</v>
      </c>
      <c r="B299"/>
      <c r="C299">
        <v>10.01</v>
      </c>
    </row>
    <row r="300" spans="1:3" x14ac:dyDescent="0.2">
      <c r="A300" s="75">
        <v>28976</v>
      </c>
      <c r="B300"/>
      <c r="C300">
        <v>10.24</v>
      </c>
    </row>
    <row r="301" spans="1:3" x14ac:dyDescent="0.2">
      <c r="A301" s="75">
        <v>29007</v>
      </c>
      <c r="B301"/>
      <c r="C301">
        <v>10.29</v>
      </c>
    </row>
    <row r="302" spans="1:3" x14ac:dyDescent="0.2">
      <c r="A302" s="75">
        <v>29037</v>
      </c>
      <c r="B302"/>
      <c r="C302">
        <v>10.47</v>
      </c>
    </row>
    <row r="303" spans="1:3" x14ac:dyDescent="0.2">
      <c r="A303" s="75">
        <v>29068</v>
      </c>
      <c r="B303"/>
      <c r="C303">
        <v>10.94</v>
      </c>
    </row>
    <row r="304" spans="1:3" x14ac:dyDescent="0.2">
      <c r="A304" s="75">
        <v>29099</v>
      </c>
      <c r="B304"/>
      <c r="C304">
        <v>11.43</v>
      </c>
    </row>
    <row r="305" spans="1:3" x14ac:dyDescent="0.2">
      <c r="A305" s="75">
        <v>29129</v>
      </c>
      <c r="B305"/>
      <c r="C305">
        <v>13.77</v>
      </c>
    </row>
    <row r="306" spans="1:3" x14ac:dyDescent="0.2">
      <c r="A306" s="75">
        <v>29160</v>
      </c>
      <c r="B306"/>
      <c r="C306">
        <v>13.18</v>
      </c>
    </row>
    <row r="307" spans="1:3" x14ac:dyDescent="0.2">
      <c r="A307" s="75">
        <v>29190</v>
      </c>
      <c r="B307"/>
      <c r="C307">
        <v>13.78</v>
      </c>
    </row>
    <row r="308" spans="1:3" x14ac:dyDescent="0.2">
      <c r="A308" s="75">
        <v>29221</v>
      </c>
      <c r="B308"/>
      <c r="C308">
        <v>13.82</v>
      </c>
    </row>
    <row r="309" spans="1:3" x14ac:dyDescent="0.2">
      <c r="A309" s="75">
        <v>29252</v>
      </c>
      <c r="B309"/>
      <c r="C309">
        <v>14.13</v>
      </c>
    </row>
    <row r="310" spans="1:3" x14ac:dyDescent="0.2">
      <c r="A310" s="75">
        <v>29281</v>
      </c>
      <c r="B310"/>
      <c r="C310">
        <v>17.190000000000001</v>
      </c>
    </row>
    <row r="311" spans="1:3" x14ac:dyDescent="0.2">
      <c r="A311" s="75">
        <v>29312</v>
      </c>
      <c r="B311"/>
      <c r="C311">
        <v>17.61</v>
      </c>
    </row>
    <row r="312" spans="1:3" x14ac:dyDescent="0.2">
      <c r="A312" s="75">
        <v>29342</v>
      </c>
      <c r="B312"/>
      <c r="C312">
        <v>10.98</v>
      </c>
    </row>
    <row r="313" spans="1:3" x14ac:dyDescent="0.2">
      <c r="A313" s="75">
        <v>29373</v>
      </c>
      <c r="B313"/>
      <c r="C313">
        <v>9.4700000000000006</v>
      </c>
    </row>
    <row r="314" spans="1:3" x14ac:dyDescent="0.2">
      <c r="A314" s="75">
        <v>29403</v>
      </c>
      <c r="B314"/>
      <c r="C314">
        <v>9.0299999999999994</v>
      </c>
    </row>
    <row r="315" spans="1:3" x14ac:dyDescent="0.2">
      <c r="A315" s="75">
        <v>29434</v>
      </c>
      <c r="B315"/>
      <c r="C315">
        <v>9.61</v>
      </c>
    </row>
    <row r="316" spans="1:3" x14ac:dyDescent="0.2">
      <c r="A316" s="75">
        <v>29465</v>
      </c>
      <c r="B316"/>
      <c r="C316">
        <v>10.87</v>
      </c>
    </row>
    <row r="317" spans="1:3" x14ac:dyDescent="0.2">
      <c r="A317" s="75">
        <v>29495</v>
      </c>
      <c r="B317"/>
      <c r="C317">
        <v>12.81</v>
      </c>
    </row>
    <row r="318" spans="1:3" x14ac:dyDescent="0.2">
      <c r="A318" s="75">
        <v>29526</v>
      </c>
      <c r="B318"/>
      <c r="C318">
        <v>15.85</v>
      </c>
    </row>
    <row r="319" spans="1:3" x14ac:dyDescent="0.2">
      <c r="A319" s="75">
        <v>29556</v>
      </c>
      <c r="B319"/>
      <c r="C319">
        <v>18.899999999999999</v>
      </c>
    </row>
    <row r="320" spans="1:3" x14ac:dyDescent="0.2">
      <c r="A320" s="75">
        <v>29587</v>
      </c>
      <c r="B320"/>
      <c r="C320">
        <v>19.079999999999998</v>
      </c>
    </row>
    <row r="321" spans="1:3" x14ac:dyDescent="0.2">
      <c r="A321" s="75">
        <v>29618</v>
      </c>
      <c r="B321"/>
      <c r="C321">
        <v>15.93</v>
      </c>
    </row>
    <row r="322" spans="1:3" x14ac:dyDescent="0.2">
      <c r="A322" s="75">
        <v>29646</v>
      </c>
      <c r="B322"/>
      <c r="C322">
        <v>14.7</v>
      </c>
    </row>
    <row r="323" spans="1:3" x14ac:dyDescent="0.2">
      <c r="A323" s="75">
        <v>29677</v>
      </c>
      <c r="B323"/>
      <c r="C323">
        <v>15.72</v>
      </c>
    </row>
    <row r="324" spans="1:3" x14ac:dyDescent="0.2">
      <c r="A324" s="75">
        <v>29707</v>
      </c>
      <c r="B324"/>
      <c r="C324">
        <v>18.52</v>
      </c>
    </row>
    <row r="325" spans="1:3" x14ac:dyDescent="0.2">
      <c r="A325" s="75">
        <v>29738</v>
      </c>
      <c r="B325"/>
      <c r="C325">
        <v>19.100000000000001</v>
      </c>
    </row>
    <row r="326" spans="1:3" x14ac:dyDescent="0.2">
      <c r="A326" s="75">
        <v>29768</v>
      </c>
      <c r="B326"/>
      <c r="C326">
        <v>19.04</v>
      </c>
    </row>
    <row r="327" spans="1:3" x14ac:dyDescent="0.2">
      <c r="A327" s="75">
        <v>29799</v>
      </c>
      <c r="B327"/>
      <c r="C327">
        <v>17.82</v>
      </c>
    </row>
    <row r="328" spans="1:3" x14ac:dyDescent="0.2">
      <c r="A328" s="75">
        <v>29830</v>
      </c>
      <c r="B328"/>
      <c r="C328">
        <v>15.87</v>
      </c>
    </row>
    <row r="329" spans="1:3" x14ac:dyDescent="0.2">
      <c r="A329" s="75">
        <v>29860</v>
      </c>
      <c r="B329"/>
      <c r="C329">
        <v>15.08</v>
      </c>
    </row>
    <row r="330" spans="1:3" x14ac:dyDescent="0.2">
      <c r="A330" s="75">
        <v>29891</v>
      </c>
      <c r="B330"/>
      <c r="C330">
        <v>13.31</v>
      </c>
    </row>
    <row r="331" spans="1:3" x14ac:dyDescent="0.2">
      <c r="A331" s="75">
        <v>29921</v>
      </c>
      <c r="B331"/>
      <c r="C331">
        <v>12.37</v>
      </c>
    </row>
    <row r="332" spans="1:3" x14ac:dyDescent="0.2">
      <c r="A332" s="75">
        <v>29952</v>
      </c>
      <c r="B332"/>
      <c r="C332">
        <v>13.22</v>
      </c>
    </row>
    <row r="333" spans="1:3" x14ac:dyDescent="0.2">
      <c r="A333" s="75">
        <v>29983</v>
      </c>
      <c r="B333"/>
      <c r="C333">
        <v>14.78</v>
      </c>
    </row>
    <row r="334" spans="1:3" x14ac:dyDescent="0.2">
      <c r="A334" s="75">
        <v>30011</v>
      </c>
      <c r="B334"/>
      <c r="C334">
        <v>14.68</v>
      </c>
    </row>
    <row r="335" spans="1:3" x14ac:dyDescent="0.2">
      <c r="A335" s="75">
        <v>30042</v>
      </c>
      <c r="B335"/>
      <c r="C335">
        <v>14.94</v>
      </c>
    </row>
    <row r="336" spans="1:3" x14ac:dyDescent="0.2">
      <c r="A336" s="75">
        <v>30072</v>
      </c>
      <c r="B336"/>
      <c r="C336">
        <v>14.45</v>
      </c>
    </row>
    <row r="337" spans="1:3" x14ac:dyDescent="0.2">
      <c r="A337" s="75">
        <v>30103</v>
      </c>
      <c r="B337"/>
      <c r="C337">
        <v>14.15</v>
      </c>
    </row>
    <row r="338" spans="1:3" x14ac:dyDescent="0.2">
      <c r="A338" s="75">
        <v>30133</v>
      </c>
      <c r="B338"/>
      <c r="C338">
        <v>12.59</v>
      </c>
    </row>
    <row r="339" spans="1:3" x14ac:dyDescent="0.2">
      <c r="A339" s="75">
        <v>30164</v>
      </c>
      <c r="B339"/>
      <c r="C339">
        <v>10.119999999999999</v>
      </c>
    </row>
    <row r="340" spans="1:3" x14ac:dyDescent="0.2">
      <c r="A340" s="75">
        <v>30195</v>
      </c>
      <c r="B340"/>
      <c r="C340">
        <v>10.31</v>
      </c>
    </row>
    <row r="341" spans="1:3" x14ac:dyDescent="0.2">
      <c r="A341" s="75">
        <v>30225</v>
      </c>
      <c r="B341"/>
      <c r="C341">
        <v>9.7100000000000009</v>
      </c>
    </row>
    <row r="342" spans="1:3" x14ac:dyDescent="0.2">
      <c r="A342" s="75">
        <v>30256</v>
      </c>
      <c r="B342"/>
      <c r="C342">
        <v>9.1999999999999993</v>
      </c>
    </row>
    <row r="343" spans="1:3" x14ac:dyDescent="0.2">
      <c r="A343" s="75">
        <v>30286</v>
      </c>
      <c r="B343"/>
      <c r="C343">
        <v>8.9499999999999993</v>
      </c>
    </row>
    <row r="344" spans="1:3" x14ac:dyDescent="0.2">
      <c r="A344" s="75">
        <v>30317</v>
      </c>
      <c r="B344"/>
      <c r="C344">
        <v>8.68</v>
      </c>
    </row>
    <row r="345" spans="1:3" x14ac:dyDescent="0.2">
      <c r="A345" s="75">
        <v>30348</v>
      </c>
      <c r="B345"/>
      <c r="C345">
        <v>8.51</v>
      </c>
    </row>
    <row r="346" spans="1:3" x14ac:dyDescent="0.2">
      <c r="A346" s="75">
        <v>30376</v>
      </c>
      <c r="B346"/>
      <c r="C346">
        <v>8.77</v>
      </c>
    </row>
    <row r="347" spans="1:3" x14ac:dyDescent="0.2">
      <c r="A347" s="75">
        <v>30407</v>
      </c>
      <c r="B347"/>
      <c r="C347">
        <v>8.8000000000000007</v>
      </c>
    </row>
    <row r="348" spans="1:3" x14ac:dyDescent="0.2">
      <c r="A348" s="75">
        <v>30437</v>
      </c>
      <c r="B348"/>
      <c r="C348">
        <v>8.6300000000000008</v>
      </c>
    </row>
    <row r="349" spans="1:3" x14ac:dyDescent="0.2">
      <c r="A349" s="75">
        <v>30468</v>
      </c>
      <c r="B349"/>
      <c r="C349">
        <v>8.98</v>
      </c>
    </row>
    <row r="350" spans="1:3" x14ac:dyDescent="0.2">
      <c r="A350" s="75">
        <v>30498</v>
      </c>
      <c r="B350"/>
      <c r="C350">
        <v>9.3699999999999992</v>
      </c>
    </row>
    <row r="351" spans="1:3" x14ac:dyDescent="0.2">
      <c r="A351" s="75">
        <v>30529</v>
      </c>
      <c r="B351"/>
      <c r="C351">
        <v>9.56</v>
      </c>
    </row>
    <row r="352" spans="1:3" x14ac:dyDescent="0.2">
      <c r="A352" s="75">
        <v>30560</v>
      </c>
      <c r="B352"/>
      <c r="C352">
        <v>9.4499999999999993</v>
      </c>
    </row>
    <row r="353" spans="1:3" x14ac:dyDescent="0.2">
      <c r="A353" s="75">
        <v>30590</v>
      </c>
      <c r="B353"/>
      <c r="C353">
        <v>9.48</v>
      </c>
    </row>
    <row r="354" spans="1:3" x14ac:dyDescent="0.2">
      <c r="A354" s="75">
        <v>30621</v>
      </c>
      <c r="B354"/>
      <c r="C354">
        <v>9.34</v>
      </c>
    </row>
    <row r="355" spans="1:3" x14ac:dyDescent="0.2">
      <c r="A355" s="75">
        <v>30651</v>
      </c>
      <c r="B355"/>
      <c r="C355">
        <v>9.4700000000000006</v>
      </c>
    </row>
    <row r="356" spans="1:3" x14ac:dyDescent="0.2">
      <c r="A356" s="75">
        <v>30682</v>
      </c>
      <c r="B356"/>
      <c r="C356">
        <v>9.56</v>
      </c>
    </row>
    <row r="357" spans="1:3" x14ac:dyDescent="0.2">
      <c r="A357" s="75">
        <v>30713</v>
      </c>
      <c r="B357"/>
      <c r="C357">
        <v>9.59</v>
      </c>
    </row>
    <row r="358" spans="1:3" x14ac:dyDescent="0.2">
      <c r="A358" s="75">
        <v>30742</v>
      </c>
      <c r="B358"/>
      <c r="C358">
        <v>9.91</v>
      </c>
    </row>
    <row r="359" spans="1:3" x14ac:dyDescent="0.2">
      <c r="A359" s="75">
        <v>30773</v>
      </c>
      <c r="B359"/>
      <c r="C359">
        <v>10.29</v>
      </c>
    </row>
    <row r="360" spans="1:3" x14ac:dyDescent="0.2">
      <c r="A360" s="75">
        <v>30803</v>
      </c>
      <c r="B360"/>
      <c r="C360">
        <v>10.32</v>
      </c>
    </row>
    <row r="361" spans="1:3" x14ac:dyDescent="0.2">
      <c r="A361" s="75">
        <v>30834</v>
      </c>
      <c r="B361"/>
      <c r="C361">
        <v>11.06</v>
      </c>
    </row>
    <row r="362" spans="1:3" x14ac:dyDescent="0.2">
      <c r="A362" s="75">
        <v>30864</v>
      </c>
      <c r="B362"/>
      <c r="C362">
        <v>11.23</v>
      </c>
    </row>
    <row r="363" spans="1:3" x14ac:dyDescent="0.2">
      <c r="A363" s="75">
        <v>30895</v>
      </c>
      <c r="B363"/>
      <c r="C363">
        <v>11.64</v>
      </c>
    </row>
    <row r="364" spans="1:3" x14ac:dyDescent="0.2">
      <c r="A364" s="75">
        <v>30926</v>
      </c>
      <c r="B364"/>
      <c r="C364">
        <v>11.3</v>
      </c>
    </row>
    <row r="365" spans="1:3" x14ac:dyDescent="0.2">
      <c r="A365" s="75">
        <v>30956</v>
      </c>
      <c r="B365"/>
      <c r="C365">
        <v>9.99</v>
      </c>
    </row>
    <row r="366" spans="1:3" x14ac:dyDescent="0.2">
      <c r="A366" s="75">
        <v>30987</v>
      </c>
      <c r="B366"/>
      <c r="C366">
        <v>9.43</v>
      </c>
    </row>
    <row r="367" spans="1:3" x14ac:dyDescent="0.2">
      <c r="A367" s="75">
        <v>31017</v>
      </c>
      <c r="B367"/>
      <c r="C367">
        <v>8.3800000000000008</v>
      </c>
    </row>
    <row r="368" spans="1:3" x14ac:dyDescent="0.2">
      <c r="A368" s="75">
        <v>31048</v>
      </c>
      <c r="B368"/>
      <c r="C368">
        <v>8.35</v>
      </c>
    </row>
    <row r="369" spans="1:3" x14ac:dyDescent="0.2">
      <c r="A369" s="75">
        <v>31079</v>
      </c>
      <c r="B369"/>
      <c r="C369">
        <v>8.5</v>
      </c>
    </row>
    <row r="370" spans="1:3" x14ac:dyDescent="0.2">
      <c r="A370" s="75">
        <v>31107</v>
      </c>
      <c r="B370"/>
      <c r="C370">
        <v>8.58</v>
      </c>
    </row>
    <row r="371" spans="1:3" x14ac:dyDescent="0.2">
      <c r="A371" s="75">
        <v>31138</v>
      </c>
      <c r="B371"/>
      <c r="C371">
        <v>8.27</v>
      </c>
    </row>
    <row r="372" spans="1:3" x14ac:dyDescent="0.2">
      <c r="A372" s="75">
        <v>31168</v>
      </c>
      <c r="B372"/>
      <c r="C372">
        <v>7.97</v>
      </c>
    </row>
    <row r="373" spans="1:3" x14ac:dyDescent="0.2">
      <c r="A373" s="75">
        <v>31199</v>
      </c>
      <c r="B373"/>
      <c r="C373">
        <v>7.53</v>
      </c>
    </row>
    <row r="374" spans="1:3" x14ac:dyDescent="0.2">
      <c r="A374" s="75">
        <v>31229</v>
      </c>
      <c r="B374"/>
      <c r="C374">
        <v>7.88</v>
      </c>
    </row>
    <row r="375" spans="1:3" x14ac:dyDescent="0.2">
      <c r="A375" s="75">
        <v>31260</v>
      </c>
      <c r="B375"/>
      <c r="C375">
        <v>7.9</v>
      </c>
    </row>
    <row r="376" spans="1:3" x14ac:dyDescent="0.2">
      <c r="A376" s="75">
        <v>31291</v>
      </c>
      <c r="B376"/>
      <c r="C376">
        <v>7.92</v>
      </c>
    </row>
    <row r="377" spans="1:3" x14ac:dyDescent="0.2">
      <c r="A377" s="75">
        <v>31321</v>
      </c>
      <c r="B377"/>
      <c r="C377">
        <v>7.99</v>
      </c>
    </row>
    <row r="378" spans="1:3" x14ac:dyDescent="0.2">
      <c r="A378" s="75">
        <v>31352</v>
      </c>
      <c r="B378"/>
      <c r="C378">
        <v>8.0500000000000007</v>
      </c>
    </row>
    <row r="379" spans="1:3" x14ac:dyDescent="0.2">
      <c r="A379" s="75">
        <v>31382</v>
      </c>
      <c r="B379"/>
      <c r="C379">
        <v>8.27</v>
      </c>
    </row>
    <row r="380" spans="1:3" x14ac:dyDescent="0.2">
      <c r="A380" s="75">
        <v>31413</v>
      </c>
      <c r="B380"/>
      <c r="C380">
        <v>8.14</v>
      </c>
    </row>
    <row r="381" spans="1:3" x14ac:dyDescent="0.2">
      <c r="A381" s="75">
        <v>31444</v>
      </c>
      <c r="B381"/>
      <c r="C381">
        <v>7.86</v>
      </c>
    </row>
    <row r="382" spans="1:3" x14ac:dyDescent="0.2">
      <c r="A382" s="75">
        <v>31472</v>
      </c>
      <c r="B382"/>
      <c r="C382">
        <v>7.48</v>
      </c>
    </row>
    <row r="383" spans="1:3" x14ac:dyDescent="0.2">
      <c r="A383" s="75">
        <v>31503</v>
      </c>
      <c r="B383"/>
      <c r="C383">
        <v>6.99</v>
      </c>
    </row>
    <row r="384" spans="1:3" x14ac:dyDescent="0.2">
      <c r="A384" s="75">
        <v>31533</v>
      </c>
      <c r="B384"/>
      <c r="C384">
        <v>6.85</v>
      </c>
    </row>
    <row r="385" spans="1:3" x14ac:dyDescent="0.2">
      <c r="A385" s="75">
        <v>31564</v>
      </c>
      <c r="B385"/>
      <c r="C385">
        <v>6.92</v>
      </c>
    </row>
    <row r="386" spans="1:3" x14ac:dyDescent="0.2">
      <c r="A386" s="75">
        <v>31594</v>
      </c>
      <c r="B386"/>
      <c r="C386">
        <v>6.56</v>
      </c>
    </row>
    <row r="387" spans="1:3" x14ac:dyDescent="0.2">
      <c r="A387" s="75">
        <v>31625</v>
      </c>
      <c r="B387"/>
      <c r="C387">
        <v>6.17</v>
      </c>
    </row>
    <row r="388" spans="1:3" x14ac:dyDescent="0.2">
      <c r="A388" s="75">
        <v>31656</v>
      </c>
      <c r="B388"/>
      <c r="C388">
        <v>5.89</v>
      </c>
    </row>
    <row r="389" spans="1:3" x14ac:dyDescent="0.2">
      <c r="A389" s="75">
        <v>31686</v>
      </c>
      <c r="B389"/>
      <c r="C389">
        <v>5.85</v>
      </c>
    </row>
    <row r="390" spans="1:3" x14ac:dyDescent="0.2">
      <c r="A390" s="75">
        <v>31717</v>
      </c>
      <c r="B390"/>
      <c r="C390">
        <v>6.04</v>
      </c>
    </row>
    <row r="391" spans="1:3" x14ac:dyDescent="0.2">
      <c r="A391" s="75">
        <v>31747</v>
      </c>
      <c r="B391"/>
      <c r="C391">
        <v>6.91</v>
      </c>
    </row>
    <row r="392" spans="1:3" x14ac:dyDescent="0.2">
      <c r="A392" s="75">
        <v>31778</v>
      </c>
      <c r="B392"/>
      <c r="C392">
        <v>6.43</v>
      </c>
    </row>
    <row r="393" spans="1:3" x14ac:dyDescent="0.2">
      <c r="A393" s="75">
        <v>31809</v>
      </c>
      <c r="B393"/>
      <c r="C393">
        <v>6.1</v>
      </c>
    </row>
    <row r="394" spans="1:3" x14ac:dyDescent="0.2">
      <c r="A394" s="75">
        <v>31837</v>
      </c>
      <c r="B394"/>
      <c r="C394">
        <v>6.13</v>
      </c>
    </row>
    <row r="395" spans="1:3" x14ac:dyDescent="0.2">
      <c r="A395" s="75">
        <v>31868</v>
      </c>
      <c r="B395"/>
      <c r="C395">
        <v>6.37</v>
      </c>
    </row>
    <row r="396" spans="1:3" x14ac:dyDescent="0.2">
      <c r="A396" s="75">
        <v>31898</v>
      </c>
      <c r="B396"/>
      <c r="C396">
        <v>6.85</v>
      </c>
    </row>
    <row r="397" spans="1:3" x14ac:dyDescent="0.2">
      <c r="A397" s="75">
        <v>31929</v>
      </c>
      <c r="B397"/>
      <c r="C397">
        <v>6.73</v>
      </c>
    </row>
    <row r="398" spans="1:3" x14ac:dyDescent="0.2">
      <c r="A398" s="75">
        <v>31959</v>
      </c>
      <c r="B398"/>
      <c r="C398">
        <v>6.58</v>
      </c>
    </row>
    <row r="399" spans="1:3" x14ac:dyDescent="0.2">
      <c r="A399" s="75">
        <v>31990</v>
      </c>
      <c r="B399"/>
      <c r="C399">
        <v>6.73</v>
      </c>
    </row>
    <row r="400" spans="1:3" x14ac:dyDescent="0.2">
      <c r="A400" s="75">
        <v>32021</v>
      </c>
      <c r="B400"/>
      <c r="C400">
        <v>7.22</v>
      </c>
    </row>
    <row r="401" spans="1:3" x14ac:dyDescent="0.2">
      <c r="A401" s="75">
        <v>32051</v>
      </c>
      <c r="B401"/>
      <c r="C401">
        <v>7.29</v>
      </c>
    </row>
    <row r="402" spans="1:3" x14ac:dyDescent="0.2">
      <c r="A402" s="75">
        <v>32082</v>
      </c>
      <c r="B402"/>
      <c r="C402">
        <v>6.69</v>
      </c>
    </row>
    <row r="403" spans="1:3" x14ac:dyDescent="0.2">
      <c r="A403" s="75">
        <v>32112</v>
      </c>
      <c r="B403"/>
      <c r="C403">
        <v>6.77</v>
      </c>
    </row>
    <row r="404" spans="1:3" x14ac:dyDescent="0.2">
      <c r="A404" s="75">
        <v>32143</v>
      </c>
      <c r="B404"/>
      <c r="C404">
        <v>6.83</v>
      </c>
    </row>
    <row r="405" spans="1:3" x14ac:dyDescent="0.2">
      <c r="A405" s="75">
        <v>32174</v>
      </c>
      <c r="B405"/>
      <c r="C405">
        <v>6.58</v>
      </c>
    </row>
    <row r="406" spans="1:3" x14ac:dyDescent="0.2">
      <c r="A406" s="75">
        <v>32203</v>
      </c>
      <c r="B406"/>
      <c r="C406">
        <v>6.58</v>
      </c>
    </row>
    <row r="407" spans="1:3" x14ac:dyDescent="0.2">
      <c r="A407" s="75">
        <v>32234</v>
      </c>
      <c r="B407"/>
      <c r="C407">
        <v>6.87</v>
      </c>
    </row>
    <row r="408" spans="1:3" x14ac:dyDescent="0.2">
      <c r="A408" s="75">
        <v>32264</v>
      </c>
      <c r="B408"/>
      <c r="C408">
        <v>7.09</v>
      </c>
    </row>
    <row r="409" spans="1:3" x14ac:dyDescent="0.2">
      <c r="A409" s="75">
        <v>32295</v>
      </c>
      <c r="B409"/>
      <c r="C409">
        <v>7.51</v>
      </c>
    </row>
    <row r="410" spans="1:3" x14ac:dyDescent="0.2">
      <c r="A410" s="75">
        <v>32325</v>
      </c>
      <c r="B410"/>
      <c r="C410">
        <v>7.75</v>
      </c>
    </row>
    <row r="411" spans="1:3" x14ac:dyDescent="0.2">
      <c r="A411" s="75">
        <v>32356</v>
      </c>
      <c r="B411"/>
      <c r="C411">
        <v>8.01</v>
      </c>
    </row>
    <row r="412" spans="1:3" x14ac:dyDescent="0.2">
      <c r="A412" s="75">
        <v>32387</v>
      </c>
      <c r="B412"/>
      <c r="C412">
        <v>8.19</v>
      </c>
    </row>
    <row r="413" spans="1:3" x14ac:dyDescent="0.2">
      <c r="A413" s="75">
        <v>32417</v>
      </c>
      <c r="B413"/>
      <c r="C413">
        <v>8.3000000000000007</v>
      </c>
    </row>
    <row r="414" spans="1:3" x14ac:dyDescent="0.2">
      <c r="A414" s="75">
        <v>32448</v>
      </c>
      <c r="B414"/>
      <c r="C414">
        <v>8.35</v>
      </c>
    </row>
    <row r="415" spans="1:3" x14ac:dyDescent="0.2">
      <c r="A415" s="75">
        <v>32478</v>
      </c>
      <c r="B415"/>
      <c r="C415">
        <v>8.76</v>
      </c>
    </row>
    <row r="416" spans="1:3" x14ac:dyDescent="0.2">
      <c r="A416" s="75">
        <v>32509</v>
      </c>
      <c r="B416"/>
      <c r="C416">
        <v>9.1199999999999992</v>
      </c>
    </row>
    <row r="417" spans="1:3" x14ac:dyDescent="0.2">
      <c r="A417" s="75">
        <v>32540</v>
      </c>
      <c r="B417"/>
      <c r="C417">
        <v>9.36</v>
      </c>
    </row>
    <row r="418" spans="1:3" x14ac:dyDescent="0.2">
      <c r="A418" s="75">
        <v>32568</v>
      </c>
      <c r="B418"/>
      <c r="C418">
        <v>9.85</v>
      </c>
    </row>
    <row r="419" spans="1:3" x14ac:dyDescent="0.2">
      <c r="A419" s="75">
        <v>32599</v>
      </c>
      <c r="B419"/>
      <c r="C419">
        <v>9.84</v>
      </c>
    </row>
    <row r="420" spans="1:3" x14ac:dyDescent="0.2">
      <c r="A420" s="75">
        <v>32629</v>
      </c>
      <c r="B420"/>
      <c r="C420">
        <v>9.81</v>
      </c>
    </row>
    <row r="421" spans="1:3" x14ac:dyDescent="0.2">
      <c r="A421" s="75">
        <v>32660</v>
      </c>
      <c r="B421"/>
      <c r="C421">
        <v>9.5299999999999994</v>
      </c>
    </row>
    <row r="422" spans="1:3" x14ac:dyDescent="0.2">
      <c r="A422" s="75">
        <v>32690</v>
      </c>
      <c r="B422"/>
      <c r="C422">
        <v>9.24</v>
      </c>
    </row>
    <row r="423" spans="1:3" x14ac:dyDescent="0.2">
      <c r="A423" s="75">
        <v>32721</v>
      </c>
      <c r="B423"/>
      <c r="C423">
        <v>8.99</v>
      </c>
    </row>
    <row r="424" spans="1:3" x14ac:dyDescent="0.2">
      <c r="A424" s="75">
        <v>32752</v>
      </c>
      <c r="B424"/>
      <c r="C424">
        <v>9.02</v>
      </c>
    </row>
    <row r="425" spans="1:3" x14ac:dyDescent="0.2">
      <c r="A425" s="75">
        <v>32782</v>
      </c>
      <c r="B425"/>
      <c r="C425">
        <v>8.84</v>
      </c>
    </row>
    <row r="426" spans="1:3" x14ac:dyDescent="0.2">
      <c r="A426" s="75">
        <v>32813</v>
      </c>
      <c r="B426"/>
      <c r="C426">
        <v>8.5500000000000007</v>
      </c>
    </row>
    <row r="427" spans="1:3" x14ac:dyDescent="0.2">
      <c r="A427" s="75">
        <v>32843</v>
      </c>
      <c r="B427"/>
      <c r="C427">
        <v>8.4499999999999993</v>
      </c>
    </row>
    <row r="428" spans="1:3" x14ac:dyDescent="0.2">
      <c r="A428" s="75">
        <v>32874</v>
      </c>
      <c r="B428"/>
      <c r="C428">
        <v>8.23</v>
      </c>
    </row>
    <row r="429" spans="1:3" x14ac:dyDescent="0.2">
      <c r="A429" s="75">
        <v>32905</v>
      </c>
      <c r="B429"/>
      <c r="C429">
        <v>8.24</v>
      </c>
    </row>
    <row r="430" spans="1:3" x14ac:dyDescent="0.2">
      <c r="A430" s="75">
        <v>32933</v>
      </c>
      <c r="B430"/>
      <c r="C430">
        <v>8.2799999999999994</v>
      </c>
    </row>
    <row r="431" spans="1:3" x14ac:dyDescent="0.2">
      <c r="A431" s="75">
        <v>32964</v>
      </c>
      <c r="B431"/>
      <c r="C431">
        <v>8.26</v>
      </c>
    </row>
    <row r="432" spans="1:3" x14ac:dyDescent="0.2">
      <c r="A432" s="75">
        <v>32994</v>
      </c>
      <c r="B432"/>
      <c r="C432">
        <v>8.18</v>
      </c>
    </row>
    <row r="433" spans="1:3" x14ac:dyDescent="0.2">
      <c r="A433" s="75">
        <v>33025</v>
      </c>
      <c r="B433"/>
      <c r="C433">
        <v>8.2899999999999991</v>
      </c>
    </row>
    <row r="434" spans="1:3" x14ac:dyDescent="0.2">
      <c r="A434" s="75">
        <v>33055</v>
      </c>
      <c r="B434"/>
      <c r="C434">
        <v>8.15</v>
      </c>
    </row>
    <row r="435" spans="1:3" x14ac:dyDescent="0.2">
      <c r="A435" s="75">
        <v>33086</v>
      </c>
      <c r="B435"/>
      <c r="C435">
        <v>8.1300000000000008</v>
      </c>
    </row>
    <row r="436" spans="1:3" x14ac:dyDescent="0.2">
      <c r="A436" s="75">
        <v>33117</v>
      </c>
      <c r="B436"/>
      <c r="C436">
        <v>8.1999999999999993</v>
      </c>
    </row>
    <row r="437" spans="1:3" x14ac:dyDescent="0.2">
      <c r="A437" s="75">
        <v>33147</v>
      </c>
      <c r="B437"/>
      <c r="C437">
        <v>8.11</v>
      </c>
    </row>
    <row r="438" spans="1:3" x14ac:dyDescent="0.2">
      <c r="A438" s="75">
        <v>33178</v>
      </c>
      <c r="B438"/>
      <c r="C438">
        <v>7.81</v>
      </c>
    </row>
    <row r="439" spans="1:3" x14ac:dyDescent="0.2">
      <c r="A439" s="75">
        <v>33208</v>
      </c>
      <c r="B439"/>
      <c r="C439">
        <v>7.31</v>
      </c>
    </row>
    <row r="440" spans="1:3" x14ac:dyDescent="0.2">
      <c r="A440" s="75">
        <v>33239</v>
      </c>
      <c r="B440"/>
      <c r="C440">
        <v>6.91</v>
      </c>
    </row>
    <row r="441" spans="1:3" x14ac:dyDescent="0.2">
      <c r="A441" s="75">
        <v>33270</v>
      </c>
      <c r="B441"/>
      <c r="C441">
        <v>6.25</v>
      </c>
    </row>
    <row r="442" spans="1:3" x14ac:dyDescent="0.2">
      <c r="A442" s="75">
        <v>33298</v>
      </c>
      <c r="B442"/>
      <c r="C442">
        <v>6.12</v>
      </c>
    </row>
    <row r="443" spans="1:3" x14ac:dyDescent="0.2">
      <c r="A443" s="75">
        <v>33329</v>
      </c>
      <c r="B443"/>
      <c r="C443">
        <v>5.91</v>
      </c>
    </row>
    <row r="444" spans="1:3" x14ac:dyDescent="0.2">
      <c r="A444" s="75">
        <v>33359</v>
      </c>
      <c r="B444"/>
      <c r="C444">
        <v>5.78</v>
      </c>
    </row>
    <row r="445" spans="1:3" x14ac:dyDescent="0.2">
      <c r="A445" s="75">
        <v>33390</v>
      </c>
      <c r="B445"/>
      <c r="C445">
        <v>5.9</v>
      </c>
    </row>
    <row r="446" spans="1:3" x14ac:dyDescent="0.2">
      <c r="A446" s="75">
        <v>33420</v>
      </c>
      <c r="B446"/>
      <c r="C446">
        <v>5.82</v>
      </c>
    </row>
    <row r="447" spans="1:3" x14ac:dyDescent="0.2">
      <c r="A447" s="75">
        <v>33451</v>
      </c>
      <c r="B447"/>
      <c r="C447">
        <v>5.66</v>
      </c>
    </row>
    <row r="448" spans="1:3" x14ac:dyDescent="0.2">
      <c r="A448" s="75">
        <v>33482</v>
      </c>
      <c r="B448"/>
      <c r="C448">
        <v>5.45</v>
      </c>
    </row>
    <row r="449" spans="1:3" x14ac:dyDescent="0.2">
      <c r="A449" s="75">
        <v>33512</v>
      </c>
      <c r="B449"/>
      <c r="C449">
        <v>5.21</v>
      </c>
    </row>
    <row r="450" spans="1:3" x14ac:dyDescent="0.2">
      <c r="A450" s="75">
        <v>33543</v>
      </c>
      <c r="B450"/>
      <c r="C450">
        <v>4.8099999999999996</v>
      </c>
    </row>
    <row r="451" spans="1:3" x14ac:dyDescent="0.2">
      <c r="A451" s="75">
        <v>33573</v>
      </c>
      <c r="B451"/>
      <c r="C451">
        <v>4.43</v>
      </c>
    </row>
    <row r="452" spans="1:3" x14ac:dyDescent="0.2">
      <c r="A452" s="75">
        <v>33604</v>
      </c>
      <c r="B452"/>
      <c r="C452">
        <v>4.03</v>
      </c>
    </row>
    <row r="453" spans="1:3" x14ac:dyDescent="0.2">
      <c r="A453" s="75">
        <v>33635</v>
      </c>
      <c r="B453"/>
      <c r="C453">
        <v>4.0599999999999996</v>
      </c>
    </row>
    <row r="454" spans="1:3" x14ac:dyDescent="0.2">
      <c r="A454" s="75">
        <v>33664</v>
      </c>
      <c r="B454"/>
      <c r="C454">
        <v>3.98</v>
      </c>
    </row>
    <row r="455" spans="1:3" x14ac:dyDescent="0.2">
      <c r="A455" s="75">
        <v>33695</v>
      </c>
      <c r="B455"/>
      <c r="C455">
        <v>3.73</v>
      </c>
    </row>
    <row r="456" spans="1:3" x14ac:dyDescent="0.2">
      <c r="A456" s="75">
        <v>33725</v>
      </c>
      <c r="B456"/>
      <c r="C456">
        <v>3.82</v>
      </c>
    </row>
    <row r="457" spans="1:3" x14ac:dyDescent="0.2">
      <c r="A457" s="75">
        <v>33756</v>
      </c>
      <c r="B457"/>
      <c r="C457">
        <v>3.76</v>
      </c>
    </row>
    <row r="458" spans="1:3" x14ac:dyDescent="0.2">
      <c r="A458" s="75">
        <v>33786</v>
      </c>
      <c r="B458"/>
      <c r="C458">
        <v>3.25</v>
      </c>
    </row>
    <row r="459" spans="1:3" x14ac:dyDescent="0.2">
      <c r="A459" s="75">
        <v>33817</v>
      </c>
      <c r="B459"/>
      <c r="C459">
        <v>3.3</v>
      </c>
    </row>
    <row r="460" spans="1:3" x14ac:dyDescent="0.2">
      <c r="A460" s="75">
        <v>33848</v>
      </c>
      <c r="B460"/>
      <c r="C460">
        <v>3.22</v>
      </c>
    </row>
    <row r="461" spans="1:3" x14ac:dyDescent="0.2">
      <c r="A461" s="75">
        <v>33878</v>
      </c>
      <c r="B461"/>
      <c r="C461">
        <v>3.1</v>
      </c>
    </row>
    <row r="462" spans="1:3" x14ac:dyDescent="0.2">
      <c r="A462" s="75">
        <v>33909</v>
      </c>
      <c r="B462"/>
      <c r="C462">
        <v>3.09</v>
      </c>
    </row>
    <row r="463" spans="1:3" x14ac:dyDescent="0.2">
      <c r="A463" s="75">
        <v>33939</v>
      </c>
      <c r="B463"/>
      <c r="C463">
        <v>2.92</v>
      </c>
    </row>
    <row r="464" spans="1:3" x14ac:dyDescent="0.2">
      <c r="A464" s="75">
        <v>33970</v>
      </c>
      <c r="B464"/>
      <c r="C464">
        <v>3.02</v>
      </c>
    </row>
    <row r="465" spans="1:3" x14ac:dyDescent="0.2">
      <c r="A465" s="75">
        <v>34001</v>
      </c>
      <c r="B465"/>
      <c r="C465">
        <v>3.03</v>
      </c>
    </row>
    <row r="466" spans="1:3" x14ac:dyDescent="0.2">
      <c r="A466" s="75">
        <v>34029</v>
      </c>
      <c r="B466"/>
      <c r="C466">
        <v>3.07</v>
      </c>
    </row>
    <row r="467" spans="1:3" x14ac:dyDescent="0.2">
      <c r="A467" s="75">
        <v>34060</v>
      </c>
      <c r="B467"/>
      <c r="C467">
        <v>2.96</v>
      </c>
    </row>
    <row r="468" spans="1:3" x14ac:dyDescent="0.2">
      <c r="A468" s="75">
        <v>34090</v>
      </c>
      <c r="B468"/>
      <c r="C468">
        <v>3</v>
      </c>
    </row>
    <row r="469" spans="1:3" x14ac:dyDescent="0.2">
      <c r="A469" s="75">
        <v>34121</v>
      </c>
      <c r="B469"/>
      <c r="C469">
        <v>3.04</v>
      </c>
    </row>
    <row r="470" spans="1:3" x14ac:dyDescent="0.2">
      <c r="A470" s="75">
        <v>34151</v>
      </c>
      <c r="B470"/>
      <c r="C470">
        <v>3.06</v>
      </c>
    </row>
    <row r="471" spans="1:3" x14ac:dyDescent="0.2">
      <c r="A471" s="75">
        <v>34182</v>
      </c>
      <c r="B471"/>
      <c r="C471">
        <v>3.03</v>
      </c>
    </row>
    <row r="472" spans="1:3" x14ac:dyDescent="0.2">
      <c r="A472" s="75">
        <v>34213</v>
      </c>
      <c r="B472"/>
      <c r="C472">
        <v>3.09</v>
      </c>
    </row>
    <row r="473" spans="1:3" x14ac:dyDescent="0.2">
      <c r="A473" s="75">
        <v>34243</v>
      </c>
      <c r="B473"/>
      <c r="C473">
        <v>2.99</v>
      </c>
    </row>
    <row r="474" spans="1:3" x14ac:dyDescent="0.2">
      <c r="A474" s="75">
        <v>34274</v>
      </c>
      <c r="B474"/>
      <c r="C474">
        <v>3.02</v>
      </c>
    </row>
    <row r="475" spans="1:3" x14ac:dyDescent="0.2">
      <c r="A475" s="75">
        <v>34304</v>
      </c>
      <c r="B475"/>
      <c r="C475">
        <v>2.96</v>
      </c>
    </row>
    <row r="476" spans="1:3" x14ac:dyDescent="0.2">
      <c r="A476" s="75">
        <v>34335</v>
      </c>
      <c r="B476"/>
      <c r="C476">
        <v>3.05</v>
      </c>
    </row>
    <row r="477" spans="1:3" x14ac:dyDescent="0.2">
      <c r="A477" s="75">
        <v>34366</v>
      </c>
      <c r="B477"/>
      <c r="C477">
        <v>3.25</v>
      </c>
    </row>
    <row r="478" spans="1:3" x14ac:dyDescent="0.2">
      <c r="A478" s="75">
        <v>34394</v>
      </c>
      <c r="B478"/>
      <c r="C478">
        <v>3.34</v>
      </c>
    </row>
    <row r="479" spans="1:3" x14ac:dyDescent="0.2">
      <c r="A479" s="75">
        <v>34425</v>
      </c>
      <c r="B479"/>
      <c r="C479">
        <v>3.56</v>
      </c>
    </row>
    <row r="480" spans="1:3" x14ac:dyDescent="0.2">
      <c r="A480" s="75">
        <v>34455</v>
      </c>
      <c r="B480"/>
      <c r="C480">
        <v>4.01</v>
      </c>
    </row>
    <row r="481" spans="1:3" x14ac:dyDescent="0.2">
      <c r="A481" s="75">
        <v>34486</v>
      </c>
      <c r="B481"/>
      <c r="C481">
        <v>4.25</v>
      </c>
    </row>
    <row r="482" spans="1:3" x14ac:dyDescent="0.2">
      <c r="A482" s="75">
        <v>34516</v>
      </c>
      <c r="B482"/>
      <c r="C482">
        <v>4.26</v>
      </c>
    </row>
    <row r="483" spans="1:3" x14ac:dyDescent="0.2">
      <c r="A483" s="75">
        <v>34547</v>
      </c>
      <c r="B483"/>
      <c r="C483">
        <v>4.47</v>
      </c>
    </row>
    <row r="484" spans="1:3" x14ac:dyDescent="0.2">
      <c r="A484" s="75">
        <v>34578</v>
      </c>
      <c r="B484"/>
      <c r="C484">
        <v>4.7300000000000004</v>
      </c>
    </row>
    <row r="485" spans="1:3" x14ac:dyDescent="0.2">
      <c r="A485" s="75">
        <v>34608</v>
      </c>
      <c r="B485"/>
      <c r="C485">
        <v>4.76</v>
      </c>
    </row>
    <row r="486" spans="1:3" x14ac:dyDescent="0.2">
      <c r="A486" s="75">
        <v>34639</v>
      </c>
      <c r="B486"/>
      <c r="C486">
        <v>5.29</v>
      </c>
    </row>
    <row r="487" spans="1:3" x14ac:dyDescent="0.2">
      <c r="A487" s="75">
        <v>34669</v>
      </c>
      <c r="B487"/>
      <c r="C487">
        <v>5.45</v>
      </c>
    </row>
    <row r="488" spans="1:3" x14ac:dyDescent="0.2">
      <c r="A488" s="75">
        <v>34700</v>
      </c>
      <c r="B488"/>
      <c r="C488">
        <v>5.53</v>
      </c>
    </row>
    <row r="489" spans="1:3" x14ac:dyDescent="0.2">
      <c r="A489" s="75">
        <v>34731</v>
      </c>
      <c r="B489"/>
      <c r="C489">
        <v>5.92</v>
      </c>
    </row>
    <row r="490" spans="1:3" x14ac:dyDescent="0.2">
      <c r="A490" s="75">
        <v>34759</v>
      </c>
      <c r="B490"/>
      <c r="C490">
        <v>5.98</v>
      </c>
    </row>
    <row r="491" spans="1:3" x14ac:dyDescent="0.2">
      <c r="A491" s="75">
        <v>34790</v>
      </c>
      <c r="B491"/>
      <c r="C491">
        <v>6.05</v>
      </c>
    </row>
    <row r="492" spans="1:3" x14ac:dyDescent="0.2">
      <c r="A492" s="75">
        <v>34820</v>
      </c>
      <c r="B492"/>
      <c r="C492">
        <v>6.01</v>
      </c>
    </row>
    <row r="493" spans="1:3" x14ac:dyDescent="0.2">
      <c r="A493" s="75">
        <v>34851</v>
      </c>
      <c r="B493"/>
      <c r="C493">
        <v>6</v>
      </c>
    </row>
    <row r="494" spans="1:3" x14ac:dyDescent="0.2">
      <c r="A494" s="75">
        <v>34881</v>
      </c>
      <c r="B494"/>
      <c r="C494">
        <v>5.85</v>
      </c>
    </row>
    <row r="495" spans="1:3" x14ac:dyDescent="0.2">
      <c r="A495" s="75">
        <v>34912</v>
      </c>
      <c r="B495"/>
      <c r="C495">
        <v>5.74</v>
      </c>
    </row>
    <row r="496" spans="1:3" x14ac:dyDescent="0.2">
      <c r="A496" s="75">
        <v>34943</v>
      </c>
      <c r="B496"/>
      <c r="C496">
        <v>5.8</v>
      </c>
    </row>
    <row r="497" spans="1:3" x14ac:dyDescent="0.2">
      <c r="A497" s="75">
        <v>34973</v>
      </c>
      <c r="B497"/>
      <c r="C497">
        <v>5.76</v>
      </c>
    </row>
    <row r="498" spans="1:3" x14ac:dyDescent="0.2">
      <c r="A498" s="75">
        <v>35004</v>
      </c>
      <c r="B498"/>
      <c r="C498">
        <v>5.8</v>
      </c>
    </row>
    <row r="499" spans="1:3" x14ac:dyDescent="0.2">
      <c r="A499" s="75">
        <v>35034</v>
      </c>
      <c r="B499"/>
      <c r="C499">
        <v>5.6</v>
      </c>
    </row>
    <row r="500" spans="1:3" x14ac:dyDescent="0.2">
      <c r="A500" s="75">
        <v>35065</v>
      </c>
      <c r="B500"/>
      <c r="C500">
        <v>5.56</v>
      </c>
    </row>
    <row r="501" spans="1:3" x14ac:dyDescent="0.2">
      <c r="A501" s="75">
        <v>35096</v>
      </c>
      <c r="B501"/>
      <c r="C501">
        <v>5.22</v>
      </c>
    </row>
    <row r="502" spans="1:3" x14ac:dyDescent="0.2">
      <c r="A502" s="75">
        <v>35125</v>
      </c>
      <c r="B502"/>
      <c r="C502">
        <v>5.31</v>
      </c>
    </row>
    <row r="503" spans="1:3" x14ac:dyDescent="0.2">
      <c r="A503" s="75">
        <v>35156</v>
      </c>
      <c r="B503"/>
      <c r="C503">
        <v>5.22</v>
      </c>
    </row>
    <row r="504" spans="1:3" x14ac:dyDescent="0.2">
      <c r="A504" s="75">
        <v>35186</v>
      </c>
      <c r="B504"/>
      <c r="C504">
        <v>5.24</v>
      </c>
    </row>
    <row r="505" spans="1:3" x14ac:dyDescent="0.2">
      <c r="A505" s="75">
        <v>35217</v>
      </c>
      <c r="B505"/>
      <c r="C505">
        <v>5.27</v>
      </c>
    </row>
    <row r="506" spans="1:3" x14ac:dyDescent="0.2">
      <c r="A506" s="75">
        <v>35247</v>
      </c>
      <c r="B506"/>
      <c r="C506">
        <v>5.4</v>
      </c>
    </row>
    <row r="507" spans="1:3" x14ac:dyDescent="0.2">
      <c r="A507" s="75">
        <v>35278</v>
      </c>
      <c r="B507"/>
      <c r="C507">
        <v>5.22</v>
      </c>
    </row>
    <row r="508" spans="1:3" x14ac:dyDescent="0.2">
      <c r="A508" s="75">
        <v>35309</v>
      </c>
      <c r="B508"/>
      <c r="C508">
        <v>5.3</v>
      </c>
    </row>
    <row r="509" spans="1:3" x14ac:dyDescent="0.2">
      <c r="A509" s="75">
        <v>35339</v>
      </c>
      <c r="B509"/>
      <c r="C509">
        <v>5.24</v>
      </c>
    </row>
    <row r="510" spans="1:3" x14ac:dyDescent="0.2">
      <c r="A510" s="75">
        <v>35370</v>
      </c>
      <c r="B510"/>
      <c r="C510">
        <v>5.31</v>
      </c>
    </row>
    <row r="511" spans="1:3" x14ac:dyDescent="0.2">
      <c r="A511" s="75">
        <v>35400</v>
      </c>
      <c r="B511"/>
      <c r="C511">
        <v>5.29</v>
      </c>
    </row>
    <row r="512" spans="1:3" x14ac:dyDescent="0.2">
      <c r="A512" s="75">
        <v>35431</v>
      </c>
      <c r="B512"/>
      <c r="C512">
        <v>5.25</v>
      </c>
    </row>
    <row r="513" spans="1:3" x14ac:dyDescent="0.2">
      <c r="A513" s="75">
        <v>35462</v>
      </c>
      <c r="B513"/>
      <c r="C513">
        <v>5.19</v>
      </c>
    </row>
    <row r="514" spans="1:3" x14ac:dyDescent="0.2">
      <c r="A514" s="75">
        <v>35490</v>
      </c>
      <c r="B514"/>
      <c r="C514">
        <v>5.39</v>
      </c>
    </row>
    <row r="515" spans="1:3" x14ac:dyDescent="0.2">
      <c r="A515" s="75">
        <v>35521</v>
      </c>
      <c r="B515"/>
      <c r="C515">
        <v>5.51</v>
      </c>
    </row>
    <row r="516" spans="1:3" x14ac:dyDescent="0.2">
      <c r="A516" s="75">
        <v>35551</v>
      </c>
      <c r="B516"/>
      <c r="C516">
        <v>5.5</v>
      </c>
    </row>
    <row r="517" spans="1:3" x14ac:dyDescent="0.2">
      <c r="A517" s="75">
        <v>35582</v>
      </c>
      <c r="B517"/>
      <c r="C517">
        <v>5.56</v>
      </c>
    </row>
    <row r="518" spans="1:3" x14ac:dyDescent="0.2">
      <c r="A518" s="75">
        <v>35612</v>
      </c>
      <c r="B518"/>
      <c r="C518">
        <v>5.52</v>
      </c>
    </row>
    <row r="519" spans="1:3" x14ac:dyDescent="0.2">
      <c r="A519" s="75">
        <v>35643</v>
      </c>
      <c r="B519"/>
      <c r="C519">
        <v>5.54</v>
      </c>
    </row>
    <row r="520" spans="1:3" x14ac:dyDescent="0.2">
      <c r="A520" s="75">
        <v>35674</v>
      </c>
      <c r="B520"/>
      <c r="C520">
        <v>5.54</v>
      </c>
    </row>
    <row r="521" spans="1:3" x14ac:dyDescent="0.2">
      <c r="A521" s="75">
        <v>35704</v>
      </c>
      <c r="B521"/>
      <c r="C521">
        <v>5.5</v>
      </c>
    </row>
    <row r="522" spans="1:3" x14ac:dyDescent="0.2">
      <c r="A522" s="75">
        <v>35735</v>
      </c>
      <c r="B522"/>
      <c r="C522">
        <v>5.52</v>
      </c>
    </row>
    <row r="523" spans="1:3" x14ac:dyDescent="0.2">
      <c r="A523" s="75">
        <v>35765</v>
      </c>
      <c r="B523"/>
      <c r="C523">
        <v>5.5</v>
      </c>
    </row>
    <row r="524" spans="1:3" x14ac:dyDescent="0.2">
      <c r="A524" s="75">
        <v>35796</v>
      </c>
      <c r="B524"/>
      <c r="C524">
        <v>5.56</v>
      </c>
    </row>
    <row r="525" spans="1:3" x14ac:dyDescent="0.2">
      <c r="A525" s="75">
        <v>35827</v>
      </c>
      <c r="B525"/>
      <c r="C525">
        <v>5.51</v>
      </c>
    </row>
    <row r="526" spans="1:3" x14ac:dyDescent="0.2">
      <c r="A526" s="75">
        <v>35855</v>
      </c>
      <c r="B526"/>
      <c r="C526">
        <v>5.49</v>
      </c>
    </row>
    <row r="527" spans="1:3" x14ac:dyDescent="0.2">
      <c r="A527" s="75">
        <v>35886</v>
      </c>
      <c r="B527"/>
      <c r="C527">
        <v>5.45</v>
      </c>
    </row>
    <row r="528" spans="1:3" x14ac:dyDescent="0.2">
      <c r="A528" s="75">
        <v>35916</v>
      </c>
      <c r="B528"/>
      <c r="C528">
        <v>5.49</v>
      </c>
    </row>
    <row r="529" spans="1:3" x14ac:dyDescent="0.2">
      <c r="A529" s="75">
        <v>35947</v>
      </c>
      <c r="B529"/>
      <c r="C529">
        <v>5.56</v>
      </c>
    </row>
    <row r="530" spans="1:3" x14ac:dyDescent="0.2">
      <c r="A530" s="75">
        <v>35977</v>
      </c>
      <c r="B530"/>
      <c r="C530">
        <v>5.54</v>
      </c>
    </row>
    <row r="531" spans="1:3" x14ac:dyDescent="0.2">
      <c r="A531" s="75">
        <v>36008</v>
      </c>
      <c r="B531"/>
      <c r="C531">
        <v>5.55</v>
      </c>
    </row>
    <row r="532" spans="1:3" x14ac:dyDescent="0.2">
      <c r="A532" s="75">
        <v>36039</v>
      </c>
      <c r="B532"/>
      <c r="C532">
        <v>5.51</v>
      </c>
    </row>
    <row r="533" spans="1:3" x14ac:dyDescent="0.2">
      <c r="A533" s="75">
        <v>36069</v>
      </c>
      <c r="B533"/>
      <c r="C533">
        <v>5.07</v>
      </c>
    </row>
    <row r="534" spans="1:3" x14ac:dyDescent="0.2">
      <c r="A534" s="75">
        <v>36100</v>
      </c>
      <c r="B534"/>
      <c r="C534">
        <v>4.83</v>
      </c>
    </row>
    <row r="535" spans="1:3" x14ac:dyDescent="0.2">
      <c r="A535" s="75">
        <v>36130</v>
      </c>
      <c r="B535"/>
      <c r="C535">
        <v>4.68</v>
      </c>
    </row>
    <row r="536" spans="1:3" x14ac:dyDescent="0.2">
      <c r="A536" s="75">
        <v>36161</v>
      </c>
      <c r="B536"/>
      <c r="C536">
        <v>4.63</v>
      </c>
    </row>
    <row r="537" spans="1:3" x14ac:dyDescent="0.2">
      <c r="A537" s="75">
        <v>36192</v>
      </c>
      <c r="B537"/>
      <c r="C537">
        <v>4.76</v>
      </c>
    </row>
    <row r="538" spans="1:3" x14ac:dyDescent="0.2">
      <c r="A538" s="75">
        <v>36220</v>
      </c>
      <c r="B538"/>
      <c r="C538">
        <v>4.8099999999999996</v>
      </c>
    </row>
    <row r="539" spans="1:3" x14ac:dyDescent="0.2">
      <c r="A539" s="75">
        <v>36251</v>
      </c>
      <c r="B539"/>
      <c r="C539">
        <v>4.74</v>
      </c>
    </row>
    <row r="540" spans="1:3" x14ac:dyDescent="0.2">
      <c r="A540" s="75">
        <v>36281</v>
      </c>
      <c r="B540"/>
      <c r="C540">
        <v>4.74</v>
      </c>
    </row>
    <row r="541" spans="1:3" x14ac:dyDescent="0.2">
      <c r="A541" s="75">
        <v>36312</v>
      </c>
      <c r="B541"/>
      <c r="C541">
        <v>4.76</v>
      </c>
    </row>
    <row r="542" spans="1:3" x14ac:dyDescent="0.2">
      <c r="A542" s="75">
        <v>36342</v>
      </c>
      <c r="B542"/>
      <c r="C542">
        <v>4.99</v>
      </c>
    </row>
    <row r="543" spans="1:3" x14ac:dyDescent="0.2">
      <c r="A543" s="75">
        <v>36373</v>
      </c>
      <c r="B543"/>
      <c r="C543">
        <v>5.07</v>
      </c>
    </row>
    <row r="544" spans="1:3" x14ac:dyDescent="0.2">
      <c r="A544" s="75">
        <v>36404</v>
      </c>
      <c r="B544"/>
      <c r="C544">
        <v>5.22</v>
      </c>
    </row>
    <row r="545" spans="1:3" x14ac:dyDescent="0.2">
      <c r="A545" s="75">
        <v>36434</v>
      </c>
      <c r="B545"/>
      <c r="C545">
        <v>5.2</v>
      </c>
    </row>
    <row r="546" spans="1:3" x14ac:dyDescent="0.2">
      <c r="A546" s="75">
        <v>36465</v>
      </c>
      <c r="B546"/>
      <c r="C546">
        <v>5.42</v>
      </c>
    </row>
    <row r="547" spans="1:3" x14ac:dyDescent="0.2">
      <c r="A547" s="75">
        <v>36495</v>
      </c>
      <c r="B547"/>
      <c r="C547">
        <v>5.3</v>
      </c>
    </row>
    <row r="548" spans="1:3" x14ac:dyDescent="0.2">
      <c r="A548" s="75">
        <v>36526</v>
      </c>
      <c r="B548"/>
      <c r="C548">
        <v>5.45</v>
      </c>
    </row>
    <row r="549" spans="1:3" x14ac:dyDescent="0.2">
      <c r="A549" s="75">
        <v>36557</v>
      </c>
      <c r="B549"/>
      <c r="C549">
        <v>5.73</v>
      </c>
    </row>
    <row r="550" spans="1:3" x14ac:dyDescent="0.2">
      <c r="A550" s="75">
        <v>36586</v>
      </c>
      <c r="B550"/>
      <c r="C550">
        <v>5.85</v>
      </c>
    </row>
    <row r="551" spans="1:3" x14ac:dyDescent="0.2">
      <c r="A551" s="75">
        <v>36617</v>
      </c>
      <c r="B551"/>
      <c r="C551">
        <v>6.02</v>
      </c>
    </row>
    <row r="552" spans="1:3" x14ac:dyDescent="0.2">
      <c r="A552" s="75">
        <v>36647</v>
      </c>
      <c r="B552"/>
      <c r="C552">
        <v>6.27</v>
      </c>
    </row>
    <row r="553" spans="1:3" x14ac:dyDescent="0.2">
      <c r="A553" s="75">
        <v>36678</v>
      </c>
      <c r="B553"/>
      <c r="C553">
        <v>6.53</v>
      </c>
    </row>
    <row r="554" spans="1:3" x14ac:dyDescent="0.2">
      <c r="A554" s="75">
        <v>36708</v>
      </c>
      <c r="B554">
        <v>6.5</v>
      </c>
      <c r="C554">
        <v>6.54</v>
      </c>
    </row>
    <row r="555" spans="1:3" x14ac:dyDescent="0.2">
      <c r="A555" s="75">
        <v>36739</v>
      </c>
      <c r="B555">
        <v>6.5</v>
      </c>
      <c r="C555">
        <v>6.5</v>
      </c>
    </row>
    <row r="556" spans="1:3" x14ac:dyDescent="0.2">
      <c r="A556" s="75">
        <v>36770</v>
      </c>
      <c r="B556">
        <v>6.5</v>
      </c>
      <c r="C556">
        <v>6.52</v>
      </c>
    </row>
    <row r="557" spans="1:3" x14ac:dyDescent="0.2">
      <c r="A557" s="75">
        <v>36800</v>
      </c>
      <c r="B557">
        <v>6.5</v>
      </c>
      <c r="C557">
        <v>6.51</v>
      </c>
    </row>
    <row r="558" spans="1:3" x14ac:dyDescent="0.2">
      <c r="A558" s="75">
        <v>36831</v>
      </c>
      <c r="B558">
        <v>6.5</v>
      </c>
      <c r="C558">
        <v>6.51</v>
      </c>
    </row>
    <row r="559" spans="1:3" x14ac:dyDescent="0.2">
      <c r="A559" s="75">
        <v>36861</v>
      </c>
      <c r="B559">
        <v>6.5</v>
      </c>
      <c r="C559">
        <v>6.4</v>
      </c>
    </row>
    <row r="560" spans="1:3" x14ac:dyDescent="0.2">
      <c r="A560" s="75">
        <v>36892</v>
      </c>
      <c r="B560">
        <v>5.5</v>
      </c>
      <c r="C560">
        <v>5.98</v>
      </c>
    </row>
    <row r="561" spans="1:3" x14ac:dyDescent="0.2">
      <c r="A561" s="75">
        <v>36923</v>
      </c>
      <c r="B561">
        <v>5.5</v>
      </c>
      <c r="C561">
        <v>5.49</v>
      </c>
    </row>
    <row r="562" spans="1:3" x14ac:dyDescent="0.2">
      <c r="A562" s="75">
        <v>36951</v>
      </c>
      <c r="B562">
        <v>5</v>
      </c>
      <c r="C562">
        <v>5.31</v>
      </c>
    </row>
    <row r="563" spans="1:3" x14ac:dyDescent="0.2">
      <c r="A563" s="75">
        <v>36982</v>
      </c>
      <c r="B563">
        <v>4.5</v>
      </c>
      <c r="C563">
        <v>4.8</v>
      </c>
    </row>
    <row r="564" spans="1:3" x14ac:dyDescent="0.2">
      <c r="A564" s="75">
        <v>37012</v>
      </c>
      <c r="B564">
        <v>4</v>
      </c>
      <c r="C564">
        <v>4.21</v>
      </c>
    </row>
    <row r="565" spans="1:3" x14ac:dyDescent="0.2">
      <c r="A565" s="75">
        <v>37043</v>
      </c>
      <c r="B565">
        <v>3.75</v>
      </c>
      <c r="C565">
        <v>3.97</v>
      </c>
    </row>
    <row r="566" spans="1:3" x14ac:dyDescent="0.2">
      <c r="A566" s="75">
        <v>37073</v>
      </c>
      <c r="B566">
        <v>3.75</v>
      </c>
      <c r="C566">
        <v>3.77</v>
      </c>
    </row>
    <row r="567" spans="1:3" x14ac:dyDescent="0.2">
      <c r="A567" s="75">
        <v>37104</v>
      </c>
      <c r="B567">
        <v>3.5</v>
      </c>
      <c r="C567">
        <v>3.65</v>
      </c>
    </row>
    <row r="568" spans="1:3" x14ac:dyDescent="0.2">
      <c r="A568" s="75">
        <v>37135</v>
      </c>
      <c r="B568">
        <v>3</v>
      </c>
      <c r="C568">
        <v>3.07</v>
      </c>
    </row>
    <row r="569" spans="1:3" x14ac:dyDescent="0.2">
      <c r="A569" s="75">
        <v>37165</v>
      </c>
      <c r="B569">
        <v>2.5</v>
      </c>
      <c r="C569">
        <v>2.4900000000000002</v>
      </c>
    </row>
    <row r="570" spans="1:3" x14ac:dyDescent="0.2">
      <c r="A570" s="75">
        <v>37196</v>
      </c>
      <c r="B570">
        <v>2</v>
      </c>
      <c r="C570">
        <v>2.09</v>
      </c>
    </row>
    <row r="571" spans="1:3" x14ac:dyDescent="0.2">
      <c r="A571" s="75">
        <v>37226</v>
      </c>
      <c r="B571">
        <v>1.75</v>
      </c>
      <c r="C571">
        <v>1.82</v>
      </c>
    </row>
    <row r="572" spans="1:3" x14ac:dyDescent="0.2">
      <c r="A572" s="75">
        <v>37257</v>
      </c>
      <c r="B572">
        <v>1.75</v>
      </c>
      <c r="C572">
        <v>1.73</v>
      </c>
    </row>
    <row r="573" spans="1:3" x14ac:dyDescent="0.2">
      <c r="A573" s="75">
        <v>37288</v>
      </c>
      <c r="B573">
        <v>1.75</v>
      </c>
      <c r="C573">
        <v>1.74</v>
      </c>
    </row>
    <row r="574" spans="1:3" x14ac:dyDescent="0.2">
      <c r="A574" s="75">
        <v>37316</v>
      </c>
      <c r="B574">
        <v>1.75</v>
      </c>
      <c r="C574">
        <v>1.73</v>
      </c>
    </row>
    <row r="575" spans="1:3" x14ac:dyDescent="0.2">
      <c r="A575" s="75">
        <v>37347</v>
      </c>
      <c r="B575">
        <v>1.75</v>
      </c>
      <c r="C575">
        <v>1.75</v>
      </c>
    </row>
    <row r="576" spans="1:3" x14ac:dyDescent="0.2">
      <c r="A576" s="75">
        <v>37377</v>
      </c>
      <c r="B576">
        <v>1.75</v>
      </c>
      <c r="C576">
        <v>1.75</v>
      </c>
    </row>
    <row r="577" spans="1:3" x14ac:dyDescent="0.2">
      <c r="A577" s="75">
        <v>37408</v>
      </c>
      <c r="B577">
        <v>1.75</v>
      </c>
      <c r="C577">
        <v>1.75</v>
      </c>
    </row>
    <row r="578" spans="1:3" x14ac:dyDescent="0.2">
      <c r="A578" s="75">
        <v>37438</v>
      </c>
      <c r="B578">
        <v>1.75</v>
      </c>
      <c r="C578">
        <v>1.73</v>
      </c>
    </row>
    <row r="579" spans="1:3" x14ac:dyDescent="0.2">
      <c r="A579" s="75">
        <v>37469</v>
      </c>
      <c r="B579">
        <v>1.75</v>
      </c>
      <c r="C579">
        <v>1.74</v>
      </c>
    </row>
    <row r="580" spans="1:3" x14ac:dyDescent="0.2">
      <c r="A580" s="75">
        <v>37500</v>
      </c>
      <c r="B580">
        <v>1.75</v>
      </c>
      <c r="C580">
        <v>1.75</v>
      </c>
    </row>
    <row r="581" spans="1:3" x14ac:dyDescent="0.2">
      <c r="A581" s="75">
        <v>37530</v>
      </c>
      <c r="B581">
        <v>1.75</v>
      </c>
      <c r="C581">
        <v>1.75</v>
      </c>
    </row>
    <row r="582" spans="1:3" x14ac:dyDescent="0.2">
      <c r="A582" s="75">
        <v>37561</v>
      </c>
      <c r="B582">
        <v>1.25</v>
      </c>
      <c r="C582">
        <v>1.34</v>
      </c>
    </row>
    <row r="583" spans="1:3" x14ac:dyDescent="0.2">
      <c r="A583" s="75">
        <v>37591</v>
      </c>
      <c r="B583">
        <v>1.25</v>
      </c>
      <c r="C583">
        <v>1.24</v>
      </c>
    </row>
    <row r="584" spans="1:3" x14ac:dyDescent="0.2">
      <c r="A584" s="75">
        <v>37622</v>
      </c>
      <c r="B584">
        <v>1.25</v>
      </c>
      <c r="C584">
        <v>1.24</v>
      </c>
    </row>
    <row r="585" spans="1:3" x14ac:dyDescent="0.2">
      <c r="A585" s="75">
        <v>37653</v>
      </c>
      <c r="B585">
        <v>1.25</v>
      </c>
      <c r="C585">
        <v>1.26</v>
      </c>
    </row>
    <row r="586" spans="1:3" x14ac:dyDescent="0.2">
      <c r="A586" s="75">
        <v>37681</v>
      </c>
      <c r="B586">
        <v>1.25</v>
      </c>
      <c r="C586">
        <v>1.25</v>
      </c>
    </row>
    <row r="587" spans="1:3" x14ac:dyDescent="0.2">
      <c r="A587" s="75">
        <v>37712</v>
      </c>
      <c r="B587">
        <v>1.25</v>
      </c>
      <c r="C587">
        <v>1.26</v>
      </c>
    </row>
    <row r="588" spans="1:3" x14ac:dyDescent="0.2">
      <c r="A588" s="75">
        <v>37742</v>
      </c>
      <c r="B588">
        <v>1.25</v>
      </c>
      <c r="C588">
        <v>1.26</v>
      </c>
    </row>
    <row r="589" spans="1:3" x14ac:dyDescent="0.2">
      <c r="A589" s="75">
        <v>37773</v>
      </c>
      <c r="B589">
        <v>1</v>
      </c>
      <c r="C589">
        <v>1.22</v>
      </c>
    </row>
    <row r="590" spans="1:3" x14ac:dyDescent="0.2">
      <c r="A590" s="75">
        <v>37803</v>
      </c>
      <c r="B590">
        <v>1</v>
      </c>
      <c r="C590">
        <v>1.01</v>
      </c>
    </row>
    <row r="591" spans="1:3" x14ac:dyDescent="0.2">
      <c r="A591" s="75">
        <v>37834</v>
      </c>
      <c r="B591">
        <v>1</v>
      </c>
      <c r="C591">
        <v>1.03</v>
      </c>
    </row>
    <row r="592" spans="1:3" x14ac:dyDescent="0.2">
      <c r="A592" s="75">
        <v>37865</v>
      </c>
      <c r="B592">
        <v>1</v>
      </c>
      <c r="C592">
        <v>1.01</v>
      </c>
    </row>
    <row r="593" spans="1:3" x14ac:dyDescent="0.2">
      <c r="A593" s="75">
        <v>37895</v>
      </c>
      <c r="B593">
        <v>1</v>
      </c>
      <c r="C593">
        <v>1.01</v>
      </c>
    </row>
    <row r="594" spans="1:3" x14ac:dyDescent="0.2">
      <c r="A594" s="75">
        <v>37926</v>
      </c>
      <c r="B594">
        <v>1</v>
      </c>
      <c r="C594">
        <v>1</v>
      </c>
    </row>
    <row r="595" spans="1:3" x14ac:dyDescent="0.2">
      <c r="A595" s="75">
        <v>37956</v>
      </c>
      <c r="B595">
        <v>1</v>
      </c>
      <c r="C595">
        <v>0.98</v>
      </c>
    </row>
    <row r="596" spans="1:3" x14ac:dyDescent="0.2">
      <c r="A596" s="75">
        <v>37987</v>
      </c>
      <c r="B596">
        <v>1</v>
      </c>
      <c r="C596">
        <v>1</v>
      </c>
    </row>
    <row r="597" spans="1:3" x14ac:dyDescent="0.2">
      <c r="A597" s="75">
        <v>38018</v>
      </c>
      <c r="B597">
        <v>1</v>
      </c>
      <c r="C597">
        <v>1.01</v>
      </c>
    </row>
    <row r="598" spans="1:3" x14ac:dyDescent="0.2">
      <c r="A598" s="75">
        <v>38047</v>
      </c>
      <c r="B598">
        <v>1</v>
      </c>
      <c r="C598">
        <v>1</v>
      </c>
    </row>
    <row r="599" spans="1:3" x14ac:dyDescent="0.2">
      <c r="A599" s="75">
        <v>38078</v>
      </c>
      <c r="B599">
        <v>1</v>
      </c>
      <c r="C599">
        <v>1</v>
      </c>
    </row>
    <row r="600" spans="1:3" x14ac:dyDescent="0.2">
      <c r="A600" s="75">
        <v>38108</v>
      </c>
      <c r="B600">
        <v>1</v>
      </c>
      <c r="C600">
        <v>1</v>
      </c>
    </row>
    <row r="601" spans="1:3" x14ac:dyDescent="0.2">
      <c r="A601" s="75">
        <v>38139</v>
      </c>
      <c r="B601">
        <v>1.25</v>
      </c>
      <c r="C601">
        <v>1.03</v>
      </c>
    </row>
    <row r="602" spans="1:3" x14ac:dyDescent="0.2">
      <c r="A602" s="75">
        <v>38169</v>
      </c>
      <c r="B602">
        <v>1.25</v>
      </c>
      <c r="C602">
        <v>1.26</v>
      </c>
    </row>
    <row r="603" spans="1:3" x14ac:dyDescent="0.2">
      <c r="A603" s="75">
        <v>38200</v>
      </c>
      <c r="B603">
        <v>1.5</v>
      </c>
      <c r="C603">
        <v>1.43</v>
      </c>
    </row>
    <row r="604" spans="1:3" x14ac:dyDescent="0.2">
      <c r="A604" s="75">
        <v>38231</v>
      </c>
      <c r="B604">
        <v>1.75</v>
      </c>
      <c r="C604">
        <v>1.61</v>
      </c>
    </row>
    <row r="605" spans="1:3" x14ac:dyDescent="0.2">
      <c r="A605" s="75">
        <v>38261</v>
      </c>
      <c r="B605">
        <v>1.75</v>
      </c>
      <c r="C605">
        <v>1.76</v>
      </c>
    </row>
    <row r="606" spans="1:3" x14ac:dyDescent="0.2">
      <c r="A606" s="75">
        <v>38292</v>
      </c>
      <c r="B606">
        <v>2</v>
      </c>
      <c r="C606">
        <v>1.93</v>
      </c>
    </row>
    <row r="607" spans="1:3" x14ac:dyDescent="0.2">
      <c r="A607" s="75">
        <v>38322</v>
      </c>
      <c r="B607">
        <v>2.25</v>
      </c>
      <c r="C607">
        <v>2.16</v>
      </c>
    </row>
    <row r="608" spans="1:3" x14ac:dyDescent="0.2">
      <c r="A608" s="75">
        <v>38353</v>
      </c>
      <c r="B608">
        <v>2.25</v>
      </c>
      <c r="C608">
        <v>2.2799999999999998</v>
      </c>
    </row>
    <row r="609" spans="1:3" x14ac:dyDescent="0.2">
      <c r="A609" s="75">
        <v>38384</v>
      </c>
      <c r="B609">
        <v>2.5</v>
      </c>
      <c r="C609">
        <v>2.5</v>
      </c>
    </row>
    <row r="610" spans="1:3" x14ac:dyDescent="0.2">
      <c r="A610" s="75">
        <v>38412</v>
      </c>
      <c r="B610">
        <v>2.75</v>
      </c>
      <c r="C610">
        <v>2.63</v>
      </c>
    </row>
    <row r="611" spans="1:3" x14ac:dyDescent="0.2">
      <c r="A611" s="75">
        <v>38443</v>
      </c>
      <c r="B611">
        <v>2.75</v>
      </c>
      <c r="C611">
        <v>2.79</v>
      </c>
    </row>
    <row r="612" spans="1:3" x14ac:dyDescent="0.2">
      <c r="A612" s="75">
        <v>38473</v>
      </c>
      <c r="B612">
        <v>3</v>
      </c>
      <c r="C612">
        <v>3</v>
      </c>
    </row>
    <row r="613" spans="1:3" x14ac:dyDescent="0.2">
      <c r="A613" s="75">
        <v>38504</v>
      </c>
      <c r="B613">
        <v>3.25</v>
      </c>
      <c r="C613">
        <v>3.04</v>
      </c>
    </row>
    <row r="614" spans="1:3" x14ac:dyDescent="0.2">
      <c r="A614" s="75">
        <v>38534</v>
      </c>
      <c r="B614">
        <v>3.25</v>
      </c>
      <c r="C614">
        <v>3.26</v>
      </c>
    </row>
    <row r="615" spans="1:3" x14ac:dyDescent="0.2">
      <c r="A615" s="75">
        <v>38565</v>
      </c>
      <c r="B615">
        <v>3.5</v>
      </c>
      <c r="C615">
        <v>3.5</v>
      </c>
    </row>
    <row r="616" spans="1:3" x14ac:dyDescent="0.2">
      <c r="A616" s="75">
        <v>38596</v>
      </c>
      <c r="B616">
        <v>3.75</v>
      </c>
      <c r="C616">
        <v>3.62</v>
      </c>
    </row>
    <row r="617" spans="1:3" x14ac:dyDescent="0.2">
      <c r="A617" s="75">
        <v>38626</v>
      </c>
      <c r="B617">
        <v>3.75</v>
      </c>
      <c r="C617">
        <v>3.78</v>
      </c>
    </row>
    <row r="618" spans="1:3" x14ac:dyDescent="0.2">
      <c r="A618" s="75">
        <v>38657</v>
      </c>
      <c r="B618">
        <v>4</v>
      </c>
      <c r="C618">
        <v>4</v>
      </c>
    </row>
    <row r="619" spans="1:3" x14ac:dyDescent="0.2">
      <c r="A619" s="75">
        <v>38687</v>
      </c>
      <c r="B619">
        <v>4.25</v>
      </c>
      <c r="C619">
        <v>4.16</v>
      </c>
    </row>
    <row r="620" spans="1:3" x14ac:dyDescent="0.2">
      <c r="A620" s="75">
        <v>38718</v>
      </c>
      <c r="B620">
        <v>4.5</v>
      </c>
      <c r="C620">
        <v>4.29</v>
      </c>
    </row>
    <row r="621" spans="1:3" x14ac:dyDescent="0.2">
      <c r="A621" s="75">
        <v>38749</v>
      </c>
      <c r="B621">
        <v>4.5</v>
      </c>
      <c r="C621">
        <v>4.49</v>
      </c>
    </row>
    <row r="622" spans="1:3" x14ac:dyDescent="0.2">
      <c r="A622" s="75">
        <v>38777</v>
      </c>
      <c r="B622">
        <v>4.75</v>
      </c>
      <c r="C622">
        <v>4.59</v>
      </c>
    </row>
    <row r="623" spans="1:3" x14ac:dyDescent="0.2">
      <c r="A623" s="75">
        <v>38808</v>
      </c>
      <c r="B623">
        <v>4.75</v>
      </c>
      <c r="C623">
        <v>4.79</v>
      </c>
    </row>
    <row r="624" spans="1:3" x14ac:dyDescent="0.2">
      <c r="A624" s="75">
        <v>38838</v>
      </c>
      <c r="B624">
        <v>5</v>
      </c>
      <c r="C624">
        <v>4.9400000000000004</v>
      </c>
    </row>
    <row r="625" spans="1:3" x14ac:dyDescent="0.2">
      <c r="A625" s="75">
        <v>38869</v>
      </c>
      <c r="B625">
        <v>5.25</v>
      </c>
      <c r="C625">
        <v>4.99</v>
      </c>
    </row>
    <row r="626" spans="1:3" x14ac:dyDescent="0.2">
      <c r="A626" s="75">
        <v>38899</v>
      </c>
      <c r="B626">
        <v>5.25</v>
      </c>
      <c r="C626">
        <v>5.24</v>
      </c>
    </row>
    <row r="627" spans="1:3" x14ac:dyDescent="0.2">
      <c r="A627" s="75">
        <v>38930</v>
      </c>
      <c r="B627">
        <v>5.25</v>
      </c>
      <c r="C627">
        <v>5.25</v>
      </c>
    </row>
    <row r="628" spans="1:3" x14ac:dyDescent="0.2">
      <c r="A628" s="75">
        <v>38961</v>
      </c>
      <c r="B628">
        <v>5.25</v>
      </c>
      <c r="C628">
        <v>5.25</v>
      </c>
    </row>
    <row r="629" spans="1:3" x14ac:dyDescent="0.2">
      <c r="A629" s="75">
        <v>38991</v>
      </c>
      <c r="B629">
        <v>5.25</v>
      </c>
      <c r="C629">
        <v>5.25</v>
      </c>
    </row>
    <row r="630" spans="1:3" x14ac:dyDescent="0.2">
      <c r="A630" s="75">
        <v>39022</v>
      </c>
      <c r="B630">
        <v>5.25</v>
      </c>
      <c r="C630">
        <v>5.25</v>
      </c>
    </row>
    <row r="631" spans="1:3" x14ac:dyDescent="0.2">
      <c r="A631" s="75">
        <v>39052</v>
      </c>
      <c r="B631">
        <v>5.25</v>
      </c>
      <c r="C631">
        <v>5.24</v>
      </c>
    </row>
    <row r="632" spans="1:3" x14ac:dyDescent="0.2">
      <c r="A632" s="75">
        <v>39083</v>
      </c>
      <c r="B632">
        <v>5.25</v>
      </c>
      <c r="C632">
        <v>5.25</v>
      </c>
    </row>
    <row r="633" spans="1:3" x14ac:dyDescent="0.2">
      <c r="A633" s="75">
        <v>39114</v>
      </c>
      <c r="B633">
        <v>5.25</v>
      </c>
      <c r="C633">
        <v>5.26</v>
      </c>
    </row>
    <row r="634" spans="1:3" x14ac:dyDescent="0.2">
      <c r="A634" s="75">
        <v>39142</v>
      </c>
      <c r="B634">
        <v>5.25</v>
      </c>
      <c r="C634">
        <v>5.26</v>
      </c>
    </row>
    <row r="635" spans="1:3" x14ac:dyDescent="0.2">
      <c r="A635" s="75">
        <v>39173</v>
      </c>
      <c r="B635">
        <v>5.25</v>
      </c>
      <c r="C635">
        <v>5.25</v>
      </c>
    </row>
    <row r="636" spans="1:3" x14ac:dyDescent="0.2">
      <c r="A636" s="75">
        <v>39203</v>
      </c>
      <c r="B636">
        <v>5.25</v>
      </c>
      <c r="C636">
        <v>5.25</v>
      </c>
    </row>
    <row r="637" spans="1:3" x14ac:dyDescent="0.2">
      <c r="A637" s="75">
        <v>39234</v>
      </c>
      <c r="B637">
        <v>5.25</v>
      </c>
      <c r="C637">
        <v>5.25</v>
      </c>
    </row>
    <row r="638" spans="1:3" x14ac:dyDescent="0.2">
      <c r="A638" s="75">
        <v>39264</v>
      </c>
      <c r="B638">
        <v>5.25</v>
      </c>
      <c r="C638">
        <v>5.26</v>
      </c>
    </row>
    <row r="639" spans="1:3" x14ac:dyDescent="0.2">
      <c r="A639" s="75">
        <v>39295</v>
      </c>
      <c r="B639">
        <v>5.25</v>
      </c>
      <c r="C639">
        <v>5.0199999999999996</v>
      </c>
    </row>
    <row r="640" spans="1:3" x14ac:dyDescent="0.2">
      <c r="A640" s="75">
        <v>39326</v>
      </c>
      <c r="B640">
        <v>4.75</v>
      </c>
      <c r="C640">
        <v>4.9400000000000004</v>
      </c>
    </row>
    <row r="641" spans="1:3" x14ac:dyDescent="0.2">
      <c r="A641" s="75">
        <v>39356</v>
      </c>
      <c r="B641">
        <v>4.5</v>
      </c>
      <c r="C641">
        <v>4.76</v>
      </c>
    </row>
    <row r="642" spans="1:3" x14ac:dyDescent="0.2">
      <c r="A642" s="75">
        <v>39387</v>
      </c>
      <c r="B642">
        <v>4.5</v>
      </c>
      <c r="C642">
        <v>4.49</v>
      </c>
    </row>
    <row r="643" spans="1:3" x14ac:dyDescent="0.2">
      <c r="A643" s="75">
        <v>39417</v>
      </c>
      <c r="B643">
        <v>4.25</v>
      </c>
      <c r="C643">
        <v>4.24</v>
      </c>
    </row>
    <row r="644" spans="1:3" x14ac:dyDescent="0.2">
      <c r="A644" s="75">
        <v>39448</v>
      </c>
      <c r="B644">
        <v>3</v>
      </c>
      <c r="C644">
        <v>3.94</v>
      </c>
    </row>
    <row r="645" spans="1:3" x14ac:dyDescent="0.2">
      <c r="A645" s="75">
        <v>39479</v>
      </c>
      <c r="B645">
        <v>3</v>
      </c>
      <c r="C645">
        <v>2.98</v>
      </c>
    </row>
    <row r="646" spans="1:3" x14ac:dyDescent="0.2">
      <c r="A646" s="75">
        <v>39508</v>
      </c>
      <c r="B646">
        <v>2.25</v>
      </c>
      <c r="C646">
        <v>2.61</v>
      </c>
    </row>
    <row r="647" spans="1:3" x14ac:dyDescent="0.2">
      <c r="A647" s="75">
        <v>39539</v>
      </c>
      <c r="B647">
        <v>2</v>
      </c>
      <c r="C647">
        <v>2.2799999999999998</v>
      </c>
    </row>
    <row r="648" spans="1:3" x14ac:dyDescent="0.2">
      <c r="A648" s="75">
        <v>39569</v>
      </c>
      <c r="B648">
        <v>2</v>
      </c>
      <c r="C648">
        <v>1.98</v>
      </c>
    </row>
    <row r="649" spans="1:3" x14ac:dyDescent="0.2">
      <c r="A649" s="75">
        <v>39600</v>
      </c>
      <c r="B649">
        <v>2</v>
      </c>
      <c r="C649">
        <v>2</v>
      </c>
    </row>
    <row r="650" spans="1:3" x14ac:dyDescent="0.2">
      <c r="A650" s="75">
        <v>39630</v>
      </c>
      <c r="B650">
        <v>2</v>
      </c>
      <c r="C650">
        <v>2.0099999999999998</v>
      </c>
    </row>
    <row r="651" spans="1:3" x14ac:dyDescent="0.2">
      <c r="A651" s="75">
        <v>39661</v>
      </c>
      <c r="B651">
        <v>2</v>
      </c>
      <c r="C651">
        <v>2</v>
      </c>
    </row>
    <row r="652" spans="1:3" x14ac:dyDescent="0.2">
      <c r="A652" s="75">
        <v>39692</v>
      </c>
      <c r="B652">
        <v>2</v>
      </c>
      <c r="C652">
        <v>1.81</v>
      </c>
    </row>
    <row r="653" spans="1:3" x14ac:dyDescent="0.2">
      <c r="A653" s="75">
        <v>39722</v>
      </c>
      <c r="B653">
        <v>1</v>
      </c>
      <c r="C653">
        <v>0.97</v>
      </c>
    </row>
    <row r="654" spans="1:3" x14ac:dyDescent="0.2">
      <c r="A654" s="75">
        <v>39753</v>
      </c>
      <c r="B654">
        <v>1</v>
      </c>
      <c r="C654">
        <v>0.39</v>
      </c>
    </row>
    <row r="655" spans="1:3" x14ac:dyDescent="0.2">
      <c r="A655" s="75">
        <v>39783</v>
      </c>
      <c r="B655">
        <v>0.25</v>
      </c>
      <c r="C655">
        <v>0.16</v>
      </c>
    </row>
    <row r="656" spans="1:3" x14ac:dyDescent="0.2">
      <c r="A656" s="75">
        <v>39814</v>
      </c>
      <c r="B656">
        <v>0.25</v>
      </c>
      <c r="C656">
        <v>0.15</v>
      </c>
    </row>
    <row r="657" spans="1:3" x14ac:dyDescent="0.2">
      <c r="A657" s="75">
        <v>39845</v>
      </c>
      <c r="B657">
        <v>0.25</v>
      </c>
      <c r="C657">
        <v>0.22</v>
      </c>
    </row>
    <row r="658" spans="1:3" x14ac:dyDescent="0.2">
      <c r="A658" s="75">
        <v>39873</v>
      </c>
      <c r="B658">
        <v>0.25</v>
      </c>
      <c r="C658">
        <v>0.18</v>
      </c>
    </row>
    <row r="659" spans="1:3" x14ac:dyDescent="0.2">
      <c r="A659" s="75">
        <v>39904</v>
      </c>
      <c r="B659">
        <v>0.25</v>
      </c>
      <c r="C659">
        <v>0.15</v>
      </c>
    </row>
    <row r="660" spans="1:3" x14ac:dyDescent="0.2">
      <c r="A660" s="75">
        <v>39934</v>
      </c>
      <c r="B660">
        <v>0.25</v>
      </c>
      <c r="C660">
        <v>0.18</v>
      </c>
    </row>
    <row r="661" spans="1:3" x14ac:dyDescent="0.2">
      <c r="A661" s="75">
        <v>39965</v>
      </c>
      <c r="B661">
        <v>0.25</v>
      </c>
      <c r="C661">
        <v>0.21</v>
      </c>
    </row>
    <row r="662" spans="1:3" x14ac:dyDescent="0.2">
      <c r="A662" s="75">
        <v>39995</v>
      </c>
      <c r="B662">
        <v>0.25</v>
      </c>
      <c r="C662">
        <v>0.16</v>
      </c>
    </row>
    <row r="663" spans="1:3" x14ac:dyDescent="0.2">
      <c r="A663" s="75">
        <v>40026</v>
      </c>
      <c r="B663">
        <v>0.25</v>
      </c>
      <c r="C663">
        <v>0.16</v>
      </c>
    </row>
    <row r="664" spans="1:3" x14ac:dyDescent="0.2">
      <c r="A664" s="75">
        <v>40057</v>
      </c>
      <c r="B664">
        <v>0.25</v>
      </c>
      <c r="C664">
        <v>0.15</v>
      </c>
    </row>
    <row r="665" spans="1:3" x14ac:dyDescent="0.2">
      <c r="A665" s="75">
        <v>40087</v>
      </c>
      <c r="B665">
        <v>0.25</v>
      </c>
      <c r="C665">
        <v>0.12</v>
      </c>
    </row>
    <row r="666" spans="1:3" x14ac:dyDescent="0.2">
      <c r="A666" s="75">
        <v>40118</v>
      </c>
      <c r="B666">
        <v>0.25</v>
      </c>
      <c r="C666">
        <v>0.12</v>
      </c>
    </row>
    <row r="667" spans="1:3" x14ac:dyDescent="0.2">
      <c r="A667" s="75">
        <v>40148</v>
      </c>
      <c r="B667">
        <v>0.25</v>
      </c>
      <c r="C667">
        <v>0.12</v>
      </c>
    </row>
    <row r="668" spans="1:3" x14ac:dyDescent="0.2">
      <c r="A668" s="75">
        <v>40179</v>
      </c>
      <c r="B668">
        <v>0.25</v>
      </c>
      <c r="C668">
        <v>0.11</v>
      </c>
    </row>
    <row r="669" spans="1:3" x14ac:dyDescent="0.2">
      <c r="A669" s="75">
        <v>40210</v>
      </c>
      <c r="B669">
        <v>0.25</v>
      </c>
      <c r="C669">
        <v>0.13</v>
      </c>
    </row>
    <row r="670" spans="1:3" x14ac:dyDescent="0.2">
      <c r="A670" s="75">
        <v>40238</v>
      </c>
      <c r="B670">
        <v>0.25</v>
      </c>
      <c r="C670">
        <v>0.16</v>
      </c>
    </row>
    <row r="671" spans="1:3" x14ac:dyDescent="0.2">
      <c r="A671" s="75">
        <v>40269</v>
      </c>
      <c r="B671">
        <v>0.25</v>
      </c>
      <c r="C671">
        <v>0.2</v>
      </c>
    </row>
    <row r="672" spans="1:3" x14ac:dyDescent="0.2">
      <c r="A672" s="75">
        <v>40299</v>
      </c>
      <c r="B672">
        <v>0.25</v>
      </c>
      <c r="C672">
        <v>0.2</v>
      </c>
    </row>
    <row r="673" spans="1:3" x14ac:dyDescent="0.2">
      <c r="A673" s="75">
        <v>40330</v>
      </c>
      <c r="B673">
        <v>0.25</v>
      </c>
      <c r="C673">
        <v>0.18</v>
      </c>
    </row>
    <row r="674" spans="1:3" x14ac:dyDescent="0.2">
      <c r="A674" s="75">
        <v>40360</v>
      </c>
      <c r="B674">
        <v>0.25</v>
      </c>
      <c r="C674">
        <v>0.18</v>
      </c>
    </row>
    <row r="675" spans="1:3" x14ac:dyDescent="0.2">
      <c r="A675" s="75">
        <v>40391</v>
      </c>
      <c r="B675">
        <v>0.25</v>
      </c>
      <c r="C675">
        <v>0.19</v>
      </c>
    </row>
    <row r="676" spans="1:3" x14ac:dyDescent="0.2">
      <c r="A676" s="75">
        <v>40422</v>
      </c>
      <c r="B676">
        <v>0.25</v>
      </c>
      <c r="C676">
        <v>0.19</v>
      </c>
    </row>
    <row r="677" spans="1:3" x14ac:dyDescent="0.2">
      <c r="A677" s="75">
        <v>40452</v>
      </c>
      <c r="B677">
        <v>0.25</v>
      </c>
      <c r="C677">
        <v>0.19</v>
      </c>
    </row>
    <row r="678" spans="1:3" x14ac:dyDescent="0.2">
      <c r="A678" s="75">
        <v>40483</v>
      </c>
      <c r="B678">
        <v>0.25</v>
      </c>
      <c r="C678">
        <v>0.19</v>
      </c>
    </row>
    <row r="679" spans="1:3" x14ac:dyDescent="0.2">
      <c r="A679" s="75">
        <v>40513</v>
      </c>
      <c r="B679">
        <v>0.25</v>
      </c>
      <c r="C679">
        <v>0.18</v>
      </c>
    </row>
    <row r="680" spans="1:3" x14ac:dyDescent="0.2">
      <c r="A680" s="75">
        <v>40544</v>
      </c>
      <c r="B680">
        <v>0.25</v>
      </c>
      <c r="C680">
        <v>0.17</v>
      </c>
    </row>
    <row r="681" spans="1:3" x14ac:dyDescent="0.2">
      <c r="A681" s="75">
        <v>40575</v>
      </c>
      <c r="B681">
        <v>0.25</v>
      </c>
      <c r="C681">
        <v>0.16</v>
      </c>
    </row>
    <row r="682" spans="1:3" x14ac:dyDescent="0.2">
      <c r="A682" s="75">
        <v>40603</v>
      </c>
      <c r="B682">
        <v>0.25</v>
      </c>
      <c r="C682">
        <v>0.14000000000000001</v>
      </c>
    </row>
    <row r="683" spans="1:3" x14ac:dyDescent="0.2">
      <c r="A683" s="75">
        <v>40634</v>
      </c>
      <c r="B683">
        <v>0.25</v>
      </c>
      <c r="C683">
        <v>0.1</v>
      </c>
    </row>
    <row r="684" spans="1:3" x14ac:dyDescent="0.2">
      <c r="A684" s="75">
        <v>40664</v>
      </c>
      <c r="B684">
        <v>0.25</v>
      </c>
      <c r="C684">
        <v>0.09</v>
      </c>
    </row>
    <row r="685" spans="1:3" x14ac:dyDescent="0.2">
      <c r="A685" s="75">
        <v>40695</v>
      </c>
      <c r="B685">
        <v>0.25</v>
      </c>
      <c r="C685">
        <v>0.09</v>
      </c>
    </row>
    <row r="686" spans="1:3" x14ac:dyDescent="0.2">
      <c r="A686" s="75">
        <v>40725</v>
      </c>
      <c r="B686">
        <v>0.25</v>
      </c>
      <c r="C686">
        <v>7.0000000000000007E-2</v>
      </c>
    </row>
    <row r="687" spans="1:3" x14ac:dyDescent="0.2">
      <c r="A687" s="75">
        <v>40756</v>
      </c>
      <c r="B687">
        <v>0.25</v>
      </c>
      <c r="C687">
        <v>0.1</v>
      </c>
    </row>
    <row r="688" spans="1:3" x14ac:dyDescent="0.2">
      <c r="A688" s="75">
        <v>40787</v>
      </c>
      <c r="B688">
        <v>0.25</v>
      </c>
      <c r="C688">
        <v>0.08</v>
      </c>
    </row>
    <row r="689" spans="1:3" x14ac:dyDescent="0.2">
      <c r="A689" s="75">
        <v>40817</v>
      </c>
      <c r="B689">
        <v>0.25</v>
      </c>
      <c r="C689">
        <v>7.0000000000000007E-2</v>
      </c>
    </row>
    <row r="690" spans="1:3" x14ac:dyDescent="0.2">
      <c r="A690" s="75">
        <v>40848</v>
      </c>
      <c r="B690">
        <v>0.25</v>
      </c>
      <c r="C690">
        <v>0.08</v>
      </c>
    </row>
    <row r="691" spans="1:3" x14ac:dyDescent="0.2">
      <c r="A691" s="75">
        <v>40878</v>
      </c>
      <c r="B691">
        <v>0.25</v>
      </c>
      <c r="C691">
        <v>7.0000000000000007E-2</v>
      </c>
    </row>
    <row r="692" spans="1:3" x14ac:dyDescent="0.2">
      <c r="A692" s="75">
        <v>40909</v>
      </c>
      <c r="B692">
        <v>0.25</v>
      </c>
      <c r="C692">
        <v>0.08</v>
      </c>
    </row>
    <row r="693" spans="1:3" x14ac:dyDescent="0.2">
      <c r="A693" s="75">
        <v>40940</v>
      </c>
      <c r="B693">
        <v>0.25</v>
      </c>
      <c r="C693">
        <v>0.1</v>
      </c>
    </row>
    <row r="694" spans="1:3" x14ac:dyDescent="0.2">
      <c r="A694" s="75">
        <v>40969</v>
      </c>
      <c r="B694">
        <v>0.25</v>
      </c>
      <c r="C694">
        <v>0.13</v>
      </c>
    </row>
    <row r="695" spans="1:3" x14ac:dyDescent="0.2">
      <c r="A695" s="75">
        <v>41000</v>
      </c>
      <c r="B695">
        <v>0.25</v>
      </c>
      <c r="C695">
        <v>0.14000000000000001</v>
      </c>
    </row>
    <row r="696" spans="1:3" x14ac:dyDescent="0.2">
      <c r="A696" s="75">
        <v>41030</v>
      </c>
      <c r="B696">
        <v>0.25</v>
      </c>
      <c r="C696">
        <v>0.16</v>
      </c>
    </row>
    <row r="697" spans="1:3" x14ac:dyDescent="0.2">
      <c r="A697" s="75">
        <v>41061</v>
      </c>
      <c r="B697">
        <v>0.25</v>
      </c>
      <c r="C697">
        <v>0.16</v>
      </c>
    </row>
    <row r="698" spans="1:3" x14ac:dyDescent="0.2">
      <c r="A698" s="75">
        <v>41091</v>
      </c>
      <c r="B698">
        <v>0.25</v>
      </c>
      <c r="C698">
        <v>0.16</v>
      </c>
    </row>
    <row r="699" spans="1:3" x14ac:dyDescent="0.2">
      <c r="A699" s="75">
        <v>41122</v>
      </c>
      <c r="B699">
        <v>0.25</v>
      </c>
      <c r="C699">
        <v>0.13</v>
      </c>
    </row>
    <row r="700" spans="1:3" x14ac:dyDescent="0.2">
      <c r="A700" s="75">
        <v>41153</v>
      </c>
      <c r="B700">
        <v>0.25</v>
      </c>
      <c r="C700">
        <v>0.14000000000000001</v>
      </c>
    </row>
    <row r="701" spans="1:3" x14ac:dyDescent="0.2">
      <c r="A701" s="75">
        <v>41183</v>
      </c>
      <c r="B701">
        <v>0.25</v>
      </c>
      <c r="C701">
        <v>0.16</v>
      </c>
    </row>
    <row r="702" spans="1:3" x14ac:dyDescent="0.2">
      <c r="A702" s="75">
        <v>41214</v>
      </c>
      <c r="B702">
        <v>0.25</v>
      </c>
      <c r="C702">
        <v>0.16</v>
      </c>
    </row>
    <row r="703" spans="1:3" x14ac:dyDescent="0.2">
      <c r="A703" s="75">
        <v>41244</v>
      </c>
      <c r="B703">
        <v>0.25</v>
      </c>
      <c r="C703">
        <v>0.16</v>
      </c>
    </row>
    <row r="704" spans="1:3" x14ac:dyDescent="0.2">
      <c r="A704" s="75">
        <v>41275</v>
      </c>
      <c r="B704">
        <v>0.25</v>
      </c>
      <c r="C704">
        <v>0.14000000000000001</v>
      </c>
    </row>
    <row r="705" spans="1:3" x14ac:dyDescent="0.2">
      <c r="A705" s="75">
        <v>41306</v>
      </c>
      <c r="B705">
        <v>0.25</v>
      </c>
      <c r="C705">
        <v>0.15</v>
      </c>
    </row>
    <row r="706" spans="1:3" x14ac:dyDescent="0.2">
      <c r="A706" s="75">
        <v>41334</v>
      </c>
      <c r="B706">
        <v>0.25</v>
      </c>
      <c r="C706">
        <v>0.14000000000000001</v>
      </c>
    </row>
    <row r="707" spans="1:3" x14ac:dyDescent="0.2">
      <c r="A707" s="75">
        <v>41365</v>
      </c>
      <c r="B707">
        <v>0.25</v>
      </c>
      <c r="C707">
        <v>0.15</v>
      </c>
    </row>
    <row r="708" spans="1:3" x14ac:dyDescent="0.2">
      <c r="A708" s="75">
        <v>41395</v>
      </c>
      <c r="B708">
        <v>0.25</v>
      </c>
      <c r="C708">
        <v>0.11</v>
      </c>
    </row>
    <row r="709" spans="1:3" x14ac:dyDescent="0.2">
      <c r="A709" s="75">
        <v>41426</v>
      </c>
      <c r="B709">
        <v>0.25</v>
      </c>
      <c r="C709">
        <v>0.09</v>
      </c>
    </row>
    <row r="710" spans="1:3" x14ac:dyDescent="0.2">
      <c r="A710" s="75">
        <v>41456</v>
      </c>
      <c r="B710">
        <v>0.25</v>
      </c>
      <c r="C710">
        <v>0.09</v>
      </c>
    </row>
    <row r="711" spans="1:3" x14ac:dyDescent="0.2">
      <c r="A711" s="75">
        <v>41487</v>
      </c>
      <c r="B711">
        <v>0.25</v>
      </c>
      <c r="C711">
        <v>0.08</v>
      </c>
    </row>
    <row r="712" spans="1:3" x14ac:dyDescent="0.2">
      <c r="A712" s="75">
        <v>41518</v>
      </c>
      <c r="B712">
        <v>0.25</v>
      </c>
      <c r="C712">
        <v>0.08</v>
      </c>
    </row>
    <row r="713" spans="1:3" x14ac:dyDescent="0.2">
      <c r="A713" s="75">
        <v>41548</v>
      </c>
      <c r="B713">
        <v>0.25</v>
      </c>
      <c r="C713">
        <v>0.09</v>
      </c>
    </row>
    <row r="714" spans="1:3" x14ac:dyDescent="0.2">
      <c r="A714" s="75">
        <v>41579</v>
      </c>
      <c r="B714">
        <v>0.25</v>
      </c>
      <c r="C714">
        <v>0.08</v>
      </c>
    </row>
    <row r="715" spans="1:3" x14ac:dyDescent="0.2">
      <c r="A715" s="75">
        <v>41609</v>
      </c>
      <c r="B715">
        <v>0.25</v>
      </c>
      <c r="C715">
        <v>0.09</v>
      </c>
    </row>
    <row r="716" spans="1:3" x14ac:dyDescent="0.2">
      <c r="A716" s="75">
        <v>41640</v>
      </c>
      <c r="B716">
        <v>0.25</v>
      </c>
      <c r="C716">
        <v>7.0000000000000007E-2</v>
      </c>
    </row>
    <row r="717" spans="1:3" x14ac:dyDescent="0.2">
      <c r="A717" s="75">
        <v>41671</v>
      </c>
      <c r="B717">
        <v>0.25</v>
      </c>
      <c r="C717">
        <v>7.0000000000000007E-2</v>
      </c>
    </row>
    <row r="718" spans="1:3" x14ac:dyDescent="0.2">
      <c r="A718" s="75">
        <v>41699</v>
      </c>
      <c r="B718">
        <v>0.25</v>
      </c>
      <c r="C718">
        <v>0.08</v>
      </c>
    </row>
    <row r="719" spans="1:3" x14ac:dyDescent="0.2">
      <c r="A719" s="75">
        <v>41730</v>
      </c>
      <c r="B719">
        <v>0.25</v>
      </c>
      <c r="C719">
        <v>0.09</v>
      </c>
    </row>
    <row r="720" spans="1:3" x14ac:dyDescent="0.2">
      <c r="A720" s="75">
        <v>41760</v>
      </c>
      <c r="B720">
        <v>0.25</v>
      </c>
      <c r="C720">
        <v>0.09</v>
      </c>
    </row>
    <row r="721" spans="1:3" x14ac:dyDescent="0.2">
      <c r="A721" s="75">
        <v>41791</v>
      </c>
      <c r="B721">
        <v>0.25</v>
      </c>
      <c r="C721">
        <v>0.1</v>
      </c>
    </row>
    <row r="722" spans="1:3" x14ac:dyDescent="0.2">
      <c r="A722" s="75">
        <v>41821</v>
      </c>
      <c r="B722">
        <v>0.25</v>
      </c>
      <c r="C722">
        <v>0.09</v>
      </c>
    </row>
    <row r="723" spans="1:3" x14ac:dyDescent="0.2">
      <c r="A723" s="75">
        <v>41852</v>
      </c>
      <c r="B723">
        <v>0.25</v>
      </c>
      <c r="C723">
        <v>0.09</v>
      </c>
    </row>
    <row r="724" spans="1:3" x14ac:dyDescent="0.2">
      <c r="A724" s="75">
        <v>41883</v>
      </c>
      <c r="B724">
        <v>0.25</v>
      </c>
      <c r="C724">
        <v>0.09</v>
      </c>
    </row>
    <row r="725" spans="1:3" x14ac:dyDescent="0.2">
      <c r="A725" s="75">
        <v>41913</v>
      </c>
      <c r="B725">
        <v>0.25</v>
      </c>
      <c r="C725">
        <v>0.09</v>
      </c>
    </row>
    <row r="726" spans="1:3" x14ac:dyDescent="0.2">
      <c r="A726" s="75">
        <v>41944</v>
      </c>
      <c r="B726">
        <v>0.25</v>
      </c>
      <c r="C726">
        <v>0.09</v>
      </c>
    </row>
    <row r="727" spans="1:3" x14ac:dyDescent="0.2">
      <c r="A727" s="75">
        <v>41974</v>
      </c>
      <c r="B727">
        <v>0.25</v>
      </c>
      <c r="C727">
        <v>0.12</v>
      </c>
    </row>
    <row r="728" spans="1:3" x14ac:dyDescent="0.2">
      <c r="A728" s="75">
        <v>42005</v>
      </c>
      <c r="B728">
        <v>0.25</v>
      </c>
      <c r="C728">
        <v>0.11</v>
      </c>
    </row>
    <row r="729" spans="1:3" x14ac:dyDescent="0.2">
      <c r="A729" s="75">
        <v>42036</v>
      </c>
      <c r="B729">
        <v>0.25</v>
      </c>
      <c r="C729">
        <v>0.11</v>
      </c>
    </row>
    <row r="730" spans="1:3" x14ac:dyDescent="0.2">
      <c r="A730" s="75">
        <v>42064</v>
      </c>
      <c r="B730">
        <v>0.25</v>
      </c>
      <c r="C730">
        <v>0.11</v>
      </c>
    </row>
    <row r="731" spans="1:3" x14ac:dyDescent="0.2">
      <c r="A731" s="75">
        <v>42095</v>
      </c>
      <c r="B731">
        <v>0.25</v>
      </c>
      <c r="C731">
        <v>0.12</v>
      </c>
    </row>
    <row r="732" spans="1:3" x14ac:dyDescent="0.2">
      <c r="A732" s="75">
        <v>42125</v>
      </c>
      <c r="B732">
        <v>0.25</v>
      </c>
      <c r="C732">
        <v>0.12</v>
      </c>
    </row>
    <row r="733" spans="1:3" x14ac:dyDescent="0.2">
      <c r="A733" s="75">
        <v>42156</v>
      </c>
      <c r="B733">
        <v>0.25</v>
      </c>
      <c r="C733">
        <v>0.13</v>
      </c>
    </row>
    <row r="734" spans="1:3" x14ac:dyDescent="0.2">
      <c r="A734" s="75">
        <v>42186</v>
      </c>
      <c r="B734">
        <v>0.25</v>
      </c>
      <c r="C734">
        <v>0.13</v>
      </c>
    </row>
    <row r="735" spans="1:3" x14ac:dyDescent="0.2">
      <c r="A735" s="75">
        <v>42217</v>
      </c>
      <c r="B735">
        <v>0.25</v>
      </c>
      <c r="C735">
        <v>0.14000000000000001</v>
      </c>
    </row>
    <row r="736" spans="1:3" x14ac:dyDescent="0.2">
      <c r="A736" s="75">
        <v>42248</v>
      </c>
      <c r="B736">
        <v>0.25</v>
      </c>
      <c r="C736">
        <v>0.14000000000000001</v>
      </c>
    </row>
    <row r="737" spans="1:3" x14ac:dyDescent="0.2">
      <c r="A737" s="75">
        <v>42278</v>
      </c>
      <c r="B737">
        <v>0.25</v>
      </c>
      <c r="C737">
        <v>0.12</v>
      </c>
    </row>
    <row r="738" spans="1:3" x14ac:dyDescent="0.2">
      <c r="A738" s="75">
        <v>42309</v>
      </c>
      <c r="B738">
        <v>0.25</v>
      </c>
      <c r="C738">
        <v>0.12</v>
      </c>
    </row>
    <row r="739" spans="1:3" x14ac:dyDescent="0.2">
      <c r="A739" s="75">
        <v>42339</v>
      </c>
      <c r="B739">
        <v>0.5</v>
      </c>
      <c r="C739">
        <v>0.24</v>
      </c>
    </row>
    <row r="740" spans="1:3" x14ac:dyDescent="0.2">
      <c r="A740" s="75">
        <v>42370</v>
      </c>
      <c r="B740">
        <v>0.5</v>
      </c>
      <c r="C740">
        <v>0.34</v>
      </c>
    </row>
    <row r="741" spans="1:3" x14ac:dyDescent="0.2">
      <c r="A741" s="75">
        <v>42401</v>
      </c>
      <c r="B741">
        <v>0.5</v>
      </c>
      <c r="C741">
        <v>0.38</v>
      </c>
    </row>
    <row r="742" spans="1:3" x14ac:dyDescent="0.2">
      <c r="A742" s="75">
        <v>42430</v>
      </c>
      <c r="B742">
        <v>0.5</v>
      </c>
      <c r="C742">
        <v>0.36</v>
      </c>
    </row>
    <row r="743" spans="1:3" x14ac:dyDescent="0.2">
      <c r="A743" s="75">
        <v>42461</v>
      </c>
      <c r="B743">
        <v>0.5</v>
      </c>
      <c r="C743">
        <v>0.37</v>
      </c>
    </row>
    <row r="744" spans="1:3" x14ac:dyDescent="0.2">
      <c r="A744" s="75">
        <v>42491</v>
      </c>
      <c r="B744">
        <v>0.5</v>
      </c>
      <c r="C744">
        <v>0.37</v>
      </c>
    </row>
    <row r="745" spans="1:3" x14ac:dyDescent="0.2">
      <c r="A745" s="75">
        <v>42522</v>
      </c>
      <c r="B745">
        <v>0.5</v>
      </c>
      <c r="C745">
        <v>0.38</v>
      </c>
    </row>
    <row r="746" spans="1:3" x14ac:dyDescent="0.2">
      <c r="A746" s="75">
        <v>42552</v>
      </c>
      <c r="B746">
        <v>0.5</v>
      </c>
      <c r="C746">
        <v>0.39</v>
      </c>
    </row>
    <row r="747" spans="1:3" x14ac:dyDescent="0.2">
      <c r="A747" s="75">
        <v>42583</v>
      </c>
      <c r="B747">
        <v>0.5</v>
      </c>
      <c r="C747">
        <v>0.4</v>
      </c>
    </row>
    <row r="748" spans="1:3" x14ac:dyDescent="0.2">
      <c r="A748" s="75">
        <v>42614</v>
      </c>
      <c r="B748">
        <v>0.5</v>
      </c>
      <c r="C748">
        <v>0.4</v>
      </c>
    </row>
    <row r="749" spans="1:3" x14ac:dyDescent="0.2">
      <c r="A749" s="75">
        <v>42644</v>
      </c>
      <c r="B749">
        <v>0.5</v>
      </c>
      <c r="C749">
        <v>0.4</v>
      </c>
    </row>
    <row r="750" spans="1:3" x14ac:dyDescent="0.2">
      <c r="A750" s="75">
        <v>42675</v>
      </c>
      <c r="B750">
        <v>0.5</v>
      </c>
      <c r="C750">
        <v>0.41</v>
      </c>
    </row>
    <row r="751" spans="1:3" x14ac:dyDescent="0.2">
      <c r="A751" s="75">
        <v>42705</v>
      </c>
      <c r="B751">
        <v>0.75</v>
      </c>
      <c r="C751">
        <v>0.54</v>
      </c>
    </row>
    <row r="752" spans="1:3" x14ac:dyDescent="0.2">
      <c r="A752" s="75">
        <v>42736</v>
      </c>
      <c r="B752">
        <v>0.75</v>
      </c>
      <c r="C752">
        <v>0.65</v>
      </c>
    </row>
    <row r="753" spans="1:3" x14ac:dyDescent="0.2">
      <c r="A753" s="75">
        <v>42767</v>
      </c>
      <c r="B753">
        <v>0.75</v>
      </c>
      <c r="C753">
        <v>0.66</v>
      </c>
    </row>
    <row r="754" spans="1:3" x14ac:dyDescent="0.2">
      <c r="A754" s="75">
        <v>42795</v>
      </c>
      <c r="B754">
        <v>1</v>
      </c>
      <c r="C754">
        <v>0.79</v>
      </c>
    </row>
    <row r="755" spans="1:3" x14ac:dyDescent="0.2">
      <c r="A755" s="75">
        <v>42826</v>
      </c>
      <c r="B755">
        <v>1</v>
      </c>
      <c r="C755">
        <v>0.9</v>
      </c>
    </row>
    <row r="756" spans="1:3" x14ac:dyDescent="0.2">
      <c r="A756" s="75">
        <v>42856</v>
      </c>
      <c r="B756">
        <v>1</v>
      </c>
      <c r="C756">
        <v>0.91</v>
      </c>
    </row>
    <row r="757" spans="1:3" x14ac:dyDescent="0.2">
      <c r="A757" s="75">
        <v>42887</v>
      </c>
      <c r="B757">
        <v>1.25</v>
      </c>
      <c r="C757">
        <v>1.04</v>
      </c>
    </row>
    <row r="758" spans="1:3" x14ac:dyDescent="0.2">
      <c r="A758" s="75">
        <v>42917</v>
      </c>
      <c r="B758">
        <v>1.25</v>
      </c>
      <c r="C758">
        <v>1.1499999999999999</v>
      </c>
    </row>
    <row r="759" spans="1:3" x14ac:dyDescent="0.2">
      <c r="A759" s="75">
        <v>42948</v>
      </c>
      <c r="B759">
        <v>1.25</v>
      </c>
      <c r="C759">
        <v>1.1599999999999999</v>
      </c>
    </row>
    <row r="760" spans="1:3" x14ac:dyDescent="0.2">
      <c r="A760" s="75">
        <v>42979</v>
      </c>
      <c r="B760">
        <v>1.25</v>
      </c>
      <c r="C760">
        <v>1.1499999999999999</v>
      </c>
    </row>
    <row r="761" spans="1:3" x14ac:dyDescent="0.2">
      <c r="A761" s="75">
        <v>43009</v>
      </c>
      <c r="B761">
        <v>1.25</v>
      </c>
      <c r="C761">
        <v>1.1499999999999999</v>
      </c>
    </row>
    <row r="762" spans="1:3" x14ac:dyDescent="0.2">
      <c r="A762" s="75">
        <v>43040</v>
      </c>
      <c r="B762">
        <v>1.25</v>
      </c>
      <c r="C762">
        <v>1.1599999999999999</v>
      </c>
    </row>
    <row r="763" spans="1:3" x14ac:dyDescent="0.2">
      <c r="A763" s="75">
        <v>43070</v>
      </c>
      <c r="B763">
        <v>1.5</v>
      </c>
      <c r="C763">
        <v>1.3</v>
      </c>
    </row>
    <row r="764" spans="1:3" x14ac:dyDescent="0.2">
      <c r="A764" s="75">
        <v>43101</v>
      </c>
      <c r="B764">
        <v>1.5</v>
      </c>
      <c r="C764">
        <v>1.41</v>
      </c>
    </row>
    <row r="765" spans="1:3" x14ac:dyDescent="0.2">
      <c r="A765" s="75">
        <v>43132</v>
      </c>
      <c r="B765">
        <v>1.5</v>
      </c>
      <c r="C765">
        <v>1.42</v>
      </c>
    </row>
    <row r="766" spans="1:3" x14ac:dyDescent="0.2">
      <c r="A766" s="75">
        <v>43160</v>
      </c>
      <c r="B766">
        <v>1.75</v>
      </c>
      <c r="C766">
        <v>1.51</v>
      </c>
    </row>
    <row r="767" spans="1:3" x14ac:dyDescent="0.2">
      <c r="A767" s="75">
        <v>43191</v>
      </c>
      <c r="B767">
        <v>1.75</v>
      </c>
      <c r="C767">
        <v>1.69</v>
      </c>
    </row>
    <row r="768" spans="1:3" x14ac:dyDescent="0.2">
      <c r="A768" s="75">
        <v>43221</v>
      </c>
      <c r="B768">
        <v>1.75</v>
      </c>
      <c r="C768">
        <v>1.7</v>
      </c>
    </row>
    <row r="769" spans="1:3" x14ac:dyDescent="0.2">
      <c r="A769" s="75">
        <v>43252</v>
      </c>
      <c r="B769">
        <v>2</v>
      </c>
      <c r="C769">
        <v>1.82</v>
      </c>
    </row>
    <row r="770" spans="1:3" x14ac:dyDescent="0.2">
      <c r="A770" s="75">
        <v>43282</v>
      </c>
      <c r="B770">
        <v>2</v>
      </c>
      <c r="C770">
        <v>1.91</v>
      </c>
    </row>
    <row r="771" spans="1:3" x14ac:dyDescent="0.2">
      <c r="A771" s="75">
        <v>43313</v>
      </c>
      <c r="B771">
        <v>2</v>
      </c>
      <c r="C771">
        <v>1.91</v>
      </c>
    </row>
    <row r="772" spans="1:3" x14ac:dyDescent="0.2">
      <c r="A772" s="75">
        <v>43344</v>
      </c>
      <c r="B772">
        <v>2.25</v>
      </c>
      <c r="C772">
        <v>1.95</v>
      </c>
    </row>
    <row r="773" spans="1:3" x14ac:dyDescent="0.2">
      <c r="A773" s="75">
        <v>43374</v>
      </c>
      <c r="B773">
        <v>2.25</v>
      </c>
      <c r="C773">
        <v>2.19</v>
      </c>
    </row>
    <row r="774" spans="1:3" x14ac:dyDescent="0.2">
      <c r="A774" s="75">
        <v>43405</v>
      </c>
      <c r="B774">
        <v>2.25</v>
      </c>
      <c r="C774">
        <v>2.2000000000000002</v>
      </c>
    </row>
    <row r="775" spans="1:3" x14ac:dyDescent="0.2">
      <c r="A775" s="75">
        <v>43435</v>
      </c>
      <c r="B775">
        <v>2.5</v>
      </c>
      <c r="C775">
        <v>2.27</v>
      </c>
    </row>
    <row r="776" spans="1:3" x14ac:dyDescent="0.2">
      <c r="A776" s="75">
        <v>43466</v>
      </c>
      <c r="B776">
        <v>2.5</v>
      </c>
      <c r="C776">
        <v>2.4</v>
      </c>
    </row>
    <row r="777" spans="1:3" x14ac:dyDescent="0.2">
      <c r="A777" s="75">
        <v>43497</v>
      </c>
      <c r="B777">
        <v>2.5</v>
      </c>
      <c r="C777">
        <v>2.4</v>
      </c>
    </row>
    <row r="778" spans="1:3" x14ac:dyDescent="0.2">
      <c r="A778" s="75">
        <v>43525</v>
      </c>
      <c r="B778">
        <v>2.5</v>
      </c>
      <c r="C778">
        <v>2.41</v>
      </c>
    </row>
    <row r="779" spans="1:3" x14ac:dyDescent="0.2">
      <c r="A779" s="75">
        <v>43556</v>
      </c>
      <c r="B779">
        <v>2.5</v>
      </c>
      <c r="C779">
        <v>2.42</v>
      </c>
    </row>
    <row r="780" spans="1:3" x14ac:dyDescent="0.2">
      <c r="A780" s="75">
        <v>43586</v>
      </c>
      <c r="B780">
        <v>2.5</v>
      </c>
      <c r="C780">
        <v>2.39</v>
      </c>
    </row>
    <row r="781" spans="1:3" x14ac:dyDescent="0.2">
      <c r="A781" s="75">
        <v>43617</v>
      </c>
      <c r="B781">
        <v>2.5</v>
      </c>
      <c r="C781">
        <v>2.38</v>
      </c>
    </row>
    <row r="782" spans="1:3" x14ac:dyDescent="0.2">
      <c r="A782" s="75">
        <v>43647</v>
      </c>
      <c r="B782">
        <v>2.5</v>
      </c>
      <c r="C782">
        <v>2.4</v>
      </c>
    </row>
    <row r="783" spans="1:3" x14ac:dyDescent="0.2">
      <c r="A783" s="75">
        <v>43678</v>
      </c>
      <c r="B783">
        <v>2.25</v>
      </c>
      <c r="C783">
        <v>2.13</v>
      </c>
    </row>
    <row r="784" spans="1:3" x14ac:dyDescent="0.2">
      <c r="A784" s="75">
        <v>43709</v>
      </c>
      <c r="B784">
        <v>2</v>
      </c>
      <c r="C784">
        <v>2.04</v>
      </c>
    </row>
    <row r="785" spans="1:3" x14ac:dyDescent="0.2">
      <c r="A785" s="75">
        <v>43739</v>
      </c>
      <c r="B785">
        <v>1.75</v>
      </c>
      <c r="C785">
        <v>1.83</v>
      </c>
    </row>
    <row r="786" spans="1:3" x14ac:dyDescent="0.2">
      <c r="A786" s="75">
        <v>43770</v>
      </c>
      <c r="B786">
        <v>1.75</v>
      </c>
      <c r="C786">
        <v>1.55</v>
      </c>
    </row>
    <row r="787" spans="1:3" x14ac:dyDescent="0.2">
      <c r="A787" s="75">
        <v>43800</v>
      </c>
      <c r="B787">
        <v>1.75</v>
      </c>
      <c r="C787">
        <v>1.55</v>
      </c>
    </row>
    <row r="788" spans="1:3" x14ac:dyDescent="0.2">
      <c r="A788" s="75">
        <v>43831</v>
      </c>
      <c r="B788">
        <v>1.75</v>
      </c>
      <c r="C788">
        <v>1.55</v>
      </c>
    </row>
    <row r="789" spans="1:3" x14ac:dyDescent="0.2">
      <c r="A789" s="75">
        <v>43862</v>
      </c>
      <c r="B789">
        <v>1.75</v>
      </c>
      <c r="C789">
        <v>1.58</v>
      </c>
    </row>
    <row r="790" spans="1:3" x14ac:dyDescent="0.2">
      <c r="A790" s="75">
        <v>43891</v>
      </c>
      <c r="B790">
        <v>0.25</v>
      </c>
      <c r="C790">
        <v>0.65</v>
      </c>
    </row>
    <row r="791" spans="1:3" x14ac:dyDescent="0.2">
      <c r="A791" s="75">
        <v>43922</v>
      </c>
      <c r="B791">
        <v>0.25</v>
      </c>
      <c r="C791">
        <v>0.05</v>
      </c>
    </row>
    <row r="792" spans="1:3" x14ac:dyDescent="0.2">
      <c r="A792" s="75">
        <v>43952</v>
      </c>
      <c r="B792">
        <v>0.25</v>
      </c>
      <c r="C792">
        <v>0.05</v>
      </c>
    </row>
    <row r="793" spans="1:3" x14ac:dyDescent="0.2">
      <c r="A793" s="75">
        <v>43983</v>
      </c>
      <c r="B793">
        <v>0.25</v>
      </c>
      <c r="C793">
        <v>0.08</v>
      </c>
    </row>
    <row r="794" spans="1:3" x14ac:dyDescent="0.2">
      <c r="A794" s="75">
        <v>44013</v>
      </c>
      <c r="B794">
        <v>0.25</v>
      </c>
      <c r="C794">
        <v>0.09</v>
      </c>
    </row>
    <row r="795" spans="1:3" x14ac:dyDescent="0.2">
      <c r="A795" s="75">
        <v>44044</v>
      </c>
      <c r="B795">
        <v>0.25</v>
      </c>
      <c r="C795">
        <v>0.1</v>
      </c>
    </row>
    <row r="796" spans="1:3" x14ac:dyDescent="0.2">
      <c r="A796" s="75">
        <v>44075</v>
      </c>
      <c r="B796">
        <v>0.25</v>
      </c>
      <c r="C796">
        <v>0.09</v>
      </c>
    </row>
    <row r="797" spans="1:3" x14ac:dyDescent="0.2">
      <c r="A797" s="75">
        <v>44105</v>
      </c>
      <c r="B797">
        <v>0.25</v>
      </c>
      <c r="C797">
        <v>0.09</v>
      </c>
    </row>
    <row r="798" spans="1:3" x14ac:dyDescent="0.2">
      <c r="A798" s="75">
        <v>44136</v>
      </c>
      <c r="B798">
        <v>0.25</v>
      </c>
      <c r="C798">
        <v>0.09</v>
      </c>
    </row>
    <row r="799" spans="1:3" x14ac:dyDescent="0.2">
      <c r="A799" s="75">
        <v>44166</v>
      </c>
      <c r="B799">
        <v>0.25</v>
      </c>
      <c r="C799">
        <v>0.09</v>
      </c>
    </row>
    <row r="800" spans="1:3" x14ac:dyDescent="0.2">
      <c r="A800" s="75">
        <v>44197</v>
      </c>
      <c r="B800">
        <v>0.25</v>
      </c>
      <c r="C800">
        <v>0.09</v>
      </c>
    </row>
    <row r="801" spans="1:3" x14ac:dyDescent="0.2">
      <c r="A801" s="75">
        <v>44228</v>
      </c>
      <c r="B801">
        <v>0.25</v>
      </c>
      <c r="C801">
        <v>0.08</v>
      </c>
    </row>
    <row r="802" spans="1:3" x14ac:dyDescent="0.2">
      <c r="A802" s="75">
        <v>44256</v>
      </c>
      <c r="B802">
        <v>0.25</v>
      </c>
      <c r="C802">
        <v>7.0000000000000007E-2</v>
      </c>
    </row>
    <row r="803" spans="1:3" x14ac:dyDescent="0.2">
      <c r="A803" s="75">
        <v>44287</v>
      </c>
      <c r="B803">
        <v>0.25</v>
      </c>
      <c r="C803">
        <v>7.0000000000000007E-2</v>
      </c>
    </row>
    <row r="804" spans="1:3" x14ac:dyDescent="0.2">
      <c r="A804" s="75">
        <v>44317</v>
      </c>
      <c r="B804">
        <v>0.25</v>
      </c>
      <c r="C804">
        <v>0.06</v>
      </c>
    </row>
    <row r="805" spans="1:3" x14ac:dyDescent="0.2">
      <c r="A805" s="75">
        <v>44348</v>
      </c>
      <c r="B805">
        <v>0.25</v>
      </c>
      <c r="C805">
        <v>0.08</v>
      </c>
    </row>
    <row r="806" spans="1:3" x14ac:dyDescent="0.2">
      <c r="A806" s="75">
        <v>44378</v>
      </c>
      <c r="B806">
        <v>0.25</v>
      </c>
      <c r="C806">
        <v>0.1</v>
      </c>
    </row>
    <row r="807" spans="1:3" x14ac:dyDescent="0.2">
      <c r="A807" s="75">
        <v>44409</v>
      </c>
      <c r="B807">
        <v>0.25</v>
      </c>
      <c r="C807">
        <v>0.09</v>
      </c>
    </row>
    <row r="808" spans="1:3" x14ac:dyDescent="0.2">
      <c r="A808" s="75">
        <v>44440</v>
      </c>
      <c r="B808">
        <v>0.25</v>
      </c>
      <c r="C808">
        <v>0.08</v>
      </c>
    </row>
    <row r="809" spans="1:3" x14ac:dyDescent="0.2">
      <c r="A809" s="75">
        <v>44470</v>
      </c>
      <c r="B809">
        <v>0.25</v>
      </c>
      <c r="C809">
        <v>0.08</v>
      </c>
    </row>
    <row r="810" spans="1:3" x14ac:dyDescent="0.2">
      <c r="A810" s="75">
        <v>44501</v>
      </c>
      <c r="B810">
        <v>0.25</v>
      </c>
      <c r="C810">
        <v>0.08</v>
      </c>
    </row>
    <row r="811" spans="1:3" x14ac:dyDescent="0.2">
      <c r="A811" s="75">
        <v>44531</v>
      </c>
      <c r="B811">
        <v>0.25</v>
      </c>
      <c r="C811">
        <v>0.08</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3"/>
  <dimension ref="A1:LP1781"/>
  <sheetViews>
    <sheetView zoomScale="130" zoomScaleNormal="130" workbookViewId="0">
      <pane ySplit="4" topLeftCell="A871" activePane="bottomLeft" state="frozen"/>
      <selection pane="bottomLeft" activeCell="L916" sqref="L916"/>
    </sheetView>
  </sheetViews>
  <sheetFormatPr baseColWidth="10" defaultColWidth="8.83203125" defaultRowHeight="15" x14ac:dyDescent="0.2"/>
  <cols>
    <col min="1" max="1" width="7.6640625" style="1" customWidth="1"/>
    <col min="2" max="2" width="15.83203125" style="62" customWidth="1"/>
    <col min="3" max="3" width="18.1640625" style="1" customWidth="1"/>
    <col min="4" max="4" width="16.6640625" style="1" customWidth="1"/>
    <col min="5" max="5" width="11" style="4" customWidth="1"/>
    <col min="6" max="6" width="12.6640625" style="4" customWidth="1"/>
    <col min="7" max="26" width="9.1640625" style="74" customWidth="1"/>
    <col min="27" max="30" width="7.6640625" style="74" customWidth="1"/>
    <col min="31" max="328" width="9.1640625" style="74" customWidth="1"/>
  </cols>
  <sheetData>
    <row r="1" spans="1:11" s="74" customFormat="1" x14ac:dyDescent="0.2">
      <c r="A1" s="7" t="s">
        <v>13</v>
      </c>
      <c r="B1" s="63" t="s">
        <v>14</v>
      </c>
      <c r="C1" s="2"/>
      <c r="D1" s="2"/>
      <c r="E1" s="5"/>
      <c r="F1" s="5"/>
    </row>
    <row r="2" spans="1:11" s="74" customFormat="1" x14ac:dyDescent="0.2">
      <c r="A2" s="2"/>
      <c r="B2" s="64"/>
      <c r="C2" s="2"/>
      <c r="D2" s="2"/>
      <c r="E2" s="5"/>
      <c r="F2" s="5"/>
    </row>
    <row r="3" spans="1:11" s="74" customFormat="1" ht="16" customHeight="1" thickBot="1" x14ac:dyDescent="0.25">
      <c r="A3" s="8"/>
      <c r="B3" s="64"/>
      <c r="C3" s="2"/>
      <c r="D3" s="2"/>
      <c r="E3" s="5"/>
      <c r="F3" s="5"/>
    </row>
    <row r="4" spans="1:11" ht="39" customHeight="1" thickBot="1" x14ac:dyDescent="0.25">
      <c r="A4" s="22" t="s">
        <v>28</v>
      </c>
      <c r="B4" s="65" t="s">
        <v>29</v>
      </c>
      <c r="C4" s="20" t="s">
        <v>30</v>
      </c>
      <c r="D4" s="20" t="s">
        <v>31</v>
      </c>
      <c r="E4" s="20" t="s">
        <v>32</v>
      </c>
      <c r="F4" s="21" t="s">
        <v>26</v>
      </c>
    </row>
    <row r="5" spans="1:11" x14ac:dyDescent="0.2">
      <c r="A5" s="66">
        <v>17168</v>
      </c>
      <c r="B5" s="67">
        <f>VLOOKUP(Table2[[#This Row],[Date]],Database!A:E,2,)</f>
        <v>21.48</v>
      </c>
      <c r="C5" s="17"/>
      <c r="D5" s="17"/>
      <c r="E5" s="23" t="e">
        <f>VLOOKUP(Table2[[#This Row],[Date]],'Fed Fund New'!$A:$C,2,FALSE)</f>
        <v>#N/A</v>
      </c>
      <c r="F5" s="23" t="e">
        <f>VLOOKUP(Table2[[#This Row],[Date]],'Fed Fund New'!$A:$C,3,FALSE)</f>
        <v>#N/A</v>
      </c>
    </row>
    <row r="6" spans="1:11" x14ac:dyDescent="0.2">
      <c r="A6" s="61">
        <v>17199</v>
      </c>
      <c r="B6" s="68">
        <f>VLOOKUP(Table2[[#This Row],[Date]],Database!A:E,2,)</f>
        <v>21.62</v>
      </c>
      <c r="C6" s="14">
        <f t="shared" ref="C6:C69" si="0">(B6-B5)/B5</f>
        <v>6.5176908752328008E-3</v>
      </c>
      <c r="D6" s="14"/>
      <c r="E6" s="15" t="e">
        <f>VLOOKUP(Table2[[#This Row],[Date]],'Fed Fund New'!$A:$C,2,FALSE)</f>
        <v>#N/A</v>
      </c>
      <c r="F6" s="15" t="e">
        <f>VLOOKUP(Table2[[#This Row],[Date]],'Fed Fund New'!$A:$C,3,FALSE)</f>
        <v>#N/A</v>
      </c>
      <c r="K6" s="6">
        <f>AVERAGE(C6:C873)</f>
        <v>2.8620293540562941E-3</v>
      </c>
    </row>
    <row r="7" spans="1:11" x14ac:dyDescent="0.2">
      <c r="A7" s="61">
        <v>17227</v>
      </c>
      <c r="B7" s="68">
        <f>VLOOKUP(Table2[[#This Row],[Date]],Database!A:E,2,)</f>
        <v>22</v>
      </c>
      <c r="C7" s="14">
        <f t="shared" si="0"/>
        <v>1.7576318223866742E-2</v>
      </c>
      <c r="D7" s="14"/>
      <c r="E7" s="15" t="e">
        <f>VLOOKUP(Table2[[#This Row],[Date]],'Fed Fund New'!$A:$C,2,FALSE)</f>
        <v>#N/A</v>
      </c>
      <c r="F7" s="15" t="e">
        <f>VLOOKUP(Table2[[#This Row],[Date]],'Fed Fund New'!$A:$C,3,FALSE)</f>
        <v>#N/A</v>
      </c>
      <c r="K7" s="6">
        <f>AVERAGE(D17:D873)</f>
        <v>3.4973331609298837E-2</v>
      </c>
    </row>
    <row r="8" spans="1:11" x14ac:dyDescent="0.2">
      <c r="A8" s="61">
        <v>17258</v>
      </c>
      <c r="B8" s="68">
        <f>VLOOKUP(Table2[[#This Row],[Date]],Database!A:E,2,)</f>
        <v>22</v>
      </c>
      <c r="C8" s="14">
        <f t="shared" si="0"/>
        <v>0</v>
      </c>
      <c r="D8" s="14"/>
      <c r="E8" s="15" t="e">
        <f>VLOOKUP(Table2[[#This Row],[Date]],'Fed Fund New'!$A:$C,2,FALSE)</f>
        <v>#N/A</v>
      </c>
      <c r="F8" s="15" t="e">
        <f>VLOOKUP(Table2[[#This Row],[Date]],'Fed Fund New'!$A:$C,3,FALSE)</f>
        <v>#N/A</v>
      </c>
    </row>
    <row r="9" spans="1:11" x14ac:dyDescent="0.2">
      <c r="A9" s="61">
        <v>17288</v>
      </c>
      <c r="B9" s="68">
        <f>VLOOKUP(Table2[[#This Row],[Date]],Database!A:E,2,)</f>
        <v>21.95</v>
      </c>
      <c r="C9" s="14">
        <f t="shared" si="0"/>
        <v>-2.2727272727273051E-3</v>
      </c>
      <c r="D9" s="14"/>
      <c r="E9" s="15" t="e">
        <f>VLOOKUP(Table2[[#This Row],[Date]],'Fed Fund New'!$A:$C,2,FALSE)</f>
        <v>#N/A</v>
      </c>
      <c r="F9" s="15" t="e">
        <f>VLOOKUP(Table2[[#This Row],[Date]],'Fed Fund New'!$A:$C,3,FALSE)</f>
        <v>#N/A</v>
      </c>
    </row>
    <row r="10" spans="1:11" x14ac:dyDescent="0.2">
      <c r="A10" s="61">
        <v>17319</v>
      </c>
      <c r="B10" s="68">
        <f>VLOOKUP(Table2[[#This Row],[Date]],Database!A:E,2,)</f>
        <v>22.08</v>
      </c>
      <c r="C10" s="14">
        <f t="shared" si="0"/>
        <v>5.9225512528473349E-3</v>
      </c>
      <c r="D10" s="14"/>
      <c r="E10" s="15" t="e">
        <f>VLOOKUP(Table2[[#This Row],[Date]],'Fed Fund New'!$A:$C,2,FALSE)</f>
        <v>#N/A</v>
      </c>
      <c r="F10" s="15" t="e">
        <f>VLOOKUP(Table2[[#This Row],[Date]],'Fed Fund New'!$A:$C,3,FALSE)</f>
        <v>#N/A</v>
      </c>
    </row>
    <row r="11" spans="1:11" x14ac:dyDescent="0.2">
      <c r="A11" s="61">
        <v>17349</v>
      </c>
      <c r="B11" s="68">
        <f>VLOOKUP(Table2[[#This Row],[Date]],Database!A:E,2,)</f>
        <v>22.23</v>
      </c>
      <c r="C11" s="14">
        <f t="shared" si="0"/>
        <v>6.7934782608696622E-3</v>
      </c>
      <c r="D11" s="14"/>
      <c r="E11" s="15" t="e">
        <f>VLOOKUP(Table2[[#This Row],[Date]],'Fed Fund New'!$A:$C,2,FALSE)</f>
        <v>#N/A</v>
      </c>
      <c r="F11" s="15" t="e">
        <f>VLOOKUP(Table2[[#This Row],[Date]],'Fed Fund New'!$A:$C,3,FALSE)</f>
        <v>#N/A</v>
      </c>
    </row>
    <row r="12" spans="1:11" x14ac:dyDescent="0.2">
      <c r="A12" s="61">
        <v>17380</v>
      </c>
      <c r="B12" s="68">
        <f>VLOOKUP(Table2[[#This Row],[Date]],Database!A:E,2,)</f>
        <v>22.4</v>
      </c>
      <c r="C12" s="14">
        <f t="shared" si="0"/>
        <v>7.6473234367970379E-3</v>
      </c>
      <c r="D12" s="14"/>
      <c r="E12" s="15" t="e">
        <f>VLOOKUP(Table2[[#This Row],[Date]],'Fed Fund New'!$A:$C,2,FALSE)</f>
        <v>#N/A</v>
      </c>
      <c r="F12" s="15" t="e">
        <f>VLOOKUP(Table2[[#This Row],[Date]],'Fed Fund New'!$A:$C,3,FALSE)</f>
        <v>#N/A</v>
      </c>
    </row>
    <row r="13" spans="1:11" x14ac:dyDescent="0.2">
      <c r="A13" s="61">
        <v>17411</v>
      </c>
      <c r="B13" s="68">
        <f>VLOOKUP(Table2[[#This Row],[Date]],Database!A:E,2,)</f>
        <v>22.84</v>
      </c>
      <c r="C13" s="14">
        <f t="shared" si="0"/>
        <v>1.9642857142857201E-2</v>
      </c>
      <c r="D13" s="14"/>
      <c r="E13" s="15" t="e">
        <f>VLOOKUP(Table2[[#This Row],[Date]],'Fed Fund New'!$A:$C,2,FALSE)</f>
        <v>#N/A</v>
      </c>
      <c r="F13" s="15" t="e">
        <f>VLOOKUP(Table2[[#This Row],[Date]],'Fed Fund New'!$A:$C,3,FALSE)</f>
        <v>#N/A</v>
      </c>
    </row>
    <row r="14" spans="1:11" x14ac:dyDescent="0.2">
      <c r="A14" s="61">
        <v>17441</v>
      </c>
      <c r="B14" s="68">
        <f>VLOOKUP(Table2[[#This Row],[Date]],Database!A:E,2,)</f>
        <v>22.91</v>
      </c>
      <c r="C14" s="14">
        <f t="shared" si="0"/>
        <v>3.0647985989492245E-3</v>
      </c>
      <c r="D14" s="14"/>
      <c r="E14" s="15" t="e">
        <f>VLOOKUP(Table2[[#This Row],[Date]],'Fed Fund New'!$A:$C,2,FALSE)</f>
        <v>#N/A</v>
      </c>
      <c r="F14" s="15" t="e">
        <f>VLOOKUP(Table2[[#This Row],[Date]],'Fed Fund New'!$A:$C,3,FALSE)</f>
        <v>#N/A</v>
      </c>
    </row>
    <row r="15" spans="1:11" x14ac:dyDescent="0.2">
      <c r="A15" s="61">
        <v>17472</v>
      </c>
      <c r="B15" s="68">
        <f>VLOOKUP(Table2[[#This Row],[Date]],Database!A:E,2,)</f>
        <v>23.06</v>
      </c>
      <c r="C15" s="14">
        <f t="shared" si="0"/>
        <v>6.5473592317764548E-3</v>
      </c>
      <c r="D15" s="14"/>
      <c r="E15" s="15" t="e">
        <f>VLOOKUP(Table2[[#This Row],[Date]],'Fed Fund New'!$A:$C,2,FALSE)</f>
        <v>#N/A</v>
      </c>
      <c r="F15" s="15" t="e">
        <f>VLOOKUP(Table2[[#This Row],[Date]],'Fed Fund New'!$A:$C,3,FALSE)</f>
        <v>#N/A</v>
      </c>
    </row>
    <row r="16" spans="1:11" x14ac:dyDescent="0.2">
      <c r="A16" s="61">
        <v>17502</v>
      </c>
      <c r="B16" s="68">
        <f>VLOOKUP(Table2[[#This Row],[Date]],Database!A:E,2,)</f>
        <v>23.41</v>
      </c>
      <c r="C16" s="14">
        <f t="shared" si="0"/>
        <v>1.5177797051170921E-2</v>
      </c>
      <c r="D16" s="14"/>
      <c r="E16" s="15" t="e">
        <f>VLOOKUP(Table2[[#This Row],[Date]],'Fed Fund New'!$A:$C,2,FALSE)</f>
        <v>#N/A</v>
      </c>
      <c r="F16" s="15" t="e">
        <f>VLOOKUP(Table2[[#This Row],[Date]],'Fed Fund New'!$A:$C,3,FALSE)</f>
        <v>#N/A</v>
      </c>
    </row>
    <row r="17" spans="1:6" x14ac:dyDescent="0.2">
      <c r="A17" s="61">
        <v>17533</v>
      </c>
      <c r="B17" s="68">
        <f>VLOOKUP(Table2[[#This Row],[Date]],Database!A:E,2,)</f>
        <v>23.68</v>
      </c>
      <c r="C17" s="14">
        <f t="shared" si="0"/>
        <v>1.153353267834257E-2</v>
      </c>
      <c r="D17" s="14">
        <f t="shared" ref="D17:D80" si="1">(B17-B5)/B5</f>
        <v>0.10242085661080071</v>
      </c>
      <c r="E17" s="15" t="e">
        <f>VLOOKUP(Table2[[#This Row],[Date]],'Fed Fund New'!$A:$C,2,FALSE)</f>
        <v>#N/A</v>
      </c>
      <c r="F17" s="15" t="e">
        <f>VLOOKUP(Table2[[#This Row],[Date]],'Fed Fund New'!$A:$C,3,FALSE)</f>
        <v>#N/A</v>
      </c>
    </row>
    <row r="18" spans="1:6" x14ac:dyDescent="0.2">
      <c r="A18" s="61">
        <v>17564</v>
      </c>
      <c r="B18" s="68">
        <f>VLOOKUP(Table2[[#This Row],[Date]],Database!A:E,2,)</f>
        <v>23.67</v>
      </c>
      <c r="C18" s="14">
        <f t="shared" si="0"/>
        <v>-4.222972972972133E-4</v>
      </c>
      <c r="D18" s="14">
        <f t="shared" si="1"/>
        <v>9.4819611470860349E-2</v>
      </c>
      <c r="E18" s="15" t="e">
        <f>VLOOKUP(Table2[[#This Row],[Date]],'Fed Fund New'!$A:$C,2,FALSE)</f>
        <v>#N/A</v>
      </c>
      <c r="F18" s="15" t="e">
        <f>VLOOKUP(Table2[[#This Row],[Date]],'Fed Fund New'!$A:$C,3,FALSE)</f>
        <v>#N/A</v>
      </c>
    </row>
    <row r="19" spans="1:6" x14ac:dyDescent="0.2">
      <c r="A19" s="61">
        <v>17593</v>
      </c>
      <c r="B19" s="68">
        <f>VLOOKUP(Table2[[#This Row],[Date]],Database!A:E,2,)</f>
        <v>23.5</v>
      </c>
      <c r="C19" s="14">
        <f t="shared" si="0"/>
        <v>-7.1820870299958471E-3</v>
      </c>
      <c r="D19" s="14">
        <f t="shared" si="1"/>
        <v>6.8181818181818177E-2</v>
      </c>
      <c r="E19" s="15" t="e">
        <f>VLOOKUP(Table2[[#This Row],[Date]],'Fed Fund New'!$A:$C,2,FALSE)</f>
        <v>#N/A</v>
      </c>
      <c r="F19" s="15" t="e">
        <f>VLOOKUP(Table2[[#This Row],[Date]],'Fed Fund New'!$A:$C,3,FALSE)</f>
        <v>#N/A</v>
      </c>
    </row>
    <row r="20" spans="1:6" x14ac:dyDescent="0.2">
      <c r="A20" s="61">
        <v>17624</v>
      </c>
      <c r="B20" s="68">
        <f>VLOOKUP(Table2[[#This Row],[Date]],Database!A:E,2,)</f>
        <v>23.82</v>
      </c>
      <c r="C20" s="14">
        <f t="shared" si="0"/>
        <v>1.3617021276595757E-2</v>
      </c>
      <c r="D20" s="14">
        <f t="shared" si="1"/>
        <v>8.2727272727272746E-2</v>
      </c>
      <c r="E20" s="15" t="e">
        <f>VLOOKUP(Table2[[#This Row],[Date]],'Fed Fund New'!$A:$C,2,FALSE)</f>
        <v>#N/A</v>
      </c>
      <c r="F20" s="15" t="e">
        <f>VLOOKUP(Table2[[#This Row],[Date]],'Fed Fund New'!$A:$C,3,FALSE)</f>
        <v>#N/A</v>
      </c>
    </row>
    <row r="21" spans="1:6" x14ac:dyDescent="0.2">
      <c r="A21" s="61">
        <v>17654</v>
      </c>
      <c r="B21" s="68">
        <f>VLOOKUP(Table2[[#This Row],[Date]],Database!A:E,2,)</f>
        <v>24.01</v>
      </c>
      <c r="C21" s="14">
        <f t="shared" si="0"/>
        <v>7.9764903442485838E-3</v>
      </c>
      <c r="D21" s="14">
        <f t="shared" si="1"/>
        <v>9.3849658314350909E-2</v>
      </c>
      <c r="E21" s="15" t="e">
        <f>VLOOKUP(Table2[[#This Row],[Date]],'Fed Fund New'!$A:$C,2,FALSE)</f>
        <v>#N/A</v>
      </c>
      <c r="F21" s="15" t="e">
        <f>VLOOKUP(Table2[[#This Row],[Date]],'Fed Fund New'!$A:$C,3,FALSE)</f>
        <v>#N/A</v>
      </c>
    </row>
    <row r="22" spans="1:6" x14ac:dyDescent="0.2">
      <c r="A22" s="61">
        <v>17685</v>
      </c>
      <c r="B22" s="68">
        <f>VLOOKUP(Table2[[#This Row],[Date]],Database!A:E,2,)</f>
        <v>24.15</v>
      </c>
      <c r="C22" s="14">
        <f t="shared" si="0"/>
        <v>5.8309037900873386E-3</v>
      </c>
      <c r="D22" s="14">
        <f t="shared" si="1"/>
        <v>9.3750000000000014E-2</v>
      </c>
      <c r="E22" s="15" t="e">
        <f>VLOOKUP(Table2[[#This Row],[Date]],'Fed Fund New'!$A:$C,2,FALSE)</f>
        <v>#N/A</v>
      </c>
      <c r="F22" s="15" t="e">
        <f>VLOOKUP(Table2[[#This Row],[Date]],'Fed Fund New'!$A:$C,3,FALSE)</f>
        <v>#N/A</v>
      </c>
    </row>
    <row r="23" spans="1:6" x14ac:dyDescent="0.2">
      <c r="A23" s="61">
        <v>17715</v>
      </c>
      <c r="B23" s="68">
        <f>VLOOKUP(Table2[[#This Row],[Date]],Database!A:E,2,)</f>
        <v>24.4</v>
      </c>
      <c r="C23" s="14">
        <f t="shared" si="0"/>
        <v>1.0351966873706004E-2</v>
      </c>
      <c r="D23" s="14">
        <f t="shared" si="1"/>
        <v>9.7615834457939629E-2</v>
      </c>
      <c r="E23" s="15" t="e">
        <f>VLOOKUP(Table2[[#This Row],[Date]],'Fed Fund New'!$A:$C,2,FALSE)</f>
        <v>#N/A</v>
      </c>
      <c r="F23" s="15" t="e">
        <f>VLOOKUP(Table2[[#This Row],[Date]],'Fed Fund New'!$A:$C,3,FALSE)</f>
        <v>#N/A</v>
      </c>
    </row>
    <row r="24" spans="1:6" x14ac:dyDescent="0.2">
      <c r="A24" s="61">
        <v>17746</v>
      </c>
      <c r="B24" s="68">
        <f>VLOOKUP(Table2[[#This Row],[Date]],Database!A:E,2,)</f>
        <v>24.43</v>
      </c>
      <c r="C24" s="14">
        <f t="shared" si="0"/>
        <v>1.2295081967213582E-3</v>
      </c>
      <c r="D24" s="14">
        <f t="shared" si="1"/>
        <v>9.0625000000000053E-2</v>
      </c>
      <c r="E24" s="15" t="e">
        <f>VLOOKUP(Table2[[#This Row],[Date]],'Fed Fund New'!$A:$C,2,FALSE)</f>
        <v>#N/A</v>
      </c>
      <c r="F24" s="15" t="e">
        <f>VLOOKUP(Table2[[#This Row],[Date]],'Fed Fund New'!$A:$C,3,FALSE)</f>
        <v>#N/A</v>
      </c>
    </row>
    <row r="25" spans="1:6" x14ac:dyDescent="0.2">
      <c r="A25" s="61">
        <v>17777</v>
      </c>
      <c r="B25" s="68">
        <f>VLOOKUP(Table2[[#This Row],[Date]],Database!A:E,2,)</f>
        <v>24.36</v>
      </c>
      <c r="C25" s="14">
        <f t="shared" si="0"/>
        <v>-2.8653295128939944E-3</v>
      </c>
      <c r="D25" s="14">
        <f t="shared" si="1"/>
        <v>6.6549912434325731E-2</v>
      </c>
      <c r="E25" s="15" t="e">
        <f>VLOOKUP(Table2[[#This Row],[Date]],'Fed Fund New'!$A:$C,2,FALSE)</f>
        <v>#N/A</v>
      </c>
      <c r="F25" s="15" t="e">
        <f>VLOOKUP(Table2[[#This Row],[Date]],'Fed Fund New'!$A:$C,3,FALSE)</f>
        <v>#N/A</v>
      </c>
    </row>
    <row r="26" spans="1:6" x14ac:dyDescent="0.2">
      <c r="A26" s="61">
        <v>17807</v>
      </c>
      <c r="B26" s="68">
        <f>VLOOKUP(Table2[[#This Row],[Date]],Database!A:E,2,)</f>
        <v>24.31</v>
      </c>
      <c r="C26" s="14">
        <f t="shared" si="0"/>
        <v>-2.052545155993461E-3</v>
      </c>
      <c r="D26" s="14">
        <f t="shared" si="1"/>
        <v>6.1108686163247425E-2</v>
      </c>
      <c r="E26" s="15" t="e">
        <f>VLOOKUP(Table2[[#This Row],[Date]],'Fed Fund New'!$A:$C,2,FALSE)</f>
        <v>#N/A</v>
      </c>
      <c r="F26" s="15" t="e">
        <f>VLOOKUP(Table2[[#This Row],[Date]],'Fed Fund New'!$A:$C,3,FALSE)</f>
        <v>#N/A</v>
      </c>
    </row>
    <row r="27" spans="1:6" x14ac:dyDescent="0.2">
      <c r="A27" s="61">
        <v>17838</v>
      </c>
      <c r="B27" s="68">
        <f>VLOOKUP(Table2[[#This Row],[Date]],Database!A:E,2,)</f>
        <v>24.16</v>
      </c>
      <c r="C27" s="14">
        <f t="shared" si="0"/>
        <v>-6.1703002879472885E-3</v>
      </c>
      <c r="D27" s="14">
        <f t="shared" si="1"/>
        <v>4.7701647875108479E-2</v>
      </c>
      <c r="E27" s="15" t="e">
        <f>VLOOKUP(Table2[[#This Row],[Date]],'Fed Fund New'!$A:$C,2,FALSE)</f>
        <v>#N/A</v>
      </c>
      <c r="F27" s="15" t="e">
        <f>VLOOKUP(Table2[[#This Row],[Date]],'Fed Fund New'!$A:$C,3,FALSE)</f>
        <v>#N/A</v>
      </c>
    </row>
    <row r="28" spans="1:6" x14ac:dyDescent="0.2">
      <c r="A28" s="61">
        <v>17868</v>
      </c>
      <c r="B28" s="68">
        <f>VLOOKUP(Table2[[#This Row],[Date]],Database!A:E,2,)</f>
        <v>24.05</v>
      </c>
      <c r="C28" s="14">
        <f t="shared" si="0"/>
        <v>-4.5529801324503075E-3</v>
      </c>
      <c r="D28" s="14">
        <f t="shared" si="1"/>
        <v>2.7338744126441716E-2</v>
      </c>
      <c r="E28" s="15" t="e">
        <f>VLOOKUP(Table2[[#This Row],[Date]],'Fed Fund New'!$A:$C,2,FALSE)</f>
        <v>#N/A</v>
      </c>
      <c r="F28" s="15" t="e">
        <f>VLOOKUP(Table2[[#This Row],[Date]],'Fed Fund New'!$A:$C,3,FALSE)</f>
        <v>#N/A</v>
      </c>
    </row>
    <row r="29" spans="1:6" x14ac:dyDescent="0.2">
      <c r="A29" s="61">
        <v>17899</v>
      </c>
      <c r="B29" s="68">
        <f>VLOOKUP(Table2[[#This Row],[Date]],Database!A:E,2,)</f>
        <v>24.01</v>
      </c>
      <c r="C29" s="14">
        <f t="shared" si="0"/>
        <v>-1.6632016632016277E-3</v>
      </c>
      <c r="D29" s="14">
        <f t="shared" si="1"/>
        <v>1.3935810810810889E-2</v>
      </c>
      <c r="E29" s="15" t="e">
        <f>VLOOKUP(Table2[[#This Row],[Date]],'Fed Fund New'!$A:$C,2,FALSE)</f>
        <v>#N/A</v>
      </c>
      <c r="F29" s="15" t="e">
        <f>VLOOKUP(Table2[[#This Row],[Date]],'Fed Fund New'!$A:$C,3,FALSE)</f>
        <v>#N/A</v>
      </c>
    </row>
    <row r="30" spans="1:6" x14ac:dyDescent="0.2">
      <c r="A30" s="61">
        <v>17930</v>
      </c>
      <c r="B30" s="68">
        <f>VLOOKUP(Table2[[#This Row],[Date]],Database!A:E,2,)</f>
        <v>23.91</v>
      </c>
      <c r="C30" s="14">
        <f t="shared" si="0"/>
        <v>-4.1649312786339616E-3</v>
      </c>
      <c r="D30" s="14">
        <f t="shared" si="1"/>
        <v>1.0139416983523381E-2</v>
      </c>
      <c r="E30" s="15" t="e">
        <f>VLOOKUP(Table2[[#This Row],[Date]],'Fed Fund New'!$A:$C,2,FALSE)</f>
        <v>#N/A</v>
      </c>
      <c r="F30" s="15" t="e">
        <f>VLOOKUP(Table2[[#This Row],[Date]],'Fed Fund New'!$A:$C,3,FALSE)</f>
        <v>#N/A</v>
      </c>
    </row>
    <row r="31" spans="1:6" x14ac:dyDescent="0.2">
      <c r="A31" s="61">
        <v>17958</v>
      </c>
      <c r="B31" s="68">
        <f>VLOOKUP(Table2[[#This Row],[Date]],Database!A:E,2,)</f>
        <v>23.91</v>
      </c>
      <c r="C31" s="14">
        <f t="shared" si="0"/>
        <v>0</v>
      </c>
      <c r="D31" s="14">
        <f t="shared" si="1"/>
        <v>1.7446808510638304E-2</v>
      </c>
      <c r="E31" s="15" t="e">
        <f>VLOOKUP(Table2[[#This Row],[Date]],'Fed Fund New'!$A:$C,2,FALSE)</f>
        <v>#N/A</v>
      </c>
      <c r="F31" s="15" t="e">
        <f>VLOOKUP(Table2[[#This Row],[Date]],'Fed Fund New'!$A:$C,3,FALSE)</f>
        <v>#N/A</v>
      </c>
    </row>
    <row r="32" spans="1:6" x14ac:dyDescent="0.2">
      <c r="A32" s="61">
        <v>17989</v>
      </c>
      <c r="B32" s="68">
        <f>VLOOKUP(Table2[[#This Row],[Date]],Database!A:E,2,)</f>
        <v>23.92</v>
      </c>
      <c r="C32" s="14">
        <f t="shared" si="0"/>
        <v>4.182350480970959E-4</v>
      </c>
      <c r="D32" s="14">
        <f t="shared" si="1"/>
        <v>4.1981528127624443E-3</v>
      </c>
      <c r="E32" s="15" t="e">
        <f>VLOOKUP(Table2[[#This Row],[Date]],'Fed Fund New'!$A:$C,2,FALSE)</f>
        <v>#N/A</v>
      </c>
      <c r="F32" s="15" t="e">
        <f>VLOOKUP(Table2[[#This Row],[Date]],'Fed Fund New'!$A:$C,3,FALSE)</f>
        <v>#N/A</v>
      </c>
    </row>
    <row r="33" spans="1:6" x14ac:dyDescent="0.2">
      <c r="A33" s="61">
        <v>18019</v>
      </c>
      <c r="B33" s="68">
        <f>VLOOKUP(Table2[[#This Row],[Date]],Database!A:E,2,)</f>
        <v>23.91</v>
      </c>
      <c r="C33" s="14">
        <f t="shared" si="0"/>
        <v>-4.1806020066896164E-4</v>
      </c>
      <c r="D33" s="14">
        <f t="shared" si="1"/>
        <v>-4.1649312786339616E-3</v>
      </c>
      <c r="E33" s="15" t="e">
        <f>VLOOKUP(Table2[[#This Row],[Date]],'Fed Fund New'!$A:$C,2,FALSE)</f>
        <v>#N/A</v>
      </c>
      <c r="F33" s="15" t="e">
        <f>VLOOKUP(Table2[[#This Row],[Date]],'Fed Fund New'!$A:$C,3,FALSE)</f>
        <v>#N/A</v>
      </c>
    </row>
    <row r="34" spans="1:6" x14ac:dyDescent="0.2">
      <c r="A34" s="61">
        <v>18050</v>
      </c>
      <c r="B34" s="68">
        <f>VLOOKUP(Table2[[#This Row],[Date]],Database!A:E,2,)</f>
        <v>23.92</v>
      </c>
      <c r="C34" s="14">
        <f t="shared" si="0"/>
        <v>4.182350480970959E-4</v>
      </c>
      <c r="D34" s="14">
        <f t="shared" si="1"/>
        <v>-9.5238095238093946E-3</v>
      </c>
      <c r="E34" s="15" t="e">
        <f>VLOOKUP(Table2[[#This Row],[Date]],'Fed Fund New'!$A:$C,2,FALSE)</f>
        <v>#N/A</v>
      </c>
      <c r="F34" s="15" t="e">
        <f>VLOOKUP(Table2[[#This Row],[Date]],'Fed Fund New'!$A:$C,3,FALSE)</f>
        <v>#N/A</v>
      </c>
    </row>
    <row r="35" spans="1:6" x14ac:dyDescent="0.2">
      <c r="A35" s="61">
        <v>18080</v>
      </c>
      <c r="B35" s="68">
        <f>VLOOKUP(Table2[[#This Row],[Date]],Database!A:E,2,)</f>
        <v>23.7</v>
      </c>
      <c r="C35" s="14">
        <f t="shared" si="0"/>
        <v>-9.1973244147158188E-3</v>
      </c>
      <c r="D35" s="14">
        <f t="shared" si="1"/>
        <v>-2.8688524590163907E-2</v>
      </c>
      <c r="E35" s="15" t="e">
        <f>VLOOKUP(Table2[[#This Row],[Date]],'Fed Fund New'!$A:$C,2,FALSE)</f>
        <v>#N/A</v>
      </c>
      <c r="F35" s="15" t="e">
        <f>VLOOKUP(Table2[[#This Row],[Date]],'Fed Fund New'!$A:$C,3,FALSE)</f>
        <v>#N/A</v>
      </c>
    </row>
    <row r="36" spans="1:6" x14ac:dyDescent="0.2">
      <c r="A36" s="61">
        <v>18111</v>
      </c>
      <c r="B36" s="68">
        <f>VLOOKUP(Table2[[#This Row],[Date]],Database!A:E,2,)</f>
        <v>23.7</v>
      </c>
      <c r="C36" s="14">
        <f t="shared" si="0"/>
        <v>0</v>
      </c>
      <c r="D36" s="14">
        <f t="shared" si="1"/>
        <v>-2.9881293491608694E-2</v>
      </c>
      <c r="E36" s="15" t="e">
        <f>VLOOKUP(Table2[[#This Row],[Date]],'Fed Fund New'!$A:$C,2,FALSE)</f>
        <v>#N/A</v>
      </c>
      <c r="F36" s="15" t="e">
        <f>VLOOKUP(Table2[[#This Row],[Date]],'Fed Fund New'!$A:$C,3,FALSE)</f>
        <v>#N/A</v>
      </c>
    </row>
    <row r="37" spans="1:6" x14ac:dyDescent="0.2">
      <c r="A37" s="61">
        <v>18142</v>
      </c>
      <c r="B37" s="68">
        <f>VLOOKUP(Table2[[#This Row],[Date]],Database!A:E,2,)</f>
        <v>23.75</v>
      </c>
      <c r="C37" s="14">
        <f t="shared" si="0"/>
        <v>2.1097046413502412E-3</v>
      </c>
      <c r="D37" s="14">
        <f t="shared" si="1"/>
        <v>-2.5041050903119845E-2</v>
      </c>
      <c r="E37" s="15" t="e">
        <f>VLOOKUP(Table2[[#This Row],[Date]],'Fed Fund New'!$A:$C,2,FALSE)</f>
        <v>#N/A</v>
      </c>
      <c r="F37" s="15" t="e">
        <f>VLOOKUP(Table2[[#This Row],[Date]],'Fed Fund New'!$A:$C,3,FALSE)</f>
        <v>#N/A</v>
      </c>
    </row>
    <row r="38" spans="1:6" x14ac:dyDescent="0.2">
      <c r="A38" s="61">
        <v>18172</v>
      </c>
      <c r="B38" s="68">
        <f>VLOOKUP(Table2[[#This Row],[Date]],Database!A:E,2,)</f>
        <v>23.67</v>
      </c>
      <c r="C38" s="14">
        <f t="shared" si="0"/>
        <v>-3.3684210526315071E-3</v>
      </c>
      <c r="D38" s="14">
        <f t="shared" si="1"/>
        <v>-2.632661456190856E-2</v>
      </c>
      <c r="E38" s="15" t="e">
        <f>VLOOKUP(Table2[[#This Row],[Date]],'Fed Fund New'!$A:$C,2,FALSE)</f>
        <v>#N/A</v>
      </c>
      <c r="F38" s="15" t="e">
        <f>VLOOKUP(Table2[[#This Row],[Date]],'Fed Fund New'!$A:$C,3,FALSE)</f>
        <v>#N/A</v>
      </c>
    </row>
    <row r="39" spans="1:6" x14ac:dyDescent="0.2">
      <c r="A39" s="61">
        <v>18203</v>
      </c>
      <c r="B39" s="68">
        <f>VLOOKUP(Table2[[#This Row],[Date]],Database!A:E,2,)</f>
        <v>23.7</v>
      </c>
      <c r="C39" s="14">
        <f t="shared" si="0"/>
        <v>1.2674271229403287E-3</v>
      </c>
      <c r="D39" s="14">
        <f t="shared" si="1"/>
        <v>-1.9039735099337783E-2</v>
      </c>
      <c r="E39" s="15" t="e">
        <f>VLOOKUP(Table2[[#This Row],[Date]],'Fed Fund New'!$A:$C,2,FALSE)</f>
        <v>#N/A</v>
      </c>
      <c r="F39" s="15" t="e">
        <f>VLOOKUP(Table2[[#This Row],[Date]],'Fed Fund New'!$A:$C,3,FALSE)</f>
        <v>#N/A</v>
      </c>
    </row>
    <row r="40" spans="1:6" x14ac:dyDescent="0.2">
      <c r="A40" s="61">
        <v>18233</v>
      </c>
      <c r="B40" s="68">
        <f>VLOOKUP(Table2[[#This Row],[Date]],Database!A:E,2,)</f>
        <v>23.61</v>
      </c>
      <c r="C40" s="14">
        <f t="shared" si="0"/>
        <v>-3.797468354430374E-3</v>
      </c>
      <c r="D40" s="14">
        <f t="shared" si="1"/>
        <v>-1.8295218295218348E-2</v>
      </c>
      <c r="E40" s="15" t="e">
        <f>VLOOKUP(Table2[[#This Row],[Date]],'Fed Fund New'!$A:$C,2,FALSE)</f>
        <v>#N/A</v>
      </c>
      <c r="F40" s="15" t="e">
        <f>VLOOKUP(Table2[[#This Row],[Date]],'Fed Fund New'!$A:$C,3,FALSE)</f>
        <v>#N/A</v>
      </c>
    </row>
    <row r="41" spans="1:6" x14ac:dyDescent="0.2">
      <c r="A41" s="61">
        <v>18264</v>
      </c>
      <c r="B41" s="68">
        <f>VLOOKUP(Table2[[#This Row],[Date]],Database!A:E,2,)</f>
        <v>23.51</v>
      </c>
      <c r="C41" s="14">
        <f t="shared" si="0"/>
        <v>-4.2354934349850852E-3</v>
      </c>
      <c r="D41" s="14">
        <f t="shared" si="1"/>
        <v>-2.0824656393169511E-2</v>
      </c>
      <c r="E41" s="15" t="e">
        <f>VLOOKUP(Table2[[#This Row],[Date]],'Fed Fund New'!$A:$C,2,FALSE)</f>
        <v>#N/A</v>
      </c>
      <c r="F41" s="15" t="e">
        <f>VLOOKUP(Table2[[#This Row],[Date]],'Fed Fund New'!$A:$C,3,FALSE)</f>
        <v>#N/A</v>
      </c>
    </row>
    <row r="42" spans="1:6" x14ac:dyDescent="0.2">
      <c r="A42" s="61">
        <v>18295</v>
      </c>
      <c r="B42" s="68">
        <f>VLOOKUP(Table2[[#This Row],[Date]],Database!A:E,2,)</f>
        <v>23.61</v>
      </c>
      <c r="C42" s="14">
        <f t="shared" si="0"/>
        <v>4.2535091450445709E-3</v>
      </c>
      <c r="D42" s="14">
        <f t="shared" si="1"/>
        <v>-1.2547051442910946E-2</v>
      </c>
      <c r="E42" s="15" t="e">
        <f>VLOOKUP(Table2[[#This Row],[Date]],'Fed Fund New'!$A:$C,2,FALSE)</f>
        <v>#N/A</v>
      </c>
      <c r="F42" s="15" t="e">
        <f>VLOOKUP(Table2[[#This Row],[Date]],'Fed Fund New'!$A:$C,3,FALSE)</f>
        <v>#N/A</v>
      </c>
    </row>
    <row r="43" spans="1:6" x14ac:dyDescent="0.2">
      <c r="A43" s="61">
        <v>18323</v>
      </c>
      <c r="B43" s="68">
        <f>VLOOKUP(Table2[[#This Row],[Date]],Database!A:E,2,)</f>
        <v>23.64</v>
      </c>
      <c r="C43" s="14">
        <f t="shared" si="0"/>
        <v>1.2706480304956009E-3</v>
      </c>
      <c r="D43" s="14">
        <f t="shared" si="1"/>
        <v>-1.1292346298619806E-2</v>
      </c>
      <c r="E43" s="15" t="e">
        <f>VLOOKUP(Table2[[#This Row],[Date]],'Fed Fund New'!$A:$C,2,FALSE)</f>
        <v>#N/A</v>
      </c>
      <c r="F43" s="15" t="e">
        <f>VLOOKUP(Table2[[#This Row],[Date]],'Fed Fund New'!$A:$C,3,FALSE)</f>
        <v>#N/A</v>
      </c>
    </row>
    <row r="44" spans="1:6" x14ac:dyDescent="0.2">
      <c r="A44" s="61">
        <v>18354</v>
      </c>
      <c r="B44" s="68">
        <f>VLOOKUP(Table2[[#This Row],[Date]],Database!A:E,2,)</f>
        <v>23.65</v>
      </c>
      <c r="C44" s="14">
        <f t="shared" si="0"/>
        <v>4.2301184433155714E-4</v>
      </c>
      <c r="D44" s="14">
        <f t="shared" si="1"/>
        <v>-1.128762541806033E-2</v>
      </c>
      <c r="E44" s="15" t="e">
        <f>VLOOKUP(Table2[[#This Row],[Date]],'Fed Fund New'!$A:$C,2,FALSE)</f>
        <v>#N/A</v>
      </c>
      <c r="F44" s="15" t="e">
        <f>VLOOKUP(Table2[[#This Row],[Date]],'Fed Fund New'!$A:$C,3,FALSE)</f>
        <v>#N/A</v>
      </c>
    </row>
    <row r="45" spans="1:6" x14ac:dyDescent="0.2">
      <c r="A45" s="61">
        <v>18384</v>
      </c>
      <c r="B45" s="68">
        <f>VLOOKUP(Table2[[#This Row],[Date]],Database!A:E,2,)</f>
        <v>23.77</v>
      </c>
      <c r="C45" s="14">
        <f t="shared" si="0"/>
        <v>5.0739957716702325E-3</v>
      </c>
      <c r="D45" s="14">
        <f t="shared" si="1"/>
        <v>-5.8552906733584514E-3</v>
      </c>
      <c r="E45" s="15" t="e">
        <f>VLOOKUP(Table2[[#This Row],[Date]],'Fed Fund New'!$A:$C,2,FALSE)</f>
        <v>#N/A</v>
      </c>
      <c r="F45" s="15" t="e">
        <f>VLOOKUP(Table2[[#This Row],[Date]],'Fed Fund New'!$A:$C,3,FALSE)</f>
        <v>#N/A</v>
      </c>
    </row>
    <row r="46" spans="1:6" x14ac:dyDescent="0.2">
      <c r="A46" s="61">
        <v>18415</v>
      </c>
      <c r="B46" s="68">
        <f>VLOOKUP(Table2[[#This Row],[Date]],Database!A:E,2,)</f>
        <v>23.88</v>
      </c>
      <c r="C46" s="14">
        <f t="shared" si="0"/>
        <v>4.627681952040363E-3</v>
      </c>
      <c r="D46" s="14">
        <f t="shared" si="1"/>
        <v>-1.672240802675698E-3</v>
      </c>
      <c r="E46" s="15" t="e">
        <f>VLOOKUP(Table2[[#This Row],[Date]],'Fed Fund New'!$A:$C,2,FALSE)</f>
        <v>#N/A</v>
      </c>
      <c r="F46" s="15" t="e">
        <f>VLOOKUP(Table2[[#This Row],[Date]],'Fed Fund New'!$A:$C,3,FALSE)</f>
        <v>#N/A</v>
      </c>
    </row>
    <row r="47" spans="1:6" x14ac:dyDescent="0.2">
      <c r="A47" s="61">
        <v>18445</v>
      </c>
      <c r="B47" s="68">
        <f>VLOOKUP(Table2[[#This Row],[Date]],Database!A:E,2,)</f>
        <v>24.07</v>
      </c>
      <c r="C47" s="14">
        <f t="shared" si="0"/>
        <v>7.9564489112228347E-3</v>
      </c>
      <c r="D47" s="14">
        <f t="shared" si="1"/>
        <v>1.5611814345991603E-2</v>
      </c>
      <c r="E47" s="15" t="e">
        <f>VLOOKUP(Table2[[#This Row],[Date]],'Fed Fund New'!$A:$C,2,FALSE)</f>
        <v>#N/A</v>
      </c>
      <c r="F47" s="15" t="e">
        <f>VLOOKUP(Table2[[#This Row],[Date]],'Fed Fund New'!$A:$C,3,FALSE)</f>
        <v>#N/A</v>
      </c>
    </row>
    <row r="48" spans="1:6" x14ac:dyDescent="0.2">
      <c r="A48" s="61">
        <v>18476</v>
      </c>
      <c r="B48" s="68">
        <f>VLOOKUP(Table2[[#This Row],[Date]],Database!A:E,2,)</f>
        <v>24.2</v>
      </c>
      <c r="C48" s="14">
        <f t="shared" si="0"/>
        <v>5.4009140008308681E-3</v>
      </c>
      <c r="D48" s="14">
        <f t="shared" si="1"/>
        <v>2.1097046413502109E-2</v>
      </c>
      <c r="E48" s="15" t="e">
        <f>VLOOKUP(Table2[[#This Row],[Date]],'Fed Fund New'!$A:$C,2,FALSE)</f>
        <v>#N/A</v>
      </c>
      <c r="F48" s="15" t="e">
        <f>VLOOKUP(Table2[[#This Row],[Date]],'Fed Fund New'!$A:$C,3,FALSE)</f>
        <v>#N/A</v>
      </c>
    </row>
    <row r="49" spans="1:6" x14ac:dyDescent="0.2">
      <c r="A49" s="61">
        <v>18507</v>
      </c>
      <c r="B49" s="68">
        <f>VLOOKUP(Table2[[#This Row],[Date]],Database!A:E,2,)</f>
        <v>24.34</v>
      </c>
      <c r="C49" s="14">
        <f t="shared" si="0"/>
        <v>5.7851239669421727E-3</v>
      </c>
      <c r="D49" s="14">
        <f t="shared" si="1"/>
        <v>2.4842105263157888E-2</v>
      </c>
      <c r="E49" s="15" t="e">
        <f>VLOOKUP(Table2[[#This Row],[Date]],'Fed Fund New'!$A:$C,2,FALSE)</f>
        <v>#N/A</v>
      </c>
      <c r="F49" s="15" t="e">
        <f>VLOOKUP(Table2[[#This Row],[Date]],'Fed Fund New'!$A:$C,3,FALSE)</f>
        <v>#N/A</v>
      </c>
    </row>
    <row r="50" spans="1:6" x14ac:dyDescent="0.2">
      <c r="A50" s="61">
        <v>18537</v>
      </c>
      <c r="B50" s="68">
        <f>VLOOKUP(Table2[[#This Row],[Date]],Database!A:E,2,)</f>
        <v>24.5</v>
      </c>
      <c r="C50" s="14">
        <f t="shared" si="0"/>
        <v>6.573541495480696E-3</v>
      </c>
      <c r="D50" s="14">
        <f t="shared" si="1"/>
        <v>3.5065483734685182E-2</v>
      </c>
      <c r="E50" s="15" t="e">
        <f>VLOOKUP(Table2[[#This Row],[Date]],'Fed Fund New'!$A:$C,2,FALSE)</f>
        <v>#N/A</v>
      </c>
      <c r="F50" s="15" t="e">
        <f>VLOOKUP(Table2[[#This Row],[Date]],'Fed Fund New'!$A:$C,3,FALSE)</f>
        <v>#N/A</v>
      </c>
    </row>
    <row r="51" spans="1:6" x14ac:dyDescent="0.2">
      <c r="A51" s="61">
        <v>18568</v>
      </c>
      <c r="B51" s="68">
        <f>VLOOKUP(Table2[[#This Row],[Date]],Database!A:E,2,)</f>
        <v>24.6</v>
      </c>
      <c r="C51" s="14">
        <f t="shared" si="0"/>
        <v>4.0816326530612821E-3</v>
      </c>
      <c r="D51" s="14">
        <f t="shared" si="1"/>
        <v>3.7974683544303889E-2</v>
      </c>
      <c r="E51" s="15" t="e">
        <f>VLOOKUP(Table2[[#This Row],[Date]],'Fed Fund New'!$A:$C,2,FALSE)</f>
        <v>#N/A</v>
      </c>
      <c r="F51" s="15" t="e">
        <f>VLOOKUP(Table2[[#This Row],[Date]],'Fed Fund New'!$A:$C,3,FALSE)</f>
        <v>#N/A</v>
      </c>
    </row>
    <row r="52" spans="1:6" x14ac:dyDescent="0.2">
      <c r="A52" s="61">
        <v>18598</v>
      </c>
      <c r="B52" s="68">
        <f>VLOOKUP(Table2[[#This Row],[Date]],Database!A:E,2,)</f>
        <v>24.98</v>
      </c>
      <c r="C52" s="14">
        <f t="shared" si="0"/>
        <v>1.5447154471544674E-2</v>
      </c>
      <c r="D52" s="14">
        <f t="shared" si="1"/>
        <v>5.8026260059296952E-2</v>
      </c>
      <c r="E52" s="15" t="e">
        <f>VLOOKUP(Table2[[#This Row],[Date]],'Fed Fund New'!$A:$C,2,FALSE)</f>
        <v>#N/A</v>
      </c>
      <c r="F52" s="15" t="e">
        <f>VLOOKUP(Table2[[#This Row],[Date]],'Fed Fund New'!$A:$C,3,FALSE)</f>
        <v>#N/A</v>
      </c>
    </row>
    <row r="53" spans="1:6" x14ac:dyDescent="0.2">
      <c r="A53" s="61">
        <v>18629</v>
      </c>
      <c r="B53" s="68">
        <f>VLOOKUP(Table2[[#This Row],[Date]],Database!A:E,2,)</f>
        <v>25.38</v>
      </c>
      <c r="C53" s="14">
        <f t="shared" si="0"/>
        <v>1.6012810248198502E-2</v>
      </c>
      <c r="D53" s="14">
        <f t="shared" si="1"/>
        <v>7.9540621012335069E-2</v>
      </c>
      <c r="E53" s="15" t="e">
        <f>VLOOKUP(Table2[[#This Row],[Date]],'Fed Fund New'!$A:$C,2,FALSE)</f>
        <v>#N/A</v>
      </c>
      <c r="F53" s="15" t="e">
        <f>VLOOKUP(Table2[[#This Row],[Date]],'Fed Fund New'!$A:$C,3,FALSE)</f>
        <v>#N/A</v>
      </c>
    </row>
    <row r="54" spans="1:6" x14ac:dyDescent="0.2">
      <c r="A54" s="61">
        <v>18660</v>
      </c>
      <c r="B54" s="68">
        <f>VLOOKUP(Table2[[#This Row],[Date]],Database!A:E,2,)</f>
        <v>25.83</v>
      </c>
      <c r="C54" s="14">
        <f t="shared" si="0"/>
        <v>1.7730496453900683E-2</v>
      </c>
      <c r="D54" s="14">
        <f t="shared" si="1"/>
        <v>9.4027954256670862E-2</v>
      </c>
      <c r="E54" s="15" t="e">
        <f>VLOOKUP(Table2[[#This Row],[Date]],'Fed Fund New'!$A:$C,2,FALSE)</f>
        <v>#N/A</v>
      </c>
      <c r="F54" s="15" t="e">
        <f>VLOOKUP(Table2[[#This Row],[Date]],'Fed Fund New'!$A:$C,3,FALSE)</f>
        <v>#N/A</v>
      </c>
    </row>
    <row r="55" spans="1:6" x14ac:dyDescent="0.2">
      <c r="A55" s="61">
        <v>18688</v>
      </c>
      <c r="B55" s="68">
        <f>VLOOKUP(Table2[[#This Row],[Date]],Database!A:E,2,)</f>
        <v>25.88</v>
      </c>
      <c r="C55" s="14">
        <f t="shared" si="0"/>
        <v>1.9357336430507438E-3</v>
      </c>
      <c r="D55" s="14">
        <f t="shared" si="1"/>
        <v>9.4754653130287581E-2</v>
      </c>
      <c r="E55" s="15" t="e">
        <f>VLOOKUP(Table2[[#This Row],[Date]],'Fed Fund New'!$A:$C,2,FALSE)</f>
        <v>#N/A</v>
      </c>
      <c r="F55" s="15" t="e">
        <f>VLOOKUP(Table2[[#This Row],[Date]],'Fed Fund New'!$A:$C,3,FALSE)</f>
        <v>#N/A</v>
      </c>
    </row>
    <row r="56" spans="1:6" x14ac:dyDescent="0.2">
      <c r="A56" s="61">
        <v>18719</v>
      </c>
      <c r="B56" s="68">
        <f>VLOOKUP(Table2[[#This Row],[Date]],Database!A:E,2,)</f>
        <v>25.92</v>
      </c>
      <c r="C56" s="14">
        <f t="shared" si="0"/>
        <v>1.5455950540959314E-3</v>
      </c>
      <c r="D56" s="14">
        <f t="shared" si="1"/>
        <v>9.5983086680761234E-2</v>
      </c>
      <c r="E56" s="15" t="e">
        <f>VLOOKUP(Table2[[#This Row],[Date]],'Fed Fund New'!$A:$C,2,FALSE)</f>
        <v>#N/A</v>
      </c>
      <c r="F56" s="15" t="e">
        <f>VLOOKUP(Table2[[#This Row],[Date]],'Fed Fund New'!$A:$C,3,FALSE)</f>
        <v>#N/A</v>
      </c>
    </row>
    <row r="57" spans="1:6" x14ac:dyDescent="0.2">
      <c r="A57" s="61">
        <v>18749</v>
      </c>
      <c r="B57" s="68">
        <f>VLOOKUP(Table2[[#This Row],[Date]],Database!A:E,2,)</f>
        <v>25.99</v>
      </c>
      <c r="C57" s="14">
        <f t="shared" si="0"/>
        <v>2.7006172839504909E-3</v>
      </c>
      <c r="D57" s="14">
        <f t="shared" si="1"/>
        <v>9.3395035759360492E-2</v>
      </c>
      <c r="E57" s="15" t="e">
        <f>VLOOKUP(Table2[[#This Row],[Date]],'Fed Fund New'!$A:$C,2,FALSE)</f>
        <v>#N/A</v>
      </c>
      <c r="F57" s="15" t="e">
        <f>VLOOKUP(Table2[[#This Row],[Date]],'Fed Fund New'!$A:$C,3,FALSE)</f>
        <v>#N/A</v>
      </c>
    </row>
    <row r="58" spans="1:6" x14ac:dyDescent="0.2">
      <c r="A58" s="61">
        <v>18780</v>
      </c>
      <c r="B58" s="68">
        <f>VLOOKUP(Table2[[#This Row],[Date]],Database!A:E,2,)</f>
        <v>25.93</v>
      </c>
      <c r="C58" s="14">
        <f t="shared" si="0"/>
        <v>-2.3085802231627059E-3</v>
      </c>
      <c r="D58" s="14">
        <f t="shared" si="1"/>
        <v>8.5845896147403719E-2</v>
      </c>
      <c r="E58" s="15" t="e">
        <f>VLOOKUP(Table2[[#This Row],[Date]],'Fed Fund New'!$A:$C,2,FALSE)</f>
        <v>#N/A</v>
      </c>
      <c r="F58" s="15" t="e">
        <f>VLOOKUP(Table2[[#This Row],[Date]],'Fed Fund New'!$A:$C,3,FALSE)</f>
        <v>#N/A</v>
      </c>
    </row>
    <row r="59" spans="1:6" x14ac:dyDescent="0.2">
      <c r="A59" s="61">
        <v>18810</v>
      </c>
      <c r="B59" s="68">
        <f>VLOOKUP(Table2[[#This Row],[Date]],Database!A:E,2,)</f>
        <v>25.91</v>
      </c>
      <c r="C59" s="14">
        <f t="shared" si="0"/>
        <v>-7.7130736598532868E-4</v>
      </c>
      <c r="D59" s="14">
        <f t="shared" si="1"/>
        <v>7.6443705857914407E-2</v>
      </c>
      <c r="E59" s="15" t="e">
        <f>VLOOKUP(Table2[[#This Row],[Date]],'Fed Fund New'!$A:$C,2,FALSE)</f>
        <v>#N/A</v>
      </c>
      <c r="F59" s="15" t="e">
        <f>VLOOKUP(Table2[[#This Row],[Date]],'Fed Fund New'!$A:$C,3,FALSE)</f>
        <v>#N/A</v>
      </c>
    </row>
    <row r="60" spans="1:6" x14ac:dyDescent="0.2">
      <c r="A60" s="61">
        <v>18841</v>
      </c>
      <c r="B60" s="68">
        <f>VLOOKUP(Table2[[#This Row],[Date]],Database!A:E,2,)</f>
        <v>25.86</v>
      </c>
      <c r="C60" s="14">
        <f t="shared" si="0"/>
        <v>-1.9297568506368471E-3</v>
      </c>
      <c r="D60" s="14">
        <f t="shared" si="1"/>
        <v>6.859504132231406E-2</v>
      </c>
      <c r="E60" s="15" t="e">
        <f>VLOOKUP(Table2[[#This Row],[Date]],'Fed Fund New'!$A:$C,2,FALSE)</f>
        <v>#N/A</v>
      </c>
      <c r="F60" s="15" t="e">
        <f>VLOOKUP(Table2[[#This Row],[Date]],'Fed Fund New'!$A:$C,3,FALSE)</f>
        <v>#N/A</v>
      </c>
    </row>
    <row r="61" spans="1:6" x14ac:dyDescent="0.2">
      <c r="A61" s="61">
        <v>18872</v>
      </c>
      <c r="B61" s="68">
        <f>VLOOKUP(Table2[[#This Row],[Date]],Database!A:E,2,)</f>
        <v>26.03</v>
      </c>
      <c r="C61" s="14">
        <f t="shared" si="0"/>
        <v>6.5738592420727651E-3</v>
      </c>
      <c r="D61" s="14">
        <f t="shared" si="1"/>
        <v>6.943303204601485E-2</v>
      </c>
      <c r="E61" s="15" t="e">
        <f>VLOOKUP(Table2[[#This Row],[Date]],'Fed Fund New'!$A:$C,2,FALSE)</f>
        <v>#N/A</v>
      </c>
      <c r="F61" s="15" t="e">
        <f>VLOOKUP(Table2[[#This Row],[Date]],'Fed Fund New'!$A:$C,3,FALSE)</f>
        <v>#N/A</v>
      </c>
    </row>
    <row r="62" spans="1:6" x14ac:dyDescent="0.2">
      <c r="A62" s="61">
        <v>18902</v>
      </c>
      <c r="B62" s="68">
        <f>VLOOKUP(Table2[[#This Row],[Date]],Database!A:E,2,)</f>
        <v>26.16</v>
      </c>
      <c r="C62" s="14">
        <f t="shared" si="0"/>
        <v>4.9942374183633885E-3</v>
      </c>
      <c r="D62" s="14">
        <f t="shared" si="1"/>
        <v>6.7755102040816334E-2</v>
      </c>
      <c r="E62" s="15" t="e">
        <f>VLOOKUP(Table2[[#This Row],[Date]],'Fed Fund New'!$A:$C,2,FALSE)</f>
        <v>#N/A</v>
      </c>
      <c r="F62" s="15" t="e">
        <f>VLOOKUP(Table2[[#This Row],[Date]],'Fed Fund New'!$A:$C,3,FALSE)</f>
        <v>#N/A</v>
      </c>
    </row>
    <row r="63" spans="1:6" x14ac:dyDescent="0.2">
      <c r="A63" s="61">
        <v>18933</v>
      </c>
      <c r="B63" s="68">
        <f>VLOOKUP(Table2[[#This Row],[Date]],Database!A:E,2,)</f>
        <v>26.32</v>
      </c>
      <c r="C63" s="14">
        <f t="shared" si="0"/>
        <v>6.1162079510703416E-3</v>
      </c>
      <c r="D63" s="14">
        <f t="shared" si="1"/>
        <v>6.9918699186991826E-2</v>
      </c>
      <c r="E63" s="15" t="e">
        <f>VLOOKUP(Table2[[#This Row],[Date]],'Fed Fund New'!$A:$C,2,FALSE)</f>
        <v>#N/A</v>
      </c>
      <c r="F63" s="15" t="e">
        <f>VLOOKUP(Table2[[#This Row],[Date]],'Fed Fund New'!$A:$C,3,FALSE)</f>
        <v>#N/A</v>
      </c>
    </row>
    <row r="64" spans="1:6" x14ac:dyDescent="0.2">
      <c r="A64" s="61">
        <v>18963</v>
      </c>
      <c r="B64" s="68">
        <f>VLOOKUP(Table2[[#This Row],[Date]],Database!A:E,2,)</f>
        <v>26.47</v>
      </c>
      <c r="C64" s="14">
        <f t="shared" si="0"/>
        <v>5.6990881458966027E-3</v>
      </c>
      <c r="D64" s="14">
        <f t="shared" si="1"/>
        <v>5.9647718174539566E-2</v>
      </c>
      <c r="E64" s="15" t="e">
        <f>VLOOKUP(Table2[[#This Row],[Date]],'Fed Fund New'!$A:$C,2,FALSE)</f>
        <v>#N/A</v>
      </c>
      <c r="F64" s="15" t="e">
        <f>VLOOKUP(Table2[[#This Row],[Date]],'Fed Fund New'!$A:$C,3,FALSE)</f>
        <v>#N/A</v>
      </c>
    </row>
    <row r="65" spans="1:6" x14ac:dyDescent="0.2">
      <c r="A65" s="61">
        <v>18994</v>
      </c>
      <c r="B65" s="68">
        <f>VLOOKUP(Table2[[#This Row],[Date]],Database!A:E,2,)</f>
        <v>26.45</v>
      </c>
      <c r="C65" s="14">
        <f t="shared" si="0"/>
        <v>-7.5557234605211842E-4</v>
      </c>
      <c r="D65" s="14">
        <f t="shared" si="1"/>
        <v>4.215918045705281E-2</v>
      </c>
      <c r="E65" s="15" t="e">
        <f>VLOOKUP(Table2[[#This Row],[Date]],'Fed Fund New'!$A:$C,2,FALSE)</f>
        <v>#N/A</v>
      </c>
      <c r="F65" s="15" t="e">
        <f>VLOOKUP(Table2[[#This Row],[Date]],'Fed Fund New'!$A:$C,3,FALSE)</f>
        <v>#N/A</v>
      </c>
    </row>
    <row r="66" spans="1:6" x14ac:dyDescent="0.2">
      <c r="A66" s="61">
        <v>19025</v>
      </c>
      <c r="B66" s="68">
        <f>VLOOKUP(Table2[[#This Row],[Date]],Database!A:E,2,)</f>
        <v>26.41</v>
      </c>
      <c r="C66" s="14">
        <f t="shared" si="0"/>
        <v>-1.5122873345935406E-3</v>
      </c>
      <c r="D66" s="14">
        <f t="shared" si="1"/>
        <v>2.2454510259388383E-2</v>
      </c>
      <c r="E66" s="15" t="e">
        <f>VLOOKUP(Table2[[#This Row],[Date]],'Fed Fund New'!$A:$C,2,FALSE)</f>
        <v>#N/A</v>
      </c>
      <c r="F66" s="15" t="e">
        <f>VLOOKUP(Table2[[#This Row],[Date]],'Fed Fund New'!$A:$C,3,FALSE)</f>
        <v>#N/A</v>
      </c>
    </row>
    <row r="67" spans="1:6" x14ac:dyDescent="0.2">
      <c r="A67" s="61">
        <v>19054</v>
      </c>
      <c r="B67" s="68">
        <f>VLOOKUP(Table2[[#This Row],[Date]],Database!A:E,2,)</f>
        <v>26.39</v>
      </c>
      <c r="C67" s="14">
        <f t="shared" si="0"/>
        <v>-7.5728890571751504E-4</v>
      </c>
      <c r="D67" s="14">
        <f t="shared" si="1"/>
        <v>1.9706336939721854E-2</v>
      </c>
      <c r="E67" s="15" t="e">
        <f>VLOOKUP(Table2[[#This Row],[Date]],'Fed Fund New'!$A:$C,2,FALSE)</f>
        <v>#N/A</v>
      </c>
      <c r="F67" s="15" t="e">
        <f>VLOOKUP(Table2[[#This Row],[Date]],'Fed Fund New'!$A:$C,3,FALSE)</f>
        <v>#N/A</v>
      </c>
    </row>
    <row r="68" spans="1:6" x14ac:dyDescent="0.2">
      <c r="A68" s="61">
        <v>19085</v>
      </c>
      <c r="B68" s="68">
        <f>VLOOKUP(Table2[[#This Row],[Date]],Database!A:E,2,)</f>
        <v>26.46</v>
      </c>
      <c r="C68" s="14">
        <f t="shared" si="0"/>
        <v>2.6525198938992149E-3</v>
      </c>
      <c r="D68" s="14">
        <f t="shared" si="1"/>
        <v>2.0833333333333297E-2</v>
      </c>
      <c r="E68" s="15" t="e">
        <f>VLOOKUP(Table2[[#This Row],[Date]],'Fed Fund New'!$A:$C,2,FALSE)</f>
        <v>#N/A</v>
      </c>
      <c r="F68" s="15" t="e">
        <f>VLOOKUP(Table2[[#This Row],[Date]],'Fed Fund New'!$A:$C,3,FALSE)</f>
        <v>#N/A</v>
      </c>
    </row>
    <row r="69" spans="1:6" x14ac:dyDescent="0.2">
      <c r="A69" s="61">
        <v>19115</v>
      </c>
      <c r="B69" s="68">
        <f>VLOOKUP(Table2[[#This Row],[Date]],Database!A:E,2,)</f>
        <v>26.47</v>
      </c>
      <c r="C69" s="14">
        <f t="shared" si="0"/>
        <v>3.7792894935744561E-4</v>
      </c>
      <c r="D69" s="14">
        <f t="shared" si="1"/>
        <v>1.8468641785302057E-2</v>
      </c>
      <c r="E69" s="15" t="e">
        <f>VLOOKUP(Table2[[#This Row],[Date]],'Fed Fund New'!$A:$C,2,FALSE)</f>
        <v>#N/A</v>
      </c>
      <c r="F69" s="15" t="e">
        <f>VLOOKUP(Table2[[#This Row],[Date]],'Fed Fund New'!$A:$C,3,FALSE)</f>
        <v>#N/A</v>
      </c>
    </row>
    <row r="70" spans="1:6" x14ac:dyDescent="0.2">
      <c r="A70" s="61">
        <v>19146</v>
      </c>
      <c r="B70" s="68">
        <f>VLOOKUP(Table2[[#This Row],[Date]],Database!A:E,2,)</f>
        <v>26.53</v>
      </c>
      <c r="C70" s="14">
        <f t="shared" ref="C70:C133" si="2">(B70-B69)/B69</f>
        <v>2.2667170381564894E-3</v>
      </c>
      <c r="D70" s="14">
        <f t="shared" si="1"/>
        <v>2.313922097956041E-2</v>
      </c>
      <c r="E70" s="15" t="e">
        <f>VLOOKUP(Table2[[#This Row],[Date]],'Fed Fund New'!$A:$C,2,FALSE)</f>
        <v>#N/A</v>
      </c>
      <c r="F70" s="15" t="e">
        <f>VLOOKUP(Table2[[#This Row],[Date]],'Fed Fund New'!$A:$C,3,FALSE)</f>
        <v>#N/A</v>
      </c>
    </row>
    <row r="71" spans="1:6" x14ac:dyDescent="0.2">
      <c r="A71" s="61">
        <v>19176</v>
      </c>
      <c r="B71" s="68">
        <f>VLOOKUP(Table2[[#This Row],[Date]],Database!A:E,2,)</f>
        <v>26.68</v>
      </c>
      <c r="C71" s="14">
        <f t="shared" si="2"/>
        <v>5.6539766302298742E-3</v>
      </c>
      <c r="D71" s="14">
        <f t="shared" si="1"/>
        <v>2.9718255499807007E-2</v>
      </c>
      <c r="E71" s="15" t="e">
        <f>VLOOKUP(Table2[[#This Row],[Date]],'Fed Fund New'!$A:$C,2,FALSE)</f>
        <v>#N/A</v>
      </c>
      <c r="F71" s="15" t="e">
        <f>VLOOKUP(Table2[[#This Row],[Date]],'Fed Fund New'!$A:$C,3,FALSE)</f>
        <v>#N/A</v>
      </c>
    </row>
    <row r="72" spans="1:6" x14ac:dyDescent="0.2">
      <c r="A72" s="61">
        <v>19207</v>
      </c>
      <c r="B72" s="68">
        <f>VLOOKUP(Table2[[#This Row],[Date]],Database!A:E,2,)</f>
        <v>26.69</v>
      </c>
      <c r="C72" s="14">
        <f t="shared" si="2"/>
        <v>3.7481259370320701E-4</v>
      </c>
      <c r="D72" s="14">
        <f t="shared" si="1"/>
        <v>3.2095901005413839E-2</v>
      </c>
      <c r="E72" s="15" t="e">
        <f>VLOOKUP(Table2[[#This Row],[Date]],'Fed Fund New'!$A:$C,2,FALSE)</f>
        <v>#N/A</v>
      </c>
      <c r="F72" s="15" t="e">
        <f>VLOOKUP(Table2[[#This Row],[Date]],'Fed Fund New'!$A:$C,3,FALSE)</f>
        <v>#N/A</v>
      </c>
    </row>
    <row r="73" spans="1:6" x14ac:dyDescent="0.2">
      <c r="A73" s="61">
        <v>19238</v>
      </c>
      <c r="B73" s="68">
        <f>VLOOKUP(Table2[[#This Row],[Date]],Database!A:E,2,)</f>
        <v>26.63</v>
      </c>
      <c r="C73" s="14">
        <f t="shared" si="2"/>
        <v>-2.2480329711503286E-3</v>
      </c>
      <c r="D73" s="14">
        <f t="shared" si="1"/>
        <v>2.3050326546292656E-2</v>
      </c>
      <c r="E73" s="15" t="e">
        <f>VLOOKUP(Table2[[#This Row],[Date]],'Fed Fund New'!$A:$C,2,FALSE)</f>
        <v>#N/A</v>
      </c>
      <c r="F73" s="15" t="e">
        <f>VLOOKUP(Table2[[#This Row],[Date]],'Fed Fund New'!$A:$C,3,FALSE)</f>
        <v>#N/A</v>
      </c>
    </row>
    <row r="74" spans="1:6" x14ac:dyDescent="0.2">
      <c r="A74" s="61">
        <v>19268</v>
      </c>
      <c r="B74" s="68">
        <f>VLOOKUP(Table2[[#This Row],[Date]],Database!A:E,2,)</f>
        <v>26.69</v>
      </c>
      <c r="C74" s="14">
        <f t="shared" si="2"/>
        <v>2.2530980097635101E-3</v>
      </c>
      <c r="D74" s="14">
        <f t="shared" si="1"/>
        <v>2.0259938837920533E-2</v>
      </c>
      <c r="E74" s="15" t="e">
        <f>VLOOKUP(Table2[[#This Row],[Date]],'Fed Fund New'!$A:$C,2,FALSE)</f>
        <v>#N/A</v>
      </c>
      <c r="F74" s="15" t="e">
        <f>VLOOKUP(Table2[[#This Row],[Date]],'Fed Fund New'!$A:$C,3,FALSE)</f>
        <v>#N/A</v>
      </c>
    </row>
    <row r="75" spans="1:6" x14ac:dyDescent="0.2">
      <c r="A75" s="61">
        <v>19299</v>
      </c>
      <c r="B75" s="68">
        <f>VLOOKUP(Table2[[#This Row],[Date]],Database!A:E,2,)</f>
        <v>26.69</v>
      </c>
      <c r="C75" s="14">
        <f t="shared" si="2"/>
        <v>0</v>
      </c>
      <c r="D75" s="14">
        <f t="shared" si="1"/>
        <v>1.4057750759878458E-2</v>
      </c>
      <c r="E75" s="15" t="e">
        <f>VLOOKUP(Table2[[#This Row],[Date]],'Fed Fund New'!$A:$C,2,FALSE)</f>
        <v>#N/A</v>
      </c>
      <c r="F75" s="15" t="e">
        <f>VLOOKUP(Table2[[#This Row],[Date]],'Fed Fund New'!$A:$C,3,FALSE)</f>
        <v>#N/A</v>
      </c>
    </row>
    <row r="76" spans="1:6" x14ac:dyDescent="0.2">
      <c r="A76" s="61">
        <v>19329</v>
      </c>
      <c r="B76" s="68">
        <f>VLOOKUP(Table2[[#This Row],[Date]],Database!A:E,2,)</f>
        <v>26.71</v>
      </c>
      <c r="C76" s="14">
        <f t="shared" si="2"/>
        <v>7.4934432371673179E-4</v>
      </c>
      <c r="D76" s="14">
        <f t="shared" si="1"/>
        <v>9.0668681526256886E-3</v>
      </c>
      <c r="E76" s="15" t="e">
        <f>VLOOKUP(Table2[[#This Row],[Date]],'Fed Fund New'!$A:$C,2,FALSE)</f>
        <v>#N/A</v>
      </c>
      <c r="F76" s="15" t="e">
        <f>VLOOKUP(Table2[[#This Row],[Date]],'Fed Fund New'!$A:$C,3,FALSE)</f>
        <v>#N/A</v>
      </c>
    </row>
    <row r="77" spans="1:6" x14ac:dyDescent="0.2">
      <c r="A77" s="61">
        <v>19360</v>
      </c>
      <c r="B77" s="68">
        <f>VLOOKUP(Table2[[#This Row],[Date]],Database!A:E,2,)</f>
        <v>26.64</v>
      </c>
      <c r="C77" s="14">
        <f t="shared" si="2"/>
        <v>-2.6207412953949938E-3</v>
      </c>
      <c r="D77" s="14">
        <f t="shared" si="1"/>
        <v>7.1833648393195195E-3</v>
      </c>
      <c r="E77" s="15" t="e">
        <f>VLOOKUP(Table2[[#This Row],[Date]],'Fed Fund New'!$A:$C,2,FALSE)</f>
        <v>#N/A</v>
      </c>
      <c r="F77" s="15" t="e">
        <f>VLOOKUP(Table2[[#This Row],[Date]],'Fed Fund New'!$A:$C,3,FALSE)</f>
        <v>#N/A</v>
      </c>
    </row>
    <row r="78" spans="1:6" x14ac:dyDescent="0.2">
      <c r="A78" s="61">
        <v>19391</v>
      </c>
      <c r="B78" s="68">
        <f>VLOOKUP(Table2[[#This Row],[Date]],Database!A:E,2,)</f>
        <v>26.59</v>
      </c>
      <c r="C78" s="14">
        <f t="shared" si="2"/>
        <v>-1.8768768768769035E-3</v>
      </c>
      <c r="D78" s="14">
        <f t="shared" si="1"/>
        <v>6.8156001514577706E-3</v>
      </c>
      <c r="E78" s="15" t="e">
        <f>VLOOKUP(Table2[[#This Row],[Date]],'Fed Fund New'!$A:$C,2,FALSE)</f>
        <v>#N/A</v>
      </c>
      <c r="F78" s="15" t="e">
        <f>VLOOKUP(Table2[[#This Row],[Date]],'Fed Fund New'!$A:$C,3,FALSE)</f>
        <v>#N/A</v>
      </c>
    </row>
    <row r="79" spans="1:6" x14ac:dyDescent="0.2">
      <c r="A79" s="61">
        <v>19419</v>
      </c>
      <c r="B79" s="68">
        <f>VLOOKUP(Table2[[#This Row],[Date]],Database!A:E,2,)</f>
        <v>26.63</v>
      </c>
      <c r="C79" s="14">
        <f t="shared" si="2"/>
        <v>1.504324934185752E-3</v>
      </c>
      <c r="D79" s="14">
        <f t="shared" si="1"/>
        <v>9.0943539219400689E-3</v>
      </c>
      <c r="E79" s="15" t="e">
        <f>VLOOKUP(Table2[[#This Row],[Date]],'Fed Fund New'!$A:$C,2,FALSE)</f>
        <v>#N/A</v>
      </c>
      <c r="F79" s="15" t="e">
        <f>VLOOKUP(Table2[[#This Row],[Date]],'Fed Fund New'!$A:$C,3,FALSE)</f>
        <v>#N/A</v>
      </c>
    </row>
    <row r="80" spans="1:6" x14ac:dyDescent="0.2">
      <c r="A80" s="61">
        <v>19450</v>
      </c>
      <c r="B80" s="68">
        <f>VLOOKUP(Table2[[#This Row],[Date]],Database!A:E,2,)</f>
        <v>26.69</v>
      </c>
      <c r="C80" s="14">
        <f t="shared" si="2"/>
        <v>2.2530980097635101E-3</v>
      </c>
      <c r="D80" s="14">
        <f t="shared" si="1"/>
        <v>8.6923658352229937E-3</v>
      </c>
      <c r="E80" s="15" t="e">
        <f>VLOOKUP(Table2[[#This Row],[Date]],'Fed Fund New'!$A:$C,2,FALSE)</f>
        <v>#N/A</v>
      </c>
      <c r="F80" s="15" t="e">
        <f>VLOOKUP(Table2[[#This Row],[Date]],'Fed Fund New'!$A:$C,3,FALSE)</f>
        <v>#N/A</v>
      </c>
    </row>
    <row r="81" spans="1:6" x14ac:dyDescent="0.2">
      <c r="A81" s="61">
        <v>19480</v>
      </c>
      <c r="B81" s="68">
        <f>VLOOKUP(Table2[[#This Row],[Date]],Database!A:E,2,)</f>
        <v>26.7</v>
      </c>
      <c r="C81" s="14">
        <f t="shared" si="2"/>
        <v>3.7467216185829938E-4</v>
      </c>
      <c r="D81" s="14">
        <f t="shared" ref="D81:D144" si="3">(B81-B69)/B69</f>
        <v>8.6890819795995625E-3</v>
      </c>
      <c r="E81" s="15" t="e">
        <f>VLOOKUP(Table2[[#This Row],[Date]],'Fed Fund New'!$A:$C,2,FALSE)</f>
        <v>#N/A</v>
      </c>
      <c r="F81" s="15" t="e">
        <f>VLOOKUP(Table2[[#This Row],[Date]],'Fed Fund New'!$A:$C,3,FALSE)</f>
        <v>#N/A</v>
      </c>
    </row>
    <row r="82" spans="1:6" x14ac:dyDescent="0.2">
      <c r="A82" s="61">
        <v>19511</v>
      </c>
      <c r="B82" s="68">
        <f>VLOOKUP(Table2[[#This Row],[Date]],Database!A:E,2,)</f>
        <v>26.77</v>
      </c>
      <c r="C82" s="14">
        <f t="shared" si="2"/>
        <v>2.6217228464419581E-3</v>
      </c>
      <c r="D82" s="14">
        <f t="shared" si="3"/>
        <v>9.0463626083678254E-3</v>
      </c>
      <c r="E82" s="15" t="e">
        <f>VLOOKUP(Table2[[#This Row],[Date]],'Fed Fund New'!$A:$C,2,FALSE)</f>
        <v>#N/A</v>
      </c>
      <c r="F82" s="15" t="e">
        <f>VLOOKUP(Table2[[#This Row],[Date]],'Fed Fund New'!$A:$C,3,FALSE)</f>
        <v>#N/A</v>
      </c>
    </row>
    <row r="83" spans="1:6" x14ac:dyDescent="0.2">
      <c r="A83" s="61">
        <v>19541</v>
      </c>
      <c r="B83" s="68">
        <f>VLOOKUP(Table2[[#This Row],[Date]],Database!A:E,2,)</f>
        <v>26.79</v>
      </c>
      <c r="C83" s="14">
        <f t="shared" si="2"/>
        <v>7.4710496824802295E-4</v>
      </c>
      <c r="D83" s="14">
        <f t="shared" si="3"/>
        <v>4.1229385307346112E-3</v>
      </c>
      <c r="E83" s="15" t="e">
        <f>VLOOKUP(Table2[[#This Row],[Date]],'Fed Fund New'!$A:$C,2,FALSE)</f>
        <v>#N/A</v>
      </c>
      <c r="F83" s="15" t="e">
        <f>VLOOKUP(Table2[[#This Row],[Date]],'Fed Fund New'!$A:$C,3,FALSE)</f>
        <v>#N/A</v>
      </c>
    </row>
    <row r="84" spans="1:6" x14ac:dyDescent="0.2">
      <c r="A84" s="61">
        <v>19572</v>
      </c>
      <c r="B84" s="68">
        <f>VLOOKUP(Table2[[#This Row],[Date]],Database!A:E,2,)</f>
        <v>26.85</v>
      </c>
      <c r="C84" s="14">
        <f t="shared" si="2"/>
        <v>2.2396416573349114E-3</v>
      </c>
      <c r="D84" s="14">
        <f t="shared" si="3"/>
        <v>5.9947545897339879E-3</v>
      </c>
      <c r="E84" s="15" t="e">
        <f>VLOOKUP(Table2[[#This Row],[Date]],'Fed Fund New'!$A:$C,2,FALSE)</f>
        <v>#N/A</v>
      </c>
      <c r="F84" s="15" t="e">
        <f>VLOOKUP(Table2[[#This Row],[Date]],'Fed Fund New'!$A:$C,3,FALSE)</f>
        <v>#N/A</v>
      </c>
    </row>
    <row r="85" spans="1:6" x14ac:dyDescent="0.2">
      <c r="A85" s="61">
        <v>19603</v>
      </c>
      <c r="B85" s="68">
        <f>VLOOKUP(Table2[[#This Row],[Date]],Database!A:E,2,)</f>
        <v>26.89</v>
      </c>
      <c r="C85" s="14">
        <f t="shared" si="2"/>
        <v>1.489757914338888E-3</v>
      </c>
      <c r="D85" s="14">
        <f t="shared" si="3"/>
        <v>9.7634247089748993E-3</v>
      </c>
      <c r="E85" s="15" t="e">
        <f>VLOOKUP(Table2[[#This Row],[Date]],'Fed Fund New'!$A:$C,2,FALSE)</f>
        <v>#N/A</v>
      </c>
      <c r="F85" s="15" t="e">
        <f>VLOOKUP(Table2[[#This Row],[Date]],'Fed Fund New'!$A:$C,3,FALSE)</f>
        <v>#N/A</v>
      </c>
    </row>
    <row r="86" spans="1:6" x14ac:dyDescent="0.2">
      <c r="A86" s="61">
        <v>19633</v>
      </c>
      <c r="B86" s="68">
        <f>VLOOKUP(Table2[[#This Row],[Date]],Database!A:E,2,)</f>
        <v>26.95</v>
      </c>
      <c r="C86" s="14">
        <f t="shared" si="2"/>
        <v>2.2313127556712058E-3</v>
      </c>
      <c r="D86" s="14">
        <f t="shared" si="3"/>
        <v>9.7414762083176468E-3</v>
      </c>
      <c r="E86" s="15" t="e">
        <f>VLOOKUP(Table2[[#This Row],[Date]],'Fed Fund New'!$A:$C,2,FALSE)</f>
        <v>#N/A</v>
      </c>
      <c r="F86" s="15" t="e">
        <f>VLOOKUP(Table2[[#This Row],[Date]],'Fed Fund New'!$A:$C,3,FALSE)</f>
        <v>#N/A</v>
      </c>
    </row>
    <row r="87" spans="1:6" x14ac:dyDescent="0.2">
      <c r="A87" s="61">
        <v>19664</v>
      </c>
      <c r="B87" s="68">
        <f>VLOOKUP(Table2[[#This Row],[Date]],Database!A:E,2,)</f>
        <v>26.85</v>
      </c>
      <c r="C87" s="14">
        <f t="shared" si="2"/>
        <v>-3.7105751391464888E-3</v>
      </c>
      <c r="D87" s="14">
        <f t="shared" si="3"/>
        <v>5.9947545897339879E-3</v>
      </c>
      <c r="E87" s="15" t="e">
        <f>VLOOKUP(Table2[[#This Row],[Date]],'Fed Fund New'!$A:$C,2,FALSE)</f>
        <v>#N/A</v>
      </c>
      <c r="F87" s="15" t="e">
        <f>VLOOKUP(Table2[[#This Row],[Date]],'Fed Fund New'!$A:$C,3,FALSE)</f>
        <v>#N/A</v>
      </c>
    </row>
    <row r="88" spans="1:6" x14ac:dyDescent="0.2">
      <c r="A88" s="61">
        <v>19694</v>
      </c>
      <c r="B88" s="68">
        <f>VLOOKUP(Table2[[#This Row],[Date]],Database!A:E,2,)</f>
        <v>26.87</v>
      </c>
      <c r="C88" s="14">
        <f t="shared" si="2"/>
        <v>7.44878957169444E-4</v>
      </c>
      <c r="D88" s="14">
        <f t="shared" si="3"/>
        <v>5.9902658180456805E-3</v>
      </c>
      <c r="E88" s="15" t="e">
        <f>VLOOKUP(Table2[[#This Row],[Date]],'Fed Fund New'!$A:$C,2,FALSE)</f>
        <v>#N/A</v>
      </c>
      <c r="F88" s="15" t="e">
        <f>VLOOKUP(Table2[[#This Row],[Date]],'Fed Fund New'!$A:$C,3,FALSE)</f>
        <v>#N/A</v>
      </c>
    </row>
    <row r="89" spans="1:6" x14ac:dyDescent="0.2">
      <c r="A89" s="61">
        <v>19725</v>
      </c>
      <c r="B89" s="68">
        <f>VLOOKUP(Table2[[#This Row],[Date]],Database!A:E,2,)</f>
        <v>26.94</v>
      </c>
      <c r="C89" s="14">
        <f t="shared" si="2"/>
        <v>2.6051358392259129E-3</v>
      </c>
      <c r="D89" s="14">
        <f t="shared" si="3"/>
        <v>1.1261261261261288E-2</v>
      </c>
      <c r="E89" s="15" t="e">
        <f>VLOOKUP(Table2[[#This Row],[Date]],'Fed Fund New'!$A:$C,2,FALSE)</f>
        <v>#N/A</v>
      </c>
      <c r="F89" s="15" t="e">
        <f>VLOOKUP(Table2[[#This Row],[Date]],'Fed Fund New'!$A:$C,3,FALSE)</f>
        <v>#N/A</v>
      </c>
    </row>
    <row r="90" spans="1:6" x14ac:dyDescent="0.2">
      <c r="A90" s="61">
        <v>19756</v>
      </c>
      <c r="B90" s="68">
        <f>VLOOKUP(Table2[[#This Row],[Date]],Database!A:E,2,)</f>
        <v>26.99</v>
      </c>
      <c r="C90" s="14">
        <f t="shared" si="2"/>
        <v>1.8559762435039775E-3</v>
      </c>
      <c r="D90" s="14">
        <f t="shared" si="3"/>
        <v>1.5043249341857788E-2</v>
      </c>
      <c r="E90" s="15" t="e">
        <f>VLOOKUP(Table2[[#This Row],[Date]],'Fed Fund New'!$A:$C,2,FALSE)</f>
        <v>#N/A</v>
      </c>
      <c r="F90" s="15" t="e">
        <f>VLOOKUP(Table2[[#This Row],[Date]],'Fed Fund New'!$A:$C,3,FALSE)</f>
        <v>#N/A</v>
      </c>
    </row>
    <row r="91" spans="1:6" x14ac:dyDescent="0.2">
      <c r="A91" s="61">
        <v>19784</v>
      </c>
      <c r="B91" s="68">
        <f>VLOOKUP(Table2[[#This Row],[Date]],Database!A:E,2,)</f>
        <v>26.93</v>
      </c>
      <c r="C91" s="14">
        <f t="shared" si="2"/>
        <v>-2.2230455724341876E-3</v>
      </c>
      <c r="D91" s="14">
        <f t="shared" si="3"/>
        <v>1.1265490048817151E-2</v>
      </c>
      <c r="E91" s="15" t="e">
        <f>VLOOKUP(Table2[[#This Row],[Date]],'Fed Fund New'!$A:$C,2,FALSE)</f>
        <v>#N/A</v>
      </c>
      <c r="F91" s="15" t="e">
        <f>VLOOKUP(Table2[[#This Row],[Date]],'Fed Fund New'!$A:$C,3,FALSE)</f>
        <v>#N/A</v>
      </c>
    </row>
    <row r="92" spans="1:6" x14ac:dyDescent="0.2">
      <c r="A92" s="61">
        <v>19815</v>
      </c>
      <c r="B92" s="68">
        <f>VLOOKUP(Table2[[#This Row],[Date]],Database!A:E,2,)</f>
        <v>26.86</v>
      </c>
      <c r="C92" s="14">
        <f t="shared" si="2"/>
        <v>-2.5993316004456102E-3</v>
      </c>
      <c r="D92" s="14">
        <f t="shared" si="3"/>
        <v>6.3694267515922868E-3</v>
      </c>
      <c r="E92" s="15" t="e">
        <f>VLOOKUP(Table2[[#This Row],[Date]],'Fed Fund New'!$A:$C,2,FALSE)</f>
        <v>#N/A</v>
      </c>
      <c r="F92" s="15" t="e">
        <f>VLOOKUP(Table2[[#This Row],[Date]],'Fed Fund New'!$A:$C,3,FALSE)</f>
        <v>#N/A</v>
      </c>
    </row>
    <row r="93" spans="1:6" x14ac:dyDescent="0.2">
      <c r="A93" s="61">
        <v>19845</v>
      </c>
      <c r="B93" s="68">
        <f>VLOOKUP(Table2[[#This Row],[Date]],Database!A:E,2,)</f>
        <v>26.93</v>
      </c>
      <c r="C93" s="14">
        <f t="shared" si="2"/>
        <v>2.6061057334326241E-3</v>
      </c>
      <c r="D93" s="14">
        <f t="shared" si="3"/>
        <v>8.6142322097378446E-3</v>
      </c>
      <c r="E93" s="15" t="e">
        <f>VLOOKUP(Table2[[#This Row],[Date]],'Fed Fund New'!$A:$C,2,FALSE)</f>
        <v>#N/A</v>
      </c>
      <c r="F93" s="15" t="e">
        <f>VLOOKUP(Table2[[#This Row],[Date]],'Fed Fund New'!$A:$C,3,FALSE)</f>
        <v>#N/A</v>
      </c>
    </row>
    <row r="94" spans="1:6" x14ac:dyDescent="0.2">
      <c r="A94" s="61">
        <v>19876</v>
      </c>
      <c r="B94" s="68">
        <f>VLOOKUP(Table2[[#This Row],[Date]],Database!A:E,2,)</f>
        <v>26.94</v>
      </c>
      <c r="C94" s="14">
        <f t="shared" si="2"/>
        <v>3.7133308577800086E-4</v>
      </c>
      <c r="D94" s="14">
        <f t="shared" si="3"/>
        <v>6.350392230108394E-3</v>
      </c>
      <c r="E94" s="15" t="e">
        <f>VLOOKUP(Table2[[#This Row],[Date]],'Fed Fund New'!$A:$C,2,FALSE)</f>
        <v>#N/A</v>
      </c>
      <c r="F94" s="15" t="e">
        <f>VLOOKUP(Table2[[#This Row],[Date]],'Fed Fund New'!$A:$C,3,FALSE)</f>
        <v>#N/A</v>
      </c>
    </row>
    <row r="95" spans="1:6" x14ac:dyDescent="0.2">
      <c r="A95" s="61">
        <v>19906</v>
      </c>
      <c r="B95" s="68">
        <f>VLOOKUP(Table2[[#This Row],[Date]],Database!A:E,2,)</f>
        <v>26.86</v>
      </c>
      <c r="C95" s="14">
        <f t="shared" si="2"/>
        <v>-2.9695619896066014E-3</v>
      </c>
      <c r="D95" s="14">
        <f t="shared" si="3"/>
        <v>2.6129152668906415E-3</v>
      </c>
      <c r="E95" s="15">
        <f>VLOOKUP(Table2[[#This Row],[Date]],'Fed Fund New'!$A:$C,2,FALSE)</f>
        <v>0</v>
      </c>
      <c r="F95" s="15">
        <f>VLOOKUP(Table2[[#This Row],[Date]],'Fed Fund New'!$A:$C,3,FALSE)</f>
        <v>0.8</v>
      </c>
    </row>
    <row r="96" spans="1:6" x14ac:dyDescent="0.2">
      <c r="A96" s="61">
        <v>19937</v>
      </c>
      <c r="B96" s="68">
        <f>VLOOKUP(Table2[[#This Row],[Date]],Database!A:E,2,)</f>
        <v>26.85</v>
      </c>
      <c r="C96" s="14">
        <f t="shared" si="2"/>
        <v>-3.7230081906172789E-4</v>
      </c>
      <c r="D96" s="14">
        <f t="shared" si="3"/>
        <v>0</v>
      </c>
      <c r="E96" s="15">
        <f>VLOOKUP(Table2[[#This Row],[Date]],'Fed Fund New'!$A:$C,2,FALSE)</f>
        <v>0</v>
      </c>
      <c r="F96" s="15">
        <f>VLOOKUP(Table2[[#This Row],[Date]],'Fed Fund New'!$A:$C,3,FALSE)</f>
        <v>1.22</v>
      </c>
    </row>
    <row r="97" spans="1:6" x14ac:dyDescent="0.2">
      <c r="A97" s="61">
        <v>19968</v>
      </c>
      <c r="B97" s="68">
        <f>VLOOKUP(Table2[[#This Row],[Date]],Database!A:E,2,)</f>
        <v>26.81</v>
      </c>
      <c r="C97" s="14">
        <f t="shared" si="2"/>
        <v>-1.4897579143390205E-3</v>
      </c>
      <c r="D97" s="14">
        <f t="shared" si="3"/>
        <v>-2.9750836742284065E-3</v>
      </c>
      <c r="E97" s="15">
        <f>VLOOKUP(Table2[[#This Row],[Date]],'Fed Fund New'!$A:$C,2,FALSE)</f>
        <v>0</v>
      </c>
      <c r="F97" s="15">
        <f>VLOOKUP(Table2[[#This Row],[Date]],'Fed Fund New'!$A:$C,3,FALSE)</f>
        <v>1.07</v>
      </c>
    </row>
    <row r="98" spans="1:6" x14ac:dyDescent="0.2">
      <c r="A98" s="61">
        <v>19998</v>
      </c>
      <c r="B98" s="68">
        <f>VLOOKUP(Table2[[#This Row],[Date]],Database!A:E,2,)</f>
        <v>26.72</v>
      </c>
      <c r="C98" s="14">
        <f t="shared" si="2"/>
        <v>-3.3569563595673203E-3</v>
      </c>
      <c r="D98" s="14">
        <f t="shared" si="3"/>
        <v>-8.534322820037122E-3</v>
      </c>
      <c r="E98" s="15">
        <f>VLOOKUP(Table2[[#This Row],[Date]],'Fed Fund New'!$A:$C,2,FALSE)</f>
        <v>0</v>
      </c>
      <c r="F98" s="15">
        <f>VLOOKUP(Table2[[#This Row],[Date]],'Fed Fund New'!$A:$C,3,FALSE)</f>
        <v>0.85</v>
      </c>
    </row>
    <row r="99" spans="1:6" x14ac:dyDescent="0.2">
      <c r="A99" s="61">
        <v>20029</v>
      </c>
      <c r="B99" s="68">
        <f>VLOOKUP(Table2[[#This Row],[Date]],Database!A:E,2,)</f>
        <v>26.78</v>
      </c>
      <c r="C99" s="14">
        <f t="shared" si="2"/>
        <v>2.2455089820360135E-3</v>
      </c>
      <c r="D99" s="14">
        <f t="shared" si="3"/>
        <v>-2.6070763500931201E-3</v>
      </c>
      <c r="E99" s="15">
        <f>VLOOKUP(Table2[[#This Row],[Date]],'Fed Fund New'!$A:$C,2,FALSE)</f>
        <v>0</v>
      </c>
      <c r="F99" s="15">
        <f>VLOOKUP(Table2[[#This Row],[Date]],'Fed Fund New'!$A:$C,3,FALSE)</f>
        <v>0.83</v>
      </c>
    </row>
    <row r="100" spans="1:6" x14ac:dyDescent="0.2">
      <c r="A100" s="61">
        <v>20059</v>
      </c>
      <c r="B100" s="68">
        <f>VLOOKUP(Table2[[#This Row],[Date]],Database!A:E,2,)</f>
        <v>26.77</v>
      </c>
      <c r="C100" s="14">
        <f t="shared" si="2"/>
        <v>-3.7341299477227643E-4</v>
      </c>
      <c r="D100" s="14">
        <f t="shared" si="3"/>
        <v>-3.7216226274656276E-3</v>
      </c>
      <c r="E100" s="15">
        <f>VLOOKUP(Table2[[#This Row],[Date]],'Fed Fund New'!$A:$C,2,FALSE)</f>
        <v>0</v>
      </c>
      <c r="F100" s="15">
        <f>VLOOKUP(Table2[[#This Row],[Date]],'Fed Fund New'!$A:$C,3,FALSE)</f>
        <v>1.28</v>
      </c>
    </row>
    <row r="101" spans="1:6" x14ac:dyDescent="0.2">
      <c r="A101" s="61">
        <v>20090</v>
      </c>
      <c r="B101" s="68">
        <f>VLOOKUP(Table2[[#This Row],[Date]],Database!A:E,2,)</f>
        <v>26.77</v>
      </c>
      <c r="C101" s="14">
        <f t="shared" si="2"/>
        <v>0</v>
      </c>
      <c r="D101" s="14">
        <f t="shared" si="3"/>
        <v>-6.3103192279139455E-3</v>
      </c>
      <c r="E101" s="15">
        <f>VLOOKUP(Table2[[#This Row],[Date]],'Fed Fund New'!$A:$C,2,FALSE)</f>
        <v>0</v>
      </c>
      <c r="F101" s="15">
        <f>VLOOKUP(Table2[[#This Row],[Date]],'Fed Fund New'!$A:$C,3,FALSE)</f>
        <v>1.39</v>
      </c>
    </row>
    <row r="102" spans="1:6" x14ac:dyDescent="0.2">
      <c r="A102" s="61">
        <v>20121</v>
      </c>
      <c r="B102" s="68">
        <f>VLOOKUP(Table2[[#This Row],[Date]],Database!A:E,2,)</f>
        <v>26.82</v>
      </c>
      <c r="C102" s="14">
        <f t="shared" si="2"/>
        <v>1.8677624206201236E-3</v>
      </c>
      <c r="D102" s="14">
        <f t="shared" si="3"/>
        <v>-6.298629121896931E-3</v>
      </c>
      <c r="E102" s="15">
        <f>VLOOKUP(Table2[[#This Row],[Date]],'Fed Fund New'!$A:$C,2,FALSE)</f>
        <v>0</v>
      </c>
      <c r="F102" s="15">
        <f>VLOOKUP(Table2[[#This Row],[Date]],'Fed Fund New'!$A:$C,3,FALSE)</f>
        <v>1.29</v>
      </c>
    </row>
    <row r="103" spans="1:6" x14ac:dyDescent="0.2">
      <c r="A103" s="61">
        <v>20149</v>
      </c>
      <c r="B103" s="68">
        <f>VLOOKUP(Table2[[#This Row],[Date]],Database!A:E,2,)</f>
        <v>26.79</v>
      </c>
      <c r="C103" s="14">
        <f t="shared" si="2"/>
        <v>-1.1185682326622349E-3</v>
      </c>
      <c r="D103" s="14">
        <f t="shared" si="3"/>
        <v>-5.1986632008912204E-3</v>
      </c>
      <c r="E103" s="15">
        <f>VLOOKUP(Table2[[#This Row],[Date]],'Fed Fund New'!$A:$C,2,FALSE)</f>
        <v>0</v>
      </c>
      <c r="F103" s="15">
        <f>VLOOKUP(Table2[[#This Row],[Date]],'Fed Fund New'!$A:$C,3,FALSE)</f>
        <v>1.35</v>
      </c>
    </row>
    <row r="104" spans="1:6" x14ac:dyDescent="0.2">
      <c r="A104" s="61">
        <v>20180</v>
      </c>
      <c r="B104" s="68">
        <f>VLOOKUP(Table2[[#This Row],[Date]],Database!A:E,2,)</f>
        <v>26.79</v>
      </c>
      <c r="C104" s="14">
        <f t="shared" si="2"/>
        <v>0</v>
      </c>
      <c r="D104" s="14">
        <f t="shared" si="3"/>
        <v>-2.6061057334326241E-3</v>
      </c>
      <c r="E104" s="15">
        <f>VLOOKUP(Table2[[#This Row],[Date]],'Fed Fund New'!$A:$C,2,FALSE)</f>
        <v>0</v>
      </c>
      <c r="F104" s="15">
        <f>VLOOKUP(Table2[[#This Row],[Date]],'Fed Fund New'!$A:$C,3,FALSE)</f>
        <v>1.43</v>
      </c>
    </row>
    <row r="105" spans="1:6" x14ac:dyDescent="0.2">
      <c r="A105" s="61">
        <v>20210</v>
      </c>
      <c r="B105" s="68">
        <f>VLOOKUP(Table2[[#This Row],[Date]],Database!A:E,2,)</f>
        <v>26.77</v>
      </c>
      <c r="C105" s="14">
        <f t="shared" si="2"/>
        <v>-7.4654721911159288E-4</v>
      </c>
      <c r="D105" s="14">
        <f t="shared" si="3"/>
        <v>-5.9413293724470901E-3</v>
      </c>
      <c r="E105" s="15">
        <f>VLOOKUP(Table2[[#This Row],[Date]],'Fed Fund New'!$A:$C,2,FALSE)</f>
        <v>0</v>
      </c>
      <c r="F105" s="15">
        <f>VLOOKUP(Table2[[#This Row],[Date]],'Fed Fund New'!$A:$C,3,FALSE)</f>
        <v>1.43</v>
      </c>
    </row>
    <row r="106" spans="1:6" x14ac:dyDescent="0.2">
      <c r="A106" s="61">
        <v>20241</v>
      </c>
      <c r="B106" s="68">
        <f>VLOOKUP(Table2[[#This Row],[Date]],Database!A:E,2,)</f>
        <v>26.71</v>
      </c>
      <c r="C106" s="14">
        <f t="shared" si="2"/>
        <v>-2.2413149047440686E-3</v>
      </c>
      <c r="D106" s="14">
        <f t="shared" si="3"/>
        <v>-8.5374907201187979E-3</v>
      </c>
      <c r="E106" s="15">
        <f>VLOOKUP(Table2[[#This Row],[Date]],'Fed Fund New'!$A:$C,2,FALSE)</f>
        <v>0</v>
      </c>
      <c r="F106" s="15">
        <f>VLOOKUP(Table2[[#This Row],[Date]],'Fed Fund New'!$A:$C,3,FALSE)</f>
        <v>1.64</v>
      </c>
    </row>
    <row r="107" spans="1:6" x14ac:dyDescent="0.2">
      <c r="A107" s="61">
        <v>20271</v>
      </c>
      <c r="B107" s="68">
        <f>VLOOKUP(Table2[[#This Row],[Date]],Database!A:E,2,)</f>
        <v>26.76</v>
      </c>
      <c r="C107" s="14">
        <f t="shared" si="2"/>
        <v>1.8719580681393001E-3</v>
      </c>
      <c r="D107" s="14">
        <f t="shared" si="3"/>
        <v>-3.7230081906179401E-3</v>
      </c>
      <c r="E107" s="15">
        <f>VLOOKUP(Table2[[#This Row],[Date]],'Fed Fund New'!$A:$C,2,FALSE)</f>
        <v>0</v>
      </c>
      <c r="F107" s="15">
        <f>VLOOKUP(Table2[[#This Row],[Date]],'Fed Fund New'!$A:$C,3,FALSE)</f>
        <v>1.68</v>
      </c>
    </row>
    <row r="108" spans="1:6" x14ac:dyDescent="0.2">
      <c r="A108" s="61">
        <v>20302</v>
      </c>
      <c r="B108" s="68">
        <f>VLOOKUP(Table2[[#This Row],[Date]],Database!A:E,2,)</f>
        <v>26.72</v>
      </c>
      <c r="C108" s="14">
        <f t="shared" si="2"/>
        <v>-1.4947683109119096E-3</v>
      </c>
      <c r="D108" s="14">
        <f t="shared" si="3"/>
        <v>-4.8417132216015844E-3</v>
      </c>
      <c r="E108" s="15">
        <f>VLOOKUP(Table2[[#This Row],[Date]],'Fed Fund New'!$A:$C,2,FALSE)</f>
        <v>0</v>
      </c>
      <c r="F108" s="15">
        <f>VLOOKUP(Table2[[#This Row],[Date]],'Fed Fund New'!$A:$C,3,FALSE)</f>
        <v>1.96</v>
      </c>
    </row>
    <row r="109" spans="1:6" x14ac:dyDescent="0.2">
      <c r="A109" s="61">
        <v>20333</v>
      </c>
      <c r="B109" s="68">
        <f>VLOOKUP(Table2[[#This Row],[Date]],Database!A:E,2,)</f>
        <v>26.85</v>
      </c>
      <c r="C109" s="14">
        <f t="shared" si="2"/>
        <v>4.8652694610779399E-3</v>
      </c>
      <c r="D109" s="14">
        <f t="shared" si="3"/>
        <v>1.4919806042522454E-3</v>
      </c>
      <c r="E109" s="15">
        <f>VLOOKUP(Table2[[#This Row],[Date]],'Fed Fund New'!$A:$C,2,FALSE)</f>
        <v>0</v>
      </c>
      <c r="F109" s="15">
        <f>VLOOKUP(Table2[[#This Row],[Date]],'Fed Fund New'!$A:$C,3,FALSE)</f>
        <v>2.1800000000000002</v>
      </c>
    </row>
    <row r="110" spans="1:6" x14ac:dyDescent="0.2">
      <c r="A110" s="61">
        <v>20363</v>
      </c>
      <c r="B110" s="68">
        <f>VLOOKUP(Table2[[#This Row],[Date]],Database!A:E,2,)</f>
        <v>26.82</v>
      </c>
      <c r="C110" s="14">
        <f t="shared" si="2"/>
        <v>-1.1173184357542321E-3</v>
      </c>
      <c r="D110" s="14">
        <f t="shared" si="3"/>
        <v>3.7425149700599336E-3</v>
      </c>
      <c r="E110" s="15">
        <f>VLOOKUP(Table2[[#This Row],[Date]],'Fed Fund New'!$A:$C,2,FALSE)</f>
        <v>0</v>
      </c>
      <c r="F110" s="15">
        <f>VLOOKUP(Table2[[#This Row],[Date]],'Fed Fund New'!$A:$C,3,FALSE)</f>
        <v>2.2400000000000002</v>
      </c>
    </row>
    <row r="111" spans="1:6" x14ac:dyDescent="0.2">
      <c r="A111" s="61">
        <v>20394</v>
      </c>
      <c r="B111" s="68">
        <f>VLOOKUP(Table2[[#This Row],[Date]],Database!A:E,2,)</f>
        <v>26.88</v>
      </c>
      <c r="C111" s="14">
        <f t="shared" si="2"/>
        <v>2.237136465324337E-3</v>
      </c>
      <c r="D111" s="14">
        <f t="shared" si="3"/>
        <v>3.734129947722101E-3</v>
      </c>
      <c r="E111" s="15">
        <f>VLOOKUP(Table2[[#This Row],[Date]],'Fed Fund New'!$A:$C,2,FALSE)</f>
        <v>0</v>
      </c>
      <c r="F111" s="15">
        <f>VLOOKUP(Table2[[#This Row],[Date]],'Fed Fund New'!$A:$C,3,FALSE)</f>
        <v>2.35</v>
      </c>
    </row>
    <row r="112" spans="1:6" x14ac:dyDescent="0.2">
      <c r="A112" s="61">
        <v>20424</v>
      </c>
      <c r="B112" s="68">
        <f>VLOOKUP(Table2[[#This Row],[Date]],Database!A:E,2,)</f>
        <v>26.87</v>
      </c>
      <c r="C112" s="14">
        <f t="shared" si="2"/>
        <v>-3.7202380952373551E-4</v>
      </c>
      <c r="D112" s="14">
        <f t="shared" si="3"/>
        <v>3.7355248412402472E-3</v>
      </c>
      <c r="E112" s="15">
        <f>VLOOKUP(Table2[[#This Row],[Date]],'Fed Fund New'!$A:$C,2,FALSE)</f>
        <v>0</v>
      </c>
      <c r="F112" s="15">
        <f>VLOOKUP(Table2[[#This Row],[Date]],'Fed Fund New'!$A:$C,3,FALSE)</f>
        <v>2.48</v>
      </c>
    </row>
    <row r="113" spans="1:6" x14ac:dyDescent="0.2">
      <c r="A113" s="61">
        <v>20455</v>
      </c>
      <c r="B113" s="68">
        <f>VLOOKUP(Table2[[#This Row],[Date]],Database!A:E,2,)</f>
        <v>26.83</v>
      </c>
      <c r="C113" s="14">
        <f t="shared" si="2"/>
        <v>-1.4886490509863305E-3</v>
      </c>
      <c r="D113" s="14">
        <f t="shared" si="3"/>
        <v>2.2413149047440686E-3</v>
      </c>
      <c r="E113" s="15">
        <f>VLOOKUP(Table2[[#This Row],[Date]],'Fed Fund New'!$A:$C,2,FALSE)</f>
        <v>0</v>
      </c>
      <c r="F113" s="15">
        <f>VLOOKUP(Table2[[#This Row],[Date]],'Fed Fund New'!$A:$C,3,FALSE)</f>
        <v>2.4500000000000002</v>
      </c>
    </row>
    <row r="114" spans="1:6" x14ac:dyDescent="0.2">
      <c r="A114" s="61">
        <v>20486</v>
      </c>
      <c r="B114" s="68">
        <f>VLOOKUP(Table2[[#This Row],[Date]],Database!A:E,2,)</f>
        <v>26.86</v>
      </c>
      <c r="C114" s="14">
        <f t="shared" si="2"/>
        <v>1.1181513231457748E-3</v>
      </c>
      <c r="D114" s="14">
        <f t="shared" si="3"/>
        <v>1.4914243102162248E-3</v>
      </c>
      <c r="E114" s="15">
        <f>VLOOKUP(Table2[[#This Row],[Date]],'Fed Fund New'!$A:$C,2,FALSE)</f>
        <v>0</v>
      </c>
      <c r="F114" s="15">
        <f>VLOOKUP(Table2[[#This Row],[Date]],'Fed Fund New'!$A:$C,3,FALSE)</f>
        <v>2.5</v>
      </c>
    </row>
    <row r="115" spans="1:6" x14ac:dyDescent="0.2">
      <c r="A115" s="61">
        <v>20515</v>
      </c>
      <c r="B115" s="68">
        <f>VLOOKUP(Table2[[#This Row],[Date]],Database!A:E,2,)</f>
        <v>26.89</v>
      </c>
      <c r="C115" s="14">
        <f t="shared" si="2"/>
        <v>1.116902457185448E-3</v>
      </c>
      <c r="D115" s="14">
        <f t="shared" si="3"/>
        <v>3.7327360955580974E-3</v>
      </c>
      <c r="E115" s="15">
        <f>VLOOKUP(Table2[[#This Row],[Date]],'Fed Fund New'!$A:$C,2,FALSE)</f>
        <v>0</v>
      </c>
      <c r="F115" s="15">
        <f>VLOOKUP(Table2[[#This Row],[Date]],'Fed Fund New'!$A:$C,3,FALSE)</f>
        <v>2.5</v>
      </c>
    </row>
    <row r="116" spans="1:6" x14ac:dyDescent="0.2">
      <c r="A116" s="61">
        <v>20546</v>
      </c>
      <c r="B116" s="68">
        <f>VLOOKUP(Table2[[#This Row],[Date]],Database!A:E,2,)</f>
        <v>26.93</v>
      </c>
      <c r="C116" s="14">
        <f t="shared" si="2"/>
        <v>1.4875418371141371E-3</v>
      </c>
      <c r="D116" s="14">
        <f t="shared" si="3"/>
        <v>5.2258305337812829E-3</v>
      </c>
      <c r="E116" s="15">
        <f>VLOOKUP(Table2[[#This Row],[Date]],'Fed Fund New'!$A:$C,2,FALSE)</f>
        <v>0</v>
      </c>
      <c r="F116" s="15">
        <f>VLOOKUP(Table2[[#This Row],[Date]],'Fed Fund New'!$A:$C,3,FALSE)</f>
        <v>2.62</v>
      </c>
    </row>
    <row r="117" spans="1:6" x14ac:dyDescent="0.2">
      <c r="A117" s="61">
        <v>20576</v>
      </c>
      <c r="B117" s="68">
        <f>VLOOKUP(Table2[[#This Row],[Date]],Database!A:E,2,)</f>
        <v>27.03</v>
      </c>
      <c r="C117" s="14">
        <f t="shared" si="2"/>
        <v>3.7133308577794811E-3</v>
      </c>
      <c r="D117" s="14">
        <f t="shared" si="3"/>
        <v>9.7123645872245635E-3</v>
      </c>
      <c r="E117" s="15">
        <f>VLOOKUP(Table2[[#This Row],[Date]],'Fed Fund New'!$A:$C,2,FALSE)</f>
        <v>0</v>
      </c>
      <c r="F117" s="15">
        <f>VLOOKUP(Table2[[#This Row],[Date]],'Fed Fund New'!$A:$C,3,FALSE)</f>
        <v>2.75</v>
      </c>
    </row>
    <row r="118" spans="1:6" x14ac:dyDescent="0.2">
      <c r="A118" s="61">
        <v>20607</v>
      </c>
      <c r="B118" s="68">
        <f>VLOOKUP(Table2[[#This Row],[Date]],Database!A:E,2,)</f>
        <v>27.15</v>
      </c>
      <c r="C118" s="14">
        <f t="shared" si="2"/>
        <v>4.4395116537179966E-3</v>
      </c>
      <c r="D118" s="14">
        <f t="shared" si="3"/>
        <v>1.6473230999625523E-2</v>
      </c>
      <c r="E118" s="15">
        <f>VLOOKUP(Table2[[#This Row],[Date]],'Fed Fund New'!$A:$C,2,FALSE)</f>
        <v>0</v>
      </c>
      <c r="F118" s="15">
        <f>VLOOKUP(Table2[[#This Row],[Date]],'Fed Fund New'!$A:$C,3,FALSE)</f>
        <v>2.71</v>
      </c>
    </row>
    <row r="119" spans="1:6" x14ac:dyDescent="0.2">
      <c r="A119" s="61">
        <v>20637</v>
      </c>
      <c r="B119" s="68">
        <f>VLOOKUP(Table2[[#This Row],[Date]],Database!A:E,2,)</f>
        <v>27.29</v>
      </c>
      <c r="C119" s="14">
        <f t="shared" si="2"/>
        <v>5.1565377532228574E-3</v>
      </c>
      <c r="D119" s="14">
        <f t="shared" si="3"/>
        <v>1.9805680119581375E-2</v>
      </c>
      <c r="E119" s="15">
        <f>VLOOKUP(Table2[[#This Row],[Date]],'Fed Fund New'!$A:$C,2,FALSE)</f>
        <v>0</v>
      </c>
      <c r="F119" s="15">
        <f>VLOOKUP(Table2[[#This Row],[Date]],'Fed Fund New'!$A:$C,3,FALSE)</f>
        <v>2.75</v>
      </c>
    </row>
    <row r="120" spans="1:6" x14ac:dyDescent="0.2">
      <c r="A120" s="61">
        <v>20668</v>
      </c>
      <c r="B120" s="68">
        <f>VLOOKUP(Table2[[#This Row],[Date]],Database!A:E,2,)</f>
        <v>27.31</v>
      </c>
      <c r="C120" s="14">
        <f t="shared" si="2"/>
        <v>7.328691828508455E-4</v>
      </c>
      <c r="D120" s="14">
        <f t="shared" si="3"/>
        <v>2.2080838323353291E-2</v>
      </c>
      <c r="E120" s="15">
        <f>VLOOKUP(Table2[[#This Row],[Date]],'Fed Fund New'!$A:$C,2,FALSE)</f>
        <v>0</v>
      </c>
      <c r="F120" s="15">
        <f>VLOOKUP(Table2[[#This Row],[Date]],'Fed Fund New'!$A:$C,3,FALSE)</f>
        <v>2.73</v>
      </c>
    </row>
    <row r="121" spans="1:6" x14ac:dyDescent="0.2">
      <c r="A121" s="61">
        <v>20699</v>
      </c>
      <c r="B121" s="68">
        <f>VLOOKUP(Table2[[#This Row],[Date]],Database!A:E,2,)</f>
        <v>27.35</v>
      </c>
      <c r="C121" s="14">
        <f t="shared" si="2"/>
        <v>1.4646649578909814E-3</v>
      </c>
      <c r="D121" s="14">
        <f t="shared" si="3"/>
        <v>1.8621973929236497E-2</v>
      </c>
      <c r="E121" s="15">
        <f>VLOOKUP(Table2[[#This Row],[Date]],'Fed Fund New'!$A:$C,2,FALSE)</f>
        <v>0</v>
      </c>
      <c r="F121" s="15">
        <f>VLOOKUP(Table2[[#This Row],[Date]],'Fed Fund New'!$A:$C,3,FALSE)</f>
        <v>2.95</v>
      </c>
    </row>
    <row r="122" spans="1:6" x14ac:dyDescent="0.2">
      <c r="A122" s="61">
        <v>20729</v>
      </c>
      <c r="B122" s="68">
        <f>VLOOKUP(Table2[[#This Row],[Date]],Database!A:E,2,)</f>
        <v>27.51</v>
      </c>
      <c r="C122" s="14">
        <f t="shared" si="2"/>
        <v>5.8500914076782496E-3</v>
      </c>
      <c r="D122" s="14">
        <f t="shared" si="3"/>
        <v>2.5727069351230474E-2</v>
      </c>
      <c r="E122" s="15">
        <f>VLOOKUP(Table2[[#This Row],[Date]],'Fed Fund New'!$A:$C,2,FALSE)</f>
        <v>0</v>
      </c>
      <c r="F122" s="15">
        <f>VLOOKUP(Table2[[#This Row],[Date]],'Fed Fund New'!$A:$C,3,FALSE)</f>
        <v>2.96</v>
      </c>
    </row>
    <row r="123" spans="1:6" x14ac:dyDescent="0.2">
      <c r="A123" s="61">
        <v>20760</v>
      </c>
      <c r="B123" s="68">
        <f>VLOOKUP(Table2[[#This Row],[Date]],Database!A:E,2,)</f>
        <v>27.51</v>
      </c>
      <c r="C123" s="14">
        <f t="shared" si="2"/>
        <v>0</v>
      </c>
      <c r="D123" s="14">
        <f t="shared" si="3"/>
        <v>2.3437500000000097E-2</v>
      </c>
      <c r="E123" s="15">
        <f>VLOOKUP(Table2[[#This Row],[Date]],'Fed Fund New'!$A:$C,2,FALSE)</f>
        <v>0</v>
      </c>
      <c r="F123" s="15">
        <f>VLOOKUP(Table2[[#This Row],[Date]],'Fed Fund New'!$A:$C,3,FALSE)</f>
        <v>2.88</v>
      </c>
    </row>
    <row r="124" spans="1:6" x14ac:dyDescent="0.2">
      <c r="A124" s="61">
        <v>20790</v>
      </c>
      <c r="B124" s="68">
        <f>VLOOKUP(Table2[[#This Row],[Date]],Database!A:E,2,)</f>
        <v>27.63</v>
      </c>
      <c r="C124" s="14">
        <f t="shared" si="2"/>
        <v>4.3620501635767877E-3</v>
      </c>
      <c r="D124" s="14">
        <f t="shared" si="3"/>
        <v>2.8284331968738294E-2</v>
      </c>
      <c r="E124" s="15">
        <f>VLOOKUP(Table2[[#This Row],[Date]],'Fed Fund New'!$A:$C,2,FALSE)</f>
        <v>0</v>
      </c>
      <c r="F124" s="15">
        <f>VLOOKUP(Table2[[#This Row],[Date]],'Fed Fund New'!$A:$C,3,FALSE)</f>
        <v>2.94</v>
      </c>
    </row>
    <row r="125" spans="1:6" x14ac:dyDescent="0.2">
      <c r="A125" s="61">
        <v>20821</v>
      </c>
      <c r="B125" s="68">
        <f>VLOOKUP(Table2[[#This Row],[Date]],Database!A:E,2,)</f>
        <v>27.67</v>
      </c>
      <c r="C125" s="14">
        <f t="shared" si="2"/>
        <v>1.4477017734347702E-3</v>
      </c>
      <c r="D125" s="14">
        <f t="shared" si="3"/>
        <v>3.1308237048080639E-2</v>
      </c>
      <c r="E125" s="15">
        <f>VLOOKUP(Table2[[#This Row],[Date]],'Fed Fund New'!$A:$C,2,FALSE)</f>
        <v>0</v>
      </c>
      <c r="F125" s="15">
        <f>VLOOKUP(Table2[[#This Row],[Date]],'Fed Fund New'!$A:$C,3,FALSE)</f>
        <v>2.84</v>
      </c>
    </row>
    <row r="126" spans="1:6" x14ac:dyDescent="0.2">
      <c r="A126" s="61">
        <v>20852</v>
      </c>
      <c r="B126" s="68">
        <f>VLOOKUP(Table2[[#This Row],[Date]],Database!A:E,2,)</f>
        <v>27.8</v>
      </c>
      <c r="C126" s="14">
        <f t="shared" si="2"/>
        <v>4.6982291290205633E-3</v>
      </c>
      <c r="D126" s="14">
        <f t="shared" si="3"/>
        <v>3.4996276991809433E-2</v>
      </c>
      <c r="E126" s="15">
        <f>VLOOKUP(Table2[[#This Row],[Date]],'Fed Fund New'!$A:$C,2,FALSE)</f>
        <v>0</v>
      </c>
      <c r="F126" s="15">
        <f>VLOOKUP(Table2[[#This Row],[Date]],'Fed Fund New'!$A:$C,3,FALSE)</f>
        <v>3</v>
      </c>
    </row>
    <row r="127" spans="1:6" x14ac:dyDescent="0.2">
      <c r="A127" s="61">
        <v>20880</v>
      </c>
      <c r="B127" s="68">
        <f>VLOOKUP(Table2[[#This Row],[Date]],Database!A:E,2,)</f>
        <v>27.86</v>
      </c>
      <c r="C127" s="14">
        <f t="shared" si="2"/>
        <v>2.158273381294918E-3</v>
      </c>
      <c r="D127" s="14">
        <f t="shared" si="3"/>
        <v>3.6072889550018548E-2</v>
      </c>
      <c r="E127" s="15">
        <f>VLOOKUP(Table2[[#This Row],[Date]],'Fed Fund New'!$A:$C,2,FALSE)</f>
        <v>0</v>
      </c>
      <c r="F127" s="15">
        <f>VLOOKUP(Table2[[#This Row],[Date]],'Fed Fund New'!$A:$C,3,FALSE)</f>
        <v>2.96</v>
      </c>
    </row>
    <row r="128" spans="1:6" x14ac:dyDescent="0.2">
      <c r="A128" s="61">
        <v>20911</v>
      </c>
      <c r="B128" s="68">
        <f>VLOOKUP(Table2[[#This Row],[Date]],Database!A:E,2,)</f>
        <v>27.93</v>
      </c>
      <c r="C128" s="14">
        <f t="shared" si="2"/>
        <v>2.5125628140703622E-3</v>
      </c>
      <c r="D128" s="14">
        <f t="shared" si="3"/>
        <v>3.7133308577794281E-2</v>
      </c>
      <c r="E128" s="15">
        <f>VLOOKUP(Table2[[#This Row],[Date]],'Fed Fund New'!$A:$C,2,FALSE)</f>
        <v>0</v>
      </c>
      <c r="F128" s="15">
        <f>VLOOKUP(Table2[[#This Row],[Date]],'Fed Fund New'!$A:$C,3,FALSE)</f>
        <v>3</v>
      </c>
    </row>
    <row r="129" spans="1:6" x14ac:dyDescent="0.2">
      <c r="A129" s="61">
        <v>20941</v>
      </c>
      <c r="B129" s="68">
        <f>VLOOKUP(Table2[[#This Row],[Date]],Database!A:E,2,)</f>
        <v>28</v>
      </c>
      <c r="C129" s="14">
        <f t="shared" si="2"/>
        <v>2.5062656641604113E-3</v>
      </c>
      <c r="D129" s="14">
        <f t="shared" si="3"/>
        <v>3.588605253422119E-2</v>
      </c>
      <c r="E129" s="15">
        <f>VLOOKUP(Table2[[#This Row],[Date]],'Fed Fund New'!$A:$C,2,FALSE)</f>
        <v>0</v>
      </c>
      <c r="F129" s="15">
        <f>VLOOKUP(Table2[[#This Row],[Date]],'Fed Fund New'!$A:$C,3,FALSE)</f>
        <v>3</v>
      </c>
    </row>
    <row r="130" spans="1:6" x14ac:dyDescent="0.2">
      <c r="A130" s="61">
        <v>20972</v>
      </c>
      <c r="B130" s="68">
        <f>VLOOKUP(Table2[[#This Row],[Date]],Database!A:E,2,)</f>
        <v>28.11</v>
      </c>
      <c r="C130" s="14">
        <f t="shared" si="2"/>
        <v>3.928571428571408E-3</v>
      </c>
      <c r="D130" s="14">
        <f t="shared" si="3"/>
        <v>3.5359116022099478E-2</v>
      </c>
      <c r="E130" s="15">
        <f>VLOOKUP(Table2[[#This Row],[Date]],'Fed Fund New'!$A:$C,2,FALSE)</f>
        <v>0</v>
      </c>
      <c r="F130" s="15">
        <f>VLOOKUP(Table2[[#This Row],[Date]],'Fed Fund New'!$A:$C,3,FALSE)</f>
        <v>3</v>
      </c>
    </row>
    <row r="131" spans="1:6" x14ac:dyDescent="0.2">
      <c r="A131" s="61">
        <v>21002</v>
      </c>
      <c r="B131" s="68">
        <f>VLOOKUP(Table2[[#This Row],[Date]],Database!A:E,2,)</f>
        <v>28.19</v>
      </c>
      <c r="C131" s="14">
        <f t="shared" si="2"/>
        <v>2.8459622909997101E-3</v>
      </c>
      <c r="D131" s="14">
        <f t="shared" si="3"/>
        <v>3.297911322828883E-2</v>
      </c>
      <c r="E131" s="15">
        <f>VLOOKUP(Table2[[#This Row],[Date]],'Fed Fund New'!$A:$C,2,FALSE)</f>
        <v>0</v>
      </c>
      <c r="F131" s="15">
        <f>VLOOKUP(Table2[[#This Row],[Date]],'Fed Fund New'!$A:$C,3,FALSE)</f>
        <v>2.99</v>
      </c>
    </row>
    <row r="132" spans="1:6" x14ac:dyDescent="0.2">
      <c r="A132" s="61">
        <v>21033</v>
      </c>
      <c r="B132" s="68">
        <f>VLOOKUP(Table2[[#This Row],[Date]],Database!A:E,2,)</f>
        <v>28.28</v>
      </c>
      <c r="C132" s="14">
        <f t="shared" si="2"/>
        <v>3.1926214969847412E-3</v>
      </c>
      <c r="D132" s="14">
        <f t="shared" si="3"/>
        <v>3.5518125228853989E-2</v>
      </c>
      <c r="E132" s="15">
        <f>VLOOKUP(Table2[[#This Row],[Date]],'Fed Fund New'!$A:$C,2,FALSE)</f>
        <v>0</v>
      </c>
      <c r="F132" s="15">
        <f>VLOOKUP(Table2[[#This Row],[Date]],'Fed Fund New'!$A:$C,3,FALSE)</f>
        <v>3.24</v>
      </c>
    </row>
    <row r="133" spans="1:6" x14ac:dyDescent="0.2">
      <c r="A133" s="61">
        <v>21064</v>
      </c>
      <c r="B133" s="68">
        <f>VLOOKUP(Table2[[#This Row],[Date]],Database!A:E,2,)</f>
        <v>28.32</v>
      </c>
      <c r="C133" s="14">
        <f t="shared" si="2"/>
        <v>1.4144271570013841E-3</v>
      </c>
      <c r="D133" s="14">
        <f t="shared" si="3"/>
        <v>3.5466179159049316E-2</v>
      </c>
      <c r="E133" s="15">
        <f>VLOOKUP(Table2[[#This Row],[Date]],'Fed Fund New'!$A:$C,2,FALSE)</f>
        <v>0</v>
      </c>
      <c r="F133" s="15">
        <f>VLOOKUP(Table2[[#This Row],[Date]],'Fed Fund New'!$A:$C,3,FALSE)</f>
        <v>3.47</v>
      </c>
    </row>
    <row r="134" spans="1:6" x14ac:dyDescent="0.2">
      <c r="A134" s="61">
        <v>21094</v>
      </c>
      <c r="B134" s="68">
        <f>VLOOKUP(Table2[[#This Row],[Date]],Database!A:E,2,)</f>
        <v>28.32</v>
      </c>
      <c r="C134" s="14">
        <f t="shared" ref="C134:C197" si="4">(B134-B133)/B133</f>
        <v>0</v>
      </c>
      <c r="D134" s="14">
        <f t="shared" si="3"/>
        <v>2.9443838604143898E-2</v>
      </c>
      <c r="E134" s="15">
        <f>VLOOKUP(Table2[[#This Row],[Date]],'Fed Fund New'!$A:$C,2,FALSE)</f>
        <v>0</v>
      </c>
      <c r="F134" s="15">
        <f>VLOOKUP(Table2[[#This Row],[Date]],'Fed Fund New'!$A:$C,3,FALSE)</f>
        <v>3.5</v>
      </c>
    </row>
    <row r="135" spans="1:6" x14ac:dyDescent="0.2">
      <c r="A135" s="61">
        <v>21125</v>
      </c>
      <c r="B135" s="68">
        <f>VLOOKUP(Table2[[#This Row],[Date]],Database!A:E,2,)</f>
        <v>28.41</v>
      </c>
      <c r="C135" s="14">
        <f t="shared" si="4"/>
        <v>3.1779661016949103E-3</v>
      </c>
      <c r="D135" s="14">
        <f t="shared" si="3"/>
        <v>3.2715376226826555E-2</v>
      </c>
      <c r="E135" s="15">
        <f>VLOOKUP(Table2[[#This Row],[Date]],'Fed Fund New'!$A:$C,2,FALSE)</f>
        <v>0</v>
      </c>
      <c r="F135" s="15">
        <f>VLOOKUP(Table2[[#This Row],[Date]],'Fed Fund New'!$A:$C,3,FALSE)</f>
        <v>3.28</v>
      </c>
    </row>
    <row r="136" spans="1:6" x14ac:dyDescent="0.2">
      <c r="A136" s="61">
        <v>21155</v>
      </c>
      <c r="B136" s="68">
        <f>VLOOKUP(Table2[[#This Row],[Date]],Database!A:E,2,)</f>
        <v>28.47</v>
      </c>
      <c r="C136" s="14">
        <f t="shared" si="4"/>
        <v>2.111932418162574E-3</v>
      </c>
      <c r="D136" s="14">
        <f t="shared" si="3"/>
        <v>3.0401737242128118E-2</v>
      </c>
      <c r="E136" s="15">
        <f>VLOOKUP(Table2[[#This Row],[Date]],'Fed Fund New'!$A:$C,2,FALSE)</f>
        <v>0</v>
      </c>
      <c r="F136" s="15">
        <f>VLOOKUP(Table2[[#This Row],[Date]],'Fed Fund New'!$A:$C,3,FALSE)</f>
        <v>2.98</v>
      </c>
    </row>
    <row r="137" spans="1:6" x14ac:dyDescent="0.2">
      <c r="A137" s="61">
        <v>21186</v>
      </c>
      <c r="B137" s="68">
        <f>VLOOKUP(Table2[[#This Row],[Date]],Database!A:E,2,)</f>
        <v>28.64</v>
      </c>
      <c r="C137" s="14">
        <f t="shared" si="4"/>
        <v>5.9711977520197296E-3</v>
      </c>
      <c r="D137" s="14">
        <f t="shared" si="3"/>
        <v>3.5056017347307511E-2</v>
      </c>
      <c r="E137" s="15">
        <f>VLOOKUP(Table2[[#This Row],[Date]],'Fed Fund New'!$A:$C,2,FALSE)</f>
        <v>0</v>
      </c>
      <c r="F137" s="15">
        <f>VLOOKUP(Table2[[#This Row],[Date]],'Fed Fund New'!$A:$C,3,FALSE)</f>
        <v>2.72</v>
      </c>
    </row>
    <row r="138" spans="1:6" x14ac:dyDescent="0.2">
      <c r="A138" s="61">
        <v>21217</v>
      </c>
      <c r="B138" s="68">
        <f>VLOOKUP(Table2[[#This Row],[Date]],Database!A:E,2,)</f>
        <v>28.7</v>
      </c>
      <c r="C138" s="14">
        <f t="shared" si="4"/>
        <v>2.0949720670390614E-3</v>
      </c>
      <c r="D138" s="14">
        <f t="shared" si="3"/>
        <v>3.2374100719424412E-2</v>
      </c>
      <c r="E138" s="15">
        <f>VLOOKUP(Table2[[#This Row],[Date]],'Fed Fund New'!$A:$C,2,FALSE)</f>
        <v>0</v>
      </c>
      <c r="F138" s="15">
        <f>VLOOKUP(Table2[[#This Row],[Date]],'Fed Fund New'!$A:$C,3,FALSE)</f>
        <v>1.67</v>
      </c>
    </row>
    <row r="139" spans="1:6" x14ac:dyDescent="0.2">
      <c r="A139" s="61">
        <v>21245</v>
      </c>
      <c r="B139" s="68">
        <f>VLOOKUP(Table2[[#This Row],[Date]],Database!A:E,2,)</f>
        <v>28.87</v>
      </c>
      <c r="C139" s="14">
        <f t="shared" si="4"/>
        <v>5.923344947735251E-3</v>
      </c>
      <c r="D139" s="14">
        <f t="shared" si="3"/>
        <v>3.6252692031586563E-2</v>
      </c>
      <c r="E139" s="15">
        <f>VLOOKUP(Table2[[#This Row],[Date]],'Fed Fund New'!$A:$C,2,FALSE)</f>
        <v>0</v>
      </c>
      <c r="F139" s="15">
        <f>VLOOKUP(Table2[[#This Row],[Date]],'Fed Fund New'!$A:$C,3,FALSE)</f>
        <v>1.2</v>
      </c>
    </row>
    <row r="140" spans="1:6" x14ac:dyDescent="0.2">
      <c r="A140" s="61">
        <v>21276</v>
      </c>
      <c r="B140" s="68">
        <f>VLOOKUP(Table2[[#This Row],[Date]],Database!A:E,2,)</f>
        <v>28.94</v>
      </c>
      <c r="C140" s="14">
        <f t="shared" si="4"/>
        <v>2.4246622791825522E-3</v>
      </c>
      <c r="D140" s="14">
        <f t="shared" si="3"/>
        <v>3.6161833154314413E-2</v>
      </c>
      <c r="E140" s="15">
        <f>VLOOKUP(Table2[[#This Row],[Date]],'Fed Fund New'!$A:$C,2,FALSE)</f>
        <v>0</v>
      </c>
      <c r="F140" s="15">
        <f>VLOOKUP(Table2[[#This Row],[Date]],'Fed Fund New'!$A:$C,3,FALSE)</f>
        <v>1.26</v>
      </c>
    </row>
    <row r="141" spans="1:6" x14ac:dyDescent="0.2">
      <c r="A141" s="61">
        <v>21306</v>
      </c>
      <c r="B141" s="68">
        <f>VLOOKUP(Table2[[#This Row],[Date]],Database!A:E,2,)</f>
        <v>28.94</v>
      </c>
      <c r="C141" s="14">
        <f t="shared" si="4"/>
        <v>0</v>
      </c>
      <c r="D141" s="14">
        <f t="shared" si="3"/>
        <v>3.357142857142862E-2</v>
      </c>
      <c r="E141" s="15">
        <f>VLOOKUP(Table2[[#This Row],[Date]],'Fed Fund New'!$A:$C,2,FALSE)</f>
        <v>0</v>
      </c>
      <c r="F141" s="15">
        <f>VLOOKUP(Table2[[#This Row],[Date]],'Fed Fund New'!$A:$C,3,FALSE)</f>
        <v>0.63</v>
      </c>
    </row>
    <row r="142" spans="1:6" x14ac:dyDescent="0.2">
      <c r="A142" s="61">
        <v>21337</v>
      </c>
      <c r="B142" s="68">
        <f>VLOOKUP(Table2[[#This Row],[Date]],Database!A:E,2,)</f>
        <v>28.91</v>
      </c>
      <c r="C142" s="14">
        <f t="shared" si="4"/>
        <v>-1.0366275051831768E-3</v>
      </c>
      <c r="D142" s="14">
        <f t="shared" si="3"/>
        <v>2.8459622909996467E-2</v>
      </c>
      <c r="E142" s="15">
        <f>VLOOKUP(Table2[[#This Row],[Date]],'Fed Fund New'!$A:$C,2,FALSE)</f>
        <v>0</v>
      </c>
      <c r="F142" s="15">
        <f>VLOOKUP(Table2[[#This Row],[Date]],'Fed Fund New'!$A:$C,3,FALSE)</f>
        <v>0.93</v>
      </c>
    </row>
    <row r="143" spans="1:6" x14ac:dyDescent="0.2">
      <c r="A143" s="61">
        <v>21367</v>
      </c>
      <c r="B143" s="68">
        <f>VLOOKUP(Table2[[#This Row],[Date]],Database!A:E,2,)</f>
        <v>28.89</v>
      </c>
      <c r="C143" s="14">
        <f t="shared" si="4"/>
        <v>-6.9180214458663351E-4</v>
      </c>
      <c r="D143" s="14">
        <f t="shared" si="3"/>
        <v>2.4831500532103555E-2</v>
      </c>
      <c r="E143" s="15">
        <f>VLOOKUP(Table2[[#This Row],[Date]],'Fed Fund New'!$A:$C,2,FALSE)</f>
        <v>0</v>
      </c>
      <c r="F143" s="15">
        <f>VLOOKUP(Table2[[#This Row],[Date]],'Fed Fund New'!$A:$C,3,FALSE)</f>
        <v>0.68</v>
      </c>
    </row>
    <row r="144" spans="1:6" x14ac:dyDescent="0.2">
      <c r="A144" s="61">
        <v>21398</v>
      </c>
      <c r="B144" s="68">
        <f>VLOOKUP(Table2[[#This Row],[Date]],Database!A:E,2,)</f>
        <v>28.94</v>
      </c>
      <c r="C144" s="14">
        <f t="shared" si="4"/>
        <v>1.7307026652821291E-3</v>
      </c>
      <c r="D144" s="14">
        <f t="shared" si="3"/>
        <v>2.3338048090523342E-2</v>
      </c>
      <c r="E144" s="15">
        <f>VLOOKUP(Table2[[#This Row],[Date]],'Fed Fund New'!$A:$C,2,FALSE)</f>
        <v>0</v>
      </c>
      <c r="F144" s="15">
        <f>VLOOKUP(Table2[[#This Row],[Date]],'Fed Fund New'!$A:$C,3,FALSE)</f>
        <v>1.53</v>
      </c>
    </row>
    <row r="145" spans="1:6" x14ac:dyDescent="0.2">
      <c r="A145" s="61">
        <v>21429</v>
      </c>
      <c r="B145" s="68">
        <f>VLOOKUP(Table2[[#This Row],[Date]],Database!A:E,2,)</f>
        <v>28.91</v>
      </c>
      <c r="C145" s="14">
        <f t="shared" si="4"/>
        <v>-1.0366275051831768E-3</v>
      </c>
      <c r="D145" s="14">
        <f t="shared" ref="D145:D208" si="5">(B145-B133)/B133</f>
        <v>2.0833333333333329E-2</v>
      </c>
      <c r="E145" s="15">
        <f>VLOOKUP(Table2[[#This Row],[Date]],'Fed Fund New'!$A:$C,2,FALSE)</f>
        <v>0</v>
      </c>
      <c r="F145" s="15">
        <f>VLOOKUP(Table2[[#This Row],[Date]],'Fed Fund New'!$A:$C,3,FALSE)</f>
        <v>1.76</v>
      </c>
    </row>
    <row r="146" spans="1:6" x14ac:dyDescent="0.2">
      <c r="A146" s="61">
        <v>21459</v>
      </c>
      <c r="B146" s="68">
        <f>VLOOKUP(Table2[[#This Row],[Date]],Database!A:E,2,)</f>
        <v>28.91</v>
      </c>
      <c r="C146" s="14">
        <f t="shared" si="4"/>
        <v>0</v>
      </c>
      <c r="D146" s="14">
        <f t="shared" si="5"/>
        <v>2.0833333333333329E-2</v>
      </c>
      <c r="E146" s="15">
        <f>VLOOKUP(Table2[[#This Row],[Date]],'Fed Fund New'!$A:$C,2,FALSE)</f>
        <v>0</v>
      </c>
      <c r="F146" s="15">
        <f>VLOOKUP(Table2[[#This Row],[Date]],'Fed Fund New'!$A:$C,3,FALSE)</f>
        <v>1.8</v>
      </c>
    </row>
    <row r="147" spans="1:6" x14ac:dyDescent="0.2">
      <c r="A147" s="61">
        <v>21490</v>
      </c>
      <c r="B147" s="68">
        <f>VLOOKUP(Table2[[#This Row],[Date]],Database!A:E,2,)</f>
        <v>28.95</v>
      </c>
      <c r="C147" s="14">
        <f t="shared" si="4"/>
        <v>1.383604289173267E-3</v>
      </c>
      <c r="D147" s="14">
        <f t="shared" si="5"/>
        <v>1.9007391763463537E-2</v>
      </c>
      <c r="E147" s="15">
        <f>VLOOKUP(Table2[[#This Row],[Date]],'Fed Fund New'!$A:$C,2,FALSE)</f>
        <v>0</v>
      </c>
      <c r="F147" s="15">
        <f>VLOOKUP(Table2[[#This Row],[Date]],'Fed Fund New'!$A:$C,3,FALSE)</f>
        <v>2.27</v>
      </c>
    </row>
    <row r="148" spans="1:6" x14ac:dyDescent="0.2">
      <c r="A148" s="61">
        <v>21520</v>
      </c>
      <c r="B148" s="68">
        <f>VLOOKUP(Table2[[#This Row],[Date]],Database!A:E,2,)</f>
        <v>28.97</v>
      </c>
      <c r="C148" s="14">
        <f t="shared" si="4"/>
        <v>6.9084628670119431E-4</v>
      </c>
      <c r="D148" s="14">
        <f t="shared" si="5"/>
        <v>1.7562346329469618E-2</v>
      </c>
      <c r="E148" s="15">
        <f>VLOOKUP(Table2[[#This Row],[Date]],'Fed Fund New'!$A:$C,2,FALSE)</f>
        <v>0</v>
      </c>
      <c r="F148" s="15">
        <f>VLOOKUP(Table2[[#This Row],[Date]],'Fed Fund New'!$A:$C,3,FALSE)</f>
        <v>2.42</v>
      </c>
    </row>
    <row r="149" spans="1:6" x14ac:dyDescent="0.2">
      <c r="A149" s="61">
        <v>21551</v>
      </c>
      <c r="B149" s="68">
        <f>VLOOKUP(Table2[[#This Row],[Date]],Database!A:E,2,)</f>
        <v>29.01</v>
      </c>
      <c r="C149" s="14">
        <f t="shared" si="4"/>
        <v>1.3807386952020262E-3</v>
      </c>
      <c r="D149" s="14">
        <f t="shared" si="5"/>
        <v>1.2918994413407856E-2</v>
      </c>
      <c r="E149" s="15">
        <f>VLOOKUP(Table2[[#This Row],[Date]],'Fed Fund New'!$A:$C,2,FALSE)</f>
        <v>0</v>
      </c>
      <c r="F149" s="15">
        <f>VLOOKUP(Table2[[#This Row],[Date]],'Fed Fund New'!$A:$C,3,FALSE)</f>
        <v>2.48</v>
      </c>
    </row>
    <row r="150" spans="1:6" x14ac:dyDescent="0.2">
      <c r="A150" s="61">
        <v>21582</v>
      </c>
      <c r="B150" s="68">
        <f>VLOOKUP(Table2[[#This Row],[Date]],Database!A:E,2,)</f>
        <v>29</v>
      </c>
      <c r="C150" s="14">
        <f t="shared" si="4"/>
        <v>-3.447087211306985E-4</v>
      </c>
      <c r="D150" s="14">
        <f t="shared" si="5"/>
        <v>1.0452961672473893E-2</v>
      </c>
      <c r="E150" s="15">
        <f>VLOOKUP(Table2[[#This Row],[Date]],'Fed Fund New'!$A:$C,2,FALSE)</f>
        <v>0</v>
      </c>
      <c r="F150" s="15">
        <f>VLOOKUP(Table2[[#This Row],[Date]],'Fed Fund New'!$A:$C,3,FALSE)</f>
        <v>2.4300000000000002</v>
      </c>
    </row>
    <row r="151" spans="1:6" x14ac:dyDescent="0.2">
      <c r="A151" s="61">
        <v>21610</v>
      </c>
      <c r="B151" s="68">
        <f>VLOOKUP(Table2[[#This Row],[Date]],Database!A:E,2,)</f>
        <v>28.97</v>
      </c>
      <c r="C151" s="14">
        <f t="shared" si="4"/>
        <v>-1.0344827586207289E-3</v>
      </c>
      <c r="D151" s="14">
        <f t="shared" si="5"/>
        <v>3.4638032559749865E-3</v>
      </c>
      <c r="E151" s="15">
        <f>VLOOKUP(Table2[[#This Row],[Date]],'Fed Fund New'!$A:$C,2,FALSE)</f>
        <v>0</v>
      </c>
      <c r="F151" s="15">
        <f>VLOOKUP(Table2[[#This Row],[Date]],'Fed Fund New'!$A:$C,3,FALSE)</f>
        <v>2.8</v>
      </c>
    </row>
    <row r="152" spans="1:6" x14ac:dyDescent="0.2">
      <c r="A152" s="61">
        <v>21641</v>
      </c>
      <c r="B152" s="68">
        <f>VLOOKUP(Table2[[#This Row],[Date]],Database!A:E,2,)</f>
        <v>28.98</v>
      </c>
      <c r="C152" s="14">
        <f t="shared" si="4"/>
        <v>3.4518467380053724E-4</v>
      </c>
      <c r="D152" s="14">
        <f t="shared" si="5"/>
        <v>1.3821700069108205E-3</v>
      </c>
      <c r="E152" s="15">
        <f>VLOOKUP(Table2[[#This Row],[Date]],'Fed Fund New'!$A:$C,2,FALSE)</f>
        <v>0</v>
      </c>
      <c r="F152" s="15">
        <f>VLOOKUP(Table2[[#This Row],[Date]],'Fed Fund New'!$A:$C,3,FALSE)</f>
        <v>2.96</v>
      </c>
    </row>
    <row r="153" spans="1:6" x14ac:dyDescent="0.2">
      <c r="A153" s="61">
        <v>21671</v>
      </c>
      <c r="B153" s="68">
        <f>VLOOKUP(Table2[[#This Row],[Date]],Database!A:E,2,)</f>
        <v>29.04</v>
      </c>
      <c r="C153" s="14">
        <f t="shared" si="4"/>
        <v>2.0703933747411567E-3</v>
      </c>
      <c r="D153" s="14">
        <f t="shared" si="5"/>
        <v>3.4554250172770511E-3</v>
      </c>
      <c r="E153" s="15">
        <f>VLOOKUP(Table2[[#This Row],[Date]],'Fed Fund New'!$A:$C,2,FALSE)</f>
        <v>0</v>
      </c>
      <c r="F153" s="15">
        <f>VLOOKUP(Table2[[#This Row],[Date]],'Fed Fund New'!$A:$C,3,FALSE)</f>
        <v>2.9</v>
      </c>
    </row>
    <row r="154" spans="1:6" x14ac:dyDescent="0.2">
      <c r="A154" s="61">
        <v>21702</v>
      </c>
      <c r="B154" s="68">
        <f>VLOOKUP(Table2[[#This Row],[Date]],Database!A:E,2,)</f>
        <v>29.11</v>
      </c>
      <c r="C154" s="14">
        <f t="shared" si="4"/>
        <v>2.4104683195592387E-3</v>
      </c>
      <c r="D154" s="14">
        <f t="shared" si="5"/>
        <v>6.9180214458664574E-3</v>
      </c>
      <c r="E154" s="15">
        <f>VLOOKUP(Table2[[#This Row],[Date]],'Fed Fund New'!$A:$C,2,FALSE)</f>
        <v>0</v>
      </c>
      <c r="F154" s="15">
        <f>VLOOKUP(Table2[[#This Row],[Date]],'Fed Fund New'!$A:$C,3,FALSE)</f>
        <v>3.39</v>
      </c>
    </row>
    <row r="155" spans="1:6" x14ac:dyDescent="0.2">
      <c r="A155" s="61">
        <v>21732</v>
      </c>
      <c r="B155" s="68">
        <f>VLOOKUP(Table2[[#This Row],[Date]],Database!A:E,2,)</f>
        <v>29.15</v>
      </c>
      <c r="C155" s="14">
        <f t="shared" si="4"/>
        <v>1.3740982480247045E-3</v>
      </c>
      <c r="D155" s="14">
        <f t="shared" si="5"/>
        <v>8.9996538594668742E-3</v>
      </c>
      <c r="E155" s="15">
        <f>VLOOKUP(Table2[[#This Row],[Date]],'Fed Fund New'!$A:$C,2,FALSE)</f>
        <v>0</v>
      </c>
      <c r="F155" s="15">
        <f>VLOOKUP(Table2[[#This Row],[Date]],'Fed Fund New'!$A:$C,3,FALSE)</f>
        <v>3.47</v>
      </c>
    </row>
    <row r="156" spans="1:6" x14ac:dyDescent="0.2">
      <c r="A156" s="61">
        <v>21763</v>
      </c>
      <c r="B156" s="68">
        <f>VLOOKUP(Table2[[#This Row],[Date]],Database!A:E,2,)</f>
        <v>29.18</v>
      </c>
      <c r="C156" s="14">
        <f t="shared" si="4"/>
        <v>1.0291595197255965E-3</v>
      </c>
      <c r="D156" s="14">
        <f t="shared" si="5"/>
        <v>8.2930200414650466E-3</v>
      </c>
      <c r="E156" s="15">
        <f>VLOOKUP(Table2[[#This Row],[Date]],'Fed Fund New'!$A:$C,2,FALSE)</f>
        <v>0</v>
      </c>
      <c r="F156" s="15">
        <f>VLOOKUP(Table2[[#This Row],[Date]],'Fed Fund New'!$A:$C,3,FALSE)</f>
        <v>3.5</v>
      </c>
    </row>
    <row r="157" spans="1:6" x14ac:dyDescent="0.2">
      <c r="A157" s="61">
        <v>21794</v>
      </c>
      <c r="B157" s="68">
        <f>VLOOKUP(Table2[[#This Row],[Date]],Database!A:E,2,)</f>
        <v>29.25</v>
      </c>
      <c r="C157" s="14">
        <f t="shared" si="4"/>
        <v>2.3989033584647114E-3</v>
      </c>
      <c r="D157" s="14">
        <f t="shared" si="5"/>
        <v>1.1760636457973015E-2</v>
      </c>
      <c r="E157" s="15">
        <f>VLOOKUP(Table2[[#This Row],[Date]],'Fed Fund New'!$A:$C,2,FALSE)</f>
        <v>0</v>
      </c>
      <c r="F157" s="15">
        <f>VLOOKUP(Table2[[#This Row],[Date]],'Fed Fund New'!$A:$C,3,FALSE)</f>
        <v>3.76</v>
      </c>
    </row>
    <row r="158" spans="1:6" x14ac:dyDescent="0.2">
      <c r="A158" s="61">
        <v>21824</v>
      </c>
      <c r="B158" s="68">
        <f>VLOOKUP(Table2[[#This Row],[Date]],Database!A:E,2,)</f>
        <v>29.35</v>
      </c>
      <c r="C158" s="14">
        <f t="shared" si="4"/>
        <v>3.4188034188034674E-3</v>
      </c>
      <c r="D158" s="14">
        <f t="shared" si="5"/>
        <v>1.5219647180906305E-2</v>
      </c>
      <c r="E158" s="15">
        <f>VLOOKUP(Table2[[#This Row],[Date]],'Fed Fund New'!$A:$C,2,FALSE)</f>
        <v>0</v>
      </c>
      <c r="F158" s="15">
        <f>VLOOKUP(Table2[[#This Row],[Date]],'Fed Fund New'!$A:$C,3,FALSE)</f>
        <v>3.98</v>
      </c>
    </row>
    <row r="159" spans="1:6" x14ac:dyDescent="0.2">
      <c r="A159" s="61">
        <v>21855</v>
      </c>
      <c r="B159" s="68">
        <f>VLOOKUP(Table2[[#This Row],[Date]],Database!A:E,2,)</f>
        <v>29.35</v>
      </c>
      <c r="C159" s="14">
        <f t="shared" si="4"/>
        <v>0</v>
      </c>
      <c r="D159" s="14">
        <f t="shared" si="5"/>
        <v>1.3816925734024254E-2</v>
      </c>
      <c r="E159" s="15">
        <f>VLOOKUP(Table2[[#This Row],[Date]],'Fed Fund New'!$A:$C,2,FALSE)</f>
        <v>0</v>
      </c>
      <c r="F159" s="15">
        <f>VLOOKUP(Table2[[#This Row],[Date]],'Fed Fund New'!$A:$C,3,FALSE)</f>
        <v>4</v>
      </c>
    </row>
    <row r="160" spans="1:6" x14ac:dyDescent="0.2">
      <c r="A160" s="61">
        <v>21885</v>
      </c>
      <c r="B160" s="68">
        <f>VLOOKUP(Table2[[#This Row],[Date]],Database!A:E,2,)</f>
        <v>29.41</v>
      </c>
      <c r="C160" s="14">
        <f t="shared" si="4"/>
        <v>2.0442930153321539E-3</v>
      </c>
      <c r="D160" s="14">
        <f t="shared" si="5"/>
        <v>1.5188125647221308E-2</v>
      </c>
      <c r="E160" s="15">
        <f>VLOOKUP(Table2[[#This Row],[Date]],'Fed Fund New'!$A:$C,2,FALSE)</f>
        <v>0</v>
      </c>
      <c r="F160" s="15">
        <f>VLOOKUP(Table2[[#This Row],[Date]],'Fed Fund New'!$A:$C,3,FALSE)</f>
        <v>3.99</v>
      </c>
    </row>
    <row r="161" spans="1:6" x14ac:dyDescent="0.2">
      <c r="A161" s="61">
        <v>21916</v>
      </c>
      <c r="B161" s="68">
        <f>VLOOKUP(Table2[[#This Row],[Date]],Database!A:E,2,)</f>
        <v>29.37</v>
      </c>
      <c r="C161" s="14">
        <f t="shared" si="4"/>
        <v>-1.3600816048962648E-3</v>
      </c>
      <c r="D161" s="14">
        <f t="shared" si="5"/>
        <v>1.2409513960703186E-2</v>
      </c>
      <c r="E161" s="15">
        <f>VLOOKUP(Table2[[#This Row],[Date]],'Fed Fund New'!$A:$C,2,FALSE)</f>
        <v>0</v>
      </c>
      <c r="F161" s="15">
        <f>VLOOKUP(Table2[[#This Row],[Date]],'Fed Fund New'!$A:$C,3,FALSE)</f>
        <v>3.99</v>
      </c>
    </row>
    <row r="162" spans="1:6" x14ac:dyDescent="0.2">
      <c r="A162" s="61">
        <v>21947</v>
      </c>
      <c r="B162" s="68">
        <f>VLOOKUP(Table2[[#This Row],[Date]],Database!A:E,2,)</f>
        <v>29.41</v>
      </c>
      <c r="C162" s="14">
        <f t="shared" si="4"/>
        <v>1.36193394620358E-3</v>
      </c>
      <c r="D162" s="14">
        <f t="shared" si="5"/>
        <v>1.4137931034482763E-2</v>
      </c>
      <c r="E162" s="15">
        <f>VLOOKUP(Table2[[#This Row],[Date]],'Fed Fund New'!$A:$C,2,FALSE)</f>
        <v>0</v>
      </c>
      <c r="F162" s="15">
        <f>VLOOKUP(Table2[[#This Row],[Date]],'Fed Fund New'!$A:$C,3,FALSE)</f>
        <v>3.97</v>
      </c>
    </row>
    <row r="163" spans="1:6" x14ac:dyDescent="0.2">
      <c r="A163" s="61">
        <v>21976</v>
      </c>
      <c r="B163" s="68">
        <f>VLOOKUP(Table2[[#This Row],[Date]],Database!A:E,2,)</f>
        <v>29.41</v>
      </c>
      <c r="C163" s="14">
        <f t="shared" si="4"/>
        <v>0</v>
      </c>
      <c r="D163" s="14">
        <f t="shared" si="5"/>
        <v>1.5188125647221308E-2</v>
      </c>
      <c r="E163" s="15">
        <f>VLOOKUP(Table2[[#This Row],[Date]],'Fed Fund New'!$A:$C,2,FALSE)</f>
        <v>0</v>
      </c>
      <c r="F163" s="15">
        <f>VLOOKUP(Table2[[#This Row],[Date]],'Fed Fund New'!$A:$C,3,FALSE)</f>
        <v>3.84</v>
      </c>
    </row>
    <row r="164" spans="1:6" x14ac:dyDescent="0.2">
      <c r="A164" s="61">
        <v>22007</v>
      </c>
      <c r="B164" s="68">
        <f>VLOOKUP(Table2[[#This Row],[Date]],Database!A:E,2,)</f>
        <v>29.54</v>
      </c>
      <c r="C164" s="14">
        <f t="shared" si="4"/>
        <v>4.4202652159129208E-3</v>
      </c>
      <c r="D164" s="14">
        <f t="shared" si="5"/>
        <v>1.9323671497584495E-2</v>
      </c>
      <c r="E164" s="15">
        <f>VLOOKUP(Table2[[#This Row],[Date]],'Fed Fund New'!$A:$C,2,FALSE)</f>
        <v>0</v>
      </c>
      <c r="F164" s="15">
        <f>VLOOKUP(Table2[[#This Row],[Date]],'Fed Fund New'!$A:$C,3,FALSE)</f>
        <v>3.92</v>
      </c>
    </row>
    <row r="165" spans="1:6" x14ac:dyDescent="0.2">
      <c r="A165" s="61">
        <v>22037</v>
      </c>
      <c r="B165" s="68">
        <f>VLOOKUP(Table2[[#This Row],[Date]],Database!A:E,2,)</f>
        <v>29.57</v>
      </c>
      <c r="C165" s="14">
        <f t="shared" si="4"/>
        <v>1.0155721056195376E-3</v>
      </c>
      <c r="D165" s="14">
        <f t="shared" si="5"/>
        <v>1.8250688705234198E-2</v>
      </c>
      <c r="E165" s="15">
        <f>VLOOKUP(Table2[[#This Row],[Date]],'Fed Fund New'!$A:$C,2,FALSE)</f>
        <v>0</v>
      </c>
      <c r="F165" s="15">
        <f>VLOOKUP(Table2[[#This Row],[Date]],'Fed Fund New'!$A:$C,3,FALSE)</f>
        <v>3.85</v>
      </c>
    </row>
    <row r="166" spans="1:6" x14ac:dyDescent="0.2">
      <c r="A166" s="61">
        <v>22068</v>
      </c>
      <c r="B166" s="68">
        <f>VLOOKUP(Table2[[#This Row],[Date]],Database!A:E,2,)</f>
        <v>29.61</v>
      </c>
      <c r="C166" s="14">
        <f t="shared" si="4"/>
        <v>1.3527223537368666E-3</v>
      </c>
      <c r="D166" s="14">
        <f t="shared" si="5"/>
        <v>1.7176228100309172E-2</v>
      </c>
      <c r="E166" s="15">
        <f>VLOOKUP(Table2[[#This Row],[Date]],'Fed Fund New'!$A:$C,2,FALSE)</f>
        <v>0</v>
      </c>
      <c r="F166" s="15">
        <f>VLOOKUP(Table2[[#This Row],[Date]],'Fed Fund New'!$A:$C,3,FALSE)</f>
        <v>3.32</v>
      </c>
    </row>
    <row r="167" spans="1:6" x14ac:dyDescent="0.2">
      <c r="A167" s="61">
        <v>22098</v>
      </c>
      <c r="B167" s="68">
        <f>VLOOKUP(Table2[[#This Row],[Date]],Database!A:E,2,)</f>
        <v>29.55</v>
      </c>
      <c r="C167" s="14">
        <f t="shared" si="4"/>
        <v>-2.0263424518743235E-3</v>
      </c>
      <c r="D167" s="14">
        <f t="shared" si="5"/>
        <v>1.3722126929674174E-2</v>
      </c>
      <c r="E167" s="15">
        <f>VLOOKUP(Table2[[#This Row],[Date]],'Fed Fund New'!$A:$C,2,FALSE)</f>
        <v>0</v>
      </c>
      <c r="F167" s="15">
        <f>VLOOKUP(Table2[[#This Row],[Date]],'Fed Fund New'!$A:$C,3,FALSE)</f>
        <v>3.23</v>
      </c>
    </row>
    <row r="168" spans="1:6" x14ac:dyDescent="0.2">
      <c r="A168" s="61">
        <v>22129</v>
      </c>
      <c r="B168" s="68">
        <f>VLOOKUP(Table2[[#This Row],[Date]],Database!A:E,2,)</f>
        <v>29.61</v>
      </c>
      <c r="C168" s="14">
        <f t="shared" si="4"/>
        <v>2.0304568527918349E-3</v>
      </c>
      <c r="D168" s="14">
        <f t="shared" si="5"/>
        <v>1.4736120630568873E-2</v>
      </c>
      <c r="E168" s="15">
        <f>VLOOKUP(Table2[[#This Row],[Date]],'Fed Fund New'!$A:$C,2,FALSE)</f>
        <v>0</v>
      </c>
      <c r="F168" s="15">
        <f>VLOOKUP(Table2[[#This Row],[Date]],'Fed Fund New'!$A:$C,3,FALSE)</f>
        <v>2.98</v>
      </c>
    </row>
    <row r="169" spans="1:6" x14ac:dyDescent="0.2">
      <c r="A169" s="61">
        <v>22160</v>
      </c>
      <c r="B169" s="68">
        <f>VLOOKUP(Table2[[#This Row],[Date]],Database!A:E,2,)</f>
        <v>29.61</v>
      </c>
      <c r="C169" s="14">
        <f t="shared" si="4"/>
        <v>0</v>
      </c>
      <c r="D169" s="14">
        <f t="shared" si="5"/>
        <v>1.2307692307692289E-2</v>
      </c>
      <c r="E169" s="15">
        <f>VLOOKUP(Table2[[#This Row],[Date]],'Fed Fund New'!$A:$C,2,FALSE)</f>
        <v>0</v>
      </c>
      <c r="F169" s="15">
        <f>VLOOKUP(Table2[[#This Row],[Date]],'Fed Fund New'!$A:$C,3,FALSE)</f>
        <v>2.6</v>
      </c>
    </row>
    <row r="170" spans="1:6" x14ac:dyDescent="0.2">
      <c r="A170" s="61">
        <v>22190</v>
      </c>
      <c r="B170" s="68">
        <f>VLOOKUP(Table2[[#This Row],[Date]],Database!A:E,2,)</f>
        <v>29.75</v>
      </c>
      <c r="C170" s="14">
        <f t="shared" si="4"/>
        <v>4.7281323877068748E-3</v>
      </c>
      <c r="D170" s="14">
        <f t="shared" si="5"/>
        <v>1.3628620102214602E-2</v>
      </c>
      <c r="E170" s="15">
        <f>VLOOKUP(Table2[[#This Row],[Date]],'Fed Fund New'!$A:$C,2,FALSE)</f>
        <v>0</v>
      </c>
      <c r="F170" s="15">
        <f>VLOOKUP(Table2[[#This Row],[Date]],'Fed Fund New'!$A:$C,3,FALSE)</f>
        <v>2.4700000000000002</v>
      </c>
    </row>
    <row r="171" spans="1:6" x14ac:dyDescent="0.2">
      <c r="A171" s="61">
        <v>22221</v>
      </c>
      <c r="B171" s="68">
        <f>VLOOKUP(Table2[[#This Row],[Date]],Database!A:E,2,)</f>
        <v>29.78</v>
      </c>
      <c r="C171" s="14">
        <f t="shared" si="4"/>
        <v>1.008403361344576E-3</v>
      </c>
      <c r="D171" s="14">
        <f t="shared" si="5"/>
        <v>1.4650766609880739E-2</v>
      </c>
      <c r="E171" s="15">
        <f>VLOOKUP(Table2[[#This Row],[Date]],'Fed Fund New'!$A:$C,2,FALSE)</f>
        <v>0</v>
      </c>
      <c r="F171" s="15">
        <f>VLOOKUP(Table2[[#This Row],[Date]],'Fed Fund New'!$A:$C,3,FALSE)</f>
        <v>2.44</v>
      </c>
    </row>
    <row r="172" spans="1:6" x14ac:dyDescent="0.2">
      <c r="A172" s="61">
        <v>22251</v>
      </c>
      <c r="B172" s="68">
        <f>VLOOKUP(Table2[[#This Row],[Date]],Database!A:E,2,)</f>
        <v>29.81</v>
      </c>
      <c r="C172" s="14">
        <f t="shared" si="4"/>
        <v>1.0073875083948147E-3</v>
      </c>
      <c r="D172" s="14">
        <f t="shared" si="5"/>
        <v>1.3600816048962889E-2</v>
      </c>
      <c r="E172" s="15">
        <f>VLOOKUP(Table2[[#This Row],[Date]],'Fed Fund New'!$A:$C,2,FALSE)</f>
        <v>0</v>
      </c>
      <c r="F172" s="15">
        <f>VLOOKUP(Table2[[#This Row],[Date]],'Fed Fund New'!$A:$C,3,FALSE)</f>
        <v>1.98</v>
      </c>
    </row>
    <row r="173" spans="1:6" x14ac:dyDescent="0.2">
      <c r="A173" s="61">
        <v>22282</v>
      </c>
      <c r="B173" s="68">
        <f>VLOOKUP(Table2[[#This Row],[Date]],Database!A:E,2,)</f>
        <v>29.84</v>
      </c>
      <c r="C173" s="14">
        <f t="shared" si="4"/>
        <v>1.0063737001006756E-3</v>
      </c>
      <c r="D173" s="14">
        <f t="shared" si="5"/>
        <v>1.6002723867892369E-2</v>
      </c>
      <c r="E173" s="15">
        <f>VLOOKUP(Table2[[#This Row],[Date]],'Fed Fund New'!$A:$C,2,FALSE)</f>
        <v>0</v>
      </c>
      <c r="F173" s="15">
        <f>VLOOKUP(Table2[[#This Row],[Date]],'Fed Fund New'!$A:$C,3,FALSE)</f>
        <v>1.45</v>
      </c>
    </row>
    <row r="174" spans="1:6" x14ac:dyDescent="0.2">
      <c r="A174" s="61">
        <v>22313</v>
      </c>
      <c r="B174" s="68">
        <f>VLOOKUP(Table2[[#This Row],[Date]],Database!A:E,2,)</f>
        <v>29.84</v>
      </c>
      <c r="C174" s="14">
        <f t="shared" si="4"/>
        <v>0</v>
      </c>
      <c r="D174" s="14">
        <f t="shared" si="5"/>
        <v>1.4620877252635148E-2</v>
      </c>
      <c r="E174" s="15">
        <f>VLOOKUP(Table2[[#This Row],[Date]],'Fed Fund New'!$A:$C,2,FALSE)</f>
        <v>0</v>
      </c>
      <c r="F174" s="15">
        <f>VLOOKUP(Table2[[#This Row],[Date]],'Fed Fund New'!$A:$C,3,FALSE)</f>
        <v>2.54</v>
      </c>
    </row>
    <row r="175" spans="1:6" x14ac:dyDescent="0.2">
      <c r="A175" s="61">
        <v>22341</v>
      </c>
      <c r="B175" s="68">
        <f>VLOOKUP(Table2[[#This Row],[Date]],Database!A:E,2,)</f>
        <v>29.84</v>
      </c>
      <c r="C175" s="14">
        <f t="shared" si="4"/>
        <v>0</v>
      </c>
      <c r="D175" s="14">
        <f t="shared" si="5"/>
        <v>1.4620877252635148E-2</v>
      </c>
      <c r="E175" s="15">
        <f>VLOOKUP(Table2[[#This Row],[Date]],'Fed Fund New'!$A:$C,2,FALSE)</f>
        <v>0</v>
      </c>
      <c r="F175" s="15">
        <f>VLOOKUP(Table2[[#This Row],[Date]],'Fed Fund New'!$A:$C,3,FALSE)</f>
        <v>2.02</v>
      </c>
    </row>
    <row r="176" spans="1:6" x14ac:dyDescent="0.2">
      <c r="A176" s="61">
        <v>22372</v>
      </c>
      <c r="B176" s="68">
        <f>VLOOKUP(Table2[[#This Row],[Date]],Database!A:E,2,)</f>
        <v>29.81</v>
      </c>
      <c r="C176" s="14">
        <f t="shared" si="4"/>
        <v>-1.0053619302949443E-3</v>
      </c>
      <c r="D176" s="14">
        <f t="shared" si="5"/>
        <v>9.1401489505754767E-3</v>
      </c>
      <c r="E176" s="15">
        <f>VLOOKUP(Table2[[#This Row],[Date]],'Fed Fund New'!$A:$C,2,FALSE)</f>
        <v>0</v>
      </c>
      <c r="F176" s="15">
        <f>VLOOKUP(Table2[[#This Row],[Date]],'Fed Fund New'!$A:$C,3,FALSE)</f>
        <v>1.49</v>
      </c>
    </row>
    <row r="177" spans="1:6" x14ac:dyDescent="0.2">
      <c r="A177" s="61">
        <v>22402</v>
      </c>
      <c r="B177" s="68">
        <f>VLOOKUP(Table2[[#This Row],[Date]],Database!A:E,2,)</f>
        <v>29.84</v>
      </c>
      <c r="C177" s="14">
        <f t="shared" si="4"/>
        <v>1.0063737001006756E-3</v>
      </c>
      <c r="D177" s="14">
        <f t="shared" si="5"/>
        <v>9.1308758877240298E-3</v>
      </c>
      <c r="E177" s="15">
        <f>VLOOKUP(Table2[[#This Row],[Date]],'Fed Fund New'!$A:$C,2,FALSE)</f>
        <v>0</v>
      </c>
      <c r="F177" s="15">
        <f>VLOOKUP(Table2[[#This Row],[Date]],'Fed Fund New'!$A:$C,3,FALSE)</f>
        <v>1.98</v>
      </c>
    </row>
    <row r="178" spans="1:6" x14ac:dyDescent="0.2">
      <c r="A178" s="61">
        <v>22433</v>
      </c>
      <c r="B178" s="68">
        <f>VLOOKUP(Table2[[#This Row],[Date]],Database!A:E,2,)</f>
        <v>29.84</v>
      </c>
      <c r="C178" s="14">
        <f t="shared" si="4"/>
        <v>0</v>
      </c>
      <c r="D178" s="14">
        <f t="shared" si="5"/>
        <v>7.7676460655184201E-3</v>
      </c>
      <c r="E178" s="15">
        <f>VLOOKUP(Table2[[#This Row],[Date]],'Fed Fund New'!$A:$C,2,FALSE)</f>
        <v>0</v>
      </c>
      <c r="F178" s="15">
        <f>VLOOKUP(Table2[[#This Row],[Date]],'Fed Fund New'!$A:$C,3,FALSE)</f>
        <v>1.73</v>
      </c>
    </row>
    <row r="179" spans="1:6" x14ac:dyDescent="0.2">
      <c r="A179" s="61">
        <v>22463</v>
      </c>
      <c r="B179" s="68">
        <f>VLOOKUP(Table2[[#This Row],[Date]],Database!A:E,2,)</f>
        <v>29.92</v>
      </c>
      <c r="C179" s="14">
        <f t="shared" si="4"/>
        <v>2.6809651474531452E-3</v>
      </c>
      <c r="D179" s="14">
        <f t="shared" si="5"/>
        <v>1.2521150592216616E-2</v>
      </c>
      <c r="E179" s="15">
        <f>VLOOKUP(Table2[[#This Row],[Date]],'Fed Fund New'!$A:$C,2,FALSE)</f>
        <v>0</v>
      </c>
      <c r="F179" s="15">
        <f>VLOOKUP(Table2[[#This Row],[Date]],'Fed Fund New'!$A:$C,3,FALSE)</f>
        <v>1.17</v>
      </c>
    </row>
    <row r="180" spans="1:6" x14ac:dyDescent="0.2">
      <c r="A180" s="61">
        <v>22494</v>
      </c>
      <c r="B180" s="68">
        <f>VLOOKUP(Table2[[#This Row],[Date]],Database!A:E,2,)</f>
        <v>29.94</v>
      </c>
      <c r="C180" s="14">
        <f t="shared" si="4"/>
        <v>6.6844919786094832E-4</v>
      </c>
      <c r="D180" s="14">
        <f t="shared" si="5"/>
        <v>1.1144883485309081E-2</v>
      </c>
      <c r="E180" s="15">
        <f>VLOOKUP(Table2[[#This Row],[Date]],'Fed Fund New'!$A:$C,2,FALSE)</f>
        <v>0</v>
      </c>
      <c r="F180" s="15">
        <f>VLOOKUP(Table2[[#This Row],[Date]],'Fed Fund New'!$A:$C,3,FALSE)</f>
        <v>2</v>
      </c>
    </row>
    <row r="181" spans="1:6" x14ac:dyDescent="0.2">
      <c r="A181" s="61">
        <v>22525</v>
      </c>
      <c r="B181" s="68">
        <f>VLOOKUP(Table2[[#This Row],[Date]],Database!A:E,2,)</f>
        <v>29.98</v>
      </c>
      <c r="C181" s="14">
        <f t="shared" si="4"/>
        <v>1.3360053440213476E-3</v>
      </c>
      <c r="D181" s="14">
        <f t="shared" si="5"/>
        <v>1.2495778453225295E-2</v>
      </c>
      <c r="E181" s="15">
        <f>VLOOKUP(Table2[[#This Row],[Date]],'Fed Fund New'!$A:$C,2,FALSE)</f>
        <v>0</v>
      </c>
      <c r="F181" s="15">
        <f>VLOOKUP(Table2[[#This Row],[Date]],'Fed Fund New'!$A:$C,3,FALSE)</f>
        <v>1.88</v>
      </c>
    </row>
    <row r="182" spans="1:6" x14ac:dyDescent="0.2">
      <c r="A182" s="61">
        <v>22555</v>
      </c>
      <c r="B182" s="68">
        <f>VLOOKUP(Table2[[#This Row],[Date]],Database!A:E,2,)</f>
        <v>29.98</v>
      </c>
      <c r="C182" s="14">
        <f t="shared" si="4"/>
        <v>0</v>
      </c>
      <c r="D182" s="14">
        <f t="shared" si="5"/>
        <v>7.7310924369748046E-3</v>
      </c>
      <c r="E182" s="15">
        <f>VLOOKUP(Table2[[#This Row],[Date]],'Fed Fund New'!$A:$C,2,FALSE)</f>
        <v>0</v>
      </c>
      <c r="F182" s="15">
        <f>VLOOKUP(Table2[[#This Row],[Date]],'Fed Fund New'!$A:$C,3,FALSE)</f>
        <v>2.2599999999999998</v>
      </c>
    </row>
    <row r="183" spans="1:6" x14ac:dyDescent="0.2">
      <c r="A183" s="61">
        <v>22586</v>
      </c>
      <c r="B183" s="68">
        <f>VLOOKUP(Table2[[#This Row],[Date]],Database!A:E,2,)</f>
        <v>29.98</v>
      </c>
      <c r="C183" s="14">
        <f t="shared" si="4"/>
        <v>0</v>
      </c>
      <c r="D183" s="14">
        <f t="shared" si="5"/>
        <v>6.7159167226326149E-3</v>
      </c>
      <c r="E183" s="15">
        <f>VLOOKUP(Table2[[#This Row],[Date]],'Fed Fund New'!$A:$C,2,FALSE)</f>
        <v>0</v>
      </c>
      <c r="F183" s="15">
        <f>VLOOKUP(Table2[[#This Row],[Date]],'Fed Fund New'!$A:$C,3,FALSE)</f>
        <v>2.61</v>
      </c>
    </row>
    <row r="184" spans="1:6" x14ac:dyDescent="0.2">
      <c r="A184" s="61">
        <v>22616</v>
      </c>
      <c r="B184" s="68">
        <f>VLOOKUP(Table2[[#This Row],[Date]],Database!A:E,2,)</f>
        <v>30.01</v>
      </c>
      <c r="C184" s="14">
        <f t="shared" si="4"/>
        <v>1.0006671114076429E-3</v>
      </c>
      <c r="D184" s="14">
        <f t="shared" si="5"/>
        <v>6.7091580006710116E-3</v>
      </c>
      <c r="E184" s="15">
        <f>VLOOKUP(Table2[[#This Row],[Date]],'Fed Fund New'!$A:$C,2,FALSE)</f>
        <v>0</v>
      </c>
      <c r="F184" s="15">
        <f>VLOOKUP(Table2[[#This Row],[Date]],'Fed Fund New'!$A:$C,3,FALSE)</f>
        <v>2.33</v>
      </c>
    </row>
    <row r="185" spans="1:6" x14ac:dyDescent="0.2">
      <c r="A185" s="61">
        <v>22647</v>
      </c>
      <c r="B185" s="68">
        <f>VLOOKUP(Table2[[#This Row],[Date]],Database!A:E,2,)</f>
        <v>30.04</v>
      </c>
      <c r="C185" s="14">
        <f t="shared" si="4"/>
        <v>9.9966677774067261E-4</v>
      </c>
      <c r="D185" s="14">
        <f t="shared" si="5"/>
        <v>6.7024128686326836E-3</v>
      </c>
      <c r="E185" s="15">
        <f>VLOOKUP(Table2[[#This Row],[Date]],'Fed Fund New'!$A:$C,2,FALSE)</f>
        <v>0</v>
      </c>
      <c r="F185" s="15">
        <f>VLOOKUP(Table2[[#This Row],[Date]],'Fed Fund New'!$A:$C,3,FALSE)</f>
        <v>2.15</v>
      </c>
    </row>
    <row r="186" spans="1:6" x14ac:dyDescent="0.2">
      <c r="A186" s="61">
        <v>22678</v>
      </c>
      <c r="B186" s="68">
        <f>VLOOKUP(Table2[[#This Row],[Date]],Database!A:E,2,)</f>
        <v>30.11</v>
      </c>
      <c r="C186" s="14">
        <f t="shared" si="4"/>
        <v>2.3302263648468805E-3</v>
      </c>
      <c r="D186" s="14">
        <f t="shared" si="5"/>
        <v>9.0482573726541407E-3</v>
      </c>
      <c r="E186" s="15">
        <f>VLOOKUP(Table2[[#This Row],[Date]],'Fed Fund New'!$A:$C,2,FALSE)</f>
        <v>0</v>
      </c>
      <c r="F186" s="15">
        <f>VLOOKUP(Table2[[#This Row],[Date]],'Fed Fund New'!$A:$C,3,FALSE)</f>
        <v>2.37</v>
      </c>
    </row>
    <row r="187" spans="1:6" x14ac:dyDescent="0.2">
      <c r="A187" s="61">
        <v>22706</v>
      </c>
      <c r="B187" s="68">
        <f>VLOOKUP(Table2[[#This Row],[Date]],Database!A:E,2,)</f>
        <v>30.17</v>
      </c>
      <c r="C187" s="14">
        <f t="shared" si="4"/>
        <v>1.9926934573232238E-3</v>
      </c>
      <c r="D187" s="14">
        <f t="shared" si="5"/>
        <v>1.1058981233244029E-2</v>
      </c>
      <c r="E187" s="15">
        <f>VLOOKUP(Table2[[#This Row],[Date]],'Fed Fund New'!$A:$C,2,FALSE)</f>
        <v>0</v>
      </c>
      <c r="F187" s="15">
        <f>VLOOKUP(Table2[[#This Row],[Date]],'Fed Fund New'!$A:$C,3,FALSE)</f>
        <v>2.85</v>
      </c>
    </row>
    <row r="188" spans="1:6" x14ac:dyDescent="0.2">
      <c r="A188" s="61">
        <v>22737</v>
      </c>
      <c r="B188" s="68">
        <f>VLOOKUP(Table2[[#This Row],[Date]],Database!A:E,2,)</f>
        <v>30.21</v>
      </c>
      <c r="C188" s="14">
        <f t="shared" si="4"/>
        <v>1.3258203513423648E-3</v>
      </c>
      <c r="D188" s="14">
        <f t="shared" si="5"/>
        <v>1.3418316001341904E-2</v>
      </c>
      <c r="E188" s="15">
        <f>VLOOKUP(Table2[[#This Row],[Date]],'Fed Fund New'!$A:$C,2,FALSE)</f>
        <v>0</v>
      </c>
      <c r="F188" s="15">
        <f>VLOOKUP(Table2[[#This Row],[Date]],'Fed Fund New'!$A:$C,3,FALSE)</f>
        <v>2.78</v>
      </c>
    </row>
    <row r="189" spans="1:6" x14ac:dyDescent="0.2">
      <c r="A189" s="61">
        <v>22767</v>
      </c>
      <c r="B189" s="68">
        <f>VLOOKUP(Table2[[#This Row],[Date]],Database!A:E,2,)</f>
        <v>30.24</v>
      </c>
      <c r="C189" s="14">
        <f t="shared" si="4"/>
        <v>9.9304865938422979E-4</v>
      </c>
      <c r="D189" s="14">
        <f t="shared" si="5"/>
        <v>1.3404825737265367E-2</v>
      </c>
      <c r="E189" s="15">
        <f>VLOOKUP(Table2[[#This Row],[Date]],'Fed Fund New'!$A:$C,2,FALSE)</f>
        <v>0</v>
      </c>
      <c r="F189" s="15">
        <f>VLOOKUP(Table2[[#This Row],[Date]],'Fed Fund New'!$A:$C,3,FALSE)</f>
        <v>2.36</v>
      </c>
    </row>
    <row r="190" spans="1:6" x14ac:dyDescent="0.2">
      <c r="A190" s="61">
        <v>22798</v>
      </c>
      <c r="B190" s="68">
        <f>VLOOKUP(Table2[[#This Row],[Date]],Database!A:E,2,)</f>
        <v>30.21</v>
      </c>
      <c r="C190" s="14">
        <f t="shared" si="4"/>
        <v>-9.9206349206341221E-4</v>
      </c>
      <c r="D190" s="14">
        <f t="shared" si="5"/>
        <v>1.2399463806970542E-2</v>
      </c>
      <c r="E190" s="15">
        <f>VLOOKUP(Table2[[#This Row],[Date]],'Fed Fund New'!$A:$C,2,FALSE)</f>
        <v>0</v>
      </c>
      <c r="F190" s="15">
        <f>VLOOKUP(Table2[[#This Row],[Date]],'Fed Fund New'!$A:$C,3,FALSE)</f>
        <v>2.68</v>
      </c>
    </row>
    <row r="191" spans="1:6" x14ac:dyDescent="0.2">
      <c r="A191" s="61">
        <v>22828</v>
      </c>
      <c r="B191" s="68">
        <f>VLOOKUP(Table2[[#This Row],[Date]],Database!A:E,2,)</f>
        <v>30.22</v>
      </c>
      <c r="C191" s="14">
        <f t="shared" si="4"/>
        <v>3.3101621979470409E-4</v>
      </c>
      <c r="D191" s="14">
        <f t="shared" si="5"/>
        <v>1.0026737967914343E-2</v>
      </c>
      <c r="E191" s="15">
        <f>VLOOKUP(Table2[[#This Row],[Date]],'Fed Fund New'!$A:$C,2,FALSE)</f>
        <v>0</v>
      </c>
      <c r="F191" s="15">
        <f>VLOOKUP(Table2[[#This Row],[Date]],'Fed Fund New'!$A:$C,3,FALSE)</f>
        <v>2.71</v>
      </c>
    </row>
    <row r="192" spans="1:6" x14ac:dyDescent="0.2">
      <c r="A192" s="61">
        <v>22859</v>
      </c>
      <c r="B192" s="68">
        <f>VLOOKUP(Table2[[#This Row],[Date]],Database!A:E,2,)</f>
        <v>30.28</v>
      </c>
      <c r="C192" s="14">
        <f t="shared" si="4"/>
        <v>1.9854401058902143E-3</v>
      </c>
      <c r="D192" s="14">
        <f t="shared" si="5"/>
        <v>1.1356045424181692E-2</v>
      </c>
      <c r="E192" s="15">
        <f>VLOOKUP(Table2[[#This Row],[Date]],'Fed Fund New'!$A:$C,2,FALSE)</f>
        <v>0</v>
      </c>
      <c r="F192" s="15">
        <f>VLOOKUP(Table2[[#This Row],[Date]],'Fed Fund New'!$A:$C,3,FALSE)</f>
        <v>2.93</v>
      </c>
    </row>
    <row r="193" spans="1:6" x14ac:dyDescent="0.2">
      <c r="A193" s="61">
        <v>22890</v>
      </c>
      <c r="B193" s="68">
        <f>VLOOKUP(Table2[[#This Row],[Date]],Database!A:E,2,)</f>
        <v>30.42</v>
      </c>
      <c r="C193" s="14">
        <f t="shared" si="4"/>
        <v>4.6235138705416302E-3</v>
      </c>
      <c r="D193" s="14">
        <f t="shared" si="5"/>
        <v>1.4676450967311584E-2</v>
      </c>
      <c r="E193" s="15">
        <f>VLOOKUP(Table2[[#This Row],[Date]],'Fed Fund New'!$A:$C,2,FALSE)</f>
        <v>0</v>
      </c>
      <c r="F193" s="15">
        <f>VLOOKUP(Table2[[#This Row],[Date]],'Fed Fund New'!$A:$C,3,FALSE)</f>
        <v>2.9</v>
      </c>
    </row>
    <row r="194" spans="1:6" x14ac:dyDescent="0.2">
      <c r="A194" s="61">
        <v>22920</v>
      </c>
      <c r="B194" s="68">
        <f>VLOOKUP(Table2[[#This Row],[Date]],Database!A:E,2,)</f>
        <v>30.38</v>
      </c>
      <c r="C194" s="14">
        <f t="shared" si="4"/>
        <v>-1.3149243918475575E-3</v>
      </c>
      <c r="D194" s="14">
        <f t="shared" si="5"/>
        <v>1.3342228152101353E-2</v>
      </c>
      <c r="E194" s="15">
        <f>VLOOKUP(Table2[[#This Row],[Date]],'Fed Fund New'!$A:$C,2,FALSE)</f>
        <v>0</v>
      </c>
      <c r="F194" s="15">
        <f>VLOOKUP(Table2[[#This Row],[Date]],'Fed Fund New'!$A:$C,3,FALSE)</f>
        <v>2.9</v>
      </c>
    </row>
    <row r="195" spans="1:6" x14ac:dyDescent="0.2">
      <c r="A195" s="61">
        <v>22951</v>
      </c>
      <c r="B195" s="68">
        <f>VLOOKUP(Table2[[#This Row],[Date]],Database!A:E,2,)</f>
        <v>30.38</v>
      </c>
      <c r="C195" s="14">
        <f t="shared" si="4"/>
        <v>0</v>
      </c>
      <c r="D195" s="14">
        <f t="shared" si="5"/>
        <v>1.3342228152101353E-2</v>
      </c>
      <c r="E195" s="15">
        <f>VLOOKUP(Table2[[#This Row],[Date]],'Fed Fund New'!$A:$C,2,FALSE)</f>
        <v>0</v>
      </c>
      <c r="F195" s="15">
        <f>VLOOKUP(Table2[[#This Row],[Date]],'Fed Fund New'!$A:$C,3,FALSE)</f>
        <v>2.94</v>
      </c>
    </row>
    <row r="196" spans="1:6" x14ac:dyDescent="0.2">
      <c r="A196" s="61">
        <v>22981</v>
      </c>
      <c r="B196" s="68">
        <f>VLOOKUP(Table2[[#This Row],[Date]],Database!A:E,2,)</f>
        <v>30.38</v>
      </c>
      <c r="C196" s="14">
        <f t="shared" si="4"/>
        <v>0</v>
      </c>
      <c r="D196" s="14">
        <f t="shared" si="5"/>
        <v>1.2329223592135868E-2</v>
      </c>
      <c r="E196" s="15">
        <f>VLOOKUP(Table2[[#This Row],[Date]],'Fed Fund New'!$A:$C,2,FALSE)</f>
        <v>0</v>
      </c>
      <c r="F196" s="15">
        <f>VLOOKUP(Table2[[#This Row],[Date]],'Fed Fund New'!$A:$C,3,FALSE)</f>
        <v>2.93</v>
      </c>
    </row>
    <row r="197" spans="1:6" x14ac:dyDescent="0.2">
      <c r="A197" s="61">
        <v>23012</v>
      </c>
      <c r="B197" s="68">
        <f>VLOOKUP(Table2[[#This Row],[Date]],Database!A:E,2,)</f>
        <v>30.44</v>
      </c>
      <c r="C197" s="14">
        <f t="shared" si="4"/>
        <v>1.974983541803893E-3</v>
      </c>
      <c r="D197" s="14">
        <f t="shared" si="5"/>
        <v>1.3315579227696476E-2</v>
      </c>
      <c r="E197" s="15">
        <f>VLOOKUP(Table2[[#This Row],[Date]],'Fed Fund New'!$A:$C,2,FALSE)</f>
        <v>0</v>
      </c>
      <c r="F197" s="15">
        <f>VLOOKUP(Table2[[#This Row],[Date]],'Fed Fund New'!$A:$C,3,FALSE)</f>
        <v>2.92</v>
      </c>
    </row>
    <row r="198" spans="1:6" x14ac:dyDescent="0.2">
      <c r="A198" s="61">
        <v>23043</v>
      </c>
      <c r="B198" s="68">
        <f>VLOOKUP(Table2[[#This Row],[Date]],Database!A:E,2,)</f>
        <v>30.48</v>
      </c>
      <c r="C198" s="14">
        <f t="shared" ref="C198:C261" si="6">(B198-B197)/B197</f>
        <v>1.3140604467805237E-3</v>
      </c>
      <c r="D198" s="14">
        <f t="shared" si="5"/>
        <v>1.2288276320159448E-2</v>
      </c>
      <c r="E198" s="15">
        <f>VLOOKUP(Table2[[#This Row],[Date]],'Fed Fund New'!$A:$C,2,FALSE)</f>
        <v>0</v>
      </c>
      <c r="F198" s="15">
        <f>VLOOKUP(Table2[[#This Row],[Date]],'Fed Fund New'!$A:$C,3,FALSE)</f>
        <v>3</v>
      </c>
    </row>
    <row r="199" spans="1:6" x14ac:dyDescent="0.2">
      <c r="A199" s="61">
        <v>23071</v>
      </c>
      <c r="B199" s="68">
        <f>VLOOKUP(Table2[[#This Row],[Date]],Database!A:E,2,)</f>
        <v>30.51</v>
      </c>
      <c r="C199" s="14">
        <f t="shared" si="6"/>
        <v>9.8425196850397429E-4</v>
      </c>
      <c r="D199" s="14">
        <f t="shared" si="5"/>
        <v>1.1269472986410336E-2</v>
      </c>
      <c r="E199" s="15">
        <f>VLOOKUP(Table2[[#This Row],[Date]],'Fed Fund New'!$A:$C,2,FALSE)</f>
        <v>0</v>
      </c>
      <c r="F199" s="15">
        <f>VLOOKUP(Table2[[#This Row],[Date]],'Fed Fund New'!$A:$C,3,FALSE)</f>
        <v>2.98</v>
      </c>
    </row>
    <row r="200" spans="1:6" x14ac:dyDescent="0.2">
      <c r="A200" s="61">
        <v>23102</v>
      </c>
      <c r="B200" s="68">
        <f>VLOOKUP(Table2[[#This Row],[Date]],Database!A:E,2,)</f>
        <v>30.48</v>
      </c>
      <c r="C200" s="14">
        <f t="shared" si="6"/>
        <v>-9.8328416912491423E-4</v>
      </c>
      <c r="D200" s="14">
        <f t="shared" si="5"/>
        <v>8.9374379344587737E-3</v>
      </c>
      <c r="E200" s="15">
        <f>VLOOKUP(Table2[[#This Row],[Date]],'Fed Fund New'!$A:$C,2,FALSE)</f>
        <v>0</v>
      </c>
      <c r="F200" s="15">
        <f>VLOOKUP(Table2[[#This Row],[Date]],'Fed Fund New'!$A:$C,3,FALSE)</f>
        <v>2.9</v>
      </c>
    </row>
    <row r="201" spans="1:6" x14ac:dyDescent="0.2">
      <c r="A201" s="61">
        <v>23132</v>
      </c>
      <c r="B201" s="68">
        <f>VLOOKUP(Table2[[#This Row],[Date]],Database!A:E,2,)</f>
        <v>30.51</v>
      </c>
      <c r="C201" s="14">
        <f t="shared" si="6"/>
        <v>9.8425196850397429E-4</v>
      </c>
      <c r="D201" s="14">
        <f t="shared" si="5"/>
        <v>8.9285714285715322E-3</v>
      </c>
      <c r="E201" s="15">
        <f>VLOOKUP(Table2[[#This Row],[Date]],'Fed Fund New'!$A:$C,2,FALSE)</f>
        <v>0</v>
      </c>
      <c r="F201" s="15">
        <f>VLOOKUP(Table2[[#This Row],[Date]],'Fed Fund New'!$A:$C,3,FALSE)</f>
        <v>3</v>
      </c>
    </row>
    <row r="202" spans="1:6" x14ac:dyDescent="0.2">
      <c r="A202" s="61">
        <v>23163</v>
      </c>
      <c r="B202" s="68">
        <f>VLOOKUP(Table2[[#This Row],[Date]],Database!A:E,2,)</f>
        <v>30.61</v>
      </c>
      <c r="C202" s="14">
        <f t="shared" si="6"/>
        <v>3.2776138970828537E-3</v>
      </c>
      <c r="D202" s="14">
        <f t="shared" si="5"/>
        <v>1.324064879179075E-2</v>
      </c>
      <c r="E202" s="15">
        <f>VLOOKUP(Table2[[#This Row],[Date]],'Fed Fund New'!$A:$C,2,FALSE)</f>
        <v>0</v>
      </c>
      <c r="F202" s="15">
        <f>VLOOKUP(Table2[[#This Row],[Date]],'Fed Fund New'!$A:$C,3,FALSE)</f>
        <v>2.99</v>
      </c>
    </row>
    <row r="203" spans="1:6" x14ac:dyDescent="0.2">
      <c r="A203" s="61">
        <v>23193</v>
      </c>
      <c r="B203" s="68">
        <f>VLOOKUP(Table2[[#This Row],[Date]],Database!A:E,2,)</f>
        <v>30.69</v>
      </c>
      <c r="C203" s="14">
        <f t="shared" si="6"/>
        <v>2.6135249918327946E-3</v>
      </c>
      <c r="D203" s="14">
        <f t="shared" si="5"/>
        <v>1.5552614162806169E-2</v>
      </c>
      <c r="E203" s="15">
        <f>VLOOKUP(Table2[[#This Row],[Date]],'Fed Fund New'!$A:$C,2,FALSE)</f>
        <v>0</v>
      </c>
      <c r="F203" s="15">
        <f>VLOOKUP(Table2[[#This Row],[Date]],'Fed Fund New'!$A:$C,3,FALSE)</f>
        <v>3.02</v>
      </c>
    </row>
    <row r="204" spans="1:6" x14ac:dyDescent="0.2">
      <c r="A204" s="61">
        <v>23224</v>
      </c>
      <c r="B204" s="68">
        <f>VLOOKUP(Table2[[#This Row],[Date]],Database!A:E,2,)</f>
        <v>30.75</v>
      </c>
      <c r="C204" s="14">
        <f t="shared" si="6"/>
        <v>1.9550342130986876E-3</v>
      </c>
      <c r="D204" s="14">
        <f t="shared" si="5"/>
        <v>1.5521796565389658E-2</v>
      </c>
      <c r="E204" s="15">
        <f>VLOOKUP(Table2[[#This Row],[Date]],'Fed Fund New'!$A:$C,2,FALSE)</f>
        <v>0</v>
      </c>
      <c r="F204" s="15">
        <f>VLOOKUP(Table2[[#This Row],[Date]],'Fed Fund New'!$A:$C,3,FALSE)</f>
        <v>3.49</v>
      </c>
    </row>
    <row r="205" spans="1:6" x14ac:dyDescent="0.2">
      <c r="A205" s="61">
        <v>23255</v>
      </c>
      <c r="B205" s="68">
        <f>VLOOKUP(Table2[[#This Row],[Date]],Database!A:E,2,)</f>
        <v>30.72</v>
      </c>
      <c r="C205" s="14">
        <f t="shared" si="6"/>
        <v>-9.7560975609759795E-4</v>
      </c>
      <c r="D205" s="14">
        <f t="shared" si="5"/>
        <v>9.8619329388559222E-3</v>
      </c>
      <c r="E205" s="15">
        <f>VLOOKUP(Table2[[#This Row],[Date]],'Fed Fund New'!$A:$C,2,FALSE)</f>
        <v>0</v>
      </c>
      <c r="F205" s="15">
        <f>VLOOKUP(Table2[[#This Row],[Date]],'Fed Fund New'!$A:$C,3,FALSE)</f>
        <v>3.48</v>
      </c>
    </row>
    <row r="206" spans="1:6" x14ac:dyDescent="0.2">
      <c r="A206" s="61">
        <v>23285</v>
      </c>
      <c r="B206" s="68">
        <f>VLOOKUP(Table2[[#This Row],[Date]],Database!A:E,2,)</f>
        <v>30.75</v>
      </c>
      <c r="C206" s="14">
        <f t="shared" si="6"/>
        <v>9.7656250000003708E-4</v>
      </c>
      <c r="D206" s="14">
        <f t="shared" si="5"/>
        <v>1.2179065174456914E-2</v>
      </c>
      <c r="E206" s="15">
        <f>VLOOKUP(Table2[[#This Row],[Date]],'Fed Fund New'!$A:$C,2,FALSE)</f>
        <v>0</v>
      </c>
      <c r="F206" s="15">
        <f>VLOOKUP(Table2[[#This Row],[Date]],'Fed Fund New'!$A:$C,3,FALSE)</f>
        <v>3.5</v>
      </c>
    </row>
    <row r="207" spans="1:6" x14ac:dyDescent="0.2">
      <c r="A207" s="61">
        <v>23316</v>
      </c>
      <c r="B207" s="68">
        <f>VLOOKUP(Table2[[#This Row],[Date]],Database!A:E,2,)</f>
        <v>30.78</v>
      </c>
      <c r="C207" s="14">
        <f t="shared" si="6"/>
        <v>9.7560975609759795E-4</v>
      </c>
      <c r="D207" s="14">
        <f t="shared" si="5"/>
        <v>1.316655694535886E-2</v>
      </c>
      <c r="E207" s="15">
        <f>VLOOKUP(Table2[[#This Row],[Date]],'Fed Fund New'!$A:$C,2,FALSE)</f>
        <v>0</v>
      </c>
      <c r="F207" s="15">
        <f>VLOOKUP(Table2[[#This Row],[Date]],'Fed Fund New'!$A:$C,3,FALSE)</f>
        <v>3.48</v>
      </c>
    </row>
    <row r="208" spans="1:6" x14ac:dyDescent="0.2">
      <c r="A208" s="61">
        <v>23346</v>
      </c>
      <c r="B208" s="68">
        <f>VLOOKUP(Table2[[#This Row],[Date]],Database!A:E,2,)</f>
        <v>30.88</v>
      </c>
      <c r="C208" s="14">
        <f t="shared" si="6"/>
        <v>3.2488628979856354E-3</v>
      </c>
      <c r="D208" s="14">
        <f t="shared" si="5"/>
        <v>1.6458196181698487E-2</v>
      </c>
      <c r="E208" s="15">
        <f>VLOOKUP(Table2[[#This Row],[Date]],'Fed Fund New'!$A:$C,2,FALSE)</f>
        <v>0</v>
      </c>
      <c r="F208" s="15">
        <f>VLOOKUP(Table2[[#This Row],[Date]],'Fed Fund New'!$A:$C,3,FALSE)</f>
        <v>3.38</v>
      </c>
    </row>
    <row r="209" spans="1:6" x14ac:dyDescent="0.2">
      <c r="A209" s="61">
        <v>23377</v>
      </c>
      <c r="B209" s="68">
        <f>VLOOKUP(Table2[[#This Row],[Date]],Database!A:E,2,)</f>
        <v>30.94</v>
      </c>
      <c r="C209" s="14">
        <f t="shared" si="6"/>
        <v>1.9430051813472239E-3</v>
      </c>
      <c r="D209" s="14">
        <f t="shared" ref="D209:D272" si="7">(B209-B197)/B197</f>
        <v>1.6425755584756899E-2</v>
      </c>
      <c r="E209" s="15">
        <f>VLOOKUP(Table2[[#This Row],[Date]],'Fed Fund New'!$A:$C,2,FALSE)</f>
        <v>0</v>
      </c>
      <c r="F209" s="15">
        <f>VLOOKUP(Table2[[#This Row],[Date]],'Fed Fund New'!$A:$C,3,FALSE)</f>
        <v>3.48</v>
      </c>
    </row>
    <row r="210" spans="1:6" x14ac:dyDescent="0.2">
      <c r="A210" s="61">
        <v>23408</v>
      </c>
      <c r="B210" s="68">
        <f>VLOOKUP(Table2[[#This Row],[Date]],Database!A:E,2,)</f>
        <v>30.91</v>
      </c>
      <c r="C210" s="14">
        <f t="shared" si="6"/>
        <v>-9.6961861667747688E-4</v>
      </c>
      <c r="D210" s="14">
        <f t="shared" si="7"/>
        <v>1.4107611548556422E-2</v>
      </c>
      <c r="E210" s="15">
        <f>VLOOKUP(Table2[[#This Row],[Date]],'Fed Fund New'!$A:$C,2,FALSE)</f>
        <v>0</v>
      </c>
      <c r="F210" s="15">
        <f>VLOOKUP(Table2[[#This Row],[Date]],'Fed Fund New'!$A:$C,3,FALSE)</f>
        <v>3.48</v>
      </c>
    </row>
    <row r="211" spans="1:6" x14ac:dyDescent="0.2">
      <c r="A211" s="61">
        <v>23437</v>
      </c>
      <c r="B211" s="68">
        <f>VLOOKUP(Table2[[#This Row],[Date]],Database!A:E,2,)</f>
        <v>30.94</v>
      </c>
      <c r="C211" s="14">
        <f t="shared" si="6"/>
        <v>9.7055968942093621E-4</v>
      </c>
      <c r="D211" s="14">
        <f t="shared" si="7"/>
        <v>1.4093739757456562E-2</v>
      </c>
      <c r="E211" s="15">
        <f>VLOOKUP(Table2[[#This Row],[Date]],'Fed Fund New'!$A:$C,2,FALSE)</f>
        <v>0</v>
      </c>
      <c r="F211" s="15">
        <f>VLOOKUP(Table2[[#This Row],[Date]],'Fed Fund New'!$A:$C,3,FALSE)</f>
        <v>3.43</v>
      </c>
    </row>
    <row r="212" spans="1:6" x14ac:dyDescent="0.2">
      <c r="A212" s="61">
        <v>23468</v>
      </c>
      <c r="B212" s="68">
        <f>VLOOKUP(Table2[[#This Row],[Date]],Database!A:E,2,)</f>
        <v>30.95</v>
      </c>
      <c r="C212" s="14">
        <f t="shared" si="6"/>
        <v>3.2320620555908243E-4</v>
      </c>
      <c r="D212" s="14">
        <f t="shared" si="7"/>
        <v>1.5419947506561641E-2</v>
      </c>
      <c r="E212" s="15">
        <f>VLOOKUP(Table2[[#This Row],[Date]],'Fed Fund New'!$A:$C,2,FALSE)</f>
        <v>0</v>
      </c>
      <c r="F212" s="15">
        <f>VLOOKUP(Table2[[#This Row],[Date]],'Fed Fund New'!$A:$C,3,FALSE)</f>
        <v>3.47</v>
      </c>
    </row>
    <row r="213" spans="1:6" x14ac:dyDescent="0.2">
      <c r="A213" s="61">
        <v>23498</v>
      </c>
      <c r="B213" s="68">
        <f>VLOOKUP(Table2[[#This Row],[Date]],Database!A:E,2,)</f>
        <v>30.98</v>
      </c>
      <c r="C213" s="14">
        <f t="shared" si="6"/>
        <v>9.6930533117935819E-4</v>
      </c>
      <c r="D213" s="14">
        <f t="shared" si="7"/>
        <v>1.5404785316289703E-2</v>
      </c>
      <c r="E213" s="15">
        <f>VLOOKUP(Table2[[#This Row],[Date]],'Fed Fund New'!$A:$C,2,FALSE)</f>
        <v>0</v>
      </c>
      <c r="F213" s="15">
        <f>VLOOKUP(Table2[[#This Row],[Date]],'Fed Fund New'!$A:$C,3,FALSE)</f>
        <v>3.5</v>
      </c>
    </row>
    <row r="214" spans="1:6" x14ac:dyDescent="0.2">
      <c r="A214" s="61">
        <v>23529</v>
      </c>
      <c r="B214" s="68">
        <f>VLOOKUP(Table2[[#This Row],[Date]],Database!A:E,2,)</f>
        <v>31.01</v>
      </c>
      <c r="C214" s="14">
        <f t="shared" si="6"/>
        <v>9.683666881859631E-4</v>
      </c>
      <c r="D214" s="14">
        <f t="shared" si="7"/>
        <v>1.3067624959163741E-2</v>
      </c>
      <c r="E214" s="15">
        <f>VLOOKUP(Table2[[#This Row],[Date]],'Fed Fund New'!$A:$C,2,FALSE)</f>
        <v>0</v>
      </c>
      <c r="F214" s="15">
        <f>VLOOKUP(Table2[[#This Row],[Date]],'Fed Fund New'!$A:$C,3,FALSE)</f>
        <v>3.5</v>
      </c>
    </row>
    <row r="215" spans="1:6" x14ac:dyDescent="0.2">
      <c r="A215" s="61">
        <v>23559</v>
      </c>
      <c r="B215" s="68">
        <f>VLOOKUP(Table2[[#This Row],[Date]],Database!A:E,2,)</f>
        <v>31.02</v>
      </c>
      <c r="C215" s="14">
        <f t="shared" si="6"/>
        <v>3.2247662044495359E-4</v>
      </c>
      <c r="D215" s="14">
        <f t="shared" si="7"/>
        <v>1.0752688172042954E-2</v>
      </c>
      <c r="E215" s="15">
        <f>VLOOKUP(Table2[[#This Row],[Date]],'Fed Fund New'!$A:$C,2,FALSE)</f>
        <v>0</v>
      </c>
      <c r="F215" s="15">
        <f>VLOOKUP(Table2[[#This Row],[Date]],'Fed Fund New'!$A:$C,3,FALSE)</f>
        <v>3.42</v>
      </c>
    </row>
    <row r="216" spans="1:6" x14ac:dyDescent="0.2">
      <c r="A216" s="61">
        <v>23590</v>
      </c>
      <c r="B216" s="68">
        <f>VLOOKUP(Table2[[#This Row],[Date]],Database!A:E,2,)</f>
        <v>31.05</v>
      </c>
      <c r="C216" s="14">
        <f t="shared" si="6"/>
        <v>9.6711798839462079E-4</v>
      </c>
      <c r="D216" s="14">
        <f t="shared" si="7"/>
        <v>9.7560975609756323E-3</v>
      </c>
      <c r="E216" s="15">
        <f>VLOOKUP(Table2[[#This Row],[Date]],'Fed Fund New'!$A:$C,2,FALSE)</f>
        <v>0</v>
      </c>
      <c r="F216" s="15">
        <f>VLOOKUP(Table2[[#This Row],[Date]],'Fed Fund New'!$A:$C,3,FALSE)</f>
        <v>3.5</v>
      </c>
    </row>
    <row r="217" spans="1:6" x14ac:dyDescent="0.2">
      <c r="A217" s="61">
        <v>23621</v>
      </c>
      <c r="B217" s="68">
        <f>VLOOKUP(Table2[[#This Row],[Date]],Database!A:E,2,)</f>
        <v>31.08</v>
      </c>
      <c r="C217" s="14">
        <f t="shared" si="6"/>
        <v>9.6618357487914918E-4</v>
      </c>
      <c r="D217" s="14">
        <f t="shared" si="7"/>
        <v>1.1718749999999983E-2</v>
      </c>
      <c r="E217" s="15">
        <f>VLOOKUP(Table2[[#This Row],[Date]],'Fed Fund New'!$A:$C,2,FALSE)</f>
        <v>0</v>
      </c>
      <c r="F217" s="15">
        <f>VLOOKUP(Table2[[#This Row],[Date]],'Fed Fund New'!$A:$C,3,FALSE)</f>
        <v>3.45</v>
      </c>
    </row>
    <row r="218" spans="1:6" x14ac:dyDescent="0.2">
      <c r="A218" s="61">
        <v>23651</v>
      </c>
      <c r="B218" s="68">
        <f>VLOOKUP(Table2[[#This Row],[Date]],Database!A:E,2,)</f>
        <v>31.12</v>
      </c>
      <c r="C218" s="14">
        <f t="shared" si="6"/>
        <v>1.2870012870013739E-3</v>
      </c>
      <c r="D218" s="14">
        <f t="shared" si="7"/>
        <v>1.2032520325203284E-2</v>
      </c>
      <c r="E218" s="15">
        <f>VLOOKUP(Table2[[#This Row],[Date]],'Fed Fund New'!$A:$C,2,FALSE)</f>
        <v>0</v>
      </c>
      <c r="F218" s="15">
        <f>VLOOKUP(Table2[[#This Row],[Date]],'Fed Fund New'!$A:$C,3,FALSE)</f>
        <v>3.36</v>
      </c>
    </row>
    <row r="219" spans="1:6" x14ac:dyDescent="0.2">
      <c r="A219" s="61">
        <v>23682</v>
      </c>
      <c r="B219" s="68">
        <f>VLOOKUP(Table2[[#This Row],[Date]],Database!A:E,2,)</f>
        <v>31.21</v>
      </c>
      <c r="C219" s="14">
        <f t="shared" si="6"/>
        <v>2.892030848329044E-3</v>
      </c>
      <c r="D219" s="14">
        <f t="shared" si="7"/>
        <v>1.3970110461338522E-2</v>
      </c>
      <c r="E219" s="15">
        <f>VLOOKUP(Table2[[#This Row],[Date]],'Fed Fund New'!$A:$C,2,FALSE)</f>
        <v>0</v>
      </c>
      <c r="F219" s="15">
        <f>VLOOKUP(Table2[[#This Row],[Date]],'Fed Fund New'!$A:$C,3,FALSE)</f>
        <v>3.52</v>
      </c>
    </row>
    <row r="220" spans="1:6" x14ac:dyDescent="0.2">
      <c r="A220" s="61">
        <v>23712</v>
      </c>
      <c r="B220" s="68">
        <f>VLOOKUP(Table2[[#This Row],[Date]],Database!A:E,2,)</f>
        <v>31.25</v>
      </c>
      <c r="C220" s="14">
        <f t="shared" si="6"/>
        <v>1.2816404998397676E-3</v>
      </c>
      <c r="D220" s="14">
        <f t="shared" si="7"/>
        <v>1.1981865284974125E-2</v>
      </c>
      <c r="E220" s="15">
        <f>VLOOKUP(Table2[[#This Row],[Date]],'Fed Fund New'!$A:$C,2,FALSE)</f>
        <v>0</v>
      </c>
      <c r="F220" s="15">
        <f>VLOOKUP(Table2[[#This Row],[Date]],'Fed Fund New'!$A:$C,3,FALSE)</f>
        <v>3.85</v>
      </c>
    </row>
    <row r="221" spans="1:6" x14ac:dyDescent="0.2">
      <c r="A221" s="61">
        <v>23743</v>
      </c>
      <c r="B221" s="68">
        <f>VLOOKUP(Table2[[#This Row],[Date]],Database!A:E,2,)</f>
        <v>31.28</v>
      </c>
      <c r="C221" s="14">
        <f t="shared" si="6"/>
        <v>9.6000000000003635E-4</v>
      </c>
      <c r="D221" s="14">
        <f t="shared" si="7"/>
        <v>1.0989010989010985E-2</v>
      </c>
      <c r="E221" s="15">
        <f>VLOOKUP(Table2[[#This Row],[Date]],'Fed Fund New'!$A:$C,2,FALSE)</f>
        <v>0</v>
      </c>
      <c r="F221" s="15">
        <f>VLOOKUP(Table2[[#This Row],[Date]],'Fed Fund New'!$A:$C,3,FALSE)</f>
        <v>3.9</v>
      </c>
    </row>
    <row r="222" spans="1:6" x14ac:dyDescent="0.2">
      <c r="A222" s="61">
        <v>23774</v>
      </c>
      <c r="B222" s="68">
        <f>VLOOKUP(Table2[[#This Row],[Date]],Database!A:E,2,)</f>
        <v>31.28</v>
      </c>
      <c r="C222" s="14">
        <f t="shared" si="6"/>
        <v>0</v>
      </c>
      <c r="D222" s="14">
        <f t="shared" si="7"/>
        <v>1.1970236169524457E-2</v>
      </c>
      <c r="E222" s="15">
        <f>VLOOKUP(Table2[[#This Row],[Date]],'Fed Fund New'!$A:$C,2,FALSE)</f>
        <v>0</v>
      </c>
      <c r="F222" s="15">
        <f>VLOOKUP(Table2[[#This Row],[Date]],'Fed Fund New'!$A:$C,3,FALSE)</f>
        <v>3.98</v>
      </c>
    </row>
    <row r="223" spans="1:6" x14ac:dyDescent="0.2">
      <c r="A223" s="61">
        <v>23802</v>
      </c>
      <c r="B223" s="68">
        <f>VLOOKUP(Table2[[#This Row],[Date]],Database!A:E,2,)</f>
        <v>31.31</v>
      </c>
      <c r="C223" s="14">
        <f t="shared" si="6"/>
        <v>9.5907928388739075E-4</v>
      </c>
      <c r="D223" s="14">
        <f t="shared" si="7"/>
        <v>1.1958629605688347E-2</v>
      </c>
      <c r="E223" s="15">
        <f>VLOOKUP(Table2[[#This Row],[Date]],'Fed Fund New'!$A:$C,2,FALSE)</f>
        <v>0</v>
      </c>
      <c r="F223" s="15">
        <f>VLOOKUP(Table2[[#This Row],[Date]],'Fed Fund New'!$A:$C,3,FALSE)</f>
        <v>4.05</v>
      </c>
    </row>
    <row r="224" spans="1:6" x14ac:dyDescent="0.2">
      <c r="A224" s="61">
        <v>23833</v>
      </c>
      <c r="B224" s="68">
        <f>VLOOKUP(Table2[[#This Row],[Date]],Database!A:E,2,)</f>
        <v>31.38</v>
      </c>
      <c r="C224" s="14">
        <f t="shared" si="6"/>
        <v>2.2357074417119222E-3</v>
      </c>
      <c r="D224" s="14">
        <f t="shared" si="7"/>
        <v>1.3893376413570266E-2</v>
      </c>
      <c r="E224" s="15">
        <f>VLOOKUP(Table2[[#This Row],[Date]],'Fed Fund New'!$A:$C,2,FALSE)</f>
        <v>0</v>
      </c>
      <c r="F224" s="15">
        <f>VLOOKUP(Table2[[#This Row],[Date]],'Fed Fund New'!$A:$C,3,FALSE)</f>
        <v>4.09</v>
      </c>
    </row>
    <row r="225" spans="1:6" x14ac:dyDescent="0.2">
      <c r="A225" s="61">
        <v>23863</v>
      </c>
      <c r="B225" s="68">
        <f>VLOOKUP(Table2[[#This Row],[Date]],Database!A:E,2,)</f>
        <v>31.48</v>
      </c>
      <c r="C225" s="14">
        <f t="shared" si="6"/>
        <v>3.1867431485022761E-3</v>
      </c>
      <c r="D225" s="14">
        <f t="shared" si="7"/>
        <v>1.6139444803098774E-2</v>
      </c>
      <c r="E225" s="15">
        <f>VLOOKUP(Table2[[#This Row],[Date]],'Fed Fund New'!$A:$C,2,FALSE)</f>
        <v>0</v>
      </c>
      <c r="F225" s="15">
        <f>VLOOKUP(Table2[[#This Row],[Date]],'Fed Fund New'!$A:$C,3,FALSE)</f>
        <v>4.0999999999999996</v>
      </c>
    </row>
    <row r="226" spans="1:6" x14ac:dyDescent="0.2">
      <c r="A226" s="61">
        <v>23894</v>
      </c>
      <c r="B226" s="68">
        <f>VLOOKUP(Table2[[#This Row],[Date]],Database!A:E,2,)</f>
        <v>31.61</v>
      </c>
      <c r="C226" s="14">
        <f t="shared" si="6"/>
        <v>4.129606099110515E-3</v>
      </c>
      <c r="D226" s="14">
        <f t="shared" si="7"/>
        <v>1.9348597226700993E-2</v>
      </c>
      <c r="E226" s="15">
        <f>VLOOKUP(Table2[[#This Row],[Date]],'Fed Fund New'!$A:$C,2,FALSE)</f>
        <v>0</v>
      </c>
      <c r="F226" s="15">
        <f>VLOOKUP(Table2[[#This Row],[Date]],'Fed Fund New'!$A:$C,3,FALSE)</f>
        <v>4.05</v>
      </c>
    </row>
    <row r="227" spans="1:6" x14ac:dyDescent="0.2">
      <c r="A227" s="61">
        <v>23924</v>
      </c>
      <c r="B227" s="68">
        <f>VLOOKUP(Table2[[#This Row],[Date]],Database!A:E,2,)</f>
        <v>31.58</v>
      </c>
      <c r="C227" s="14">
        <f t="shared" si="6"/>
        <v>-9.4906675102819161E-4</v>
      </c>
      <c r="D227" s="14">
        <f t="shared" si="7"/>
        <v>1.8052869116698862E-2</v>
      </c>
      <c r="E227" s="15">
        <f>VLOOKUP(Table2[[#This Row],[Date]],'Fed Fund New'!$A:$C,2,FALSE)</f>
        <v>0</v>
      </c>
      <c r="F227" s="15">
        <f>VLOOKUP(Table2[[#This Row],[Date]],'Fed Fund New'!$A:$C,3,FALSE)</f>
        <v>4.09</v>
      </c>
    </row>
    <row r="228" spans="1:6" x14ac:dyDescent="0.2">
      <c r="A228" s="61">
        <v>23955</v>
      </c>
      <c r="B228" s="68">
        <f>VLOOKUP(Table2[[#This Row],[Date]],Database!A:E,2,)</f>
        <v>31.55</v>
      </c>
      <c r="C228" s="14">
        <f t="shared" si="6"/>
        <v>-9.4996833438877723E-4</v>
      </c>
      <c r="D228" s="14">
        <f t="shared" si="7"/>
        <v>1.610305958132045E-2</v>
      </c>
      <c r="E228" s="15">
        <f>VLOOKUP(Table2[[#This Row],[Date]],'Fed Fund New'!$A:$C,2,FALSE)</f>
        <v>0</v>
      </c>
      <c r="F228" s="15">
        <f>VLOOKUP(Table2[[#This Row],[Date]],'Fed Fund New'!$A:$C,3,FALSE)</f>
        <v>4.12</v>
      </c>
    </row>
    <row r="229" spans="1:6" x14ac:dyDescent="0.2">
      <c r="A229" s="61">
        <v>23986</v>
      </c>
      <c r="B229" s="68">
        <f>VLOOKUP(Table2[[#This Row],[Date]],Database!A:E,2,)</f>
        <v>31.62</v>
      </c>
      <c r="C229" s="14">
        <f t="shared" si="6"/>
        <v>2.2187004754358249E-3</v>
      </c>
      <c r="D229" s="14">
        <f t="shared" si="7"/>
        <v>1.7374517374517461E-2</v>
      </c>
      <c r="E229" s="15">
        <f>VLOOKUP(Table2[[#This Row],[Date]],'Fed Fund New'!$A:$C,2,FALSE)</f>
        <v>0</v>
      </c>
      <c r="F229" s="15">
        <f>VLOOKUP(Table2[[#This Row],[Date]],'Fed Fund New'!$A:$C,3,FALSE)</f>
        <v>4.0199999999999996</v>
      </c>
    </row>
    <row r="230" spans="1:6" x14ac:dyDescent="0.2">
      <c r="A230" s="61">
        <v>24016</v>
      </c>
      <c r="B230" s="68">
        <f>VLOOKUP(Table2[[#This Row],[Date]],Database!A:E,2,)</f>
        <v>31.65</v>
      </c>
      <c r="C230" s="14">
        <f t="shared" si="6"/>
        <v>9.4876660341548335E-4</v>
      </c>
      <c r="D230" s="14">
        <f t="shared" si="7"/>
        <v>1.7030848329048765E-2</v>
      </c>
      <c r="E230" s="15">
        <f>VLOOKUP(Table2[[#This Row],[Date]],'Fed Fund New'!$A:$C,2,FALSE)</f>
        <v>0</v>
      </c>
      <c r="F230" s="15">
        <f>VLOOKUP(Table2[[#This Row],[Date]],'Fed Fund New'!$A:$C,3,FALSE)</f>
        <v>4.08</v>
      </c>
    </row>
    <row r="231" spans="1:6" x14ac:dyDescent="0.2">
      <c r="A231" s="61">
        <v>24047</v>
      </c>
      <c r="B231" s="68">
        <f>VLOOKUP(Table2[[#This Row],[Date]],Database!A:E,2,)</f>
        <v>31.75</v>
      </c>
      <c r="C231" s="14">
        <f t="shared" si="6"/>
        <v>3.1595576619273752E-3</v>
      </c>
      <c r="D231" s="14">
        <f t="shared" si="7"/>
        <v>1.7302146747837203E-2</v>
      </c>
      <c r="E231" s="15">
        <f>VLOOKUP(Table2[[#This Row],[Date]],'Fed Fund New'!$A:$C,2,FALSE)</f>
        <v>0</v>
      </c>
      <c r="F231" s="15">
        <f>VLOOKUP(Table2[[#This Row],[Date]],'Fed Fund New'!$A:$C,3,FALSE)</f>
        <v>4.0999999999999996</v>
      </c>
    </row>
    <row r="232" spans="1:6" x14ac:dyDescent="0.2">
      <c r="A232" s="61">
        <v>24077</v>
      </c>
      <c r="B232" s="68">
        <f>VLOOKUP(Table2[[#This Row],[Date]],Database!A:E,2,)</f>
        <v>31.85</v>
      </c>
      <c r="C232" s="14">
        <f t="shared" si="6"/>
        <v>3.1496062992126431E-3</v>
      </c>
      <c r="D232" s="14">
        <f t="shared" si="7"/>
        <v>1.9200000000000047E-2</v>
      </c>
      <c r="E232" s="15">
        <f>VLOOKUP(Table2[[#This Row],[Date]],'Fed Fund New'!$A:$C,2,FALSE)</f>
        <v>0</v>
      </c>
      <c r="F232" s="15">
        <f>VLOOKUP(Table2[[#This Row],[Date]],'Fed Fund New'!$A:$C,3,FALSE)</f>
        <v>4.32</v>
      </c>
    </row>
    <row r="233" spans="1:6" x14ac:dyDescent="0.2">
      <c r="A233" s="61">
        <v>24108</v>
      </c>
      <c r="B233" s="68">
        <f>VLOOKUP(Table2[[#This Row],[Date]],Database!A:E,2,)</f>
        <v>31.88</v>
      </c>
      <c r="C233" s="14">
        <f t="shared" si="6"/>
        <v>9.4191522762943742E-4</v>
      </c>
      <c r="D233" s="14">
        <f t="shared" si="7"/>
        <v>1.9181585677749292E-2</v>
      </c>
      <c r="E233" s="15">
        <f>VLOOKUP(Table2[[#This Row],[Date]],'Fed Fund New'!$A:$C,2,FALSE)</f>
        <v>0</v>
      </c>
      <c r="F233" s="15">
        <f>VLOOKUP(Table2[[#This Row],[Date]],'Fed Fund New'!$A:$C,3,FALSE)</f>
        <v>4.42</v>
      </c>
    </row>
    <row r="234" spans="1:6" x14ac:dyDescent="0.2">
      <c r="A234" s="61">
        <v>24139</v>
      </c>
      <c r="B234" s="68">
        <f>VLOOKUP(Table2[[#This Row],[Date]],Database!A:E,2,)</f>
        <v>32.08</v>
      </c>
      <c r="C234" s="14">
        <f t="shared" si="6"/>
        <v>6.2735257214554356E-3</v>
      </c>
      <c r="D234" s="14">
        <f t="shared" si="7"/>
        <v>2.557544757033239E-2</v>
      </c>
      <c r="E234" s="15">
        <f>VLOOKUP(Table2[[#This Row],[Date]],'Fed Fund New'!$A:$C,2,FALSE)</f>
        <v>0</v>
      </c>
      <c r="F234" s="15">
        <f>VLOOKUP(Table2[[#This Row],[Date]],'Fed Fund New'!$A:$C,3,FALSE)</f>
        <v>4.5999999999999996</v>
      </c>
    </row>
    <row r="235" spans="1:6" x14ac:dyDescent="0.2">
      <c r="A235" s="61">
        <v>24167</v>
      </c>
      <c r="B235" s="68">
        <f>VLOOKUP(Table2[[#This Row],[Date]],Database!A:E,2,)</f>
        <v>32.18</v>
      </c>
      <c r="C235" s="14">
        <f t="shared" si="6"/>
        <v>3.1172069825436853E-3</v>
      </c>
      <c r="D235" s="14">
        <f t="shared" si="7"/>
        <v>2.7786649632705239E-2</v>
      </c>
      <c r="E235" s="15">
        <f>VLOOKUP(Table2[[#This Row],[Date]],'Fed Fund New'!$A:$C,2,FALSE)</f>
        <v>0</v>
      </c>
      <c r="F235" s="15">
        <f>VLOOKUP(Table2[[#This Row],[Date]],'Fed Fund New'!$A:$C,3,FALSE)</f>
        <v>4.66</v>
      </c>
    </row>
    <row r="236" spans="1:6" x14ac:dyDescent="0.2">
      <c r="A236" s="61">
        <v>24198</v>
      </c>
      <c r="B236" s="68">
        <f>VLOOKUP(Table2[[#This Row],[Date]],Database!A:E,2,)</f>
        <v>32.28</v>
      </c>
      <c r="C236" s="14">
        <f t="shared" si="6"/>
        <v>3.1075201988813371E-3</v>
      </c>
      <c r="D236" s="14">
        <f t="shared" si="7"/>
        <v>2.8680688336520144E-2</v>
      </c>
      <c r="E236" s="15">
        <f>VLOOKUP(Table2[[#This Row],[Date]],'Fed Fund New'!$A:$C,2,FALSE)</f>
        <v>0</v>
      </c>
      <c r="F236" s="15">
        <f>VLOOKUP(Table2[[#This Row],[Date]],'Fed Fund New'!$A:$C,3,FALSE)</f>
        <v>4.67</v>
      </c>
    </row>
    <row r="237" spans="1:6" x14ac:dyDescent="0.2">
      <c r="A237" s="61">
        <v>24228</v>
      </c>
      <c r="B237" s="68">
        <f>VLOOKUP(Table2[[#This Row],[Date]],Database!A:E,2,)</f>
        <v>32.35</v>
      </c>
      <c r="C237" s="14">
        <f t="shared" si="6"/>
        <v>2.1685254027261551E-3</v>
      </c>
      <c r="D237" s="14">
        <f t="shared" si="7"/>
        <v>2.7636594663278304E-2</v>
      </c>
      <c r="E237" s="15">
        <f>VLOOKUP(Table2[[#This Row],[Date]],'Fed Fund New'!$A:$C,2,FALSE)</f>
        <v>0</v>
      </c>
      <c r="F237" s="15">
        <f>VLOOKUP(Table2[[#This Row],[Date]],'Fed Fund New'!$A:$C,3,FALSE)</f>
        <v>4.9000000000000004</v>
      </c>
    </row>
    <row r="238" spans="1:6" x14ac:dyDescent="0.2">
      <c r="A238" s="61">
        <v>24259</v>
      </c>
      <c r="B238" s="68">
        <f>VLOOKUP(Table2[[#This Row],[Date]],Database!A:E,2,)</f>
        <v>32.380000000000003</v>
      </c>
      <c r="C238" s="14">
        <f t="shared" si="6"/>
        <v>9.273570324575312E-4</v>
      </c>
      <c r="D238" s="14">
        <f t="shared" si="7"/>
        <v>2.4359379943056095E-2</v>
      </c>
      <c r="E238" s="15">
        <f>VLOOKUP(Table2[[#This Row],[Date]],'Fed Fund New'!$A:$C,2,FALSE)</f>
        <v>0</v>
      </c>
      <c r="F238" s="15">
        <f>VLOOKUP(Table2[[#This Row],[Date]],'Fed Fund New'!$A:$C,3,FALSE)</f>
        <v>5.17</v>
      </c>
    </row>
    <row r="239" spans="1:6" x14ac:dyDescent="0.2">
      <c r="A239" s="61">
        <v>24289</v>
      </c>
      <c r="B239" s="68">
        <f>VLOOKUP(Table2[[#This Row],[Date]],Database!A:E,2,)</f>
        <v>32.450000000000003</v>
      </c>
      <c r="C239" s="14">
        <f t="shared" si="6"/>
        <v>2.1618282890673341E-3</v>
      </c>
      <c r="D239" s="14">
        <f t="shared" si="7"/>
        <v>2.7549081697276902E-2</v>
      </c>
      <c r="E239" s="15">
        <f>VLOOKUP(Table2[[#This Row],[Date]],'Fed Fund New'!$A:$C,2,FALSE)</f>
        <v>0</v>
      </c>
      <c r="F239" s="15">
        <f>VLOOKUP(Table2[[#This Row],[Date]],'Fed Fund New'!$A:$C,3,FALSE)</f>
        <v>5.3</v>
      </c>
    </row>
    <row r="240" spans="1:6" x14ac:dyDescent="0.2">
      <c r="A240" s="61">
        <v>24320</v>
      </c>
      <c r="B240" s="68">
        <f>VLOOKUP(Table2[[#This Row],[Date]],Database!A:E,2,)</f>
        <v>32.65</v>
      </c>
      <c r="C240" s="14">
        <f t="shared" si="6"/>
        <v>6.1633281972263707E-3</v>
      </c>
      <c r="D240" s="14">
        <f t="shared" si="7"/>
        <v>3.48652931854199E-2</v>
      </c>
      <c r="E240" s="15">
        <f>VLOOKUP(Table2[[#This Row],[Date]],'Fed Fund New'!$A:$C,2,FALSE)</f>
        <v>0</v>
      </c>
      <c r="F240" s="15">
        <f>VLOOKUP(Table2[[#This Row],[Date]],'Fed Fund New'!$A:$C,3,FALSE)</f>
        <v>5.53</v>
      </c>
    </row>
    <row r="241" spans="1:6" x14ac:dyDescent="0.2">
      <c r="A241" s="61">
        <v>24351</v>
      </c>
      <c r="B241" s="68">
        <f>VLOOKUP(Table2[[#This Row],[Date]],Database!A:E,2,)</f>
        <v>32.75</v>
      </c>
      <c r="C241" s="14">
        <f t="shared" si="6"/>
        <v>3.0627871362940711E-3</v>
      </c>
      <c r="D241" s="14">
        <f t="shared" si="7"/>
        <v>3.5736875395319383E-2</v>
      </c>
      <c r="E241" s="15">
        <f>VLOOKUP(Table2[[#This Row],[Date]],'Fed Fund New'!$A:$C,2,FALSE)</f>
        <v>0</v>
      </c>
      <c r="F241" s="15">
        <f>VLOOKUP(Table2[[#This Row],[Date]],'Fed Fund New'!$A:$C,3,FALSE)</f>
        <v>5.4</v>
      </c>
    </row>
    <row r="242" spans="1:6" x14ac:dyDescent="0.2">
      <c r="A242" s="61">
        <v>24381</v>
      </c>
      <c r="B242" s="68">
        <f>VLOOKUP(Table2[[#This Row],[Date]],Database!A:E,2,)</f>
        <v>32.85</v>
      </c>
      <c r="C242" s="14">
        <f t="shared" si="6"/>
        <v>3.0534351145038601E-3</v>
      </c>
      <c r="D242" s="14">
        <f t="shared" si="7"/>
        <v>3.7914691943128055E-2</v>
      </c>
      <c r="E242" s="15">
        <f>VLOOKUP(Table2[[#This Row],[Date]],'Fed Fund New'!$A:$C,2,FALSE)</f>
        <v>0</v>
      </c>
      <c r="F242" s="15">
        <f>VLOOKUP(Table2[[#This Row],[Date]],'Fed Fund New'!$A:$C,3,FALSE)</f>
        <v>5.53</v>
      </c>
    </row>
    <row r="243" spans="1:6" x14ac:dyDescent="0.2">
      <c r="A243" s="61">
        <v>24412</v>
      </c>
      <c r="B243" s="68">
        <f>VLOOKUP(Table2[[#This Row],[Date]],Database!A:E,2,)</f>
        <v>32.880000000000003</v>
      </c>
      <c r="C243" s="14">
        <f t="shared" si="6"/>
        <v>9.1324200913245465E-4</v>
      </c>
      <c r="D243" s="14">
        <f t="shared" si="7"/>
        <v>3.5590551181102444E-2</v>
      </c>
      <c r="E243" s="15">
        <f>VLOOKUP(Table2[[#This Row],[Date]],'Fed Fund New'!$A:$C,2,FALSE)</f>
        <v>0</v>
      </c>
      <c r="F243" s="15">
        <f>VLOOKUP(Table2[[#This Row],[Date]],'Fed Fund New'!$A:$C,3,FALSE)</f>
        <v>5.76</v>
      </c>
    </row>
    <row r="244" spans="1:6" x14ac:dyDescent="0.2">
      <c r="A244" s="61">
        <v>24442</v>
      </c>
      <c r="B244" s="68">
        <f>VLOOKUP(Table2[[#This Row],[Date]],Database!A:E,2,)</f>
        <v>32.92</v>
      </c>
      <c r="C244" s="14">
        <f t="shared" si="6"/>
        <v>1.2165450121654241E-3</v>
      </c>
      <c r="D244" s="14">
        <f t="shared" si="7"/>
        <v>3.359497645211932E-2</v>
      </c>
      <c r="E244" s="15">
        <f>VLOOKUP(Table2[[#This Row],[Date]],'Fed Fund New'!$A:$C,2,FALSE)</f>
        <v>0</v>
      </c>
      <c r="F244" s="15">
        <f>VLOOKUP(Table2[[#This Row],[Date]],'Fed Fund New'!$A:$C,3,FALSE)</f>
        <v>5.4</v>
      </c>
    </row>
    <row r="245" spans="1:6" x14ac:dyDescent="0.2">
      <c r="A245" s="61">
        <v>24473</v>
      </c>
      <c r="B245" s="68">
        <f>VLOOKUP(Table2[[#This Row],[Date]],Database!A:E,2,)</f>
        <v>32.9</v>
      </c>
      <c r="C245" s="14">
        <f t="shared" si="6"/>
        <v>-6.075334143378835E-4</v>
      </c>
      <c r="D245" s="14">
        <f t="shared" si="7"/>
        <v>3.1994981179422823E-2</v>
      </c>
      <c r="E245" s="15">
        <f>VLOOKUP(Table2[[#This Row],[Date]],'Fed Fund New'!$A:$C,2,FALSE)</f>
        <v>0</v>
      </c>
      <c r="F245" s="15">
        <f>VLOOKUP(Table2[[#This Row],[Date]],'Fed Fund New'!$A:$C,3,FALSE)</f>
        <v>4.9400000000000004</v>
      </c>
    </row>
    <row r="246" spans="1:6" x14ac:dyDescent="0.2">
      <c r="A246" s="61">
        <v>24504</v>
      </c>
      <c r="B246" s="68">
        <f>VLOOKUP(Table2[[#This Row],[Date]],Database!A:E,2,)</f>
        <v>33</v>
      </c>
      <c r="C246" s="14">
        <f t="shared" si="6"/>
        <v>3.0395136778115935E-3</v>
      </c>
      <c r="D246" s="14">
        <f t="shared" si="7"/>
        <v>2.8678304239401552E-2</v>
      </c>
      <c r="E246" s="15">
        <f>VLOOKUP(Table2[[#This Row],[Date]],'Fed Fund New'!$A:$C,2,FALSE)</f>
        <v>0</v>
      </c>
      <c r="F246" s="15">
        <f>VLOOKUP(Table2[[#This Row],[Date]],'Fed Fund New'!$A:$C,3,FALSE)</f>
        <v>5</v>
      </c>
    </row>
    <row r="247" spans="1:6" x14ac:dyDescent="0.2">
      <c r="A247" s="61">
        <v>24532</v>
      </c>
      <c r="B247" s="68">
        <f>VLOOKUP(Table2[[#This Row],[Date]],Database!A:E,2,)</f>
        <v>33</v>
      </c>
      <c r="C247" s="14">
        <f t="shared" si="6"/>
        <v>0</v>
      </c>
      <c r="D247" s="14">
        <f t="shared" si="7"/>
        <v>2.548166563082661E-2</v>
      </c>
      <c r="E247" s="15">
        <f>VLOOKUP(Table2[[#This Row],[Date]],'Fed Fund New'!$A:$C,2,FALSE)</f>
        <v>0</v>
      </c>
      <c r="F247" s="15">
        <f>VLOOKUP(Table2[[#This Row],[Date]],'Fed Fund New'!$A:$C,3,FALSE)</f>
        <v>4.53</v>
      </c>
    </row>
    <row r="248" spans="1:6" x14ac:dyDescent="0.2">
      <c r="A248" s="61">
        <v>24563</v>
      </c>
      <c r="B248" s="68">
        <f>VLOOKUP(Table2[[#This Row],[Date]],Database!A:E,2,)</f>
        <v>33.1</v>
      </c>
      <c r="C248" s="14">
        <f t="shared" si="6"/>
        <v>3.0303030303030732E-3</v>
      </c>
      <c r="D248" s="14">
        <f t="shared" si="7"/>
        <v>2.5402726146220578E-2</v>
      </c>
      <c r="E248" s="15">
        <f>VLOOKUP(Table2[[#This Row],[Date]],'Fed Fund New'!$A:$C,2,FALSE)</f>
        <v>0</v>
      </c>
      <c r="F248" s="15">
        <f>VLOOKUP(Table2[[#This Row],[Date]],'Fed Fund New'!$A:$C,3,FALSE)</f>
        <v>4.05</v>
      </c>
    </row>
    <row r="249" spans="1:6" x14ac:dyDescent="0.2">
      <c r="A249" s="61">
        <v>24593</v>
      </c>
      <c r="B249" s="68">
        <f>VLOOKUP(Table2[[#This Row],[Date]],Database!A:E,2,)</f>
        <v>33.1</v>
      </c>
      <c r="C249" s="14">
        <f t="shared" si="6"/>
        <v>0</v>
      </c>
      <c r="D249" s="14">
        <f t="shared" si="7"/>
        <v>2.3183925811437401E-2</v>
      </c>
      <c r="E249" s="15">
        <f>VLOOKUP(Table2[[#This Row],[Date]],'Fed Fund New'!$A:$C,2,FALSE)</f>
        <v>0</v>
      </c>
      <c r="F249" s="15">
        <f>VLOOKUP(Table2[[#This Row],[Date]],'Fed Fund New'!$A:$C,3,FALSE)</f>
        <v>3.94</v>
      </c>
    </row>
    <row r="250" spans="1:6" x14ac:dyDescent="0.2">
      <c r="A250" s="61">
        <v>24624</v>
      </c>
      <c r="B250" s="68">
        <f>VLOOKUP(Table2[[#This Row],[Date]],Database!A:E,2,)</f>
        <v>33.299999999999997</v>
      </c>
      <c r="C250" s="14">
        <f t="shared" si="6"/>
        <v>6.0422960725074236E-3</v>
      </c>
      <c r="D250" s="14">
        <f t="shared" si="7"/>
        <v>2.8412600370598968E-2</v>
      </c>
      <c r="E250" s="15">
        <f>VLOOKUP(Table2[[#This Row],[Date]],'Fed Fund New'!$A:$C,2,FALSE)</f>
        <v>0</v>
      </c>
      <c r="F250" s="15">
        <f>VLOOKUP(Table2[[#This Row],[Date]],'Fed Fund New'!$A:$C,3,FALSE)</f>
        <v>3.98</v>
      </c>
    </row>
    <row r="251" spans="1:6" x14ac:dyDescent="0.2">
      <c r="A251" s="61">
        <v>24654</v>
      </c>
      <c r="B251" s="68">
        <f>VLOOKUP(Table2[[#This Row],[Date]],Database!A:E,2,)</f>
        <v>33.4</v>
      </c>
      <c r="C251" s="14">
        <f t="shared" si="6"/>
        <v>3.0030030030030459E-3</v>
      </c>
      <c r="D251" s="14">
        <f t="shared" si="7"/>
        <v>2.9275808936825753E-2</v>
      </c>
      <c r="E251" s="15">
        <f>VLOOKUP(Table2[[#This Row],[Date]],'Fed Fund New'!$A:$C,2,FALSE)</f>
        <v>0</v>
      </c>
      <c r="F251" s="15">
        <f>VLOOKUP(Table2[[#This Row],[Date]],'Fed Fund New'!$A:$C,3,FALSE)</f>
        <v>3.79</v>
      </c>
    </row>
    <row r="252" spans="1:6" x14ac:dyDescent="0.2">
      <c r="A252" s="61">
        <v>24685</v>
      </c>
      <c r="B252" s="68">
        <f>VLOOKUP(Table2[[#This Row],[Date]],Database!A:E,2,)</f>
        <v>33.5</v>
      </c>
      <c r="C252" s="14">
        <f t="shared" si="6"/>
        <v>2.9940119760479469E-3</v>
      </c>
      <c r="D252" s="14">
        <f t="shared" si="7"/>
        <v>2.6033690658499278E-2</v>
      </c>
      <c r="E252" s="15">
        <f>VLOOKUP(Table2[[#This Row],[Date]],'Fed Fund New'!$A:$C,2,FALSE)</f>
        <v>0</v>
      </c>
      <c r="F252" s="15">
        <f>VLOOKUP(Table2[[#This Row],[Date]],'Fed Fund New'!$A:$C,3,FALSE)</f>
        <v>3.9</v>
      </c>
    </row>
    <row r="253" spans="1:6" x14ac:dyDescent="0.2">
      <c r="A253" s="61">
        <v>24716</v>
      </c>
      <c r="B253" s="68">
        <f>VLOOKUP(Table2[[#This Row],[Date]],Database!A:E,2,)</f>
        <v>33.6</v>
      </c>
      <c r="C253" s="14">
        <f t="shared" si="6"/>
        <v>2.9850746268657142E-3</v>
      </c>
      <c r="D253" s="14">
        <f t="shared" si="7"/>
        <v>2.5954198473282487E-2</v>
      </c>
      <c r="E253" s="15">
        <f>VLOOKUP(Table2[[#This Row],[Date]],'Fed Fund New'!$A:$C,2,FALSE)</f>
        <v>0</v>
      </c>
      <c r="F253" s="15">
        <f>VLOOKUP(Table2[[#This Row],[Date]],'Fed Fund New'!$A:$C,3,FALSE)</f>
        <v>3.99</v>
      </c>
    </row>
    <row r="254" spans="1:6" x14ac:dyDescent="0.2">
      <c r="A254" s="61">
        <v>24746</v>
      </c>
      <c r="B254" s="68">
        <f>VLOOKUP(Table2[[#This Row],[Date]],Database!A:E,2,)</f>
        <v>33.700000000000003</v>
      </c>
      <c r="C254" s="14">
        <f t="shared" si="6"/>
        <v>2.9761904761905185E-3</v>
      </c>
      <c r="D254" s="14">
        <f t="shared" si="7"/>
        <v>2.5875190258751946E-2</v>
      </c>
      <c r="E254" s="15">
        <f>VLOOKUP(Table2[[#This Row],[Date]],'Fed Fund New'!$A:$C,2,FALSE)</f>
        <v>0</v>
      </c>
      <c r="F254" s="15">
        <f>VLOOKUP(Table2[[#This Row],[Date]],'Fed Fund New'!$A:$C,3,FALSE)</f>
        <v>3.88</v>
      </c>
    </row>
    <row r="255" spans="1:6" x14ac:dyDescent="0.2">
      <c r="A255" s="61">
        <v>24777</v>
      </c>
      <c r="B255" s="68">
        <f>VLOOKUP(Table2[[#This Row],[Date]],Database!A:E,2,)</f>
        <v>33.9</v>
      </c>
      <c r="C255" s="14">
        <f t="shared" si="6"/>
        <v>5.9347181008900804E-3</v>
      </c>
      <c r="D255" s="14">
        <f t="shared" si="7"/>
        <v>3.1021897810218853E-2</v>
      </c>
      <c r="E255" s="15">
        <f>VLOOKUP(Table2[[#This Row],[Date]],'Fed Fund New'!$A:$C,2,FALSE)</f>
        <v>0</v>
      </c>
      <c r="F255" s="15">
        <f>VLOOKUP(Table2[[#This Row],[Date]],'Fed Fund New'!$A:$C,3,FALSE)</f>
        <v>4.13</v>
      </c>
    </row>
    <row r="256" spans="1:6" x14ac:dyDescent="0.2">
      <c r="A256" s="61">
        <v>24807</v>
      </c>
      <c r="B256" s="68">
        <f>VLOOKUP(Table2[[#This Row],[Date]],Database!A:E,2,)</f>
        <v>34</v>
      </c>
      <c r="C256" s="14">
        <f t="shared" si="6"/>
        <v>2.9498525073746733E-3</v>
      </c>
      <c r="D256" s="14">
        <f t="shared" si="7"/>
        <v>3.2806804374240529E-2</v>
      </c>
      <c r="E256" s="15">
        <f>VLOOKUP(Table2[[#This Row],[Date]],'Fed Fund New'!$A:$C,2,FALSE)</f>
        <v>0</v>
      </c>
      <c r="F256" s="15">
        <f>VLOOKUP(Table2[[#This Row],[Date]],'Fed Fund New'!$A:$C,3,FALSE)</f>
        <v>4.51</v>
      </c>
    </row>
    <row r="257" spans="1:6" x14ac:dyDescent="0.2">
      <c r="A257" s="61">
        <v>24838</v>
      </c>
      <c r="B257" s="68">
        <f>VLOOKUP(Table2[[#This Row],[Date]],Database!A:E,2,)</f>
        <v>34.1</v>
      </c>
      <c r="C257" s="14">
        <f t="shared" si="6"/>
        <v>2.9411764705882769E-3</v>
      </c>
      <c r="D257" s="14">
        <f t="shared" si="7"/>
        <v>3.647416413373869E-2</v>
      </c>
      <c r="E257" s="15">
        <f>VLOOKUP(Table2[[#This Row],[Date]],'Fed Fund New'!$A:$C,2,FALSE)</f>
        <v>0</v>
      </c>
      <c r="F257" s="15">
        <f>VLOOKUP(Table2[[#This Row],[Date]],'Fed Fund New'!$A:$C,3,FALSE)</f>
        <v>4.6100000000000003</v>
      </c>
    </row>
    <row r="258" spans="1:6" x14ac:dyDescent="0.2">
      <c r="A258" s="61">
        <v>24869</v>
      </c>
      <c r="B258" s="68">
        <f>VLOOKUP(Table2[[#This Row],[Date]],Database!A:E,2,)</f>
        <v>34.200000000000003</v>
      </c>
      <c r="C258" s="14">
        <f t="shared" si="6"/>
        <v>2.9325513196481355E-3</v>
      </c>
      <c r="D258" s="14">
        <f t="shared" si="7"/>
        <v>3.6363636363636452E-2</v>
      </c>
      <c r="E258" s="15">
        <f>VLOOKUP(Table2[[#This Row],[Date]],'Fed Fund New'!$A:$C,2,FALSE)</f>
        <v>0</v>
      </c>
      <c r="F258" s="15">
        <f>VLOOKUP(Table2[[#This Row],[Date]],'Fed Fund New'!$A:$C,3,FALSE)</f>
        <v>4.71</v>
      </c>
    </row>
    <row r="259" spans="1:6" x14ac:dyDescent="0.2">
      <c r="A259" s="61">
        <v>24898</v>
      </c>
      <c r="B259" s="68">
        <f>VLOOKUP(Table2[[#This Row],[Date]],Database!A:E,2,)</f>
        <v>34.299999999999997</v>
      </c>
      <c r="C259" s="14">
        <f t="shared" si="6"/>
        <v>2.9239766081869682E-3</v>
      </c>
      <c r="D259" s="14">
        <f t="shared" si="7"/>
        <v>3.9393939393939308E-2</v>
      </c>
      <c r="E259" s="15">
        <f>VLOOKUP(Table2[[#This Row],[Date]],'Fed Fund New'!$A:$C,2,FALSE)</f>
        <v>0</v>
      </c>
      <c r="F259" s="15">
        <f>VLOOKUP(Table2[[#This Row],[Date]],'Fed Fund New'!$A:$C,3,FALSE)</f>
        <v>5.05</v>
      </c>
    </row>
    <row r="260" spans="1:6" x14ac:dyDescent="0.2">
      <c r="A260" s="61">
        <v>24929</v>
      </c>
      <c r="B260" s="68">
        <f>VLOOKUP(Table2[[#This Row],[Date]],Database!A:E,2,)</f>
        <v>34.4</v>
      </c>
      <c r="C260" s="14">
        <f t="shared" si="6"/>
        <v>2.9154518950437734E-3</v>
      </c>
      <c r="D260" s="14">
        <f t="shared" si="7"/>
        <v>3.9274924471299009E-2</v>
      </c>
      <c r="E260" s="15">
        <f>VLOOKUP(Table2[[#This Row],[Date]],'Fed Fund New'!$A:$C,2,FALSE)</f>
        <v>0</v>
      </c>
      <c r="F260" s="15">
        <f>VLOOKUP(Table2[[#This Row],[Date]],'Fed Fund New'!$A:$C,3,FALSE)</f>
        <v>5.76</v>
      </c>
    </row>
    <row r="261" spans="1:6" x14ac:dyDescent="0.2">
      <c r="A261" s="61">
        <v>24959</v>
      </c>
      <c r="B261" s="68">
        <f>VLOOKUP(Table2[[#This Row],[Date]],Database!A:E,2,)</f>
        <v>34.5</v>
      </c>
      <c r="C261" s="14">
        <f t="shared" si="6"/>
        <v>2.9069767441860881E-3</v>
      </c>
      <c r="D261" s="14">
        <f t="shared" si="7"/>
        <v>4.2296072507552823E-2</v>
      </c>
      <c r="E261" s="15">
        <f>VLOOKUP(Table2[[#This Row],[Date]],'Fed Fund New'!$A:$C,2,FALSE)</f>
        <v>0</v>
      </c>
      <c r="F261" s="15">
        <f>VLOOKUP(Table2[[#This Row],[Date]],'Fed Fund New'!$A:$C,3,FALSE)</f>
        <v>6.12</v>
      </c>
    </row>
    <row r="262" spans="1:6" x14ac:dyDescent="0.2">
      <c r="A262" s="61">
        <v>24990</v>
      </c>
      <c r="B262" s="68">
        <f>VLOOKUP(Table2[[#This Row],[Date]],Database!A:E,2,)</f>
        <v>34.700000000000003</v>
      </c>
      <c r="C262" s="14">
        <f t="shared" ref="C262:C325" si="8">(B262-B261)/B261</f>
        <v>5.7971014492754448E-3</v>
      </c>
      <c r="D262" s="14">
        <f t="shared" si="7"/>
        <v>4.2042042042042219E-2</v>
      </c>
      <c r="E262" s="15">
        <f>VLOOKUP(Table2[[#This Row],[Date]],'Fed Fund New'!$A:$C,2,FALSE)</f>
        <v>0</v>
      </c>
      <c r="F262" s="15">
        <f>VLOOKUP(Table2[[#This Row],[Date]],'Fed Fund New'!$A:$C,3,FALSE)</f>
        <v>6.07</v>
      </c>
    </row>
    <row r="263" spans="1:6" x14ac:dyDescent="0.2">
      <c r="A263" s="61">
        <v>25020</v>
      </c>
      <c r="B263" s="68">
        <f>VLOOKUP(Table2[[#This Row],[Date]],Database!A:E,2,)</f>
        <v>34.9</v>
      </c>
      <c r="C263" s="14">
        <f t="shared" si="8"/>
        <v>5.7636887608067929E-3</v>
      </c>
      <c r="D263" s="14">
        <f t="shared" si="7"/>
        <v>4.4910179640718563E-2</v>
      </c>
      <c r="E263" s="15">
        <f>VLOOKUP(Table2[[#This Row],[Date]],'Fed Fund New'!$A:$C,2,FALSE)</f>
        <v>0</v>
      </c>
      <c r="F263" s="15">
        <f>VLOOKUP(Table2[[#This Row],[Date]],'Fed Fund New'!$A:$C,3,FALSE)</f>
        <v>6.03</v>
      </c>
    </row>
    <row r="264" spans="1:6" x14ac:dyDescent="0.2">
      <c r="A264" s="61">
        <v>25051</v>
      </c>
      <c r="B264" s="68">
        <f>VLOOKUP(Table2[[#This Row],[Date]],Database!A:E,2,)</f>
        <v>35</v>
      </c>
      <c r="C264" s="14">
        <f t="shared" si="8"/>
        <v>2.8653295128940235E-3</v>
      </c>
      <c r="D264" s="14">
        <f t="shared" si="7"/>
        <v>4.4776119402985072E-2</v>
      </c>
      <c r="E264" s="15">
        <f>VLOOKUP(Table2[[#This Row],[Date]],'Fed Fund New'!$A:$C,2,FALSE)</f>
        <v>0</v>
      </c>
      <c r="F264" s="15">
        <f>VLOOKUP(Table2[[#This Row],[Date]],'Fed Fund New'!$A:$C,3,FALSE)</f>
        <v>6.03</v>
      </c>
    </row>
    <row r="265" spans="1:6" x14ac:dyDescent="0.2">
      <c r="A265" s="61">
        <v>25082</v>
      </c>
      <c r="B265" s="68">
        <f>VLOOKUP(Table2[[#This Row],[Date]],Database!A:E,2,)</f>
        <v>35.1</v>
      </c>
      <c r="C265" s="14">
        <f t="shared" si="8"/>
        <v>2.8571428571428979E-3</v>
      </c>
      <c r="D265" s="14">
        <f t="shared" si="7"/>
        <v>4.4642857142857144E-2</v>
      </c>
      <c r="E265" s="15">
        <f>VLOOKUP(Table2[[#This Row],[Date]],'Fed Fund New'!$A:$C,2,FALSE)</f>
        <v>0</v>
      </c>
      <c r="F265" s="15">
        <f>VLOOKUP(Table2[[#This Row],[Date]],'Fed Fund New'!$A:$C,3,FALSE)</f>
        <v>5.78</v>
      </c>
    </row>
    <row r="266" spans="1:6" x14ac:dyDescent="0.2">
      <c r="A266" s="61">
        <v>25112</v>
      </c>
      <c r="B266" s="68">
        <f>VLOOKUP(Table2[[#This Row],[Date]],Database!A:E,2,)</f>
        <v>35.299999999999997</v>
      </c>
      <c r="C266" s="14">
        <f t="shared" si="8"/>
        <v>5.698005698005576E-3</v>
      </c>
      <c r="D266" s="14">
        <f t="shared" si="7"/>
        <v>4.747774480712149E-2</v>
      </c>
      <c r="E266" s="15">
        <f>VLOOKUP(Table2[[#This Row],[Date]],'Fed Fund New'!$A:$C,2,FALSE)</f>
        <v>0</v>
      </c>
      <c r="F266" s="15">
        <f>VLOOKUP(Table2[[#This Row],[Date]],'Fed Fund New'!$A:$C,3,FALSE)</f>
        <v>5.91</v>
      </c>
    </row>
    <row r="267" spans="1:6" x14ac:dyDescent="0.2">
      <c r="A267" s="61">
        <v>25143</v>
      </c>
      <c r="B267" s="68">
        <f>VLOOKUP(Table2[[#This Row],[Date]],Database!A:E,2,)</f>
        <v>35.4</v>
      </c>
      <c r="C267" s="14">
        <f t="shared" si="8"/>
        <v>2.8328611898017402E-3</v>
      </c>
      <c r="D267" s="14">
        <f t="shared" si="7"/>
        <v>4.4247787610619468E-2</v>
      </c>
      <c r="E267" s="15">
        <f>VLOOKUP(Table2[[#This Row],[Date]],'Fed Fund New'!$A:$C,2,FALSE)</f>
        <v>0</v>
      </c>
      <c r="F267" s="15">
        <f>VLOOKUP(Table2[[#This Row],[Date]],'Fed Fund New'!$A:$C,3,FALSE)</f>
        <v>5.82</v>
      </c>
    </row>
    <row r="268" spans="1:6" x14ac:dyDescent="0.2">
      <c r="A268" s="61">
        <v>25173</v>
      </c>
      <c r="B268" s="68">
        <f>VLOOKUP(Table2[[#This Row],[Date]],Database!A:E,2,)</f>
        <v>35.6</v>
      </c>
      <c r="C268" s="14">
        <f t="shared" si="8"/>
        <v>5.6497175141243744E-3</v>
      </c>
      <c r="D268" s="14">
        <f t="shared" si="7"/>
        <v>4.7058823529411806E-2</v>
      </c>
      <c r="E268" s="15">
        <f>VLOOKUP(Table2[[#This Row],[Date]],'Fed Fund New'!$A:$C,2,FALSE)</f>
        <v>0</v>
      </c>
      <c r="F268" s="15">
        <f>VLOOKUP(Table2[[#This Row],[Date]],'Fed Fund New'!$A:$C,3,FALSE)</f>
        <v>6.02</v>
      </c>
    </row>
    <row r="269" spans="1:6" x14ac:dyDescent="0.2">
      <c r="A269" s="61">
        <v>25204</v>
      </c>
      <c r="B269" s="68">
        <f>VLOOKUP(Table2[[#This Row],[Date]],Database!A:E,2,)</f>
        <v>35.700000000000003</v>
      </c>
      <c r="C269" s="14">
        <f t="shared" si="8"/>
        <v>2.8089887640449836E-3</v>
      </c>
      <c r="D269" s="14">
        <f t="shared" si="7"/>
        <v>4.6920821114369543E-2</v>
      </c>
      <c r="E269" s="15">
        <f>VLOOKUP(Table2[[#This Row],[Date]],'Fed Fund New'!$A:$C,2,FALSE)</f>
        <v>0</v>
      </c>
      <c r="F269" s="15">
        <f>VLOOKUP(Table2[[#This Row],[Date]],'Fed Fund New'!$A:$C,3,FALSE)</f>
        <v>6.3</v>
      </c>
    </row>
    <row r="270" spans="1:6" x14ac:dyDescent="0.2">
      <c r="A270" s="61">
        <v>25235</v>
      </c>
      <c r="B270" s="68">
        <f>VLOOKUP(Table2[[#This Row],[Date]],Database!A:E,2,)</f>
        <v>35.799999999999997</v>
      </c>
      <c r="C270" s="14">
        <f t="shared" si="8"/>
        <v>2.8011204481791121E-3</v>
      </c>
      <c r="D270" s="14">
        <f t="shared" si="7"/>
        <v>4.6783625730993983E-2</v>
      </c>
      <c r="E270" s="15">
        <f>VLOOKUP(Table2[[#This Row],[Date]],'Fed Fund New'!$A:$C,2,FALSE)</f>
        <v>0</v>
      </c>
      <c r="F270" s="15">
        <f>VLOOKUP(Table2[[#This Row],[Date]],'Fed Fund New'!$A:$C,3,FALSE)</f>
        <v>6.61</v>
      </c>
    </row>
    <row r="271" spans="1:6" x14ac:dyDescent="0.2">
      <c r="A271" s="61">
        <v>25263</v>
      </c>
      <c r="B271" s="68">
        <f>VLOOKUP(Table2[[#This Row],[Date]],Database!A:E,2,)</f>
        <v>36.1</v>
      </c>
      <c r="C271" s="14">
        <f t="shared" si="8"/>
        <v>8.3798882681565441E-3</v>
      </c>
      <c r="D271" s="14">
        <f t="shared" si="7"/>
        <v>5.2478134110787299E-2</v>
      </c>
      <c r="E271" s="15">
        <f>VLOOKUP(Table2[[#This Row],[Date]],'Fed Fund New'!$A:$C,2,FALSE)</f>
        <v>0</v>
      </c>
      <c r="F271" s="15">
        <f>VLOOKUP(Table2[[#This Row],[Date]],'Fed Fund New'!$A:$C,3,FALSE)</f>
        <v>6.79</v>
      </c>
    </row>
    <row r="272" spans="1:6" x14ac:dyDescent="0.2">
      <c r="A272" s="61">
        <v>25294</v>
      </c>
      <c r="B272" s="68">
        <f>VLOOKUP(Table2[[#This Row],[Date]],Database!A:E,2,)</f>
        <v>36.299999999999997</v>
      </c>
      <c r="C272" s="14">
        <f t="shared" si="8"/>
        <v>5.5401662049860316E-3</v>
      </c>
      <c r="D272" s="14">
        <f t="shared" si="7"/>
        <v>5.5232558139534843E-2</v>
      </c>
      <c r="E272" s="15">
        <f>VLOOKUP(Table2[[#This Row],[Date]],'Fed Fund New'!$A:$C,2,FALSE)</f>
        <v>0</v>
      </c>
      <c r="F272" s="15">
        <f>VLOOKUP(Table2[[#This Row],[Date]],'Fed Fund New'!$A:$C,3,FALSE)</f>
        <v>7.41</v>
      </c>
    </row>
    <row r="273" spans="1:6" x14ac:dyDescent="0.2">
      <c r="A273" s="61">
        <v>25324</v>
      </c>
      <c r="B273" s="68">
        <f>VLOOKUP(Table2[[#This Row],[Date]],Database!A:E,2,)</f>
        <v>36.4</v>
      </c>
      <c r="C273" s="14">
        <f t="shared" si="8"/>
        <v>2.754820936639158E-3</v>
      </c>
      <c r="D273" s="14">
        <f t="shared" ref="D273:D336" si="9">(B273-B261)/B261</f>
        <v>5.5072463768115899E-2</v>
      </c>
      <c r="E273" s="15">
        <f>VLOOKUP(Table2[[#This Row],[Date]],'Fed Fund New'!$A:$C,2,FALSE)</f>
        <v>0</v>
      </c>
      <c r="F273" s="15">
        <f>VLOOKUP(Table2[[#This Row],[Date]],'Fed Fund New'!$A:$C,3,FALSE)</f>
        <v>8.67</v>
      </c>
    </row>
    <row r="274" spans="1:6" x14ac:dyDescent="0.2">
      <c r="A274" s="61">
        <v>25355</v>
      </c>
      <c r="B274" s="68">
        <f>VLOOKUP(Table2[[#This Row],[Date]],Database!A:E,2,)</f>
        <v>36.6</v>
      </c>
      <c r="C274" s="14">
        <f t="shared" si="8"/>
        <v>5.494505494505573E-3</v>
      </c>
      <c r="D274" s="14">
        <f t="shared" si="9"/>
        <v>5.475504322766566E-2</v>
      </c>
      <c r="E274" s="15">
        <f>VLOOKUP(Table2[[#This Row],[Date]],'Fed Fund New'!$A:$C,2,FALSE)</f>
        <v>0</v>
      </c>
      <c r="F274" s="15">
        <f>VLOOKUP(Table2[[#This Row],[Date]],'Fed Fund New'!$A:$C,3,FALSE)</f>
        <v>8.9</v>
      </c>
    </row>
    <row r="275" spans="1:6" x14ac:dyDescent="0.2">
      <c r="A275" s="61">
        <v>25385</v>
      </c>
      <c r="B275" s="68">
        <f>VLOOKUP(Table2[[#This Row],[Date]],Database!A:E,2,)</f>
        <v>36.799999999999997</v>
      </c>
      <c r="C275" s="14">
        <f t="shared" si="8"/>
        <v>5.4644808743168228E-3</v>
      </c>
      <c r="D275" s="14">
        <f t="shared" si="9"/>
        <v>5.4441260744985634E-2</v>
      </c>
      <c r="E275" s="15">
        <f>VLOOKUP(Table2[[#This Row],[Date]],'Fed Fund New'!$A:$C,2,FALSE)</f>
        <v>0</v>
      </c>
      <c r="F275" s="15">
        <f>VLOOKUP(Table2[[#This Row],[Date]],'Fed Fund New'!$A:$C,3,FALSE)</f>
        <v>8.61</v>
      </c>
    </row>
    <row r="276" spans="1:6" x14ac:dyDescent="0.2">
      <c r="A276" s="61">
        <v>25416</v>
      </c>
      <c r="B276" s="68">
        <f>VLOOKUP(Table2[[#This Row],[Date]],Database!A:E,2,)</f>
        <v>36.9</v>
      </c>
      <c r="C276" s="14">
        <f t="shared" si="8"/>
        <v>2.717391304347865E-3</v>
      </c>
      <c r="D276" s="14">
        <f t="shared" si="9"/>
        <v>5.4285714285714243E-2</v>
      </c>
      <c r="E276" s="15">
        <f>VLOOKUP(Table2[[#This Row],[Date]],'Fed Fund New'!$A:$C,2,FALSE)</f>
        <v>0</v>
      </c>
      <c r="F276" s="15">
        <f>VLOOKUP(Table2[[#This Row],[Date]],'Fed Fund New'!$A:$C,3,FALSE)</f>
        <v>9.19</v>
      </c>
    </row>
    <row r="277" spans="1:6" x14ac:dyDescent="0.2">
      <c r="A277" s="61">
        <v>25447</v>
      </c>
      <c r="B277" s="68">
        <f>VLOOKUP(Table2[[#This Row],[Date]],Database!A:E,2,)</f>
        <v>37.1</v>
      </c>
      <c r="C277" s="14">
        <f t="shared" si="8"/>
        <v>5.4200542005420826E-3</v>
      </c>
      <c r="D277" s="14">
        <f t="shared" si="9"/>
        <v>5.6980056980056981E-2</v>
      </c>
      <c r="E277" s="15">
        <f>VLOOKUP(Table2[[#This Row],[Date]],'Fed Fund New'!$A:$C,2,FALSE)</f>
        <v>0</v>
      </c>
      <c r="F277" s="15">
        <f>VLOOKUP(Table2[[#This Row],[Date]],'Fed Fund New'!$A:$C,3,FALSE)</f>
        <v>9.15</v>
      </c>
    </row>
    <row r="278" spans="1:6" x14ac:dyDescent="0.2">
      <c r="A278" s="61">
        <v>25477</v>
      </c>
      <c r="B278" s="68">
        <f>VLOOKUP(Table2[[#This Row],[Date]],Database!A:E,2,)</f>
        <v>37.299999999999997</v>
      </c>
      <c r="C278" s="14">
        <f t="shared" si="8"/>
        <v>5.3908355795147097E-3</v>
      </c>
      <c r="D278" s="14">
        <f t="shared" si="9"/>
        <v>5.6657223796034002E-2</v>
      </c>
      <c r="E278" s="15">
        <f>VLOOKUP(Table2[[#This Row],[Date]],'Fed Fund New'!$A:$C,2,FALSE)</f>
        <v>0</v>
      </c>
      <c r="F278" s="15">
        <f>VLOOKUP(Table2[[#This Row],[Date]],'Fed Fund New'!$A:$C,3,FALSE)</f>
        <v>9</v>
      </c>
    </row>
    <row r="279" spans="1:6" x14ac:dyDescent="0.2">
      <c r="A279" s="61">
        <v>25508</v>
      </c>
      <c r="B279" s="68">
        <f>VLOOKUP(Table2[[#This Row],[Date]],Database!A:E,2,)</f>
        <v>37.5</v>
      </c>
      <c r="C279" s="14">
        <f t="shared" si="8"/>
        <v>5.3619302949062426E-3</v>
      </c>
      <c r="D279" s="14">
        <f t="shared" si="9"/>
        <v>5.9322033898305128E-2</v>
      </c>
      <c r="E279" s="15">
        <f>VLOOKUP(Table2[[#This Row],[Date]],'Fed Fund New'!$A:$C,2,FALSE)</f>
        <v>0</v>
      </c>
      <c r="F279" s="15">
        <f>VLOOKUP(Table2[[#This Row],[Date]],'Fed Fund New'!$A:$C,3,FALSE)</f>
        <v>8.85</v>
      </c>
    </row>
    <row r="280" spans="1:6" x14ac:dyDescent="0.2">
      <c r="A280" s="61">
        <v>25538</v>
      </c>
      <c r="B280" s="68">
        <f>VLOOKUP(Table2[[#This Row],[Date]],Database!A:E,2,)</f>
        <v>37.700000000000003</v>
      </c>
      <c r="C280" s="14">
        <f t="shared" si="8"/>
        <v>5.3333333333334095E-3</v>
      </c>
      <c r="D280" s="14">
        <f t="shared" si="9"/>
        <v>5.898876404494386E-2</v>
      </c>
      <c r="E280" s="15">
        <f>VLOOKUP(Table2[[#This Row],[Date]],'Fed Fund New'!$A:$C,2,FALSE)</f>
        <v>0</v>
      </c>
      <c r="F280" s="15">
        <f>VLOOKUP(Table2[[#This Row],[Date]],'Fed Fund New'!$A:$C,3,FALSE)</f>
        <v>8.9700000000000006</v>
      </c>
    </row>
    <row r="281" spans="1:6" x14ac:dyDescent="0.2">
      <c r="A281" s="61">
        <v>25569</v>
      </c>
      <c r="B281" s="68">
        <f>VLOOKUP(Table2[[#This Row],[Date]],Database!A:E,2,)</f>
        <v>37.9</v>
      </c>
      <c r="C281" s="14">
        <f t="shared" si="8"/>
        <v>5.3050397877982946E-3</v>
      </c>
      <c r="D281" s="14">
        <f t="shared" si="9"/>
        <v>6.1624649859943856E-2</v>
      </c>
      <c r="E281" s="15">
        <f>VLOOKUP(Table2[[#This Row],[Date]],'Fed Fund New'!$A:$C,2,FALSE)</f>
        <v>0</v>
      </c>
      <c r="F281" s="15">
        <f>VLOOKUP(Table2[[#This Row],[Date]],'Fed Fund New'!$A:$C,3,FALSE)</f>
        <v>8.98</v>
      </c>
    </row>
    <row r="282" spans="1:6" x14ac:dyDescent="0.2">
      <c r="A282" s="61">
        <v>25600</v>
      </c>
      <c r="B282" s="68">
        <f>VLOOKUP(Table2[[#This Row],[Date]],Database!A:E,2,)</f>
        <v>38.1</v>
      </c>
      <c r="C282" s="14">
        <f t="shared" si="8"/>
        <v>5.2770448548813418E-3</v>
      </c>
      <c r="D282" s="14">
        <f t="shared" si="9"/>
        <v>6.4245810055866048E-2</v>
      </c>
      <c r="E282" s="15">
        <f>VLOOKUP(Table2[[#This Row],[Date]],'Fed Fund New'!$A:$C,2,FALSE)</f>
        <v>0</v>
      </c>
      <c r="F282" s="15">
        <f>VLOOKUP(Table2[[#This Row],[Date]],'Fed Fund New'!$A:$C,3,FALSE)</f>
        <v>8.98</v>
      </c>
    </row>
    <row r="283" spans="1:6" x14ac:dyDescent="0.2">
      <c r="A283" s="61">
        <v>25628</v>
      </c>
      <c r="B283" s="68">
        <f>VLOOKUP(Table2[[#This Row],[Date]],Database!A:E,2,)</f>
        <v>38.299999999999997</v>
      </c>
      <c r="C283" s="14">
        <f t="shared" si="8"/>
        <v>5.2493438320208854E-3</v>
      </c>
      <c r="D283" s="14">
        <f t="shared" si="9"/>
        <v>6.0941828254847522E-2</v>
      </c>
      <c r="E283" s="15">
        <f>VLOOKUP(Table2[[#This Row],[Date]],'Fed Fund New'!$A:$C,2,FALSE)</f>
        <v>0</v>
      </c>
      <c r="F283" s="15">
        <f>VLOOKUP(Table2[[#This Row],[Date]],'Fed Fund New'!$A:$C,3,FALSE)</f>
        <v>7.76</v>
      </c>
    </row>
    <row r="284" spans="1:6" x14ac:dyDescent="0.2">
      <c r="A284" s="61">
        <v>25659</v>
      </c>
      <c r="B284" s="68">
        <f>VLOOKUP(Table2[[#This Row],[Date]],Database!A:E,2,)</f>
        <v>38.5</v>
      </c>
      <c r="C284" s="14">
        <f t="shared" si="8"/>
        <v>5.2219321148825812E-3</v>
      </c>
      <c r="D284" s="14">
        <f t="shared" si="9"/>
        <v>6.0606060606060691E-2</v>
      </c>
      <c r="E284" s="15">
        <f>VLOOKUP(Table2[[#This Row],[Date]],'Fed Fund New'!$A:$C,2,FALSE)</f>
        <v>0</v>
      </c>
      <c r="F284" s="15">
        <f>VLOOKUP(Table2[[#This Row],[Date]],'Fed Fund New'!$A:$C,3,FALSE)</f>
        <v>8.1</v>
      </c>
    </row>
    <row r="285" spans="1:6" x14ac:dyDescent="0.2">
      <c r="A285" s="61">
        <v>25689</v>
      </c>
      <c r="B285" s="68">
        <f>VLOOKUP(Table2[[#This Row],[Date]],Database!A:E,2,)</f>
        <v>38.6</v>
      </c>
      <c r="C285" s="14">
        <f t="shared" si="8"/>
        <v>2.5974025974026343E-3</v>
      </c>
      <c r="D285" s="14">
        <f t="shared" si="9"/>
        <v>6.0439560439560523E-2</v>
      </c>
      <c r="E285" s="15">
        <f>VLOOKUP(Table2[[#This Row],[Date]],'Fed Fund New'!$A:$C,2,FALSE)</f>
        <v>0</v>
      </c>
      <c r="F285" s="15">
        <f>VLOOKUP(Table2[[#This Row],[Date]],'Fed Fund New'!$A:$C,3,FALSE)</f>
        <v>7.95</v>
      </c>
    </row>
    <row r="286" spans="1:6" x14ac:dyDescent="0.2">
      <c r="A286" s="61">
        <v>25720</v>
      </c>
      <c r="B286" s="68">
        <f>VLOOKUP(Table2[[#This Row],[Date]],Database!A:E,2,)</f>
        <v>38.799999999999997</v>
      </c>
      <c r="C286" s="14">
        <f t="shared" si="8"/>
        <v>5.1813471502589565E-3</v>
      </c>
      <c r="D286" s="14">
        <f t="shared" si="9"/>
        <v>6.0109289617486218E-2</v>
      </c>
      <c r="E286" s="15">
        <f>VLOOKUP(Table2[[#This Row],[Date]],'Fed Fund New'!$A:$C,2,FALSE)</f>
        <v>0</v>
      </c>
      <c r="F286" s="15">
        <f>VLOOKUP(Table2[[#This Row],[Date]],'Fed Fund New'!$A:$C,3,FALSE)</f>
        <v>7.61</v>
      </c>
    </row>
    <row r="287" spans="1:6" x14ac:dyDescent="0.2">
      <c r="A287" s="61">
        <v>25750</v>
      </c>
      <c r="B287" s="68">
        <f>VLOOKUP(Table2[[#This Row],[Date]],Database!A:E,2,)</f>
        <v>38.9</v>
      </c>
      <c r="C287" s="14">
        <f t="shared" si="8"/>
        <v>2.5773195876289028E-3</v>
      </c>
      <c r="D287" s="14">
        <f t="shared" si="9"/>
        <v>5.7065217391304393E-2</v>
      </c>
      <c r="E287" s="15">
        <f>VLOOKUP(Table2[[#This Row],[Date]],'Fed Fund New'!$A:$C,2,FALSE)</f>
        <v>0</v>
      </c>
      <c r="F287" s="15">
        <f>VLOOKUP(Table2[[#This Row],[Date]],'Fed Fund New'!$A:$C,3,FALSE)</f>
        <v>7.21</v>
      </c>
    </row>
    <row r="288" spans="1:6" x14ac:dyDescent="0.2">
      <c r="A288" s="61">
        <v>25781</v>
      </c>
      <c r="B288" s="68">
        <f>VLOOKUP(Table2[[#This Row],[Date]],Database!A:E,2,)</f>
        <v>39</v>
      </c>
      <c r="C288" s="14">
        <f t="shared" si="8"/>
        <v>2.5706940874036356E-3</v>
      </c>
      <c r="D288" s="14">
        <f t="shared" si="9"/>
        <v>5.6910569105691096E-2</v>
      </c>
      <c r="E288" s="15">
        <f>VLOOKUP(Table2[[#This Row],[Date]],'Fed Fund New'!$A:$C,2,FALSE)</f>
        <v>0</v>
      </c>
      <c r="F288" s="15">
        <f>VLOOKUP(Table2[[#This Row],[Date]],'Fed Fund New'!$A:$C,3,FALSE)</f>
        <v>6.62</v>
      </c>
    </row>
    <row r="289" spans="1:6" x14ac:dyDescent="0.2">
      <c r="A289" s="61">
        <v>25812</v>
      </c>
      <c r="B289" s="68">
        <f>VLOOKUP(Table2[[#This Row],[Date]],Database!A:E,2,)</f>
        <v>39.200000000000003</v>
      </c>
      <c r="C289" s="14">
        <f t="shared" si="8"/>
        <v>5.1282051282052011E-3</v>
      </c>
      <c r="D289" s="14">
        <f t="shared" si="9"/>
        <v>5.6603773584905696E-2</v>
      </c>
      <c r="E289" s="15">
        <f>VLOOKUP(Table2[[#This Row],[Date]],'Fed Fund New'!$A:$C,2,FALSE)</f>
        <v>0</v>
      </c>
      <c r="F289" s="15">
        <f>VLOOKUP(Table2[[#This Row],[Date]],'Fed Fund New'!$A:$C,3,FALSE)</f>
        <v>6.29</v>
      </c>
    </row>
    <row r="290" spans="1:6" x14ac:dyDescent="0.2">
      <c r="A290" s="61">
        <v>25842</v>
      </c>
      <c r="B290" s="68">
        <f>VLOOKUP(Table2[[#This Row],[Date]],Database!A:E,2,)</f>
        <v>39.4</v>
      </c>
      <c r="C290" s="14">
        <f t="shared" si="8"/>
        <v>5.1020408163264218E-3</v>
      </c>
      <c r="D290" s="14">
        <f t="shared" si="9"/>
        <v>5.630026809651479E-2</v>
      </c>
      <c r="E290" s="15">
        <f>VLOOKUP(Table2[[#This Row],[Date]],'Fed Fund New'!$A:$C,2,FALSE)</f>
        <v>0</v>
      </c>
      <c r="F290" s="15">
        <f>VLOOKUP(Table2[[#This Row],[Date]],'Fed Fund New'!$A:$C,3,FALSE)</f>
        <v>6.2</v>
      </c>
    </row>
    <row r="291" spans="1:6" x14ac:dyDescent="0.2">
      <c r="A291" s="61">
        <v>25873</v>
      </c>
      <c r="B291" s="68">
        <f>VLOOKUP(Table2[[#This Row],[Date]],Database!A:E,2,)</f>
        <v>39.6</v>
      </c>
      <c r="C291" s="14">
        <f t="shared" si="8"/>
        <v>5.0761421319797679E-3</v>
      </c>
      <c r="D291" s="14">
        <f t="shared" si="9"/>
        <v>5.6000000000000036E-2</v>
      </c>
      <c r="E291" s="15">
        <f>VLOOKUP(Table2[[#This Row],[Date]],'Fed Fund New'!$A:$C,2,FALSE)</f>
        <v>0</v>
      </c>
      <c r="F291" s="15">
        <f>VLOOKUP(Table2[[#This Row],[Date]],'Fed Fund New'!$A:$C,3,FALSE)</f>
        <v>5.6</v>
      </c>
    </row>
    <row r="292" spans="1:6" x14ac:dyDescent="0.2">
      <c r="A292" s="61">
        <v>25903</v>
      </c>
      <c r="B292" s="68">
        <f>VLOOKUP(Table2[[#This Row],[Date]],Database!A:E,2,)</f>
        <v>39.799999999999997</v>
      </c>
      <c r="C292" s="14">
        <f t="shared" si="8"/>
        <v>5.0505050505049425E-3</v>
      </c>
      <c r="D292" s="14">
        <f t="shared" si="9"/>
        <v>5.5702917771883131E-2</v>
      </c>
      <c r="E292" s="15">
        <f>VLOOKUP(Table2[[#This Row],[Date]],'Fed Fund New'!$A:$C,2,FALSE)</f>
        <v>0</v>
      </c>
      <c r="F292" s="15">
        <f>VLOOKUP(Table2[[#This Row],[Date]],'Fed Fund New'!$A:$C,3,FALSE)</f>
        <v>4.9000000000000004</v>
      </c>
    </row>
    <row r="293" spans="1:6" x14ac:dyDescent="0.2">
      <c r="A293" s="61">
        <v>25934</v>
      </c>
      <c r="B293" s="68">
        <f>VLOOKUP(Table2[[#This Row],[Date]],Database!A:E,2,)</f>
        <v>39.9</v>
      </c>
      <c r="C293" s="14">
        <f t="shared" si="8"/>
        <v>2.5125628140703878E-3</v>
      </c>
      <c r="D293" s="14">
        <f t="shared" si="9"/>
        <v>5.2770448548812667E-2</v>
      </c>
      <c r="E293" s="15">
        <f>VLOOKUP(Table2[[#This Row],[Date]],'Fed Fund New'!$A:$C,2,FALSE)</f>
        <v>0</v>
      </c>
      <c r="F293" s="15">
        <f>VLOOKUP(Table2[[#This Row],[Date]],'Fed Fund New'!$A:$C,3,FALSE)</f>
        <v>4.1399999999999997</v>
      </c>
    </row>
    <row r="294" spans="1:6" x14ac:dyDescent="0.2">
      <c r="A294" s="61">
        <v>25965</v>
      </c>
      <c r="B294" s="68">
        <f>VLOOKUP(Table2[[#This Row],[Date]],Database!A:E,2,)</f>
        <v>39.9</v>
      </c>
      <c r="C294" s="14">
        <f t="shared" si="8"/>
        <v>0</v>
      </c>
      <c r="D294" s="14">
        <f t="shared" si="9"/>
        <v>4.7244094488188899E-2</v>
      </c>
      <c r="E294" s="15">
        <f>VLOOKUP(Table2[[#This Row],[Date]],'Fed Fund New'!$A:$C,2,FALSE)</f>
        <v>0</v>
      </c>
      <c r="F294" s="15">
        <f>VLOOKUP(Table2[[#This Row],[Date]],'Fed Fund New'!$A:$C,3,FALSE)</f>
        <v>3.72</v>
      </c>
    </row>
    <row r="295" spans="1:6" x14ac:dyDescent="0.2">
      <c r="A295" s="61">
        <v>25993</v>
      </c>
      <c r="B295" s="68">
        <f>VLOOKUP(Table2[[#This Row],[Date]],Database!A:E,2,)</f>
        <v>40</v>
      </c>
      <c r="C295" s="14">
        <f t="shared" si="8"/>
        <v>2.5062656641604369E-3</v>
      </c>
      <c r="D295" s="14">
        <f t="shared" si="9"/>
        <v>4.4386422976501382E-2</v>
      </c>
      <c r="E295" s="15">
        <f>VLOOKUP(Table2[[#This Row],[Date]],'Fed Fund New'!$A:$C,2,FALSE)</f>
        <v>0</v>
      </c>
      <c r="F295" s="15">
        <f>VLOOKUP(Table2[[#This Row],[Date]],'Fed Fund New'!$A:$C,3,FALSE)</f>
        <v>3.71</v>
      </c>
    </row>
    <row r="296" spans="1:6" x14ac:dyDescent="0.2">
      <c r="A296" s="61">
        <v>26024</v>
      </c>
      <c r="B296" s="68">
        <f>VLOOKUP(Table2[[#This Row],[Date]],Database!A:E,2,)</f>
        <v>40.1</v>
      </c>
      <c r="C296" s="14">
        <f t="shared" si="8"/>
        <v>2.5000000000000356E-3</v>
      </c>
      <c r="D296" s="14">
        <f t="shared" si="9"/>
        <v>4.1558441558441593E-2</v>
      </c>
      <c r="E296" s="15">
        <f>VLOOKUP(Table2[[#This Row],[Date]],'Fed Fund New'!$A:$C,2,FALSE)</f>
        <v>0</v>
      </c>
      <c r="F296" s="15">
        <f>VLOOKUP(Table2[[#This Row],[Date]],'Fed Fund New'!$A:$C,3,FALSE)</f>
        <v>4.16</v>
      </c>
    </row>
    <row r="297" spans="1:6" x14ac:dyDescent="0.2">
      <c r="A297" s="61">
        <v>26054</v>
      </c>
      <c r="B297" s="68">
        <f>VLOOKUP(Table2[[#This Row],[Date]],Database!A:E,2,)</f>
        <v>40.299999999999997</v>
      </c>
      <c r="C297" s="14">
        <f t="shared" si="8"/>
        <v>4.9875311720697186E-3</v>
      </c>
      <c r="D297" s="14">
        <f t="shared" si="9"/>
        <v>4.4041450777201958E-2</v>
      </c>
      <c r="E297" s="15">
        <f>VLOOKUP(Table2[[#This Row],[Date]],'Fed Fund New'!$A:$C,2,FALSE)</f>
        <v>0</v>
      </c>
      <c r="F297" s="15">
        <f>VLOOKUP(Table2[[#This Row],[Date]],'Fed Fund New'!$A:$C,3,FALSE)</f>
        <v>4.63</v>
      </c>
    </row>
    <row r="298" spans="1:6" x14ac:dyDescent="0.2">
      <c r="A298" s="61">
        <v>26085</v>
      </c>
      <c r="B298" s="68">
        <f>VLOOKUP(Table2[[#This Row],[Date]],Database!A:E,2,)</f>
        <v>40.5</v>
      </c>
      <c r="C298" s="14">
        <f t="shared" si="8"/>
        <v>4.9627791563276145E-3</v>
      </c>
      <c r="D298" s="14">
        <f t="shared" si="9"/>
        <v>4.3814432989690795E-2</v>
      </c>
      <c r="E298" s="15">
        <f>VLOOKUP(Table2[[#This Row],[Date]],'Fed Fund New'!$A:$C,2,FALSE)</f>
        <v>0</v>
      </c>
      <c r="F298" s="15">
        <f>VLOOKUP(Table2[[#This Row],[Date]],'Fed Fund New'!$A:$C,3,FALSE)</f>
        <v>4.91</v>
      </c>
    </row>
    <row r="299" spans="1:6" x14ac:dyDescent="0.2">
      <c r="A299" s="61">
        <v>26115</v>
      </c>
      <c r="B299" s="68">
        <f>VLOOKUP(Table2[[#This Row],[Date]],Database!A:E,2,)</f>
        <v>40.6</v>
      </c>
      <c r="C299" s="14">
        <f t="shared" si="8"/>
        <v>2.4691358024691709E-3</v>
      </c>
      <c r="D299" s="14">
        <f t="shared" si="9"/>
        <v>4.370179948586126E-2</v>
      </c>
      <c r="E299" s="15">
        <f>VLOOKUP(Table2[[#This Row],[Date]],'Fed Fund New'!$A:$C,2,FALSE)</f>
        <v>0</v>
      </c>
      <c r="F299" s="15">
        <f>VLOOKUP(Table2[[#This Row],[Date]],'Fed Fund New'!$A:$C,3,FALSE)</f>
        <v>5.31</v>
      </c>
    </row>
    <row r="300" spans="1:6" x14ac:dyDescent="0.2">
      <c r="A300" s="61">
        <v>26146</v>
      </c>
      <c r="B300" s="68">
        <f>VLOOKUP(Table2[[#This Row],[Date]],Database!A:E,2,)</f>
        <v>40.700000000000003</v>
      </c>
      <c r="C300" s="14">
        <f t="shared" si="8"/>
        <v>2.4630541871921529E-3</v>
      </c>
      <c r="D300" s="14">
        <f t="shared" si="9"/>
        <v>4.3589743589743664E-2</v>
      </c>
      <c r="E300" s="15">
        <f>VLOOKUP(Table2[[#This Row],[Date]],'Fed Fund New'!$A:$C,2,FALSE)</f>
        <v>0</v>
      </c>
      <c r="F300" s="15">
        <f>VLOOKUP(Table2[[#This Row],[Date]],'Fed Fund New'!$A:$C,3,FALSE)</f>
        <v>5.57</v>
      </c>
    </row>
    <row r="301" spans="1:6" x14ac:dyDescent="0.2">
      <c r="A301" s="61">
        <v>26177</v>
      </c>
      <c r="B301" s="68">
        <f>VLOOKUP(Table2[[#This Row],[Date]],Database!A:E,2,)</f>
        <v>40.799999999999997</v>
      </c>
      <c r="C301" s="14">
        <f t="shared" si="8"/>
        <v>2.4570024570023173E-3</v>
      </c>
      <c r="D301" s="14">
        <f t="shared" si="9"/>
        <v>4.0816326530612096E-2</v>
      </c>
      <c r="E301" s="15">
        <f>VLOOKUP(Table2[[#This Row],[Date]],'Fed Fund New'!$A:$C,2,FALSE)</f>
        <v>0</v>
      </c>
      <c r="F301" s="15">
        <f>VLOOKUP(Table2[[#This Row],[Date]],'Fed Fund New'!$A:$C,3,FALSE)</f>
        <v>5.55</v>
      </c>
    </row>
    <row r="302" spans="1:6" x14ac:dyDescent="0.2">
      <c r="A302" s="61">
        <v>26207</v>
      </c>
      <c r="B302" s="68">
        <f>VLOOKUP(Table2[[#This Row],[Date]],Database!A:E,2,)</f>
        <v>40.9</v>
      </c>
      <c r="C302" s="14">
        <f t="shared" si="8"/>
        <v>2.4509803921568978E-3</v>
      </c>
      <c r="D302" s="14">
        <f t="shared" si="9"/>
        <v>3.8071065989847719E-2</v>
      </c>
      <c r="E302" s="15">
        <f>VLOOKUP(Table2[[#This Row],[Date]],'Fed Fund New'!$A:$C,2,FALSE)</f>
        <v>0</v>
      </c>
      <c r="F302" s="15">
        <f>VLOOKUP(Table2[[#This Row],[Date]],'Fed Fund New'!$A:$C,3,FALSE)</f>
        <v>5.2</v>
      </c>
    </row>
    <row r="303" spans="1:6" x14ac:dyDescent="0.2">
      <c r="A303" s="61">
        <v>26238</v>
      </c>
      <c r="B303" s="68">
        <f>VLOOKUP(Table2[[#This Row],[Date]],Database!A:E,2,)</f>
        <v>41</v>
      </c>
      <c r="C303" s="14">
        <f t="shared" si="8"/>
        <v>2.4449877750611594E-3</v>
      </c>
      <c r="D303" s="14">
        <f t="shared" si="9"/>
        <v>3.5353535353535318E-2</v>
      </c>
      <c r="E303" s="15">
        <f>VLOOKUP(Table2[[#This Row],[Date]],'Fed Fund New'!$A:$C,2,FALSE)</f>
        <v>0</v>
      </c>
      <c r="F303" s="15">
        <f>VLOOKUP(Table2[[#This Row],[Date]],'Fed Fund New'!$A:$C,3,FALSE)</f>
        <v>4.91</v>
      </c>
    </row>
    <row r="304" spans="1:6" x14ac:dyDescent="0.2">
      <c r="A304" s="61">
        <v>26268</v>
      </c>
      <c r="B304" s="68">
        <f>VLOOKUP(Table2[[#This Row],[Date]],Database!A:E,2,)</f>
        <v>41.1</v>
      </c>
      <c r="C304" s="14">
        <f t="shared" si="8"/>
        <v>2.4390243902439371E-3</v>
      </c>
      <c r="D304" s="14">
        <f t="shared" si="9"/>
        <v>3.266331658291468E-2</v>
      </c>
      <c r="E304" s="15">
        <f>VLOOKUP(Table2[[#This Row],[Date]],'Fed Fund New'!$A:$C,2,FALSE)</f>
        <v>0</v>
      </c>
      <c r="F304" s="15">
        <f>VLOOKUP(Table2[[#This Row],[Date]],'Fed Fund New'!$A:$C,3,FALSE)</f>
        <v>4.1399999999999997</v>
      </c>
    </row>
    <row r="305" spans="1:6" x14ac:dyDescent="0.2">
      <c r="A305" s="61">
        <v>26299</v>
      </c>
      <c r="B305" s="68">
        <f>VLOOKUP(Table2[[#This Row],[Date]],Database!A:E,2,)</f>
        <v>41.2</v>
      </c>
      <c r="C305" s="14">
        <f t="shared" si="8"/>
        <v>2.4330900243309346E-3</v>
      </c>
      <c r="D305" s="14">
        <f t="shared" si="9"/>
        <v>3.2581453634085322E-2</v>
      </c>
      <c r="E305" s="15">
        <f>VLOOKUP(Table2[[#This Row],[Date]],'Fed Fund New'!$A:$C,2,FALSE)</f>
        <v>0</v>
      </c>
      <c r="F305" s="15">
        <f>VLOOKUP(Table2[[#This Row],[Date]],'Fed Fund New'!$A:$C,3,FALSE)</f>
        <v>3.51</v>
      </c>
    </row>
    <row r="306" spans="1:6" x14ac:dyDescent="0.2">
      <c r="A306" s="61">
        <v>26330</v>
      </c>
      <c r="B306" s="68">
        <f>VLOOKUP(Table2[[#This Row],[Date]],Database!A:E,2,)</f>
        <v>41.4</v>
      </c>
      <c r="C306" s="14">
        <f t="shared" si="8"/>
        <v>4.8543689320387313E-3</v>
      </c>
      <c r="D306" s="14">
        <f t="shared" si="9"/>
        <v>3.7593984962406013E-2</v>
      </c>
      <c r="E306" s="15">
        <f>VLOOKUP(Table2[[#This Row],[Date]],'Fed Fund New'!$A:$C,2,FALSE)</f>
        <v>0</v>
      </c>
      <c r="F306" s="15">
        <f>VLOOKUP(Table2[[#This Row],[Date]],'Fed Fund New'!$A:$C,3,FALSE)</f>
        <v>3.3</v>
      </c>
    </row>
    <row r="307" spans="1:6" x14ac:dyDescent="0.2">
      <c r="A307" s="61">
        <v>26359</v>
      </c>
      <c r="B307" s="68">
        <f>VLOOKUP(Table2[[#This Row],[Date]],Database!A:E,2,)</f>
        <v>41.4</v>
      </c>
      <c r="C307" s="14">
        <f t="shared" si="8"/>
        <v>0</v>
      </c>
      <c r="D307" s="14">
        <f t="shared" si="9"/>
        <v>3.4999999999999962E-2</v>
      </c>
      <c r="E307" s="15">
        <f>VLOOKUP(Table2[[#This Row],[Date]],'Fed Fund New'!$A:$C,2,FALSE)</f>
        <v>0</v>
      </c>
      <c r="F307" s="15">
        <f>VLOOKUP(Table2[[#This Row],[Date]],'Fed Fund New'!$A:$C,3,FALSE)</f>
        <v>3.83</v>
      </c>
    </row>
    <row r="308" spans="1:6" x14ac:dyDescent="0.2">
      <c r="A308" s="61">
        <v>26390</v>
      </c>
      <c r="B308" s="68">
        <f>VLOOKUP(Table2[[#This Row],[Date]],Database!A:E,2,)</f>
        <v>41.5</v>
      </c>
      <c r="C308" s="14">
        <f t="shared" si="8"/>
        <v>2.4154589371981022E-3</v>
      </c>
      <c r="D308" s="14">
        <f t="shared" si="9"/>
        <v>3.4912718204488741E-2</v>
      </c>
      <c r="E308" s="15">
        <f>VLOOKUP(Table2[[#This Row],[Date]],'Fed Fund New'!$A:$C,2,FALSE)</f>
        <v>0</v>
      </c>
      <c r="F308" s="15">
        <f>VLOOKUP(Table2[[#This Row],[Date]],'Fed Fund New'!$A:$C,3,FALSE)</f>
        <v>4.17</v>
      </c>
    </row>
    <row r="309" spans="1:6" x14ac:dyDescent="0.2">
      <c r="A309" s="61">
        <v>26420</v>
      </c>
      <c r="B309" s="68">
        <f>VLOOKUP(Table2[[#This Row],[Date]],Database!A:E,2,)</f>
        <v>41.6</v>
      </c>
      <c r="C309" s="14">
        <f t="shared" si="8"/>
        <v>2.4096385542169015E-3</v>
      </c>
      <c r="D309" s="14">
        <f t="shared" si="9"/>
        <v>3.2258064516129142E-2</v>
      </c>
      <c r="E309" s="15">
        <f>VLOOKUP(Table2[[#This Row],[Date]],'Fed Fund New'!$A:$C,2,FALSE)</f>
        <v>0</v>
      </c>
      <c r="F309" s="15">
        <f>VLOOKUP(Table2[[#This Row],[Date]],'Fed Fund New'!$A:$C,3,FALSE)</f>
        <v>4.2699999999999996</v>
      </c>
    </row>
    <row r="310" spans="1:6" x14ac:dyDescent="0.2">
      <c r="A310" s="61">
        <v>26451</v>
      </c>
      <c r="B310" s="68">
        <f>VLOOKUP(Table2[[#This Row],[Date]],Database!A:E,2,)</f>
        <v>41.7</v>
      </c>
      <c r="C310" s="14">
        <f t="shared" si="8"/>
        <v>2.4038461538461878E-3</v>
      </c>
      <c r="D310" s="14">
        <f t="shared" si="9"/>
        <v>2.96296296296297E-2</v>
      </c>
      <c r="E310" s="15">
        <f>VLOOKUP(Table2[[#This Row],[Date]],'Fed Fund New'!$A:$C,2,FALSE)</f>
        <v>0</v>
      </c>
      <c r="F310" s="15">
        <f>VLOOKUP(Table2[[#This Row],[Date]],'Fed Fund New'!$A:$C,3,FALSE)</f>
        <v>4.46</v>
      </c>
    </row>
    <row r="311" spans="1:6" x14ac:dyDescent="0.2">
      <c r="A311" s="61">
        <v>26481</v>
      </c>
      <c r="B311" s="68">
        <f>VLOOKUP(Table2[[#This Row],[Date]],Database!A:E,2,)</f>
        <v>41.8</v>
      </c>
      <c r="C311" s="14">
        <f t="shared" si="8"/>
        <v>2.3980815347720459E-3</v>
      </c>
      <c r="D311" s="14">
        <f t="shared" si="9"/>
        <v>2.9556650246305313E-2</v>
      </c>
      <c r="E311" s="15">
        <f>VLOOKUP(Table2[[#This Row],[Date]],'Fed Fund New'!$A:$C,2,FALSE)</f>
        <v>0</v>
      </c>
      <c r="F311" s="15">
        <f>VLOOKUP(Table2[[#This Row],[Date]],'Fed Fund New'!$A:$C,3,FALSE)</f>
        <v>4.55</v>
      </c>
    </row>
    <row r="312" spans="1:6" x14ac:dyDescent="0.2">
      <c r="A312" s="61">
        <v>26512</v>
      </c>
      <c r="B312" s="68">
        <f>VLOOKUP(Table2[[#This Row],[Date]],Database!A:E,2,)</f>
        <v>41.9</v>
      </c>
      <c r="C312" s="14">
        <f t="shared" si="8"/>
        <v>2.3923444976076897E-3</v>
      </c>
      <c r="D312" s="14">
        <f t="shared" si="9"/>
        <v>2.9484029484029377E-2</v>
      </c>
      <c r="E312" s="15">
        <f>VLOOKUP(Table2[[#This Row],[Date]],'Fed Fund New'!$A:$C,2,FALSE)</f>
        <v>0</v>
      </c>
      <c r="F312" s="15">
        <f>VLOOKUP(Table2[[#This Row],[Date]],'Fed Fund New'!$A:$C,3,FALSE)</f>
        <v>4.8099999999999996</v>
      </c>
    </row>
    <row r="313" spans="1:6" x14ac:dyDescent="0.2">
      <c r="A313" s="61">
        <v>26543</v>
      </c>
      <c r="B313" s="68">
        <f>VLOOKUP(Table2[[#This Row],[Date]],Database!A:E,2,)</f>
        <v>42.1</v>
      </c>
      <c r="C313" s="14">
        <f t="shared" si="8"/>
        <v>4.773269689737538E-3</v>
      </c>
      <c r="D313" s="14">
        <f t="shared" si="9"/>
        <v>3.1862745098039325E-2</v>
      </c>
      <c r="E313" s="15">
        <f>VLOOKUP(Table2[[#This Row],[Date]],'Fed Fund New'!$A:$C,2,FALSE)</f>
        <v>0</v>
      </c>
      <c r="F313" s="15">
        <f>VLOOKUP(Table2[[#This Row],[Date]],'Fed Fund New'!$A:$C,3,FALSE)</f>
        <v>4.87</v>
      </c>
    </row>
    <row r="314" spans="1:6" x14ac:dyDescent="0.2">
      <c r="A314" s="61">
        <v>26573</v>
      </c>
      <c r="B314" s="68">
        <f>VLOOKUP(Table2[[#This Row],[Date]],Database!A:E,2,)</f>
        <v>42.2</v>
      </c>
      <c r="C314" s="14">
        <f t="shared" si="8"/>
        <v>2.3752969121140478E-3</v>
      </c>
      <c r="D314" s="14">
        <f t="shared" si="9"/>
        <v>3.1784841075794726E-2</v>
      </c>
      <c r="E314" s="15">
        <f>VLOOKUP(Table2[[#This Row],[Date]],'Fed Fund New'!$A:$C,2,FALSE)</f>
        <v>0</v>
      </c>
      <c r="F314" s="15">
        <f>VLOOKUP(Table2[[#This Row],[Date]],'Fed Fund New'!$A:$C,3,FALSE)</f>
        <v>5.05</v>
      </c>
    </row>
    <row r="315" spans="1:6" x14ac:dyDescent="0.2">
      <c r="A315" s="61">
        <v>26604</v>
      </c>
      <c r="B315" s="68">
        <f>VLOOKUP(Table2[[#This Row],[Date]],Database!A:E,2,)</f>
        <v>42.4</v>
      </c>
      <c r="C315" s="14">
        <f t="shared" si="8"/>
        <v>4.7393364928908941E-3</v>
      </c>
      <c r="D315" s="14">
        <f t="shared" si="9"/>
        <v>3.4146341463414602E-2</v>
      </c>
      <c r="E315" s="15">
        <f>VLOOKUP(Table2[[#This Row],[Date]],'Fed Fund New'!$A:$C,2,FALSE)</f>
        <v>0</v>
      </c>
      <c r="F315" s="15">
        <f>VLOOKUP(Table2[[#This Row],[Date]],'Fed Fund New'!$A:$C,3,FALSE)</f>
        <v>5.0599999999999996</v>
      </c>
    </row>
    <row r="316" spans="1:6" x14ac:dyDescent="0.2">
      <c r="A316" s="61">
        <v>26634</v>
      </c>
      <c r="B316" s="68">
        <f>VLOOKUP(Table2[[#This Row],[Date]],Database!A:E,2,)</f>
        <v>42.5</v>
      </c>
      <c r="C316" s="14">
        <f t="shared" si="8"/>
        <v>2.3584905660377696E-3</v>
      </c>
      <c r="D316" s="14">
        <f t="shared" si="9"/>
        <v>3.4063260340632569E-2</v>
      </c>
      <c r="E316" s="15">
        <f>VLOOKUP(Table2[[#This Row],[Date]],'Fed Fund New'!$A:$C,2,FALSE)</f>
        <v>0</v>
      </c>
      <c r="F316" s="15">
        <f>VLOOKUP(Table2[[#This Row],[Date]],'Fed Fund New'!$A:$C,3,FALSE)</f>
        <v>5.33</v>
      </c>
    </row>
    <row r="317" spans="1:6" x14ac:dyDescent="0.2">
      <c r="A317" s="61">
        <v>26665</v>
      </c>
      <c r="B317" s="68">
        <f>VLOOKUP(Table2[[#This Row],[Date]],Database!A:E,2,)</f>
        <v>42.7</v>
      </c>
      <c r="C317" s="14">
        <f t="shared" si="8"/>
        <v>4.7058823529412437E-3</v>
      </c>
      <c r="D317" s="14">
        <f t="shared" si="9"/>
        <v>3.640776699029126E-2</v>
      </c>
      <c r="E317" s="15">
        <f>VLOOKUP(Table2[[#This Row],[Date]],'Fed Fund New'!$A:$C,2,FALSE)</f>
        <v>0</v>
      </c>
      <c r="F317" s="15">
        <f>VLOOKUP(Table2[[#This Row],[Date]],'Fed Fund New'!$A:$C,3,FALSE)</f>
        <v>5.94</v>
      </c>
    </row>
    <row r="318" spans="1:6" x14ac:dyDescent="0.2">
      <c r="A318" s="61">
        <v>26696</v>
      </c>
      <c r="B318" s="68">
        <f>VLOOKUP(Table2[[#This Row],[Date]],Database!A:E,2,)</f>
        <v>43</v>
      </c>
      <c r="C318" s="14">
        <f t="shared" si="8"/>
        <v>7.0257611241217131E-3</v>
      </c>
      <c r="D318" s="14">
        <f t="shared" si="9"/>
        <v>3.8647342995169115E-2</v>
      </c>
      <c r="E318" s="15">
        <f>VLOOKUP(Table2[[#This Row],[Date]],'Fed Fund New'!$A:$C,2,FALSE)</f>
        <v>0</v>
      </c>
      <c r="F318" s="15">
        <f>VLOOKUP(Table2[[#This Row],[Date]],'Fed Fund New'!$A:$C,3,FALSE)</f>
        <v>6.58</v>
      </c>
    </row>
    <row r="319" spans="1:6" x14ac:dyDescent="0.2">
      <c r="A319" s="61">
        <v>26724</v>
      </c>
      <c r="B319" s="68">
        <f>VLOOKUP(Table2[[#This Row],[Date]],Database!A:E,2,)</f>
        <v>43.4</v>
      </c>
      <c r="C319" s="14">
        <f t="shared" si="8"/>
        <v>9.3023255813953157E-3</v>
      </c>
      <c r="D319" s="14">
        <f t="shared" si="9"/>
        <v>4.8309178743961352E-2</v>
      </c>
      <c r="E319" s="15">
        <f>VLOOKUP(Table2[[#This Row],[Date]],'Fed Fund New'!$A:$C,2,FALSE)</f>
        <v>0</v>
      </c>
      <c r="F319" s="15">
        <f>VLOOKUP(Table2[[#This Row],[Date]],'Fed Fund New'!$A:$C,3,FALSE)</f>
        <v>7.09</v>
      </c>
    </row>
    <row r="320" spans="1:6" x14ac:dyDescent="0.2">
      <c r="A320" s="61">
        <v>26755</v>
      </c>
      <c r="B320" s="68">
        <f>VLOOKUP(Table2[[#This Row],[Date]],Database!A:E,2,)</f>
        <v>43.7</v>
      </c>
      <c r="C320" s="14">
        <f t="shared" si="8"/>
        <v>6.9124423963134625E-3</v>
      </c>
      <c r="D320" s="14">
        <f t="shared" si="9"/>
        <v>5.3012048192771152E-2</v>
      </c>
      <c r="E320" s="15">
        <f>VLOOKUP(Table2[[#This Row],[Date]],'Fed Fund New'!$A:$C,2,FALSE)</f>
        <v>0</v>
      </c>
      <c r="F320" s="15">
        <f>VLOOKUP(Table2[[#This Row],[Date]],'Fed Fund New'!$A:$C,3,FALSE)</f>
        <v>7.12</v>
      </c>
    </row>
    <row r="321" spans="1:6" x14ac:dyDescent="0.2">
      <c r="A321" s="61">
        <v>26785</v>
      </c>
      <c r="B321" s="68">
        <f>VLOOKUP(Table2[[#This Row],[Date]],Database!A:E,2,)</f>
        <v>43.9</v>
      </c>
      <c r="C321" s="14">
        <f t="shared" si="8"/>
        <v>4.5766590389015038E-3</v>
      </c>
      <c r="D321" s="14">
        <f t="shared" si="9"/>
        <v>5.5288461538461467E-2</v>
      </c>
      <c r="E321" s="15">
        <f>VLOOKUP(Table2[[#This Row],[Date]],'Fed Fund New'!$A:$C,2,FALSE)</f>
        <v>0</v>
      </c>
      <c r="F321" s="15">
        <f>VLOOKUP(Table2[[#This Row],[Date]],'Fed Fund New'!$A:$C,3,FALSE)</f>
        <v>7.84</v>
      </c>
    </row>
    <row r="322" spans="1:6" x14ac:dyDescent="0.2">
      <c r="A322" s="61">
        <v>26816</v>
      </c>
      <c r="B322" s="68">
        <f>VLOOKUP(Table2[[#This Row],[Date]],Database!A:E,2,)</f>
        <v>44.2</v>
      </c>
      <c r="C322" s="14">
        <f t="shared" si="8"/>
        <v>6.833712984054767E-3</v>
      </c>
      <c r="D322" s="14">
        <f t="shared" si="9"/>
        <v>5.9952038369304551E-2</v>
      </c>
      <c r="E322" s="15">
        <f>VLOOKUP(Table2[[#This Row],[Date]],'Fed Fund New'!$A:$C,2,FALSE)</f>
        <v>0</v>
      </c>
      <c r="F322" s="15">
        <f>VLOOKUP(Table2[[#This Row],[Date]],'Fed Fund New'!$A:$C,3,FALSE)</f>
        <v>8.49</v>
      </c>
    </row>
    <row r="323" spans="1:6" x14ac:dyDescent="0.2">
      <c r="A323" s="61">
        <v>26846</v>
      </c>
      <c r="B323" s="68">
        <f>VLOOKUP(Table2[[#This Row],[Date]],Database!A:E,2,)</f>
        <v>44.2</v>
      </c>
      <c r="C323" s="14">
        <f t="shared" si="8"/>
        <v>0</v>
      </c>
      <c r="D323" s="14">
        <f t="shared" si="9"/>
        <v>5.7416267942583872E-2</v>
      </c>
      <c r="E323" s="15">
        <f>VLOOKUP(Table2[[#This Row],[Date]],'Fed Fund New'!$A:$C,2,FALSE)</f>
        <v>0</v>
      </c>
      <c r="F323" s="15">
        <f>VLOOKUP(Table2[[#This Row],[Date]],'Fed Fund New'!$A:$C,3,FALSE)</f>
        <v>10.4</v>
      </c>
    </row>
    <row r="324" spans="1:6" x14ac:dyDescent="0.2">
      <c r="A324" s="61">
        <v>26877</v>
      </c>
      <c r="B324" s="68">
        <f>VLOOKUP(Table2[[#This Row],[Date]],Database!A:E,2,)</f>
        <v>45</v>
      </c>
      <c r="C324" s="14">
        <f t="shared" si="8"/>
        <v>1.8099547511312153E-2</v>
      </c>
      <c r="D324" s="14">
        <f t="shared" si="9"/>
        <v>7.3985680190930825E-2</v>
      </c>
      <c r="E324" s="15">
        <f>VLOOKUP(Table2[[#This Row],[Date]],'Fed Fund New'!$A:$C,2,FALSE)</f>
        <v>0</v>
      </c>
      <c r="F324" s="15">
        <f>VLOOKUP(Table2[[#This Row],[Date]],'Fed Fund New'!$A:$C,3,FALSE)</f>
        <v>10.5</v>
      </c>
    </row>
    <row r="325" spans="1:6" x14ac:dyDescent="0.2">
      <c r="A325" s="61">
        <v>26908</v>
      </c>
      <c r="B325" s="68">
        <f>VLOOKUP(Table2[[#This Row],[Date]],Database!A:E,2,)</f>
        <v>45.2</v>
      </c>
      <c r="C325" s="14">
        <f t="shared" si="8"/>
        <v>4.4444444444445078E-3</v>
      </c>
      <c r="D325" s="14">
        <f t="shared" si="9"/>
        <v>7.3634204275534479E-2</v>
      </c>
      <c r="E325" s="15">
        <f>VLOOKUP(Table2[[#This Row],[Date]],'Fed Fund New'!$A:$C,2,FALSE)</f>
        <v>0</v>
      </c>
      <c r="F325" s="15">
        <f>VLOOKUP(Table2[[#This Row],[Date]],'Fed Fund New'!$A:$C,3,FALSE)</f>
        <v>10.78</v>
      </c>
    </row>
    <row r="326" spans="1:6" x14ac:dyDescent="0.2">
      <c r="A326" s="61">
        <v>26938</v>
      </c>
      <c r="B326" s="68">
        <f>VLOOKUP(Table2[[#This Row],[Date]],Database!A:E,2,)</f>
        <v>45.6</v>
      </c>
      <c r="C326" s="14">
        <f t="shared" ref="C326:C389" si="10">(B326-B325)/B325</f>
        <v>8.8495575221238625E-3</v>
      </c>
      <c r="D326" s="14">
        <f t="shared" si="9"/>
        <v>8.0568720379146877E-2</v>
      </c>
      <c r="E326" s="15">
        <f>VLOOKUP(Table2[[#This Row],[Date]],'Fed Fund New'!$A:$C,2,FALSE)</f>
        <v>0</v>
      </c>
      <c r="F326" s="15">
        <f>VLOOKUP(Table2[[#This Row],[Date]],'Fed Fund New'!$A:$C,3,FALSE)</f>
        <v>10.01</v>
      </c>
    </row>
    <row r="327" spans="1:6" x14ac:dyDescent="0.2">
      <c r="A327" s="61">
        <v>26969</v>
      </c>
      <c r="B327" s="68">
        <f>VLOOKUP(Table2[[#This Row],[Date]],Database!A:E,2,)</f>
        <v>45.9</v>
      </c>
      <c r="C327" s="14">
        <f t="shared" si="10"/>
        <v>6.5789473684209898E-3</v>
      </c>
      <c r="D327" s="14">
        <f t="shared" si="9"/>
        <v>8.2547169811320764E-2</v>
      </c>
      <c r="E327" s="15">
        <f>VLOOKUP(Table2[[#This Row],[Date]],'Fed Fund New'!$A:$C,2,FALSE)</f>
        <v>0</v>
      </c>
      <c r="F327" s="15">
        <f>VLOOKUP(Table2[[#This Row],[Date]],'Fed Fund New'!$A:$C,3,FALSE)</f>
        <v>10.029999999999999</v>
      </c>
    </row>
    <row r="328" spans="1:6" x14ac:dyDescent="0.2">
      <c r="A328" s="61">
        <v>26999</v>
      </c>
      <c r="B328" s="68">
        <f>VLOOKUP(Table2[[#This Row],[Date]],Database!A:E,2,)</f>
        <v>46.3</v>
      </c>
      <c r="C328" s="14">
        <f t="shared" si="10"/>
        <v>8.7145969498910372E-3</v>
      </c>
      <c r="D328" s="14">
        <f t="shared" si="9"/>
        <v>8.9411764705882288E-2</v>
      </c>
      <c r="E328" s="15">
        <f>VLOOKUP(Table2[[#This Row],[Date]],'Fed Fund New'!$A:$C,2,FALSE)</f>
        <v>0</v>
      </c>
      <c r="F328" s="15">
        <f>VLOOKUP(Table2[[#This Row],[Date]],'Fed Fund New'!$A:$C,3,FALSE)</f>
        <v>9.9499999999999993</v>
      </c>
    </row>
    <row r="329" spans="1:6" x14ac:dyDescent="0.2">
      <c r="A329" s="61">
        <v>27030</v>
      </c>
      <c r="B329" s="68">
        <f>VLOOKUP(Table2[[#This Row],[Date]],Database!A:E,2,)</f>
        <v>46.8</v>
      </c>
      <c r="C329" s="14">
        <f t="shared" si="10"/>
        <v>1.0799136069114472E-2</v>
      </c>
      <c r="D329" s="14">
        <f t="shared" si="9"/>
        <v>9.6018735362997515E-2</v>
      </c>
      <c r="E329" s="15">
        <f>VLOOKUP(Table2[[#This Row],[Date]],'Fed Fund New'!$A:$C,2,FALSE)</f>
        <v>0</v>
      </c>
      <c r="F329" s="15">
        <f>VLOOKUP(Table2[[#This Row],[Date]],'Fed Fund New'!$A:$C,3,FALSE)</f>
        <v>9.65</v>
      </c>
    </row>
    <row r="330" spans="1:6" x14ac:dyDescent="0.2">
      <c r="A330" s="61">
        <v>27061</v>
      </c>
      <c r="B330" s="68">
        <f>VLOOKUP(Table2[[#This Row],[Date]],Database!A:E,2,)</f>
        <v>47.3</v>
      </c>
      <c r="C330" s="14">
        <f t="shared" si="10"/>
        <v>1.0683760683760684E-2</v>
      </c>
      <c r="D330" s="14">
        <f t="shared" si="9"/>
        <v>9.9999999999999936E-2</v>
      </c>
      <c r="E330" s="15">
        <f>VLOOKUP(Table2[[#This Row],[Date]],'Fed Fund New'!$A:$C,2,FALSE)</f>
        <v>0</v>
      </c>
      <c r="F330" s="15">
        <f>VLOOKUP(Table2[[#This Row],[Date]],'Fed Fund New'!$A:$C,3,FALSE)</f>
        <v>8.9700000000000006</v>
      </c>
    </row>
    <row r="331" spans="1:6" x14ac:dyDescent="0.2">
      <c r="A331" s="61">
        <v>27089</v>
      </c>
      <c r="B331" s="68">
        <f>VLOOKUP(Table2[[#This Row],[Date]],Database!A:E,2,)</f>
        <v>47.8</v>
      </c>
      <c r="C331" s="14">
        <f t="shared" si="10"/>
        <v>1.0570824524312896E-2</v>
      </c>
      <c r="D331" s="14">
        <f t="shared" si="9"/>
        <v>0.10138248847926265</v>
      </c>
      <c r="E331" s="15">
        <f>VLOOKUP(Table2[[#This Row],[Date]],'Fed Fund New'!$A:$C,2,FALSE)</f>
        <v>0</v>
      </c>
      <c r="F331" s="15">
        <f>VLOOKUP(Table2[[#This Row],[Date]],'Fed Fund New'!$A:$C,3,FALSE)</f>
        <v>9.35</v>
      </c>
    </row>
    <row r="332" spans="1:6" x14ac:dyDescent="0.2">
      <c r="A332" s="61">
        <v>27120</v>
      </c>
      <c r="B332" s="68">
        <f>VLOOKUP(Table2[[#This Row],[Date]],Database!A:E,2,)</f>
        <v>48.1</v>
      </c>
      <c r="C332" s="14">
        <f t="shared" si="10"/>
        <v>6.276150627615152E-3</v>
      </c>
      <c r="D332" s="14">
        <f t="shared" si="9"/>
        <v>0.10068649885583521</v>
      </c>
      <c r="E332" s="15">
        <f>VLOOKUP(Table2[[#This Row],[Date]],'Fed Fund New'!$A:$C,2,FALSE)</f>
        <v>0</v>
      </c>
      <c r="F332" s="15">
        <f>VLOOKUP(Table2[[#This Row],[Date]],'Fed Fund New'!$A:$C,3,FALSE)</f>
        <v>10.51</v>
      </c>
    </row>
    <row r="333" spans="1:6" x14ac:dyDescent="0.2">
      <c r="A333" s="61">
        <v>27150</v>
      </c>
      <c r="B333" s="68">
        <f>VLOOKUP(Table2[[#This Row],[Date]],Database!A:E,2,)</f>
        <v>48.6</v>
      </c>
      <c r="C333" s="14">
        <f t="shared" si="10"/>
        <v>1.0395010395010394E-2</v>
      </c>
      <c r="D333" s="14">
        <f t="shared" si="9"/>
        <v>0.10706150341685657</v>
      </c>
      <c r="E333" s="15">
        <f>VLOOKUP(Table2[[#This Row],[Date]],'Fed Fund New'!$A:$C,2,FALSE)</f>
        <v>0</v>
      </c>
      <c r="F333" s="15">
        <f>VLOOKUP(Table2[[#This Row],[Date]],'Fed Fund New'!$A:$C,3,FALSE)</f>
        <v>11.31</v>
      </c>
    </row>
    <row r="334" spans="1:6" x14ac:dyDescent="0.2">
      <c r="A334" s="61">
        <v>27181</v>
      </c>
      <c r="B334" s="68">
        <f>VLOOKUP(Table2[[#This Row],[Date]],Database!A:E,2,)</f>
        <v>49</v>
      </c>
      <c r="C334" s="14">
        <f t="shared" si="10"/>
        <v>8.2304526748970906E-3</v>
      </c>
      <c r="D334" s="14">
        <f t="shared" si="9"/>
        <v>0.10859728506787324</v>
      </c>
      <c r="E334" s="15">
        <f>VLOOKUP(Table2[[#This Row],[Date]],'Fed Fund New'!$A:$C,2,FALSE)</f>
        <v>0</v>
      </c>
      <c r="F334" s="15">
        <f>VLOOKUP(Table2[[#This Row],[Date]],'Fed Fund New'!$A:$C,3,FALSE)</f>
        <v>11.93</v>
      </c>
    </row>
    <row r="335" spans="1:6" x14ac:dyDescent="0.2">
      <c r="A335" s="61">
        <v>27211</v>
      </c>
      <c r="B335" s="68">
        <f>VLOOKUP(Table2[[#This Row],[Date]],Database!A:E,2,)</f>
        <v>49.3</v>
      </c>
      <c r="C335" s="14">
        <f t="shared" si="10"/>
        <v>6.1224489795917783E-3</v>
      </c>
      <c r="D335" s="14">
        <f t="shared" si="9"/>
        <v>0.11538461538461525</v>
      </c>
      <c r="E335" s="15">
        <f>VLOOKUP(Table2[[#This Row],[Date]],'Fed Fund New'!$A:$C,2,FALSE)</f>
        <v>0</v>
      </c>
      <c r="F335" s="15">
        <f>VLOOKUP(Table2[[#This Row],[Date]],'Fed Fund New'!$A:$C,3,FALSE)</f>
        <v>12.92</v>
      </c>
    </row>
    <row r="336" spans="1:6" x14ac:dyDescent="0.2">
      <c r="A336" s="61">
        <v>27242</v>
      </c>
      <c r="B336" s="68">
        <f>VLOOKUP(Table2[[#This Row],[Date]],Database!A:E,2,)</f>
        <v>49.9</v>
      </c>
      <c r="C336" s="14">
        <f t="shared" si="10"/>
        <v>1.2170385395537555E-2</v>
      </c>
      <c r="D336" s="14">
        <f t="shared" si="9"/>
        <v>0.10888888888888885</v>
      </c>
      <c r="E336" s="15">
        <f>VLOOKUP(Table2[[#This Row],[Date]],'Fed Fund New'!$A:$C,2,FALSE)</f>
        <v>0</v>
      </c>
      <c r="F336" s="15">
        <f>VLOOKUP(Table2[[#This Row],[Date]],'Fed Fund New'!$A:$C,3,FALSE)</f>
        <v>12.01</v>
      </c>
    </row>
    <row r="337" spans="1:6" x14ac:dyDescent="0.2">
      <c r="A337" s="61">
        <v>27273</v>
      </c>
      <c r="B337" s="68">
        <f>VLOOKUP(Table2[[#This Row],[Date]],Database!A:E,2,)</f>
        <v>50.6</v>
      </c>
      <c r="C337" s="14">
        <f t="shared" si="10"/>
        <v>1.4028056112224506E-2</v>
      </c>
      <c r="D337" s="14">
        <f t="shared" ref="D337:D400" si="11">(B337-B325)/B325</f>
        <v>0.11946902654867253</v>
      </c>
      <c r="E337" s="15">
        <f>VLOOKUP(Table2[[#This Row],[Date]],'Fed Fund New'!$A:$C,2,FALSE)</f>
        <v>0</v>
      </c>
      <c r="F337" s="15">
        <f>VLOOKUP(Table2[[#This Row],[Date]],'Fed Fund New'!$A:$C,3,FALSE)</f>
        <v>11.34</v>
      </c>
    </row>
    <row r="338" spans="1:6" x14ac:dyDescent="0.2">
      <c r="A338" s="61">
        <v>27303</v>
      </c>
      <c r="B338" s="68">
        <f>VLOOKUP(Table2[[#This Row],[Date]],Database!A:E,2,)</f>
        <v>51</v>
      </c>
      <c r="C338" s="14">
        <f t="shared" si="10"/>
        <v>7.9051383399209203E-3</v>
      </c>
      <c r="D338" s="14">
        <f t="shared" si="11"/>
        <v>0.11842105263157891</v>
      </c>
      <c r="E338" s="15">
        <f>VLOOKUP(Table2[[#This Row],[Date]],'Fed Fund New'!$A:$C,2,FALSE)</f>
        <v>0</v>
      </c>
      <c r="F338" s="15">
        <f>VLOOKUP(Table2[[#This Row],[Date]],'Fed Fund New'!$A:$C,3,FALSE)</f>
        <v>10.06</v>
      </c>
    </row>
    <row r="339" spans="1:6" x14ac:dyDescent="0.2">
      <c r="A339" s="61">
        <v>27334</v>
      </c>
      <c r="B339" s="68">
        <f>VLOOKUP(Table2[[#This Row],[Date]],Database!A:E,2,)</f>
        <v>51.5</v>
      </c>
      <c r="C339" s="14">
        <f t="shared" si="10"/>
        <v>9.8039215686274508E-3</v>
      </c>
      <c r="D339" s="14">
        <f t="shared" si="11"/>
        <v>0.12200435729847497</v>
      </c>
      <c r="E339" s="15">
        <f>VLOOKUP(Table2[[#This Row],[Date]],'Fed Fund New'!$A:$C,2,FALSE)</f>
        <v>0</v>
      </c>
      <c r="F339" s="15">
        <f>VLOOKUP(Table2[[#This Row],[Date]],'Fed Fund New'!$A:$C,3,FALSE)</f>
        <v>9.4499999999999993</v>
      </c>
    </row>
    <row r="340" spans="1:6" x14ac:dyDescent="0.2">
      <c r="A340" s="61">
        <v>27364</v>
      </c>
      <c r="B340" s="68">
        <f>VLOOKUP(Table2[[#This Row],[Date]],Database!A:E,2,)</f>
        <v>51.9</v>
      </c>
      <c r="C340" s="14">
        <f t="shared" si="10"/>
        <v>7.7669902912621087E-3</v>
      </c>
      <c r="D340" s="14">
        <f t="shared" si="11"/>
        <v>0.12095032397408211</v>
      </c>
      <c r="E340" s="15">
        <f>VLOOKUP(Table2[[#This Row],[Date]],'Fed Fund New'!$A:$C,2,FALSE)</f>
        <v>0</v>
      </c>
      <c r="F340" s="15">
        <f>VLOOKUP(Table2[[#This Row],[Date]],'Fed Fund New'!$A:$C,3,FALSE)</f>
        <v>8.5299999999999994</v>
      </c>
    </row>
    <row r="341" spans="1:6" x14ac:dyDescent="0.2">
      <c r="A341" s="61">
        <v>27395</v>
      </c>
      <c r="B341" s="68">
        <f>VLOOKUP(Table2[[#This Row],[Date]],Database!A:E,2,)</f>
        <v>52.3</v>
      </c>
      <c r="C341" s="14">
        <f t="shared" si="10"/>
        <v>7.7071290944123044E-3</v>
      </c>
      <c r="D341" s="14">
        <f t="shared" si="11"/>
        <v>0.11752136752136753</v>
      </c>
      <c r="E341" s="15">
        <f>VLOOKUP(Table2[[#This Row],[Date]],'Fed Fund New'!$A:$C,2,FALSE)</f>
        <v>0</v>
      </c>
      <c r="F341" s="15">
        <f>VLOOKUP(Table2[[#This Row],[Date]],'Fed Fund New'!$A:$C,3,FALSE)</f>
        <v>7.13</v>
      </c>
    </row>
    <row r="342" spans="1:6" x14ac:dyDescent="0.2">
      <c r="A342" s="61">
        <v>27426</v>
      </c>
      <c r="B342" s="68">
        <f>VLOOKUP(Table2[[#This Row],[Date]],Database!A:E,2,)</f>
        <v>52.6</v>
      </c>
      <c r="C342" s="14">
        <f t="shared" si="10"/>
        <v>5.7361376673040971E-3</v>
      </c>
      <c r="D342" s="14">
        <f t="shared" si="11"/>
        <v>0.11205073995771681</v>
      </c>
      <c r="E342" s="15">
        <f>VLOOKUP(Table2[[#This Row],[Date]],'Fed Fund New'!$A:$C,2,FALSE)</f>
        <v>0</v>
      </c>
      <c r="F342" s="15">
        <f>VLOOKUP(Table2[[#This Row],[Date]],'Fed Fund New'!$A:$C,3,FALSE)</f>
        <v>6.24</v>
      </c>
    </row>
    <row r="343" spans="1:6" x14ac:dyDescent="0.2">
      <c r="A343" s="61">
        <v>27454</v>
      </c>
      <c r="B343" s="68">
        <f>VLOOKUP(Table2[[#This Row],[Date]],Database!A:E,2,)</f>
        <v>52.8</v>
      </c>
      <c r="C343" s="14">
        <f t="shared" si="10"/>
        <v>3.8022813688212117E-3</v>
      </c>
      <c r="D343" s="14">
        <f t="shared" si="11"/>
        <v>0.10460251046025106</v>
      </c>
      <c r="E343" s="15">
        <f>VLOOKUP(Table2[[#This Row],[Date]],'Fed Fund New'!$A:$C,2,FALSE)</f>
        <v>0</v>
      </c>
      <c r="F343" s="15">
        <f>VLOOKUP(Table2[[#This Row],[Date]],'Fed Fund New'!$A:$C,3,FALSE)</f>
        <v>5.54</v>
      </c>
    </row>
    <row r="344" spans="1:6" x14ac:dyDescent="0.2">
      <c r="A344" s="61">
        <v>27485</v>
      </c>
      <c r="B344" s="68">
        <f>VLOOKUP(Table2[[#This Row],[Date]],Database!A:E,2,)</f>
        <v>53</v>
      </c>
      <c r="C344" s="14">
        <f t="shared" si="10"/>
        <v>3.7878787878788418E-3</v>
      </c>
      <c r="D344" s="14">
        <f t="shared" si="11"/>
        <v>0.10187110187110184</v>
      </c>
      <c r="E344" s="15">
        <f>VLOOKUP(Table2[[#This Row],[Date]],'Fed Fund New'!$A:$C,2,FALSE)</f>
        <v>0</v>
      </c>
      <c r="F344" s="15">
        <f>VLOOKUP(Table2[[#This Row],[Date]],'Fed Fund New'!$A:$C,3,FALSE)</f>
        <v>5.49</v>
      </c>
    </row>
    <row r="345" spans="1:6" x14ac:dyDescent="0.2">
      <c r="A345" s="61">
        <v>27515</v>
      </c>
      <c r="B345" s="68">
        <f>VLOOKUP(Table2[[#This Row],[Date]],Database!A:E,2,)</f>
        <v>53.1</v>
      </c>
      <c r="C345" s="14">
        <f t="shared" si="10"/>
        <v>1.8867924528302156E-3</v>
      </c>
      <c r="D345" s="14">
        <f t="shared" si="11"/>
        <v>9.2592592592592587E-2</v>
      </c>
      <c r="E345" s="15">
        <f>VLOOKUP(Table2[[#This Row],[Date]],'Fed Fund New'!$A:$C,2,FALSE)</f>
        <v>0</v>
      </c>
      <c r="F345" s="15">
        <f>VLOOKUP(Table2[[#This Row],[Date]],'Fed Fund New'!$A:$C,3,FALSE)</f>
        <v>5.22</v>
      </c>
    </row>
    <row r="346" spans="1:6" x14ac:dyDescent="0.2">
      <c r="A346" s="61">
        <v>27546</v>
      </c>
      <c r="B346" s="68">
        <f>VLOOKUP(Table2[[#This Row],[Date]],Database!A:E,2,)</f>
        <v>53.5</v>
      </c>
      <c r="C346" s="14">
        <f t="shared" si="10"/>
        <v>7.5329566854990312E-3</v>
      </c>
      <c r="D346" s="14">
        <f t="shared" si="11"/>
        <v>9.1836734693877556E-2</v>
      </c>
      <c r="E346" s="15">
        <f>VLOOKUP(Table2[[#This Row],[Date]],'Fed Fund New'!$A:$C,2,FALSE)</f>
        <v>0</v>
      </c>
      <c r="F346" s="15">
        <f>VLOOKUP(Table2[[#This Row],[Date]],'Fed Fund New'!$A:$C,3,FALSE)</f>
        <v>5.55</v>
      </c>
    </row>
    <row r="347" spans="1:6" x14ac:dyDescent="0.2">
      <c r="A347" s="61">
        <v>27576</v>
      </c>
      <c r="B347" s="68">
        <f>VLOOKUP(Table2[[#This Row],[Date]],Database!A:E,2,)</f>
        <v>54</v>
      </c>
      <c r="C347" s="14">
        <f t="shared" si="10"/>
        <v>9.3457943925233638E-3</v>
      </c>
      <c r="D347" s="14">
        <f t="shared" si="11"/>
        <v>9.533468559837735E-2</v>
      </c>
      <c r="E347" s="15">
        <f>VLOOKUP(Table2[[#This Row],[Date]],'Fed Fund New'!$A:$C,2,FALSE)</f>
        <v>0</v>
      </c>
      <c r="F347" s="15">
        <f>VLOOKUP(Table2[[#This Row],[Date]],'Fed Fund New'!$A:$C,3,FALSE)</f>
        <v>6.1</v>
      </c>
    </row>
    <row r="348" spans="1:6" x14ac:dyDescent="0.2">
      <c r="A348" s="61">
        <v>27607</v>
      </c>
      <c r="B348" s="68">
        <f>VLOOKUP(Table2[[#This Row],[Date]],Database!A:E,2,)</f>
        <v>54.2</v>
      </c>
      <c r="C348" s="14">
        <f t="shared" si="10"/>
        <v>3.7037037037037563E-3</v>
      </c>
      <c r="D348" s="14">
        <f t="shared" si="11"/>
        <v>8.6172344689378844E-2</v>
      </c>
      <c r="E348" s="15">
        <f>VLOOKUP(Table2[[#This Row],[Date]],'Fed Fund New'!$A:$C,2,FALSE)</f>
        <v>0</v>
      </c>
      <c r="F348" s="15">
        <f>VLOOKUP(Table2[[#This Row],[Date]],'Fed Fund New'!$A:$C,3,FALSE)</f>
        <v>6.14</v>
      </c>
    </row>
    <row r="349" spans="1:6" x14ac:dyDescent="0.2">
      <c r="A349" s="61">
        <v>27638</v>
      </c>
      <c r="B349" s="68">
        <f>VLOOKUP(Table2[[#This Row],[Date]],Database!A:E,2,)</f>
        <v>54.6</v>
      </c>
      <c r="C349" s="14">
        <f t="shared" si="10"/>
        <v>7.3800738007379811E-3</v>
      </c>
      <c r="D349" s="14">
        <f t="shared" si="11"/>
        <v>7.9051383399209488E-2</v>
      </c>
      <c r="E349" s="15">
        <f>VLOOKUP(Table2[[#This Row],[Date]],'Fed Fund New'!$A:$C,2,FALSE)</f>
        <v>0</v>
      </c>
      <c r="F349" s="15">
        <f>VLOOKUP(Table2[[#This Row],[Date]],'Fed Fund New'!$A:$C,3,FALSE)</f>
        <v>6.24</v>
      </c>
    </row>
    <row r="350" spans="1:6" x14ac:dyDescent="0.2">
      <c r="A350" s="61">
        <v>27668</v>
      </c>
      <c r="B350" s="68">
        <f>VLOOKUP(Table2[[#This Row],[Date]],Database!A:E,2,)</f>
        <v>54.9</v>
      </c>
      <c r="C350" s="14">
        <f t="shared" si="10"/>
        <v>5.494505494505442E-3</v>
      </c>
      <c r="D350" s="14">
        <f t="shared" si="11"/>
        <v>7.6470588235294096E-2</v>
      </c>
      <c r="E350" s="15">
        <f>VLOOKUP(Table2[[#This Row],[Date]],'Fed Fund New'!$A:$C,2,FALSE)</f>
        <v>0</v>
      </c>
      <c r="F350" s="15">
        <f>VLOOKUP(Table2[[#This Row],[Date]],'Fed Fund New'!$A:$C,3,FALSE)</f>
        <v>5.82</v>
      </c>
    </row>
    <row r="351" spans="1:6" x14ac:dyDescent="0.2">
      <c r="A351" s="61">
        <v>27699</v>
      </c>
      <c r="B351" s="68">
        <f>VLOOKUP(Table2[[#This Row],[Date]],Database!A:E,2,)</f>
        <v>55.3</v>
      </c>
      <c r="C351" s="14">
        <f t="shared" si="10"/>
        <v>7.2859744990892272E-3</v>
      </c>
      <c r="D351" s="14">
        <f t="shared" si="11"/>
        <v>7.3786407766990234E-2</v>
      </c>
      <c r="E351" s="15">
        <f>VLOOKUP(Table2[[#This Row],[Date]],'Fed Fund New'!$A:$C,2,FALSE)</f>
        <v>0</v>
      </c>
      <c r="F351" s="15">
        <f>VLOOKUP(Table2[[#This Row],[Date]],'Fed Fund New'!$A:$C,3,FALSE)</f>
        <v>5.22</v>
      </c>
    </row>
    <row r="352" spans="1:6" x14ac:dyDescent="0.2">
      <c r="A352" s="61">
        <v>27729</v>
      </c>
      <c r="B352" s="68">
        <f>VLOOKUP(Table2[[#This Row],[Date]],Database!A:E,2,)</f>
        <v>55.6</v>
      </c>
      <c r="C352" s="14">
        <f t="shared" si="10"/>
        <v>5.4249547920434769E-3</v>
      </c>
      <c r="D352" s="14">
        <f t="shared" si="11"/>
        <v>7.1290944123314118E-2</v>
      </c>
      <c r="E352" s="15">
        <f>VLOOKUP(Table2[[#This Row],[Date]],'Fed Fund New'!$A:$C,2,FALSE)</f>
        <v>0</v>
      </c>
      <c r="F352" s="15">
        <f>VLOOKUP(Table2[[#This Row],[Date]],'Fed Fund New'!$A:$C,3,FALSE)</f>
        <v>5.2</v>
      </c>
    </row>
    <row r="353" spans="1:6" x14ac:dyDescent="0.2">
      <c r="A353" s="61">
        <v>27760</v>
      </c>
      <c r="B353" s="68">
        <f>VLOOKUP(Table2[[#This Row],[Date]],Database!A:E,2,)</f>
        <v>55.8</v>
      </c>
      <c r="C353" s="14">
        <f t="shared" si="10"/>
        <v>3.5971223021581968E-3</v>
      </c>
      <c r="D353" s="14">
        <f t="shared" si="11"/>
        <v>6.6921606118546847E-2</v>
      </c>
      <c r="E353" s="15">
        <f>VLOOKUP(Table2[[#This Row],[Date]],'Fed Fund New'!$A:$C,2,FALSE)</f>
        <v>0</v>
      </c>
      <c r="F353" s="15">
        <f>VLOOKUP(Table2[[#This Row],[Date]],'Fed Fund New'!$A:$C,3,FALSE)</f>
        <v>4.87</v>
      </c>
    </row>
    <row r="354" spans="1:6" x14ac:dyDescent="0.2">
      <c r="A354" s="61">
        <v>27791</v>
      </c>
      <c r="B354" s="68">
        <f>VLOOKUP(Table2[[#This Row],[Date]],Database!A:E,2,)</f>
        <v>55.9</v>
      </c>
      <c r="C354" s="14">
        <f t="shared" si="10"/>
        <v>1.7921146953405274E-3</v>
      </c>
      <c r="D354" s="14">
        <f t="shared" si="11"/>
        <v>6.273764258555127E-2</v>
      </c>
      <c r="E354" s="15">
        <f>VLOOKUP(Table2[[#This Row],[Date]],'Fed Fund New'!$A:$C,2,FALSE)</f>
        <v>0</v>
      </c>
      <c r="F354" s="15">
        <f>VLOOKUP(Table2[[#This Row],[Date]],'Fed Fund New'!$A:$C,3,FALSE)</f>
        <v>4.7699999999999996</v>
      </c>
    </row>
    <row r="355" spans="1:6" x14ac:dyDescent="0.2">
      <c r="A355" s="61">
        <v>27820</v>
      </c>
      <c r="B355" s="68">
        <f>VLOOKUP(Table2[[#This Row],[Date]],Database!A:E,2,)</f>
        <v>56</v>
      </c>
      <c r="C355" s="14">
        <f t="shared" si="10"/>
        <v>1.7889087656529771E-3</v>
      </c>
      <c r="D355" s="14">
        <f t="shared" si="11"/>
        <v>6.0606060606060663E-2</v>
      </c>
      <c r="E355" s="15">
        <f>VLOOKUP(Table2[[#This Row],[Date]],'Fed Fund New'!$A:$C,2,FALSE)</f>
        <v>0</v>
      </c>
      <c r="F355" s="15">
        <f>VLOOKUP(Table2[[#This Row],[Date]],'Fed Fund New'!$A:$C,3,FALSE)</f>
        <v>4.84</v>
      </c>
    </row>
    <row r="356" spans="1:6" x14ac:dyDescent="0.2">
      <c r="A356" s="61">
        <v>27851</v>
      </c>
      <c r="B356" s="68">
        <f>VLOOKUP(Table2[[#This Row],[Date]],Database!A:E,2,)</f>
        <v>56.1</v>
      </c>
      <c r="C356" s="14">
        <f t="shared" si="10"/>
        <v>1.785714285714311E-3</v>
      </c>
      <c r="D356" s="14">
        <f t="shared" si="11"/>
        <v>5.8490566037735878E-2</v>
      </c>
      <c r="E356" s="15">
        <f>VLOOKUP(Table2[[#This Row],[Date]],'Fed Fund New'!$A:$C,2,FALSE)</f>
        <v>0</v>
      </c>
      <c r="F356" s="15">
        <f>VLOOKUP(Table2[[#This Row],[Date]],'Fed Fund New'!$A:$C,3,FALSE)</f>
        <v>4.82</v>
      </c>
    </row>
    <row r="357" spans="1:6" x14ac:dyDescent="0.2">
      <c r="A357" s="61">
        <v>27881</v>
      </c>
      <c r="B357" s="68">
        <f>VLOOKUP(Table2[[#This Row],[Date]],Database!A:E,2,)</f>
        <v>56.4</v>
      </c>
      <c r="C357" s="14">
        <f t="shared" si="10"/>
        <v>5.3475935828876499E-3</v>
      </c>
      <c r="D357" s="14">
        <f t="shared" si="11"/>
        <v>6.2146892655367179E-2</v>
      </c>
      <c r="E357" s="15">
        <f>VLOOKUP(Table2[[#This Row],[Date]],'Fed Fund New'!$A:$C,2,FALSE)</f>
        <v>0</v>
      </c>
      <c r="F357" s="15">
        <f>VLOOKUP(Table2[[#This Row],[Date]],'Fed Fund New'!$A:$C,3,FALSE)</f>
        <v>5.29</v>
      </c>
    </row>
    <row r="358" spans="1:6" x14ac:dyDescent="0.2">
      <c r="A358" s="61">
        <v>27912</v>
      </c>
      <c r="B358" s="68">
        <f>VLOOKUP(Table2[[#This Row],[Date]],Database!A:E,2,)</f>
        <v>56.7</v>
      </c>
      <c r="C358" s="14">
        <f t="shared" si="10"/>
        <v>5.3191489361702881E-3</v>
      </c>
      <c r="D358" s="14">
        <f t="shared" si="11"/>
        <v>5.9813084112149584E-2</v>
      </c>
      <c r="E358" s="15">
        <f>VLOOKUP(Table2[[#This Row],[Date]],'Fed Fund New'!$A:$C,2,FALSE)</f>
        <v>0</v>
      </c>
      <c r="F358" s="15">
        <f>VLOOKUP(Table2[[#This Row],[Date]],'Fed Fund New'!$A:$C,3,FALSE)</f>
        <v>5.48</v>
      </c>
    </row>
    <row r="359" spans="1:6" x14ac:dyDescent="0.2">
      <c r="A359" s="61">
        <v>27942</v>
      </c>
      <c r="B359" s="68">
        <f>VLOOKUP(Table2[[#This Row],[Date]],Database!A:E,2,)</f>
        <v>57</v>
      </c>
      <c r="C359" s="14">
        <f t="shared" si="10"/>
        <v>5.2910052910052404E-3</v>
      </c>
      <c r="D359" s="14">
        <f t="shared" si="11"/>
        <v>5.5555555555555552E-2</v>
      </c>
      <c r="E359" s="15">
        <f>VLOOKUP(Table2[[#This Row],[Date]],'Fed Fund New'!$A:$C,2,FALSE)</f>
        <v>0</v>
      </c>
      <c r="F359" s="15">
        <f>VLOOKUP(Table2[[#This Row],[Date]],'Fed Fund New'!$A:$C,3,FALSE)</f>
        <v>5.31</v>
      </c>
    </row>
    <row r="360" spans="1:6" x14ac:dyDescent="0.2">
      <c r="A360" s="61">
        <v>27973</v>
      </c>
      <c r="B360" s="68">
        <f>VLOOKUP(Table2[[#This Row],[Date]],Database!A:E,2,)</f>
        <v>57.3</v>
      </c>
      <c r="C360" s="14">
        <f t="shared" si="10"/>
        <v>5.2631578947367925E-3</v>
      </c>
      <c r="D360" s="14">
        <f t="shared" si="11"/>
        <v>5.7195571955719449E-2</v>
      </c>
      <c r="E360" s="15">
        <f>VLOOKUP(Table2[[#This Row],[Date]],'Fed Fund New'!$A:$C,2,FALSE)</f>
        <v>0</v>
      </c>
      <c r="F360" s="15">
        <f>VLOOKUP(Table2[[#This Row],[Date]],'Fed Fund New'!$A:$C,3,FALSE)</f>
        <v>5.29</v>
      </c>
    </row>
    <row r="361" spans="1:6" x14ac:dyDescent="0.2">
      <c r="A361" s="61">
        <v>28004</v>
      </c>
      <c r="B361" s="68">
        <f>VLOOKUP(Table2[[#This Row],[Date]],Database!A:E,2,)</f>
        <v>57.6</v>
      </c>
      <c r="C361" s="14">
        <f t="shared" si="10"/>
        <v>5.2356020942409126E-3</v>
      </c>
      <c r="D361" s="14">
        <f t="shared" si="11"/>
        <v>5.4945054945054944E-2</v>
      </c>
      <c r="E361" s="15">
        <f>VLOOKUP(Table2[[#This Row],[Date]],'Fed Fund New'!$A:$C,2,FALSE)</f>
        <v>0</v>
      </c>
      <c r="F361" s="15">
        <f>VLOOKUP(Table2[[#This Row],[Date]],'Fed Fund New'!$A:$C,3,FALSE)</f>
        <v>5.25</v>
      </c>
    </row>
    <row r="362" spans="1:6" x14ac:dyDescent="0.2">
      <c r="A362" s="61">
        <v>28034</v>
      </c>
      <c r="B362" s="68">
        <f>VLOOKUP(Table2[[#This Row],[Date]],Database!A:E,2,)</f>
        <v>57.9</v>
      </c>
      <c r="C362" s="14">
        <f t="shared" si="10"/>
        <v>5.2083333333332836E-3</v>
      </c>
      <c r="D362" s="14">
        <f t="shared" si="11"/>
        <v>5.4644808743169397E-2</v>
      </c>
      <c r="E362" s="15">
        <f>VLOOKUP(Table2[[#This Row],[Date]],'Fed Fund New'!$A:$C,2,FALSE)</f>
        <v>0</v>
      </c>
      <c r="F362" s="15">
        <f>VLOOKUP(Table2[[#This Row],[Date]],'Fed Fund New'!$A:$C,3,FALSE)</f>
        <v>5.0199999999999996</v>
      </c>
    </row>
    <row r="363" spans="1:6" x14ac:dyDescent="0.2">
      <c r="A363" s="61">
        <v>28065</v>
      </c>
      <c r="B363" s="68">
        <f>VLOOKUP(Table2[[#This Row],[Date]],Database!A:E,2,)</f>
        <v>58.1</v>
      </c>
      <c r="C363" s="14">
        <f t="shared" si="10"/>
        <v>3.4542314335060942E-3</v>
      </c>
      <c r="D363" s="14">
        <f t="shared" si="11"/>
        <v>5.0632911392405146E-2</v>
      </c>
      <c r="E363" s="15">
        <f>VLOOKUP(Table2[[#This Row],[Date]],'Fed Fund New'!$A:$C,2,FALSE)</f>
        <v>0</v>
      </c>
      <c r="F363" s="15">
        <f>VLOOKUP(Table2[[#This Row],[Date]],'Fed Fund New'!$A:$C,3,FALSE)</f>
        <v>4.95</v>
      </c>
    </row>
    <row r="364" spans="1:6" x14ac:dyDescent="0.2">
      <c r="A364" s="61">
        <v>28095</v>
      </c>
      <c r="B364" s="68">
        <f>VLOOKUP(Table2[[#This Row],[Date]],Database!A:E,2,)</f>
        <v>58.4</v>
      </c>
      <c r="C364" s="14">
        <f t="shared" si="10"/>
        <v>5.1635111876075241E-3</v>
      </c>
      <c r="D364" s="14">
        <f t="shared" si="11"/>
        <v>5.0359712230215778E-2</v>
      </c>
      <c r="E364" s="15">
        <f>VLOOKUP(Table2[[#This Row],[Date]],'Fed Fund New'!$A:$C,2,FALSE)</f>
        <v>0</v>
      </c>
      <c r="F364" s="15">
        <f>VLOOKUP(Table2[[#This Row],[Date]],'Fed Fund New'!$A:$C,3,FALSE)</f>
        <v>4.6500000000000004</v>
      </c>
    </row>
    <row r="365" spans="1:6" x14ac:dyDescent="0.2">
      <c r="A365" s="61">
        <v>28126</v>
      </c>
      <c r="B365" s="68">
        <f>VLOOKUP(Table2[[#This Row],[Date]],Database!A:E,2,)</f>
        <v>58.7</v>
      </c>
      <c r="C365" s="14">
        <f t="shared" si="10"/>
        <v>5.1369863013699365E-3</v>
      </c>
      <c r="D365" s="14">
        <f t="shared" si="11"/>
        <v>5.1971326164874654E-2</v>
      </c>
      <c r="E365" s="15">
        <f>VLOOKUP(Table2[[#This Row],[Date]],'Fed Fund New'!$A:$C,2,FALSE)</f>
        <v>0</v>
      </c>
      <c r="F365" s="15">
        <f>VLOOKUP(Table2[[#This Row],[Date]],'Fed Fund New'!$A:$C,3,FALSE)</f>
        <v>4.6100000000000003</v>
      </c>
    </row>
    <row r="366" spans="1:6" x14ac:dyDescent="0.2">
      <c r="A366" s="61">
        <v>28157</v>
      </c>
      <c r="B366" s="68">
        <f>VLOOKUP(Table2[[#This Row],[Date]],Database!A:E,2,)</f>
        <v>59.3</v>
      </c>
      <c r="C366" s="14">
        <f t="shared" si="10"/>
        <v>1.022146507666089E-2</v>
      </c>
      <c r="D366" s="14">
        <f t="shared" si="11"/>
        <v>6.0822898032200333E-2</v>
      </c>
      <c r="E366" s="15">
        <f>VLOOKUP(Table2[[#This Row],[Date]],'Fed Fund New'!$A:$C,2,FALSE)</f>
        <v>0</v>
      </c>
      <c r="F366" s="15">
        <f>VLOOKUP(Table2[[#This Row],[Date]],'Fed Fund New'!$A:$C,3,FALSE)</f>
        <v>4.68</v>
      </c>
    </row>
    <row r="367" spans="1:6" x14ac:dyDescent="0.2">
      <c r="A367" s="61">
        <v>28185</v>
      </c>
      <c r="B367" s="68">
        <f>VLOOKUP(Table2[[#This Row],[Date]],Database!A:E,2,)</f>
        <v>59.6</v>
      </c>
      <c r="C367" s="14">
        <f t="shared" si="10"/>
        <v>5.0590219224284022E-3</v>
      </c>
      <c r="D367" s="14">
        <f t="shared" si="11"/>
        <v>6.4285714285714307E-2</v>
      </c>
      <c r="E367" s="15">
        <f>VLOOKUP(Table2[[#This Row],[Date]],'Fed Fund New'!$A:$C,2,FALSE)</f>
        <v>0</v>
      </c>
      <c r="F367" s="15">
        <f>VLOOKUP(Table2[[#This Row],[Date]],'Fed Fund New'!$A:$C,3,FALSE)</f>
        <v>4.6900000000000004</v>
      </c>
    </row>
    <row r="368" spans="1:6" x14ac:dyDescent="0.2">
      <c r="A368" s="61">
        <v>28216</v>
      </c>
      <c r="B368" s="68">
        <f>VLOOKUP(Table2[[#This Row],[Date]],Database!A:E,2,)</f>
        <v>60</v>
      </c>
      <c r="C368" s="14">
        <f t="shared" si="10"/>
        <v>6.7114093959731299E-3</v>
      </c>
      <c r="D368" s="14">
        <f t="shared" si="11"/>
        <v>6.9518716577540079E-2</v>
      </c>
      <c r="E368" s="15">
        <f>VLOOKUP(Table2[[#This Row],[Date]],'Fed Fund New'!$A:$C,2,FALSE)</f>
        <v>0</v>
      </c>
      <c r="F368" s="15">
        <f>VLOOKUP(Table2[[#This Row],[Date]],'Fed Fund New'!$A:$C,3,FALSE)</f>
        <v>4.7300000000000004</v>
      </c>
    </row>
    <row r="369" spans="1:6" x14ac:dyDescent="0.2">
      <c r="A369" s="61">
        <v>28246</v>
      </c>
      <c r="B369" s="68">
        <f>VLOOKUP(Table2[[#This Row],[Date]],Database!A:E,2,)</f>
        <v>60.2</v>
      </c>
      <c r="C369" s="14">
        <f t="shared" si="10"/>
        <v>3.3333333333333808E-3</v>
      </c>
      <c r="D369" s="14">
        <f t="shared" si="11"/>
        <v>6.7375886524822778E-2</v>
      </c>
      <c r="E369" s="15">
        <f>VLOOKUP(Table2[[#This Row],[Date]],'Fed Fund New'!$A:$C,2,FALSE)</f>
        <v>0</v>
      </c>
      <c r="F369" s="15">
        <f>VLOOKUP(Table2[[#This Row],[Date]],'Fed Fund New'!$A:$C,3,FALSE)</f>
        <v>5.35</v>
      </c>
    </row>
    <row r="370" spans="1:6" x14ac:dyDescent="0.2">
      <c r="A370" s="61">
        <v>28277</v>
      </c>
      <c r="B370" s="68">
        <f>VLOOKUP(Table2[[#This Row],[Date]],Database!A:E,2,)</f>
        <v>60.5</v>
      </c>
      <c r="C370" s="14">
        <f t="shared" si="10"/>
        <v>4.9833887043188897E-3</v>
      </c>
      <c r="D370" s="14">
        <f t="shared" si="11"/>
        <v>6.7019400352733627E-2</v>
      </c>
      <c r="E370" s="15">
        <f>VLOOKUP(Table2[[#This Row],[Date]],'Fed Fund New'!$A:$C,2,FALSE)</f>
        <v>0</v>
      </c>
      <c r="F370" s="15">
        <f>VLOOKUP(Table2[[#This Row],[Date]],'Fed Fund New'!$A:$C,3,FALSE)</f>
        <v>5.39</v>
      </c>
    </row>
    <row r="371" spans="1:6" x14ac:dyDescent="0.2">
      <c r="A371" s="61">
        <v>28307</v>
      </c>
      <c r="B371" s="68">
        <f>VLOOKUP(Table2[[#This Row],[Date]],Database!A:E,2,)</f>
        <v>60.8</v>
      </c>
      <c r="C371" s="14">
        <f t="shared" si="10"/>
        <v>4.9586776859503658E-3</v>
      </c>
      <c r="D371" s="14">
        <f t="shared" si="11"/>
        <v>6.666666666666661E-2</v>
      </c>
      <c r="E371" s="15">
        <f>VLOOKUP(Table2[[#This Row],[Date]],'Fed Fund New'!$A:$C,2,FALSE)</f>
        <v>0</v>
      </c>
      <c r="F371" s="15">
        <f>VLOOKUP(Table2[[#This Row],[Date]],'Fed Fund New'!$A:$C,3,FALSE)</f>
        <v>5.42</v>
      </c>
    </row>
    <row r="372" spans="1:6" x14ac:dyDescent="0.2">
      <c r="A372" s="61">
        <v>28338</v>
      </c>
      <c r="B372" s="68">
        <f>VLOOKUP(Table2[[#This Row],[Date]],Database!A:E,2,)</f>
        <v>61.1</v>
      </c>
      <c r="C372" s="14">
        <f t="shared" si="10"/>
        <v>4.9342105263158595E-3</v>
      </c>
      <c r="D372" s="14">
        <f t="shared" si="11"/>
        <v>6.6317626527050685E-2</v>
      </c>
      <c r="E372" s="15">
        <f>VLOOKUP(Table2[[#This Row],[Date]],'Fed Fund New'!$A:$C,2,FALSE)</f>
        <v>0</v>
      </c>
      <c r="F372" s="15">
        <f>VLOOKUP(Table2[[#This Row],[Date]],'Fed Fund New'!$A:$C,3,FALSE)</f>
        <v>5.9</v>
      </c>
    </row>
    <row r="373" spans="1:6" x14ac:dyDescent="0.2">
      <c r="A373" s="61">
        <v>28369</v>
      </c>
      <c r="B373" s="68">
        <f>VLOOKUP(Table2[[#This Row],[Date]],Database!A:E,2,)</f>
        <v>61.3</v>
      </c>
      <c r="C373" s="14">
        <f t="shared" si="10"/>
        <v>3.2733224222585228E-3</v>
      </c>
      <c r="D373" s="14">
        <f t="shared" si="11"/>
        <v>6.4236111111111036E-2</v>
      </c>
      <c r="E373" s="15">
        <f>VLOOKUP(Table2[[#This Row],[Date]],'Fed Fund New'!$A:$C,2,FALSE)</f>
        <v>0</v>
      </c>
      <c r="F373" s="15">
        <f>VLOOKUP(Table2[[#This Row],[Date]],'Fed Fund New'!$A:$C,3,FALSE)</f>
        <v>6.14</v>
      </c>
    </row>
    <row r="374" spans="1:6" x14ac:dyDescent="0.2">
      <c r="A374" s="61">
        <v>28399</v>
      </c>
      <c r="B374" s="68">
        <f>VLOOKUP(Table2[[#This Row],[Date]],Database!A:E,2,)</f>
        <v>61.6</v>
      </c>
      <c r="C374" s="14">
        <f t="shared" si="10"/>
        <v>4.893964110929923E-3</v>
      </c>
      <c r="D374" s="14">
        <f t="shared" si="11"/>
        <v>6.3903281519861882E-2</v>
      </c>
      <c r="E374" s="15">
        <f>VLOOKUP(Table2[[#This Row],[Date]],'Fed Fund New'!$A:$C,2,FALSE)</f>
        <v>0</v>
      </c>
      <c r="F374" s="15">
        <f>VLOOKUP(Table2[[#This Row],[Date]],'Fed Fund New'!$A:$C,3,FALSE)</f>
        <v>6.47</v>
      </c>
    </row>
    <row r="375" spans="1:6" x14ac:dyDescent="0.2">
      <c r="A375" s="61">
        <v>28430</v>
      </c>
      <c r="B375" s="68">
        <f>VLOOKUP(Table2[[#This Row],[Date]],Database!A:E,2,)</f>
        <v>62</v>
      </c>
      <c r="C375" s="14">
        <f t="shared" si="10"/>
        <v>6.4935064935064705E-3</v>
      </c>
      <c r="D375" s="14">
        <f t="shared" si="11"/>
        <v>6.7125645438898429E-2</v>
      </c>
      <c r="E375" s="15">
        <f>VLOOKUP(Table2[[#This Row],[Date]],'Fed Fund New'!$A:$C,2,FALSE)</f>
        <v>0</v>
      </c>
      <c r="F375" s="15">
        <f>VLOOKUP(Table2[[#This Row],[Date]],'Fed Fund New'!$A:$C,3,FALSE)</f>
        <v>6.51</v>
      </c>
    </row>
    <row r="376" spans="1:6" x14ac:dyDescent="0.2">
      <c r="A376" s="61">
        <v>28460</v>
      </c>
      <c r="B376" s="68">
        <f>VLOOKUP(Table2[[#This Row],[Date]],Database!A:E,2,)</f>
        <v>62.3</v>
      </c>
      <c r="C376" s="14">
        <f t="shared" si="10"/>
        <v>4.8387096774193091E-3</v>
      </c>
      <c r="D376" s="14">
        <f t="shared" si="11"/>
        <v>6.6780821917808195E-2</v>
      </c>
      <c r="E376" s="15">
        <f>VLOOKUP(Table2[[#This Row],[Date]],'Fed Fund New'!$A:$C,2,FALSE)</f>
        <v>0</v>
      </c>
      <c r="F376" s="15">
        <f>VLOOKUP(Table2[[#This Row],[Date]],'Fed Fund New'!$A:$C,3,FALSE)</f>
        <v>6.56</v>
      </c>
    </row>
    <row r="377" spans="1:6" x14ac:dyDescent="0.2">
      <c r="A377" s="61">
        <v>28491</v>
      </c>
      <c r="B377" s="68">
        <f>VLOOKUP(Table2[[#This Row],[Date]],Database!A:E,2,)</f>
        <v>62.7</v>
      </c>
      <c r="C377" s="14">
        <f t="shared" si="10"/>
        <v>6.4205457463885349E-3</v>
      </c>
      <c r="D377" s="14">
        <f t="shared" si="11"/>
        <v>6.8143100511073251E-2</v>
      </c>
      <c r="E377" s="15">
        <f>VLOOKUP(Table2[[#This Row],[Date]],'Fed Fund New'!$A:$C,2,FALSE)</f>
        <v>0</v>
      </c>
      <c r="F377" s="15">
        <f>VLOOKUP(Table2[[#This Row],[Date]],'Fed Fund New'!$A:$C,3,FALSE)</f>
        <v>6.7</v>
      </c>
    </row>
    <row r="378" spans="1:6" x14ac:dyDescent="0.2">
      <c r="A378" s="61">
        <v>28522</v>
      </c>
      <c r="B378" s="68">
        <f>VLOOKUP(Table2[[#This Row],[Date]],Database!A:E,2,)</f>
        <v>63</v>
      </c>
      <c r="C378" s="14">
        <f t="shared" si="10"/>
        <v>4.7846889952152657E-3</v>
      </c>
      <c r="D378" s="14">
        <f t="shared" si="11"/>
        <v>6.239460370994946E-2</v>
      </c>
      <c r="E378" s="15">
        <f>VLOOKUP(Table2[[#This Row],[Date]],'Fed Fund New'!$A:$C,2,FALSE)</f>
        <v>0</v>
      </c>
      <c r="F378" s="15">
        <f>VLOOKUP(Table2[[#This Row],[Date]],'Fed Fund New'!$A:$C,3,FALSE)</f>
        <v>6.78</v>
      </c>
    </row>
    <row r="379" spans="1:6" x14ac:dyDescent="0.2">
      <c r="A379" s="61">
        <v>28550</v>
      </c>
      <c r="B379" s="68">
        <f>VLOOKUP(Table2[[#This Row],[Date]],Database!A:E,2,)</f>
        <v>63.4</v>
      </c>
      <c r="C379" s="14">
        <f t="shared" si="10"/>
        <v>6.3492063492063266E-3</v>
      </c>
      <c r="D379" s="14">
        <f t="shared" si="11"/>
        <v>6.3758389261744916E-2</v>
      </c>
      <c r="E379" s="15">
        <f>VLOOKUP(Table2[[#This Row],[Date]],'Fed Fund New'!$A:$C,2,FALSE)</f>
        <v>0</v>
      </c>
      <c r="F379" s="15">
        <f>VLOOKUP(Table2[[#This Row],[Date]],'Fed Fund New'!$A:$C,3,FALSE)</f>
        <v>6.79</v>
      </c>
    </row>
    <row r="380" spans="1:6" x14ac:dyDescent="0.2">
      <c r="A380" s="61">
        <v>28581</v>
      </c>
      <c r="B380" s="68">
        <f>VLOOKUP(Table2[[#This Row],[Date]],Database!A:E,2,)</f>
        <v>63.9</v>
      </c>
      <c r="C380" s="14">
        <f t="shared" si="10"/>
        <v>7.8864353312302835E-3</v>
      </c>
      <c r="D380" s="14">
        <f t="shared" si="11"/>
        <v>6.4999999999999974E-2</v>
      </c>
      <c r="E380" s="15">
        <f>VLOOKUP(Table2[[#This Row],[Date]],'Fed Fund New'!$A:$C,2,FALSE)</f>
        <v>0</v>
      </c>
      <c r="F380" s="15">
        <f>VLOOKUP(Table2[[#This Row],[Date]],'Fed Fund New'!$A:$C,3,FALSE)</f>
        <v>6.89</v>
      </c>
    </row>
    <row r="381" spans="1:6" x14ac:dyDescent="0.2">
      <c r="A381" s="61">
        <v>28611</v>
      </c>
      <c r="B381" s="68">
        <f>VLOOKUP(Table2[[#This Row],[Date]],Database!A:E,2,)</f>
        <v>64.5</v>
      </c>
      <c r="C381" s="14">
        <f t="shared" si="10"/>
        <v>9.3896713615023702E-3</v>
      </c>
      <c r="D381" s="14">
        <f t="shared" si="11"/>
        <v>7.1428571428571383E-2</v>
      </c>
      <c r="E381" s="15">
        <f>VLOOKUP(Table2[[#This Row],[Date]],'Fed Fund New'!$A:$C,2,FALSE)</f>
        <v>0</v>
      </c>
      <c r="F381" s="15">
        <f>VLOOKUP(Table2[[#This Row],[Date]],'Fed Fund New'!$A:$C,3,FALSE)</f>
        <v>7.36</v>
      </c>
    </row>
    <row r="382" spans="1:6" x14ac:dyDescent="0.2">
      <c r="A382" s="61">
        <v>28642</v>
      </c>
      <c r="B382" s="68">
        <f>VLOOKUP(Table2[[#This Row],[Date]],Database!A:E,2,)</f>
        <v>65</v>
      </c>
      <c r="C382" s="14">
        <f t="shared" si="10"/>
        <v>7.7519379844961239E-3</v>
      </c>
      <c r="D382" s="14">
        <f t="shared" si="11"/>
        <v>7.43801652892562E-2</v>
      </c>
      <c r="E382" s="15">
        <f>VLOOKUP(Table2[[#This Row],[Date]],'Fed Fund New'!$A:$C,2,FALSE)</f>
        <v>0</v>
      </c>
      <c r="F382" s="15">
        <f>VLOOKUP(Table2[[#This Row],[Date]],'Fed Fund New'!$A:$C,3,FALSE)</f>
        <v>7.6</v>
      </c>
    </row>
    <row r="383" spans="1:6" x14ac:dyDescent="0.2">
      <c r="A383" s="61">
        <v>28672</v>
      </c>
      <c r="B383" s="68">
        <f>VLOOKUP(Table2[[#This Row],[Date]],Database!A:E,2,)</f>
        <v>65.5</v>
      </c>
      <c r="C383" s="14">
        <f t="shared" si="10"/>
        <v>7.6923076923076927E-3</v>
      </c>
      <c r="D383" s="14">
        <f t="shared" si="11"/>
        <v>7.7302631578947414E-2</v>
      </c>
      <c r="E383" s="15">
        <f>VLOOKUP(Table2[[#This Row],[Date]],'Fed Fund New'!$A:$C,2,FALSE)</f>
        <v>0</v>
      </c>
      <c r="F383" s="15">
        <f>VLOOKUP(Table2[[#This Row],[Date]],'Fed Fund New'!$A:$C,3,FALSE)</f>
        <v>7.81</v>
      </c>
    </row>
    <row r="384" spans="1:6" x14ac:dyDescent="0.2">
      <c r="A384" s="61">
        <v>28703</v>
      </c>
      <c r="B384" s="68">
        <f>VLOOKUP(Table2[[#This Row],[Date]],Database!A:E,2,)</f>
        <v>65.900000000000006</v>
      </c>
      <c r="C384" s="14">
        <f t="shared" si="10"/>
        <v>6.1068702290077203E-3</v>
      </c>
      <c r="D384" s="14">
        <f t="shared" si="11"/>
        <v>7.8559738134206289E-2</v>
      </c>
      <c r="E384" s="15">
        <f>VLOOKUP(Table2[[#This Row],[Date]],'Fed Fund New'!$A:$C,2,FALSE)</f>
        <v>0</v>
      </c>
      <c r="F384" s="15">
        <f>VLOOKUP(Table2[[#This Row],[Date]],'Fed Fund New'!$A:$C,3,FALSE)</f>
        <v>8.0399999999999991</v>
      </c>
    </row>
    <row r="385" spans="1:6" x14ac:dyDescent="0.2">
      <c r="A385" s="61">
        <v>28734</v>
      </c>
      <c r="B385" s="68">
        <f>VLOOKUP(Table2[[#This Row],[Date]],Database!A:E,2,)</f>
        <v>66.5</v>
      </c>
      <c r="C385" s="14">
        <f t="shared" si="10"/>
        <v>9.1047040971167573E-3</v>
      </c>
      <c r="D385" s="14">
        <f t="shared" si="11"/>
        <v>8.4828711256117503E-2</v>
      </c>
      <c r="E385" s="15">
        <f>VLOOKUP(Table2[[#This Row],[Date]],'Fed Fund New'!$A:$C,2,FALSE)</f>
        <v>0</v>
      </c>
      <c r="F385" s="15">
        <f>VLOOKUP(Table2[[#This Row],[Date]],'Fed Fund New'!$A:$C,3,FALSE)</f>
        <v>8.4499999999999993</v>
      </c>
    </row>
    <row r="386" spans="1:6" x14ac:dyDescent="0.2">
      <c r="A386" s="61">
        <v>28764</v>
      </c>
      <c r="B386" s="68">
        <f>VLOOKUP(Table2[[#This Row],[Date]],Database!A:E,2,)</f>
        <v>67.099999999999994</v>
      </c>
      <c r="C386" s="14">
        <f t="shared" si="10"/>
        <v>9.0225563909773574E-3</v>
      </c>
      <c r="D386" s="14">
        <f t="shared" si="11"/>
        <v>8.9285714285714163E-2</v>
      </c>
      <c r="E386" s="15">
        <f>VLOOKUP(Table2[[#This Row],[Date]],'Fed Fund New'!$A:$C,2,FALSE)</f>
        <v>0</v>
      </c>
      <c r="F386" s="15">
        <f>VLOOKUP(Table2[[#This Row],[Date]],'Fed Fund New'!$A:$C,3,FALSE)</f>
        <v>8.9600000000000009</v>
      </c>
    </row>
    <row r="387" spans="1:6" x14ac:dyDescent="0.2">
      <c r="A387" s="61">
        <v>28795</v>
      </c>
      <c r="B387" s="68">
        <f>VLOOKUP(Table2[[#This Row],[Date]],Database!A:E,2,)</f>
        <v>67.5</v>
      </c>
      <c r="C387" s="14">
        <f t="shared" si="10"/>
        <v>5.9612518628912921E-3</v>
      </c>
      <c r="D387" s="14">
        <f t="shared" si="11"/>
        <v>8.8709677419354843E-2</v>
      </c>
      <c r="E387" s="15">
        <f>VLOOKUP(Table2[[#This Row],[Date]],'Fed Fund New'!$A:$C,2,FALSE)</f>
        <v>0</v>
      </c>
      <c r="F387" s="15">
        <f>VLOOKUP(Table2[[#This Row],[Date]],'Fed Fund New'!$A:$C,3,FALSE)</f>
        <v>9.76</v>
      </c>
    </row>
    <row r="388" spans="1:6" x14ac:dyDescent="0.2">
      <c r="A388" s="61">
        <v>28825</v>
      </c>
      <c r="B388" s="68">
        <f>VLOOKUP(Table2[[#This Row],[Date]],Database!A:E,2,)</f>
        <v>67.900000000000006</v>
      </c>
      <c r="C388" s="14">
        <f t="shared" si="10"/>
        <v>5.9259259259260098E-3</v>
      </c>
      <c r="D388" s="14">
        <f t="shared" si="11"/>
        <v>8.9887640449438339E-2</v>
      </c>
      <c r="E388" s="15">
        <f>VLOOKUP(Table2[[#This Row],[Date]],'Fed Fund New'!$A:$C,2,FALSE)</f>
        <v>0</v>
      </c>
      <c r="F388" s="15">
        <f>VLOOKUP(Table2[[#This Row],[Date]],'Fed Fund New'!$A:$C,3,FALSE)</f>
        <v>10.029999999999999</v>
      </c>
    </row>
    <row r="389" spans="1:6" x14ac:dyDescent="0.2">
      <c r="A389" s="61">
        <v>28856</v>
      </c>
      <c r="B389" s="68">
        <f>VLOOKUP(Table2[[#This Row],[Date]],Database!A:E,2,)</f>
        <v>68.5</v>
      </c>
      <c r="C389" s="14">
        <f t="shared" si="10"/>
        <v>8.836524300441741E-3</v>
      </c>
      <c r="D389" s="14">
        <f t="shared" si="11"/>
        <v>9.2503987240829297E-2</v>
      </c>
      <c r="E389" s="15">
        <f>VLOOKUP(Table2[[#This Row],[Date]],'Fed Fund New'!$A:$C,2,FALSE)</f>
        <v>0</v>
      </c>
      <c r="F389" s="15">
        <f>VLOOKUP(Table2[[#This Row],[Date]],'Fed Fund New'!$A:$C,3,FALSE)</f>
        <v>10.07</v>
      </c>
    </row>
    <row r="390" spans="1:6" x14ac:dyDescent="0.2">
      <c r="A390" s="61">
        <v>28887</v>
      </c>
      <c r="B390" s="68">
        <f>VLOOKUP(Table2[[#This Row],[Date]],Database!A:E,2,)</f>
        <v>69.2</v>
      </c>
      <c r="C390" s="14">
        <f t="shared" ref="C390:C453" si="12">(B390-B389)/B389</f>
        <v>1.0218978102189823E-2</v>
      </c>
      <c r="D390" s="14">
        <f t="shared" si="11"/>
        <v>9.8412698412698452E-2</v>
      </c>
      <c r="E390" s="15">
        <f>VLOOKUP(Table2[[#This Row],[Date]],'Fed Fund New'!$A:$C,2,FALSE)</f>
        <v>0</v>
      </c>
      <c r="F390" s="15">
        <f>VLOOKUP(Table2[[#This Row],[Date]],'Fed Fund New'!$A:$C,3,FALSE)</f>
        <v>10.06</v>
      </c>
    </row>
    <row r="391" spans="1:6" x14ac:dyDescent="0.2">
      <c r="A391" s="61">
        <v>28915</v>
      </c>
      <c r="B391" s="68">
        <f>VLOOKUP(Table2[[#This Row],[Date]],Database!A:E,2,)</f>
        <v>69.900000000000006</v>
      </c>
      <c r="C391" s="14">
        <f t="shared" si="12"/>
        <v>1.0115606936416225E-2</v>
      </c>
      <c r="D391" s="14">
        <f t="shared" si="11"/>
        <v>0.1025236593059938</v>
      </c>
      <c r="E391" s="15">
        <f>VLOOKUP(Table2[[#This Row],[Date]],'Fed Fund New'!$A:$C,2,FALSE)</f>
        <v>0</v>
      </c>
      <c r="F391" s="15">
        <f>VLOOKUP(Table2[[#This Row],[Date]],'Fed Fund New'!$A:$C,3,FALSE)</f>
        <v>10.09</v>
      </c>
    </row>
    <row r="392" spans="1:6" x14ac:dyDescent="0.2">
      <c r="A392" s="61">
        <v>28946</v>
      </c>
      <c r="B392" s="68">
        <f>VLOOKUP(Table2[[#This Row],[Date]],Database!A:E,2,)</f>
        <v>70.599999999999994</v>
      </c>
      <c r="C392" s="14">
        <f t="shared" si="12"/>
        <v>1.0014306151645044E-2</v>
      </c>
      <c r="D392" s="14">
        <f t="shared" si="11"/>
        <v>0.10485133020344281</v>
      </c>
      <c r="E392" s="15">
        <f>VLOOKUP(Table2[[#This Row],[Date]],'Fed Fund New'!$A:$C,2,FALSE)</f>
        <v>0</v>
      </c>
      <c r="F392" s="15">
        <f>VLOOKUP(Table2[[#This Row],[Date]],'Fed Fund New'!$A:$C,3,FALSE)</f>
        <v>10.01</v>
      </c>
    </row>
    <row r="393" spans="1:6" x14ac:dyDescent="0.2">
      <c r="A393" s="61">
        <v>28976</v>
      </c>
      <c r="B393" s="68">
        <f>VLOOKUP(Table2[[#This Row],[Date]],Database!A:E,2,)</f>
        <v>71.400000000000006</v>
      </c>
      <c r="C393" s="14">
        <f t="shared" si="12"/>
        <v>1.1331444759206961E-2</v>
      </c>
      <c r="D393" s="14">
        <f t="shared" si="11"/>
        <v>0.10697674418604659</v>
      </c>
      <c r="E393" s="15">
        <f>VLOOKUP(Table2[[#This Row],[Date]],'Fed Fund New'!$A:$C,2,FALSE)</f>
        <v>0</v>
      </c>
      <c r="F393" s="15">
        <f>VLOOKUP(Table2[[#This Row],[Date]],'Fed Fund New'!$A:$C,3,FALSE)</f>
        <v>10.24</v>
      </c>
    </row>
    <row r="394" spans="1:6" x14ac:dyDescent="0.2">
      <c r="A394" s="61">
        <v>29007</v>
      </c>
      <c r="B394" s="68">
        <f>VLOOKUP(Table2[[#This Row],[Date]],Database!A:E,2,)</f>
        <v>72.2</v>
      </c>
      <c r="C394" s="14">
        <f t="shared" si="12"/>
        <v>1.1204481792717045E-2</v>
      </c>
      <c r="D394" s="14">
        <f t="shared" si="11"/>
        <v>0.11076923076923081</v>
      </c>
      <c r="E394" s="15">
        <f>VLOOKUP(Table2[[#This Row],[Date]],'Fed Fund New'!$A:$C,2,FALSE)</f>
        <v>0</v>
      </c>
      <c r="F394" s="15">
        <f>VLOOKUP(Table2[[#This Row],[Date]],'Fed Fund New'!$A:$C,3,FALSE)</f>
        <v>10.29</v>
      </c>
    </row>
    <row r="395" spans="1:6" x14ac:dyDescent="0.2">
      <c r="A395" s="61">
        <v>29037</v>
      </c>
      <c r="B395" s="68">
        <f>VLOOKUP(Table2[[#This Row],[Date]],Database!A:E,2,)</f>
        <v>73</v>
      </c>
      <c r="C395" s="14">
        <f t="shared" si="12"/>
        <v>1.1080332409972259E-2</v>
      </c>
      <c r="D395" s="14">
        <f t="shared" si="11"/>
        <v>0.11450381679389313</v>
      </c>
      <c r="E395" s="15">
        <f>VLOOKUP(Table2[[#This Row],[Date]],'Fed Fund New'!$A:$C,2,FALSE)</f>
        <v>0</v>
      </c>
      <c r="F395" s="15">
        <f>VLOOKUP(Table2[[#This Row],[Date]],'Fed Fund New'!$A:$C,3,FALSE)</f>
        <v>10.47</v>
      </c>
    </row>
    <row r="396" spans="1:6" x14ac:dyDescent="0.2">
      <c r="A396" s="61">
        <v>29068</v>
      </c>
      <c r="B396" s="68">
        <f>VLOOKUP(Table2[[#This Row],[Date]],Database!A:E,2,)</f>
        <v>73.7</v>
      </c>
      <c r="C396" s="14">
        <f t="shared" si="12"/>
        <v>9.5890410958904496E-3</v>
      </c>
      <c r="D396" s="14">
        <f t="shared" si="11"/>
        <v>0.11836115326251892</v>
      </c>
      <c r="E396" s="15">
        <f>VLOOKUP(Table2[[#This Row],[Date]],'Fed Fund New'!$A:$C,2,FALSE)</f>
        <v>0</v>
      </c>
      <c r="F396" s="15">
        <f>VLOOKUP(Table2[[#This Row],[Date]],'Fed Fund New'!$A:$C,3,FALSE)</f>
        <v>10.94</v>
      </c>
    </row>
    <row r="397" spans="1:6" x14ac:dyDescent="0.2">
      <c r="A397" s="61">
        <v>29099</v>
      </c>
      <c r="B397" s="68">
        <f>VLOOKUP(Table2[[#This Row],[Date]],Database!A:E,2,)</f>
        <v>74.400000000000006</v>
      </c>
      <c r="C397" s="14">
        <f t="shared" si="12"/>
        <v>9.4979647218453572E-3</v>
      </c>
      <c r="D397" s="14">
        <f t="shared" si="11"/>
        <v>0.1187969924812031</v>
      </c>
      <c r="E397" s="15">
        <f>VLOOKUP(Table2[[#This Row],[Date]],'Fed Fund New'!$A:$C,2,FALSE)</f>
        <v>0</v>
      </c>
      <c r="F397" s="15">
        <f>VLOOKUP(Table2[[#This Row],[Date]],'Fed Fund New'!$A:$C,3,FALSE)</f>
        <v>11.43</v>
      </c>
    </row>
    <row r="398" spans="1:6" x14ac:dyDescent="0.2">
      <c r="A398" s="61">
        <v>29129</v>
      </c>
      <c r="B398" s="68">
        <f>VLOOKUP(Table2[[#This Row],[Date]],Database!A:E,2,)</f>
        <v>75.2</v>
      </c>
      <c r="C398" s="14">
        <f t="shared" si="12"/>
        <v>1.0752688172042972E-2</v>
      </c>
      <c r="D398" s="14">
        <f t="shared" si="11"/>
        <v>0.12071535022354708</v>
      </c>
      <c r="E398" s="15">
        <f>VLOOKUP(Table2[[#This Row],[Date]],'Fed Fund New'!$A:$C,2,FALSE)</f>
        <v>0</v>
      </c>
      <c r="F398" s="15">
        <f>VLOOKUP(Table2[[#This Row],[Date]],'Fed Fund New'!$A:$C,3,FALSE)</f>
        <v>13.77</v>
      </c>
    </row>
    <row r="399" spans="1:6" x14ac:dyDescent="0.2">
      <c r="A399" s="61">
        <v>29160</v>
      </c>
      <c r="B399" s="68">
        <f>VLOOKUP(Table2[[#This Row],[Date]],Database!A:E,2,)</f>
        <v>76</v>
      </c>
      <c r="C399" s="14">
        <f t="shared" si="12"/>
        <v>1.0638297872340387E-2</v>
      </c>
      <c r="D399" s="14">
        <f t="shared" si="11"/>
        <v>0.12592592592592591</v>
      </c>
      <c r="E399" s="15">
        <f>VLOOKUP(Table2[[#This Row],[Date]],'Fed Fund New'!$A:$C,2,FALSE)</f>
        <v>0</v>
      </c>
      <c r="F399" s="15">
        <f>VLOOKUP(Table2[[#This Row],[Date]],'Fed Fund New'!$A:$C,3,FALSE)</f>
        <v>13.18</v>
      </c>
    </row>
    <row r="400" spans="1:6" x14ac:dyDescent="0.2">
      <c r="A400" s="61">
        <v>29190</v>
      </c>
      <c r="B400" s="68">
        <f>VLOOKUP(Table2[[#This Row],[Date]],Database!A:E,2,)</f>
        <v>76.900000000000006</v>
      </c>
      <c r="C400" s="14">
        <f t="shared" si="12"/>
        <v>1.184210526315797E-2</v>
      </c>
      <c r="D400" s="14">
        <f t="shared" si="11"/>
        <v>0.13254786450662739</v>
      </c>
      <c r="E400" s="15">
        <f>VLOOKUP(Table2[[#This Row],[Date]],'Fed Fund New'!$A:$C,2,FALSE)</f>
        <v>0</v>
      </c>
      <c r="F400" s="15">
        <f>VLOOKUP(Table2[[#This Row],[Date]],'Fed Fund New'!$A:$C,3,FALSE)</f>
        <v>13.78</v>
      </c>
    </row>
    <row r="401" spans="1:6" x14ac:dyDescent="0.2">
      <c r="A401" s="61">
        <v>29221</v>
      </c>
      <c r="B401" s="68">
        <f>VLOOKUP(Table2[[#This Row],[Date]],Database!A:E,2,)</f>
        <v>78</v>
      </c>
      <c r="C401" s="14">
        <f t="shared" si="12"/>
        <v>1.4304291287386141E-2</v>
      </c>
      <c r="D401" s="14">
        <f t="shared" ref="D401:D464" si="13">(B401-B389)/B389</f>
        <v>0.13868613138686131</v>
      </c>
      <c r="E401" s="15">
        <f>VLOOKUP(Table2[[#This Row],[Date]],'Fed Fund New'!$A:$C,2,FALSE)</f>
        <v>0</v>
      </c>
      <c r="F401" s="15">
        <f>VLOOKUP(Table2[[#This Row],[Date]],'Fed Fund New'!$A:$C,3,FALSE)</f>
        <v>13.82</v>
      </c>
    </row>
    <row r="402" spans="1:6" x14ac:dyDescent="0.2">
      <c r="A402" s="61">
        <v>29252</v>
      </c>
      <c r="B402" s="68">
        <f>VLOOKUP(Table2[[#This Row],[Date]],Database!A:E,2,)</f>
        <v>79</v>
      </c>
      <c r="C402" s="14">
        <f t="shared" si="12"/>
        <v>1.282051282051282E-2</v>
      </c>
      <c r="D402" s="14">
        <f t="shared" si="13"/>
        <v>0.14161849710982655</v>
      </c>
      <c r="E402" s="15">
        <f>VLOOKUP(Table2[[#This Row],[Date]],'Fed Fund New'!$A:$C,2,FALSE)</f>
        <v>0</v>
      </c>
      <c r="F402" s="15">
        <f>VLOOKUP(Table2[[#This Row],[Date]],'Fed Fund New'!$A:$C,3,FALSE)</f>
        <v>14.13</v>
      </c>
    </row>
    <row r="403" spans="1:6" x14ac:dyDescent="0.2">
      <c r="A403" s="61">
        <v>29281</v>
      </c>
      <c r="B403" s="68">
        <f>VLOOKUP(Table2[[#This Row],[Date]],Database!A:E,2,)</f>
        <v>80.099999999999994</v>
      </c>
      <c r="C403" s="14">
        <f t="shared" si="12"/>
        <v>1.3924050632911321E-2</v>
      </c>
      <c r="D403" s="14">
        <f t="shared" si="13"/>
        <v>0.14592274678111569</v>
      </c>
      <c r="E403" s="15">
        <f>VLOOKUP(Table2[[#This Row],[Date]],'Fed Fund New'!$A:$C,2,FALSE)</f>
        <v>0</v>
      </c>
      <c r="F403" s="15">
        <f>VLOOKUP(Table2[[#This Row],[Date]],'Fed Fund New'!$A:$C,3,FALSE)</f>
        <v>17.190000000000001</v>
      </c>
    </row>
    <row r="404" spans="1:6" x14ac:dyDescent="0.2">
      <c r="A404" s="61">
        <v>29312</v>
      </c>
      <c r="B404" s="68">
        <f>VLOOKUP(Table2[[#This Row],[Date]],Database!A:E,2,)</f>
        <v>80.900000000000006</v>
      </c>
      <c r="C404" s="14">
        <f t="shared" si="12"/>
        <v>9.9875156054932759E-3</v>
      </c>
      <c r="D404" s="14">
        <f t="shared" si="13"/>
        <v>0.1458923512747877</v>
      </c>
      <c r="E404" s="15">
        <f>VLOOKUP(Table2[[#This Row],[Date]],'Fed Fund New'!$A:$C,2,FALSE)</f>
        <v>0</v>
      </c>
      <c r="F404" s="15">
        <f>VLOOKUP(Table2[[#This Row],[Date]],'Fed Fund New'!$A:$C,3,FALSE)</f>
        <v>17.61</v>
      </c>
    </row>
    <row r="405" spans="1:6" x14ac:dyDescent="0.2">
      <c r="A405" s="61">
        <v>29342</v>
      </c>
      <c r="B405" s="68">
        <f>VLOOKUP(Table2[[#This Row],[Date]],Database!A:E,2,)</f>
        <v>81.7</v>
      </c>
      <c r="C405" s="14">
        <f t="shared" si="12"/>
        <v>9.8887515451173934E-3</v>
      </c>
      <c r="D405" s="14">
        <f t="shared" si="13"/>
        <v>0.14425770308123245</v>
      </c>
      <c r="E405" s="15">
        <f>VLOOKUP(Table2[[#This Row],[Date]],'Fed Fund New'!$A:$C,2,FALSE)</f>
        <v>0</v>
      </c>
      <c r="F405" s="15">
        <f>VLOOKUP(Table2[[#This Row],[Date]],'Fed Fund New'!$A:$C,3,FALSE)</f>
        <v>10.98</v>
      </c>
    </row>
    <row r="406" spans="1:6" x14ac:dyDescent="0.2">
      <c r="A406" s="61">
        <v>29373</v>
      </c>
      <c r="B406" s="68">
        <f>VLOOKUP(Table2[[#This Row],[Date]],Database!A:E,2,)</f>
        <v>82.5</v>
      </c>
      <c r="C406" s="14">
        <f t="shared" si="12"/>
        <v>9.7919216646266474E-3</v>
      </c>
      <c r="D406" s="14">
        <f t="shared" si="13"/>
        <v>0.14265927977839329</v>
      </c>
      <c r="E406" s="15">
        <f>VLOOKUP(Table2[[#This Row],[Date]],'Fed Fund New'!$A:$C,2,FALSE)</f>
        <v>0</v>
      </c>
      <c r="F406" s="15">
        <f>VLOOKUP(Table2[[#This Row],[Date]],'Fed Fund New'!$A:$C,3,FALSE)</f>
        <v>9.4700000000000006</v>
      </c>
    </row>
    <row r="407" spans="1:6" x14ac:dyDescent="0.2">
      <c r="A407" s="61">
        <v>29403</v>
      </c>
      <c r="B407" s="68">
        <f>VLOOKUP(Table2[[#This Row],[Date]],Database!A:E,2,)</f>
        <v>82.6</v>
      </c>
      <c r="C407" s="14">
        <f t="shared" si="12"/>
        <v>1.2121212121211432E-3</v>
      </c>
      <c r="D407" s="14">
        <f t="shared" si="13"/>
        <v>0.13150684931506842</v>
      </c>
      <c r="E407" s="15">
        <f>VLOOKUP(Table2[[#This Row],[Date]],'Fed Fund New'!$A:$C,2,FALSE)</f>
        <v>0</v>
      </c>
      <c r="F407" s="15">
        <f>VLOOKUP(Table2[[#This Row],[Date]],'Fed Fund New'!$A:$C,3,FALSE)</f>
        <v>9.0299999999999994</v>
      </c>
    </row>
    <row r="408" spans="1:6" x14ac:dyDescent="0.2">
      <c r="A408" s="61">
        <v>29434</v>
      </c>
      <c r="B408" s="68">
        <f>VLOOKUP(Table2[[#This Row],[Date]],Database!A:E,2,)</f>
        <v>83.2</v>
      </c>
      <c r="C408" s="14">
        <f t="shared" si="12"/>
        <v>7.2639225181599099E-3</v>
      </c>
      <c r="D408" s="14">
        <f t="shared" si="13"/>
        <v>0.12890094979647218</v>
      </c>
      <c r="E408" s="15">
        <f>VLOOKUP(Table2[[#This Row],[Date]],'Fed Fund New'!$A:$C,2,FALSE)</f>
        <v>0</v>
      </c>
      <c r="F408" s="15">
        <f>VLOOKUP(Table2[[#This Row],[Date]],'Fed Fund New'!$A:$C,3,FALSE)</f>
        <v>9.61</v>
      </c>
    </row>
    <row r="409" spans="1:6" x14ac:dyDescent="0.2">
      <c r="A409" s="61">
        <v>29465</v>
      </c>
      <c r="B409" s="68">
        <f>VLOOKUP(Table2[[#This Row],[Date]],Database!A:E,2,)</f>
        <v>83.9</v>
      </c>
      <c r="C409" s="14">
        <f t="shared" si="12"/>
        <v>8.4134615384615728E-3</v>
      </c>
      <c r="D409" s="14">
        <f t="shared" si="13"/>
        <v>0.12768817204301075</v>
      </c>
      <c r="E409" s="15">
        <f>VLOOKUP(Table2[[#This Row],[Date]],'Fed Fund New'!$A:$C,2,FALSE)</f>
        <v>0</v>
      </c>
      <c r="F409" s="15">
        <f>VLOOKUP(Table2[[#This Row],[Date]],'Fed Fund New'!$A:$C,3,FALSE)</f>
        <v>10.87</v>
      </c>
    </row>
    <row r="410" spans="1:6" x14ac:dyDescent="0.2">
      <c r="A410" s="61">
        <v>29495</v>
      </c>
      <c r="B410" s="68">
        <f>VLOOKUP(Table2[[#This Row],[Date]],Database!A:E,2,)</f>
        <v>84.7</v>
      </c>
      <c r="C410" s="14">
        <f t="shared" si="12"/>
        <v>9.5351609058402509E-3</v>
      </c>
      <c r="D410" s="14">
        <f t="shared" si="13"/>
        <v>0.12632978723404256</v>
      </c>
      <c r="E410" s="15">
        <f>VLOOKUP(Table2[[#This Row],[Date]],'Fed Fund New'!$A:$C,2,FALSE)</f>
        <v>0</v>
      </c>
      <c r="F410" s="15">
        <f>VLOOKUP(Table2[[#This Row],[Date]],'Fed Fund New'!$A:$C,3,FALSE)</f>
        <v>12.81</v>
      </c>
    </row>
    <row r="411" spans="1:6" x14ac:dyDescent="0.2">
      <c r="A411" s="61">
        <v>29526</v>
      </c>
      <c r="B411" s="68">
        <f>VLOOKUP(Table2[[#This Row],[Date]],Database!A:E,2,)</f>
        <v>85.6</v>
      </c>
      <c r="C411" s="14">
        <f t="shared" si="12"/>
        <v>1.0625737898465069E-2</v>
      </c>
      <c r="D411" s="14">
        <f t="shared" si="13"/>
        <v>0.12631578947368413</v>
      </c>
      <c r="E411" s="15">
        <f>VLOOKUP(Table2[[#This Row],[Date]],'Fed Fund New'!$A:$C,2,FALSE)</f>
        <v>0</v>
      </c>
      <c r="F411" s="15">
        <f>VLOOKUP(Table2[[#This Row],[Date]],'Fed Fund New'!$A:$C,3,FALSE)</f>
        <v>15.85</v>
      </c>
    </row>
    <row r="412" spans="1:6" x14ac:dyDescent="0.2">
      <c r="A412" s="61">
        <v>29556</v>
      </c>
      <c r="B412" s="68">
        <f>VLOOKUP(Table2[[#This Row],[Date]],Database!A:E,2,)</f>
        <v>86.4</v>
      </c>
      <c r="C412" s="14">
        <f t="shared" si="12"/>
        <v>9.3457943925234974E-3</v>
      </c>
      <c r="D412" s="14">
        <f t="shared" si="13"/>
        <v>0.1235370611183355</v>
      </c>
      <c r="E412" s="15">
        <f>VLOOKUP(Table2[[#This Row],[Date]],'Fed Fund New'!$A:$C,2,FALSE)</f>
        <v>0</v>
      </c>
      <c r="F412" s="15">
        <f>VLOOKUP(Table2[[#This Row],[Date]],'Fed Fund New'!$A:$C,3,FALSE)</f>
        <v>18.899999999999999</v>
      </c>
    </row>
    <row r="413" spans="1:6" x14ac:dyDescent="0.2">
      <c r="A413" s="61">
        <v>29587</v>
      </c>
      <c r="B413" s="68">
        <f>VLOOKUP(Table2[[#This Row],[Date]],Database!A:E,2,)</f>
        <v>87.2</v>
      </c>
      <c r="C413" s="14">
        <f t="shared" si="12"/>
        <v>9.2592592592592258E-3</v>
      </c>
      <c r="D413" s="14">
        <f t="shared" si="13"/>
        <v>0.11794871794871799</v>
      </c>
      <c r="E413" s="15">
        <f>VLOOKUP(Table2[[#This Row],[Date]],'Fed Fund New'!$A:$C,2,FALSE)</f>
        <v>0</v>
      </c>
      <c r="F413" s="15">
        <f>VLOOKUP(Table2[[#This Row],[Date]],'Fed Fund New'!$A:$C,3,FALSE)</f>
        <v>19.079999999999998</v>
      </c>
    </row>
    <row r="414" spans="1:6" x14ac:dyDescent="0.2">
      <c r="A414" s="61">
        <v>29618</v>
      </c>
      <c r="B414" s="68">
        <f>VLOOKUP(Table2[[#This Row],[Date]],Database!A:E,2,)</f>
        <v>88</v>
      </c>
      <c r="C414" s="14">
        <f t="shared" si="12"/>
        <v>9.1743119266054721E-3</v>
      </c>
      <c r="D414" s="14">
        <f t="shared" si="13"/>
        <v>0.11392405063291139</v>
      </c>
      <c r="E414" s="15">
        <f>VLOOKUP(Table2[[#This Row],[Date]],'Fed Fund New'!$A:$C,2,FALSE)</f>
        <v>0</v>
      </c>
      <c r="F414" s="15">
        <f>VLOOKUP(Table2[[#This Row],[Date]],'Fed Fund New'!$A:$C,3,FALSE)</f>
        <v>15.93</v>
      </c>
    </row>
    <row r="415" spans="1:6" x14ac:dyDescent="0.2">
      <c r="A415" s="61">
        <v>29646</v>
      </c>
      <c r="B415" s="68">
        <f>VLOOKUP(Table2[[#This Row],[Date]],Database!A:E,2,)</f>
        <v>88.6</v>
      </c>
      <c r="C415" s="14">
        <f t="shared" si="12"/>
        <v>6.8181818181817537E-3</v>
      </c>
      <c r="D415" s="14">
        <f t="shared" si="13"/>
        <v>0.10611735330836455</v>
      </c>
      <c r="E415" s="15">
        <f>VLOOKUP(Table2[[#This Row],[Date]],'Fed Fund New'!$A:$C,2,FALSE)</f>
        <v>0</v>
      </c>
      <c r="F415" s="15">
        <f>VLOOKUP(Table2[[#This Row],[Date]],'Fed Fund New'!$A:$C,3,FALSE)</f>
        <v>14.7</v>
      </c>
    </row>
    <row r="416" spans="1:6" x14ac:dyDescent="0.2">
      <c r="A416" s="61">
        <v>29677</v>
      </c>
      <c r="B416" s="68">
        <f>VLOOKUP(Table2[[#This Row],[Date]],Database!A:E,2,)</f>
        <v>89.1</v>
      </c>
      <c r="C416" s="14">
        <f t="shared" si="12"/>
        <v>5.6433408577878106E-3</v>
      </c>
      <c r="D416" s="14">
        <f t="shared" si="13"/>
        <v>0.10135970333745351</v>
      </c>
      <c r="E416" s="15">
        <f>VLOOKUP(Table2[[#This Row],[Date]],'Fed Fund New'!$A:$C,2,FALSE)</f>
        <v>0</v>
      </c>
      <c r="F416" s="15">
        <f>VLOOKUP(Table2[[#This Row],[Date]],'Fed Fund New'!$A:$C,3,FALSE)</f>
        <v>15.72</v>
      </c>
    </row>
    <row r="417" spans="1:6" x14ac:dyDescent="0.2">
      <c r="A417" s="61">
        <v>29707</v>
      </c>
      <c r="B417" s="68">
        <f>VLOOKUP(Table2[[#This Row],[Date]],Database!A:E,2,)</f>
        <v>89.7</v>
      </c>
      <c r="C417" s="14">
        <f t="shared" si="12"/>
        <v>6.73400673400683E-3</v>
      </c>
      <c r="D417" s="14">
        <f t="shared" si="13"/>
        <v>9.7919216646266821E-2</v>
      </c>
      <c r="E417" s="15">
        <f>VLOOKUP(Table2[[#This Row],[Date]],'Fed Fund New'!$A:$C,2,FALSE)</f>
        <v>0</v>
      </c>
      <c r="F417" s="15">
        <f>VLOOKUP(Table2[[#This Row],[Date]],'Fed Fund New'!$A:$C,3,FALSE)</f>
        <v>18.52</v>
      </c>
    </row>
    <row r="418" spans="1:6" x14ac:dyDescent="0.2">
      <c r="A418" s="61">
        <v>29738</v>
      </c>
      <c r="B418" s="68">
        <f>VLOOKUP(Table2[[#This Row],[Date]],Database!A:E,2,)</f>
        <v>90.5</v>
      </c>
      <c r="C418" s="14">
        <f t="shared" si="12"/>
        <v>8.9186176142697568E-3</v>
      </c>
      <c r="D418" s="14">
        <f t="shared" si="13"/>
        <v>9.696969696969697E-2</v>
      </c>
      <c r="E418" s="15">
        <f>VLOOKUP(Table2[[#This Row],[Date]],'Fed Fund New'!$A:$C,2,FALSE)</f>
        <v>0</v>
      </c>
      <c r="F418" s="15">
        <f>VLOOKUP(Table2[[#This Row],[Date]],'Fed Fund New'!$A:$C,3,FALSE)</f>
        <v>19.100000000000001</v>
      </c>
    </row>
    <row r="419" spans="1:6" x14ac:dyDescent="0.2">
      <c r="A419" s="61">
        <v>29768</v>
      </c>
      <c r="B419" s="68">
        <f>VLOOKUP(Table2[[#This Row],[Date]],Database!A:E,2,)</f>
        <v>91.5</v>
      </c>
      <c r="C419" s="14">
        <f t="shared" si="12"/>
        <v>1.1049723756906077E-2</v>
      </c>
      <c r="D419" s="14">
        <f t="shared" si="13"/>
        <v>0.10774818401937053</v>
      </c>
      <c r="E419" s="15">
        <f>VLOOKUP(Table2[[#This Row],[Date]],'Fed Fund New'!$A:$C,2,FALSE)</f>
        <v>0</v>
      </c>
      <c r="F419" s="15">
        <f>VLOOKUP(Table2[[#This Row],[Date]],'Fed Fund New'!$A:$C,3,FALSE)</f>
        <v>19.04</v>
      </c>
    </row>
    <row r="420" spans="1:6" x14ac:dyDescent="0.2">
      <c r="A420" s="61">
        <v>29799</v>
      </c>
      <c r="B420" s="68">
        <f>VLOOKUP(Table2[[#This Row],[Date]],Database!A:E,2,)</f>
        <v>92.2</v>
      </c>
      <c r="C420" s="14">
        <f t="shared" si="12"/>
        <v>7.6502732240437471E-3</v>
      </c>
      <c r="D420" s="14">
        <f t="shared" si="13"/>
        <v>0.10817307692307691</v>
      </c>
      <c r="E420" s="15">
        <f>VLOOKUP(Table2[[#This Row],[Date]],'Fed Fund New'!$A:$C,2,FALSE)</f>
        <v>0</v>
      </c>
      <c r="F420" s="15">
        <f>VLOOKUP(Table2[[#This Row],[Date]],'Fed Fund New'!$A:$C,3,FALSE)</f>
        <v>17.82</v>
      </c>
    </row>
    <row r="421" spans="1:6" x14ac:dyDescent="0.2">
      <c r="A421" s="61">
        <v>29830</v>
      </c>
      <c r="B421" s="68">
        <f>VLOOKUP(Table2[[#This Row],[Date]],Database!A:E,2,)</f>
        <v>93.1</v>
      </c>
      <c r="C421" s="14">
        <f t="shared" si="12"/>
        <v>9.7613882863339628E-3</v>
      </c>
      <c r="D421" s="14">
        <f t="shared" si="13"/>
        <v>0.10965435041716315</v>
      </c>
      <c r="E421" s="15">
        <f>VLOOKUP(Table2[[#This Row],[Date]],'Fed Fund New'!$A:$C,2,FALSE)</f>
        <v>0</v>
      </c>
      <c r="F421" s="15">
        <f>VLOOKUP(Table2[[#This Row],[Date]],'Fed Fund New'!$A:$C,3,FALSE)</f>
        <v>15.87</v>
      </c>
    </row>
    <row r="422" spans="1:6" x14ac:dyDescent="0.2">
      <c r="A422" s="61">
        <v>29860</v>
      </c>
      <c r="B422" s="68">
        <f>VLOOKUP(Table2[[#This Row],[Date]],Database!A:E,2,)</f>
        <v>93.4</v>
      </c>
      <c r="C422" s="14">
        <f t="shared" si="12"/>
        <v>3.2223415682063523E-3</v>
      </c>
      <c r="D422" s="14">
        <f t="shared" si="13"/>
        <v>0.10271546635183001</v>
      </c>
      <c r="E422" s="15">
        <f>VLOOKUP(Table2[[#This Row],[Date]],'Fed Fund New'!$A:$C,2,FALSE)</f>
        <v>0</v>
      </c>
      <c r="F422" s="15">
        <f>VLOOKUP(Table2[[#This Row],[Date]],'Fed Fund New'!$A:$C,3,FALSE)</f>
        <v>15.08</v>
      </c>
    </row>
    <row r="423" spans="1:6" x14ac:dyDescent="0.2">
      <c r="A423" s="61">
        <v>29891</v>
      </c>
      <c r="B423" s="68">
        <f>VLOOKUP(Table2[[#This Row],[Date]],Database!A:E,2,)</f>
        <v>93.8</v>
      </c>
      <c r="C423" s="14">
        <f t="shared" si="12"/>
        <v>4.282655246252585E-3</v>
      </c>
      <c r="D423" s="14">
        <f t="shared" si="13"/>
        <v>9.5794392523364524E-2</v>
      </c>
      <c r="E423" s="15">
        <f>VLOOKUP(Table2[[#This Row],[Date]],'Fed Fund New'!$A:$C,2,FALSE)</f>
        <v>0</v>
      </c>
      <c r="F423" s="15">
        <f>VLOOKUP(Table2[[#This Row],[Date]],'Fed Fund New'!$A:$C,3,FALSE)</f>
        <v>13.31</v>
      </c>
    </row>
    <row r="424" spans="1:6" x14ac:dyDescent="0.2">
      <c r="A424" s="61">
        <v>29921</v>
      </c>
      <c r="B424" s="68">
        <f>VLOOKUP(Table2[[#This Row],[Date]],Database!A:E,2,)</f>
        <v>94.1</v>
      </c>
      <c r="C424" s="14">
        <f t="shared" si="12"/>
        <v>3.1982942430703321E-3</v>
      </c>
      <c r="D424" s="14">
        <f t="shared" si="13"/>
        <v>8.9120370370370239E-2</v>
      </c>
      <c r="E424" s="15">
        <f>VLOOKUP(Table2[[#This Row],[Date]],'Fed Fund New'!$A:$C,2,FALSE)</f>
        <v>0</v>
      </c>
      <c r="F424" s="15">
        <f>VLOOKUP(Table2[[#This Row],[Date]],'Fed Fund New'!$A:$C,3,FALSE)</f>
        <v>12.37</v>
      </c>
    </row>
    <row r="425" spans="1:6" x14ac:dyDescent="0.2">
      <c r="A425" s="61">
        <v>29952</v>
      </c>
      <c r="B425" s="68">
        <f>VLOOKUP(Table2[[#This Row],[Date]],Database!A:E,2,)</f>
        <v>94.4</v>
      </c>
      <c r="C425" s="14">
        <f t="shared" si="12"/>
        <v>3.188097768331683E-3</v>
      </c>
      <c r="D425" s="14">
        <f t="shared" si="13"/>
        <v>8.2568807339449574E-2</v>
      </c>
      <c r="E425" s="15">
        <f>VLOOKUP(Table2[[#This Row],[Date]],'Fed Fund New'!$A:$C,2,FALSE)</f>
        <v>0</v>
      </c>
      <c r="F425" s="15">
        <f>VLOOKUP(Table2[[#This Row],[Date]],'Fed Fund New'!$A:$C,3,FALSE)</f>
        <v>13.22</v>
      </c>
    </row>
    <row r="426" spans="1:6" x14ac:dyDescent="0.2">
      <c r="A426" s="61">
        <v>29983</v>
      </c>
      <c r="B426" s="68">
        <f>VLOOKUP(Table2[[#This Row],[Date]],Database!A:E,2,)</f>
        <v>94.7</v>
      </c>
      <c r="C426" s="14">
        <f t="shared" si="12"/>
        <v>3.1779661016948851E-3</v>
      </c>
      <c r="D426" s="14">
        <f t="shared" si="13"/>
        <v>7.6136363636363669E-2</v>
      </c>
      <c r="E426" s="15">
        <f>VLOOKUP(Table2[[#This Row],[Date]],'Fed Fund New'!$A:$C,2,FALSE)</f>
        <v>0</v>
      </c>
      <c r="F426" s="15">
        <f>VLOOKUP(Table2[[#This Row],[Date]],'Fed Fund New'!$A:$C,3,FALSE)</f>
        <v>14.78</v>
      </c>
    </row>
    <row r="427" spans="1:6" x14ac:dyDescent="0.2">
      <c r="A427" s="61">
        <v>30011</v>
      </c>
      <c r="B427" s="68">
        <f>VLOOKUP(Table2[[#This Row],[Date]],Database!A:E,2,)</f>
        <v>94.7</v>
      </c>
      <c r="C427" s="14">
        <f t="shared" si="12"/>
        <v>0</v>
      </c>
      <c r="D427" s="14">
        <f t="shared" si="13"/>
        <v>6.8848758465011387E-2</v>
      </c>
      <c r="E427" s="15">
        <f>VLOOKUP(Table2[[#This Row],[Date]],'Fed Fund New'!$A:$C,2,FALSE)</f>
        <v>0</v>
      </c>
      <c r="F427" s="15">
        <f>VLOOKUP(Table2[[#This Row],[Date]],'Fed Fund New'!$A:$C,3,FALSE)</f>
        <v>14.68</v>
      </c>
    </row>
    <row r="428" spans="1:6" x14ac:dyDescent="0.2">
      <c r="A428" s="61">
        <v>30042</v>
      </c>
      <c r="B428" s="68">
        <f>VLOOKUP(Table2[[#This Row],[Date]],Database!A:E,2,)</f>
        <v>95</v>
      </c>
      <c r="C428" s="14">
        <f t="shared" si="12"/>
        <v>3.167898627243898E-3</v>
      </c>
      <c r="D428" s="14">
        <f t="shared" si="13"/>
        <v>6.6217732884399624E-2</v>
      </c>
      <c r="E428" s="15">
        <f>VLOOKUP(Table2[[#This Row],[Date]],'Fed Fund New'!$A:$C,2,FALSE)</f>
        <v>0</v>
      </c>
      <c r="F428" s="15">
        <f>VLOOKUP(Table2[[#This Row],[Date]],'Fed Fund New'!$A:$C,3,FALSE)</f>
        <v>14.94</v>
      </c>
    </row>
    <row r="429" spans="1:6" x14ac:dyDescent="0.2">
      <c r="A429" s="61">
        <v>30072</v>
      </c>
      <c r="B429" s="68">
        <f>VLOOKUP(Table2[[#This Row],[Date]],Database!A:E,2,)</f>
        <v>95.9</v>
      </c>
      <c r="C429" s="14">
        <f t="shared" si="12"/>
        <v>9.4736842105263754E-3</v>
      </c>
      <c r="D429" s="14">
        <f t="shared" si="13"/>
        <v>6.9119286510590891E-2</v>
      </c>
      <c r="E429" s="15">
        <f>VLOOKUP(Table2[[#This Row],[Date]],'Fed Fund New'!$A:$C,2,FALSE)</f>
        <v>0</v>
      </c>
      <c r="F429" s="15">
        <f>VLOOKUP(Table2[[#This Row],[Date]],'Fed Fund New'!$A:$C,3,FALSE)</f>
        <v>14.45</v>
      </c>
    </row>
    <row r="430" spans="1:6" x14ac:dyDescent="0.2">
      <c r="A430" s="61">
        <v>30103</v>
      </c>
      <c r="B430" s="68">
        <f>VLOOKUP(Table2[[#This Row],[Date]],Database!A:E,2,)</f>
        <v>97</v>
      </c>
      <c r="C430" s="14">
        <f t="shared" si="12"/>
        <v>1.1470281543274185E-2</v>
      </c>
      <c r="D430" s="14">
        <f t="shared" si="13"/>
        <v>7.18232044198895E-2</v>
      </c>
      <c r="E430" s="15">
        <f>VLOOKUP(Table2[[#This Row],[Date]],'Fed Fund New'!$A:$C,2,FALSE)</f>
        <v>0</v>
      </c>
      <c r="F430" s="15">
        <f>VLOOKUP(Table2[[#This Row],[Date]],'Fed Fund New'!$A:$C,3,FALSE)</f>
        <v>14.15</v>
      </c>
    </row>
    <row r="431" spans="1:6" x14ac:dyDescent="0.2">
      <c r="A431" s="61">
        <v>30133</v>
      </c>
      <c r="B431" s="68">
        <f>VLOOKUP(Table2[[#This Row],[Date]],Database!A:E,2,)</f>
        <v>97.5</v>
      </c>
      <c r="C431" s="14">
        <f t="shared" si="12"/>
        <v>5.1546391752577319E-3</v>
      </c>
      <c r="D431" s="14">
        <f t="shared" si="13"/>
        <v>6.5573770491803282E-2</v>
      </c>
      <c r="E431" s="15">
        <f>VLOOKUP(Table2[[#This Row],[Date]],'Fed Fund New'!$A:$C,2,FALSE)</f>
        <v>0</v>
      </c>
      <c r="F431" s="15">
        <f>VLOOKUP(Table2[[#This Row],[Date]],'Fed Fund New'!$A:$C,3,FALSE)</f>
        <v>12.59</v>
      </c>
    </row>
    <row r="432" spans="1:6" x14ac:dyDescent="0.2">
      <c r="A432" s="61">
        <v>30164</v>
      </c>
      <c r="B432" s="68">
        <f>VLOOKUP(Table2[[#This Row],[Date]],Database!A:E,2,)</f>
        <v>97.7</v>
      </c>
      <c r="C432" s="14">
        <f t="shared" si="12"/>
        <v>2.0512820512820803E-3</v>
      </c>
      <c r="D432" s="14">
        <f t="shared" si="13"/>
        <v>5.9652928416485895E-2</v>
      </c>
      <c r="E432" s="15">
        <f>VLOOKUP(Table2[[#This Row],[Date]],'Fed Fund New'!$A:$C,2,FALSE)</f>
        <v>0</v>
      </c>
      <c r="F432" s="15">
        <f>VLOOKUP(Table2[[#This Row],[Date]],'Fed Fund New'!$A:$C,3,FALSE)</f>
        <v>10.119999999999999</v>
      </c>
    </row>
    <row r="433" spans="1:6" x14ac:dyDescent="0.2">
      <c r="A433" s="61">
        <v>30195</v>
      </c>
      <c r="B433" s="68">
        <f>VLOOKUP(Table2[[#This Row],[Date]],Database!A:E,2,)</f>
        <v>97.7</v>
      </c>
      <c r="C433" s="14">
        <f t="shared" si="12"/>
        <v>0</v>
      </c>
      <c r="D433" s="14">
        <f t="shared" si="13"/>
        <v>4.9409237379162287E-2</v>
      </c>
      <c r="E433" s="15">
        <f>VLOOKUP(Table2[[#This Row],[Date]],'Fed Fund New'!$A:$C,2,FALSE)</f>
        <v>0</v>
      </c>
      <c r="F433" s="15">
        <f>VLOOKUP(Table2[[#This Row],[Date]],'Fed Fund New'!$A:$C,3,FALSE)</f>
        <v>10.31</v>
      </c>
    </row>
    <row r="434" spans="1:6" x14ac:dyDescent="0.2">
      <c r="A434" s="61">
        <v>30225</v>
      </c>
      <c r="B434" s="68">
        <f>VLOOKUP(Table2[[#This Row],[Date]],Database!A:E,2,)</f>
        <v>98.1</v>
      </c>
      <c r="C434" s="14">
        <f t="shared" si="12"/>
        <v>4.094165813715368E-3</v>
      </c>
      <c r="D434" s="14">
        <f t="shared" si="13"/>
        <v>5.0321199143468824E-2</v>
      </c>
      <c r="E434" s="15">
        <f>VLOOKUP(Table2[[#This Row],[Date]],'Fed Fund New'!$A:$C,2,FALSE)</f>
        <v>0</v>
      </c>
      <c r="F434" s="15">
        <f>VLOOKUP(Table2[[#This Row],[Date]],'Fed Fund New'!$A:$C,3,FALSE)</f>
        <v>9.7100000000000009</v>
      </c>
    </row>
    <row r="435" spans="1:6" x14ac:dyDescent="0.2">
      <c r="A435" s="61">
        <v>30256</v>
      </c>
      <c r="B435" s="68">
        <f>VLOOKUP(Table2[[#This Row],[Date]],Database!A:E,2,)</f>
        <v>98</v>
      </c>
      <c r="C435" s="14">
        <f t="shared" si="12"/>
        <v>-1.0193679918449982E-3</v>
      </c>
      <c r="D435" s="14">
        <f t="shared" si="13"/>
        <v>4.4776119402985107E-2</v>
      </c>
      <c r="E435" s="15">
        <f>VLOOKUP(Table2[[#This Row],[Date]],'Fed Fund New'!$A:$C,2,FALSE)</f>
        <v>0</v>
      </c>
      <c r="F435" s="15">
        <f>VLOOKUP(Table2[[#This Row],[Date]],'Fed Fund New'!$A:$C,3,FALSE)</f>
        <v>9.1999999999999993</v>
      </c>
    </row>
    <row r="436" spans="1:6" x14ac:dyDescent="0.2">
      <c r="A436" s="61">
        <v>30286</v>
      </c>
      <c r="B436" s="68">
        <f>VLOOKUP(Table2[[#This Row],[Date]],Database!A:E,2,)</f>
        <v>97.7</v>
      </c>
      <c r="C436" s="14">
        <f t="shared" si="12"/>
        <v>-3.0612244897958892E-3</v>
      </c>
      <c r="D436" s="14">
        <f t="shared" si="13"/>
        <v>3.8257173219978839E-2</v>
      </c>
      <c r="E436" s="15">
        <f>VLOOKUP(Table2[[#This Row],[Date]],'Fed Fund New'!$A:$C,2,FALSE)</f>
        <v>0</v>
      </c>
      <c r="F436" s="15">
        <f>VLOOKUP(Table2[[#This Row],[Date]],'Fed Fund New'!$A:$C,3,FALSE)</f>
        <v>8.9499999999999993</v>
      </c>
    </row>
    <row r="437" spans="1:6" x14ac:dyDescent="0.2">
      <c r="A437" s="61">
        <v>30317</v>
      </c>
      <c r="B437" s="68">
        <f>VLOOKUP(Table2[[#This Row],[Date]],Database!A:E,2,)</f>
        <v>97.9</v>
      </c>
      <c r="C437" s="14">
        <f t="shared" si="12"/>
        <v>2.0470829068577568E-3</v>
      </c>
      <c r="D437" s="14">
        <f t="shared" si="13"/>
        <v>3.7076271186440676E-2</v>
      </c>
      <c r="E437" s="15">
        <f>VLOOKUP(Table2[[#This Row],[Date]],'Fed Fund New'!$A:$C,2,FALSE)</f>
        <v>0</v>
      </c>
      <c r="F437" s="15">
        <f>VLOOKUP(Table2[[#This Row],[Date]],'Fed Fund New'!$A:$C,3,FALSE)</f>
        <v>8.68</v>
      </c>
    </row>
    <row r="438" spans="1:6" x14ac:dyDescent="0.2">
      <c r="A438" s="61">
        <v>30348</v>
      </c>
      <c r="B438" s="68">
        <f>VLOOKUP(Table2[[#This Row],[Date]],Database!A:E,2,)</f>
        <v>98</v>
      </c>
      <c r="C438" s="14">
        <f t="shared" si="12"/>
        <v>1.0214504596526488E-3</v>
      </c>
      <c r="D438" s="14">
        <f t="shared" si="13"/>
        <v>3.4846884899683177E-2</v>
      </c>
      <c r="E438" s="15">
        <f>VLOOKUP(Table2[[#This Row],[Date]],'Fed Fund New'!$A:$C,2,FALSE)</f>
        <v>0</v>
      </c>
      <c r="F438" s="15">
        <f>VLOOKUP(Table2[[#This Row],[Date]],'Fed Fund New'!$A:$C,3,FALSE)</f>
        <v>8.51</v>
      </c>
    </row>
    <row r="439" spans="1:6" x14ac:dyDescent="0.2">
      <c r="A439" s="61">
        <v>30376</v>
      </c>
      <c r="B439" s="68">
        <f>VLOOKUP(Table2[[#This Row],[Date]],Database!A:E,2,)</f>
        <v>98.1</v>
      </c>
      <c r="C439" s="14">
        <f t="shared" si="12"/>
        <v>1.0204081632652481E-3</v>
      </c>
      <c r="D439" s="14">
        <f t="shared" si="13"/>
        <v>3.5902851108764428E-2</v>
      </c>
      <c r="E439" s="15">
        <f>VLOOKUP(Table2[[#This Row],[Date]],'Fed Fund New'!$A:$C,2,FALSE)</f>
        <v>0</v>
      </c>
      <c r="F439" s="15">
        <f>VLOOKUP(Table2[[#This Row],[Date]],'Fed Fund New'!$A:$C,3,FALSE)</f>
        <v>8.77</v>
      </c>
    </row>
    <row r="440" spans="1:6" x14ac:dyDescent="0.2">
      <c r="A440" s="61">
        <v>30407</v>
      </c>
      <c r="B440" s="68">
        <f>VLOOKUP(Table2[[#This Row],[Date]],Database!A:E,2,)</f>
        <v>98.8</v>
      </c>
      <c r="C440" s="14">
        <f t="shared" si="12"/>
        <v>7.1355759429154219E-3</v>
      </c>
      <c r="D440" s="14">
        <f t="shared" si="13"/>
        <v>3.9999999999999973E-2</v>
      </c>
      <c r="E440" s="15">
        <f>VLOOKUP(Table2[[#This Row],[Date]],'Fed Fund New'!$A:$C,2,FALSE)</f>
        <v>0</v>
      </c>
      <c r="F440" s="15">
        <f>VLOOKUP(Table2[[#This Row],[Date]],'Fed Fund New'!$A:$C,3,FALSE)</f>
        <v>8.8000000000000007</v>
      </c>
    </row>
    <row r="441" spans="1:6" x14ac:dyDescent="0.2">
      <c r="A441" s="61">
        <v>30437</v>
      </c>
      <c r="B441" s="68">
        <f>VLOOKUP(Table2[[#This Row],[Date]],Database!A:E,2,)</f>
        <v>99.2</v>
      </c>
      <c r="C441" s="14">
        <f t="shared" si="12"/>
        <v>4.0485829959514743E-3</v>
      </c>
      <c r="D441" s="14">
        <f t="shared" si="13"/>
        <v>3.4410844629822697E-2</v>
      </c>
      <c r="E441" s="15">
        <f>VLOOKUP(Table2[[#This Row],[Date]],'Fed Fund New'!$A:$C,2,FALSE)</f>
        <v>0</v>
      </c>
      <c r="F441" s="15">
        <f>VLOOKUP(Table2[[#This Row],[Date]],'Fed Fund New'!$A:$C,3,FALSE)</f>
        <v>8.6300000000000008</v>
      </c>
    </row>
    <row r="442" spans="1:6" x14ac:dyDescent="0.2">
      <c r="A442" s="61">
        <v>30468</v>
      </c>
      <c r="B442" s="68">
        <f>VLOOKUP(Table2[[#This Row],[Date]],Database!A:E,2,)</f>
        <v>99.4</v>
      </c>
      <c r="C442" s="14">
        <f t="shared" si="12"/>
        <v>2.0161290322580931E-3</v>
      </c>
      <c r="D442" s="14">
        <f t="shared" si="13"/>
        <v>2.4742268041237171E-2</v>
      </c>
      <c r="E442" s="15">
        <f>VLOOKUP(Table2[[#This Row],[Date]],'Fed Fund New'!$A:$C,2,FALSE)</f>
        <v>0</v>
      </c>
      <c r="F442" s="15">
        <f>VLOOKUP(Table2[[#This Row],[Date]],'Fed Fund New'!$A:$C,3,FALSE)</f>
        <v>8.98</v>
      </c>
    </row>
    <row r="443" spans="1:6" x14ac:dyDescent="0.2">
      <c r="A443" s="61">
        <v>30498</v>
      </c>
      <c r="B443" s="68">
        <f>VLOOKUP(Table2[[#This Row],[Date]],Database!A:E,2,)</f>
        <v>99.8</v>
      </c>
      <c r="C443" s="14">
        <f t="shared" si="12"/>
        <v>4.0241448692152054E-3</v>
      </c>
      <c r="D443" s="14">
        <f t="shared" si="13"/>
        <v>2.3589743589743559E-2</v>
      </c>
      <c r="E443" s="15">
        <f>VLOOKUP(Table2[[#This Row],[Date]],'Fed Fund New'!$A:$C,2,FALSE)</f>
        <v>0</v>
      </c>
      <c r="F443" s="15">
        <f>VLOOKUP(Table2[[#This Row],[Date]],'Fed Fund New'!$A:$C,3,FALSE)</f>
        <v>9.3699999999999992</v>
      </c>
    </row>
    <row r="444" spans="1:6" x14ac:dyDescent="0.2">
      <c r="A444" s="61">
        <v>30529</v>
      </c>
      <c r="B444" s="68">
        <f>VLOOKUP(Table2[[#This Row],[Date]],Database!A:E,2,)</f>
        <v>100.1</v>
      </c>
      <c r="C444" s="14">
        <f t="shared" si="12"/>
        <v>3.006012024048068E-3</v>
      </c>
      <c r="D444" s="14">
        <f t="shared" si="13"/>
        <v>2.4564994882292645E-2</v>
      </c>
      <c r="E444" s="15">
        <f>VLOOKUP(Table2[[#This Row],[Date]],'Fed Fund New'!$A:$C,2,FALSE)</f>
        <v>0</v>
      </c>
      <c r="F444" s="15">
        <f>VLOOKUP(Table2[[#This Row],[Date]],'Fed Fund New'!$A:$C,3,FALSE)</f>
        <v>9.56</v>
      </c>
    </row>
    <row r="445" spans="1:6" x14ac:dyDescent="0.2">
      <c r="A445" s="61">
        <v>30560</v>
      </c>
      <c r="B445" s="68">
        <f>VLOOKUP(Table2[[#This Row],[Date]],Database!A:E,2,)</f>
        <v>100.4</v>
      </c>
      <c r="C445" s="14">
        <f t="shared" si="12"/>
        <v>2.9970029970031106E-3</v>
      </c>
      <c r="D445" s="14">
        <f t="shared" si="13"/>
        <v>2.7635619242579353E-2</v>
      </c>
      <c r="E445" s="15">
        <f>VLOOKUP(Table2[[#This Row],[Date]],'Fed Fund New'!$A:$C,2,FALSE)</f>
        <v>0</v>
      </c>
      <c r="F445" s="15">
        <f>VLOOKUP(Table2[[#This Row],[Date]],'Fed Fund New'!$A:$C,3,FALSE)</f>
        <v>9.4499999999999993</v>
      </c>
    </row>
    <row r="446" spans="1:6" x14ac:dyDescent="0.2">
      <c r="A446" s="61">
        <v>30590</v>
      </c>
      <c r="B446" s="68">
        <f>VLOOKUP(Table2[[#This Row],[Date]],Database!A:E,2,)</f>
        <v>100.8</v>
      </c>
      <c r="C446" s="14">
        <f t="shared" si="12"/>
        <v>3.9840637450198352E-3</v>
      </c>
      <c r="D446" s="14">
        <f t="shared" si="13"/>
        <v>2.7522935779816543E-2</v>
      </c>
      <c r="E446" s="15">
        <f>VLOOKUP(Table2[[#This Row],[Date]],'Fed Fund New'!$A:$C,2,FALSE)</f>
        <v>0</v>
      </c>
      <c r="F446" s="15">
        <f>VLOOKUP(Table2[[#This Row],[Date]],'Fed Fund New'!$A:$C,3,FALSE)</f>
        <v>9.48</v>
      </c>
    </row>
    <row r="447" spans="1:6" x14ac:dyDescent="0.2">
      <c r="A447" s="61">
        <v>30621</v>
      </c>
      <c r="B447" s="68">
        <f>VLOOKUP(Table2[[#This Row],[Date]],Database!A:E,2,)</f>
        <v>101.1</v>
      </c>
      <c r="C447" s="14">
        <f t="shared" si="12"/>
        <v>2.9761904761904483E-3</v>
      </c>
      <c r="D447" s="14">
        <f t="shared" si="13"/>
        <v>3.1632653061224432E-2</v>
      </c>
      <c r="E447" s="15">
        <f>VLOOKUP(Table2[[#This Row],[Date]],'Fed Fund New'!$A:$C,2,FALSE)</f>
        <v>0</v>
      </c>
      <c r="F447" s="15">
        <f>VLOOKUP(Table2[[#This Row],[Date]],'Fed Fund New'!$A:$C,3,FALSE)</f>
        <v>9.34</v>
      </c>
    </row>
    <row r="448" spans="1:6" x14ac:dyDescent="0.2">
      <c r="A448" s="61">
        <v>30651</v>
      </c>
      <c r="B448" s="68">
        <f>VLOOKUP(Table2[[#This Row],[Date]],Database!A:E,2,)</f>
        <v>101.4</v>
      </c>
      <c r="C448" s="14">
        <f t="shared" si="12"/>
        <v>2.9673590504452163E-3</v>
      </c>
      <c r="D448" s="14">
        <f t="shared" si="13"/>
        <v>3.7871033776867992E-2</v>
      </c>
      <c r="E448" s="15">
        <f>VLOOKUP(Table2[[#This Row],[Date]],'Fed Fund New'!$A:$C,2,FALSE)</f>
        <v>0</v>
      </c>
      <c r="F448" s="15">
        <f>VLOOKUP(Table2[[#This Row],[Date]],'Fed Fund New'!$A:$C,3,FALSE)</f>
        <v>9.4700000000000006</v>
      </c>
    </row>
    <row r="449" spans="1:6" x14ac:dyDescent="0.2">
      <c r="A449" s="61">
        <v>30682</v>
      </c>
      <c r="B449" s="68">
        <f>VLOOKUP(Table2[[#This Row],[Date]],Database!A:E,2,)</f>
        <v>102.1</v>
      </c>
      <c r="C449" s="14">
        <f t="shared" si="12"/>
        <v>6.9033530571990988E-3</v>
      </c>
      <c r="D449" s="14">
        <f t="shared" si="13"/>
        <v>4.2900919305413572E-2</v>
      </c>
      <c r="E449" s="15">
        <f>VLOOKUP(Table2[[#This Row],[Date]],'Fed Fund New'!$A:$C,2,FALSE)</f>
        <v>0</v>
      </c>
      <c r="F449" s="15">
        <f>VLOOKUP(Table2[[#This Row],[Date]],'Fed Fund New'!$A:$C,3,FALSE)</f>
        <v>9.56</v>
      </c>
    </row>
    <row r="450" spans="1:6" x14ac:dyDescent="0.2">
      <c r="A450" s="61">
        <v>30713</v>
      </c>
      <c r="B450" s="68">
        <f>VLOOKUP(Table2[[#This Row],[Date]],Database!A:E,2,)</f>
        <v>102.6</v>
      </c>
      <c r="C450" s="14">
        <f t="shared" si="12"/>
        <v>4.8971596474045058E-3</v>
      </c>
      <c r="D450" s="14">
        <f t="shared" si="13"/>
        <v>4.6938775510204027E-2</v>
      </c>
      <c r="E450" s="15">
        <f>VLOOKUP(Table2[[#This Row],[Date]],'Fed Fund New'!$A:$C,2,FALSE)</f>
        <v>0</v>
      </c>
      <c r="F450" s="15">
        <f>VLOOKUP(Table2[[#This Row],[Date]],'Fed Fund New'!$A:$C,3,FALSE)</f>
        <v>9.59</v>
      </c>
    </row>
    <row r="451" spans="1:6" x14ac:dyDescent="0.2">
      <c r="A451" s="61">
        <v>30742</v>
      </c>
      <c r="B451" s="68">
        <f>VLOOKUP(Table2[[#This Row],[Date]],Database!A:E,2,)</f>
        <v>102.9</v>
      </c>
      <c r="C451" s="14">
        <f t="shared" si="12"/>
        <v>2.9239766081872454E-3</v>
      </c>
      <c r="D451" s="14">
        <f t="shared" si="13"/>
        <v>4.8929663608562809E-2</v>
      </c>
      <c r="E451" s="15">
        <f>VLOOKUP(Table2[[#This Row],[Date]],'Fed Fund New'!$A:$C,2,FALSE)</f>
        <v>0</v>
      </c>
      <c r="F451" s="15">
        <f>VLOOKUP(Table2[[#This Row],[Date]],'Fed Fund New'!$A:$C,3,FALSE)</f>
        <v>9.91</v>
      </c>
    </row>
    <row r="452" spans="1:6" x14ac:dyDescent="0.2">
      <c r="A452" s="61">
        <v>30773</v>
      </c>
      <c r="B452" s="68">
        <f>VLOOKUP(Table2[[#This Row],[Date]],Database!A:E,2,)</f>
        <v>103.3</v>
      </c>
      <c r="C452" s="14">
        <f t="shared" si="12"/>
        <v>3.8872691933915593E-3</v>
      </c>
      <c r="D452" s="14">
        <f t="shared" si="13"/>
        <v>4.5546558704453441E-2</v>
      </c>
      <c r="E452" s="15">
        <f>VLOOKUP(Table2[[#This Row],[Date]],'Fed Fund New'!$A:$C,2,FALSE)</f>
        <v>0</v>
      </c>
      <c r="F452" s="15">
        <f>VLOOKUP(Table2[[#This Row],[Date]],'Fed Fund New'!$A:$C,3,FALSE)</f>
        <v>10.29</v>
      </c>
    </row>
    <row r="453" spans="1:6" x14ac:dyDescent="0.2">
      <c r="A453" s="61">
        <v>30803</v>
      </c>
      <c r="B453" s="68">
        <f>VLOOKUP(Table2[[#This Row],[Date]],Database!A:E,2,)</f>
        <v>103.5</v>
      </c>
      <c r="C453" s="14">
        <f t="shared" si="12"/>
        <v>1.9361084220716636E-3</v>
      </c>
      <c r="D453" s="14">
        <f t="shared" si="13"/>
        <v>4.3346774193548356E-2</v>
      </c>
      <c r="E453" s="15">
        <f>VLOOKUP(Table2[[#This Row],[Date]],'Fed Fund New'!$A:$C,2,FALSE)</f>
        <v>0</v>
      </c>
      <c r="F453" s="15">
        <f>VLOOKUP(Table2[[#This Row],[Date]],'Fed Fund New'!$A:$C,3,FALSE)</f>
        <v>10.32</v>
      </c>
    </row>
    <row r="454" spans="1:6" x14ac:dyDescent="0.2">
      <c r="A454" s="61">
        <v>30834</v>
      </c>
      <c r="B454" s="68">
        <f>VLOOKUP(Table2[[#This Row],[Date]],Database!A:E,2,)</f>
        <v>103.7</v>
      </c>
      <c r="C454" s="14">
        <f t="shared" ref="C454:C517" si="14">(B454-B453)/B453</f>
        <v>1.9323671497584816E-3</v>
      </c>
      <c r="D454" s="14">
        <f t="shared" si="13"/>
        <v>4.3259557344064357E-2</v>
      </c>
      <c r="E454" s="15">
        <f>VLOOKUP(Table2[[#This Row],[Date]],'Fed Fund New'!$A:$C,2,FALSE)</f>
        <v>0</v>
      </c>
      <c r="F454" s="15">
        <f>VLOOKUP(Table2[[#This Row],[Date]],'Fed Fund New'!$A:$C,3,FALSE)</f>
        <v>11.06</v>
      </c>
    </row>
    <row r="455" spans="1:6" x14ac:dyDescent="0.2">
      <c r="A455" s="61">
        <v>30864</v>
      </c>
      <c r="B455" s="68">
        <f>VLOOKUP(Table2[[#This Row],[Date]],Database!A:E,2,)</f>
        <v>104.1</v>
      </c>
      <c r="C455" s="14">
        <f t="shared" si="14"/>
        <v>3.8572806171648165E-3</v>
      </c>
      <c r="D455" s="14">
        <f t="shared" si="13"/>
        <v>4.3086172344689352E-2</v>
      </c>
      <c r="E455" s="15">
        <f>VLOOKUP(Table2[[#This Row],[Date]],'Fed Fund New'!$A:$C,2,FALSE)</f>
        <v>0</v>
      </c>
      <c r="F455" s="15">
        <f>VLOOKUP(Table2[[#This Row],[Date]],'Fed Fund New'!$A:$C,3,FALSE)</f>
        <v>11.23</v>
      </c>
    </row>
    <row r="456" spans="1:6" x14ac:dyDescent="0.2">
      <c r="A456" s="61">
        <v>30895</v>
      </c>
      <c r="B456" s="68">
        <f>VLOOKUP(Table2[[#This Row],[Date]],Database!A:E,2,)</f>
        <v>104.4</v>
      </c>
      <c r="C456" s="14">
        <f t="shared" si="14"/>
        <v>2.8818443804035677E-3</v>
      </c>
      <c r="D456" s="14">
        <f t="shared" si="13"/>
        <v>4.2957042957043071E-2</v>
      </c>
      <c r="E456" s="15">
        <f>VLOOKUP(Table2[[#This Row],[Date]],'Fed Fund New'!$A:$C,2,FALSE)</f>
        <v>0</v>
      </c>
      <c r="F456" s="15">
        <f>VLOOKUP(Table2[[#This Row],[Date]],'Fed Fund New'!$A:$C,3,FALSE)</f>
        <v>11.64</v>
      </c>
    </row>
    <row r="457" spans="1:6" x14ac:dyDescent="0.2">
      <c r="A457" s="61">
        <v>30926</v>
      </c>
      <c r="B457" s="68">
        <f>VLOOKUP(Table2[[#This Row],[Date]],Database!A:E,2,)</f>
        <v>104.7</v>
      </c>
      <c r="C457" s="14">
        <f t="shared" si="14"/>
        <v>2.8735632183907772E-3</v>
      </c>
      <c r="D457" s="14">
        <f t="shared" si="13"/>
        <v>4.2828685258964112E-2</v>
      </c>
      <c r="E457" s="15">
        <f>VLOOKUP(Table2[[#This Row],[Date]],'Fed Fund New'!$A:$C,2,FALSE)</f>
        <v>0</v>
      </c>
      <c r="F457" s="15">
        <f>VLOOKUP(Table2[[#This Row],[Date]],'Fed Fund New'!$A:$C,3,FALSE)</f>
        <v>11.3</v>
      </c>
    </row>
    <row r="458" spans="1:6" x14ac:dyDescent="0.2">
      <c r="A458" s="61">
        <v>30956</v>
      </c>
      <c r="B458" s="68">
        <f>VLOOKUP(Table2[[#This Row],[Date]],Database!A:E,2,)</f>
        <v>105.1</v>
      </c>
      <c r="C458" s="14">
        <f t="shared" si="14"/>
        <v>3.8204393505252288E-3</v>
      </c>
      <c r="D458" s="14">
        <f t="shared" si="13"/>
        <v>4.2658730158730132E-2</v>
      </c>
      <c r="E458" s="15">
        <f>VLOOKUP(Table2[[#This Row],[Date]],'Fed Fund New'!$A:$C,2,FALSE)</f>
        <v>0</v>
      </c>
      <c r="F458" s="15">
        <f>VLOOKUP(Table2[[#This Row],[Date]],'Fed Fund New'!$A:$C,3,FALSE)</f>
        <v>9.99</v>
      </c>
    </row>
    <row r="459" spans="1:6" x14ac:dyDescent="0.2">
      <c r="A459" s="61">
        <v>30987</v>
      </c>
      <c r="B459" s="68">
        <f>VLOOKUP(Table2[[#This Row],[Date]],Database!A:E,2,)</f>
        <v>105.3</v>
      </c>
      <c r="C459" s="14">
        <f t="shared" si="14"/>
        <v>1.9029495718363735E-3</v>
      </c>
      <c r="D459" s="14">
        <f t="shared" si="13"/>
        <v>4.1543026706231487E-2</v>
      </c>
      <c r="E459" s="15">
        <f>VLOOKUP(Table2[[#This Row],[Date]],'Fed Fund New'!$A:$C,2,FALSE)</f>
        <v>0</v>
      </c>
      <c r="F459" s="15">
        <f>VLOOKUP(Table2[[#This Row],[Date]],'Fed Fund New'!$A:$C,3,FALSE)</f>
        <v>9.43</v>
      </c>
    </row>
    <row r="460" spans="1:6" x14ac:dyDescent="0.2">
      <c r="A460" s="61">
        <v>31017</v>
      </c>
      <c r="B460" s="68">
        <f>VLOOKUP(Table2[[#This Row],[Date]],Database!A:E,2,)</f>
        <v>105.5</v>
      </c>
      <c r="C460" s="14">
        <f t="shared" si="14"/>
        <v>1.899335232668593E-3</v>
      </c>
      <c r="D460" s="14">
        <f t="shared" si="13"/>
        <v>4.0433925049309608E-2</v>
      </c>
      <c r="E460" s="15">
        <f>VLOOKUP(Table2[[#This Row],[Date]],'Fed Fund New'!$A:$C,2,FALSE)</f>
        <v>0</v>
      </c>
      <c r="F460" s="15">
        <f>VLOOKUP(Table2[[#This Row],[Date]],'Fed Fund New'!$A:$C,3,FALSE)</f>
        <v>8.3800000000000008</v>
      </c>
    </row>
    <row r="461" spans="1:6" x14ac:dyDescent="0.2">
      <c r="A461" s="61">
        <v>31048</v>
      </c>
      <c r="B461" s="68">
        <f>VLOOKUP(Table2[[#This Row],[Date]],Database!A:E,2,)</f>
        <v>105.7</v>
      </c>
      <c r="C461" s="14">
        <f t="shared" si="14"/>
        <v>1.8957345971564251E-3</v>
      </c>
      <c r="D461" s="14">
        <f t="shared" si="13"/>
        <v>3.5259549461312524E-2</v>
      </c>
      <c r="E461" s="15">
        <f>VLOOKUP(Table2[[#This Row],[Date]],'Fed Fund New'!$A:$C,2,FALSE)</f>
        <v>0</v>
      </c>
      <c r="F461" s="15">
        <f>VLOOKUP(Table2[[#This Row],[Date]],'Fed Fund New'!$A:$C,3,FALSE)</f>
        <v>8.35</v>
      </c>
    </row>
    <row r="462" spans="1:6" x14ac:dyDescent="0.2">
      <c r="A462" s="61">
        <v>31079</v>
      </c>
      <c r="B462" s="68">
        <f>VLOOKUP(Table2[[#This Row],[Date]],Database!A:E,2,)</f>
        <v>106.3</v>
      </c>
      <c r="C462" s="14">
        <f t="shared" si="14"/>
        <v>5.676442762535424E-3</v>
      </c>
      <c r="D462" s="14">
        <f t="shared" si="13"/>
        <v>3.6062378167641358E-2</v>
      </c>
      <c r="E462" s="15">
        <f>VLOOKUP(Table2[[#This Row],[Date]],'Fed Fund New'!$A:$C,2,FALSE)</f>
        <v>0</v>
      </c>
      <c r="F462" s="15">
        <f>VLOOKUP(Table2[[#This Row],[Date]],'Fed Fund New'!$A:$C,3,FALSE)</f>
        <v>8.5</v>
      </c>
    </row>
    <row r="463" spans="1:6" x14ac:dyDescent="0.2">
      <c r="A463" s="61">
        <v>31107</v>
      </c>
      <c r="B463" s="68">
        <f>VLOOKUP(Table2[[#This Row],[Date]],Database!A:E,2,)</f>
        <v>106.8</v>
      </c>
      <c r="C463" s="14">
        <f t="shared" si="14"/>
        <v>4.7036688617121359E-3</v>
      </c>
      <c r="D463" s="14">
        <f t="shared" si="13"/>
        <v>3.7900874635568425E-2</v>
      </c>
      <c r="E463" s="15">
        <f>VLOOKUP(Table2[[#This Row],[Date]],'Fed Fund New'!$A:$C,2,FALSE)</f>
        <v>0</v>
      </c>
      <c r="F463" s="15">
        <f>VLOOKUP(Table2[[#This Row],[Date]],'Fed Fund New'!$A:$C,3,FALSE)</f>
        <v>8.58</v>
      </c>
    </row>
    <row r="464" spans="1:6" x14ac:dyDescent="0.2">
      <c r="A464" s="61">
        <v>31138</v>
      </c>
      <c r="B464" s="68">
        <f>VLOOKUP(Table2[[#This Row],[Date]],Database!A:E,2,)</f>
        <v>107</v>
      </c>
      <c r="C464" s="14">
        <f t="shared" si="14"/>
        <v>1.8726591760299892E-3</v>
      </c>
      <c r="D464" s="14">
        <f t="shared" si="13"/>
        <v>3.5818005808325296E-2</v>
      </c>
      <c r="E464" s="15">
        <f>VLOOKUP(Table2[[#This Row],[Date]],'Fed Fund New'!$A:$C,2,FALSE)</f>
        <v>0</v>
      </c>
      <c r="F464" s="15">
        <f>VLOOKUP(Table2[[#This Row],[Date]],'Fed Fund New'!$A:$C,3,FALSE)</f>
        <v>8.27</v>
      </c>
    </row>
    <row r="465" spans="1:6" x14ac:dyDescent="0.2">
      <c r="A465" s="61">
        <v>31168</v>
      </c>
      <c r="B465" s="68">
        <f>VLOOKUP(Table2[[#This Row],[Date]],Database!A:E,2,)</f>
        <v>107.2</v>
      </c>
      <c r="C465" s="14">
        <f t="shared" si="14"/>
        <v>1.8691588785046994E-3</v>
      </c>
      <c r="D465" s="14">
        <f t="shared" ref="D465:D528" si="15">(B465-B453)/B453</f>
        <v>3.5748792270531425E-2</v>
      </c>
      <c r="E465" s="15">
        <f>VLOOKUP(Table2[[#This Row],[Date]],'Fed Fund New'!$A:$C,2,FALSE)</f>
        <v>0</v>
      </c>
      <c r="F465" s="15">
        <f>VLOOKUP(Table2[[#This Row],[Date]],'Fed Fund New'!$A:$C,3,FALSE)</f>
        <v>7.97</v>
      </c>
    </row>
    <row r="466" spans="1:6" x14ac:dyDescent="0.2">
      <c r="A466" s="61">
        <v>31199</v>
      </c>
      <c r="B466" s="68">
        <f>VLOOKUP(Table2[[#This Row],[Date]],Database!A:E,2,)</f>
        <v>107.5</v>
      </c>
      <c r="C466" s="14">
        <f t="shared" si="14"/>
        <v>2.7985074626865405E-3</v>
      </c>
      <c r="D466" s="14">
        <f t="shared" si="15"/>
        <v>3.6644165863066507E-2</v>
      </c>
      <c r="E466" s="15">
        <f>VLOOKUP(Table2[[#This Row],[Date]],'Fed Fund New'!$A:$C,2,FALSE)</f>
        <v>0</v>
      </c>
      <c r="F466" s="15">
        <f>VLOOKUP(Table2[[#This Row],[Date]],'Fed Fund New'!$A:$C,3,FALSE)</f>
        <v>7.53</v>
      </c>
    </row>
    <row r="467" spans="1:6" x14ac:dyDescent="0.2">
      <c r="A467" s="61">
        <v>31229</v>
      </c>
      <c r="B467" s="68">
        <f>VLOOKUP(Table2[[#This Row],[Date]],Database!A:E,2,)</f>
        <v>107.7</v>
      </c>
      <c r="C467" s="14">
        <f t="shared" si="14"/>
        <v>1.8604651162790961E-3</v>
      </c>
      <c r="D467" s="14">
        <f t="shared" si="15"/>
        <v>3.4582132564841585E-2</v>
      </c>
      <c r="E467" s="15">
        <f>VLOOKUP(Table2[[#This Row],[Date]],'Fed Fund New'!$A:$C,2,FALSE)</f>
        <v>0</v>
      </c>
      <c r="F467" s="15">
        <f>VLOOKUP(Table2[[#This Row],[Date]],'Fed Fund New'!$A:$C,3,FALSE)</f>
        <v>7.88</v>
      </c>
    </row>
    <row r="468" spans="1:6" x14ac:dyDescent="0.2">
      <c r="A468" s="61">
        <v>31260</v>
      </c>
      <c r="B468" s="68">
        <f>VLOOKUP(Table2[[#This Row],[Date]],Database!A:E,2,)</f>
        <v>107.9</v>
      </c>
      <c r="C468" s="14">
        <f t="shared" si="14"/>
        <v>1.8570102135562008E-3</v>
      </c>
      <c r="D468" s="14">
        <f t="shared" si="15"/>
        <v>3.3524904214559385E-2</v>
      </c>
      <c r="E468" s="15">
        <f>VLOOKUP(Table2[[#This Row],[Date]],'Fed Fund New'!$A:$C,2,FALSE)</f>
        <v>0</v>
      </c>
      <c r="F468" s="15">
        <f>VLOOKUP(Table2[[#This Row],[Date]],'Fed Fund New'!$A:$C,3,FALSE)</f>
        <v>7.9</v>
      </c>
    </row>
    <row r="469" spans="1:6" x14ac:dyDescent="0.2">
      <c r="A469" s="61">
        <v>31291</v>
      </c>
      <c r="B469" s="68">
        <f>VLOOKUP(Table2[[#This Row],[Date]],Database!A:E,2,)</f>
        <v>108.1</v>
      </c>
      <c r="C469" s="14">
        <f t="shared" si="14"/>
        <v>1.8535681186282542E-3</v>
      </c>
      <c r="D469" s="14">
        <f t="shared" si="15"/>
        <v>3.2473734479465055E-2</v>
      </c>
      <c r="E469" s="15">
        <f>VLOOKUP(Table2[[#This Row],[Date]],'Fed Fund New'!$A:$C,2,FALSE)</f>
        <v>0</v>
      </c>
      <c r="F469" s="15">
        <f>VLOOKUP(Table2[[#This Row],[Date]],'Fed Fund New'!$A:$C,3,FALSE)</f>
        <v>7.92</v>
      </c>
    </row>
    <row r="470" spans="1:6" x14ac:dyDescent="0.2">
      <c r="A470" s="61">
        <v>31321</v>
      </c>
      <c r="B470" s="68">
        <f>VLOOKUP(Table2[[#This Row],[Date]],Database!A:E,2,)</f>
        <v>108.5</v>
      </c>
      <c r="C470" s="14">
        <f t="shared" si="14"/>
        <v>3.7002775208141137E-3</v>
      </c>
      <c r="D470" s="14">
        <f t="shared" si="15"/>
        <v>3.2350142721217945E-2</v>
      </c>
      <c r="E470" s="15">
        <f>VLOOKUP(Table2[[#This Row],[Date]],'Fed Fund New'!$A:$C,2,FALSE)</f>
        <v>0</v>
      </c>
      <c r="F470" s="15">
        <f>VLOOKUP(Table2[[#This Row],[Date]],'Fed Fund New'!$A:$C,3,FALSE)</f>
        <v>7.99</v>
      </c>
    </row>
    <row r="471" spans="1:6" x14ac:dyDescent="0.2">
      <c r="A471" s="61">
        <v>31352</v>
      </c>
      <c r="B471" s="68">
        <f>VLOOKUP(Table2[[#This Row],[Date]],Database!A:E,2,)</f>
        <v>109</v>
      </c>
      <c r="C471" s="14">
        <f t="shared" si="14"/>
        <v>4.608294930875576E-3</v>
      </c>
      <c r="D471" s="14">
        <f t="shared" si="15"/>
        <v>3.5137701804368496E-2</v>
      </c>
      <c r="E471" s="15">
        <f>VLOOKUP(Table2[[#This Row],[Date]],'Fed Fund New'!$A:$C,2,FALSE)</f>
        <v>0</v>
      </c>
      <c r="F471" s="15">
        <f>VLOOKUP(Table2[[#This Row],[Date]],'Fed Fund New'!$A:$C,3,FALSE)</f>
        <v>8.0500000000000007</v>
      </c>
    </row>
    <row r="472" spans="1:6" x14ac:dyDescent="0.2">
      <c r="A472" s="61">
        <v>31382</v>
      </c>
      <c r="B472" s="68">
        <f>VLOOKUP(Table2[[#This Row],[Date]],Database!A:E,2,)</f>
        <v>109.5</v>
      </c>
      <c r="C472" s="14">
        <f t="shared" si="14"/>
        <v>4.5871559633027525E-3</v>
      </c>
      <c r="D472" s="14">
        <f t="shared" si="15"/>
        <v>3.7914691943127965E-2</v>
      </c>
      <c r="E472" s="15">
        <f>VLOOKUP(Table2[[#This Row],[Date]],'Fed Fund New'!$A:$C,2,FALSE)</f>
        <v>0</v>
      </c>
      <c r="F472" s="15">
        <f>VLOOKUP(Table2[[#This Row],[Date]],'Fed Fund New'!$A:$C,3,FALSE)</f>
        <v>8.27</v>
      </c>
    </row>
    <row r="473" spans="1:6" x14ac:dyDescent="0.2">
      <c r="A473" s="61">
        <v>31413</v>
      </c>
      <c r="B473" s="68">
        <f>VLOOKUP(Table2[[#This Row],[Date]],Database!A:E,2,)</f>
        <v>109.9</v>
      </c>
      <c r="C473" s="14">
        <f t="shared" si="14"/>
        <v>3.6529680365297323E-3</v>
      </c>
      <c r="D473" s="14">
        <f t="shared" si="15"/>
        <v>3.9735099337748367E-2</v>
      </c>
      <c r="E473" s="15">
        <f>VLOOKUP(Table2[[#This Row],[Date]],'Fed Fund New'!$A:$C,2,FALSE)</f>
        <v>0</v>
      </c>
      <c r="F473" s="15">
        <f>VLOOKUP(Table2[[#This Row],[Date]],'Fed Fund New'!$A:$C,3,FALSE)</f>
        <v>8.14</v>
      </c>
    </row>
    <row r="474" spans="1:6" x14ac:dyDescent="0.2">
      <c r="A474" s="61">
        <v>31444</v>
      </c>
      <c r="B474" s="68">
        <f>VLOOKUP(Table2[[#This Row],[Date]],Database!A:E,2,)</f>
        <v>109.7</v>
      </c>
      <c r="C474" s="14">
        <f t="shared" si="14"/>
        <v>-1.8198362147406992E-3</v>
      </c>
      <c r="D474" s="14">
        <f t="shared" si="15"/>
        <v>3.1984948259642577E-2</v>
      </c>
      <c r="E474" s="15">
        <f>VLOOKUP(Table2[[#This Row],[Date]],'Fed Fund New'!$A:$C,2,FALSE)</f>
        <v>0</v>
      </c>
      <c r="F474" s="15">
        <f>VLOOKUP(Table2[[#This Row],[Date]],'Fed Fund New'!$A:$C,3,FALSE)</f>
        <v>7.86</v>
      </c>
    </row>
    <row r="475" spans="1:6" x14ac:dyDescent="0.2">
      <c r="A475" s="61">
        <v>31472</v>
      </c>
      <c r="B475" s="68">
        <f>VLOOKUP(Table2[[#This Row],[Date]],Database!A:E,2,)</f>
        <v>109.1</v>
      </c>
      <c r="C475" s="14">
        <f t="shared" si="14"/>
        <v>-5.4694621695534048E-3</v>
      </c>
      <c r="D475" s="14">
        <f t="shared" si="15"/>
        <v>2.1535580524344542E-2</v>
      </c>
      <c r="E475" s="15">
        <f>VLOOKUP(Table2[[#This Row],[Date]],'Fed Fund New'!$A:$C,2,FALSE)</f>
        <v>0</v>
      </c>
      <c r="F475" s="15">
        <f>VLOOKUP(Table2[[#This Row],[Date]],'Fed Fund New'!$A:$C,3,FALSE)</f>
        <v>7.48</v>
      </c>
    </row>
    <row r="476" spans="1:6" x14ac:dyDescent="0.2">
      <c r="A476" s="61">
        <v>31503</v>
      </c>
      <c r="B476" s="68">
        <f>VLOOKUP(Table2[[#This Row],[Date]],Database!A:E,2,)</f>
        <v>108.7</v>
      </c>
      <c r="C476" s="14">
        <f t="shared" si="14"/>
        <v>-3.6663611365718744E-3</v>
      </c>
      <c r="D476" s="14">
        <f t="shared" si="15"/>
        <v>1.5887850467289747E-2</v>
      </c>
      <c r="E476" s="15">
        <f>VLOOKUP(Table2[[#This Row],[Date]],'Fed Fund New'!$A:$C,2,FALSE)</f>
        <v>0</v>
      </c>
      <c r="F476" s="15">
        <f>VLOOKUP(Table2[[#This Row],[Date]],'Fed Fund New'!$A:$C,3,FALSE)</f>
        <v>6.99</v>
      </c>
    </row>
    <row r="477" spans="1:6" x14ac:dyDescent="0.2">
      <c r="A477" s="61">
        <v>31533</v>
      </c>
      <c r="B477" s="68">
        <f>VLOOKUP(Table2[[#This Row],[Date]],Database!A:E,2,)</f>
        <v>109</v>
      </c>
      <c r="C477" s="14">
        <f t="shared" si="14"/>
        <v>2.7598896044157971E-3</v>
      </c>
      <c r="D477" s="14">
        <f t="shared" si="15"/>
        <v>1.6791044776119375E-2</v>
      </c>
      <c r="E477" s="15">
        <f>VLOOKUP(Table2[[#This Row],[Date]],'Fed Fund New'!$A:$C,2,FALSE)</f>
        <v>0</v>
      </c>
      <c r="F477" s="15">
        <f>VLOOKUP(Table2[[#This Row],[Date]],'Fed Fund New'!$A:$C,3,FALSE)</f>
        <v>6.85</v>
      </c>
    </row>
    <row r="478" spans="1:6" x14ac:dyDescent="0.2">
      <c r="A478" s="61">
        <v>31564</v>
      </c>
      <c r="B478" s="68">
        <f>VLOOKUP(Table2[[#This Row],[Date]],Database!A:E,2,)</f>
        <v>109.4</v>
      </c>
      <c r="C478" s="14">
        <f t="shared" si="14"/>
        <v>3.6697247706422541E-3</v>
      </c>
      <c r="D478" s="14">
        <f t="shared" si="15"/>
        <v>1.7674418604651215E-2</v>
      </c>
      <c r="E478" s="15">
        <f>VLOOKUP(Table2[[#This Row],[Date]],'Fed Fund New'!$A:$C,2,FALSE)</f>
        <v>0</v>
      </c>
      <c r="F478" s="15">
        <f>VLOOKUP(Table2[[#This Row],[Date]],'Fed Fund New'!$A:$C,3,FALSE)</f>
        <v>6.92</v>
      </c>
    </row>
    <row r="479" spans="1:6" x14ac:dyDescent="0.2">
      <c r="A479" s="61">
        <v>31594</v>
      </c>
      <c r="B479" s="68">
        <f>VLOOKUP(Table2[[#This Row],[Date]],Database!A:E,2,)</f>
        <v>109.5</v>
      </c>
      <c r="C479" s="14">
        <f t="shared" si="14"/>
        <v>9.1407678244967373E-4</v>
      </c>
      <c r="D479" s="14">
        <f t="shared" si="15"/>
        <v>1.6713091922005544E-2</v>
      </c>
      <c r="E479" s="15">
        <f>VLOOKUP(Table2[[#This Row],[Date]],'Fed Fund New'!$A:$C,2,FALSE)</f>
        <v>0</v>
      </c>
      <c r="F479" s="15">
        <f>VLOOKUP(Table2[[#This Row],[Date]],'Fed Fund New'!$A:$C,3,FALSE)</f>
        <v>6.56</v>
      </c>
    </row>
    <row r="480" spans="1:6" x14ac:dyDescent="0.2">
      <c r="A480" s="61">
        <v>31625</v>
      </c>
      <c r="B480" s="68">
        <f>VLOOKUP(Table2[[#This Row],[Date]],Database!A:E,2,)</f>
        <v>109.6</v>
      </c>
      <c r="C480" s="14">
        <f t="shared" si="14"/>
        <v>9.1324200913236813E-4</v>
      </c>
      <c r="D480" s="14">
        <f t="shared" si="15"/>
        <v>1.5755329008340951E-2</v>
      </c>
      <c r="E480" s="15">
        <f>VLOOKUP(Table2[[#This Row],[Date]],'Fed Fund New'!$A:$C,2,FALSE)</f>
        <v>0</v>
      </c>
      <c r="F480" s="15">
        <f>VLOOKUP(Table2[[#This Row],[Date]],'Fed Fund New'!$A:$C,3,FALSE)</f>
        <v>6.17</v>
      </c>
    </row>
    <row r="481" spans="1:6" x14ac:dyDescent="0.2">
      <c r="A481" s="61">
        <v>31656</v>
      </c>
      <c r="B481" s="68">
        <f>VLOOKUP(Table2[[#This Row],[Date]],Database!A:E,2,)</f>
        <v>110</v>
      </c>
      <c r="C481" s="14">
        <f t="shared" si="14"/>
        <v>3.6496350364964023E-3</v>
      </c>
      <c r="D481" s="14">
        <f t="shared" si="15"/>
        <v>1.7576318223866842E-2</v>
      </c>
      <c r="E481" s="15">
        <f>VLOOKUP(Table2[[#This Row],[Date]],'Fed Fund New'!$A:$C,2,FALSE)</f>
        <v>0</v>
      </c>
      <c r="F481" s="15">
        <f>VLOOKUP(Table2[[#This Row],[Date]],'Fed Fund New'!$A:$C,3,FALSE)</f>
        <v>5.89</v>
      </c>
    </row>
    <row r="482" spans="1:6" x14ac:dyDescent="0.2">
      <c r="A482" s="61">
        <v>31686</v>
      </c>
      <c r="B482" s="68">
        <f>VLOOKUP(Table2[[#This Row],[Date]],Database!A:E,2,)</f>
        <v>110.2</v>
      </c>
      <c r="C482" s="14">
        <f t="shared" si="14"/>
        <v>1.818181818181844E-3</v>
      </c>
      <c r="D482" s="14">
        <f t="shared" si="15"/>
        <v>1.5668202764976984E-2</v>
      </c>
      <c r="E482" s="15">
        <f>VLOOKUP(Table2[[#This Row],[Date]],'Fed Fund New'!$A:$C,2,FALSE)</f>
        <v>0</v>
      </c>
      <c r="F482" s="15">
        <f>VLOOKUP(Table2[[#This Row],[Date]],'Fed Fund New'!$A:$C,3,FALSE)</f>
        <v>5.85</v>
      </c>
    </row>
    <row r="483" spans="1:6" x14ac:dyDescent="0.2">
      <c r="A483" s="61">
        <v>31717</v>
      </c>
      <c r="B483" s="68">
        <f>VLOOKUP(Table2[[#This Row],[Date]],Database!A:E,2,)</f>
        <v>110.4</v>
      </c>
      <c r="C483" s="14">
        <f t="shared" si="14"/>
        <v>1.8148820326679023E-3</v>
      </c>
      <c r="D483" s="14">
        <f t="shared" si="15"/>
        <v>1.2844036697247759E-2</v>
      </c>
      <c r="E483" s="15">
        <f>VLOOKUP(Table2[[#This Row],[Date]],'Fed Fund New'!$A:$C,2,FALSE)</f>
        <v>0</v>
      </c>
      <c r="F483" s="15">
        <f>VLOOKUP(Table2[[#This Row],[Date]],'Fed Fund New'!$A:$C,3,FALSE)</f>
        <v>6.04</v>
      </c>
    </row>
    <row r="484" spans="1:6" x14ac:dyDescent="0.2">
      <c r="A484" s="61">
        <v>31747</v>
      </c>
      <c r="B484" s="68">
        <f>VLOOKUP(Table2[[#This Row],[Date]],Database!A:E,2,)</f>
        <v>110.8</v>
      </c>
      <c r="C484" s="14">
        <f t="shared" si="14"/>
        <v>3.6231884057970239E-3</v>
      </c>
      <c r="D484" s="14">
        <f t="shared" si="15"/>
        <v>1.1872146118721436E-2</v>
      </c>
      <c r="E484" s="15">
        <f>VLOOKUP(Table2[[#This Row],[Date]],'Fed Fund New'!$A:$C,2,FALSE)</f>
        <v>0</v>
      </c>
      <c r="F484" s="15">
        <f>VLOOKUP(Table2[[#This Row],[Date]],'Fed Fund New'!$A:$C,3,FALSE)</f>
        <v>6.91</v>
      </c>
    </row>
    <row r="485" spans="1:6" x14ac:dyDescent="0.2">
      <c r="A485" s="61">
        <v>31778</v>
      </c>
      <c r="B485" s="68">
        <f>VLOOKUP(Table2[[#This Row],[Date]],Database!A:E,2,)</f>
        <v>111.4</v>
      </c>
      <c r="C485" s="14">
        <f t="shared" si="14"/>
        <v>5.4151624548737232E-3</v>
      </c>
      <c r="D485" s="14">
        <f t="shared" si="15"/>
        <v>1.364877161055505E-2</v>
      </c>
      <c r="E485" s="15">
        <f>VLOOKUP(Table2[[#This Row],[Date]],'Fed Fund New'!$A:$C,2,FALSE)</f>
        <v>0</v>
      </c>
      <c r="F485" s="15">
        <f>VLOOKUP(Table2[[#This Row],[Date]],'Fed Fund New'!$A:$C,3,FALSE)</f>
        <v>6.43</v>
      </c>
    </row>
    <row r="486" spans="1:6" x14ac:dyDescent="0.2">
      <c r="A486" s="61">
        <v>31809</v>
      </c>
      <c r="B486" s="68">
        <f>VLOOKUP(Table2[[#This Row],[Date]],Database!A:E,2,)</f>
        <v>111.8</v>
      </c>
      <c r="C486" s="14">
        <f t="shared" si="14"/>
        <v>3.5906642728904081E-3</v>
      </c>
      <c r="D486" s="14">
        <f t="shared" si="15"/>
        <v>1.9143117593436593E-2</v>
      </c>
      <c r="E486" s="15">
        <f>VLOOKUP(Table2[[#This Row],[Date]],'Fed Fund New'!$A:$C,2,FALSE)</f>
        <v>0</v>
      </c>
      <c r="F486" s="15">
        <f>VLOOKUP(Table2[[#This Row],[Date]],'Fed Fund New'!$A:$C,3,FALSE)</f>
        <v>6.1</v>
      </c>
    </row>
    <row r="487" spans="1:6" x14ac:dyDescent="0.2">
      <c r="A487" s="61">
        <v>31837</v>
      </c>
      <c r="B487" s="68">
        <f>VLOOKUP(Table2[[#This Row],[Date]],Database!A:E,2,)</f>
        <v>112.2</v>
      </c>
      <c r="C487" s="14">
        <f t="shared" si="14"/>
        <v>3.5778175313059542E-3</v>
      </c>
      <c r="D487" s="14">
        <f t="shared" si="15"/>
        <v>2.8414298808432711E-2</v>
      </c>
      <c r="E487" s="15">
        <f>VLOOKUP(Table2[[#This Row],[Date]],'Fed Fund New'!$A:$C,2,FALSE)</f>
        <v>0</v>
      </c>
      <c r="F487" s="15">
        <f>VLOOKUP(Table2[[#This Row],[Date]],'Fed Fund New'!$A:$C,3,FALSE)</f>
        <v>6.13</v>
      </c>
    </row>
    <row r="488" spans="1:6" x14ac:dyDescent="0.2">
      <c r="A488" s="61">
        <v>31868</v>
      </c>
      <c r="B488" s="68">
        <f>VLOOKUP(Table2[[#This Row],[Date]],Database!A:E,2,)</f>
        <v>112.7</v>
      </c>
      <c r="C488" s="14">
        <f t="shared" si="14"/>
        <v>4.4563279857397506E-3</v>
      </c>
      <c r="D488" s="14">
        <f t="shared" si="15"/>
        <v>3.6798528058877643E-2</v>
      </c>
      <c r="E488" s="15">
        <f>VLOOKUP(Table2[[#This Row],[Date]],'Fed Fund New'!$A:$C,2,FALSE)</f>
        <v>0</v>
      </c>
      <c r="F488" s="15">
        <f>VLOOKUP(Table2[[#This Row],[Date]],'Fed Fund New'!$A:$C,3,FALSE)</f>
        <v>6.37</v>
      </c>
    </row>
    <row r="489" spans="1:6" x14ac:dyDescent="0.2">
      <c r="A489" s="61">
        <v>31898</v>
      </c>
      <c r="B489" s="68">
        <f>VLOOKUP(Table2[[#This Row],[Date]],Database!A:E,2,)</f>
        <v>113</v>
      </c>
      <c r="C489" s="14">
        <f t="shared" si="14"/>
        <v>2.6619343389529472E-3</v>
      </c>
      <c r="D489" s="14">
        <f t="shared" si="15"/>
        <v>3.669724770642202E-2</v>
      </c>
      <c r="E489" s="15">
        <f>VLOOKUP(Table2[[#This Row],[Date]],'Fed Fund New'!$A:$C,2,FALSE)</f>
        <v>0</v>
      </c>
      <c r="F489" s="15">
        <f>VLOOKUP(Table2[[#This Row],[Date]],'Fed Fund New'!$A:$C,3,FALSE)</f>
        <v>6.85</v>
      </c>
    </row>
    <row r="490" spans="1:6" x14ac:dyDescent="0.2">
      <c r="A490" s="61">
        <v>31929</v>
      </c>
      <c r="B490" s="68">
        <f>VLOOKUP(Table2[[#This Row],[Date]],Database!A:E,2,)</f>
        <v>113.5</v>
      </c>
      <c r="C490" s="14">
        <f t="shared" si="14"/>
        <v>4.4247787610619468E-3</v>
      </c>
      <c r="D490" s="14">
        <f t="shared" si="15"/>
        <v>3.7477148080438706E-2</v>
      </c>
      <c r="E490" s="15">
        <f>VLOOKUP(Table2[[#This Row],[Date]],'Fed Fund New'!$A:$C,2,FALSE)</f>
        <v>0</v>
      </c>
      <c r="F490" s="15">
        <f>VLOOKUP(Table2[[#This Row],[Date]],'Fed Fund New'!$A:$C,3,FALSE)</f>
        <v>6.73</v>
      </c>
    </row>
    <row r="491" spans="1:6" x14ac:dyDescent="0.2">
      <c r="A491" s="61">
        <v>31959</v>
      </c>
      <c r="B491" s="68">
        <f>VLOOKUP(Table2[[#This Row],[Date]],Database!A:E,2,)</f>
        <v>113.8</v>
      </c>
      <c r="C491" s="14">
        <f t="shared" si="14"/>
        <v>2.6431718061673756E-3</v>
      </c>
      <c r="D491" s="14">
        <f t="shared" si="15"/>
        <v>3.9269406392694037E-2</v>
      </c>
      <c r="E491" s="15">
        <f>VLOOKUP(Table2[[#This Row],[Date]],'Fed Fund New'!$A:$C,2,FALSE)</f>
        <v>0</v>
      </c>
      <c r="F491" s="15">
        <f>VLOOKUP(Table2[[#This Row],[Date]],'Fed Fund New'!$A:$C,3,FALSE)</f>
        <v>6.58</v>
      </c>
    </row>
    <row r="492" spans="1:6" x14ac:dyDescent="0.2">
      <c r="A492" s="61">
        <v>31990</v>
      </c>
      <c r="B492" s="68">
        <f>VLOOKUP(Table2[[#This Row],[Date]],Database!A:E,2,)</f>
        <v>114.3</v>
      </c>
      <c r="C492" s="14">
        <f t="shared" si="14"/>
        <v>4.3936731107205628E-3</v>
      </c>
      <c r="D492" s="14">
        <f t="shared" si="15"/>
        <v>4.2883211678832148E-2</v>
      </c>
      <c r="E492" s="15">
        <f>VLOOKUP(Table2[[#This Row],[Date]],'Fed Fund New'!$A:$C,2,FALSE)</f>
        <v>0</v>
      </c>
      <c r="F492" s="15">
        <f>VLOOKUP(Table2[[#This Row],[Date]],'Fed Fund New'!$A:$C,3,FALSE)</f>
        <v>6.73</v>
      </c>
    </row>
    <row r="493" spans="1:6" x14ac:dyDescent="0.2">
      <c r="A493" s="61">
        <v>32021</v>
      </c>
      <c r="B493" s="68">
        <f>VLOOKUP(Table2[[#This Row],[Date]],Database!A:E,2,)</f>
        <v>114.7</v>
      </c>
      <c r="C493" s="14">
        <f t="shared" si="14"/>
        <v>3.4995625546807149E-3</v>
      </c>
      <c r="D493" s="14">
        <f t="shared" si="15"/>
        <v>4.2727272727272753E-2</v>
      </c>
      <c r="E493" s="15">
        <f>VLOOKUP(Table2[[#This Row],[Date]],'Fed Fund New'!$A:$C,2,FALSE)</f>
        <v>0</v>
      </c>
      <c r="F493" s="15">
        <f>VLOOKUP(Table2[[#This Row],[Date]],'Fed Fund New'!$A:$C,3,FALSE)</f>
        <v>7.22</v>
      </c>
    </row>
    <row r="494" spans="1:6" x14ac:dyDescent="0.2">
      <c r="A494" s="61">
        <v>32051</v>
      </c>
      <c r="B494" s="68">
        <f>VLOOKUP(Table2[[#This Row],[Date]],Database!A:E,2,)</f>
        <v>115</v>
      </c>
      <c r="C494" s="14">
        <f t="shared" si="14"/>
        <v>2.6155187445509776E-3</v>
      </c>
      <c r="D494" s="14">
        <f t="shared" si="15"/>
        <v>4.3557168784029009E-2</v>
      </c>
      <c r="E494" s="15">
        <f>VLOOKUP(Table2[[#This Row],[Date]],'Fed Fund New'!$A:$C,2,FALSE)</f>
        <v>0</v>
      </c>
      <c r="F494" s="15">
        <f>VLOOKUP(Table2[[#This Row],[Date]],'Fed Fund New'!$A:$C,3,FALSE)</f>
        <v>7.29</v>
      </c>
    </row>
    <row r="495" spans="1:6" x14ac:dyDescent="0.2">
      <c r="A495" s="61">
        <v>32082</v>
      </c>
      <c r="B495" s="68">
        <f>VLOOKUP(Table2[[#This Row],[Date]],Database!A:E,2,)</f>
        <v>115.4</v>
      </c>
      <c r="C495" s="14">
        <f t="shared" si="14"/>
        <v>3.478260869565267E-3</v>
      </c>
      <c r="D495" s="14">
        <f t="shared" si="15"/>
        <v>4.5289855072463768E-2</v>
      </c>
      <c r="E495" s="15">
        <f>VLOOKUP(Table2[[#This Row],[Date]],'Fed Fund New'!$A:$C,2,FALSE)</f>
        <v>0</v>
      </c>
      <c r="F495" s="15">
        <f>VLOOKUP(Table2[[#This Row],[Date]],'Fed Fund New'!$A:$C,3,FALSE)</f>
        <v>6.69</v>
      </c>
    </row>
    <row r="496" spans="1:6" x14ac:dyDescent="0.2">
      <c r="A496" s="61">
        <v>32112</v>
      </c>
      <c r="B496" s="68">
        <f>VLOOKUP(Table2[[#This Row],[Date]],Database!A:E,2,)</f>
        <v>115.6</v>
      </c>
      <c r="C496" s="14">
        <f t="shared" si="14"/>
        <v>1.7331022530328304E-3</v>
      </c>
      <c r="D496" s="14">
        <f t="shared" si="15"/>
        <v>4.3321299638989147E-2</v>
      </c>
      <c r="E496" s="15">
        <f>VLOOKUP(Table2[[#This Row],[Date]],'Fed Fund New'!$A:$C,2,FALSE)</f>
        <v>0</v>
      </c>
      <c r="F496" s="15">
        <f>VLOOKUP(Table2[[#This Row],[Date]],'Fed Fund New'!$A:$C,3,FALSE)</f>
        <v>6.77</v>
      </c>
    </row>
    <row r="497" spans="1:6" x14ac:dyDescent="0.2">
      <c r="A497" s="61">
        <v>32143</v>
      </c>
      <c r="B497" s="68">
        <f>VLOOKUP(Table2[[#This Row],[Date]],Database!A:E,2,)</f>
        <v>116</v>
      </c>
      <c r="C497" s="14">
        <f t="shared" si="14"/>
        <v>3.4602076124567969E-3</v>
      </c>
      <c r="D497" s="14">
        <f t="shared" si="15"/>
        <v>4.1292639138240522E-2</v>
      </c>
      <c r="E497" s="15">
        <f>VLOOKUP(Table2[[#This Row],[Date]],'Fed Fund New'!$A:$C,2,FALSE)</f>
        <v>0</v>
      </c>
      <c r="F497" s="15">
        <f>VLOOKUP(Table2[[#This Row],[Date]],'Fed Fund New'!$A:$C,3,FALSE)</f>
        <v>6.83</v>
      </c>
    </row>
    <row r="498" spans="1:6" x14ac:dyDescent="0.2">
      <c r="A498" s="61">
        <v>32174</v>
      </c>
      <c r="B498" s="68">
        <f>VLOOKUP(Table2[[#This Row],[Date]],Database!A:E,2,)</f>
        <v>116.2</v>
      </c>
      <c r="C498" s="14">
        <f t="shared" si="14"/>
        <v>1.7241379310345072E-3</v>
      </c>
      <c r="D498" s="14">
        <f t="shared" si="15"/>
        <v>3.9355992844364987E-2</v>
      </c>
      <c r="E498" s="15">
        <f>VLOOKUP(Table2[[#This Row],[Date]],'Fed Fund New'!$A:$C,2,FALSE)</f>
        <v>0</v>
      </c>
      <c r="F498" s="15">
        <f>VLOOKUP(Table2[[#This Row],[Date]],'Fed Fund New'!$A:$C,3,FALSE)</f>
        <v>6.58</v>
      </c>
    </row>
    <row r="499" spans="1:6" x14ac:dyDescent="0.2">
      <c r="A499" s="61">
        <v>32203</v>
      </c>
      <c r="B499" s="68">
        <f>VLOOKUP(Table2[[#This Row],[Date]],Database!A:E,2,)</f>
        <v>116.5</v>
      </c>
      <c r="C499" s="14">
        <f t="shared" si="14"/>
        <v>2.5817555938037621E-3</v>
      </c>
      <c r="D499" s="14">
        <f t="shared" si="15"/>
        <v>3.8324420677361824E-2</v>
      </c>
      <c r="E499" s="15">
        <f>VLOOKUP(Table2[[#This Row],[Date]],'Fed Fund New'!$A:$C,2,FALSE)</f>
        <v>0</v>
      </c>
      <c r="F499" s="15">
        <f>VLOOKUP(Table2[[#This Row],[Date]],'Fed Fund New'!$A:$C,3,FALSE)</f>
        <v>6.58</v>
      </c>
    </row>
    <row r="500" spans="1:6" x14ac:dyDescent="0.2">
      <c r="A500" s="61">
        <v>32234</v>
      </c>
      <c r="B500" s="68">
        <f>VLOOKUP(Table2[[#This Row],[Date]],Database!A:E,2,)</f>
        <v>117.2</v>
      </c>
      <c r="C500" s="14">
        <f t="shared" si="14"/>
        <v>6.0085836909871491E-3</v>
      </c>
      <c r="D500" s="14">
        <f t="shared" si="15"/>
        <v>3.9929015084294583E-2</v>
      </c>
      <c r="E500" s="15">
        <f>VLOOKUP(Table2[[#This Row],[Date]],'Fed Fund New'!$A:$C,2,FALSE)</f>
        <v>0</v>
      </c>
      <c r="F500" s="15">
        <f>VLOOKUP(Table2[[#This Row],[Date]],'Fed Fund New'!$A:$C,3,FALSE)</f>
        <v>6.87</v>
      </c>
    </row>
    <row r="501" spans="1:6" x14ac:dyDescent="0.2">
      <c r="A501" s="61">
        <v>32264</v>
      </c>
      <c r="B501" s="68">
        <f>VLOOKUP(Table2[[#This Row],[Date]],Database!A:E,2,)</f>
        <v>117.5</v>
      </c>
      <c r="C501" s="14">
        <f t="shared" si="14"/>
        <v>2.5597269624573135E-3</v>
      </c>
      <c r="D501" s="14">
        <f t="shared" si="15"/>
        <v>3.9823008849557522E-2</v>
      </c>
      <c r="E501" s="15">
        <f>VLOOKUP(Table2[[#This Row],[Date]],'Fed Fund New'!$A:$C,2,FALSE)</f>
        <v>0</v>
      </c>
      <c r="F501" s="15">
        <f>VLOOKUP(Table2[[#This Row],[Date]],'Fed Fund New'!$A:$C,3,FALSE)</f>
        <v>7.09</v>
      </c>
    </row>
    <row r="502" spans="1:6" x14ac:dyDescent="0.2">
      <c r="A502" s="61">
        <v>32295</v>
      </c>
      <c r="B502" s="68">
        <f>VLOOKUP(Table2[[#This Row],[Date]],Database!A:E,2,)</f>
        <v>118</v>
      </c>
      <c r="C502" s="14">
        <f t="shared" si="14"/>
        <v>4.2553191489361703E-3</v>
      </c>
      <c r="D502" s="14">
        <f t="shared" si="15"/>
        <v>3.9647577092511016E-2</v>
      </c>
      <c r="E502" s="15">
        <f>VLOOKUP(Table2[[#This Row],[Date]],'Fed Fund New'!$A:$C,2,FALSE)</f>
        <v>0</v>
      </c>
      <c r="F502" s="15">
        <f>VLOOKUP(Table2[[#This Row],[Date]],'Fed Fund New'!$A:$C,3,FALSE)</f>
        <v>7.51</v>
      </c>
    </row>
    <row r="503" spans="1:6" x14ac:dyDescent="0.2">
      <c r="A503" s="61">
        <v>32325</v>
      </c>
      <c r="B503" s="68">
        <f>VLOOKUP(Table2[[#This Row],[Date]],Database!A:E,2,)</f>
        <v>118.5</v>
      </c>
      <c r="C503" s="14">
        <f t="shared" si="14"/>
        <v>4.2372881355932203E-3</v>
      </c>
      <c r="D503" s="14">
        <f t="shared" si="15"/>
        <v>4.1300527240773315E-2</v>
      </c>
      <c r="E503" s="15">
        <f>VLOOKUP(Table2[[#This Row],[Date]],'Fed Fund New'!$A:$C,2,FALSE)</f>
        <v>0</v>
      </c>
      <c r="F503" s="15">
        <f>VLOOKUP(Table2[[#This Row],[Date]],'Fed Fund New'!$A:$C,3,FALSE)</f>
        <v>7.75</v>
      </c>
    </row>
    <row r="504" spans="1:6" x14ac:dyDescent="0.2">
      <c r="A504" s="61">
        <v>32356</v>
      </c>
      <c r="B504" s="68">
        <f>VLOOKUP(Table2[[#This Row],[Date]],Database!A:E,2,)</f>
        <v>119</v>
      </c>
      <c r="C504" s="14">
        <f t="shared" si="14"/>
        <v>4.2194092827004216E-3</v>
      </c>
      <c r="D504" s="14">
        <f t="shared" si="15"/>
        <v>4.1119860017497838E-2</v>
      </c>
      <c r="E504" s="15">
        <f>VLOOKUP(Table2[[#This Row],[Date]],'Fed Fund New'!$A:$C,2,FALSE)</f>
        <v>0</v>
      </c>
      <c r="F504" s="15">
        <f>VLOOKUP(Table2[[#This Row],[Date]],'Fed Fund New'!$A:$C,3,FALSE)</f>
        <v>8.01</v>
      </c>
    </row>
    <row r="505" spans="1:6" x14ac:dyDescent="0.2">
      <c r="A505" s="61">
        <v>32387</v>
      </c>
      <c r="B505" s="68">
        <f>VLOOKUP(Table2[[#This Row],[Date]],Database!A:E,2,)</f>
        <v>119.5</v>
      </c>
      <c r="C505" s="14">
        <f t="shared" si="14"/>
        <v>4.2016806722689074E-3</v>
      </c>
      <c r="D505" s="14">
        <f t="shared" si="15"/>
        <v>4.1848299912816016E-2</v>
      </c>
      <c r="E505" s="15">
        <f>VLOOKUP(Table2[[#This Row],[Date]],'Fed Fund New'!$A:$C,2,FALSE)</f>
        <v>0</v>
      </c>
      <c r="F505" s="15">
        <f>VLOOKUP(Table2[[#This Row],[Date]],'Fed Fund New'!$A:$C,3,FALSE)</f>
        <v>8.19</v>
      </c>
    </row>
    <row r="506" spans="1:6" x14ac:dyDescent="0.2">
      <c r="A506" s="61">
        <v>32417</v>
      </c>
      <c r="B506" s="68">
        <f>VLOOKUP(Table2[[#This Row],[Date]],Database!A:E,2,)</f>
        <v>119.9</v>
      </c>
      <c r="C506" s="14">
        <f t="shared" si="14"/>
        <v>3.347280334728081E-3</v>
      </c>
      <c r="D506" s="14">
        <f t="shared" si="15"/>
        <v>4.2608695652173963E-2</v>
      </c>
      <c r="E506" s="15">
        <f>VLOOKUP(Table2[[#This Row],[Date]],'Fed Fund New'!$A:$C,2,FALSE)</f>
        <v>0</v>
      </c>
      <c r="F506" s="15">
        <f>VLOOKUP(Table2[[#This Row],[Date]],'Fed Fund New'!$A:$C,3,FALSE)</f>
        <v>8.3000000000000007</v>
      </c>
    </row>
    <row r="507" spans="1:6" x14ac:dyDescent="0.2">
      <c r="A507" s="61">
        <v>32448</v>
      </c>
      <c r="B507" s="68">
        <f>VLOOKUP(Table2[[#This Row],[Date]],Database!A:E,2,)</f>
        <v>120.3</v>
      </c>
      <c r="C507" s="14">
        <f t="shared" si="14"/>
        <v>3.3361134278564759E-3</v>
      </c>
      <c r="D507" s="14">
        <f t="shared" si="15"/>
        <v>4.2461005199306685E-2</v>
      </c>
      <c r="E507" s="15">
        <f>VLOOKUP(Table2[[#This Row],[Date]],'Fed Fund New'!$A:$C,2,FALSE)</f>
        <v>0</v>
      </c>
      <c r="F507" s="15">
        <f>VLOOKUP(Table2[[#This Row],[Date]],'Fed Fund New'!$A:$C,3,FALSE)</f>
        <v>8.35</v>
      </c>
    </row>
    <row r="508" spans="1:6" x14ac:dyDescent="0.2">
      <c r="A508" s="61">
        <v>32478</v>
      </c>
      <c r="B508" s="68">
        <f>VLOOKUP(Table2[[#This Row],[Date]],Database!A:E,2,)</f>
        <v>120.7</v>
      </c>
      <c r="C508" s="14">
        <f t="shared" si="14"/>
        <v>3.325020781379931E-3</v>
      </c>
      <c r="D508" s="14">
        <f t="shared" si="15"/>
        <v>4.4117647058823609E-2</v>
      </c>
      <c r="E508" s="15">
        <f>VLOOKUP(Table2[[#This Row],[Date]],'Fed Fund New'!$A:$C,2,FALSE)</f>
        <v>0</v>
      </c>
      <c r="F508" s="15">
        <f>VLOOKUP(Table2[[#This Row],[Date]],'Fed Fund New'!$A:$C,3,FALSE)</f>
        <v>8.76</v>
      </c>
    </row>
    <row r="509" spans="1:6" x14ac:dyDescent="0.2">
      <c r="A509" s="61">
        <v>32509</v>
      </c>
      <c r="B509" s="68">
        <f>VLOOKUP(Table2[[#This Row],[Date]],Database!A:E,2,)</f>
        <v>121.2</v>
      </c>
      <c r="C509" s="14">
        <f t="shared" si="14"/>
        <v>4.1425020712510356E-3</v>
      </c>
      <c r="D509" s="14">
        <f t="shared" si="15"/>
        <v>4.4827586206896579E-2</v>
      </c>
      <c r="E509" s="15">
        <f>VLOOKUP(Table2[[#This Row],[Date]],'Fed Fund New'!$A:$C,2,FALSE)</f>
        <v>0</v>
      </c>
      <c r="F509" s="15">
        <f>VLOOKUP(Table2[[#This Row],[Date]],'Fed Fund New'!$A:$C,3,FALSE)</f>
        <v>9.1199999999999992</v>
      </c>
    </row>
    <row r="510" spans="1:6" x14ac:dyDescent="0.2">
      <c r="A510" s="61">
        <v>32540</v>
      </c>
      <c r="B510" s="68">
        <f>VLOOKUP(Table2[[#This Row],[Date]],Database!A:E,2,)</f>
        <v>121.6</v>
      </c>
      <c r="C510" s="14">
        <f t="shared" si="14"/>
        <v>3.3003300330032301E-3</v>
      </c>
      <c r="D510" s="14">
        <f t="shared" si="15"/>
        <v>4.6471600688468083E-2</v>
      </c>
      <c r="E510" s="15">
        <f>VLOOKUP(Table2[[#This Row],[Date]],'Fed Fund New'!$A:$C,2,FALSE)</f>
        <v>0</v>
      </c>
      <c r="F510" s="15">
        <f>VLOOKUP(Table2[[#This Row],[Date]],'Fed Fund New'!$A:$C,3,FALSE)</f>
        <v>9.36</v>
      </c>
    </row>
    <row r="511" spans="1:6" x14ac:dyDescent="0.2">
      <c r="A511" s="61">
        <v>32568</v>
      </c>
      <c r="B511" s="68">
        <f>VLOOKUP(Table2[[#This Row],[Date]],Database!A:E,2,)</f>
        <v>122.2</v>
      </c>
      <c r="C511" s="14">
        <f t="shared" si="14"/>
        <v>4.9342105263158595E-3</v>
      </c>
      <c r="D511" s="14">
        <f t="shared" si="15"/>
        <v>4.8927038626609465E-2</v>
      </c>
      <c r="E511" s="15">
        <f>VLOOKUP(Table2[[#This Row],[Date]],'Fed Fund New'!$A:$C,2,FALSE)</f>
        <v>0</v>
      </c>
      <c r="F511" s="15">
        <f>VLOOKUP(Table2[[#This Row],[Date]],'Fed Fund New'!$A:$C,3,FALSE)</f>
        <v>9.85</v>
      </c>
    </row>
    <row r="512" spans="1:6" x14ac:dyDescent="0.2">
      <c r="A512" s="61">
        <v>32599</v>
      </c>
      <c r="B512" s="68">
        <f>VLOOKUP(Table2[[#This Row],[Date]],Database!A:E,2,)</f>
        <v>123.1</v>
      </c>
      <c r="C512" s="14">
        <f t="shared" si="14"/>
        <v>7.3649754500817628E-3</v>
      </c>
      <c r="D512" s="14">
        <f t="shared" si="15"/>
        <v>5.0341296928327568E-2</v>
      </c>
      <c r="E512" s="15">
        <f>VLOOKUP(Table2[[#This Row],[Date]],'Fed Fund New'!$A:$C,2,FALSE)</f>
        <v>0</v>
      </c>
      <c r="F512" s="15">
        <f>VLOOKUP(Table2[[#This Row],[Date]],'Fed Fund New'!$A:$C,3,FALSE)</f>
        <v>9.84</v>
      </c>
    </row>
    <row r="513" spans="1:6" x14ac:dyDescent="0.2">
      <c r="A513" s="61">
        <v>32629</v>
      </c>
      <c r="B513" s="68">
        <f>VLOOKUP(Table2[[#This Row],[Date]],Database!A:E,2,)</f>
        <v>123.7</v>
      </c>
      <c r="C513" s="14">
        <f t="shared" si="14"/>
        <v>4.8740861088546594E-3</v>
      </c>
      <c r="D513" s="14">
        <f t="shared" si="15"/>
        <v>5.2765957446808537E-2</v>
      </c>
      <c r="E513" s="15">
        <f>VLOOKUP(Table2[[#This Row],[Date]],'Fed Fund New'!$A:$C,2,FALSE)</f>
        <v>0</v>
      </c>
      <c r="F513" s="15">
        <f>VLOOKUP(Table2[[#This Row],[Date]],'Fed Fund New'!$A:$C,3,FALSE)</f>
        <v>9.81</v>
      </c>
    </row>
    <row r="514" spans="1:6" x14ac:dyDescent="0.2">
      <c r="A514" s="61">
        <v>32660</v>
      </c>
      <c r="B514" s="68">
        <f>VLOOKUP(Table2[[#This Row],[Date]],Database!A:E,2,)</f>
        <v>124.1</v>
      </c>
      <c r="C514" s="14">
        <f t="shared" si="14"/>
        <v>3.2336297493936253E-3</v>
      </c>
      <c r="D514" s="14">
        <f t="shared" si="15"/>
        <v>5.1694915254237243E-2</v>
      </c>
      <c r="E514" s="15">
        <f>VLOOKUP(Table2[[#This Row],[Date]],'Fed Fund New'!$A:$C,2,FALSE)</f>
        <v>0</v>
      </c>
      <c r="F514" s="15">
        <f>VLOOKUP(Table2[[#This Row],[Date]],'Fed Fund New'!$A:$C,3,FALSE)</f>
        <v>9.5299999999999994</v>
      </c>
    </row>
    <row r="515" spans="1:6" x14ac:dyDescent="0.2">
      <c r="A515" s="61">
        <v>32690</v>
      </c>
      <c r="B515" s="68">
        <f>VLOOKUP(Table2[[#This Row],[Date]],Database!A:E,2,)</f>
        <v>124.5</v>
      </c>
      <c r="C515" s="14">
        <f t="shared" si="14"/>
        <v>3.2232070910556462E-3</v>
      </c>
      <c r="D515" s="14">
        <f t="shared" si="15"/>
        <v>5.0632911392405063E-2</v>
      </c>
      <c r="E515" s="15">
        <f>VLOOKUP(Table2[[#This Row],[Date]],'Fed Fund New'!$A:$C,2,FALSE)</f>
        <v>0</v>
      </c>
      <c r="F515" s="15">
        <f>VLOOKUP(Table2[[#This Row],[Date]],'Fed Fund New'!$A:$C,3,FALSE)</f>
        <v>9.24</v>
      </c>
    </row>
    <row r="516" spans="1:6" x14ac:dyDescent="0.2">
      <c r="A516" s="61">
        <v>32721</v>
      </c>
      <c r="B516" s="68">
        <f>VLOOKUP(Table2[[#This Row],[Date]],Database!A:E,2,)</f>
        <v>124.5</v>
      </c>
      <c r="C516" s="14">
        <f t="shared" si="14"/>
        <v>0</v>
      </c>
      <c r="D516" s="14">
        <f t="shared" si="15"/>
        <v>4.6218487394957986E-2</v>
      </c>
      <c r="E516" s="15">
        <f>VLOOKUP(Table2[[#This Row],[Date]],'Fed Fund New'!$A:$C,2,FALSE)</f>
        <v>0</v>
      </c>
      <c r="F516" s="15">
        <f>VLOOKUP(Table2[[#This Row],[Date]],'Fed Fund New'!$A:$C,3,FALSE)</f>
        <v>8.99</v>
      </c>
    </row>
    <row r="517" spans="1:6" x14ac:dyDescent="0.2">
      <c r="A517" s="61">
        <v>32752</v>
      </c>
      <c r="B517" s="68">
        <f>VLOOKUP(Table2[[#This Row],[Date]],Database!A:E,2,)</f>
        <v>124.8</v>
      </c>
      <c r="C517" s="14">
        <f t="shared" si="14"/>
        <v>2.4096385542168447E-3</v>
      </c>
      <c r="D517" s="14">
        <f t="shared" si="15"/>
        <v>4.4351464435146419E-2</v>
      </c>
      <c r="E517" s="15">
        <f>VLOOKUP(Table2[[#This Row],[Date]],'Fed Fund New'!$A:$C,2,FALSE)</f>
        <v>0</v>
      </c>
      <c r="F517" s="15">
        <f>VLOOKUP(Table2[[#This Row],[Date]],'Fed Fund New'!$A:$C,3,FALSE)</f>
        <v>9.02</v>
      </c>
    </row>
    <row r="518" spans="1:6" x14ac:dyDescent="0.2">
      <c r="A518" s="61">
        <v>32782</v>
      </c>
      <c r="B518" s="68">
        <f>VLOOKUP(Table2[[#This Row],[Date]],Database!A:E,2,)</f>
        <v>125.4</v>
      </c>
      <c r="C518" s="14">
        <f t="shared" ref="C518:C581" si="16">(B518-B517)/B517</f>
        <v>4.8076923076923765E-3</v>
      </c>
      <c r="D518" s="14">
        <f t="shared" si="15"/>
        <v>4.5871559633027519E-2</v>
      </c>
      <c r="E518" s="15">
        <f>VLOOKUP(Table2[[#This Row],[Date]],'Fed Fund New'!$A:$C,2,FALSE)</f>
        <v>0</v>
      </c>
      <c r="F518" s="15">
        <f>VLOOKUP(Table2[[#This Row],[Date]],'Fed Fund New'!$A:$C,3,FALSE)</f>
        <v>8.84</v>
      </c>
    </row>
    <row r="519" spans="1:6" x14ac:dyDescent="0.2">
      <c r="A519" s="61">
        <v>32813</v>
      </c>
      <c r="B519" s="68">
        <f>VLOOKUP(Table2[[#This Row],[Date]],Database!A:E,2,)</f>
        <v>125.9</v>
      </c>
      <c r="C519" s="14">
        <f t="shared" si="16"/>
        <v>3.9872408293460922E-3</v>
      </c>
      <c r="D519" s="14">
        <f t="shared" si="15"/>
        <v>4.6550290939318444E-2</v>
      </c>
      <c r="E519" s="15">
        <f>VLOOKUP(Table2[[#This Row],[Date]],'Fed Fund New'!$A:$C,2,FALSE)</f>
        <v>0</v>
      </c>
      <c r="F519" s="15">
        <f>VLOOKUP(Table2[[#This Row],[Date]],'Fed Fund New'!$A:$C,3,FALSE)</f>
        <v>8.5500000000000007</v>
      </c>
    </row>
    <row r="520" spans="1:6" x14ac:dyDescent="0.2">
      <c r="A520" s="61">
        <v>32843</v>
      </c>
      <c r="B520" s="68">
        <f>VLOOKUP(Table2[[#This Row],[Date]],Database!A:E,2,)</f>
        <v>126.3</v>
      </c>
      <c r="C520" s="14">
        <f t="shared" si="16"/>
        <v>3.1771247021444913E-3</v>
      </c>
      <c r="D520" s="14">
        <f t="shared" si="15"/>
        <v>4.6396023198011553E-2</v>
      </c>
      <c r="E520" s="15">
        <f>VLOOKUP(Table2[[#This Row],[Date]],'Fed Fund New'!$A:$C,2,FALSE)</f>
        <v>0</v>
      </c>
      <c r="F520" s="15">
        <f>VLOOKUP(Table2[[#This Row],[Date]],'Fed Fund New'!$A:$C,3,FALSE)</f>
        <v>8.4499999999999993</v>
      </c>
    </row>
    <row r="521" spans="1:6" x14ac:dyDescent="0.2">
      <c r="A521" s="61">
        <v>32874</v>
      </c>
      <c r="B521" s="68">
        <f>VLOOKUP(Table2[[#This Row],[Date]],Database!A:E,2,)</f>
        <v>127.5</v>
      </c>
      <c r="C521" s="14">
        <f t="shared" si="16"/>
        <v>9.50118764845608E-3</v>
      </c>
      <c r="D521" s="14">
        <f t="shared" si="15"/>
        <v>5.1980198019801957E-2</v>
      </c>
      <c r="E521" s="15">
        <f>VLOOKUP(Table2[[#This Row],[Date]],'Fed Fund New'!$A:$C,2,FALSE)</f>
        <v>0</v>
      </c>
      <c r="F521" s="15">
        <f>VLOOKUP(Table2[[#This Row],[Date]],'Fed Fund New'!$A:$C,3,FALSE)</f>
        <v>8.23</v>
      </c>
    </row>
    <row r="522" spans="1:6" x14ac:dyDescent="0.2">
      <c r="A522" s="61">
        <v>32905</v>
      </c>
      <c r="B522" s="68">
        <f>VLOOKUP(Table2[[#This Row],[Date]],Database!A:E,2,)</f>
        <v>128</v>
      </c>
      <c r="C522" s="14">
        <f t="shared" si="16"/>
        <v>3.9215686274509803E-3</v>
      </c>
      <c r="D522" s="14">
        <f t="shared" si="15"/>
        <v>5.2631578947368474E-2</v>
      </c>
      <c r="E522" s="15">
        <f>VLOOKUP(Table2[[#This Row],[Date]],'Fed Fund New'!$A:$C,2,FALSE)</f>
        <v>0</v>
      </c>
      <c r="F522" s="15">
        <f>VLOOKUP(Table2[[#This Row],[Date]],'Fed Fund New'!$A:$C,3,FALSE)</f>
        <v>8.24</v>
      </c>
    </row>
    <row r="523" spans="1:6" x14ac:dyDescent="0.2">
      <c r="A523" s="61">
        <v>32933</v>
      </c>
      <c r="B523" s="68">
        <f>VLOOKUP(Table2[[#This Row],[Date]],Database!A:E,2,)</f>
        <v>128.6</v>
      </c>
      <c r="C523" s="14">
        <f t="shared" si="16"/>
        <v>4.6874999999999556E-3</v>
      </c>
      <c r="D523" s="14">
        <f t="shared" si="15"/>
        <v>5.2373158756137406E-2</v>
      </c>
      <c r="E523" s="15">
        <f>VLOOKUP(Table2[[#This Row],[Date]],'Fed Fund New'!$A:$C,2,FALSE)</f>
        <v>0</v>
      </c>
      <c r="F523" s="15">
        <f>VLOOKUP(Table2[[#This Row],[Date]],'Fed Fund New'!$A:$C,3,FALSE)</f>
        <v>8.2799999999999994</v>
      </c>
    </row>
    <row r="524" spans="1:6" x14ac:dyDescent="0.2">
      <c r="A524" s="61">
        <v>32964</v>
      </c>
      <c r="B524" s="68">
        <f>VLOOKUP(Table2[[#This Row],[Date]],Database!A:E,2,)</f>
        <v>128.9</v>
      </c>
      <c r="C524" s="14">
        <f t="shared" si="16"/>
        <v>2.3328149300156408E-3</v>
      </c>
      <c r="D524" s="14">
        <f t="shared" si="15"/>
        <v>4.7116165718927794E-2</v>
      </c>
      <c r="E524" s="15">
        <f>VLOOKUP(Table2[[#This Row],[Date]],'Fed Fund New'!$A:$C,2,FALSE)</f>
        <v>0</v>
      </c>
      <c r="F524" s="15">
        <f>VLOOKUP(Table2[[#This Row],[Date]],'Fed Fund New'!$A:$C,3,FALSE)</f>
        <v>8.26</v>
      </c>
    </row>
    <row r="525" spans="1:6" x14ac:dyDescent="0.2">
      <c r="A525" s="61">
        <v>32994</v>
      </c>
      <c r="B525" s="68">
        <f>VLOOKUP(Table2[[#This Row],[Date]],Database!A:E,2,)</f>
        <v>129.1</v>
      </c>
      <c r="C525" s="14">
        <f t="shared" si="16"/>
        <v>1.5515903801395549E-3</v>
      </c>
      <c r="D525" s="14">
        <f t="shared" si="15"/>
        <v>4.3654001616814805E-2</v>
      </c>
      <c r="E525" s="15">
        <f>VLOOKUP(Table2[[#This Row],[Date]],'Fed Fund New'!$A:$C,2,FALSE)</f>
        <v>0</v>
      </c>
      <c r="F525" s="15">
        <f>VLOOKUP(Table2[[#This Row],[Date]],'Fed Fund New'!$A:$C,3,FALSE)</f>
        <v>8.18</v>
      </c>
    </row>
    <row r="526" spans="1:6" x14ac:dyDescent="0.2">
      <c r="A526" s="61">
        <v>33025</v>
      </c>
      <c r="B526" s="68">
        <f>VLOOKUP(Table2[[#This Row],[Date]],Database!A:E,2,)</f>
        <v>129.9</v>
      </c>
      <c r="C526" s="14">
        <f t="shared" si="16"/>
        <v>6.1967467079783994E-3</v>
      </c>
      <c r="D526" s="14">
        <f t="shared" si="15"/>
        <v>4.6736502820306301E-2</v>
      </c>
      <c r="E526" s="15">
        <f>VLOOKUP(Table2[[#This Row],[Date]],'Fed Fund New'!$A:$C,2,FALSE)</f>
        <v>0</v>
      </c>
      <c r="F526" s="15">
        <f>VLOOKUP(Table2[[#This Row],[Date]],'Fed Fund New'!$A:$C,3,FALSE)</f>
        <v>8.2899999999999991</v>
      </c>
    </row>
    <row r="527" spans="1:6" x14ac:dyDescent="0.2">
      <c r="A527" s="61">
        <v>33055</v>
      </c>
      <c r="B527" s="68">
        <f>VLOOKUP(Table2[[#This Row],[Date]],Database!A:E,2,)</f>
        <v>130.5</v>
      </c>
      <c r="C527" s="14">
        <f t="shared" si="16"/>
        <v>4.6189376443417571E-3</v>
      </c>
      <c r="D527" s="14">
        <f t="shared" si="15"/>
        <v>4.8192771084337352E-2</v>
      </c>
      <c r="E527" s="15">
        <f>VLOOKUP(Table2[[#This Row],[Date]],'Fed Fund New'!$A:$C,2,FALSE)</f>
        <v>0</v>
      </c>
      <c r="F527" s="15">
        <f>VLOOKUP(Table2[[#This Row],[Date]],'Fed Fund New'!$A:$C,3,FALSE)</f>
        <v>8.15</v>
      </c>
    </row>
    <row r="528" spans="1:6" x14ac:dyDescent="0.2">
      <c r="A528" s="61">
        <v>33086</v>
      </c>
      <c r="B528" s="68">
        <f>VLOOKUP(Table2[[#This Row],[Date]],Database!A:E,2,)</f>
        <v>131.6</v>
      </c>
      <c r="C528" s="14">
        <f t="shared" si="16"/>
        <v>8.4291187739463161E-3</v>
      </c>
      <c r="D528" s="14">
        <f t="shared" si="15"/>
        <v>5.7028112449799148E-2</v>
      </c>
      <c r="E528" s="15">
        <f>VLOOKUP(Table2[[#This Row],[Date]],'Fed Fund New'!$A:$C,2,FALSE)</f>
        <v>0</v>
      </c>
      <c r="F528" s="15">
        <f>VLOOKUP(Table2[[#This Row],[Date]],'Fed Fund New'!$A:$C,3,FALSE)</f>
        <v>8.1300000000000008</v>
      </c>
    </row>
    <row r="529" spans="1:6" x14ac:dyDescent="0.2">
      <c r="A529" s="61">
        <v>33117</v>
      </c>
      <c r="B529" s="68">
        <f>VLOOKUP(Table2[[#This Row],[Date]],Database!A:E,2,)</f>
        <v>132.5</v>
      </c>
      <c r="C529" s="14">
        <f t="shared" si="16"/>
        <v>6.8389057750760313E-3</v>
      </c>
      <c r="D529" s="14">
        <f t="shared" ref="D529:D592" si="17">(B529-B517)/B517</f>
        <v>6.1698717948717972E-2</v>
      </c>
      <c r="E529" s="15">
        <f>VLOOKUP(Table2[[#This Row],[Date]],'Fed Fund New'!$A:$C,2,FALSE)</f>
        <v>0</v>
      </c>
      <c r="F529" s="15">
        <f>VLOOKUP(Table2[[#This Row],[Date]],'Fed Fund New'!$A:$C,3,FALSE)</f>
        <v>8.1999999999999993</v>
      </c>
    </row>
    <row r="530" spans="1:6" x14ac:dyDescent="0.2">
      <c r="A530" s="61">
        <v>33147</v>
      </c>
      <c r="B530" s="68">
        <f>VLOOKUP(Table2[[#This Row],[Date]],Database!A:E,2,)</f>
        <v>133.4</v>
      </c>
      <c r="C530" s="14">
        <f t="shared" si="16"/>
        <v>6.7924528301887225E-3</v>
      </c>
      <c r="D530" s="14">
        <f t="shared" si="17"/>
        <v>6.3795853269537475E-2</v>
      </c>
      <c r="E530" s="15">
        <f>VLOOKUP(Table2[[#This Row],[Date]],'Fed Fund New'!$A:$C,2,FALSE)</f>
        <v>0</v>
      </c>
      <c r="F530" s="15">
        <f>VLOOKUP(Table2[[#This Row],[Date]],'Fed Fund New'!$A:$C,3,FALSE)</f>
        <v>8.11</v>
      </c>
    </row>
    <row r="531" spans="1:6" x14ac:dyDescent="0.2">
      <c r="A531" s="61">
        <v>33178</v>
      </c>
      <c r="B531" s="68">
        <f>VLOOKUP(Table2[[#This Row],[Date]],Database!A:E,2,)</f>
        <v>133.69999999999999</v>
      </c>
      <c r="C531" s="14">
        <f t="shared" si="16"/>
        <v>2.2488755622187624E-3</v>
      </c>
      <c r="D531" s="14">
        <f t="shared" si="17"/>
        <v>6.1953931691818766E-2</v>
      </c>
      <c r="E531" s="15">
        <f>VLOOKUP(Table2[[#This Row],[Date]],'Fed Fund New'!$A:$C,2,FALSE)</f>
        <v>0</v>
      </c>
      <c r="F531" s="15">
        <f>VLOOKUP(Table2[[#This Row],[Date]],'Fed Fund New'!$A:$C,3,FALSE)</f>
        <v>7.81</v>
      </c>
    </row>
    <row r="532" spans="1:6" x14ac:dyDescent="0.2">
      <c r="A532" s="61">
        <v>33208</v>
      </c>
      <c r="B532" s="68">
        <f>VLOOKUP(Table2[[#This Row],[Date]],Database!A:E,2,)</f>
        <v>134.19999999999999</v>
      </c>
      <c r="C532" s="14">
        <f t="shared" si="16"/>
        <v>3.7397157816005987E-3</v>
      </c>
      <c r="D532" s="14">
        <f t="shared" si="17"/>
        <v>6.2549485352335649E-2</v>
      </c>
      <c r="E532" s="15">
        <f>VLOOKUP(Table2[[#This Row],[Date]],'Fed Fund New'!$A:$C,2,FALSE)</f>
        <v>0</v>
      </c>
      <c r="F532" s="15">
        <f>VLOOKUP(Table2[[#This Row],[Date]],'Fed Fund New'!$A:$C,3,FALSE)</f>
        <v>7.31</v>
      </c>
    </row>
    <row r="533" spans="1:6" x14ac:dyDescent="0.2">
      <c r="A533" s="61">
        <v>33239</v>
      </c>
      <c r="B533" s="68">
        <f>VLOOKUP(Table2[[#This Row],[Date]],Database!A:E,2,)</f>
        <v>134.69999999999999</v>
      </c>
      <c r="C533" s="14">
        <f t="shared" si="16"/>
        <v>3.7257824143070049E-3</v>
      </c>
      <c r="D533" s="14">
        <f t="shared" si="17"/>
        <v>5.6470588235294029E-2</v>
      </c>
      <c r="E533" s="15">
        <f>VLOOKUP(Table2[[#This Row],[Date]],'Fed Fund New'!$A:$C,2,FALSE)</f>
        <v>0</v>
      </c>
      <c r="F533" s="15">
        <f>VLOOKUP(Table2[[#This Row],[Date]],'Fed Fund New'!$A:$C,3,FALSE)</f>
        <v>6.91</v>
      </c>
    </row>
    <row r="534" spans="1:6" x14ac:dyDescent="0.2">
      <c r="A534" s="61">
        <v>33270</v>
      </c>
      <c r="B534" s="68">
        <f>VLOOKUP(Table2[[#This Row],[Date]],Database!A:E,2,)</f>
        <v>134.80000000000001</v>
      </c>
      <c r="C534" s="14">
        <f t="shared" si="16"/>
        <v>7.4239049740180215E-4</v>
      </c>
      <c r="D534" s="14">
        <f t="shared" si="17"/>
        <v>5.3125000000000089E-2</v>
      </c>
      <c r="E534" s="15">
        <f>VLOOKUP(Table2[[#This Row],[Date]],'Fed Fund New'!$A:$C,2,FALSE)</f>
        <v>0</v>
      </c>
      <c r="F534" s="15">
        <f>VLOOKUP(Table2[[#This Row],[Date]],'Fed Fund New'!$A:$C,3,FALSE)</f>
        <v>6.25</v>
      </c>
    </row>
    <row r="535" spans="1:6" x14ac:dyDescent="0.2">
      <c r="A535" s="61">
        <v>33298</v>
      </c>
      <c r="B535" s="68">
        <f>VLOOKUP(Table2[[#This Row],[Date]],Database!A:E,2,)</f>
        <v>134.80000000000001</v>
      </c>
      <c r="C535" s="14">
        <f t="shared" si="16"/>
        <v>0</v>
      </c>
      <c r="D535" s="14">
        <f t="shared" si="17"/>
        <v>4.8211508553654879E-2</v>
      </c>
      <c r="E535" s="15">
        <f>VLOOKUP(Table2[[#This Row],[Date]],'Fed Fund New'!$A:$C,2,FALSE)</f>
        <v>0</v>
      </c>
      <c r="F535" s="15">
        <f>VLOOKUP(Table2[[#This Row],[Date]],'Fed Fund New'!$A:$C,3,FALSE)</f>
        <v>6.12</v>
      </c>
    </row>
    <row r="536" spans="1:6" x14ac:dyDescent="0.2">
      <c r="A536" s="61">
        <v>33329</v>
      </c>
      <c r="B536" s="68">
        <f>VLOOKUP(Table2[[#This Row],[Date]],Database!A:E,2,)</f>
        <v>135.1</v>
      </c>
      <c r="C536" s="14">
        <f t="shared" si="16"/>
        <v>2.2255192878337013E-3</v>
      </c>
      <c r="D536" s="14">
        <f t="shared" si="17"/>
        <v>4.8099301784328849E-2</v>
      </c>
      <c r="E536" s="15">
        <f>VLOOKUP(Table2[[#This Row],[Date]],'Fed Fund New'!$A:$C,2,FALSE)</f>
        <v>0</v>
      </c>
      <c r="F536" s="15">
        <f>VLOOKUP(Table2[[#This Row],[Date]],'Fed Fund New'!$A:$C,3,FALSE)</f>
        <v>5.91</v>
      </c>
    </row>
    <row r="537" spans="1:6" x14ac:dyDescent="0.2">
      <c r="A537" s="61">
        <v>33359</v>
      </c>
      <c r="B537" s="68">
        <f>VLOOKUP(Table2[[#This Row],[Date]],Database!A:E,2,)</f>
        <v>135.6</v>
      </c>
      <c r="C537" s="14">
        <f t="shared" si="16"/>
        <v>3.7009622501850484E-3</v>
      </c>
      <c r="D537" s="14">
        <f t="shared" si="17"/>
        <v>5.0348567002323784E-2</v>
      </c>
      <c r="E537" s="15">
        <f>VLOOKUP(Table2[[#This Row],[Date]],'Fed Fund New'!$A:$C,2,FALSE)</f>
        <v>0</v>
      </c>
      <c r="F537" s="15">
        <f>VLOOKUP(Table2[[#This Row],[Date]],'Fed Fund New'!$A:$C,3,FALSE)</f>
        <v>5.78</v>
      </c>
    </row>
    <row r="538" spans="1:6" x14ac:dyDescent="0.2">
      <c r="A538" s="61">
        <v>33390</v>
      </c>
      <c r="B538" s="68">
        <f>VLOOKUP(Table2[[#This Row],[Date]],Database!A:E,2,)</f>
        <v>136</v>
      </c>
      <c r="C538" s="14">
        <f t="shared" si="16"/>
        <v>2.9498525073746733E-3</v>
      </c>
      <c r="D538" s="14">
        <f t="shared" si="17"/>
        <v>4.6959199384141601E-2</v>
      </c>
      <c r="E538" s="15">
        <f>VLOOKUP(Table2[[#This Row],[Date]],'Fed Fund New'!$A:$C,2,FALSE)</f>
        <v>0</v>
      </c>
      <c r="F538" s="15">
        <f>VLOOKUP(Table2[[#This Row],[Date]],'Fed Fund New'!$A:$C,3,FALSE)</f>
        <v>5.9</v>
      </c>
    </row>
    <row r="539" spans="1:6" x14ac:dyDescent="0.2">
      <c r="A539" s="61">
        <v>33420</v>
      </c>
      <c r="B539" s="68">
        <f>VLOOKUP(Table2[[#This Row],[Date]],Database!A:E,2,)</f>
        <v>136.19999999999999</v>
      </c>
      <c r="C539" s="14">
        <f t="shared" si="16"/>
        <v>1.4705882352940341E-3</v>
      </c>
      <c r="D539" s="14">
        <f t="shared" si="17"/>
        <v>4.3678160919540146E-2</v>
      </c>
      <c r="E539" s="15">
        <f>VLOOKUP(Table2[[#This Row],[Date]],'Fed Fund New'!$A:$C,2,FALSE)</f>
        <v>0</v>
      </c>
      <c r="F539" s="15">
        <f>VLOOKUP(Table2[[#This Row],[Date]],'Fed Fund New'!$A:$C,3,FALSE)</f>
        <v>5.82</v>
      </c>
    </row>
    <row r="540" spans="1:6" x14ac:dyDescent="0.2">
      <c r="A540" s="61">
        <v>33451</v>
      </c>
      <c r="B540" s="68">
        <f>VLOOKUP(Table2[[#This Row],[Date]],Database!A:E,2,)</f>
        <v>136.6</v>
      </c>
      <c r="C540" s="14">
        <f t="shared" si="16"/>
        <v>2.9368575624082651E-3</v>
      </c>
      <c r="D540" s="14">
        <f t="shared" si="17"/>
        <v>3.7993920972644375E-2</v>
      </c>
      <c r="E540" s="15">
        <f>VLOOKUP(Table2[[#This Row],[Date]],'Fed Fund New'!$A:$C,2,FALSE)</f>
        <v>0</v>
      </c>
      <c r="F540" s="15">
        <f>VLOOKUP(Table2[[#This Row],[Date]],'Fed Fund New'!$A:$C,3,FALSE)</f>
        <v>5.66</v>
      </c>
    </row>
    <row r="541" spans="1:6" x14ac:dyDescent="0.2">
      <c r="A541" s="61">
        <v>33482</v>
      </c>
      <c r="B541" s="68">
        <f>VLOOKUP(Table2[[#This Row],[Date]],Database!A:E,2,)</f>
        <v>137</v>
      </c>
      <c r="C541" s="14">
        <f t="shared" si="16"/>
        <v>2.9282576866764692E-3</v>
      </c>
      <c r="D541" s="14">
        <f t="shared" si="17"/>
        <v>3.3962264150943396E-2</v>
      </c>
      <c r="E541" s="15">
        <f>VLOOKUP(Table2[[#This Row],[Date]],'Fed Fund New'!$A:$C,2,FALSE)</f>
        <v>0</v>
      </c>
      <c r="F541" s="15">
        <f>VLOOKUP(Table2[[#This Row],[Date]],'Fed Fund New'!$A:$C,3,FALSE)</f>
        <v>5.45</v>
      </c>
    </row>
    <row r="542" spans="1:6" x14ac:dyDescent="0.2">
      <c r="A542" s="61">
        <v>33512</v>
      </c>
      <c r="B542" s="68">
        <f>VLOOKUP(Table2[[#This Row],[Date]],Database!A:E,2,)</f>
        <v>137.19999999999999</v>
      </c>
      <c r="C542" s="14">
        <f t="shared" si="16"/>
        <v>1.4598540145984572E-3</v>
      </c>
      <c r="D542" s="14">
        <f t="shared" si="17"/>
        <v>2.8485757121439151E-2</v>
      </c>
      <c r="E542" s="15">
        <f>VLOOKUP(Table2[[#This Row],[Date]],'Fed Fund New'!$A:$C,2,FALSE)</f>
        <v>0</v>
      </c>
      <c r="F542" s="15">
        <f>VLOOKUP(Table2[[#This Row],[Date]],'Fed Fund New'!$A:$C,3,FALSE)</f>
        <v>5.21</v>
      </c>
    </row>
    <row r="543" spans="1:6" x14ac:dyDescent="0.2">
      <c r="A543" s="61">
        <v>33543</v>
      </c>
      <c r="B543" s="68">
        <f>VLOOKUP(Table2[[#This Row],[Date]],Database!A:E,2,)</f>
        <v>137.80000000000001</v>
      </c>
      <c r="C543" s="14">
        <f t="shared" si="16"/>
        <v>4.3731778425657635E-3</v>
      </c>
      <c r="D543" s="14">
        <f t="shared" si="17"/>
        <v>3.0665669409125081E-2</v>
      </c>
      <c r="E543" s="15">
        <f>VLOOKUP(Table2[[#This Row],[Date]],'Fed Fund New'!$A:$C,2,FALSE)</f>
        <v>0</v>
      </c>
      <c r="F543" s="15">
        <f>VLOOKUP(Table2[[#This Row],[Date]],'Fed Fund New'!$A:$C,3,FALSE)</f>
        <v>4.8099999999999996</v>
      </c>
    </row>
    <row r="544" spans="1:6" x14ac:dyDescent="0.2">
      <c r="A544" s="61">
        <v>33573</v>
      </c>
      <c r="B544" s="68">
        <f>VLOOKUP(Table2[[#This Row],[Date]],Database!A:E,2,)</f>
        <v>138.19999999999999</v>
      </c>
      <c r="C544" s="14">
        <f t="shared" si="16"/>
        <v>2.9027576197385866E-3</v>
      </c>
      <c r="D544" s="14">
        <f t="shared" si="17"/>
        <v>2.9806259314456039E-2</v>
      </c>
      <c r="E544" s="15">
        <f>VLOOKUP(Table2[[#This Row],[Date]],'Fed Fund New'!$A:$C,2,FALSE)</f>
        <v>0</v>
      </c>
      <c r="F544" s="15">
        <f>VLOOKUP(Table2[[#This Row],[Date]],'Fed Fund New'!$A:$C,3,FALSE)</f>
        <v>4.43</v>
      </c>
    </row>
    <row r="545" spans="1:6" x14ac:dyDescent="0.2">
      <c r="A545" s="61">
        <v>33604</v>
      </c>
      <c r="B545" s="68">
        <f>VLOOKUP(Table2[[#This Row],[Date]],Database!A:E,2,)</f>
        <v>138.30000000000001</v>
      </c>
      <c r="C545" s="14">
        <f t="shared" si="16"/>
        <v>7.2358900144734264E-4</v>
      </c>
      <c r="D545" s="14">
        <f t="shared" si="17"/>
        <v>2.6726057906458968E-2</v>
      </c>
      <c r="E545" s="15">
        <f>VLOOKUP(Table2[[#This Row],[Date]],'Fed Fund New'!$A:$C,2,FALSE)</f>
        <v>0</v>
      </c>
      <c r="F545" s="15">
        <f>VLOOKUP(Table2[[#This Row],[Date]],'Fed Fund New'!$A:$C,3,FALSE)</f>
        <v>4.03</v>
      </c>
    </row>
    <row r="546" spans="1:6" x14ac:dyDescent="0.2">
      <c r="A546" s="61">
        <v>33635</v>
      </c>
      <c r="B546" s="68">
        <f>VLOOKUP(Table2[[#This Row],[Date]],Database!A:E,2,)</f>
        <v>138.6</v>
      </c>
      <c r="C546" s="14">
        <f t="shared" si="16"/>
        <v>2.1691973969630001E-3</v>
      </c>
      <c r="D546" s="14">
        <f t="shared" si="17"/>
        <v>2.8189910979228357E-2</v>
      </c>
      <c r="E546" s="15">
        <f>VLOOKUP(Table2[[#This Row],[Date]],'Fed Fund New'!$A:$C,2,FALSE)</f>
        <v>0</v>
      </c>
      <c r="F546" s="15">
        <f>VLOOKUP(Table2[[#This Row],[Date]],'Fed Fund New'!$A:$C,3,FALSE)</f>
        <v>4.0599999999999996</v>
      </c>
    </row>
    <row r="547" spans="1:6" x14ac:dyDescent="0.2">
      <c r="A547" s="61">
        <v>33664</v>
      </c>
      <c r="B547" s="68">
        <f>VLOOKUP(Table2[[#This Row],[Date]],Database!A:E,2,)</f>
        <v>139.1</v>
      </c>
      <c r="C547" s="14">
        <f t="shared" si="16"/>
        <v>3.6075036075036075E-3</v>
      </c>
      <c r="D547" s="14">
        <f t="shared" si="17"/>
        <v>3.189910979228474E-2</v>
      </c>
      <c r="E547" s="15">
        <f>VLOOKUP(Table2[[#This Row],[Date]],'Fed Fund New'!$A:$C,2,FALSE)</f>
        <v>0</v>
      </c>
      <c r="F547" s="15">
        <f>VLOOKUP(Table2[[#This Row],[Date]],'Fed Fund New'!$A:$C,3,FALSE)</f>
        <v>3.98</v>
      </c>
    </row>
    <row r="548" spans="1:6" x14ac:dyDescent="0.2">
      <c r="A548" s="61">
        <v>33695</v>
      </c>
      <c r="B548" s="68">
        <f>VLOOKUP(Table2[[#This Row],[Date]],Database!A:E,2,)</f>
        <v>139.4</v>
      </c>
      <c r="C548" s="14">
        <f t="shared" si="16"/>
        <v>2.156721782890089E-3</v>
      </c>
      <c r="D548" s="14">
        <f t="shared" si="17"/>
        <v>3.1828275351591502E-2</v>
      </c>
      <c r="E548" s="15">
        <f>VLOOKUP(Table2[[#This Row],[Date]],'Fed Fund New'!$A:$C,2,FALSE)</f>
        <v>0</v>
      </c>
      <c r="F548" s="15">
        <f>VLOOKUP(Table2[[#This Row],[Date]],'Fed Fund New'!$A:$C,3,FALSE)</f>
        <v>3.73</v>
      </c>
    </row>
    <row r="549" spans="1:6" x14ac:dyDescent="0.2">
      <c r="A549" s="61">
        <v>33725</v>
      </c>
      <c r="B549" s="68">
        <f>VLOOKUP(Table2[[#This Row],[Date]],Database!A:E,2,)</f>
        <v>139.69999999999999</v>
      </c>
      <c r="C549" s="14">
        <f t="shared" si="16"/>
        <v>2.1520803443327327E-3</v>
      </c>
      <c r="D549" s="14">
        <f t="shared" si="17"/>
        <v>3.0235988200589928E-2</v>
      </c>
      <c r="E549" s="15">
        <f>VLOOKUP(Table2[[#This Row],[Date]],'Fed Fund New'!$A:$C,2,FALSE)</f>
        <v>0</v>
      </c>
      <c r="F549" s="15">
        <f>VLOOKUP(Table2[[#This Row],[Date]],'Fed Fund New'!$A:$C,3,FALSE)</f>
        <v>3.82</v>
      </c>
    </row>
    <row r="550" spans="1:6" x14ac:dyDescent="0.2">
      <c r="A550" s="61">
        <v>33756</v>
      </c>
      <c r="B550" s="68">
        <f>VLOOKUP(Table2[[#This Row],[Date]],Database!A:E,2,)</f>
        <v>140.1</v>
      </c>
      <c r="C550" s="14">
        <f t="shared" si="16"/>
        <v>2.863278453829676E-3</v>
      </c>
      <c r="D550" s="14">
        <f t="shared" si="17"/>
        <v>3.0147058823529371E-2</v>
      </c>
      <c r="E550" s="15">
        <f>VLOOKUP(Table2[[#This Row],[Date]],'Fed Fund New'!$A:$C,2,FALSE)</f>
        <v>0</v>
      </c>
      <c r="F550" s="15">
        <f>VLOOKUP(Table2[[#This Row],[Date]],'Fed Fund New'!$A:$C,3,FALSE)</f>
        <v>3.76</v>
      </c>
    </row>
    <row r="551" spans="1:6" x14ac:dyDescent="0.2">
      <c r="A551" s="61">
        <v>33786</v>
      </c>
      <c r="B551" s="68">
        <f>VLOOKUP(Table2[[#This Row],[Date]],Database!A:E,2,)</f>
        <v>140.5</v>
      </c>
      <c r="C551" s="14">
        <f t="shared" si="16"/>
        <v>2.8551034975018252E-3</v>
      </c>
      <c r="D551" s="14">
        <f t="shared" si="17"/>
        <v>3.1571218795888485E-2</v>
      </c>
      <c r="E551" s="15">
        <f>VLOOKUP(Table2[[#This Row],[Date]],'Fed Fund New'!$A:$C,2,FALSE)</f>
        <v>0</v>
      </c>
      <c r="F551" s="15">
        <f>VLOOKUP(Table2[[#This Row],[Date]],'Fed Fund New'!$A:$C,3,FALSE)</f>
        <v>3.25</v>
      </c>
    </row>
    <row r="552" spans="1:6" x14ac:dyDescent="0.2">
      <c r="A552" s="61">
        <v>33817</v>
      </c>
      <c r="B552" s="68">
        <f>VLOOKUP(Table2[[#This Row],[Date]],Database!A:E,2,)</f>
        <v>140.80000000000001</v>
      </c>
      <c r="C552" s="14">
        <f t="shared" si="16"/>
        <v>2.1352313167260595E-3</v>
      </c>
      <c r="D552" s="14">
        <f t="shared" si="17"/>
        <v>3.0746705710102615E-2</v>
      </c>
      <c r="E552" s="15">
        <f>VLOOKUP(Table2[[#This Row],[Date]],'Fed Fund New'!$A:$C,2,FALSE)</f>
        <v>0</v>
      </c>
      <c r="F552" s="15">
        <f>VLOOKUP(Table2[[#This Row],[Date]],'Fed Fund New'!$A:$C,3,FALSE)</f>
        <v>3.3</v>
      </c>
    </row>
    <row r="553" spans="1:6" x14ac:dyDescent="0.2">
      <c r="A553" s="61">
        <v>33848</v>
      </c>
      <c r="B553" s="68">
        <f>VLOOKUP(Table2[[#This Row],[Date]],Database!A:E,2,)</f>
        <v>141.1</v>
      </c>
      <c r="C553" s="14">
        <f t="shared" si="16"/>
        <v>2.130681818181697E-3</v>
      </c>
      <c r="D553" s="14">
        <f t="shared" si="17"/>
        <v>2.9927007299270031E-2</v>
      </c>
      <c r="E553" s="15">
        <f>VLOOKUP(Table2[[#This Row],[Date]],'Fed Fund New'!$A:$C,2,FALSE)</f>
        <v>0</v>
      </c>
      <c r="F553" s="15">
        <f>VLOOKUP(Table2[[#This Row],[Date]],'Fed Fund New'!$A:$C,3,FALSE)</f>
        <v>3.22</v>
      </c>
    </row>
    <row r="554" spans="1:6" x14ac:dyDescent="0.2">
      <c r="A554" s="61">
        <v>33878</v>
      </c>
      <c r="B554" s="68">
        <f>VLOOKUP(Table2[[#This Row],[Date]],Database!A:E,2,)</f>
        <v>141.69999999999999</v>
      </c>
      <c r="C554" s="14">
        <f t="shared" si="16"/>
        <v>4.2523033309709024E-3</v>
      </c>
      <c r="D554" s="14">
        <f t="shared" si="17"/>
        <v>3.2798833819241986E-2</v>
      </c>
      <c r="E554" s="15">
        <f>VLOOKUP(Table2[[#This Row],[Date]],'Fed Fund New'!$A:$C,2,FALSE)</f>
        <v>0</v>
      </c>
      <c r="F554" s="15">
        <f>VLOOKUP(Table2[[#This Row],[Date]],'Fed Fund New'!$A:$C,3,FALSE)</f>
        <v>3.1</v>
      </c>
    </row>
    <row r="555" spans="1:6" x14ac:dyDescent="0.2">
      <c r="A555" s="61">
        <v>33909</v>
      </c>
      <c r="B555" s="68">
        <f>VLOOKUP(Table2[[#This Row],[Date]],Database!A:E,2,)</f>
        <v>142.1</v>
      </c>
      <c r="C555" s="14">
        <f t="shared" si="16"/>
        <v>2.8228652081863496E-3</v>
      </c>
      <c r="D555" s="14">
        <f t="shared" si="17"/>
        <v>3.1204644412191455E-2</v>
      </c>
      <c r="E555" s="15">
        <f>VLOOKUP(Table2[[#This Row],[Date]],'Fed Fund New'!$A:$C,2,FALSE)</f>
        <v>0</v>
      </c>
      <c r="F555" s="15">
        <f>VLOOKUP(Table2[[#This Row],[Date]],'Fed Fund New'!$A:$C,3,FALSE)</f>
        <v>3.09</v>
      </c>
    </row>
    <row r="556" spans="1:6" x14ac:dyDescent="0.2">
      <c r="A556" s="61">
        <v>33939</v>
      </c>
      <c r="B556" s="68">
        <f>VLOOKUP(Table2[[#This Row],[Date]],Database!A:E,2,)</f>
        <v>142.30000000000001</v>
      </c>
      <c r="C556" s="14">
        <f t="shared" si="16"/>
        <v>1.4074595355384734E-3</v>
      </c>
      <c r="D556" s="14">
        <f t="shared" si="17"/>
        <v>2.9667149059334465E-2</v>
      </c>
      <c r="E556" s="15">
        <f>VLOOKUP(Table2[[#This Row],[Date]],'Fed Fund New'!$A:$C,2,FALSE)</f>
        <v>0</v>
      </c>
      <c r="F556" s="15">
        <f>VLOOKUP(Table2[[#This Row],[Date]],'Fed Fund New'!$A:$C,3,FALSE)</f>
        <v>2.92</v>
      </c>
    </row>
    <row r="557" spans="1:6" x14ac:dyDescent="0.2">
      <c r="A557" s="61">
        <v>33970</v>
      </c>
      <c r="B557" s="68">
        <f>VLOOKUP(Table2[[#This Row],[Date]],Database!A:E,2,)</f>
        <v>142.80000000000001</v>
      </c>
      <c r="C557" s="14">
        <f t="shared" si="16"/>
        <v>3.5137034434293743E-3</v>
      </c>
      <c r="D557" s="14">
        <f t="shared" si="17"/>
        <v>3.2537960954446853E-2</v>
      </c>
      <c r="E557" s="15">
        <f>VLOOKUP(Table2[[#This Row],[Date]],'Fed Fund New'!$A:$C,2,FALSE)</f>
        <v>0</v>
      </c>
      <c r="F557" s="15">
        <f>VLOOKUP(Table2[[#This Row],[Date]],'Fed Fund New'!$A:$C,3,FALSE)</f>
        <v>3.02</v>
      </c>
    </row>
    <row r="558" spans="1:6" x14ac:dyDescent="0.2">
      <c r="A558" s="61">
        <v>34001</v>
      </c>
      <c r="B558" s="68">
        <f>VLOOKUP(Table2[[#This Row],[Date]],Database!A:E,2,)</f>
        <v>143.1</v>
      </c>
      <c r="C558" s="14">
        <f t="shared" si="16"/>
        <v>2.100840336134334E-3</v>
      </c>
      <c r="D558" s="14">
        <f t="shared" si="17"/>
        <v>3.2467532467532471E-2</v>
      </c>
      <c r="E558" s="15">
        <f>VLOOKUP(Table2[[#This Row],[Date]],'Fed Fund New'!$A:$C,2,FALSE)</f>
        <v>0</v>
      </c>
      <c r="F558" s="15">
        <f>VLOOKUP(Table2[[#This Row],[Date]],'Fed Fund New'!$A:$C,3,FALSE)</f>
        <v>3.03</v>
      </c>
    </row>
    <row r="559" spans="1:6" x14ac:dyDescent="0.2">
      <c r="A559" s="61">
        <v>34029</v>
      </c>
      <c r="B559" s="68">
        <f>VLOOKUP(Table2[[#This Row],[Date]],Database!A:E,2,)</f>
        <v>143.30000000000001</v>
      </c>
      <c r="C559" s="14">
        <f t="shared" si="16"/>
        <v>1.3976240391335923E-3</v>
      </c>
      <c r="D559" s="14">
        <f t="shared" si="17"/>
        <v>3.0194104960460225E-2</v>
      </c>
      <c r="E559" s="15">
        <f>VLOOKUP(Table2[[#This Row],[Date]],'Fed Fund New'!$A:$C,2,FALSE)</f>
        <v>0</v>
      </c>
      <c r="F559" s="15">
        <f>VLOOKUP(Table2[[#This Row],[Date]],'Fed Fund New'!$A:$C,3,FALSE)</f>
        <v>3.07</v>
      </c>
    </row>
    <row r="560" spans="1:6" x14ac:dyDescent="0.2">
      <c r="A560" s="61">
        <v>34060</v>
      </c>
      <c r="B560" s="68">
        <f>VLOOKUP(Table2[[#This Row],[Date]],Database!A:E,2,)</f>
        <v>143.80000000000001</v>
      </c>
      <c r="C560" s="14">
        <f t="shared" si="16"/>
        <v>3.489183531053733E-3</v>
      </c>
      <c r="D560" s="14">
        <f t="shared" si="17"/>
        <v>3.1563845050215249E-2</v>
      </c>
      <c r="E560" s="15">
        <f>VLOOKUP(Table2[[#This Row],[Date]],'Fed Fund New'!$A:$C,2,FALSE)</f>
        <v>0</v>
      </c>
      <c r="F560" s="15">
        <f>VLOOKUP(Table2[[#This Row],[Date]],'Fed Fund New'!$A:$C,3,FALSE)</f>
        <v>2.96</v>
      </c>
    </row>
    <row r="561" spans="1:6" x14ac:dyDescent="0.2">
      <c r="A561" s="61">
        <v>34090</v>
      </c>
      <c r="B561" s="68">
        <f>VLOOKUP(Table2[[#This Row],[Date]],Database!A:E,2,)</f>
        <v>144.19999999999999</v>
      </c>
      <c r="C561" s="14">
        <f t="shared" si="16"/>
        <v>2.7816411682891323E-3</v>
      </c>
      <c r="D561" s="14">
        <f t="shared" si="17"/>
        <v>3.2211882605583393E-2</v>
      </c>
      <c r="E561" s="15">
        <f>VLOOKUP(Table2[[#This Row],[Date]],'Fed Fund New'!$A:$C,2,FALSE)</f>
        <v>0</v>
      </c>
      <c r="F561" s="15">
        <f>VLOOKUP(Table2[[#This Row],[Date]],'Fed Fund New'!$A:$C,3,FALSE)</f>
        <v>3</v>
      </c>
    </row>
    <row r="562" spans="1:6" x14ac:dyDescent="0.2">
      <c r="A562" s="61">
        <v>34121</v>
      </c>
      <c r="B562" s="68">
        <f>VLOOKUP(Table2[[#This Row],[Date]],Database!A:E,2,)</f>
        <v>144.30000000000001</v>
      </c>
      <c r="C562" s="14">
        <f t="shared" si="16"/>
        <v>6.9348127600570562E-4</v>
      </c>
      <c r="D562" s="14">
        <f t="shared" si="17"/>
        <v>2.9978586723768859E-2</v>
      </c>
      <c r="E562" s="15">
        <f>VLOOKUP(Table2[[#This Row],[Date]],'Fed Fund New'!$A:$C,2,FALSE)</f>
        <v>0</v>
      </c>
      <c r="F562" s="15">
        <f>VLOOKUP(Table2[[#This Row],[Date]],'Fed Fund New'!$A:$C,3,FALSE)</f>
        <v>3.04</v>
      </c>
    </row>
    <row r="563" spans="1:6" x14ac:dyDescent="0.2">
      <c r="A563" s="61">
        <v>34151</v>
      </c>
      <c r="B563" s="68">
        <f>VLOOKUP(Table2[[#This Row],[Date]],Database!A:E,2,)</f>
        <v>144.5</v>
      </c>
      <c r="C563" s="14">
        <f t="shared" si="16"/>
        <v>1.3860013860013071E-3</v>
      </c>
      <c r="D563" s="14">
        <f t="shared" si="17"/>
        <v>2.8469750889679714E-2</v>
      </c>
      <c r="E563" s="15">
        <f>VLOOKUP(Table2[[#This Row],[Date]],'Fed Fund New'!$A:$C,2,FALSE)</f>
        <v>0</v>
      </c>
      <c r="F563" s="15">
        <f>VLOOKUP(Table2[[#This Row],[Date]],'Fed Fund New'!$A:$C,3,FALSE)</f>
        <v>3.06</v>
      </c>
    </row>
    <row r="564" spans="1:6" x14ac:dyDescent="0.2">
      <c r="A564" s="61">
        <v>34182</v>
      </c>
      <c r="B564" s="68">
        <f>VLOOKUP(Table2[[#This Row],[Date]],Database!A:E,2,)</f>
        <v>144.80000000000001</v>
      </c>
      <c r="C564" s="14">
        <f t="shared" si="16"/>
        <v>2.0761245674741271E-3</v>
      </c>
      <c r="D564" s="14">
        <f t="shared" si="17"/>
        <v>2.8409090909090908E-2</v>
      </c>
      <c r="E564" s="15">
        <f>VLOOKUP(Table2[[#This Row],[Date]],'Fed Fund New'!$A:$C,2,FALSE)</f>
        <v>0</v>
      </c>
      <c r="F564" s="15">
        <f>VLOOKUP(Table2[[#This Row],[Date]],'Fed Fund New'!$A:$C,3,FALSE)</f>
        <v>3.03</v>
      </c>
    </row>
    <row r="565" spans="1:6" x14ac:dyDescent="0.2">
      <c r="A565" s="61">
        <v>34213</v>
      </c>
      <c r="B565" s="68">
        <f>VLOOKUP(Table2[[#This Row],[Date]],Database!A:E,2,)</f>
        <v>145</v>
      </c>
      <c r="C565" s="14">
        <f t="shared" si="16"/>
        <v>1.3812154696131811E-3</v>
      </c>
      <c r="D565" s="14">
        <f t="shared" si="17"/>
        <v>2.7639971651311167E-2</v>
      </c>
      <c r="E565" s="15">
        <f>VLOOKUP(Table2[[#This Row],[Date]],'Fed Fund New'!$A:$C,2,FALSE)</f>
        <v>0</v>
      </c>
      <c r="F565" s="15">
        <f>VLOOKUP(Table2[[#This Row],[Date]],'Fed Fund New'!$A:$C,3,FALSE)</f>
        <v>3.09</v>
      </c>
    </row>
    <row r="566" spans="1:6" x14ac:dyDescent="0.2">
      <c r="A566" s="61">
        <v>34243</v>
      </c>
      <c r="B566" s="68">
        <f>VLOOKUP(Table2[[#This Row],[Date]],Database!A:E,2,)</f>
        <v>145.6</v>
      </c>
      <c r="C566" s="14">
        <f t="shared" si="16"/>
        <v>4.1379310344827197E-3</v>
      </c>
      <c r="D566" s="14">
        <f t="shared" si="17"/>
        <v>2.7522935779816557E-2</v>
      </c>
      <c r="E566" s="15">
        <f>VLOOKUP(Table2[[#This Row],[Date]],'Fed Fund New'!$A:$C,2,FALSE)</f>
        <v>0</v>
      </c>
      <c r="F566" s="15">
        <f>VLOOKUP(Table2[[#This Row],[Date]],'Fed Fund New'!$A:$C,3,FALSE)</f>
        <v>2.99</v>
      </c>
    </row>
    <row r="567" spans="1:6" x14ac:dyDescent="0.2">
      <c r="A567" s="61">
        <v>34274</v>
      </c>
      <c r="B567" s="68">
        <f>VLOOKUP(Table2[[#This Row],[Date]],Database!A:E,2,)</f>
        <v>146</v>
      </c>
      <c r="C567" s="14">
        <f t="shared" si="16"/>
        <v>2.7472527472527865E-3</v>
      </c>
      <c r="D567" s="14">
        <f t="shared" si="17"/>
        <v>2.7445460942997931E-2</v>
      </c>
      <c r="E567" s="15">
        <f>VLOOKUP(Table2[[#This Row],[Date]],'Fed Fund New'!$A:$C,2,FALSE)</f>
        <v>0</v>
      </c>
      <c r="F567" s="15">
        <f>VLOOKUP(Table2[[#This Row],[Date]],'Fed Fund New'!$A:$C,3,FALSE)</f>
        <v>3.02</v>
      </c>
    </row>
    <row r="568" spans="1:6" x14ac:dyDescent="0.2">
      <c r="A568" s="61">
        <v>34304</v>
      </c>
      <c r="B568" s="68">
        <f>VLOOKUP(Table2[[#This Row],[Date]],Database!A:E,2,)</f>
        <v>146.30000000000001</v>
      </c>
      <c r="C568" s="14">
        <f t="shared" si="16"/>
        <v>2.0547945205480231E-3</v>
      </c>
      <c r="D568" s="14">
        <f t="shared" si="17"/>
        <v>2.8109627547434995E-2</v>
      </c>
      <c r="E568" s="15">
        <f>VLOOKUP(Table2[[#This Row],[Date]],'Fed Fund New'!$A:$C,2,FALSE)</f>
        <v>0</v>
      </c>
      <c r="F568" s="15">
        <f>VLOOKUP(Table2[[#This Row],[Date]],'Fed Fund New'!$A:$C,3,FALSE)</f>
        <v>2.96</v>
      </c>
    </row>
    <row r="569" spans="1:6" x14ac:dyDescent="0.2">
      <c r="A569" s="61">
        <v>34335</v>
      </c>
      <c r="B569" s="68">
        <f>VLOOKUP(Table2[[#This Row],[Date]],Database!A:E,2,)</f>
        <v>146.30000000000001</v>
      </c>
      <c r="C569" s="14">
        <f t="shared" si="16"/>
        <v>0</v>
      </c>
      <c r="D569" s="14">
        <f t="shared" si="17"/>
        <v>2.4509803921568627E-2</v>
      </c>
      <c r="E569" s="15">
        <f>VLOOKUP(Table2[[#This Row],[Date]],'Fed Fund New'!$A:$C,2,FALSE)</f>
        <v>0</v>
      </c>
      <c r="F569" s="15">
        <f>VLOOKUP(Table2[[#This Row],[Date]],'Fed Fund New'!$A:$C,3,FALSE)</f>
        <v>3.05</v>
      </c>
    </row>
    <row r="570" spans="1:6" x14ac:dyDescent="0.2">
      <c r="A570" s="61">
        <v>34366</v>
      </c>
      <c r="B570" s="68">
        <f>VLOOKUP(Table2[[#This Row],[Date]],Database!A:E,2,)</f>
        <v>146.69999999999999</v>
      </c>
      <c r="C570" s="14">
        <f t="shared" si="16"/>
        <v>2.7341079972657365E-3</v>
      </c>
      <c r="D570" s="14">
        <f t="shared" si="17"/>
        <v>2.5157232704402475E-2</v>
      </c>
      <c r="E570" s="15">
        <f>VLOOKUP(Table2[[#This Row],[Date]],'Fed Fund New'!$A:$C,2,FALSE)</f>
        <v>0</v>
      </c>
      <c r="F570" s="15">
        <f>VLOOKUP(Table2[[#This Row],[Date]],'Fed Fund New'!$A:$C,3,FALSE)</f>
        <v>3.25</v>
      </c>
    </row>
    <row r="571" spans="1:6" x14ac:dyDescent="0.2">
      <c r="A571" s="61">
        <v>34394</v>
      </c>
      <c r="B571" s="68">
        <f>VLOOKUP(Table2[[#This Row],[Date]],Database!A:E,2,)</f>
        <v>147.1</v>
      </c>
      <c r="C571" s="14">
        <f t="shared" si="16"/>
        <v>2.7266530334015388E-3</v>
      </c>
      <c r="D571" s="14">
        <f t="shared" si="17"/>
        <v>2.6517794836008253E-2</v>
      </c>
      <c r="E571" s="15">
        <f>VLOOKUP(Table2[[#This Row],[Date]],'Fed Fund New'!$A:$C,2,FALSE)</f>
        <v>0</v>
      </c>
      <c r="F571" s="15">
        <f>VLOOKUP(Table2[[#This Row],[Date]],'Fed Fund New'!$A:$C,3,FALSE)</f>
        <v>3.34</v>
      </c>
    </row>
    <row r="572" spans="1:6" x14ac:dyDescent="0.2">
      <c r="A572" s="61">
        <v>34425</v>
      </c>
      <c r="B572" s="68">
        <f>VLOOKUP(Table2[[#This Row],[Date]],Database!A:E,2,)</f>
        <v>147.19999999999999</v>
      </c>
      <c r="C572" s="14">
        <f t="shared" si="16"/>
        <v>6.7980965329703818E-4</v>
      </c>
      <c r="D572" s="14">
        <f t="shared" si="17"/>
        <v>2.3643949930458812E-2</v>
      </c>
      <c r="E572" s="15">
        <f>VLOOKUP(Table2[[#This Row],[Date]],'Fed Fund New'!$A:$C,2,FALSE)</f>
        <v>0</v>
      </c>
      <c r="F572" s="15">
        <f>VLOOKUP(Table2[[#This Row],[Date]],'Fed Fund New'!$A:$C,3,FALSE)</f>
        <v>3.56</v>
      </c>
    </row>
    <row r="573" spans="1:6" x14ac:dyDescent="0.2">
      <c r="A573" s="61">
        <v>34455</v>
      </c>
      <c r="B573" s="68">
        <f>VLOOKUP(Table2[[#This Row],[Date]],Database!A:E,2,)</f>
        <v>147.5</v>
      </c>
      <c r="C573" s="14">
        <f t="shared" si="16"/>
        <v>2.0380434782609471E-3</v>
      </c>
      <c r="D573" s="14">
        <f t="shared" si="17"/>
        <v>2.2884882108183159E-2</v>
      </c>
      <c r="E573" s="15">
        <f>VLOOKUP(Table2[[#This Row],[Date]],'Fed Fund New'!$A:$C,2,FALSE)</f>
        <v>0</v>
      </c>
      <c r="F573" s="15">
        <f>VLOOKUP(Table2[[#This Row],[Date]],'Fed Fund New'!$A:$C,3,FALSE)</f>
        <v>4.01</v>
      </c>
    </row>
    <row r="574" spans="1:6" x14ac:dyDescent="0.2">
      <c r="A574" s="61">
        <v>34486</v>
      </c>
      <c r="B574" s="68">
        <f>VLOOKUP(Table2[[#This Row],[Date]],Database!A:E,2,)</f>
        <v>147.9</v>
      </c>
      <c r="C574" s="14">
        <f t="shared" si="16"/>
        <v>2.7118644067796994E-3</v>
      </c>
      <c r="D574" s="14">
        <f t="shared" si="17"/>
        <v>2.4948024948024908E-2</v>
      </c>
      <c r="E574" s="15">
        <f>VLOOKUP(Table2[[#This Row],[Date]],'Fed Fund New'!$A:$C,2,FALSE)</f>
        <v>0</v>
      </c>
      <c r="F574" s="15">
        <f>VLOOKUP(Table2[[#This Row],[Date]],'Fed Fund New'!$A:$C,3,FALSE)</f>
        <v>4.25</v>
      </c>
    </row>
    <row r="575" spans="1:6" x14ac:dyDescent="0.2">
      <c r="A575" s="61">
        <v>34516</v>
      </c>
      <c r="B575" s="68">
        <f>VLOOKUP(Table2[[#This Row],[Date]],Database!A:E,2,)</f>
        <v>148.4</v>
      </c>
      <c r="C575" s="14">
        <f t="shared" si="16"/>
        <v>3.3806626098715348E-3</v>
      </c>
      <c r="D575" s="14">
        <f t="shared" si="17"/>
        <v>2.6989619377162669E-2</v>
      </c>
      <c r="E575" s="15">
        <f>VLOOKUP(Table2[[#This Row],[Date]],'Fed Fund New'!$A:$C,2,FALSE)</f>
        <v>0</v>
      </c>
      <c r="F575" s="15">
        <f>VLOOKUP(Table2[[#This Row],[Date]],'Fed Fund New'!$A:$C,3,FALSE)</f>
        <v>4.26</v>
      </c>
    </row>
    <row r="576" spans="1:6" x14ac:dyDescent="0.2">
      <c r="A576" s="61">
        <v>34547</v>
      </c>
      <c r="B576" s="68">
        <f>VLOOKUP(Table2[[#This Row],[Date]],Database!A:E,2,)</f>
        <v>149</v>
      </c>
      <c r="C576" s="14">
        <f t="shared" si="16"/>
        <v>4.0431266846360798E-3</v>
      </c>
      <c r="D576" s="14">
        <f t="shared" si="17"/>
        <v>2.9005524861878372E-2</v>
      </c>
      <c r="E576" s="15">
        <f>VLOOKUP(Table2[[#This Row],[Date]],'Fed Fund New'!$A:$C,2,FALSE)</f>
        <v>0</v>
      </c>
      <c r="F576" s="15">
        <f>VLOOKUP(Table2[[#This Row],[Date]],'Fed Fund New'!$A:$C,3,FALSE)</f>
        <v>4.47</v>
      </c>
    </row>
    <row r="577" spans="1:6" x14ac:dyDescent="0.2">
      <c r="A577" s="61">
        <v>34578</v>
      </c>
      <c r="B577" s="68">
        <f>VLOOKUP(Table2[[#This Row],[Date]],Database!A:E,2,)</f>
        <v>149.30000000000001</v>
      </c>
      <c r="C577" s="14">
        <f t="shared" si="16"/>
        <v>2.0134228187920224E-3</v>
      </c>
      <c r="D577" s="14">
        <f t="shared" si="17"/>
        <v>2.9655172413793181E-2</v>
      </c>
      <c r="E577" s="15">
        <f>VLOOKUP(Table2[[#This Row],[Date]],'Fed Fund New'!$A:$C,2,FALSE)</f>
        <v>0</v>
      </c>
      <c r="F577" s="15">
        <f>VLOOKUP(Table2[[#This Row],[Date]],'Fed Fund New'!$A:$C,3,FALSE)</f>
        <v>4.7300000000000004</v>
      </c>
    </row>
    <row r="578" spans="1:6" x14ac:dyDescent="0.2">
      <c r="A578" s="61">
        <v>34608</v>
      </c>
      <c r="B578" s="68">
        <f>VLOOKUP(Table2[[#This Row],[Date]],Database!A:E,2,)</f>
        <v>149.4</v>
      </c>
      <c r="C578" s="14">
        <f t="shared" si="16"/>
        <v>6.6979236436700814E-4</v>
      </c>
      <c r="D578" s="14">
        <f t="shared" si="17"/>
        <v>2.609890109890118E-2</v>
      </c>
      <c r="E578" s="15">
        <f>VLOOKUP(Table2[[#This Row],[Date]],'Fed Fund New'!$A:$C,2,FALSE)</f>
        <v>0</v>
      </c>
      <c r="F578" s="15">
        <f>VLOOKUP(Table2[[#This Row],[Date]],'Fed Fund New'!$A:$C,3,FALSE)</f>
        <v>4.76</v>
      </c>
    </row>
    <row r="579" spans="1:6" x14ac:dyDescent="0.2">
      <c r="A579" s="61">
        <v>34639</v>
      </c>
      <c r="B579" s="68">
        <f>VLOOKUP(Table2[[#This Row],[Date]],Database!A:E,2,)</f>
        <v>149.80000000000001</v>
      </c>
      <c r="C579" s="14">
        <f t="shared" si="16"/>
        <v>2.677376171352113E-3</v>
      </c>
      <c r="D579" s="14">
        <f t="shared" si="17"/>
        <v>2.602739726027405E-2</v>
      </c>
      <c r="E579" s="15">
        <f>VLOOKUP(Table2[[#This Row],[Date]],'Fed Fund New'!$A:$C,2,FALSE)</f>
        <v>0</v>
      </c>
      <c r="F579" s="15">
        <f>VLOOKUP(Table2[[#This Row],[Date]],'Fed Fund New'!$A:$C,3,FALSE)</f>
        <v>5.29</v>
      </c>
    </row>
    <row r="580" spans="1:6" x14ac:dyDescent="0.2">
      <c r="A580" s="61">
        <v>34669</v>
      </c>
      <c r="B580" s="68">
        <f>VLOOKUP(Table2[[#This Row],[Date]],Database!A:E,2,)</f>
        <v>150.1</v>
      </c>
      <c r="C580" s="14">
        <f t="shared" si="16"/>
        <v>2.0026702269691785E-3</v>
      </c>
      <c r="D580" s="14">
        <f t="shared" si="17"/>
        <v>2.5974025974025854E-2</v>
      </c>
      <c r="E580" s="15">
        <f>VLOOKUP(Table2[[#This Row],[Date]],'Fed Fund New'!$A:$C,2,FALSE)</f>
        <v>0</v>
      </c>
      <c r="F580" s="15">
        <f>VLOOKUP(Table2[[#This Row],[Date]],'Fed Fund New'!$A:$C,3,FALSE)</f>
        <v>5.45</v>
      </c>
    </row>
    <row r="581" spans="1:6" x14ac:dyDescent="0.2">
      <c r="A581" s="61">
        <v>34700</v>
      </c>
      <c r="B581" s="68">
        <f>VLOOKUP(Table2[[#This Row],[Date]],Database!A:E,2,)</f>
        <v>150.5</v>
      </c>
      <c r="C581" s="14">
        <f t="shared" si="16"/>
        <v>2.6648900732845148E-3</v>
      </c>
      <c r="D581" s="14">
        <f t="shared" si="17"/>
        <v>2.8708133971291787E-2</v>
      </c>
      <c r="E581" s="15">
        <f>VLOOKUP(Table2[[#This Row],[Date]],'Fed Fund New'!$A:$C,2,FALSE)</f>
        <v>0</v>
      </c>
      <c r="F581" s="15">
        <f>VLOOKUP(Table2[[#This Row],[Date]],'Fed Fund New'!$A:$C,3,FALSE)</f>
        <v>5.53</v>
      </c>
    </row>
    <row r="582" spans="1:6" x14ac:dyDescent="0.2">
      <c r="A582" s="61">
        <v>34731</v>
      </c>
      <c r="B582" s="68">
        <f>VLOOKUP(Table2[[#This Row],[Date]],Database!A:E,2,)</f>
        <v>150.9</v>
      </c>
      <c r="C582" s="14">
        <f t="shared" ref="C582:C645" si="18">(B582-B581)/B581</f>
        <v>2.6578073089701375E-3</v>
      </c>
      <c r="D582" s="14">
        <f t="shared" si="17"/>
        <v>2.8629856850715864E-2</v>
      </c>
      <c r="E582" s="15">
        <f>VLOOKUP(Table2[[#This Row],[Date]],'Fed Fund New'!$A:$C,2,FALSE)</f>
        <v>0</v>
      </c>
      <c r="F582" s="15">
        <f>VLOOKUP(Table2[[#This Row],[Date]],'Fed Fund New'!$A:$C,3,FALSE)</f>
        <v>5.92</v>
      </c>
    </row>
    <row r="583" spans="1:6" x14ac:dyDescent="0.2">
      <c r="A583" s="61">
        <v>34759</v>
      </c>
      <c r="B583" s="68">
        <f>VLOOKUP(Table2[[#This Row],[Date]],Database!A:E,2,)</f>
        <v>151.19999999999999</v>
      </c>
      <c r="C583" s="14">
        <f t="shared" si="18"/>
        <v>1.9880715705764278E-3</v>
      </c>
      <c r="D583" s="14">
        <f t="shared" si="17"/>
        <v>2.7872195785180111E-2</v>
      </c>
      <c r="E583" s="15">
        <f>VLOOKUP(Table2[[#This Row],[Date]],'Fed Fund New'!$A:$C,2,FALSE)</f>
        <v>0</v>
      </c>
      <c r="F583" s="15">
        <f>VLOOKUP(Table2[[#This Row],[Date]],'Fed Fund New'!$A:$C,3,FALSE)</f>
        <v>5.98</v>
      </c>
    </row>
    <row r="584" spans="1:6" x14ac:dyDescent="0.2">
      <c r="A584" s="61">
        <v>34790</v>
      </c>
      <c r="B584" s="68">
        <f>VLOOKUP(Table2[[#This Row],[Date]],Database!A:E,2,)</f>
        <v>151.80000000000001</v>
      </c>
      <c r="C584" s="14">
        <f t="shared" si="18"/>
        <v>3.968253968254119E-3</v>
      </c>
      <c r="D584" s="14">
        <f t="shared" si="17"/>
        <v>3.125000000000016E-2</v>
      </c>
      <c r="E584" s="15">
        <f>VLOOKUP(Table2[[#This Row],[Date]],'Fed Fund New'!$A:$C,2,FALSE)</f>
        <v>0</v>
      </c>
      <c r="F584" s="15">
        <f>VLOOKUP(Table2[[#This Row],[Date]],'Fed Fund New'!$A:$C,3,FALSE)</f>
        <v>6.05</v>
      </c>
    </row>
    <row r="585" spans="1:6" x14ac:dyDescent="0.2">
      <c r="A585" s="61">
        <v>34820</v>
      </c>
      <c r="B585" s="68">
        <f>VLOOKUP(Table2[[#This Row],[Date]],Database!A:E,2,)</f>
        <v>152.1</v>
      </c>
      <c r="C585" s="14">
        <f t="shared" si="18"/>
        <v>1.9762845849801247E-3</v>
      </c>
      <c r="D585" s="14">
        <f t="shared" si="17"/>
        <v>3.1186440677966065E-2</v>
      </c>
      <c r="E585" s="15">
        <f>VLOOKUP(Table2[[#This Row],[Date]],'Fed Fund New'!$A:$C,2,FALSE)</f>
        <v>0</v>
      </c>
      <c r="F585" s="15">
        <f>VLOOKUP(Table2[[#This Row],[Date]],'Fed Fund New'!$A:$C,3,FALSE)</f>
        <v>6.01</v>
      </c>
    </row>
    <row r="586" spans="1:6" x14ac:dyDescent="0.2">
      <c r="A586" s="61">
        <v>34851</v>
      </c>
      <c r="B586" s="68">
        <f>VLOOKUP(Table2[[#This Row],[Date]],Database!A:E,2,)</f>
        <v>152.4</v>
      </c>
      <c r="C586" s="14">
        <f t="shared" si="18"/>
        <v>1.9723865877712778E-3</v>
      </c>
      <c r="D586" s="14">
        <f t="shared" si="17"/>
        <v>3.0425963488843813E-2</v>
      </c>
      <c r="E586" s="15">
        <f>VLOOKUP(Table2[[#This Row],[Date]],'Fed Fund New'!$A:$C,2,FALSE)</f>
        <v>0</v>
      </c>
      <c r="F586" s="15">
        <f>VLOOKUP(Table2[[#This Row],[Date]],'Fed Fund New'!$A:$C,3,FALSE)</f>
        <v>6</v>
      </c>
    </row>
    <row r="587" spans="1:6" x14ac:dyDescent="0.2">
      <c r="A587" s="61">
        <v>34881</v>
      </c>
      <c r="B587" s="68">
        <f>VLOOKUP(Table2[[#This Row],[Date]],Database!A:E,2,)</f>
        <v>152.6</v>
      </c>
      <c r="C587" s="14">
        <f t="shared" si="18"/>
        <v>1.3123359580051747E-3</v>
      </c>
      <c r="D587" s="14">
        <f t="shared" si="17"/>
        <v>2.8301886792452751E-2</v>
      </c>
      <c r="E587" s="15">
        <f>VLOOKUP(Table2[[#This Row],[Date]],'Fed Fund New'!$A:$C,2,FALSE)</f>
        <v>0</v>
      </c>
      <c r="F587" s="15">
        <f>VLOOKUP(Table2[[#This Row],[Date]],'Fed Fund New'!$A:$C,3,FALSE)</f>
        <v>5.85</v>
      </c>
    </row>
    <row r="588" spans="1:6" x14ac:dyDescent="0.2">
      <c r="A588" s="61">
        <v>34912</v>
      </c>
      <c r="B588" s="68">
        <f>VLOOKUP(Table2[[#This Row],[Date]],Database!A:E,2,)</f>
        <v>152.9</v>
      </c>
      <c r="C588" s="14">
        <f t="shared" si="18"/>
        <v>1.9659239842726825E-3</v>
      </c>
      <c r="D588" s="14">
        <f t="shared" si="17"/>
        <v>2.6174496644295341E-2</v>
      </c>
      <c r="E588" s="15">
        <f>VLOOKUP(Table2[[#This Row],[Date]],'Fed Fund New'!$A:$C,2,FALSE)</f>
        <v>0</v>
      </c>
      <c r="F588" s="15">
        <f>VLOOKUP(Table2[[#This Row],[Date]],'Fed Fund New'!$A:$C,3,FALSE)</f>
        <v>5.74</v>
      </c>
    </row>
    <row r="589" spans="1:6" x14ac:dyDescent="0.2">
      <c r="A589" s="61">
        <v>34943</v>
      </c>
      <c r="B589" s="68">
        <f>VLOOKUP(Table2[[#This Row],[Date]],Database!A:E,2,)</f>
        <v>153.1</v>
      </c>
      <c r="C589" s="14">
        <f t="shared" si="18"/>
        <v>1.3080444735120249E-3</v>
      </c>
      <c r="D589" s="14">
        <f t="shared" si="17"/>
        <v>2.5452109845947639E-2</v>
      </c>
      <c r="E589" s="15">
        <f>VLOOKUP(Table2[[#This Row],[Date]],'Fed Fund New'!$A:$C,2,FALSE)</f>
        <v>0</v>
      </c>
      <c r="F589" s="15">
        <f>VLOOKUP(Table2[[#This Row],[Date]],'Fed Fund New'!$A:$C,3,FALSE)</f>
        <v>5.8</v>
      </c>
    </row>
    <row r="590" spans="1:6" x14ac:dyDescent="0.2">
      <c r="A590" s="61">
        <v>34973</v>
      </c>
      <c r="B590" s="68">
        <f>VLOOKUP(Table2[[#This Row],[Date]],Database!A:E,2,)</f>
        <v>153.5</v>
      </c>
      <c r="C590" s="14">
        <f t="shared" si="18"/>
        <v>2.6126714565643744E-3</v>
      </c>
      <c r="D590" s="14">
        <f t="shared" si="17"/>
        <v>2.7443105756358728E-2</v>
      </c>
      <c r="E590" s="15">
        <f>VLOOKUP(Table2[[#This Row],[Date]],'Fed Fund New'!$A:$C,2,FALSE)</f>
        <v>0</v>
      </c>
      <c r="F590" s="15">
        <f>VLOOKUP(Table2[[#This Row],[Date]],'Fed Fund New'!$A:$C,3,FALSE)</f>
        <v>5.76</v>
      </c>
    </row>
    <row r="591" spans="1:6" x14ac:dyDescent="0.2">
      <c r="A591" s="61">
        <v>35004</v>
      </c>
      <c r="B591" s="68">
        <f>VLOOKUP(Table2[[#This Row],[Date]],Database!A:E,2,)</f>
        <v>153.69999999999999</v>
      </c>
      <c r="C591" s="14">
        <f t="shared" si="18"/>
        <v>1.3029315960911311E-3</v>
      </c>
      <c r="D591" s="14">
        <f t="shared" si="17"/>
        <v>2.6034712950600648E-2</v>
      </c>
      <c r="E591" s="15">
        <f>VLOOKUP(Table2[[#This Row],[Date]],'Fed Fund New'!$A:$C,2,FALSE)</f>
        <v>0</v>
      </c>
      <c r="F591" s="15">
        <f>VLOOKUP(Table2[[#This Row],[Date]],'Fed Fund New'!$A:$C,3,FALSE)</f>
        <v>5.8</v>
      </c>
    </row>
    <row r="592" spans="1:6" x14ac:dyDescent="0.2">
      <c r="A592" s="61">
        <v>35034</v>
      </c>
      <c r="B592" s="68">
        <f>VLOOKUP(Table2[[#This Row],[Date]],Database!A:E,2,)</f>
        <v>153.9</v>
      </c>
      <c r="C592" s="14">
        <f t="shared" si="18"/>
        <v>1.3012361743657585E-3</v>
      </c>
      <c r="D592" s="14">
        <f t="shared" si="17"/>
        <v>2.5316455696202608E-2</v>
      </c>
      <c r="E592" s="15">
        <f>VLOOKUP(Table2[[#This Row],[Date]],'Fed Fund New'!$A:$C,2,FALSE)</f>
        <v>0</v>
      </c>
      <c r="F592" s="15">
        <f>VLOOKUP(Table2[[#This Row],[Date]],'Fed Fund New'!$A:$C,3,FALSE)</f>
        <v>5.6</v>
      </c>
    </row>
    <row r="593" spans="1:6" x14ac:dyDescent="0.2">
      <c r="A593" s="61">
        <v>35065</v>
      </c>
      <c r="B593" s="68">
        <f>VLOOKUP(Table2[[#This Row],[Date]],Database!A:E,2,)</f>
        <v>154.69999999999999</v>
      </c>
      <c r="C593" s="14">
        <f t="shared" si="18"/>
        <v>5.1981806367770167E-3</v>
      </c>
      <c r="D593" s="14">
        <f t="shared" ref="D593:D656" si="19">(B593-B581)/B581</f>
        <v>2.790697674418597E-2</v>
      </c>
      <c r="E593" s="15">
        <f>VLOOKUP(Table2[[#This Row],[Date]],'Fed Fund New'!$A:$C,2,FALSE)</f>
        <v>0</v>
      </c>
      <c r="F593" s="15">
        <f>VLOOKUP(Table2[[#This Row],[Date]],'Fed Fund New'!$A:$C,3,FALSE)</f>
        <v>5.56</v>
      </c>
    </row>
    <row r="594" spans="1:6" x14ac:dyDescent="0.2">
      <c r="A594" s="61">
        <v>35096</v>
      </c>
      <c r="B594" s="68">
        <f>VLOOKUP(Table2[[#This Row],[Date]],Database!A:E,2,)</f>
        <v>155</v>
      </c>
      <c r="C594" s="14">
        <f t="shared" si="18"/>
        <v>1.939237233354954E-3</v>
      </c>
      <c r="D594" s="14">
        <f t="shared" si="19"/>
        <v>2.7170311464546019E-2</v>
      </c>
      <c r="E594" s="15">
        <f>VLOOKUP(Table2[[#This Row],[Date]],'Fed Fund New'!$A:$C,2,FALSE)</f>
        <v>0</v>
      </c>
      <c r="F594" s="15">
        <f>VLOOKUP(Table2[[#This Row],[Date]],'Fed Fund New'!$A:$C,3,FALSE)</f>
        <v>5.22</v>
      </c>
    </row>
    <row r="595" spans="1:6" x14ac:dyDescent="0.2">
      <c r="A595" s="61">
        <v>35125</v>
      </c>
      <c r="B595" s="68">
        <f>VLOOKUP(Table2[[#This Row],[Date]],Database!A:E,2,)</f>
        <v>155.5</v>
      </c>
      <c r="C595" s="14">
        <f t="shared" si="18"/>
        <v>3.2258064516129032E-3</v>
      </c>
      <c r="D595" s="14">
        <f t="shared" si="19"/>
        <v>2.8439153439153517E-2</v>
      </c>
      <c r="E595" s="15">
        <f>VLOOKUP(Table2[[#This Row],[Date]],'Fed Fund New'!$A:$C,2,FALSE)</f>
        <v>0</v>
      </c>
      <c r="F595" s="15">
        <f>VLOOKUP(Table2[[#This Row],[Date]],'Fed Fund New'!$A:$C,3,FALSE)</f>
        <v>5.31</v>
      </c>
    </row>
    <row r="596" spans="1:6" x14ac:dyDescent="0.2">
      <c r="A596" s="61">
        <v>35156</v>
      </c>
      <c r="B596" s="68">
        <f>VLOOKUP(Table2[[#This Row],[Date]],Database!A:E,2,)</f>
        <v>156.1</v>
      </c>
      <c r="C596" s="14">
        <f t="shared" si="18"/>
        <v>3.8585209003215068E-3</v>
      </c>
      <c r="D596" s="14">
        <f t="shared" si="19"/>
        <v>2.832674571804995E-2</v>
      </c>
      <c r="E596" s="15">
        <f>VLOOKUP(Table2[[#This Row],[Date]],'Fed Fund New'!$A:$C,2,FALSE)</f>
        <v>0</v>
      </c>
      <c r="F596" s="15">
        <f>VLOOKUP(Table2[[#This Row],[Date]],'Fed Fund New'!$A:$C,3,FALSE)</f>
        <v>5.22</v>
      </c>
    </row>
    <row r="597" spans="1:6" x14ac:dyDescent="0.2">
      <c r="A597" s="61">
        <v>35186</v>
      </c>
      <c r="B597" s="68">
        <f>VLOOKUP(Table2[[#This Row],[Date]],Database!A:E,2,)</f>
        <v>156.4</v>
      </c>
      <c r="C597" s="14">
        <f t="shared" si="18"/>
        <v>1.9218449711723984E-3</v>
      </c>
      <c r="D597" s="14">
        <f t="shared" si="19"/>
        <v>2.8270874424720656E-2</v>
      </c>
      <c r="E597" s="15">
        <f>VLOOKUP(Table2[[#This Row],[Date]],'Fed Fund New'!$A:$C,2,FALSE)</f>
        <v>0</v>
      </c>
      <c r="F597" s="15">
        <f>VLOOKUP(Table2[[#This Row],[Date]],'Fed Fund New'!$A:$C,3,FALSE)</f>
        <v>5.24</v>
      </c>
    </row>
    <row r="598" spans="1:6" x14ac:dyDescent="0.2">
      <c r="A598" s="61">
        <v>35217</v>
      </c>
      <c r="B598" s="68">
        <f>VLOOKUP(Table2[[#This Row],[Date]],Database!A:E,2,)</f>
        <v>156.69999999999999</v>
      </c>
      <c r="C598" s="14">
        <f t="shared" si="18"/>
        <v>1.918158567774827E-3</v>
      </c>
      <c r="D598" s="14">
        <f t="shared" si="19"/>
        <v>2.8215223097112749E-2</v>
      </c>
      <c r="E598" s="15">
        <f>VLOOKUP(Table2[[#This Row],[Date]],'Fed Fund New'!$A:$C,2,FALSE)</f>
        <v>0</v>
      </c>
      <c r="F598" s="15">
        <f>VLOOKUP(Table2[[#This Row],[Date]],'Fed Fund New'!$A:$C,3,FALSE)</f>
        <v>5.27</v>
      </c>
    </row>
    <row r="599" spans="1:6" x14ac:dyDescent="0.2">
      <c r="A599" s="61">
        <v>35247</v>
      </c>
      <c r="B599" s="68">
        <f>VLOOKUP(Table2[[#This Row],[Date]],Database!A:E,2,)</f>
        <v>157</v>
      </c>
      <c r="C599" s="14">
        <f t="shared" si="18"/>
        <v>1.9144862795150695E-3</v>
      </c>
      <c r="D599" s="14">
        <f t="shared" si="19"/>
        <v>2.8833551769331625E-2</v>
      </c>
      <c r="E599" s="15">
        <f>VLOOKUP(Table2[[#This Row],[Date]],'Fed Fund New'!$A:$C,2,FALSE)</f>
        <v>0</v>
      </c>
      <c r="F599" s="15">
        <f>VLOOKUP(Table2[[#This Row],[Date]],'Fed Fund New'!$A:$C,3,FALSE)</f>
        <v>5.4</v>
      </c>
    </row>
    <row r="600" spans="1:6" x14ac:dyDescent="0.2">
      <c r="A600" s="61">
        <v>35278</v>
      </c>
      <c r="B600" s="68">
        <f>VLOOKUP(Table2[[#This Row],[Date]],Database!A:E,2,)</f>
        <v>157.19999999999999</v>
      </c>
      <c r="C600" s="14">
        <f t="shared" si="18"/>
        <v>1.2738853503183988E-3</v>
      </c>
      <c r="D600" s="14">
        <f t="shared" si="19"/>
        <v>2.8122956180510025E-2</v>
      </c>
      <c r="E600" s="15">
        <f>VLOOKUP(Table2[[#This Row],[Date]],'Fed Fund New'!$A:$C,2,FALSE)</f>
        <v>0</v>
      </c>
      <c r="F600" s="15">
        <f>VLOOKUP(Table2[[#This Row],[Date]],'Fed Fund New'!$A:$C,3,FALSE)</f>
        <v>5.22</v>
      </c>
    </row>
    <row r="601" spans="1:6" x14ac:dyDescent="0.2">
      <c r="A601" s="61">
        <v>35309</v>
      </c>
      <c r="B601" s="68">
        <f>VLOOKUP(Table2[[#This Row],[Date]],Database!A:E,2,)</f>
        <v>157.69999999999999</v>
      </c>
      <c r="C601" s="14">
        <f t="shared" si="18"/>
        <v>3.1806615776081427E-3</v>
      </c>
      <c r="D601" s="14">
        <f t="shared" si="19"/>
        <v>3.0045721750489841E-2</v>
      </c>
      <c r="E601" s="15">
        <f>VLOOKUP(Table2[[#This Row],[Date]],'Fed Fund New'!$A:$C,2,FALSE)</f>
        <v>0</v>
      </c>
      <c r="F601" s="15">
        <f>VLOOKUP(Table2[[#This Row],[Date]],'Fed Fund New'!$A:$C,3,FALSE)</f>
        <v>5.3</v>
      </c>
    </row>
    <row r="602" spans="1:6" x14ac:dyDescent="0.2">
      <c r="A602" s="61">
        <v>35339</v>
      </c>
      <c r="B602" s="68">
        <f>VLOOKUP(Table2[[#This Row],[Date]],Database!A:E,2,)</f>
        <v>158.19999999999999</v>
      </c>
      <c r="C602" s="14">
        <f t="shared" si="18"/>
        <v>3.1705770450221942E-3</v>
      </c>
      <c r="D602" s="14">
        <f t="shared" si="19"/>
        <v>3.0618892508143248E-2</v>
      </c>
      <c r="E602" s="15">
        <f>VLOOKUP(Table2[[#This Row],[Date]],'Fed Fund New'!$A:$C,2,FALSE)</f>
        <v>0</v>
      </c>
      <c r="F602" s="15">
        <f>VLOOKUP(Table2[[#This Row],[Date]],'Fed Fund New'!$A:$C,3,FALSE)</f>
        <v>5.24</v>
      </c>
    </row>
    <row r="603" spans="1:6" x14ac:dyDescent="0.2">
      <c r="A603" s="61">
        <v>35370</v>
      </c>
      <c r="B603" s="68">
        <f>VLOOKUP(Table2[[#This Row],[Date]],Database!A:E,2,)</f>
        <v>158.69999999999999</v>
      </c>
      <c r="C603" s="14">
        <f t="shared" si="18"/>
        <v>3.1605562579013909E-3</v>
      </c>
      <c r="D603" s="14">
        <f t="shared" si="19"/>
        <v>3.2530904359141188E-2</v>
      </c>
      <c r="E603" s="15">
        <f>VLOOKUP(Table2[[#This Row],[Date]],'Fed Fund New'!$A:$C,2,FALSE)</f>
        <v>0</v>
      </c>
      <c r="F603" s="15">
        <f>VLOOKUP(Table2[[#This Row],[Date]],'Fed Fund New'!$A:$C,3,FALSE)</f>
        <v>5.31</v>
      </c>
    </row>
    <row r="604" spans="1:6" x14ac:dyDescent="0.2">
      <c r="A604" s="61">
        <v>35400</v>
      </c>
      <c r="B604" s="68">
        <f>VLOOKUP(Table2[[#This Row],[Date]],Database!A:E,2,)</f>
        <v>159.1</v>
      </c>
      <c r="C604" s="14">
        <f t="shared" si="18"/>
        <v>2.520478890989324E-3</v>
      </c>
      <c r="D604" s="14">
        <f t="shared" si="19"/>
        <v>3.3788174139051254E-2</v>
      </c>
      <c r="E604" s="15">
        <f>VLOOKUP(Table2[[#This Row],[Date]],'Fed Fund New'!$A:$C,2,FALSE)</f>
        <v>0</v>
      </c>
      <c r="F604" s="15">
        <f>VLOOKUP(Table2[[#This Row],[Date]],'Fed Fund New'!$A:$C,3,FALSE)</f>
        <v>5.29</v>
      </c>
    </row>
    <row r="605" spans="1:6" x14ac:dyDescent="0.2">
      <c r="A605" s="61">
        <v>35431</v>
      </c>
      <c r="B605" s="68">
        <f>VLOOKUP(Table2[[#This Row],[Date]],Database!A:E,2,)</f>
        <v>159.4</v>
      </c>
      <c r="C605" s="14">
        <f t="shared" si="18"/>
        <v>1.8856065367693991E-3</v>
      </c>
      <c r="D605" s="14">
        <f t="shared" si="19"/>
        <v>3.0381383322559907E-2</v>
      </c>
      <c r="E605" s="15">
        <f>VLOOKUP(Table2[[#This Row],[Date]],'Fed Fund New'!$A:$C,2,FALSE)</f>
        <v>0</v>
      </c>
      <c r="F605" s="15">
        <f>VLOOKUP(Table2[[#This Row],[Date]],'Fed Fund New'!$A:$C,3,FALSE)</f>
        <v>5.25</v>
      </c>
    </row>
    <row r="606" spans="1:6" x14ac:dyDescent="0.2">
      <c r="A606" s="61">
        <v>35462</v>
      </c>
      <c r="B606" s="68">
        <f>VLOOKUP(Table2[[#This Row],[Date]],Database!A:E,2,)</f>
        <v>159.69999999999999</v>
      </c>
      <c r="C606" s="14">
        <f t="shared" si="18"/>
        <v>1.8820577164365302E-3</v>
      </c>
      <c r="D606" s="14">
        <f t="shared" si="19"/>
        <v>3.0322580645161218E-2</v>
      </c>
      <c r="E606" s="15">
        <f>VLOOKUP(Table2[[#This Row],[Date]],'Fed Fund New'!$A:$C,2,FALSE)</f>
        <v>0</v>
      </c>
      <c r="F606" s="15">
        <f>VLOOKUP(Table2[[#This Row],[Date]],'Fed Fund New'!$A:$C,3,FALSE)</f>
        <v>5.19</v>
      </c>
    </row>
    <row r="607" spans="1:6" x14ac:dyDescent="0.2">
      <c r="A607" s="61">
        <v>35490</v>
      </c>
      <c r="B607" s="68">
        <f>VLOOKUP(Table2[[#This Row],[Date]],Database!A:E,2,)</f>
        <v>159.80000000000001</v>
      </c>
      <c r="C607" s="14">
        <f t="shared" si="18"/>
        <v>6.2617407639337975E-4</v>
      </c>
      <c r="D607" s="14">
        <f t="shared" si="19"/>
        <v>2.7652733118971134E-2</v>
      </c>
      <c r="E607" s="15">
        <f>VLOOKUP(Table2[[#This Row],[Date]],'Fed Fund New'!$A:$C,2,FALSE)</f>
        <v>0</v>
      </c>
      <c r="F607" s="15">
        <f>VLOOKUP(Table2[[#This Row],[Date]],'Fed Fund New'!$A:$C,3,FALSE)</f>
        <v>5.39</v>
      </c>
    </row>
    <row r="608" spans="1:6" x14ac:dyDescent="0.2">
      <c r="A608" s="61">
        <v>35521</v>
      </c>
      <c r="B608" s="68">
        <f>VLOOKUP(Table2[[#This Row],[Date]],Database!A:E,2,)</f>
        <v>159.9</v>
      </c>
      <c r="C608" s="14">
        <f t="shared" si="18"/>
        <v>6.2578222778469526E-4</v>
      </c>
      <c r="D608" s="14">
        <f t="shared" si="19"/>
        <v>2.4343369634849531E-2</v>
      </c>
      <c r="E608" s="15">
        <f>VLOOKUP(Table2[[#This Row],[Date]],'Fed Fund New'!$A:$C,2,FALSE)</f>
        <v>0</v>
      </c>
      <c r="F608" s="15">
        <f>VLOOKUP(Table2[[#This Row],[Date]],'Fed Fund New'!$A:$C,3,FALSE)</f>
        <v>5.51</v>
      </c>
    </row>
    <row r="609" spans="1:6" x14ac:dyDescent="0.2">
      <c r="A609" s="61">
        <v>35551</v>
      </c>
      <c r="B609" s="68">
        <f>VLOOKUP(Table2[[#This Row],[Date]],Database!A:E,2,)</f>
        <v>159.9</v>
      </c>
      <c r="C609" s="14">
        <f t="shared" si="18"/>
        <v>0</v>
      </c>
      <c r="D609" s="14">
        <f t="shared" si="19"/>
        <v>2.2378516624040921E-2</v>
      </c>
      <c r="E609" s="15">
        <f>VLOOKUP(Table2[[#This Row],[Date]],'Fed Fund New'!$A:$C,2,FALSE)</f>
        <v>0</v>
      </c>
      <c r="F609" s="15">
        <f>VLOOKUP(Table2[[#This Row],[Date]],'Fed Fund New'!$A:$C,3,FALSE)</f>
        <v>5.5</v>
      </c>
    </row>
    <row r="610" spans="1:6" x14ac:dyDescent="0.2">
      <c r="A610" s="61">
        <v>35582</v>
      </c>
      <c r="B610" s="68">
        <f>VLOOKUP(Table2[[#This Row],[Date]],Database!A:E,2,)</f>
        <v>160.19999999999999</v>
      </c>
      <c r="C610" s="14">
        <f t="shared" si="18"/>
        <v>1.8761726078798183E-3</v>
      </c>
      <c r="D610" s="14">
        <f t="shared" si="19"/>
        <v>2.2335673261008299E-2</v>
      </c>
      <c r="E610" s="15">
        <f>VLOOKUP(Table2[[#This Row],[Date]],'Fed Fund New'!$A:$C,2,FALSE)</f>
        <v>0</v>
      </c>
      <c r="F610" s="15">
        <f>VLOOKUP(Table2[[#This Row],[Date]],'Fed Fund New'!$A:$C,3,FALSE)</f>
        <v>5.56</v>
      </c>
    </row>
    <row r="611" spans="1:6" x14ac:dyDescent="0.2">
      <c r="A611" s="61">
        <v>35612</v>
      </c>
      <c r="B611" s="68">
        <f>VLOOKUP(Table2[[#This Row],[Date]],Database!A:E,2,)</f>
        <v>160.4</v>
      </c>
      <c r="C611" s="14">
        <f t="shared" si="18"/>
        <v>1.2484394506867482E-3</v>
      </c>
      <c r="D611" s="14">
        <f t="shared" si="19"/>
        <v>2.165605095541405E-2</v>
      </c>
      <c r="E611" s="15">
        <f>VLOOKUP(Table2[[#This Row],[Date]],'Fed Fund New'!$A:$C,2,FALSE)</f>
        <v>0</v>
      </c>
      <c r="F611" s="15">
        <f>VLOOKUP(Table2[[#This Row],[Date]],'Fed Fund New'!$A:$C,3,FALSE)</f>
        <v>5.52</v>
      </c>
    </row>
    <row r="612" spans="1:6" x14ac:dyDescent="0.2">
      <c r="A612" s="61">
        <v>35643</v>
      </c>
      <c r="B612" s="68">
        <f>VLOOKUP(Table2[[#This Row],[Date]],Database!A:E,2,)</f>
        <v>160.80000000000001</v>
      </c>
      <c r="C612" s="14">
        <f t="shared" si="18"/>
        <v>2.4937655860349482E-3</v>
      </c>
      <c r="D612" s="14">
        <f t="shared" si="19"/>
        <v>2.2900763358778772E-2</v>
      </c>
      <c r="E612" s="15">
        <f>VLOOKUP(Table2[[#This Row],[Date]],'Fed Fund New'!$A:$C,2,FALSE)</f>
        <v>0</v>
      </c>
      <c r="F612" s="15">
        <f>VLOOKUP(Table2[[#This Row],[Date]],'Fed Fund New'!$A:$C,3,FALSE)</f>
        <v>5.54</v>
      </c>
    </row>
    <row r="613" spans="1:6" x14ac:dyDescent="0.2">
      <c r="A613" s="61">
        <v>35674</v>
      </c>
      <c r="B613" s="68">
        <f>VLOOKUP(Table2[[#This Row],[Date]],Database!A:E,2,)</f>
        <v>161.19999999999999</v>
      </c>
      <c r="C613" s="14">
        <f t="shared" si="18"/>
        <v>2.4875621890545849E-3</v>
      </c>
      <c r="D613" s="14">
        <f t="shared" si="19"/>
        <v>2.2194039315155359E-2</v>
      </c>
      <c r="E613" s="15">
        <f>VLOOKUP(Table2[[#This Row],[Date]],'Fed Fund New'!$A:$C,2,FALSE)</f>
        <v>0</v>
      </c>
      <c r="F613" s="15">
        <f>VLOOKUP(Table2[[#This Row],[Date]],'Fed Fund New'!$A:$C,3,FALSE)</f>
        <v>5.54</v>
      </c>
    </row>
    <row r="614" spans="1:6" x14ac:dyDescent="0.2">
      <c r="A614" s="61">
        <v>35704</v>
      </c>
      <c r="B614" s="68">
        <f>VLOOKUP(Table2[[#This Row],[Date]],Database!A:E,2,)</f>
        <v>161.5</v>
      </c>
      <c r="C614" s="14">
        <f t="shared" si="18"/>
        <v>1.8610421836228995E-3</v>
      </c>
      <c r="D614" s="14">
        <f t="shared" si="19"/>
        <v>2.0859671302149253E-2</v>
      </c>
      <c r="E614" s="15">
        <f>VLOOKUP(Table2[[#This Row],[Date]],'Fed Fund New'!$A:$C,2,FALSE)</f>
        <v>0</v>
      </c>
      <c r="F614" s="15">
        <f>VLOOKUP(Table2[[#This Row],[Date]],'Fed Fund New'!$A:$C,3,FALSE)</f>
        <v>5.5</v>
      </c>
    </row>
    <row r="615" spans="1:6" x14ac:dyDescent="0.2">
      <c r="A615" s="61">
        <v>35735</v>
      </c>
      <c r="B615" s="68">
        <f>VLOOKUP(Table2[[#This Row],[Date]],Database!A:E,2,)</f>
        <v>161.69999999999999</v>
      </c>
      <c r="C615" s="14">
        <f t="shared" si="18"/>
        <v>1.2383900928791866E-3</v>
      </c>
      <c r="D615" s="14">
        <f t="shared" si="19"/>
        <v>1.890359168241966E-2</v>
      </c>
      <c r="E615" s="15">
        <f>VLOOKUP(Table2[[#This Row],[Date]],'Fed Fund New'!$A:$C,2,FALSE)</f>
        <v>0</v>
      </c>
      <c r="F615" s="15">
        <f>VLOOKUP(Table2[[#This Row],[Date]],'Fed Fund New'!$A:$C,3,FALSE)</f>
        <v>5.52</v>
      </c>
    </row>
    <row r="616" spans="1:6" x14ac:dyDescent="0.2">
      <c r="A616" s="61">
        <v>35765</v>
      </c>
      <c r="B616" s="68">
        <f>VLOOKUP(Table2[[#This Row],[Date]],Database!A:E,2,)</f>
        <v>161.80000000000001</v>
      </c>
      <c r="C616" s="14">
        <f t="shared" si="18"/>
        <v>6.1842918985790195E-4</v>
      </c>
      <c r="D616" s="14">
        <f t="shared" si="19"/>
        <v>1.6970458830924056E-2</v>
      </c>
      <c r="E616" s="15">
        <f>VLOOKUP(Table2[[#This Row],[Date]],'Fed Fund New'!$A:$C,2,FALSE)</f>
        <v>0</v>
      </c>
      <c r="F616" s="15">
        <f>VLOOKUP(Table2[[#This Row],[Date]],'Fed Fund New'!$A:$C,3,FALSE)</f>
        <v>5.5</v>
      </c>
    </row>
    <row r="617" spans="1:6" x14ac:dyDescent="0.2">
      <c r="A617" s="61">
        <v>35796</v>
      </c>
      <c r="B617" s="68">
        <f>VLOOKUP(Table2[[#This Row],[Date]],Database!A:E,2,)</f>
        <v>162</v>
      </c>
      <c r="C617" s="14">
        <f t="shared" si="18"/>
        <v>1.2360939431396083E-3</v>
      </c>
      <c r="D617" s="14">
        <f t="shared" si="19"/>
        <v>1.6311166875784155E-2</v>
      </c>
      <c r="E617" s="15">
        <f>VLOOKUP(Table2[[#This Row],[Date]],'Fed Fund New'!$A:$C,2,FALSE)</f>
        <v>0</v>
      </c>
      <c r="F617" s="15">
        <f>VLOOKUP(Table2[[#This Row],[Date]],'Fed Fund New'!$A:$C,3,FALSE)</f>
        <v>5.56</v>
      </c>
    </row>
    <row r="618" spans="1:6" x14ac:dyDescent="0.2">
      <c r="A618" s="61">
        <v>35827</v>
      </c>
      <c r="B618" s="68">
        <f>VLOOKUP(Table2[[#This Row],[Date]],Database!A:E,2,)</f>
        <v>162</v>
      </c>
      <c r="C618" s="14">
        <f t="shared" si="18"/>
        <v>0</v>
      </c>
      <c r="D618" s="14">
        <f t="shared" si="19"/>
        <v>1.4402003757044531E-2</v>
      </c>
      <c r="E618" s="15">
        <f>VLOOKUP(Table2[[#This Row],[Date]],'Fed Fund New'!$A:$C,2,FALSE)</f>
        <v>0</v>
      </c>
      <c r="F618" s="15">
        <f>VLOOKUP(Table2[[#This Row],[Date]],'Fed Fund New'!$A:$C,3,FALSE)</f>
        <v>5.51</v>
      </c>
    </row>
    <row r="619" spans="1:6" x14ac:dyDescent="0.2">
      <c r="A619" s="61">
        <v>35855</v>
      </c>
      <c r="B619" s="68">
        <f>VLOOKUP(Table2[[#This Row],[Date]],Database!A:E,2,)</f>
        <v>162</v>
      </c>
      <c r="C619" s="14">
        <f t="shared" si="18"/>
        <v>0</v>
      </c>
      <c r="D619" s="14">
        <f t="shared" si="19"/>
        <v>1.3767209011264008E-2</v>
      </c>
      <c r="E619" s="15">
        <f>VLOOKUP(Table2[[#This Row],[Date]],'Fed Fund New'!$A:$C,2,FALSE)</f>
        <v>0</v>
      </c>
      <c r="F619" s="15">
        <f>VLOOKUP(Table2[[#This Row],[Date]],'Fed Fund New'!$A:$C,3,FALSE)</f>
        <v>5.49</v>
      </c>
    </row>
    <row r="620" spans="1:6" x14ac:dyDescent="0.2">
      <c r="A620" s="61">
        <v>35886</v>
      </c>
      <c r="B620" s="68">
        <f>VLOOKUP(Table2[[#This Row],[Date]],Database!A:E,2,)</f>
        <v>162.19999999999999</v>
      </c>
      <c r="C620" s="14">
        <f t="shared" si="18"/>
        <v>1.2345679012344976E-3</v>
      </c>
      <c r="D620" s="14">
        <f t="shared" si="19"/>
        <v>1.4383989993745985E-2</v>
      </c>
      <c r="E620" s="15">
        <f>VLOOKUP(Table2[[#This Row],[Date]],'Fed Fund New'!$A:$C,2,FALSE)</f>
        <v>0</v>
      </c>
      <c r="F620" s="15">
        <f>VLOOKUP(Table2[[#This Row],[Date]],'Fed Fund New'!$A:$C,3,FALSE)</f>
        <v>5.45</v>
      </c>
    </row>
    <row r="621" spans="1:6" x14ac:dyDescent="0.2">
      <c r="A621" s="61">
        <v>35916</v>
      </c>
      <c r="B621" s="68">
        <f>VLOOKUP(Table2[[#This Row],[Date]],Database!A:E,2,)</f>
        <v>162.6</v>
      </c>
      <c r="C621" s="14">
        <f t="shared" si="18"/>
        <v>2.4660912453761141E-3</v>
      </c>
      <c r="D621" s="14">
        <f t="shared" si="19"/>
        <v>1.6885553470919253E-2</v>
      </c>
      <c r="E621" s="15">
        <f>VLOOKUP(Table2[[#This Row],[Date]],'Fed Fund New'!$A:$C,2,FALSE)</f>
        <v>0</v>
      </c>
      <c r="F621" s="15">
        <f>VLOOKUP(Table2[[#This Row],[Date]],'Fed Fund New'!$A:$C,3,FALSE)</f>
        <v>5.49</v>
      </c>
    </row>
    <row r="622" spans="1:6" x14ac:dyDescent="0.2">
      <c r="A622" s="61">
        <v>35947</v>
      </c>
      <c r="B622" s="68">
        <f>VLOOKUP(Table2[[#This Row],[Date]],Database!A:E,2,)</f>
        <v>162.80000000000001</v>
      </c>
      <c r="C622" s="14">
        <f t="shared" si="18"/>
        <v>1.2300123001231062E-3</v>
      </c>
      <c r="D622" s="14">
        <f t="shared" si="19"/>
        <v>1.6229712858926486E-2</v>
      </c>
      <c r="E622" s="15">
        <f>VLOOKUP(Table2[[#This Row],[Date]],'Fed Fund New'!$A:$C,2,FALSE)</f>
        <v>0</v>
      </c>
      <c r="F622" s="15">
        <f>VLOOKUP(Table2[[#This Row],[Date]],'Fed Fund New'!$A:$C,3,FALSE)</f>
        <v>5.56</v>
      </c>
    </row>
    <row r="623" spans="1:6" x14ac:dyDescent="0.2">
      <c r="A623" s="61">
        <v>35977</v>
      </c>
      <c r="B623" s="68">
        <f>VLOOKUP(Table2[[#This Row],[Date]],Database!A:E,2,)</f>
        <v>163.19999999999999</v>
      </c>
      <c r="C623" s="14">
        <f t="shared" si="18"/>
        <v>2.4570024570023173E-3</v>
      </c>
      <c r="D623" s="14">
        <f t="shared" si="19"/>
        <v>1.7456359102244284E-2</v>
      </c>
      <c r="E623" s="15">
        <f>VLOOKUP(Table2[[#This Row],[Date]],'Fed Fund New'!$A:$C,2,FALSE)</f>
        <v>0</v>
      </c>
      <c r="F623" s="15">
        <f>VLOOKUP(Table2[[#This Row],[Date]],'Fed Fund New'!$A:$C,3,FALSE)</f>
        <v>5.54</v>
      </c>
    </row>
    <row r="624" spans="1:6" x14ac:dyDescent="0.2">
      <c r="A624" s="61">
        <v>36008</v>
      </c>
      <c r="B624" s="68">
        <f>VLOOKUP(Table2[[#This Row],[Date]],Database!A:E,2,)</f>
        <v>163.4</v>
      </c>
      <c r="C624" s="14">
        <f t="shared" si="18"/>
        <v>1.2254901960785359E-3</v>
      </c>
      <c r="D624" s="14">
        <f t="shared" si="19"/>
        <v>1.6169154228855686E-2</v>
      </c>
      <c r="E624" s="15">
        <f>VLOOKUP(Table2[[#This Row],[Date]],'Fed Fund New'!$A:$C,2,FALSE)</f>
        <v>0</v>
      </c>
      <c r="F624" s="15">
        <f>VLOOKUP(Table2[[#This Row],[Date]],'Fed Fund New'!$A:$C,3,FALSE)</f>
        <v>5.55</v>
      </c>
    </row>
    <row r="625" spans="1:6" x14ac:dyDescent="0.2">
      <c r="A625" s="61">
        <v>36039</v>
      </c>
      <c r="B625" s="68">
        <f>VLOOKUP(Table2[[#This Row],[Date]],Database!A:E,2,)</f>
        <v>163.5</v>
      </c>
      <c r="C625" s="14">
        <f t="shared" si="18"/>
        <v>6.1199510403913283E-4</v>
      </c>
      <c r="D625" s="14">
        <f t="shared" si="19"/>
        <v>1.426799007444176E-2</v>
      </c>
      <c r="E625" s="15">
        <f>VLOOKUP(Table2[[#This Row],[Date]],'Fed Fund New'!$A:$C,2,FALSE)</f>
        <v>0</v>
      </c>
      <c r="F625" s="15">
        <f>VLOOKUP(Table2[[#This Row],[Date]],'Fed Fund New'!$A:$C,3,FALSE)</f>
        <v>5.51</v>
      </c>
    </row>
    <row r="626" spans="1:6" x14ac:dyDescent="0.2">
      <c r="A626" s="61">
        <v>36069</v>
      </c>
      <c r="B626" s="68">
        <f>VLOOKUP(Table2[[#This Row],[Date]],Database!A:E,2,)</f>
        <v>163.9</v>
      </c>
      <c r="C626" s="14">
        <f t="shared" si="18"/>
        <v>2.4464831804281695E-3</v>
      </c>
      <c r="D626" s="14">
        <f t="shared" si="19"/>
        <v>1.4860681114551119E-2</v>
      </c>
      <c r="E626" s="15">
        <f>VLOOKUP(Table2[[#This Row],[Date]],'Fed Fund New'!$A:$C,2,FALSE)</f>
        <v>0</v>
      </c>
      <c r="F626" s="15">
        <f>VLOOKUP(Table2[[#This Row],[Date]],'Fed Fund New'!$A:$C,3,FALSE)</f>
        <v>5.07</v>
      </c>
    </row>
    <row r="627" spans="1:6" x14ac:dyDescent="0.2">
      <c r="A627" s="61">
        <v>36100</v>
      </c>
      <c r="B627" s="68">
        <f>VLOOKUP(Table2[[#This Row],[Date]],Database!A:E,2,)</f>
        <v>164.1</v>
      </c>
      <c r="C627" s="14">
        <f t="shared" si="18"/>
        <v>1.2202562538132314E-3</v>
      </c>
      <c r="D627" s="14">
        <f t="shared" si="19"/>
        <v>1.4842300556586308E-2</v>
      </c>
      <c r="E627" s="15">
        <f>VLOOKUP(Table2[[#This Row],[Date]],'Fed Fund New'!$A:$C,2,FALSE)</f>
        <v>0</v>
      </c>
      <c r="F627" s="15">
        <f>VLOOKUP(Table2[[#This Row],[Date]],'Fed Fund New'!$A:$C,3,FALSE)</f>
        <v>4.83</v>
      </c>
    </row>
    <row r="628" spans="1:6" x14ac:dyDescent="0.2">
      <c r="A628" s="61">
        <v>36130</v>
      </c>
      <c r="B628" s="68">
        <f>VLOOKUP(Table2[[#This Row],[Date]],Database!A:E,2,)</f>
        <v>164.4</v>
      </c>
      <c r="C628" s="14">
        <f t="shared" si="18"/>
        <v>1.8281535648995209E-3</v>
      </c>
      <c r="D628" s="14">
        <f t="shared" si="19"/>
        <v>1.6069221260815787E-2</v>
      </c>
      <c r="E628" s="15">
        <f>VLOOKUP(Table2[[#This Row],[Date]],'Fed Fund New'!$A:$C,2,FALSE)</f>
        <v>0</v>
      </c>
      <c r="F628" s="15">
        <f>VLOOKUP(Table2[[#This Row],[Date]],'Fed Fund New'!$A:$C,3,FALSE)</f>
        <v>4.68</v>
      </c>
    </row>
    <row r="629" spans="1:6" x14ac:dyDescent="0.2">
      <c r="A629" s="61">
        <v>36161</v>
      </c>
      <c r="B629" s="68">
        <f>VLOOKUP(Table2[[#This Row],[Date]],Database!A:E,2,)</f>
        <v>164.7</v>
      </c>
      <c r="C629" s="14">
        <f t="shared" si="18"/>
        <v>1.8248175182480715E-3</v>
      </c>
      <c r="D629" s="14">
        <f t="shared" si="19"/>
        <v>1.6666666666666597E-2</v>
      </c>
      <c r="E629" s="15">
        <f>VLOOKUP(Table2[[#This Row],[Date]],'Fed Fund New'!$A:$C,2,FALSE)</f>
        <v>0</v>
      </c>
      <c r="F629" s="15">
        <f>VLOOKUP(Table2[[#This Row],[Date]],'Fed Fund New'!$A:$C,3,FALSE)</f>
        <v>4.63</v>
      </c>
    </row>
    <row r="630" spans="1:6" x14ac:dyDescent="0.2">
      <c r="A630" s="61">
        <v>36192</v>
      </c>
      <c r="B630" s="68">
        <f>VLOOKUP(Table2[[#This Row],[Date]],Database!A:E,2,)</f>
        <v>164.7</v>
      </c>
      <c r="C630" s="14">
        <f t="shared" si="18"/>
        <v>0</v>
      </c>
      <c r="D630" s="14">
        <f t="shared" si="19"/>
        <v>1.6666666666666597E-2</v>
      </c>
      <c r="E630" s="15">
        <f>VLOOKUP(Table2[[#This Row],[Date]],'Fed Fund New'!$A:$C,2,FALSE)</f>
        <v>0</v>
      </c>
      <c r="F630" s="15">
        <f>VLOOKUP(Table2[[#This Row],[Date]],'Fed Fund New'!$A:$C,3,FALSE)</f>
        <v>4.76</v>
      </c>
    </row>
    <row r="631" spans="1:6" x14ac:dyDescent="0.2">
      <c r="A631" s="61">
        <v>36220</v>
      </c>
      <c r="B631" s="68">
        <f>VLOOKUP(Table2[[#This Row],[Date]],Database!A:E,2,)</f>
        <v>164.8</v>
      </c>
      <c r="C631" s="14">
        <f t="shared" si="18"/>
        <v>6.0716454159090915E-4</v>
      </c>
      <c r="D631" s="14">
        <f t="shared" si="19"/>
        <v>1.7283950617284022E-2</v>
      </c>
      <c r="E631" s="15">
        <f>VLOOKUP(Table2[[#This Row],[Date]],'Fed Fund New'!$A:$C,2,FALSE)</f>
        <v>0</v>
      </c>
      <c r="F631" s="15">
        <f>VLOOKUP(Table2[[#This Row],[Date]],'Fed Fund New'!$A:$C,3,FALSE)</f>
        <v>4.8099999999999996</v>
      </c>
    </row>
    <row r="632" spans="1:6" x14ac:dyDescent="0.2">
      <c r="A632" s="61">
        <v>36251</v>
      </c>
      <c r="B632" s="68">
        <f>VLOOKUP(Table2[[#This Row],[Date]],Database!A:E,2,)</f>
        <v>165.9</v>
      </c>
      <c r="C632" s="14">
        <f t="shared" si="18"/>
        <v>6.674757281553363E-3</v>
      </c>
      <c r="D632" s="14">
        <f t="shared" si="19"/>
        <v>2.2811344019728837E-2</v>
      </c>
      <c r="E632" s="15">
        <f>VLOOKUP(Table2[[#This Row],[Date]],'Fed Fund New'!$A:$C,2,FALSE)</f>
        <v>0</v>
      </c>
      <c r="F632" s="15">
        <f>VLOOKUP(Table2[[#This Row],[Date]],'Fed Fund New'!$A:$C,3,FALSE)</f>
        <v>4.74</v>
      </c>
    </row>
    <row r="633" spans="1:6" x14ac:dyDescent="0.2">
      <c r="A633" s="61">
        <v>36281</v>
      </c>
      <c r="B633" s="68">
        <f>VLOOKUP(Table2[[#This Row],[Date]],Database!A:E,2,)</f>
        <v>166</v>
      </c>
      <c r="C633" s="14">
        <f t="shared" si="18"/>
        <v>6.0277275467145457E-4</v>
      </c>
      <c r="D633" s="14">
        <f t="shared" si="19"/>
        <v>2.0910209102091057E-2</v>
      </c>
      <c r="E633" s="15">
        <f>VLOOKUP(Table2[[#This Row],[Date]],'Fed Fund New'!$A:$C,2,FALSE)</f>
        <v>0</v>
      </c>
      <c r="F633" s="15">
        <f>VLOOKUP(Table2[[#This Row],[Date]],'Fed Fund New'!$A:$C,3,FALSE)</f>
        <v>4.74</v>
      </c>
    </row>
    <row r="634" spans="1:6" x14ac:dyDescent="0.2">
      <c r="A634" s="61">
        <v>36312</v>
      </c>
      <c r="B634" s="68">
        <f>VLOOKUP(Table2[[#This Row],[Date]],Database!A:E,2,)</f>
        <v>166</v>
      </c>
      <c r="C634" s="14">
        <f t="shared" si="18"/>
        <v>0</v>
      </c>
      <c r="D634" s="14">
        <f t="shared" si="19"/>
        <v>1.9656019656019586E-2</v>
      </c>
      <c r="E634" s="15">
        <f>VLOOKUP(Table2[[#This Row],[Date]],'Fed Fund New'!$A:$C,2,FALSE)</f>
        <v>0</v>
      </c>
      <c r="F634" s="15">
        <f>VLOOKUP(Table2[[#This Row],[Date]],'Fed Fund New'!$A:$C,3,FALSE)</f>
        <v>4.76</v>
      </c>
    </row>
    <row r="635" spans="1:6" x14ac:dyDescent="0.2">
      <c r="A635" s="61">
        <v>36342</v>
      </c>
      <c r="B635" s="68">
        <f>VLOOKUP(Table2[[#This Row],[Date]],Database!A:E,2,)</f>
        <v>166.7</v>
      </c>
      <c r="C635" s="14">
        <f t="shared" si="18"/>
        <v>4.2168674698794496E-3</v>
      </c>
      <c r="D635" s="14">
        <f t="shared" si="19"/>
        <v>2.1446078431372549E-2</v>
      </c>
      <c r="E635" s="15">
        <f>VLOOKUP(Table2[[#This Row],[Date]],'Fed Fund New'!$A:$C,2,FALSE)</f>
        <v>0</v>
      </c>
      <c r="F635" s="15">
        <f>VLOOKUP(Table2[[#This Row],[Date]],'Fed Fund New'!$A:$C,3,FALSE)</f>
        <v>4.99</v>
      </c>
    </row>
    <row r="636" spans="1:6" x14ac:dyDescent="0.2">
      <c r="A636" s="61">
        <v>36373</v>
      </c>
      <c r="B636" s="68">
        <f>VLOOKUP(Table2[[#This Row],[Date]],Database!A:E,2,)</f>
        <v>167.1</v>
      </c>
      <c r="C636" s="14">
        <f t="shared" si="18"/>
        <v>2.3995200959808379E-3</v>
      </c>
      <c r="D636" s="14">
        <f t="shared" si="19"/>
        <v>2.2643818849449136E-2</v>
      </c>
      <c r="E636" s="15">
        <f>VLOOKUP(Table2[[#This Row],[Date]],'Fed Fund New'!$A:$C,2,FALSE)</f>
        <v>0</v>
      </c>
      <c r="F636" s="15">
        <f>VLOOKUP(Table2[[#This Row],[Date]],'Fed Fund New'!$A:$C,3,FALSE)</f>
        <v>5.07</v>
      </c>
    </row>
    <row r="637" spans="1:6" x14ac:dyDescent="0.2">
      <c r="A637" s="61">
        <v>36404</v>
      </c>
      <c r="B637" s="68">
        <f>VLOOKUP(Table2[[#This Row],[Date]],Database!A:E,2,)</f>
        <v>167.8</v>
      </c>
      <c r="C637" s="14">
        <f t="shared" si="18"/>
        <v>4.1891083183723341E-3</v>
      </c>
      <c r="D637" s="14">
        <f t="shared" si="19"/>
        <v>2.6299694189602516E-2</v>
      </c>
      <c r="E637" s="15">
        <f>VLOOKUP(Table2[[#This Row],[Date]],'Fed Fund New'!$A:$C,2,FALSE)</f>
        <v>0</v>
      </c>
      <c r="F637" s="15">
        <f>VLOOKUP(Table2[[#This Row],[Date]],'Fed Fund New'!$A:$C,3,FALSE)</f>
        <v>5.22</v>
      </c>
    </row>
    <row r="638" spans="1:6" x14ac:dyDescent="0.2">
      <c r="A638" s="61">
        <v>36434</v>
      </c>
      <c r="B638" s="68">
        <f>VLOOKUP(Table2[[#This Row],[Date]],Database!A:E,2,)</f>
        <v>168.1</v>
      </c>
      <c r="C638" s="14">
        <f t="shared" si="18"/>
        <v>1.7878426698449518E-3</v>
      </c>
      <c r="D638" s="14">
        <f t="shared" si="19"/>
        <v>2.5625381330079248E-2</v>
      </c>
      <c r="E638" s="15">
        <f>VLOOKUP(Table2[[#This Row],[Date]],'Fed Fund New'!$A:$C,2,FALSE)</f>
        <v>0</v>
      </c>
      <c r="F638" s="15">
        <f>VLOOKUP(Table2[[#This Row],[Date]],'Fed Fund New'!$A:$C,3,FALSE)</f>
        <v>5.2</v>
      </c>
    </row>
    <row r="639" spans="1:6" x14ac:dyDescent="0.2">
      <c r="A639" s="61">
        <v>36465</v>
      </c>
      <c r="B639" s="68">
        <f>VLOOKUP(Table2[[#This Row],[Date]],Database!A:E,2,)</f>
        <v>168.4</v>
      </c>
      <c r="C639" s="14">
        <f t="shared" si="18"/>
        <v>1.7846519928614597E-3</v>
      </c>
      <c r="D639" s="14">
        <f t="shared" si="19"/>
        <v>2.6203534430225543E-2</v>
      </c>
      <c r="E639" s="15">
        <f>VLOOKUP(Table2[[#This Row],[Date]],'Fed Fund New'!$A:$C,2,FALSE)</f>
        <v>0</v>
      </c>
      <c r="F639" s="15">
        <f>VLOOKUP(Table2[[#This Row],[Date]],'Fed Fund New'!$A:$C,3,FALSE)</f>
        <v>5.42</v>
      </c>
    </row>
    <row r="640" spans="1:6" x14ac:dyDescent="0.2">
      <c r="A640" s="61">
        <v>36495</v>
      </c>
      <c r="B640" s="68">
        <f>VLOOKUP(Table2[[#This Row],[Date]],Database!A:E,2,)</f>
        <v>168.8</v>
      </c>
      <c r="C640" s="14">
        <f t="shared" si="18"/>
        <v>2.3752969121140478E-3</v>
      </c>
      <c r="D640" s="14">
        <f t="shared" si="19"/>
        <v>2.6763990267639936E-2</v>
      </c>
      <c r="E640" s="15">
        <f>VLOOKUP(Table2[[#This Row],[Date]],'Fed Fund New'!$A:$C,2,FALSE)</f>
        <v>0</v>
      </c>
      <c r="F640" s="15">
        <f>VLOOKUP(Table2[[#This Row],[Date]],'Fed Fund New'!$A:$C,3,FALSE)</f>
        <v>5.3</v>
      </c>
    </row>
    <row r="641" spans="1:6" x14ac:dyDescent="0.2">
      <c r="A641" s="61">
        <v>36526</v>
      </c>
      <c r="B641" s="68">
        <f>VLOOKUP(Table2[[#This Row],[Date]],Database!A:E,2,)</f>
        <v>169.3</v>
      </c>
      <c r="C641" s="14">
        <f t="shared" si="18"/>
        <v>2.9620853080568718E-3</v>
      </c>
      <c r="D641" s="14">
        <f t="shared" si="19"/>
        <v>2.792956891317561E-2</v>
      </c>
      <c r="E641" s="15">
        <f>VLOOKUP(Table2[[#This Row],[Date]],'Fed Fund New'!$A:$C,2,FALSE)</f>
        <v>0</v>
      </c>
      <c r="F641" s="15">
        <f>VLOOKUP(Table2[[#This Row],[Date]],'Fed Fund New'!$A:$C,3,FALSE)</f>
        <v>5.45</v>
      </c>
    </row>
    <row r="642" spans="1:6" x14ac:dyDescent="0.2">
      <c r="A642" s="61">
        <v>36557</v>
      </c>
      <c r="B642" s="68">
        <f>VLOOKUP(Table2[[#This Row],[Date]],Database!A:E,2,)</f>
        <v>170</v>
      </c>
      <c r="C642" s="14">
        <f t="shared" si="18"/>
        <v>4.1346721795628384E-3</v>
      </c>
      <c r="D642" s="14">
        <f t="shared" si="19"/>
        <v>3.2179720704310938E-2</v>
      </c>
      <c r="E642" s="15">
        <f>VLOOKUP(Table2[[#This Row],[Date]],'Fed Fund New'!$A:$C,2,FALSE)</f>
        <v>0</v>
      </c>
      <c r="F642" s="15">
        <f>VLOOKUP(Table2[[#This Row],[Date]],'Fed Fund New'!$A:$C,3,FALSE)</f>
        <v>5.73</v>
      </c>
    </row>
    <row r="643" spans="1:6" x14ac:dyDescent="0.2">
      <c r="A643" s="61">
        <v>36586</v>
      </c>
      <c r="B643" s="68">
        <f>VLOOKUP(Table2[[#This Row],[Date]],Database!A:E,2,)</f>
        <v>171</v>
      </c>
      <c r="C643" s="14">
        <f t="shared" si="18"/>
        <v>5.8823529411764705E-3</v>
      </c>
      <c r="D643" s="14">
        <f t="shared" si="19"/>
        <v>3.7621359223300899E-2</v>
      </c>
      <c r="E643" s="15">
        <f>VLOOKUP(Table2[[#This Row],[Date]],'Fed Fund New'!$A:$C,2,FALSE)</f>
        <v>0</v>
      </c>
      <c r="F643" s="15">
        <f>VLOOKUP(Table2[[#This Row],[Date]],'Fed Fund New'!$A:$C,3,FALSE)</f>
        <v>5.85</v>
      </c>
    </row>
    <row r="644" spans="1:6" x14ac:dyDescent="0.2">
      <c r="A644" s="61">
        <v>36617</v>
      </c>
      <c r="B644" s="68">
        <f>VLOOKUP(Table2[[#This Row],[Date]],Database!A:E,2,)</f>
        <v>170.9</v>
      </c>
      <c r="C644" s="14">
        <f t="shared" si="18"/>
        <v>-5.8479532163739363E-4</v>
      </c>
      <c r="D644" s="14">
        <f t="shared" si="19"/>
        <v>3.013863773357444E-2</v>
      </c>
      <c r="E644" s="15">
        <f>VLOOKUP(Table2[[#This Row],[Date]],'Fed Fund New'!$A:$C,2,FALSE)</f>
        <v>0</v>
      </c>
      <c r="F644" s="15">
        <f>VLOOKUP(Table2[[#This Row],[Date]],'Fed Fund New'!$A:$C,3,FALSE)</f>
        <v>6.02</v>
      </c>
    </row>
    <row r="645" spans="1:6" x14ac:dyDescent="0.2">
      <c r="A645" s="61">
        <v>36647</v>
      </c>
      <c r="B645" s="68">
        <f>VLOOKUP(Table2[[#This Row],[Date]],Database!A:E,2,)</f>
        <v>171.2</v>
      </c>
      <c r="C645" s="14">
        <f t="shared" si="18"/>
        <v>1.7554125219425567E-3</v>
      </c>
      <c r="D645" s="14">
        <f t="shared" si="19"/>
        <v>3.132530120481921E-2</v>
      </c>
      <c r="E645" s="15">
        <f>VLOOKUP(Table2[[#This Row],[Date]],'Fed Fund New'!$A:$C,2,FALSE)</f>
        <v>0</v>
      </c>
      <c r="F645" s="15">
        <f>VLOOKUP(Table2[[#This Row],[Date]],'Fed Fund New'!$A:$C,3,FALSE)</f>
        <v>6.27</v>
      </c>
    </row>
    <row r="646" spans="1:6" x14ac:dyDescent="0.2">
      <c r="A646" s="61">
        <v>36678</v>
      </c>
      <c r="B646" s="68">
        <f>VLOOKUP(Table2[[#This Row],[Date]],Database!A:E,2,)</f>
        <v>172.2</v>
      </c>
      <c r="C646" s="14">
        <f t="shared" ref="C646:C709" si="20">(B646-B645)/B645</f>
        <v>5.8411214953271035E-3</v>
      </c>
      <c r="D646" s="14">
        <f t="shared" si="19"/>
        <v>3.7349397590361377E-2</v>
      </c>
      <c r="E646" s="15">
        <f>VLOOKUP(Table2[[#This Row],[Date]],'Fed Fund New'!$A:$C,2,FALSE)</f>
        <v>0</v>
      </c>
      <c r="F646" s="15">
        <f>VLOOKUP(Table2[[#This Row],[Date]],'Fed Fund New'!$A:$C,3,FALSE)</f>
        <v>6.53</v>
      </c>
    </row>
    <row r="647" spans="1:6" x14ac:dyDescent="0.2">
      <c r="A647" s="61">
        <v>36708</v>
      </c>
      <c r="B647" s="68">
        <f>VLOOKUP(Table2[[#This Row],[Date]],Database!A:E,2,)</f>
        <v>172.7</v>
      </c>
      <c r="C647" s="14">
        <f t="shared" si="20"/>
        <v>2.9036004645760743E-3</v>
      </c>
      <c r="D647" s="14">
        <f t="shared" si="19"/>
        <v>3.5992801439712063E-2</v>
      </c>
      <c r="E647" s="15">
        <f>VLOOKUP(Table2[[#This Row],[Date]],'Fed Fund New'!$A:$C,2,FALSE)</f>
        <v>6.5</v>
      </c>
      <c r="F647" s="15">
        <f>VLOOKUP(Table2[[#This Row],[Date]],'Fed Fund New'!$A:$C,3,FALSE)</f>
        <v>6.54</v>
      </c>
    </row>
    <row r="648" spans="1:6" x14ac:dyDescent="0.2">
      <c r="A648" s="61">
        <v>36739</v>
      </c>
      <c r="B648" s="68">
        <f>VLOOKUP(Table2[[#This Row],[Date]],Database!A:E,2,)</f>
        <v>172.7</v>
      </c>
      <c r="C648" s="14">
        <f t="shared" si="20"/>
        <v>0</v>
      </c>
      <c r="D648" s="14">
        <f t="shared" si="19"/>
        <v>3.3512866546977826E-2</v>
      </c>
      <c r="E648" s="15">
        <f>VLOOKUP(Table2[[#This Row],[Date]],'Fed Fund New'!$A:$C,2,FALSE)</f>
        <v>6.5</v>
      </c>
      <c r="F648" s="15">
        <f>VLOOKUP(Table2[[#This Row],[Date]],'Fed Fund New'!$A:$C,3,FALSE)</f>
        <v>6.5</v>
      </c>
    </row>
    <row r="649" spans="1:6" x14ac:dyDescent="0.2">
      <c r="A649" s="61">
        <v>36770</v>
      </c>
      <c r="B649" s="68">
        <f>VLOOKUP(Table2[[#This Row],[Date]],Database!A:E,2,)</f>
        <v>173.6</v>
      </c>
      <c r="C649" s="14">
        <f t="shared" si="20"/>
        <v>5.2113491603937795E-3</v>
      </c>
      <c r="D649" s="14">
        <f t="shared" si="19"/>
        <v>3.4564958283670934E-2</v>
      </c>
      <c r="E649" s="15">
        <f>VLOOKUP(Table2[[#This Row],[Date]],'Fed Fund New'!$A:$C,2,FALSE)</f>
        <v>6.5</v>
      </c>
      <c r="F649" s="15">
        <f>VLOOKUP(Table2[[#This Row],[Date]],'Fed Fund New'!$A:$C,3,FALSE)</f>
        <v>6.52</v>
      </c>
    </row>
    <row r="650" spans="1:6" x14ac:dyDescent="0.2">
      <c r="A650" s="61">
        <v>36800</v>
      </c>
      <c r="B650" s="68">
        <f>VLOOKUP(Table2[[#This Row],[Date]],Database!A:E,2,)</f>
        <v>173.9</v>
      </c>
      <c r="C650" s="14">
        <f t="shared" si="20"/>
        <v>1.7281105990784066E-3</v>
      </c>
      <c r="D650" s="14">
        <f t="shared" si="19"/>
        <v>3.4503271861986984E-2</v>
      </c>
      <c r="E650" s="15">
        <f>VLOOKUP(Table2[[#This Row],[Date]],'Fed Fund New'!$A:$C,2,FALSE)</f>
        <v>6.5</v>
      </c>
      <c r="F650" s="15">
        <f>VLOOKUP(Table2[[#This Row],[Date]],'Fed Fund New'!$A:$C,3,FALSE)</f>
        <v>6.51</v>
      </c>
    </row>
    <row r="651" spans="1:6" x14ac:dyDescent="0.2">
      <c r="A651" s="61">
        <v>36831</v>
      </c>
      <c r="B651" s="68">
        <f>VLOOKUP(Table2[[#This Row],[Date]],Database!A:E,2,)</f>
        <v>174.2</v>
      </c>
      <c r="C651" s="14">
        <f t="shared" si="20"/>
        <v>1.7251293847037547E-3</v>
      </c>
      <c r="D651" s="14">
        <f t="shared" si="19"/>
        <v>3.4441805225653106E-2</v>
      </c>
      <c r="E651" s="15">
        <f>VLOOKUP(Table2[[#This Row],[Date]],'Fed Fund New'!$A:$C,2,FALSE)</f>
        <v>6.5</v>
      </c>
      <c r="F651" s="15">
        <f>VLOOKUP(Table2[[#This Row],[Date]],'Fed Fund New'!$A:$C,3,FALSE)</f>
        <v>6.51</v>
      </c>
    </row>
    <row r="652" spans="1:6" x14ac:dyDescent="0.2">
      <c r="A652" s="61">
        <v>36861</v>
      </c>
      <c r="B652" s="68">
        <f>VLOOKUP(Table2[[#This Row],[Date]],Database!A:E,2,)</f>
        <v>174.6</v>
      </c>
      <c r="C652" s="14">
        <f t="shared" si="20"/>
        <v>2.2962112514351646E-3</v>
      </c>
      <c r="D652" s="14">
        <f t="shared" si="19"/>
        <v>3.4360189573459612E-2</v>
      </c>
      <c r="E652" s="15">
        <f>VLOOKUP(Table2[[#This Row],[Date]],'Fed Fund New'!$A:$C,2,FALSE)</f>
        <v>6.5</v>
      </c>
      <c r="F652" s="15">
        <f>VLOOKUP(Table2[[#This Row],[Date]],'Fed Fund New'!$A:$C,3,FALSE)</f>
        <v>6.4</v>
      </c>
    </row>
    <row r="653" spans="1:6" x14ac:dyDescent="0.2">
      <c r="A653" s="61">
        <v>36892</v>
      </c>
      <c r="B653" s="68">
        <f>VLOOKUP(Table2[[#This Row],[Date]],Database!A:E,2,)</f>
        <v>175.6</v>
      </c>
      <c r="C653" s="14">
        <f t="shared" si="20"/>
        <v>5.7273768613974804E-3</v>
      </c>
      <c r="D653" s="14">
        <f t="shared" si="19"/>
        <v>3.7212049616066049E-2</v>
      </c>
      <c r="E653" s="15">
        <f>VLOOKUP(Table2[[#This Row],[Date]],'Fed Fund New'!$A:$C,2,FALSE)</f>
        <v>5.5</v>
      </c>
      <c r="F653" s="15">
        <f>VLOOKUP(Table2[[#This Row],[Date]],'Fed Fund New'!$A:$C,3,FALSE)</f>
        <v>5.98</v>
      </c>
    </row>
    <row r="654" spans="1:6" x14ac:dyDescent="0.2">
      <c r="A654" s="61">
        <v>36923</v>
      </c>
      <c r="B654" s="68">
        <f>VLOOKUP(Table2[[#This Row],[Date]],Database!A:E,2,)</f>
        <v>176</v>
      </c>
      <c r="C654" s="14">
        <f t="shared" si="20"/>
        <v>2.2779043280182557E-3</v>
      </c>
      <c r="D654" s="14">
        <f t="shared" si="19"/>
        <v>3.5294117647058823E-2</v>
      </c>
      <c r="E654" s="15">
        <f>VLOOKUP(Table2[[#This Row],[Date]],'Fed Fund New'!$A:$C,2,FALSE)</f>
        <v>5.5</v>
      </c>
      <c r="F654" s="15">
        <f>VLOOKUP(Table2[[#This Row],[Date]],'Fed Fund New'!$A:$C,3,FALSE)</f>
        <v>5.49</v>
      </c>
    </row>
    <row r="655" spans="1:6" x14ac:dyDescent="0.2">
      <c r="A655" s="61">
        <v>36951</v>
      </c>
      <c r="B655" s="68">
        <f>VLOOKUP(Table2[[#This Row],[Date]],Database!A:E,2,)</f>
        <v>176.1</v>
      </c>
      <c r="C655" s="14">
        <f t="shared" si="20"/>
        <v>5.6818181818178584E-4</v>
      </c>
      <c r="D655" s="14">
        <f t="shared" si="19"/>
        <v>2.982456140350874E-2</v>
      </c>
      <c r="E655" s="15">
        <f>VLOOKUP(Table2[[#This Row],[Date]],'Fed Fund New'!$A:$C,2,FALSE)</f>
        <v>5</v>
      </c>
      <c r="F655" s="15">
        <f>VLOOKUP(Table2[[#This Row],[Date]],'Fed Fund New'!$A:$C,3,FALSE)</f>
        <v>5.31</v>
      </c>
    </row>
    <row r="656" spans="1:6" x14ac:dyDescent="0.2">
      <c r="A656" s="61">
        <v>36982</v>
      </c>
      <c r="B656" s="68">
        <f>VLOOKUP(Table2[[#This Row],[Date]],Database!A:E,2,)</f>
        <v>176.4</v>
      </c>
      <c r="C656" s="14">
        <f t="shared" si="20"/>
        <v>1.703577512776896E-3</v>
      </c>
      <c r="D656" s="14">
        <f t="shared" si="19"/>
        <v>3.2182562902282039E-2</v>
      </c>
      <c r="E656" s="15">
        <f>VLOOKUP(Table2[[#This Row],[Date]],'Fed Fund New'!$A:$C,2,FALSE)</f>
        <v>4.5</v>
      </c>
      <c r="F656" s="15">
        <f>VLOOKUP(Table2[[#This Row],[Date]],'Fed Fund New'!$A:$C,3,FALSE)</f>
        <v>4.8</v>
      </c>
    </row>
    <row r="657" spans="1:6" x14ac:dyDescent="0.2">
      <c r="A657" s="61">
        <v>37012</v>
      </c>
      <c r="B657" s="68">
        <f>VLOOKUP(Table2[[#This Row],[Date]],Database!A:E,2,)</f>
        <v>177.3</v>
      </c>
      <c r="C657" s="14">
        <f t="shared" si="20"/>
        <v>5.1020408163265623E-3</v>
      </c>
      <c r="D657" s="14">
        <f t="shared" ref="D657:D720" si="21">(B657-B645)/B645</f>
        <v>3.5630841121495463E-2</v>
      </c>
      <c r="E657" s="15">
        <f>VLOOKUP(Table2[[#This Row],[Date]],'Fed Fund New'!$A:$C,2,FALSE)</f>
        <v>4</v>
      </c>
      <c r="F657" s="15">
        <f>VLOOKUP(Table2[[#This Row],[Date]],'Fed Fund New'!$A:$C,3,FALSE)</f>
        <v>4.21</v>
      </c>
    </row>
    <row r="658" spans="1:6" x14ac:dyDescent="0.2">
      <c r="A658" s="61">
        <v>37043</v>
      </c>
      <c r="B658" s="68">
        <f>VLOOKUP(Table2[[#This Row],[Date]],Database!A:E,2,)</f>
        <v>177.7</v>
      </c>
      <c r="C658" s="14">
        <f t="shared" si="20"/>
        <v>2.2560631697686249E-3</v>
      </c>
      <c r="D658" s="14">
        <f t="shared" si="21"/>
        <v>3.1939605110336819E-2</v>
      </c>
      <c r="E658" s="15">
        <f>VLOOKUP(Table2[[#This Row],[Date]],'Fed Fund New'!$A:$C,2,FALSE)</f>
        <v>3.75</v>
      </c>
      <c r="F658" s="15">
        <f>VLOOKUP(Table2[[#This Row],[Date]],'Fed Fund New'!$A:$C,3,FALSE)</f>
        <v>3.97</v>
      </c>
    </row>
    <row r="659" spans="1:6" x14ac:dyDescent="0.2">
      <c r="A659" s="61">
        <v>37073</v>
      </c>
      <c r="B659" s="68">
        <f>VLOOKUP(Table2[[#This Row],[Date]],Database!A:E,2,)</f>
        <v>177.4</v>
      </c>
      <c r="C659" s="14">
        <f t="shared" si="20"/>
        <v>-1.6882386043893245E-3</v>
      </c>
      <c r="D659" s="14">
        <f t="shared" si="21"/>
        <v>2.7214823393167442E-2</v>
      </c>
      <c r="E659" s="15">
        <f>VLOOKUP(Table2[[#This Row],[Date]],'Fed Fund New'!$A:$C,2,FALSE)</f>
        <v>3.75</v>
      </c>
      <c r="F659" s="15">
        <f>VLOOKUP(Table2[[#This Row],[Date]],'Fed Fund New'!$A:$C,3,FALSE)</f>
        <v>3.77</v>
      </c>
    </row>
    <row r="660" spans="1:6" x14ac:dyDescent="0.2">
      <c r="A660" s="61">
        <v>37104</v>
      </c>
      <c r="B660" s="68">
        <f>VLOOKUP(Table2[[#This Row],[Date]],Database!A:E,2,)</f>
        <v>177.4</v>
      </c>
      <c r="C660" s="14">
        <f t="shared" si="20"/>
        <v>0</v>
      </c>
      <c r="D660" s="14">
        <f t="shared" si="21"/>
        <v>2.7214823393167442E-2</v>
      </c>
      <c r="E660" s="15">
        <f>VLOOKUP(Table2[[#This Row],[Date]],'Fed Fund New'!$A:$C,2,FALSE)</f>
        <v>3.5</v>
      </c>
      <c r="F660" s="15">
        <f>VLOOKUP(Table2[[#This Row],[Date]],'Fed Fund New'!$A:$C,3,FALSE)</f>
        <v>3.65</v>
      </c>
    </row>
    <row r="661" spans="1:6" x14ac:dyDescent="0.2">
      <c r="A661" s="61">
        <v>37135</v>
      </c>
      <c r="B661" s="68">
        <f>VLOOKUP(Table2[[#This Row],[Date]],Database!A:E,2,)</f>
        <v>178.1</v>
      </c>
      <c r="C661" s="14">
        <f t="shared" si="20"/>
        <v>3.9458850056369142E-3</v>
      </c>
      <c r="D661" s="14">
        <f t="shared" si="21"/>
        <v>2.5921658986175117E-2</v>
      </c>
      <c r="E661" s="15">
        <f>VLOOKUP(Table2[[#This Row],[Date]],'Fed Fund New'!$A:$C,2,FALSE)</f>
        <v>3</v>
      </c>
      <c r="F661" s="15">
        <f>VLOOKUP(Table2[[#This Row],[Date]],'Fed Fund New'!$A:$C,3,FALSE)</f>
        <v>3.07</v>
      </c>
    </row>
    <row r="662" spans="1:6" x14ac:dyDescent="0.2">
      <c r="A662" s="61">
        <v>37165</v>
      </c>
      <c r="B662" s="68">
        <f>VLOOKUP(Table2[[#This Row],[Date]],Database!A:E,2,)</f>
        <v>177.6</v>
      </c>
      <c r="C662" s="14">
        <f t="shared" si="20"/>
        <v>-2.807411566535654E-3</v>
      </c>
      <c r="D662" s="14">
        <f t="shared" si="21"/>
        <v>2.1276595744680785E-2</v>
      </c>
      <c r="E662" s="15">
        <f>VLOOKUP(Table2[[#This Row],[Date]],'Fed Fund New'!$A:$C,2,FALSE)</f>
        <v>2.5</v>
      </c>
      <c r="F662" s="15">
        <f>VLOOKUP(Table2[[#This Row],[Date]],'Fed Fund New'!$A:$C,3,FALSE)</f>
        <v>2.4900000000000002</v>
      </c>
    </row>
    <row r="663" spans="1:6" x14ac:dyDescent="0.2">
      <c r="A663" s="61">
        <v>37196</v>
      </c>
      <c r="B663" s="68">
        <f>VLOOKUP(Table2[[#This Row],[Date]],Database!A:E,2,)</f>
        <v>177.5</v>
      </c>
      <c r="C663" s="14">
        <f t="shared" si="20"/>
        <v>-5.6306306306303107E-4</v>
      </c>
      <c r="D663" s="14">
        <f t="shared" si="21"/>
        <v>1.8943742824339905E-2</v>
      </c>
      <c r="E663" s="15">
        <f>VLOOKUP(Table2[[#This Row],[Date]],'Fed Fund New'!$A:$C,2,FALSE)</f>
        <v>2</v>
      </c>
      <c r="F663" s="15">
        <f>VLOOKUP(Table2[[#This Row],[Date]],'Fed Fund New'!$A:$C,3,FALSE)</f>
        <v>2.09</v>
      </c>
    </row>
    <row r="664" spans="1:6" x14ac:dyDescent="0.2">
      <c r="A664" s="61">
        <v>37226</v>
      </c>
      <c r="B664" s="68">
        <f>VLOOKUP(Table2[[#This Row],[Date]],Database!A:E,2,)</f>
        <v>177.4</v>
      </c>
      <c r="C664" s="14">
        <f t="shared" si="20"/>
        <v>-5.6338028169010878E-4</v>
      </c>
      <c r="D664" s="14">
        <f t="shared" si="21"/>
        <v>1.6036655211913008E-2</v>
      </c>
      <c r="E664" s="15">
        <f>VLOOKUP(Table2[[#This Row],[Date]],'Fed Fund New'!$A:$C,2,FALSE)</f>
        <v>1.75</v>
      </c>
      <c r="F664" s="15">
        <f>VLOOKUP(Table2[[#This Row],[Date]],'Fed Fund New'!$A:$C,3,FALSE)</f>
        <v>1.82</v>
      </c>
    </row>
    <row r="665" spans="1:6" x14ac:dyDescent="0.2">
      <c r="A665" s="61">
        <v>37257</v>
      </c>
      <c r="B665" s="68">
        <f>VLOOKUP(Table2[[#This Row],[Date]],Database!A:E,2,)</f>
        <v>177.7</v>
      </c>
      <c r="C665" s="14">
        <f t="shared" si="20"/>
        <v>1.6910935738443233E-3</v>
      </c>
      <c r="D665" s="14">
        <f t="shared" si="21"/>
        <v>1.1958997722095639E-2</v>
      </c>
      <c r="E665" s="15">
        <f>VLOOKUP(Table2[[#This Row],[Date]],'Fed Fund New'!$A:$C,2,FALSE)</f>
        <v>1.75</v>
      </c>
      <c r="F665" s="15">
        <f>VLOOKUP(Table2[[#This Row],[Date]],'Fed Fund New'!$A:$C,3,FALSE)</f>
        <v>1.73</v>
      </c>
    </row>
    <row r="666" spans="1:6" x14ac:dyDescent="0.2">
      <c r="A666" s="61">
        <v>37288</v>
      </c>
      <c r="B666" s="68">
        <f>VLOOKUP(Table2[[#This Row],[Date]],Database!A:E,2,)</f>
        <v>178</v>
      </c>
      <c r="C666" s="14">
        <f t="shared" si="20"/>
        <v>1.6882386043894845E-3</v>
      </c>
      <c r="D666" s="14">
        <f t="shared" si="21"/>
        <v>1.1363636363636364E-2</v>
      </c>
      <c r="E666" s="15">
        <f>VLOOKUP(Table2[[#This Row],[Date]],'Fed Fund New'!$A:$C,2,FALSE)</f>
        <v>1.75</v>
      </c>
      <c r="F666" s="15">
        <f>VLOOKUP(Table2[[#This Row],[Date]],'Fed Fund New'!$A:$C,3,FALSE)</f>
        <v>1.74</v>
      </c>
    </row>
    <row r="667" spans="1:6" x14ac:dyDescent="0.2">
      <c r="A667" s="61">
        <v>37316</v>
      </c>
      <c r="B667" s="68">
        <f>VLOOKUP(Table2[[#This Row],[Date]],Database!A:E,2,)</f>
        <v>178.5</v>
      </c>
      <c r="C667" s="14">
        <f t="shared" si="20"/>
        <v>2.8089887640449437E-3</v>
      </c>
      <c r="D667" s="14">
        <f t="shared" si="21"/>
        <v>1.3628620102214684E-2</v>
      </c>
      <c r="E667" s="15">
        <f>VLOOKUP(Table2[[#This Row],[Date]],'Fed Fund New'!$A:$C,2,FALSE)</f>
        <v>1.75</v>
      </c>
      <c r="F667" s="15">
        <f>VLOOKUP(Table2[[#This Row],[Date]],'Fed Fund New'!$A:$C,3,FALSE)</f>
        <v>1.73</v>
      </c>
    </row>
    <row r="668" spans="1:6" x14ac:dyDescent="0.2">
      <c r="A668" s="61">
        <v>37347</v>
      </c>
      <c r="B668" s="68">
        <f>VLOOKUP(Table2[[#This Row],[Date]],Database!A:E,2,)</f>
        <v>179.3</v>
      </c>
      <c r="C668" s="14">
        <f t="shared" si="20"/>
        <v>4.4817927170868986E-3</v>
      </c>
      <c r="D668" s="14">
        <f t="shared" si="21"/>
        <v>1.6439909297052187E-2</v>
      </c>
      <c r="E668" s="15">
        <f>VLOOKUP(Table2[[#This Row],[Date]],'Fed Fund New'!$A:$C,2,FALSE)</f>
        <v>1.75</v>
      </c>
      <c r="F668" s="15">
        <f>VLOOKUP(Table2[[#This Row],[Date]],'Fed Fund New'!$A:$C,3,FALSE)</f>
        <v>1.75</v>
      </c>
    </row>
    <row r="669" spans="1:6" x14ac:dyDescent="0.2">
      <c r="A669" s="61">
        <v>37377</v>
      </c>
      <c r="B669" s="68">
        <f>VLOOKUP(Table2[[#This Row],[Date]],Database!A:E,2,)</f>
        <v>179.5</v>
      </c>
      <c r="C669" s="14">
        <f t="shared" si="20"/>
        <v>1.1154489682096409E-3</v>
      </c>
      <c r="D669" s="14">
        <f t="shared" si="21"/>
        <v>1.240834743372808E-2</v>
      </c>
      <c r="E669" s="15">
        <f>VLOOKUP(Table2[[#This Row],[Date]],'Fed Fund New'!$A:$C,2,FALSE)</f>
        <v>1.75</v>
      </c>
      <c r="F669" s="15">
        <f>VLOOKUP(Table2[[#This Row],[Date]],'Fed Fund New'!$A:$C,3,FALSE)</f>
        <v>1.75</v>
      </c>
    </row>
    <row r="670" spans="1:6" x14ac:dyDescent="0.2">
      <c r="A670" s="61">
        <v>37408</v>
      </c>
      <c r="B670" s="68">
        <f>VLOOKUP(Table2[[#This Row],[Date]],Database!A:E,2,)</f>
        <v>179.6</v>
      </c>
      <c r="C670" s="14">
        <f t="shared" si="20"/>
        <v>5.5710306406682073E-4</v>
      </c>
      <c r="D670" s="14">
        <f t="shared" si="21"/>
        <v>1.0692177827799696E-2</v>
      </c>
      <c r="E670" s="15">
        <f>VLOOKUP(Table2[[#This Row],[Date]],'Fed Fund New'!$A:$C,2,FALSE)</f>
        <v>1.75</v>
      </c>
      <c r="F670" s="15">
        <f>VLOOKUP(Table2[[#This Row],[Date]],'Fed Fund New'!$A:$C,3,FALSE)</f>
        <v>1.75</v>
      </c>
    </row>
    <row r="671" spans="1:6" x14ac:dyDescent="0.2">
      <c r="A671" s="61">
        <v>37438</v>
      </c>
      <c r="B671" s="68">
        <f>VLOOKUP(Table2[[#This Row],[Date]],Database!A:E,2,)</f>
        <v>180</v>
      </c>
      <c r="C671" s="14">
        <f t="shared" si="20"/>
        <v>2.2271714922049313E-3</v>
      </c>
      <c r="D671" s="14">
        <f t="shared" si="21"/>
        <v>1.4656144306651603E-2</v>
      </c>
      <c r="E671" s="15">
        <f>VLOOKUP(Table2[[#This Row],[Date]],'Fed Fund New'!$A:$C,2,FALSE)</f>
        <v>1.75</v>
      </c>
      <c r="F671" s="15">
        <f>VLOOKUP(Table2[[#This Row],[Date]],'Fed Fund New'!$A:$C,3,FALSE)</f>
        <v>1.73</v>
      </c>
    </row>
    <row r="672" spans="1:6" x14ac:dyDescent="0.2">
      <c r="A672" s="61">
        <v>37469</v>
      </c>
      <c r="B672" s="68">
        <f>VLOOKUP(Table2[[#This Row],[Date]],Database!A:E,2,)</f>
        <v>180.5</v>
      </c>
      <c r="C672" s="14">
        <f t="shared" si="20"/>
        <v>2.7777777777777779E-3</v>
      </c>
      <c r="D672" s="14">
        <f t="shared" si="21"/>
        <v>1.74746335963923E-2</v>
      </c>
      <c r="E672" s="15">
        <f>VLOOKUP(Table2[[#This Row],[Date]],'Fed Fund New'!$A:$C,2,FALSE)</f>
        <v>1.75</v>
      </c>
      <c r="F672" s="15">
        <f>VLOOKUP(Table2[[#This Row],[Date]],'Fed Fund New'!$A:$C,3,FALSE)</f>
        <v>1.74</v>
      </c>
    </row>
    <row r="673" spans="1:6" x14ac:dyDescent="0.2">
      <c r="A673" s="61">
        <v>37500</v>
      </c>
      <c r="B673" s="68">
        <f>VLOOKUP(Table2[[#This Row],[Date]],Database!A:E,2,)</f>
        <v>180.8</v>
      </c>
      <c r="C673" s="14">
        <f t="shared" si="20"/>
        <v>1.6620498614959079E-3</v>
      </c>
      <c r="D673" s="14">
        <f t="shared" si="21"/>
        <v>1.5160022459292629E-2</v>
      </c>
      <c r="E673" s="15">
        <f>VLOOKUP(Table2[[#This Row],[Date]],'Fed Fund New'!$A:$C,2,FALSE)</f>
        <v>1.75</v>
      </c>
      <c r="F673" s="15">
        <f>VLOOKUP(Table2[[#This Row],[Date]],'Fed Fund New'!$A:$C,3,FALSE)</f>
        <v>1.75</v>
      </c>
    </row>
    <row r="674" spans="1:6" x14ac:dyDescent="0.2">
      <c r="A674" s="61">
        <v>37530</v>
      </c>
      <c r="B674" s="68">
        <f>VLOOKUP(Table2[[#This Row],[Date]],Database!A:E,2,)</f>
        <v>181.2</v>
      </c>
      <c r="C674" s="14">
        <f t="shared" si="20"/>
        <v>2.2123893805308477E-3</v>
      </c>
      <c r="D674" s="14">
        <f t="shared" si="21"/>
        <v>2.027027027027024E-2</v>
      </c>
      <c r="E674" s="15">
        <f>VLOOKUP(Table2[[#This Row],[Date]],'Fed Fund New'!$A:$C,2,FALSE)</f>
        <v>1.75</v>
      </c>
      <c r="F674" s="15">
        <f>VLOOKUP(Table2[[#This Row],[Date]],'Fed Fund New'!$A:$C,3,FALSE)</f>
        <v>1.75</v>
      </c>
    </row>
    <row r="675" spans="1:6" x14ac:dyDescent="0.2">
      <c r="A675" s="61">
        <v>37561</v>
      </c>
      <c r="B675" s="68">
        <f>VLOOKUP(Table2[[#This Row],[Date]],Database!A:E,2,)</f>
        <v>181.5</v>
      </c>
      <c r="C675" s="14">
        <f t="shared" si="20"/>
        <v>1.6556291390729106E-3</v>
      </c>
      <c r="D675" s="14">
        <f t="shared" si="21"/>
        <v>2.2535211267605635E-2</v>
      </c>
      <c r="E675" s="15">
        <f>VLOOKUP(Table2[[#This Row],[Date]],'Fed Fund New'!$A:$C,2,FALSE)</f>
        <v>1.25</v>
      </c>
      <c r="F675" s="15">
        <f>VLOOKUP(Table2[[#This Row],[Date]],'Fed Fund New'!$A:$C,3,FALSE)</f>
        <v>1.34</v>
      </c>
    </row>
    <row r="676" spans="1:6" x14ac:dyDescent="0.2">
      <c r="A676" s="61">
        <v>37591</v>
      </c>
      <c r="B676" s="68">
        <f>VLOOKUP(Table2[[#This Row],[Date]],Database!A:E,2,)</f>
        <v>181.8</v>
      </c>
      <c r="C676" s="14">
        <f t="shared" si="20"/>
        <v>1.6528925619835337E-3</v>
      </c>
      <c r="D676" s="14">
        <f t="shared" si="21"/>
        <v>2.4802705749718181E-2</v>
      </c>
      <c r="E676" s="15">
        <f>VLOOKUP(Table2[[#This Row],[Date]],'Fed Fund New'!$A:$C,2,FALSE)</f>
        <v>1.25</v>
      </c>
      <c r="F676" s="15">
        <f>VLOOKUP(Table2[[#This Row],[Date]],'Fed Fund New'!$A:$C,3,FALSE)</f>
        <v>1.24</v>
      </c>
    </row>
    <row r="677" spans="1:6" x14ac:dyDescent="0.2">
      <c r="A677" s="61">
        <v>37622</v>
      </c>
      <c r="B677" s="68">
        <f>VLOOKUP(Table2[[#This Row],[Date]],Database!A:E,2,)</f>
        <v>182.6</v>
      </c>
      <c r="C677" s="14">
        <f t="shared" si="20"/>
        <v>4.4004400440043065E-3</v>
      </c>
      <c r="D677" s="14">
        <f t="shared" si="21"/>
        <v>2.7574563871693901E-2</v>
      </c>
      <c r="E677" s="15">
        <f>VLOOKUP(Table2[[#This Row],[Date]],'Fed Fund New'!$A:$C,2,FALSE)</f>
        <v>1.25</v>
      </c>
      <c r="F677" s="15">
        <f>VLOOKUP(Table2[[#This Row],[Date]],'Fed Fund New'!$A:$C,3,FALSE)</f>
        <v>1.24</v>
      </c>
    </row>
    <row r="678" spans="1:6" x14ac:dyDescent="0.2">
      <c r="A678" s="61">
        <v>37653</v>
      </c>
      <c r="B678" s="68">
        <f>VLOOKUP(Table2[[#This Row],[Date]],Database!A:E,2,)</f>
        <v>183.6</v>
      </c>
      <c r="C678" s="14">
        <f t="shared" si="20"/>
        <v>5.4764512595837896E-3</v>
      </c>
      <c r="D678" s="14">
        <f t="shared" si="21"/>
        <v>3.1460674157303338E-2</v>
      </c>
      <c r="E678" s="15">
        <f>VLOOKUP(Table2[[#This Row],[Date]],'Fed Fund New'!$A:$C,2,FALSE)</f>
        <v>1.25</v>
      </c>
      <c r="F678" s="15">
        <f>VLOOKUP(Table2[[#This Row],[Date]],'Fed Fund New'!$A:$C,3,FALSE)</f>
        <v>1.26</v>
      </c>
    </row>
    <row r="679" spans="1:6" x14ac:dyDescent="0.2">
      <c r="A679" s="61">
        <v>37681</v>
      </c>
      <c r="B679" s="68">
        <f>VLOOKUP(Table2[[#This Row],[Date]],Database!A:E,2,)</f>
        <v>183.9</v>
      </c>
      <c r="C679" s="14">
        <f t="shared" si="20"/>
        <v>1.6339869281046372E-3</v>
      </c>
      <c r="D679" s="14">
        <f t="shared" si="21"/>
        <v>3.0252100840336166E-2</v>
      </c>
      <c r="E679" s="15">
        <f>VLOOKUP(Table2[[#This Row],[Date]],'Fed Fund New'!$A:$C,2,FALSE)</f>
        <v>1.25</v>
      </c>
      <c r="F679" s="15">
        <f>VLOOKUP(Table2[[#This Row],[Date]],'Fed Fund New'!$A:$C,3,FALSE)</f>
        <v>1.25</v>
      </c>
    </row>
    <row r="680" spans="1:6" x14ac:dyDescent="0.2">
      <c r="A680" s="61">
        <v>37712</v>
      </c>
      <c r="B680" s="68">
        <f>VLOOKUP(Table2[[#This Row],[Date]],Database!A:E,2,)</f>
        <v>183.2</v>
      </c>
      <c r="C680" s="14">
        <f t="shared" si="20"/>
        <v>-3.8064165307233116E-3</v>
      </c>
      <c r="D680" s="14">
        <f t="shared" si="21"/>
        <v>2.1751254880089107E-2</v>
      </c>
      <c r="E680" s="15">
        <f>VLOOKUP(Table2[[#This Row],[Date]],'Fed Fund New'!$A:$C,2,FALSE)</f>
        <v>1.25</v>
      </c>
      <c r="F680" s="15">
        <f>VLOOKUP(Table2[[#This Row],[Date]],'Fed Fund New'!$A:$C,3,FALSE)</f>
        <v>1.26</v>
      </c>
    </row>
    <row r="681" spans="1:6" x14ac:dyDescent="0.2">
      <c r="A681" s="61">
        <v>37742</v>
      </c>
      <c r="B681" s="68">
        <f>VLOOKUP(Table2[[#This Row],[Date]],Database!A:E,2,)</f>
        <v>182.9</v>
      </c>
      <c r="C681" s="14">
        <f t="shared" si="20"/>
        <v>-1.6375545851527455E-3</v>
      </c>
      <c r="D681" s="14">
        <f t="shared" si="21"/>
        <v>1.8941504178273012E-2</v>
      </c>
      <c r="E681" s="15">
        <f>VLOOKUP(Table2[[#This Row],[Date]],'Fed Fund New'!$A:$C,2,FALSE)</f>
        <v>1.25</v>
      </c>
      <c r="F681" s="15">
        <f>VLOOKUP(Table2[[#This Row],[Date]],'Fed Fund New'!$A:$C,3,FALSE)</f>
        <v>1.26</v>
      </c>
    </row>
    <row r="682" spans="1:6" x14ac:dyDescent="0.2">
      <c r="A682" s="61">
        <v>37773</v>
      </c>
      <c r="B682" s="68">
        <f>VLOOKUP(Table2[[#This Row],[Date]],Database!A:E,2,)</f>
        <v>183.1</v>
      </c>
      <c r="C682" s="14">
        <f t="shared" si="20"/>
        <v>1.0934937124110913E-3</v>
      </c>
      <c r="D682" s="14">
        <f t="shared" si="21"/>
        <v>1.9487750556792874E-2</v>
      </c>
      <c r="E682" s="15">
        <f>VLOOKUP(Table2[[#This Row],[Date]],'Fed Fund New'!$A:$C,2,FALSE)</f>
        <v>1</v>
      </c>
      <c r="F682" s="15">
        <f>VLOOKUP(Table2[[#This Row],[Date]],'Fed Fund New'!$A:$C,3,FALSE)</f>
        <v>1.22</v>
      </c>
    </row>
    <row r="683" spans="1:6" x14ac:dyDescent="0.2">
      <c r="A683" s="61">
        <v>37803</v>
      </c>
      <c r="B683" s="68">
        <f>VLOOKUP(Table2[[#This Row],[Date]],Database!A:E,2,)</f>
        <v>183.7</v>
      </c>
      <c r="C683" s="14">
        <f t="shared" si="20"/>
        <v>3.2768978700163536E-3</v>
      </c>
      <c r="D683" s="14">
        <f t="shared" si="21"/>
        <v>2.0555555555555494E-2</v>
      </c>
      <c r="E683" s="15">
        <f>VLOOKUP(Table2[[#This Row],[Date]],'Fed Fund New'!$A:$C,2,FALSE)</f>
        <v>1</v>
      </c>
      <c r="F683" s="15">
        <f>VLOOKUP(Table2[[#This Row],[Date]],'Fed Fund New'!$A:$C,3,FALSE)</f>
        <v>1.01</v>
      </c>
    </row>
    <row r="684" spans="1:6" x14ac:dyDescent="0.2">
      <c r="A684" s="61">
        <v>37834</v>
      </c>
      <c r="B684" s="68">
        <f>VLOOKUP(Table2[[#This Row],[Date]],Database!A:E,2,)</f>
        <v>184.5</v>
      </c>
      <c r="C684" s="14">
        <f t="shared" si="20"/>
        <v>4.3549265106151954E-3</v>
      </c>
      <c r="D684" s="14">
        <f t="shared" si="21"/>
        <v>2.2160664819944598E-2</v>
      </c>
      <c r="E684" s="15">
        <f>VLOOKUP(Table2[[#This Row],[Date]],'Fed Fund New'!$A:$C,2,FALSE)</f>
        <v>1</v>
      </c>
      <c r="F684" s="15">
        <f>VLOOKUP(Table2[[#This Row],[Date]],'Fed Fund New'!$A:$C,3,FALSE)</f>
        <v>1.03</v>
      </c>
    </row>
    <row r="685" spans="1:6" x14ac:dyDescent="0.2">
      <c r="A685" s="61">
        <v>37865</v>
      </c>
      <c r="B685" s="68">
        <f>VLOOKUP(Table2[[#This Row],[Date]],Database!A:E,2,)</f>
        <v>185.1</v>
      </c>
      <c r="C685" s="14">
        <f t="shared" si="20"/>
        <v>3.2520325203251725E-3</v>
      </c>
      <c r="D685" s="14">
        <f t="shared" si="21"/>
        <v>2.378318584070787E-2</v>
      </c>
      <c r="E685" s="15">
        <f>VLOOKUP(Table2[[#This Row],[Date]],'Fed Fund New'!$A:$C,2,FALSE)</f>
        <v>1</v>
      </c>
      <c r="F685" s="15">
        <f>VLOOKUP(Table2[[#This Row],[Date]],'Fed Fund New'!$A:$C,3,FALSE)</f>
        <v>1.01</v>
      </c>
    </row>
    <row r="686" spans="1:6" x14ac:dyDescent="0.2">
      <c r="A686" s="61">
        <v>37895</v>
      </c>
      <c r="B686" s="68">
        <f>VLOOKUP(Table2[[#This Row],[Date]],Database!A:E,2,)</f>
        <v>184.9</v>
      </c>
      <c r="C686" s="14">
        <f t="shared" si="20"/>
        <v>-1.0804970286331099E-3</v>
      </c>
      <c r="D686" s="14">
        <f t="shared" si="21"/>
        <v>2.0419426048565215E-2</v>
      </c>
      <c r="E686" s="15">
        <f>VLOOKUP(Table2[[#This Row],[Date]],'Fed Fund New'!$A:$C,2,FALSE)</f>
        <v>1</v>
      </c>
      <c r="F686" s="15">
        <f>VLOOKUP(Table2[[#This Row],[Date]],'Fed Fund New'!$A:$C,3,FALSE)</f>
        <v>1.01</v>
      </c>
    </row>
    <row r="687" spans="1:6" x14ac:dyDescent="0.2">
      <c r="A687" s="61">
        <v>37926</v>
      </c>
      <c r="B687" s="68">
        <f>VLOOKUP(Table2[[#This Row],[Date]],Database!A:E,2,)</f>
        <v>185</v>
      </c>
      <c r="C687" s="14">
        <f t="shared" si="20"/>
        <v>5.4083288263923372E-4</v>
      </c>
      <c r="D687" s="14">
        <f t="shared" si="21"/>
        <v>1.928374655647383E-2</v>
      </c>
      <c r="E687" s="15">
        <f>VLOOKUP(Table2[[#This Row],[Date]],'Fed Fund New'!$A:$C,2,FALSE)</f>
        <v>1</v>
      </c>
      <c r="F687" s="15">
        <f>VLOOKUP(Table2[[#This Row],[Date]],'Fed Fund New'!$A:$C,3,FALSE)</f>
        <v>1</v>
      </c>
    </row>
    <row r="688" spans="1:6" x14ac:dyDescent="0.2">
      <c r="A688" s="61">
        <v>37956</v>
      </c>
      <c r="B688" s="68">
        <f>VLOOKUP(Table2[[#This Row],[Date]],Database!A:E,2,)</f>
        <v>185.5</v>
      </c>
      <c r="C688" s="14">
        <f t="shared" si="20"/>
        <v>2.7027027027027029E-3</v>
      </c>
      <c r="D688" s="14">
        <f t="shared" si="21"/>
        <v>2.0352035203520288E-2</v>
      </c>
      <c r="E688" s="15">
        <f>VLOOKUP(Table2[[#This Row],[Date]],'Fed Fund New'!$A:$C,2,FALSE)</f>
        <v>1</v>
      </c>
      <c r="F688" s="15">
        <f>VLOOKUP(Table2[[#This Row],[Date]],'Fed Fund New'!$A:$C,3,FALSE)</f>
        <v>0.98</v>
      </c>
    </row>
    <row r="689" spans="1:6" x14ac:dyDescent="0.2">
      <c r="A689" s="61">
        <v>37987</v>
      </c>
      <c r="B689" s="68">
        <f>VLOOKUP(Table2[[#This Row],[Date]],Database!A:E,2,)</f>
        <v>186.3</v>
      </c>
      <c r="C689" s="14">
        <f t="shared" si="20"/>
        <v>4.312668463611921E-3</v>
      </c>
      <c r="D689" s="14">
        <f t="shared" si="21"/>
        <v>2.0262869660460116E-2</v>
      </c>
      <c r="E689" s="15">
        <f>VLOOKUP(Table2[[#This Row],[Date]],'Fed Fund New'!$A:$C,2,FALSE)</f>
        <v>1</v>
      </c>
      <c r="F689" s="15">
        <f>VLOOKUP(Table2[[#This Row],[Date]],'Fed Fund New'!$A:$C,3,FALSE)</f>
        <v>1</v>
      </c>
    </row>
    <row r="690" spans="1:6" x14ac:dyDescent="0.2">
      <c r="A690" s="61">
        <v>38018</v>
      </c>
      <c r="B690" s="68">
        <f>VLOOKUP(Table2[[#This Row],[Date]],Database!A:E,2,)</f>
        <v>186.7</v>
      </c>
      <c r="C690" s="14">
        <f t="shared" si="20"/>
        <v>2.1470746108426045E-3</v>
      </c>
      <c r="D690" s="14">
        <f t="shared" si="21"/>
        <v>1.6884531590413913E-2</v>
      </c>
      <c r="E690" s="15">
        <f>VLOOKUP(Table2[[#This Row],[Date]],'Fed Fund New'!$A:$C,2,FALSE)</f>
        <v>1</v>
      </c>
      <c r="F690" s="15">
        <f>VLOOKUP(Table2[[#This Row],[Date]],'Fed Fund New'!$A:$C,3,FALSE)</f>
        <v>1.01</v>
      </c>
    </row>
    <row r="691" spans="1:6" x14ac:dyDescent="0.2">
      <c r="A691" s="61">
        <v>38047</v>
      </c>
      <c r="B691" s="68">
        <f>VLOOKUP(Table2[[#This Row],[Date]],Database!A:E,2,)</f>
        <v>187.1</v>
      </c>
      <c r="C691" s="14">
        <f t="shared" si="20"/>
        <v>2.1424745581146531E-3</v>
      </c>
      <c r="D691" s="14">
        <f t="shared" si="21"/>
        <v>1.7400761283306081E-2</v>
      </c>
      <c r="E691" s="15">
        <f>VLOOKUP(Table2[[#This Row],[Date]],'Fed Fund New'!$A:$C,2,FALSE)</f>
        <v>1</v>
      </c>
      <c r="F691" s="15">
        <f>VLOOKUP(Table2[[#This Row],[Date]],'Fed Fund New'!$A:$C,3,FALSE)</f>
        <v>1</v>
      </c>
    </row>
    <row r="692" spans="1:6" x14ac:dyDescent="0.2">
      <c r="A692" s="61">
        <v>38078</v>
      </c>
      <c r="B692" s="68">
        <f>VLOOKUP(Table2[[#This Row],[Date]],Database!A:E,2,)</f>
        <v>187.4</v>
      </c>
      <c r="C692" s="14">
        <f t="shared" si="20"/>
        <v>1.6034206306788422E-3</v>
      </c>
      <c r="D692" s="14">
        <f t="shared" si="21"/>
        <v>2.2925764192139833E-2</v>
      </c>
      <c r="E692" s="15">
        <f>VLOOKUP(Table2[[#This Row],[Date]],'Fed Fund New'!$A:$C,2,FALSE)</f>
        <v>1</v>
      </c>
      <c r="F692" s="15">
        <f>VLOOKUP(Table2[[#This Row],[Date]],'Fed Fund New'!$A:$C,3,FALSE)</f>
        <v>1</v>
      </c>
    </row>
    <row r="693" spans="1:6" x14ac:dyDescent="0.2">
      <c r="A693" s="61">
        <v>38108</v>
      </c>
      <c r="B693" s="68">
        <f>VLOOKUP(Table2[[#This Row],[Date]],Database!A:E,2,)</f>
        <v>188.2</v>
      </c>
      <c r="C693" s="14">
        <f t="shared" si="20"/>
        <v>4.2689434364993756E-3</v>
      </c>
      <c r="D693" s="14">
        <f t="shared" si="21"/>
        <v>2.8977583378895479E-2</v>
      </c>
      <c r="E693" s="15">
        <f>VLOOKUP(Table2[[#This Row],[Date]],'Fed Fund New'!$A:$C,2,FALSE)</f>
        <v>1</v>
      </c>
      <c r="F693" s="15">
        <f>VLOOKUP(Table2[[#This Row],[Date]],'Fed Fund New'!$A:$C,3,FALSE)</f>
        <v>1</v>
      </c>
    </row>
    <row r="694" spans="1:6" x14ac:dyDescent="0.2">
      <c r="A694" s="61">
        <v>38139</v>
      </c>
      <c r="B694" s="68">
        <f>VLOOKUP(Table2[[#This Row],[Date]],Database!A:E,2,)</f>
        <v>188.9</v>
      </c>
      <c r="C694" s="14">
        <f t="shared" si="20"/>
        <v>3.7194473963869132E-3</v>
      </c>
      <c r="D694" s="14">
        <f t="shared" si="21"/>
        <v>3.1676679410158448E-2</v>
      </c>
      <c r="E694" s="15">
        <f>VLOOKUP(Table2[[#This Row],[Date]],'Fed Fund New'!$A:$C,2,FALSE)</f>
        <v>1.25</v>
      </c>
      <c r="F694" s="15">
        <f>VLOOKUP(Table2[[#This Row],[Date]],'Fed Fund New'!$A:$C,3,FALSE)</f>
        <v>1.03</v>
      </c>
    </row>
    <row r="695" spans="1:6" x14ac:dyDescent="0.2">
      <c r="A695" s="61">
        <v>38169</v>
      </c>
      <c r="B695" s="68">
        <f>VLOOKUP(Table2[[#This Row],[Date]],Database!A:E,2,)</f>
        <v>189.1</v>
      </c>
      <c r="C695" s="14">
        <f t="shared" si="20"/>
        <v>1.058761249338214E-3</v>
      </c>
      <c r="D695" s="14">
        <f t="shared" si="21"/>
        <v>2.9395753946652184E-2</v>
      </c>
      <c r="E695" s="15">
        <f>VLOOKUP(Table2[[#This Row],[Date]],'Fed Fund New'!$A:$C,2,FALSE)</f>
        <v>1.25</v>
      </c>
      <c r="F695" s="15">
        <f>VLOOKUP(Table2[[#This Row],[Date]],'Fed Fund New'!$A:$C,3,FALSE)</f>
        <v>1.26</v>
      </c>
    </row>
    <row r="696" spans="1:6" x14ac:dyDescent="0.2">
      <c r="A696" s="61">
        <v>38200</v>
      </c>
      <c r="B696" s="68">
        <f>VLOOKUP(Table2[[#This Row],[Date]],Database!A:E,2,)</f>
        <v>189.2</v>
      </c>
      <c r="C696" s="14">
        <f t="shared" si="20"/>
        <v>5.2882072977257705E-4</v>
      </c>
      <c r="D696" s="14">
        <f t="shared" si="21"/>
        <v>2.5474254742547362E-2</v>
      </c>
      <c r="E696" s="15">
        <f>VLOOKUP(Table2[[#This Row],[Date]],'Fed Fund New'!$A:$C,2,FALSE)</f>
        <v>1.5</v>
      </c>
      <c r="F696" s="15">
        <f>VLOOKUP(Table2[[#This Row],[Date]],'Fed Fund New'!$A:$C,3,FALSE)</f>
        <v>1.43</v>
      </c>
    </row>
    <row r="697" spans="1:6" x14ac:dyDescent="0.2">
      <c r="A697" s="61">
        <v>38231</v>
      </c>
      <c r="B697" s="68">
        <f>VLOOKUP(Table2[[#This Row],[Date]],Database!A:E,2,)</f>
        <v>189.8</v>
      </c>
      <c r="C697" s="14">
        <f t="shared" si="20"/>
        <v>3.1712473572939894E-3</v>
      </c>
      <c r="D697" s="14">
        <f t="shared" si="21"/>
        <v>2.5391680172879617E-2</v>
      </c>
      <c r="E697" s="15">
        <f>VLOOKUP(Table2[[#This Row],[Date]],'Fed Fund New'!$A:$C,2,FALSE)</f>
        <v>1.75</v>
      </c>
      <c r="F697" s="15">
        <f>VLOOKUP(Table2[[#This Row],[Date]],'Fed Fund New'!$A:$C,3,FALSE)</f>
        <v>1.61</v>
      </c>
    </row>
    <row r="698" spans="1:6" x14ac:dyDescent="0.2">
      <c r="A698" s="61">
        <v>38261</v>
      </c>
      <c r="B698" s="68">
        <f>VLOOKUP(Table2[[#This Row],[Date]],Database!A:E,2,)</f>
        <v>190.8</v>
      </c>
      <c r="C698" s="14">
        <f t="shared" si="20"/>
        <v>5.268703898840885E-3</v>
      </c>
      <c r="D698" s="14">
        <f t="shared" si="21"/>
        <v>3.190914007571663E-2</v>
      </c>
      <c r="E698" s="15">
        <f>VLOOKUP(Table2[[#This Row],[Date]],'Fed Fund New'!$A:$C,2,FALSE)</f>
        <v>1.75</v>
      </c>
      <c r="F698" s="15">
        <f>VLOOKUP(Table2[[#This Row],[Date]],'Fed Fund New'!$A:$C,3,FALSE)</f>
        <v>1.76</v>
      </c>
    </row>
    <row r="699" spans="1:6" x14ac:dyDescent="0.2">
      <c r="A699" s="61">
        <v>38292</v>
      </c>
      <c r="B699" s="68">
        <f>VLOOKUP(Table2[[#This Row],[Date]],Database!A:E,2,)</f>
        <v>191.7</v>
      </c>
      <c r="C699" s="14">
        <f t="shared" si="20"/>
        <v>4.7169811320753518E-3</v>
      </c>
      <c r="D699" s="14">
        <f t="shared" si="21"/>
        <v>3.6216216216216152E-2</v>
      </c>
      <c r="E699" s="15">
        <f>VLOOKUP(Table2[[#This Row],[Date]],'Fed Fund New'!$A:$C,2,FALSE)</f>
        <v>2</v>
      </c>
      <c r="F699" s="15">
        <f>VLOOKUP(Table2[[#This Row],[Date]],'Fed Fund New'!$A:$C,3,FALSE)</f>
        <v>1.93</v>
      </c>
    </row>
    <row r="700" spans="1:6" x14ac:dyDescent="0.2">
      <c r="A700" s="61">
        <v>38322</v>
      </c>
      <c r="B700" s="68">
        <f>VLOOKUP(Table2[[#This Row],[Date]],Database!A:E,2,)</f>
        <v>191.7</v>
      </c>
      <c r="C700" s="14">
        <f t="shared" si="20"/>
        <v>0</v>
      </c>
      <c r="D700" s="14">
        <f t="shared" si="21"/>
        <v>3.3423180592991854E-2</v>
      </c>
      <c r="E700" s="15">
        <f>VLOOKUP(Table2[[#This Row],[Date]],'Fed Fund New'!$A:$C,2,FALSE)</f>
        <v>2.25</v>
      </c>
      <c r="F700" s="15">
        <f>VLOOKUP(Table2[[#This Row],[Date]],'Fed Fund New'!$A:$C,3,FALSE)</f>
        <v>2.16</v>
      </c>
    </row>
    <row r="701" spans="1:6" x14ac:dyDescent="0.2">
      <c r="A701" s="61">
        <v>38353</v>
      </c>
      <c r="B701" s="68">
        <f>VLOOKUP(Table2[[#This Row],[Date]],Database!A:E,2,)</f>
        <v>191.6</v>
      </c>
      <c r="C701" s="14">
        <f t="shared" si="20"/>
        <v>-5.2164840897232301E-4</v>
      </c>
      <c r="D701" s="14">
        <f t="shared" si="21"/>
        <v>2.8448738593666038E-2</v>
      </c>
      <c r="E701" s="15">
        <f>VLOOKUP(Table2[[#This Row],[Date]],'Fed Fund New'!$A:$C,2,FALSE)</f>
        <v>2.25</v>
      </c>
      <c r="F701" s="15">
        <f>VLOOKUP(Table2[[#This Row],[Date]],'Fed Fund New'!$A:$C,3,FALSE)</f>
        <v>2.2799999999999998</v>
      </c>
    </row>
    <row r="702" spans="1:6" x14ac:dyDescent="0.2">
      <c r="A702" s="61">
        <v>38384</v>
      </c>
      <c r="B702" s="68">
        <f>VLOOKUP(Table2[[#This Row],[Date]],Database!A:E,2,)</f>
        <v>192.4</v>
      </c>
      <c r="C702" s="14">
        <f t="shared" si="20"/>
        <v>4.1753653444677004E-3</v>
      </c>
      <c r="D702" s="14">
        <f t="shared" si="21"/>
        <v>3.0530262453133464E-2</v>
      </c>
      <c r="E702" s="15">
        <f>VLOOKUP(Table2[[#This Row],[Date]],'Fed Fund New'!$A:$C,2,FALSE)</f>
        <v>2.5</v>
      </c>
      <c r="F702" s="15">
        <f>VLOOKUP(Table2[[#This Row],[Date]],'Fed Fund New'!$A:$C,3,FALSE)</f>
        <v>2.5</v>
      </c>
    </row>
    <row r="703" spans="1:6" x14ac:dyDescent="0.2">
      <c r="A703" s="61">
        <v>38412</v>
      </c>
      <c r="B703" s="68">
        <f>VLOOKUP(Table2[[#This Row],[Date]],Database!A:E,2,)</f>
        <v>193.1</v>
      </c>
      <c r="C703" s="14">
        <f t="shared" si="20"/>
        <v>3.638253638253579E-3</v>
      </c>
      <c r="D703" s="14">
        <f t="shared" si="21"/>
        <v>3.2068412613575632E-2</v>
      </c>
      <c r="E703" s="15">
        <f>VLOOKUP(Table2[[#This Row],[Date]],'Fed Fund New'!$A:$C,2,FALSE)</f>
        <v>2.75</v>
      </c>
      <c r="F703" s="15">
        <f>VLOOKUP(Table2[[#This Row],[Date]],'Fed Fund New'!$A:$C,3,FALSE)</f>
        <v>2.63</v>
      </c>
    </row>
    <row r="704" spans="1:6" x14ac:dyDescent="0.2">
      <c r="A704" s="61">
        <v>38443</v>
      </c>
      <c r="B704" s="68">
        <f>VLOOKUP(Table2[[#This Row],[Date]],Database!A:E,2,)</f>
        <v>193.7</v>
      </c>
      <c r="C704" s="14">
        <f t="shared" si="20"/>
        <v>3.107198342827521E-3</v>
      </c>
      <c r="D704" s="14">
        <f t="shared" si="21"/>
        <v>3.3617929562433209E-2</v>
      </c>
      <c r="E704" s="15">
        <f>VLOOKUP(Table2[[#This Row],[Date]],'Fed Fund New'!$A:$C,2,FALSE)</f>
        <v>2.75</v>
      </c>
      <c r="F704" s="15">
        <f>VLOOKUP(Table2[[#This Row],[Date]],'Fed Fund New'!$A:$C,3,FALSE)</f>
        <v>2.79</v>
      </c>
    </row>
    <row r="705" spans="1:6" x14ac:dyDescent="0.2">
      <c r="A705" s="61">
        <v>38473</v>
      </c>
      <c r="B705" s="68">
        <f>VLOOKUP(Table2[[#This Row],[Date]],Database!A:E,2,)</f>
        <v>193.6</v>
      </c>
      <c r="C705" s="14">
        <f t="shared" si="20"/>
        <v>-5.1626226122867484E-4</v>
      </c>
      <c r="D705" s="14">
        <f t="shared" si="21"/>
        <v>2.8692879914984093E-2</v>
      </c>
      <c r="E705" s="15">
        <f>VLOOKUP(Table2[[#This Row],[Date]],'Fed Fund New'!$A:$C,2,FALSE)</f>
        <v>3</v>
      </c>
      <c r="F705" s="15">
        <f>VLOOKUP(Table2[[#This Row],[Date]],'Fed Fund New'!$A:$C,3,FALSE)</f>
        <v>3</v>
      </c>
    </row>
    <row r="706" spans="1:6" x14ac:dyDescent="0.2">
      <c r="A706" s="61">
        <v>38504</v>
      </c>
      <c r="B706" s="68">
        <f>VLOOKUP(Table2[[#This Row],[Date]],Database!A:E,2,)</f>
        <v>193.7</v>
      </c>
      <c r="C706" s="14">
        <f t="shared" si="20"/>
        <v>5.1652892561980534E-4</v>
      </c>
      <c r="D706" s="14">
        <f t="shared" si="21"/>
        <v>2.5410269984118491E-2</v>
      </c>
      <c r="E706" s="15">
        <f>VLOOKUP(Table2[[#This Row],[Date]],'Fed Fund New'!$A:$C,2,FALSE)</f>
        <v>3.25</v>
      </c>
      <c r="F706" s="15">
        <f>VLOOKUP(Table2[[#This Row],[Date]],'Fed Fund New'!$A:$C,3,FALSE)</f>
        <v>3.04</v>
      </c>
    </row>
    <row r="707" spans="1:6" x14ac:dyDescent="0.2">
      <c r="A707" s="61">
        <v>38534</v>
      </c>
      <c r="B707" s="68">
        <f>VLOOKUP(Table2[[#This Row],[Date]],Database!A:E,2,)</f>
        <v>194.9</v>
      </c>
      <c r="C707" s="14">
        <f t="shared" si="20"/>
        <v>6.1951471347445383E-3</v>
      </c>
      <c r="D707" s="14">
        <f t="shared" si="21"/>
        <v>3.0671602326811272E-2</v>
      </c>
      <c r="E707" s="15">
        <f>VLOOKUP(Table2[[#This Row],[Date]],'Fed Fund New'!$A:$C,2,FALSE)</f>
        <v>3.25</v>
      </c>
      <c r="F707" s="15">
        <f>VLOOKUP(Table2[[#This Row],[Date]],'Fed Fund New'!$A:$C,3,FALSE)</f>
        <v>3.26</v>
      </c>
    </row>
    <row r="708" spans="1:6" x14ac:dyDescent="0.2">
      <c r="A708" s="61">
        <v>38565</v>
      </c>
      <c r="B708" s="68">
        <f>VLOOKUP(Table2[[#This Row],[Date]],Database!A:E,2,)</f>
        <v>196.1</v>
      </c>
      <c r="C708" s="14">
        <f t="shared" si="20"/>
        <v>6.1570035915853695E-3</v>
      </c>
      <c r="D708" s="14">
        <f t="shared" si="21"/>
        <v>3.6469344608879524E-2</v>
      </c>
      <c r="E708" s="15">
        <f>VLOOKUP(Table2[[#This Row],[Date]],'Fed Fund New'!$A:$C,2,FALSE)</f>
        <v>3.5</v>
      </c>
      <c r="F708" s="15">
        <f>VLOOKUP(Table2[[#This Row],[Date]],'Fed Fund New'!$A:$C,3,FALSE)</f>
        <v>3.5</v>
      </c>
    </row>
    <row r="709" spans="1:6" x14ac:dyDescent="0.2">
      <c r="A709" s="61">
        <v>38596</v>
      </c>
      <c r="B709" s="68">
        <f>VLOOKUP(Table2[[#This Row],[Date]],Database!A:E,2,)</f>
        <v>198.8</v>
      </c>
      <c r="C709" s="14">
        <f t="shared" si="20"/>
        <v>1.3768485466598762E-2</v>
      </c>
      <c r="D709" s="14">
        <f t="shared" si="21"/>
        <v>4.7418335089567963E-2</v>
      </c>
      <c r="E709" s="15">
        <f>VLOOKUP(Table2[[#This Row],[Date]],'Fed Fund New'!$A:$C,2,FALSE)</f>
        <v>3.75</v>
      </c>
      <c r="F709" s="15">
        <f>VLOOKUP(Table2[[#This Row],[Date]],'Fed Fund New'!$A:$C,3,FALSE)</f>
        <v>3.62</v>
      </c>
    </row>
    <row r="710" spans="1:6" x14ac:dyDescent="0.2">
      <c r="A710" s="61">
        <v>38626</v>
      </c>
      <c r="B710" s="68">
        <f>VLOOKUP(Table2[[#This Row],[Date]],Database!A:E,2,)</f>
        <v>199.1</v>
      </c>
      <c r="C710" s="14">
        <f t="shared" ref="C710:C773" si="22">(B710-B709)/B709</f>
        <v>1.5090543259556484E-3</v>
      </c>
      <c r="D710" s="14">
        <f t="shared" si="21"/>
        <v>4.3501048218029255E-2</v>
      </c>
      <c r="E710" s="15">
        <f>VLOOKUP(Table2[[#This Row],[Date]],'Fed Fund New'!$A:$C,2,FALSE)</f>
        <v>3.75</v>
      </c>
      <c r="F710" s="15">
        <f>VLOOKUP(Table2[[#This Row],[Date]],'Fed Fund New'!$A:$C,3,FALSE)</f>
        <v>3.78</v>
      </c>
    </row>
    <row r="711" spans="1:6" x14ac:dyDescent="0.2">
      <c r="A711" s="61">
        <v>38657</v>
      </c>
      <c r="B711" s="68">
        <f>VLOOKUP(Table2[[#This Row],[Date]],Database!A:E,2,)</f>
        <v>198.1</v>
      </c>
      <c r="C711" s="14">
        <f t="shared" si="22"/>
        <v>-5.0226017076845809E-3</v>
      </c>
      <c r="D711" s="14">
        <f t="shared" si="21"/>
        <v>3.3385498174230602E-2</v>
      </c>
      <c r="E711" s="15">
        <f>VLOOKUP(Table2[[#This Row],[Date]],'Fed Fund New'!$A:$C,2,FALSE)</f>
        <v>4</v>
      </c>
      <c r="F711" s="15">
        <f>VLOOKUP(Table2[[#This Row],[Date]],'Fed Fund New'!$A:$C,3,FALSE)</f>
        <v>4</v>
      </c>
    </row>
    <row r="712" spans="1:6" x14ac:dyDescent="0.2">
      <c r="A712" s="61">
        <v>38687</v>
      </c>
      <c r="B712" s="68">
        <f>VLOOKUP(Table2[[#This Row],[Date]],Database!A:E,2,)</f>
        <v>198.1</v>
      </c>
      <c r="C712" s="14">
        <f t="shared" si="22"/>
        <v>0</v>
      </c>
      <c r="D712" s="14">
        <f t="shared" si="21"/>
        <v>3.3385498174230602E-2</v>
      </c>
      <c r="E712" s="15">
        <f>VLOOKUP(Table2[[#This Row],[Date]],'Fed Fund New'!$A:$C,2,FALSE)</f>
        <v>4.25</v>
      </c>
      <c r="F712" s="15">
        <f>VLOOKUP(Table2[[#This Row],[Date]],'Fed Fund New'!$A:$C,3,FALSE)</f>
        <v>4.16</v>
      </c>
    </row>
    <row r="713" spans="1:6" x14ac:dyDescent="0.2">
      <c r="A713" s="61">
        <v>38718</v>
      </c>
      <c r="B713" s="68">
        <f>VLOOKUP(Table2[[#This Row],[Date]],Database!A:E,2,)</f>
        <v>199.3</v>
      </c>
      <c r="C713" s="14">
        <f t="shared" si="22"/>
        <v>6.0575466935891831E-3</v>
      </c>
      <c r="D713" s="14">
        <f t="shared" si="21"/>
        <v>4.0187891440501132E-2</v>
      </c>
      <c r="E713" s="15">
        <f>VLOOKUP(Table2[[#This Row],[Date]],'Fed Fund New'!$A:$C,2,FALSE)</f>
        <v>4.5</v>
      </c>
      <c r="F713" s="15">
        <f>VLOOKUP(Table2[[#This Row],[Date]],'Fed Fund New'!$A:$C,3,FALSE)</f>
        <v>4.29</v>
      </c>
    </row>
    <row r="714" spans="1:6" x14ac:dyDescent="0.2">
      <c r="A714" s="61">
        <v>38749</v>
      </c>
      <c r="B714" s="68">
        <f>VLOOKUP(Table2[[#This Row],[Date]],Database!A:E,2,)</f>
        <v>199.4</v>
      </c>
      <c r="C714" s="14">
        <f t="shared" si="22"/>
        <v>5.0175614651276623E-4</v>
      </c>
      <c r="D714" s="14">
        <f t="shared" si="21"/>
        <v>3.6382536382536385E-2</v>
      </c>
      <c r="E714" s="15">
        <f>VLOOKUP(Table2[[#This Row],[Date]],'Fed Fund New'!$A:$C,2,FALSE)</f>
        <v>4.5</v>
      </c>
      <c r="F714" s="15">
        <f>VLOOKUP(Table2[[#This Row],[Date]],'Fed Fund New'!$A:$C,3,FALSE)</f>
        <v>4.49</v>
      </c>
    </row>
    <row r="715" spans="1:6" x14ac:dyDescent="0.2">
      <c r="A715" s="61">
        <v>38777</v>
      </c>
      <c r="B715" s="68">
        <f>VLOOKUP(Table2[[#This Row],[Date]],Database!A:E,2,)</f>
        <v>199.7</v>
      </c>
      <c r="C715" s="14">
        <f t="shared" si="22"/>
        <v>1.5045135406217801E-3</v>
      </c>
      <c r="D715" s="14">
        <f t="shared" si="21"/>
        <v>3.4179181771103025E-2</v>
      </c>
      <c r="E715" s="15">
        <f>VLOOKUP(Table2[[#This Row],[Date]],'Fed Fund New'!$A:$C,2,FALSE)</f>
        <v>4.75</v>
      </c>
      <c r="F715" s="15">
        <f>VLOOKUP(Table2[[#This Row],[Date]],'Fed Fund New'!$A:$C,3,FALSE)</f>
        <v>4.59</v>
      </c>
    </row>
    <row r="716" spans="1:6" x14ac:dyDescent="0.2">
      <c r="A716" s="61">
        <v>38808</v>
      </c>
      <c r="B716" s="68">
        <f>VLOOKUP(Table2[[#This Row],[Date]],Database!A:E,2,)</f>
        <v>200.7</v>
      </c>
      <c r="C716" s="14">
        <f t="shared" si="22"/>
        <v>5.0075112669003509E-3</v>
      </c>
      <c r="D716" s="14">
        <f t="shared" si="21"/>
        <v>3.6138358286009295E-2</v>
      </c>
      <c r="E716" s="15">
        <f>VLOOKUP(Table2[[#This Row],[Date]],'Fed Fund New'!$A:$C,2,FALSE)</f>
        <v>4.75</v>
      </c>
      <c r="F716" s="15">
        <f>VLOOKUP(Table2[[#This Row],[Date]],'Fed Fund New'!$A:$C,3,FALSE)</f>
        <v>4.79</v>
      </c>
    </row>
    <row r="717" spans="1:6" x14ac:dyDescent="0.2">
      <c r="A717" s="61">
        <v>38838</v>
      </c>
      <c r="B717" s="68">
        <f>VLOOKUP(Table2[[#This Row],[Date]],Database!A:E,2,)</f>
        <v>201.3</v>
      </c>
      <c r="C717" s="14">
        <f t="shared" si="22"/>
        <v>2.9895366218237306E-3</v>
      </c>
      <c r="D717" s="14">
        <f t="shared" si="21"/>
        <v>3.9772727272727362E-2</v>
      </c>
      <c r="E717" s="15">
        <f>VLOOKUP(Table2[[#This Row],[Date]],'Fed Fund New'!$A:$C,2,FALSE)</f>
        <v>5</v>
      </c>
      <c r="F717" s="15">
        <f>VLOOKUP(Table2[[#This Row],[Date]],'Fed Fund New'!$A:$C,3,FALSE)</f>
        <v>4.9400000000000004</v>
      </c>
    </row>
    <row r="718" spans="1:6" x14ac:dyDescent="0.2">
      <c r="A718" s="61">
        <v>38869</v>
      </c>
      <c r="B718" s="68">
        <f>VLOOKUP(Table2[[#This Row],[Date]],Database!A:E,2,)</f>
        <v>201.8</v>
      </c>
      <c r="C718" s="14">
        <f t="shared" si="22"/>
        <v>2.4838549428713363E-3</v>
      </c>
      <c r="D718" s="14">
        <f t="shared" si="21"/>
        <v>4.1817243159525161E-2</v>
      </c>
      <c r="E718" s="15">
        <f>VLOOKUP(Table2[[#This Row],[Date]],'Fed Fund New'!$A:$C,2,FALSE)</f>
        <v>5.25</v>
      </c>
      <c r="F718" s="15">
        <f>VLOOKUP(Table2[[#This Row],[Date]],'Fed Fund New'!$A:$C,3,FALSE)</f>
        <v>4.99</v>
      </c>
    </row>
    <row r="719" spans="1:6" x14ac:dyDescent="0.2">
      <c r="A719" s="61">
        <v>38899</v>
      </c>
      <c r="B719" s="68">
        <f>VLOOKUP(Table2[[#This Row],[Date]],Database!A:E,2,)</f>
        <v>202.9</v>
      </c>
      <c r="C719" s="14">
        <f t="shared" si="22"/>
        <v>5.4509415262635986E-3</v>
      </c>
      <c r="D719" s="14">
        <f t="shared" si="21"/>
        <v>4.1046690610569522E-2</v>
      </c>
      <c r="E719" s="15">
        <f>VLOOKUP(Table2[[#This Row],[Date]],'Fed Fund New'!$A:$C,2,FALSE)</f>
        <v>5.25</v>
      </c>
      <c r="F719" s="15">
        <f>VLOOKUP(Table2[[#This Row],[Date]],'Fed Fund New'!$A:$C,3,FALSE)</f>
        <v>5.24</v>
      </c>
    </row>
    <row r="720" spans="1:6" x14ac:dyDescent="0.2">
      <c r="A720" s="61">
        <v>38930</v>
      </c>
      <c r="B720" s="68">
        <f>VLOOKUP(Table2[[#This Row],[Date]],Database!A:E,2,)</f>
        <v>203.8</v>
      </c>
      <c r="C720" s="14">
        <f t="shared" si="22"/>
        <v>4.4356826022671544E-3</v>
      </c>
      <c r="D720" s="14">
        <f t="shared" si="21"/>
        <v>3.9265680775114824E-2</v>
      </c>
      <c r="E720" s="15">
        <f>VLOOKUP(Table2[[#This Row],[Date]],'Fed Fund New'!$A:$C,2,FALSE)</f>
        <v>5.25</v>
      </c>
      <c r="F720" s="15">
        <f>VLOOKUP(Table2[[#This Row],[Date]],'Fed Fund New'!$A:$C,3,FALSE)</f>
        <v>5.25</v>
      </c>
    </row>
    <row r="721" spans="1:6" x14ac:dyDescent="0.2">
      <c r="A721" s="61">
        <v>38961</v>
      </c>
      <c r="B721" s="68">
        <f>VLOOKUP(Table2[[#This Row],[Date]],Database!A:E,2,)</f>
        <v>202.8</v>
      </c>
      <c r="C721" s="14">
        <f t="shared" si="22"/>
        <v>-4.9067713444553478E-3</v>
      </c>
      <c r="D721" s="14">
        <f t="shared" ref="D721:D784" si="23">(B721-B709)/B709</f>
        <v>2.0120724346076459E-2</v>
      </c>
      <c r="E721" s="15">
        <f>VLOOKUP(Table2[[#This Row],[Date]],'Fed Fund New'!$A:$C,2,FALSE)</f>
        <v>5.25</v>
      </c>
      <c r="F721" s="15">
        <f>VLOOKUP(Table2[[#This Row],[Date]],'Fed Fund New'!$A:$C,3,FALSE)</f>
        <v>5.25</v>
      </c>
    </row>
    <row r="722" spans="1:6" x14ac:dyDescent="0.2">
      <c r="A722" s="61">
        <v>38991</v>
      </c>
      <c r="B722" s="68">
        <f>VLOOKUP(Table2[[#This Row],[Date]],Database!A:E,2,)</f>
        <v>201.9</v>
      </c>
      <c r="C722" s="14">
        <f t="shared" si="22"/>
        <v>-4.437869822485235E-3</v>
      </c>
      <c r="D722" s="14">
        <f t="shared" si="23"/>
        <v>1.4063284781516883E-2</v>
      </c>
      <c r="E722" s="15">
        <f>VLOOKUP(Table2[[#This Row],[Date]],'Fed Fund New'!$A:$C,2,FALSE)</f>
        <v>5.25</v>
      </c>
      <c r="F722" s="15">
        <f>VLOOKUP(Table2[[#This Row],[Date]],'Fed Fund New'!$A:$C,3,FALSE)</f>
        <v>5.25</v>
      </c>
    </row>
    <row r="723" spans="1:6" x14ac:dyDescent="0.2">
      <c r="A723" s="61">
        <v>39022</v>
      </c>
      <c r="B723" s="68">
        <f>VLOOKUP(Table2[[#This Row],[Date]],Database!A:E,2,)</f>
        <v>202</v>
      </c>
      <c r="C723" s="14">
        <f t="shared" si="22"/>
        <v>4.9529470034667808E-4</v>
      </c>
      <c r="D723" s="14">
        <f t="shared" si="23"/>
        <v>1.9687026754164592E-2</v>
      </c>
      <c r="E723" s="15">
        <f>VLOOKUP(Table2[[#This Row],[Date]],'Fed Fund New'!$A:$C,2,FALSE)</f>
        <v>5.25</v>
      </c>
      <c r="F723" s="15">
        <f>VLOOKUP(Table2[[#This Row],[Date]],'Fed Fund New'!$A:$C,3,FALSE)</f>
        <v>5.25</v>
      </c>
    </row>
    <row r="724" spans="1:6" x14ac:dyDescent="0.2">
      <c r="A724" s="61">
        <v>39052</v>
      </c>
      <c r="B724" s="68">
        <f>VLOOKUP(Table2[[#This Row],[Date]],Database!A:E,2,)</f>
        <v>203.1</v>
      </c>
      <c r="C724" s="14">
        <f t="shared" si="22"/>
        <v>5.4455445544554174E-3</v>
      </c>
      <c r="D724" s="14">
        <f t="shared" si="23"/>
        <v>2.523977788995457E-2</v>
      </c>
      <c r="E724" s="15">
        <f>VLOOKUP(Table2[[#This Row],[Date]],'Fed Fund New'!$A:$C,2,FALSE)</f>
        <v>5.25</v>
      </c>
      <c r="F724" s="15">
        <f>VLOOKUP(Table2[[#This Row],[Date]],'Fed Fund New'!$A:$C,3,FALSE)</f>
        <v>5.24</v>
      </c>
    </row>
    <row r="725" spans="1:6" x14ac:dyDescent="0.2">
      <c r="A725" s="61">
        <v>39083</v>
      </c>
      <c r="B725" s="68">
        <f>VLOOKUP(Table2[[#This Row],[Date]],Database!A:E,2,)</f>
        <v>203.43700000000001</v>
      </c>
      <c r="C725" s="14">
        <f t="shared" si="22"/>
        <v>1.6592811422945224E-3</v>
      </c>
      <c r="D725" s="14">
        <f t="shared" si="23"/>
        <v>2.0757651781234322E-2</v>
      </c>
      <c r="E725" s="15">
        <f>VLOOKUP(Table2[[#This Row],[Date]],'Fed Fund New'!$A:$C,2,FALSE)</f>
        <v>5.25</v>
      </c>
      <c r="F725" s="15">
        <f>VLOOKUP(Table2[[#This Row],[Date]],'Fed Fund New'!$A:$C,3,FALSE)</f>
        <v>5.25</v>
      </c>
    </row>
    <row r="726" spans="1:6" x14ac:dyDescent="0.2">
      <c r="A726" s="61">
        <v>39114</v>
      </c>
      <c r="B726" s="68">
        <f>VLOOKUP(Table2[[#This Row],[Date]],Database!A:E,2,)</f>
        <v>204.226</v>
      </c>
      <c r="C726" s="14">
        <f t="shared" si="22"/>
        <v>3.8783505458691745E-3</v>
      </c>
      <c r="D726" s="14">
        <f t="shared" si="23"/>
        <v>2.4202607823470376E-2</v>
      </c>
      <c r="E726" s="15">
        <f>VLOOKUP(Table2[[#This Row],[Date]],'Fed Fund New'!$A:$C,2,FALSE)</f>
        <v>5.25</v>
      </c>
      <c r="F726" s="15">
        <f>VLOOKUP(Table2[[#This Row],[Date]],'Fed Fund New'!$A:$C,3,FALSE)</f>
        <v>5.26</v>
      </c>
    </row>
    <row r="727" spans="1:6" x14ac:dyDescent="0.2">
      <c r="A727" s="61">
        <v>39142</v>
      </c>
      <c r="B727" s="68">
        <f>VLOOKUP(Table2[[#This Row],[Date]],Database!A:E,2,)</f>
        <v>205.28800000000001</v>
      </c>
      <c r="C727" s="14">
        <f t="shared" si="22"/>
        <v>5.2001214340975776E-3</v>
      </c>
      <c r="D727" s="14">
        <f t="shared" si="23"/>
        <v>2.7981972959439272E-2</v>
      </c>
      <c r="E727" s="15">
        <f>VLOOKUP(Table2[[#This Row],[Date]],'Fed Fund New'!$A:$C,2,FALSE)</f>
        <v>5.25</v>
      </c>
      <c r="F727" s="15">
        <f>VLOOKUP(Table2[[#This Row],[Date]],'Fed Fund New'!$A:$C,3,FALSE)</f>
        <v>5.26</v>
      </c>
    </row>
    <row r="728" spans="1:6" x14ac:dyDescent="0.2">
      <c r="A728" s="61">
        <v>39173</v>
      </c>
      <c r="B728" s="68">
        <f>VLOOKUP(Table2[[#This Row],[Date]],Database!A:E,2,)</f>
        <v>205.904</v>
      </c>
      <c r="C728" s="14">
        <f t="shared" si="22"/>
        <v>3.0006624839249512E-3</v>
      </c>
      <c r="D728" s="14">
        <f t="shared" si="23"/>
        <v>2.5929247633283546E-2</v>
      </c>
      <c r="E728" s="15">
        <f>VLOOKUP(Table2[[#This Row],[Date]],'Fed Fund New'!$A:$C,2,FALSE)</f>
        <v>5.25</v>
      </c>
      <c r="F728" s="15">
        <f>VLOOKUP(Table2[[#This Row],[Date]],'Fed Fund New'!$A:$C,3,FALSE)</f>
        <v>5.25</v>
      </c>
    </row>
    <row r="729" spans="1:6" x14ac:dyDescent="0.2">
      <c r="A729" s="61">
        <v>39203</v>
      </c>
      <c r="B729" s="68">
        <f>VLOOKUP(Table2[[#This Row],[Date]],Database!A:E,2,)</f>
        <v>206.755</v>
      </c>
      <c r="C729" s="14">
        <f t="shared" si="22"/>
        <v>4.1329940166291044E-3</v>
      </c>
      <c r="D729" s="14">
        <f t="shared" si="23"/>
        <v>2.70988574267262E-2</v>
      </c>
      <c r="E729" s="15">
        <f>VLOOKUP(Table2[[#This Row],[Date]],'Fed Fund New'!$A:$C,2,FALSE)</f>
        <v>5.25</v>
      </c>
      <c r="F729" s="15">
        <f>VLOOKUP(Table2[[#This Row],[Date]],'Fed Fund New'!$A:$C,3,FALSE)</f>
        <v>5.25</v>
      </c>
    </row>
    <row r="730" spans="1:6" x14ac:dyDescent="0.2">
      <c r="A730" s="61">
        <v>39234</v>
      </c>
      <c r="B730" s="68">
        <f>VLOOKUP(Table2[[#This Row],[Date]],Database!A:E,2,)</f>
        <v>207.23400000000001</v>
      </c>
      <c r="C730" s="14">
        <f t="shared" si="22"/>
        <v>2.3167517109623148E-3</v>
      </c>
      <c r="D730" s="14">
        <f t="shared" si="23"/>
        <v>2.6927651139742305E-2</v>
      </c>
      <c r="E730" s="15">
        <f>VLOOKUP(Table2[[#This Row],[Date]],'Fed Fund New'!$A:$C,2,FALSE)</f>
        <v>5.25</v>
      </c>
      <c r="F730" s="15">
        <f>VLOOKUP(Table2[[#This Row],[Date]],'Fed Fund New'!$A:$C,3,FALSE)</f>
        <v>5.25</v>
      </c>
    </row>
    <row r="731" spans="1:6" x14ac:dyDescent="0.2">
      <c r="A731" s="61">
        <v>39264</v>
      </c>
      <c r="B731" s="68">
        <f>VLOOKUP(Table2[[#This Row],[Date]],Database!A:E,2,)</f>
        <v>207.60300000000001</v>
      </c>
      <c r="C731" s="14">
        <f t="shared" si="22"/>
        <v>1.7805958481716309E-3</v>
      </c>
      <c r="D731" s="14">
        <f t="shared" si="23"/>
        <v>2.3178905864958122E-2</v>
      </c>
      <c r="E731" s="15">
        <f>VLOOKUP(Table2[[#This Row],[Date]],'Fed Fund New'!$A:$C,2,FALSE)</f>
        <v>5.25</v>
      </c>
      <c r="F731" s="15">
        <f>VLOOKUP(Table2[[#This Row],[Date]],'Fed Fund New'!$A:$C,3,FALSE)</f>
        <v>5.26</v>
      </c>
    </row>
    <row r="732" spans="1:6" x14ac:dyDescent="0.2">
      <c r="A732" s="61">
        <v>39295</v>
      </c>
      <c r="B732" s="68">
        <f>VLOOKUP(Table2[[#This Row],[Date]],Database!A:E,2,)</f>
        <v>207.667</v>
      </c>
      <c r="C732" s="14">
        <f t="shared" si="22"/>
        <v>3.0828070885292094E-4</v>
      </c>
      <c r="D732" s="14">
        <f t="shared" si="23"/>
        <v>1.8974484789008782E-2</v>
      </c>
      <c r="E732" s="15">
        <f>VLOOKUP(Table2[[#This Row],[Date]],'Fed Fund New'!$A:$C,2,FALSE)</f>
        <v>5.25</v>
      </c>
      <c r="F732" s="15">
        <f>VLOOKUP(Table2[[#This Row],[Date]],'Fed Fund New'!$A:$C,3,FALSE)</f>
        <v>5.0199999999999996</v>
      </c>
    </row>
    <row r="733" spans="1:6" x14ac:dyDescent="0.2">
      <c r="A733" s="61">
        <v>39326</v>
      </c>
      <c r="B733" s="68">
        <f>VLOOKUP(Table2[[#This Row],[Date]],Database!A:E,2,)</f>
        <v>208.547</v>
      </c>
      <c r="C733" s="14">
        <f t="shared" si="22"/>
        <v>4.2375533907650009E-3</v>
      </c>
      <c r="D733" s="14">
        <f t="shared" si="23"/>
        <v>2.8338264299802688E-2</v>
      </c>
      <c r="E733" s="15">
        <f>VLOOKUP(Table2[[#This Row],[Date]],'Fed Fund New'!$A:$C,2,FALSE)</f>
        <v>4.75</v>
      </c>
      <c r="F733" s="15">
        <f>VLOOKUP(Table2[[#This Row],[Date]],'Fed Fund New'!$A:$C,3,FALSE)</f>
        <v>4.9400000000000004</v>
      </c>
    </row>
    <row r="734" spans="1:6" x14ac:dyDescent="0.2">
      <c r="A734" s="61">
        <v>39356</v>
      </c>
      <c r="B734" s="68">
        <f>VLOOKUP(Table2[[#This Row],[Date]],Database!A:E,2,)</f>
        <v>209.19</v>
      </c>
      <c r="C734" s="14">
        <f t="shared" si="22"/>
        <v>3.0832378312802425E-3</v>
      </c>
      <c r="D734" s="14">
        <f t="shared" si="23"/>
        <v>3.610698365527485E-2</v>
      </c>
      <c r="E734" s="15">
        <f>VLOOKUP(Table2[[#This Row],[Date]],'Fed Fund New'!$A:$C,2,FALSE)</f>
        <v>4.5</v>
      </c>
      <c r="F734" s="15">
        <f>VLOOKUP(Table2[[#This Row],[Date]],'Fed Fund New'!$A:$C,3,FALSE)</f>
        <v>4.76</v>
      </c>
    </row>
    <row r="735" spans="1:6" x14ac:dyDescent="0.2">
      <c r="A735" s="61">
        <v>39387</v>
      </c>
      <c r="B735" s="68">
        <f>VLOOKUP(Table2[[#This Row],[Date]],Database!A:E,2,)</f>
        <v>210.834</v>
      </c>
      <c r="C735" s="14">
        <f t="shared" si="22"/>
        <v>7.8588842678904616E-3</v>
      </c>
      <c r="D735" s="14">
        <f t="shared" si="23"/>
        <v>4.3732673267326751E-2</v>
      </c>
      <c r="E735" s="15">
        <f>VLOOKUP(Table2[[#This Row],[Date]],'Fed Fund New'!$A:$C,2,FALSE)</f>
        <v>4.5</v>
      </c>
      <c r="F735" s="15">
        <f>VLOOKUP(Table2[[#This Row],[Date]],'Fed Fund New'!$A:$C,3,FALSE)</f>
        <v>4.49</v>
      </c>
    </row>
    <row r="736" spans="1:6" x14ac:dyDescent="0.2">
      <c r="A736" s="61">
        <v>39417</v>
      </c>
      <c r="B736" s="68">
        <f>VLOOKUP(Table2[[#This Row],[Date]],Database!A:E,2,)</f>
        <v>211.44499999999999</v>
      </c>
      <c r="C736" s="14">
        <f t="shared" si="22"/>
        <v>2.8980145517325953E-3</v>
      </c>
      <c r="D736" s="14">
        <f t="shared" si="23"/>
        <v>4.1088133924175277E-2</v>
      </c>
      <c r="E736" s="15">
        <f>VLOOKUP(Table2[[#This Row],[Date]],'Fed Fund New'!$A:$C,2,FALSE)</f>
        <v>4.25</v>
      </c>
      <c r="F736" s="15">
        <f>VLOOKUP(Table2[[#This Row],[Date]],'Fed Fund New'!$A:$C,3,FALSE)</f>
        <v>4.24</v>
      </c>
    </row>
    <row r="737" spans="1:6" x14ac:dyDescent="0.2">
      <c r="A737" s="61">
        <v>39448</v>
      </c>
      <c r="B737" s="68">
        <f>VLOOKUP(Table2[[#This Row],[Date]],Database!A:E,2,)</f>
        <v>212.17400000000001</v>
      </c>
      <c r="C737" s="14">
        <f t="shared" si="22"/>
        <v>3.4477050769704341E-3</v>
      </c>
      <c r="D737" s="14">
        <f t="shared" si="23"/>
        <v>4.2946956551659698E-2</v>
      </c>
      <c r="E737" s="15">
        <f>VLOOKUP(Table2[[#This Row],[Date]],'Fed Fund New'!$A:$C,2,FALSE)</f>
        <v>3</v>
      </c>
      <c r="F737" s="15">
        <f>VLOOKUP(Table2[[#This Row],[Date]],'Fed Fund New'!$A:$C,3,FALSE)</f>
        <v>3.94</v>
      </c>
    </row>
    <row r="738" spans="1:6" x14ac:dyDescent="0.2">
      <c r="A738" s="61">
        <v>39479</v>
      </c>
      <c r="B738" s="68">
        <f>VLOOKUP(Table2[[#This Row],[Date]],Database!A:E,2,)</f>
        <v>212.68700000000001</v>
      </c>
      <c r="C738" s="14">
        <f t="shared" si="22"/>
        <v>2.4178268779398286E-3</v>
      </c>
      <c r="D738" s="14">
        <f t="shared" si="23"/>
        <v>4.1429592706119754E-2</v>
      </c>
      <c r="E738" s="15">
        <f>VLOOKUP(Table2[[#This Row],[Date]],'Fed Fund New'!$A:$C,2,FALSE)</f>
        <v>3</v>
      </c>
      <c r="F738" s="15">
        <f>VLOOKUP(Table2[[#This Row],[Date]],'Fed Fund New'!$A:$C,3,FALSE)</f>
        <v>2.98</v>
      </c>
    </row>
    <row r="739" spans="1:6" x14ac:dyDescent="0.2">
      <c r="A739" s="61">
        <v>39508</v>
      </c>
      <c r="B739" s="68">
        <f>VLOOKUP(Table2[[#This Row],[Date]],Database!A:E,2,)</f>
        <v>213.44800000000001</v>
      </c>
      <c r="C739" s="14">
        <f t="shared" si="22"/>
        <v>3.5780278061188302E-3</v>
      </c>
      <c r="D739" s="14">
        <f t="shared" si="23"/>
        <v>3.9749035501344433E-2</v>
      </c>
      <c r="E739" s="15">
        <f>VLOOKUP(Table2[[#This Row],[Date]],'Fed Fund New'!$A:$C,2,FALSE)</f>
        <v>2.25</v>
      </c>
      <c r="F739" s="15">
        <f>VLOOKUP(Table2[[#This Row],[Date]],'Fed Fund New'!$A:$C,3,FALSE)</f>
        <v>2.61</v>
      </c>
    </row>
    <row r="740" spans="1:6" x14ac:dyDescent="0.2">
      <c r="A740" s="61">
        <v>39539</v>
      </c>
      <c r="B740" s="68">
        <f>VLOOKUP(Table2[[#This Row],[Date]],Database!A:E,2,)</f>
        <v>213.94200000000001</v>
      </c>
      <c r="C740" s="14">
        <f t="shared" si="22"/>
        <v>2.3143810202016406E-3</v>
      </c>
      <c r="D740" s="14">
        <f t="shared" si="23"/>
        <v>3.903760975988816E-2</v>
      </c>
      <c r="E740" s="15">
        <f>VLOOKUP(Table2[[#This Row],[Date]],'Fed Fund New'!$A:$C,2,FALSE)</f>
        <v>2</v>
      </c>
      <c r="F740" s="15">
        <f>VLOOKUP(Table2[[#This Row],[Date]],'Fed Fund New'!$A:$C,3,FALSE)</f>
        <v>2.2799999999999998</v>
      </c>
    </row>
    <row r="741" spans="1:6" x14ac:dyDescent="0.2">
      <c r="A741" s="61">
        <v>39569</v>
      </c>
      <c r="B741" s="68">
        <f>VLOOKUP(Table2[[#This Row],[Date]],Database!A:E,2,)</f>
        <v>215.208</v>
      </c>
      <c r="C741" s="14">
        <f t="shared" si="22"/>
        <v>5.9174916566171725E-3</v>
      </c>
      <c r="D741" s="14">
        <f t="shared" si="23"/>
        <v>4.0884138231239889E-2</v>
      </c>
      <c r="E741" s="15">
        <f>VLOOKUP(Table2[[#This Row],[Date]],'Fed Fund New'!$A:$C,2,FALSE)</f>
        <v>2</v>
      </c>
      <c r="F741" s="15">
        <f>VLOOKUP(Table2[[#This Row],[Date]],'Fed Fund New'!$A:$C,3,FALSE)</f>
        <v>1.98</v>
      </c>
    </row>
    <row r="742" spans="1:6" x14ac:dyDescent="0.2">
      <c r="A742" s="61">
        <v>39600</v>
      </c>
      <c r="B742" s="68">
        <f>VLOOKUP(Table2[[#This Row],[Date]],Database!A:E,2,)</f>
        <v>217.46299999999999</v>
      </c>
      <c r="C742" s="14">
        <f t="shared" si="22"/>
        <v>1.0478235009850914E-2</v>
      </c>
      <c r="D742" s="14">
        <f t="shared" si="23"/>
        <v>4.9359661059478581E-2</v>
      </c>
      <c r="E742" s="15">
        <f>VLOOKUP(Table2[[#This Row],[Date]],'Fed Fund New'!$A:$C,2,FALSE)</f>
        <v>2</v>
      </c>
      <c r="F742" s="15">
        <f>VLOOKUP(Table2[[#This Row],[Date]],'Fed Fund New'!$A:$C,3,FALSE)</f>
        <v>2</v>
      </c>
    </row>
    <row r="743" spans="1:6" x14ac:dyDescent="0.2">
      <c r="A743" s="61">
        <v>39630</v>
      </c>
      <c r="B743" s="68">
        <f>VLOOKUP(Table2[[#This Row],[Date]],Database!A:E,2,)</f>
        <v>219.01599999999999</v>
      </c>
      <c r="C743" s="14">
        <f t="shared" si="22"/>
        <v>7.141444751520936E-3</v>
      </c>
      <c r="D743" s="14">
        <f t="shared" si="23"/>
        <v>5.4975120783418263E-2</v>
      </c>
      <c r="E743" s="15">
        <f>VLOOKUP(Table2[[#This Row],[Date]],'Fed Fund New'!$A:$C,2,FALSE)</f>
        <v>2</v>
      </c>
      <c r="F743" s="15">
        <f>VLOOKUP(Table2[[#This Row],[Date]],'Fed Fund New'!$A:$C,3,FALSE)</f>
        <v>2.0099999999999998</v>
      </c>
    </row>
    <row r="744" spans="1:6" x14ac:dyDescent="0.2">
      <c r="A744" s="61">
        <v>39661</v>
      </c>
      <c r="B744" s="68">
        <f>VLOOKUP(Table2[[#This Row],[Date]],Database!A:E,2,)</f>
        <v>218.69</v>
      </c>
      <c r="C744" s="14">
        <f t="shared" si="22"/>
        <v>-1.4884757278006786E-3</v>
      </c>
      <c r="D744" s="14">
        <f t="shared" si="23"/>
        <v>5.308017162091231E-2</v>
      </c>
      <c r="E744" s="15">
        <f>VLOOKUP(Table2[[#This Row],[Date]],'Fed Fund New'!$A:$C,2,FALSE)</f>
        <v>2</v>
      </c>
      <c r="F744" s="15">
        <f>VLOOKUP(Table2[[#This Row],[Date]],'Fed Fund New'!$A:$C,3,FALSE)</f>
        <v>2</v>
      </c>
    </row>
    <row r="745" spans="1:6" x14ac:dyDescent="0.2">
      <c r="A745" s="61">
        <v>39692</v>
      </c>
      <c r="B745" s="68">
        <f>VLOOKUP(Table2[[#This Row],[Date]],Database!A:E,2,)</f>
        <v>218.87700000000001</v>
      </c>
      <c r="C745" s="14">
        <f t="shared" si="22"/>
        <v>8.5509168229005365E-4</v>
      </c>
      <c r="D745" s="14">
        <f t="shared" si="23"/>
        <v>4.9533198751360669E-2</v>
      </c>
      <c r="E745" s="15">
        <f>VLOOKUP(Table2[[#This Row],[Date]],'Fed Fund New'!$A:$C,2,FALSE)</f>
        <v>2</v>
      </c>
      <c r="F745" s="15">
        <f>VLOOKUP(Table2[[#This Row],[Date]],'Fed Fund New'!$A:$C,3,FALSE)</f>
        <v>1.81</v>
      </c>
    </row>
    <row r="746" spans="1:6" x14ac:dyDescent="0.2">
      <c r="A746" s="61">
        <v>39722</v>
      </c>
      <c r="B746" s="68">
        <f>VLOOKUP(Table2[[#This Row],[Date]],Database!A:E,2,)</f>
        <v>216.995</v>
      </c>
      <c r="C746" s="14">
        <f t="shared" si="22"/>
        <v>-8.5984365648286709E-3</v>
      </c>
      <c r="D746" s="14">
        <f t="shared" si="23"/>
        <v>3.7310578899565024E-2</v>
      </c>
      <c r="E746" s="15">
        <f>VLOOKUP(Table2[[#This Row],[Date]],'Fed Fund New'!$A:$C,2,FALSE)</f>
        <v>1</v>
      </c>
      <c r="F746" s="15">
        <f>VLOOKUP(Table2[[#This Row],[Date]],'Fed Fund New'!$A:$C,3,FALSE)</f>
        <v>0.97</v>
      </c>
    </row>
    <row r="747" spans="1:6" x14ac:dyDescent="0.2">
      <c r="A747" s="61">
        <v>39753</v>
      </c>
      <c r="B747" s="68">
        <f>VLOOKUP(Table2[[#This Row],[Date]],Database!A:E,2,)</f>
        <v>213.15299999999999</v>
      </c>
      <c r="C747" s="14">
        <f t="shared" si="22"/>
        <v>-1.7705477084725516E-2</v>
      </c>
      <c r="D747" s="14">
        <f t="shared" si="23"/>
        <v>1.0999174706166882E-2</v>
      </c>
      <c r="E747" s="15">
        <f>VLOOKUP(Table2[[#This Row],[Date]],'Fed Fund New'!$A:$C,2,FALSE)</f>
        <v>1</v>
      </c>
      <c r="F747" s="15">
        <f>VLOOKUP(Table2[[#This Row],[Date]],'Fed Fund New'!$A:$C,3,FALSE)</f>
        <v>0.39</v>
      </c>
    </row>
    <row r="748" spans="1:6" x14ac:dyDescent="0.2">
      <c r="A748" s="61">
        <v>39783</v>
      </c>
      <c r="B748" s="68">
        <f>VLOOKUP(Table2[[#This Row],[Date]],Database!A:E,2,)</f>
        <v>211.398</v>
      </c>
      <c r="C748" s="14">
        <f t="shared" si="22"/>
        <v>-8.2335223994032241E-3</v>
      </c>
      <c r="D748" s="14">
        <f t="shared" si="23"/>
        <v>-2.2228002553854217E-4</v>
      </c>
      <c r="E748" s="15">
        <f>VLOOKUP(Table2[[#This Row],[Date]],'Fed Fund New'!$A:$C,2,FALSE)</f>
        <v>0.25</v>
      </c>
      <c r="F748" s="15">
        <f>VLOOKUP(Table2[[#This Row],[Date]],'Fed Fund New'!$A:$C,3,FALSE)</f>
        <v>0.16</v>
      </c>
    </row>
    <row r="749" spans="1:6" x14ac:dyDescent="0.2">
      <c r="A749" s="61">
        <v>39814</v>
      </c>
      <c r="B749" s="68">
        <f>VLOOKUP(Table2[[#This Row],[Date]],Database!A:E,2,)</f>
        <v>211.93299999999999</v>
      </c>
      <c r="C749" s="14">
        <f t="shared" si="22"/>
        <v>2.5307713412614907E-3</v>
      </c>
      <c r="D749" s="14">
        <f t="shared" si="23"/>
        <v>-1.1358601902212988E-3</v>
      </c>
      <c r="E749" s="15">
        <f>VLOOKUP(Table2[[#This Row],[Date]],'Fed Fund New'!$A:$C,2,FALSE)</f>
        <v>0.25</v>
      </c>
      <c r="F749" s="15">
        <f>VLOOKUP(Table2[[#This Row],[Date]],'Fed Fund New'!$A:$C,3,FALSE)</f>
        <v>0.15</v>
      </c>
    </row>
    <row r="750" spans="1:6" x14ac:dyDescent="0.2">
      <c r="A750" s="61">
        <v>39845</v>
      </c>
      <c r="B750" s="68">
        <f>VLOOKUP(Table2[[#This Row],[Date]],Database!A:E,2,)</f>
        <v>212.70500000000001</v>
      </c>
      <c r="C750" s="14">
        <f t="shared" si="22"/>
        <v>3.6426606521873413E-3</v>
      </c>
      <c r="D750" s="14">
        <f t="shared" si="23"/>
        <v>8.4631406715035155E-5</v>
      </c>
      <c r="E750" s="15">
        <f>VLOOKUP(Table2[[#This Row],[Date]],'Fed Fund New'!$A:$C,2,FALSE)</f>
        <v>0.25</v>
      </c>
      <c r="F750" s="15">
        <f>VLOOKUP(Table2[[#This Row],[Date]],'Fed Fund New'!$A:$C,3,FALSE)</f>
        <v>0.22</v>
      </c>
    </row>
    <row r="751" spans="1:6" x14ac:dyDescent="0.2">
      <c r="A751" s="61">
        <v>39873</v>
      </c>
      <c r="B751" s="68">
        <f>VLOOKUP(Table2[[#This Row],[Date]],Database!A:E,2,)</f>
        <v>212.495</v>
      </c>
      <c r="C751" s="14">
        <f t="shared" si="22"/>
        <v>-9.8728285653843558E-4</v>
      </c>
      <c r="D751" s="14">
        <f t="shared" si="23"/>
        <v>-4.4647876766238286E-3</v>
      </c>
      <c r="E751" s="15">
        <f>VLOOKUP(Table2[[#This Row],[Date]],'Fed Fund New'!$A:$C,2,FALSE)</f>
        <v>0.25</v>
      </c>
      <c r="F751" s="15">
        <f>VLOOKUP(Table2[[#This Row],[Date]],'Fed Fund New'!$A:$C,3,FALSE)</f>
        <v>0.18</v>
      </c>
    </row>
    <row r="752" spans="1:6" x14ac:dyDescent="0.2">
      <c r="A752" s="61">
        <v>39904</v>
      </c>
      <c r="B752" s="68">
        <f>VLOOKUP(Table2[[#This Row],[Date]],Database!A:E,2,)</f>
        <v>212.709</v>
      </c>
      <c r="C752" s="14">
        <f t="shared" si="22"/>
        <v>1.0070825195886899E-3</v>
      </c>
      <c r="D752" s="14">
        <f t="shared" si="23"/>
        <v>-5.7632442437670212E-3</v>
      </c>
      <c r="E752" s="15">
        <f>VLOOKUP(Table2[[#This Row],[Date]],'Fed Fund New'!$A:$C,2,FALSE)</f>
        <v>0.25</v>
      </c>
      <c r="F752" s="15">
        <f>VLOOKUP(Table2[[#This Row],[Date]],'Fed Fund New'!$A:$C,3,FALSE)</f>
        <v>0.15</v>
      </c>
    </row>
    <row r="753" spans="1:6" x14ac:dyDescent="0.2">
      <c r="A753" s="61">
        <v>39934</v>
      </c>
      <c r="B753" s="68">
        <f>VLOOKUP(Table2[[#This Row],[Date]],Database!A:E,2,)</f>
        <v>213.02199999999999</v>
      </c>
      <c r="C753" s="14">
        <f t="shared" si="22"/>
        <v>1.4714939189220397E-3</v>
      </c>
      <c r="D753" s="14">
        <f t="shared" si="23"/>
        <v>-1.0157614958551759E-2</v>
      </c>
      <c r="E753" s="15">
        <f>VLOOKUP(Table2[[#This Row],[Date]],'Fed Fund New'!$A:$C,2,FALSE)</f>
        <v>0.25</v>
      </c>
      <c r="F753" s="15">
        <f>VLOOKUP(Table2[[#This Row],[Date]],'Fed Fund New'!$A:$C,3,FALSE)</f>
        <v>0.18</v>
      </c>
    </row>
    <row r="754" spans="1:6" x14ac:dyDescent="0.2">
      <c r="A754" s="61">
        <v>39965</v>
      </c>
      <c r="B754" s="68">
        <f>VLOOKUP(Table2[[#This Row],[Date]],Database!A:E,2,)</f>
        <v>214.79</v>
      </c>
      <c r="C754" s="14">
        <f t="shared" si="22"/>
        <v>8.2996122466224183E-3</v>
      </c>
      <c r="D754" s="14">
        <f t="shared" si="23"/>
        <v>-1.229174618210915E-2</v>
      </c>
      <c r="E754" s="15">
        <f>VLOOKUP(Table2[[#This Row],[Date]],'Fed Fund New'!$A:$C,2,FALSE)</f>
        <v>0.25</v>
      </c>
      <c r="F754" s="15">
        <f>VLOOKUP(Table2[[#This Row],[Date]],'Fed Fund New'!$A:$C,3,FALSE)</f>
        <v>0.21</v>
      </c>
    </row>
    <row r="755" spans="1:6" x14ac:dyDescent="0.2">
      <c r="A755" s="61">
        <v>39995</v>
      </c>
      <c r="B755" s="68">
        <f>VLOOKUP(Table2[[#This Row],[Date]],Database!A:E,2,)</f>
        <v>214.726</v>
      </c>
      <c r="C755" s="14">
        <f t="shared" si="22"/>
        <v>-2.9796545463007103E-4</v>
      </c>
      <c r="D755" s="14">
        <f t="shared" si="23"/>
        <v>-1.9587610037622785E-2</v>
      </c>
      <c r="E755" s="15">
        <f>VLOOKUP(Table2[[#This Row],[Date]],'Fed Fund New'!$A:$C,2,FALSE)</f>
        <v>0.25</v>
      </c>
      <c r="F755" s="15">
        <f>VLOOKUP(Table2[[#This Row],[Date]],'Fed Fund New'!$A:$C,3,FALSE)</f>
        <v>0.16</v>
      </c>
    </row>
    <row r="756" spans="1:6" x14ac:dyDescent="0.2">
      <c r="A756" s="61">
        <v>40026</v>
      </c>
      <c r="B756" s="68">
        <f>VLOOKUP(Table2[[#This Row],[Date]],Database!A:E,2,)</f>
        <v>215.44499999999999</v>
      </c>
      <c r="C756" s="14">
        <f t="shared" si="22"/>
        <v>3.3484533777930667E-3</v>
      </c>
      <c r="D756" s="14">
        <f t="shared" si="23"/>
        <v>-1.4838355663267661E-2</v>
      </c>
      <c r="E756" s="15">
        <f>VLOOKUP(Table2[[#This Row],[Date]],'Fed Fund New'!$A:$C,2,FALSE)</f>
        <v>0.25</v>
      </c>
      <c r="F756" s="15">
        <f>VLOOKUP(Table2[[#This Row],[Date]],'Fed Fund New'!$A:$C,3,FALSE)</f>
        <v>0.16</v>
      </c>
    </row>
    <row r="757" spans="1:6" x14ac:dyDescent="0.2">
      <c r="A757" s="61">
        <v>40057</v>
      </c>
      <c r="B757" s="68">
        <f>VLOOKUP(Table2[[#This Row],[Date]],Database!A:E,2,)</f>
        <v>215.86099999999999</v>
      </c>
      <c r="C757" s="14">
        <f t="shared" si="22"/>
        <v>1.9308872334006212E-3</v>
      </c>
      <c r="D757" s="14">
        <f t="shared" si="23"/>
        <v>-1.3779428628864701E-2</v>
      </c>
      <c r="E757" s="15">
        <f>VLOOKUP(Table2[[#This Row],[Date]],'Fed Fund New'!$A:$C,2,FALSE)</f>
        <v>0.25</v>
      </c>
      <c r="F757" s="15">
        <f>VLOOKUP(Table2[[#This Row],[Date]],'Fed Fund New'!$A:$C,3,FALSE)</f>
        <v>0.15</v>
      </c>
    </row>
    <row r="758" spans="1:6" x14ac:dyDescent="0.2">
      <c r="A758" s="61">
        <v>40087</v>
      </c>
      <c r="B758" s="68">
        <f>VLOOKUP(Table2[[#This Row],[Date]],Database!A:E,2,)</f>
        <v>216.50899999999999</v>
      </c>
      <c r="C758" s="14">
        <f t="shared" si="22"/>
        <v>3.0019317987037778E-3</v>
      </c>
      <c r="D758" s="14">
        <f t="shared" si="23"/>
        <v>-2.2396829420033566E-3</v>
      </c>
      <c r="E758" s="15">
        <f>VLOOKUP(Table2[[#This Row],[Date]],'Fed Fund New'!$A:$C,2,FALSE)</f>
        <v>0.25</v>
      </c>
      <c r="F758" s="15">
        <f>VLOOKUP(Table2[[#This Row],[Date]],'Fed Fund New'!$A:$C,3,FALSE)</f>
        <v>0.12</v>
      </c>
    </row>
    <row r="759" spans="1:6" x14ac:dyDescent="0.2">
      <c r="A759" s="61">
        <v>40118</v>
      </c>
      <c r="B759" s="68">
        <f>VLOOKUP(Table2[[#This Row],[Date]],Database!A:E,2,)</f>
        <v>217.23400000000001</v>
      </c>
      <c r="C759" s="14">
        <f t="shared" si="22"/>
        <v>3.3485905897677362E-3</v>
      </c>
      <c r="D759" s="14">
        <f t="shared" si="23"/>
        <v>1.9145871744709282E-2</v>
      </c>
      <c r="E759" s="15">
        <f>VLOOKUP(Table2[[#This Row],[Date]],'Fed Fund New'!$A:$C,2,FALSE)</f>
        <v>0.25</v>
      </c>
      <c r="F759" s="15">
        <f>VLOOKUP(Table2[[#This Row],[Date]],'Fed Fund New'!$A:$C,3,FALSE)</f>
        <v>0.12</v>
      </c>
    </row>
    <row r="760" spans="1:6" x14ac:dyDescent="0.2">
      <c r="A760" s="61">
        <v>40148</v>
      </c>
      <c r="B760" s="68">
        <f>VLOOKUP(Table2[[#This Row],[Date]],Database!A:E,2,)</f>
        <v>217.34700000000001</v>
      </c>
      <c r="C760" s="14">
        <f t="shared" si="22"/>
        <v>5.2017639964277939E-4</v>
      </c>
      <c r="D760" s="14">
        <f t="shared" si="23"/>
        <v>2.8141231232083615E-2</v>
      </c>
      <c r="E760" s="15">
        <f>VLOOKUP(Table2[[#This Row],[Date]],'Fed Fund New'!$A:$C,2,FALSE)</f>
        <v>0.25</v>
      </c>
      <c r="F760" s="15">
        <f>VLOOKUP(Table2[[#This Row],[Date]],'Fed Fund New'!$A:$C,3,FALSE)</f>
        <v>0.12</v>
      </c>
    </row>
    <row r="761" spans="1:6" x14ac:dyDescent="0.2">
      <c r="A761" s="61">
        <v>40179</v>
      </c>
      <c r="B761" s="68">
        <f>VLOOKUP(Table2[[#This Row],[Date]],Database!A:E,2,)</f>
        <v>217.488</v>
      </c>
      <c r="C761" s="14">
        <f t="shared" si="22"/>
        <v>6.4873221162468832E-4</v>
      </c>
      <c r="D761" s="14">
        <f t="shared" si="23"/>
        <v>2.6211113889767081E-2</v>
      </c>
      <c r="E761" s="15">
        <f>VLOOKUP(Table2[[#This Row],[Date]],'Fed Fund New'!$A:$C,2,FALSE)</f>
        <v>0.25</v>
      </c>
      <c r="F761" s="15">
        <f>VLOOKUP(Table2[[#This Row],[Date]],'Fed Fund New'!$A:$C,3,FALSE)</f>
        <v>0.11</v>
      </c>
    </row>
    <row r="762" spans="1:6" x14ac:dyDescent="0.2">
      <c r="A762" s="61">
        <v>40210</v>
      </c>
      <c r="B762" s="68">
        <f>VLOOKUP(Table2[[#This Row],[Date]],Database!A:E,2,)</f>
        <v>217.28100000000001</v>
      </c>
      <c r="C762" s="14">
        <f t="shared" si="22"/>
        <v>-9.5177664974616365E-4</v>
      </c>
      <c r="D762" s="14">
        <f t="shared" si="23"/>
        <v>2.1513363578665255E-2</v>
      </c>
      <c r="E762" s="15">
        <f>VLOOKUP(Table2[[#This Row],[Date]],'Fed Fund New'!$A:$C,2,FALSE)</f>
        <v>0.25</v>
      </c>
      <c r="F762" s="15">
        <f>VLOOKUP(Table2[[#This Row],[Date]],'Fed Fund New'!$A:$C,3,FALSE)</f>
        <v>0.13</v>
      </c>
    </row>
    <row r="763" spans="1:6" x14ac:dyDescent="0.2">
      <c r="A763" s="61">
        <v>40238</v>
      </c>
      <c r="B763" s="68">
        <f>VLOOKUP(Table2[[#This Row],[Date]],Database!A:E,2,)</f>
        <v>217.35300000000001</v>
      </c>
      <c r="C763" s="14">
        <f t="shared" si="22"/>
        <v>3.313681361923165E-4</v>
      </c>
      <c r="D763" s="14">
        <f t="shared" si="23"/>
        <v>2.2861714393279862E-2</v>
      </c>
      <c r="E763" s="15">
        <f>VLOOKUP(Table2[[#This Row],[Date]],'Fed Fund New'!$A:$C,2,FALSE)</f>
        <v>0.25</v>
      </c>
      <c r="F763" s="15">
        <f>VLOOKUP(Table2[[#This Row],[Date]],'Fed Fund New'!$A:$C,3,FALSE)</f>
        <v>0.16</v>
      </c>
    </row>
    <row r="764" spans="1:6" x14ac:dyDescent="0.2">
      <c r="A764" s="61">
        <v>40269</v>
      </c>
      <c r="B764" s="68">
        <f>VLOOKUP(Table2[[#This Row],[Date]],Database!A:E,2,)</f>
        <v>217.40299999999999</v>
      </c>
      <c r="C764" s="14">
        <f t="shared" si="22"/>
        <v>2.3004053314186113E-4</v>
      </c>
      <c r="D764" s="14">
        <f t="shared" si="23"/>
        <v>2.2067707525304469E-2</v>
      </c>
      <c r="E764" s="15">
        <f>VLOOKUP(Table2[[#This Row],[Date]],'Fed Fund New'!$A:$C,2,FALSE)</f>
        <v>0.25</v>
      </c>
      <c r="F764" s="15">
        <f>VLOOKUP(Table2[[#This Row],[Date]],'Fed Fund New'!$A:$C,3,FALSE)</f>
        <v>0.2</v>
      </c>
    </row>
    <row r="765" spans="1:6" x14ac:dyDescent="0.2">
      <c r="A765" s="61">
        <v>40299</v>
      </c>
      <c r="B765" s="68">
        <f>VLOOKUP(Table2[[#This Row],[Date]],Database!A:E,2,)</f>
        <v>217.29</v>
      </c>
      <c r="C765" s="14">
        <f t="shared" si="22"/>
        <v>-5.197720362644469E-4</v>
      </c>
      <c r="D765" s="14">
        <f t="shared" si="23"/>
        <v>2.0035489292185786E-2</v>
      </c>
      <c r="E765" s="15">
        <f>VLOOKUP(Table2[[#This Row],[Date]],'Fed Fund New'!$A:$C,2,FALSE)</f>
        <v>0.25</v>
      </c>
      <c r="F765" s="15">
        <f>VLOOKUP(Table2[[#This Row],[Date]],'Fed Fund New'!$A:$C,3,FALSE)</f>
        <v>0.2</v>
      </c>
    </row>
    <row r="766" spans="1:6" x14ac:dyDescent="0.2">
      <c r="A766" s="61">
        <v>40330</v>
      </c>
      <c r="B766" s="68">
        <f>VLOOKUP(Table2[[#This Row],[Date]],Database!A:E,2,)</f>
        <v>217.19900000000001</v>
      </c>
      <c r="C766" s="14">
        <f t="shared" si="22"/>
        <v>-4.1879515854378836E-4</v>
      </c>
      <c r="D766" s="14">
        <f t="shared" si="23"/>
        <v>1.1215605940686347E-2</v>
      </c>
      <c r="E766" s="15">
        <f>VLOOKUP(Table2[[#This Row],[Date]],'Fed Fund New'!$A:$C,2,FALSE)</f>
        <v>0.25</v>
      </c>
      <c r="F766" s="15">
        <f>VLOOKUP(Table2[[#This Row],[Date]],'Fed Fund New'!$A:$C,3,FALSE)</f>
        <v>0.18</v>
      </c>
    </row>
    <row r="767" spans="1:6" x14ac:dyDescent="0.2">
      <c r="A767" s="61">
        <v>40360</v>
      </c>
      <c r="B767" s="68">
        <f>VLOOKUP(Table2[[#This Row],[Date]],Database!A:E,2,)</f>
        <v>217.60499999999999</v>
      </c>
      <c r="C767" s="14">
        <f t="shared" si="22"/>
        <v>1.8692535416828691E-3</v>
      </c>
      <c r="D767" s="14">
        <f t="shared" si="23"/>
        <v>1.3407784804820985E-2</v>
      </c>
      <c r="E767" s="15">
        <f>VLOOKUP(Table2[[#This Row],[Date]],'Fed Fund New'!$A:$C,2,FALSE)</f>
        <v>0.25</v>
      </c>
      <c r="F767" s="15">
        <f>VLOOKUP(Table2[[#This Row],[Date]],'Fed Fund New'!$A:$C,3,FALSE)</f>
        <v>0.18</v>
      </c>
    </row>
    <row r="768" spans="1:6" x14ac:dyDescent="0.2">
      <c r="A768" s="61">
        <v>40391</v>
      </c>
      <c r="B768" s="68">
        <f>VLOOKUP(Table2[[#This Row],[Date]],Database!A:E,2,)</f>
        <v>217.923</v>
      </c>
      <c r="C768" s="14">
        <f t="shared" si="22"/>
        <v>1.4613634796995108E-3</v>
      </c>
      <c r="D768" s="14">
        <f t="shared" si="23"/>
        <v>1.1501775395112481E-2</v>
      </c>
      <c r="E768" s="15">
        <f>VLOOKUP(Table2[[#This Row],[Date]],'Fed Fund New'!$A:$C,2,FALSE)</f>
        <v>0.25</v>
      </c>
      <c r="F768" s="15">
        <f>VLOOKUP(Table2[[#This Row],[Date]],'Fed Fund New'!$A:$C,3,FALSE)</f>
        <v>0.19</v>
      </c>
    </row>
    <row r="769" spans="1:6" x14ac:dyDescent="0.2">
      <c r="A769" s="61">
        <v>40422</v>
      </c>
      <c r="B769" s="68">
        <f>VLOOKUP(Table2[[#This Row],[Date]],Database!A:E,2,)</f>
        <v>218.27500000000001</v>
      </c>
      <c r="C769" s="14">
        <f t="shared" si="22"/>
        <v>1.6152494229613389E-3</v>
      </c>
      <c r="D769" s="14">
        <f t="shared" si="23"/>
        <v>1.1183122472331806E-2</v>
      </c>
      <c r="E769" s="15">
        <f>VLOOKUP(Table2[[#This Row],[Date]],'Fed Fund New'!$A:$C,2,FALSE)</f>
        <v>0.25</v>
      </c>
      <c r="F769" s="15">
        <f>VLOOKUP(Table2[[#This Row],[Date]],'Fed Fund New'!$A:$C,3,FALSE)</f>
        <v>0.19</v>
      </c>
    </row>
    <row r="770" spans="1:6" x14ac:dyDescent="0.2">
      <c r="A770" s="61">
        <v>40452</v>
      </c>
      <c r="B770" s="68">
        <f>VLOOKUP(Table2[[#This Row],[Date]],Database!A:E,2,)</f>
        <v>219.035</v>
      </c>
      <c r="C770" s="14">
        <f t="shared" si="22"/>
        <v>3.4818462948115491E-3</v>
      </c>
      <c r="D770" s="14">
        <f t="shared" si="23"/>
        <v>1.166695148931458E-2</v>
      </c>
      <c r="E770" s="15">
        <f>VLOOKUP(Table2[[#This Row],[Date]],'Fed Fund New'!$A:$C,2,FALSE)</f>
        <v>0.25</v>
      </c>
      <c r="F770" s="15">
        <f>VLOOKUP(Table2[[#This Row],[Date]],'Fed Fund New'!$A:$C,3,FALSE)</f>
        <v>0.19</v>
      </c>
    </row>
    <row r="771" spans="1:6" x14ac:dyDescent="0.2">
      <c r="A771" s="61">
        <v>40483</v>
      </c>
      <c r="B771" s="68">
        <f>VLOOKUP(Table2[[#This Row],[Date]],Database!A:E,2,)</f>
        <v>219.59</v>
      </c>
      <c r="C771" s="14">
        <f t="shared" si="22"/>
        <v>2.5338416234848625E-3</v>
      </c>
      <c r="D771" s="14">
        <f t="shared" si="23"/>
        <v>1.0845447766003454E-2</v>
      </c>
      <c r="E771" s="15">
        <f>VLOOKUP(Table2[[#This Row],[Date]],'Fed Fund New'!$A:$C,2,FALSE)</f>
        <v>0.25</v>
      </c>
      <c r="F771" s="15">
        <f>VLOOKUP(Table2[[#This Row],[Date]],'Fed Fund New'!$A:$C,3,FALSE)</f>
        <v>0.19</v>
      </c>
    </row>
    <row r="772" spans="1:6" x14ac:dyDescent="0.2">
      <c r="A772" s="61">
        <v>40513</v>
      </c>
      <c r="B772" s="68">
        <f>VLOOKUP(Table2[[#This Row],[Date]],Database!A:E,2,)</f>
        <v>220.47200000000001</v>
      </c>
      <c r="C772" s="14">
        <f t="shared" si="22"/>
        <v>4.0165763468282024E-3</v>
      </c>
      <c r="D772" s="14">
        <f t="shared" si="23"/>
        <v>1.4377930222179279E-2</v>
      </c>
      <c r="E772" s="15">
        <f>VLOOKUP(Table2[[#This Row],[Date]],'Fed Fund New'!$A:$C,2,FALSE)</f>
        <v>0.25</v>
      </c>
      <c r="F772" s="15">
        <f>VLOOKUP(Table2[[#This Row],[Date]],'Fed Fund New'!$A:$C,3,FALSE)</f>
        <v>0.18</v>
      </c>
    </row>
    <row r="773" spans="1:6" x14ac:dyDescent="0.2">
      <c r="A773" s="61">
        <v>40544</v>
      </c>
      <c r="B773" s="68">
        <f>VLOOKUP(Table2[[#This Row],[Date]],Database!A:E,2,)</f>
        <v>221.18700000000001</v>
      </c>
      <c r="C773" s="14">
        <f t="shared" si="22"/>
        <v>3.2430422003701304E-3</v>
      </c>
      <c r="D773" s="14">
        <f t="shared" si="23"/>
        <v>1.700783491502985E-2</v>
      </c>
      <c r="E773" s="15">
        <f>VLOOKUP(Table2[[#This Row],[Date]],'Fed Fund New'!$A:$C,2,FALSE)</f>
        <v>0.25</v>
      </c>
      <c r="F773" s="15">
        <f>VLOOKUP(Table2[[#This Row],[Date]],'Fed Fund New'!$A:$C,3,FALSE)</f>
        <v>0.17</v>
      </c>
    </row>
    <row r="774" spans="1:6" x14ac:dyDescent="0.2">
      <c r="A774" s="61">
        <v>40575</v>
      </c>
      <c r="B774" s="68">
        <f>VLOOKUP(Table2[[#This Row],[Date]],Database!A:E,2,)</f>
        <v>221.898</v>
      </c>
      <c r="C774" s="14">
        <f t="shared" ref="C774:C837" si="24">(B774-B773)/B773</f>
        <v>3.2144746300640827E-3</v>
      </c>
      <c r="D774" s="14">
        <f t="shared" si="23"/>
        <v>2.1248981733331448E-2</v>
      </c>
      <c r="E774" s="15">
        <f>VLOOKUP(Table2[[#This Row],[Date]],'Fed Fund New'!$A:$C,2,FALSE)</f>
        <v>0.25</v>
      </c>
      <c r="F774" s="15">
        <f>VLOOKUP(Table2[[#This Row],[Date]],'Fed Fund New'!$A:$C,3,FALSE)</f>
        <v>0.16</v>
      </c>
    </row>
    <row r="775" spans="1:6" x14ac:dyDescent="0.2">
      <c r="A775" s="61">
        <v>40603</v>
      </c>
      <c r="B775" s="68">
        <f>VLOOKUP(Table2[[#This Row],[Date]],Database!A:E,2,)</f>
        <v>223.04599999999999</v>
      </c>
      <c r="C775" s="14">
        <f t="shared" si="24"/>
        <v>5.1735482068337533E-3</v>
      </c>
      <c r="D775" s="14">
        <f t="shared" si="23"/>
        <v>2.6192415103541169E-2</v>
      </c>
      <c r="E775" s="15">
        <f>VLOOKUP(Table2[[#This Row],[Date]],'Fed Fund New'!$A:$C,2,FALSE)</f>
        <v>0.25</v>
      </c>
      <c r="F775" s="15">
        <f>VLOOKUP(Table2[[#This Row],[Date]],'Fed Fund New'!$A:$C,3,FALSE)</f>
        <v>0.14000000000000001</v>
      </c>
    </row>
    <row r="776" spans="1:6" x14ac:dyDescent="0.2">
      <c r="A776" s="61">
        <v>40634</v>
      </c>
      <c r="B776" s="68">
        <f>VLOOKUP(Table2[[#This Row],[Date]],Database!A:E,2,)</f>
        <v>224.09299999999999</v>
      </c>
      <c r="C776" s="14">
        <f t="shared" si="24"/>
        <v>4.6940989750992937E-3</v>
      </c>
      <c r="D776" s="14">
        <f t="shared" si="23"/>
        <v>3.0772344447868697E-2</v>
      </c>
      <c r="E776" s="15">
        <f>VLOOKUP(Table2[[#This Row],[Date]],'Fed Fund New'!$A:$C,2,FALSE)</f>
        <v>0.25</v>
      </c>
      <c r="F776" s="15">
        <f>VLOOKUP(Table2[[#This Row],[Date]],'Fed Fund New'!$A:$C,3,FALSE)</f>
        <v>0.1</v>
      </c>
    </row>
    <row r="777" spans="1:6" x14ac:dyDescent="0.2">
      <c r="A777" s="61">
        <v>40664</v>
      </c>
      <c r="B777" s="68">
        <f>VLOOKUP(Table2[[#This Row],[Date]],Database!A:E,2,)</f>
        <v>224.80600000000001</v>
      </c>
      <c r="C777" s="14">
        <f t="shared" si="24"/>
        <v>3.1817147345076478E-3</v>
      </c>
      <c r="D777" s="14">
        <f t="shared" si="23"/>
        <v>3.4589718808965067E-2</v>
      </c>
      <c r="E777" s="15">
        <f>VLOOKUP(Table2[[#This Row],[Date]],'Fed Fund New'!$A:$C,2,FALSE)</f>
        <v>0.25</v>
      </c>
      <c r="F777" s="15">
        <f>VLOOKUP(Table2[[#This Row],[Date]],'Fed Fund New'!$A:$C,3,FALSE)</f>
        <v>0.09</v>
      </c>
    </row>
    <row r="778" spans="1:6" x14ac:dyDescent="0.2">
      <c r="A778" s="61">
        <v>40695</v>
      </c>
      <c r="B778" s="68">
        <f>VLOOKUP(Table2[[#This Row],[Date]],Database!A:E,2,)</f>
        <v>224.80600000000001</v>
      </c>
      <c r="C778" s="14">
        <f t="shared" si="24"/>
        <v>0</v>
      </c>
      <c r="D778" s="14">
        <f t="shared" si="23"/>
        <v>3.5023181506360523E-2</v>
      </c>
      <c r="E778" s="15">
        <f>VLOOKUP(Table2[[#This Row],[Date]],'Fed Fund New'!$A:$C,2,FALSE)</f>
        <v>0.25</v>
      </c>
      <c r="F778" s="15">
        <f>VLOOKUP(Table2[[#This Row],[Date]],'Fed Fund New'!$A:$C,3,FALSE)</f>
        <v>0.09</v>
      </c>
    </row>
    <row r="779" spans="1:6" x14ac:dyDescent="0.2">
      <c r="A779" s="61">
        <v>40725</v>
      </c>
      <c r="B779" s="68">
        <f>VLOOKUP(Table2[[#This Row],[Date]],Database!A:E,2,)</f>
        <v>225.39500000000001</v>
      </c>
      <c r="C779" s="14">
        <f t="shared" si="24"/>
        <v>2.6200368317571532E-3</v>
      </c>
      <c r="D779" s="14">
        <f t="shared" si="23"/>
        <v>3.5798809769996193E-2</v>
      </c>
      <c r="E779" s="15">
        <f>VLOOKUP(Table2[[#This Row],[Date]],'Fed Fund New'!$A:$C,2,FALSE)</f>
        <v>0.25</v>
      </c>
      <c r="F779" s="15">
        <f>VLOOKUP(Table2[[#This Row],[Date]],'Fed Fund New'!$A:$C,3,FALSE)</f>
        <v>7.0000000000000007E-2</v>
      </c>
    </row>
    <row r="780" spans="1:6" x14ac:dyDescent="0.2">
      <c r="A780" s="61">
        <v>40756</v>
      </c>
      <c r="B780" s="68">
        <f>VLOOKUP(Table2[[#This Row],[Date]],Database!A:E,2,)</f>
        <v>226.10599999999999</v>
      </c>
      <c r="C780" s="14">
        <f t="shared" si="24"/>
        <v>3.1544621664188837E-3</v>
      </c>
      <c r="D780" s="14">
        <f t="shared" si="23"/>
        <v>3.754996030708091E-2</v>
      </c>
      <c r="E780" s="15">
        <f>VLOOKUP(Table2[[#This Row],[Date]],'Fed Fund New'!$A:$C,2,FALSE)</f>
        <v>0.25</v>
      </c>
      <c r="F780" s="15">
        <f>VLOOKUP(Table2[[#This Row],[Date]],'Fed Fund New'!$A:$C,3,FALSE)</f>
        <v>0.1</v>
      </c>
    </row>
    <row r="781" spans="1:6" x14ac:dyDescent="0.2">
      <c r="A781" s="61">
        <v>40787</v>
      </c>
      <c r="B781" s="68">
        <f>VLOOKUP(Table2[[#This Row],[Date]],Database!A:E,2,)</f>
        <v>226.59700000000001</v>
      </c>
      <c r="C781" s="14">
        <f t="shared" si="24"/>
        <v>2.1715478580843226E-3</v>
      </c>
      <c r="D781" s="14">
        <f t="shared" si="23"/>
        <v>3.8126216928186935E-2</v>
      </c>
      <c r="E781" s="15">
        <f>VLOOKUP(Table2[[#This Row],[Date]],'Fed Fund New'!$A:$C,2,FALSE)</f>
        <v>0.25</v>
      </c>
      <c r="F781" s="15">
        <f>VLOOKUP(Table2[[#This Row],[Date]],'Fed Fund New'!$A:$C,3,FALSE)</f>
        <v>0.08</v>
      </c>
    </row>
    <row r="782" spans="1:6" x14ac:dyDescent="0.2">
      <c r="A782" s="61">
        <v>40817</v>
      </c>
      <c r="B782" s="68">
        <f>VLOOKUP(Table2[[#This Row],[Date]],Database!A:E,2,)</f>
        <v>226.75</v>
      </c>
      <c r="C782" s="14">
        <f t="shared" si="24"/>
        <v>6.7520752701929674E-4</v>
      </c>
      <c r="D782" s="14">
        <f t="shared" si="23"/>
        <v>3.522268130664051E-2</v>
      </c>
      <c r="E782" s="15">
        <f>VLOOKUP(Table2[[#This Row],[Date]],'Fed Fund New'!$A:$C,2,FALSE)</f>
        <v>0.25</v>
      </c>
      <c r="F782" s="15">
        <f>VLOOKUP(Table2[[#This Row],[Date]],'Fed Fund New'!$A:$C,3,FALSE)</f>
        <v>7.0000000000000007E-2</v>
      </c>
    </row>
    <row r="783" spans="1:6" x14ac:dyDescent="0.2">
      <c r="A783" s="61">
        <v>40848</v>
      </c>
      <c r="B783" s="68">
        <f>VLOOKUP(Table2[[#This Row],[Date]],Database!A:E,2,)</f>
        <v>227.16900000000001</v>
      </c>
      <c r="C783" s="14">
        <f t="shared" si="24"/>
        <v>1.8478500551268406E-3</v>
      </c>
      <c r="D783" s="14">
        <f t="shared" si="23"/>
        <v>3.451432214581724E-2</v>
      </c>
      <c r="E783" s="15">
        <f>VLOOKUP(Table2[[#This Row],[Date]],'Fed Fund New'!$A:$C,2,FALSE)</f>
        <v>0.25</v>
      </c>
      <c r="F783" s="15">
        <f>VLOOKUP(Table2[[#This Row],[Date]],'Fed Fund New'!$A:$C,3,FALSE)</f>
        <v>0.08</v>
      </c>
    </row>
    <row r="784" spans="1:6" x14ac:dyDescent="0.2">
      <c r="A784" s="61">
        <v>40878</v>
      </c>
      <c r="B784" s="68">
        <f>VLOOKUP(Table2[[#This Row],[Date]],Database!A:E,2,)</f>
        <v>227.22300000000001</v>
      </c>
      <c r="C784" s="14">
        <f t="shared" si="24"/>
        <v>2.377084901549157E-4</v>
      </c>
      <c r="D784" s="14">
        <f t="shared" si="23"/>
        <v>3.062066838419393E-2</v>
      </c>
      <c r="E784" s="15">
        <f>VLOOKUP(Table2[[#This Row],[Date]],'Fed Fund New'!$A:$C,2,FALSE)</f>
        <v>0.25</v>
      </c>
      <c r="F784" s="15">
        <f>VLOOKUP(Table2[[#This Row],[Date]],'Fed Fund New'!$A:$C,3,FALSE)</f>
        <v>7.0000000000000007E-2</v>
      </c>
    </row>
    <row r="785" spans="1:6" x14ac:dyDescent="0.2">
      <c r="A785" s="61">
        <v>40909</v>
      </c>
      <c r="B785" s="68">
        <f>VLOOKUP(Table2[[#This Row],[Date]],Database!A:E,2,)</f>
        <v>227.84200000000001</v>
      </c>
      <c r="C785" s="14">
        <f t="shared" si="24"/>
        <v>2.7241960540966351E-3</v>
      </c>
      <c r="D785" s="14">
        <f t="shared" ref="D785:D848" si="25">(B785-B773)/B773</f>
        <v>3.0087663379855058E-2</v>
      </c>
      <c r="E785" s="15">
        <f>VLOOKUP(Table2[[#This Row],[Date]],'Fed Fund New'!$A:$C,2,FALSE)</f>
        <v>0.25</v>
      </c>
      <c r="F785" s="15">
        <f>VLOOKUP(Table2[[#This Row],[Date]],'Fed Fund New'!$A:$C,3,FALSE)</f>
        <v>0.08</v>
      </c>
    </row>
    <row r="786" spans="1:6" x14ac:dyDescent="0.2">
      <c r="A786" s="61">
        <v>40940</v>
      </c>
      <c r="B786" s="68">
        <f>VLOOKUP(Table2[[#This Row],[Date]],Database!A:E,2,)</f>
        <v>228.32900000000001</v>
      </c>
      <c r="C786" s="14">
        <f t="shared" si="24"/>
        <v>2.1374461249462117E-3</v>
      </c>
      <c r="D786" s="14">
        <f t="shared" si="25"/>
        <v>2.8981784423473902E-2</v>
      </c>
      <c r="E786" s="15">
        <f>VLOOKUP(Table2[[#This Row],[Date]],'Fed Fund New'!$A:$C,2,FALSE)</f>
        <v>0.25</v>
      </c>
      <c r="F786" s="15">
        <f>VLOOKUP(Table2[[#This Row],[Date]],'Fed Fund New'!$A:$C,3,FALSE)</f>
        <v>0.1</v>
      </c>
    </row>
    <row r="787" spans="1:6" x14ac:dyDescent="0.2">
      <c r="A787" s="61">
        <v>40969</v>
      </c>
      <c r="B787" s="68">
        <f>VLOOKUP(Table2[[#This Row],[Date]],Database!A:E,2,)</f>
        <v>228.80699999999999</v>
      </c>
      <c r="C787" s="14">
        <f t="shared" si="24"/>
        <v>2.0934703870291562E-3</v>
      </c>
      <c r="D787" s="14">
        <f t="shared" si="25"/>
        <v>2.5828752813321001E-2</v>
      </c>
      <c r="E787" s="15">
        <f>VLOOKUP(Table2[[#This Row],[Date]],'Fed Fund New'!$A:$C,2,FALSE)</f>
        <v>0.25</v>
      </c>
      <c r="F787" s="15">
        <f>VLOOKUP(Table2[[#This Row],[Date]],'Fed Fund New'!$A:$C,3,FALSE)</f>
        <v>0.13</v>
      </c>
    </row>
    <row r="788" spans="1:6" x14ac:dyDescent="0.2">
      <c r="A788" s="61">
        <v>41000</v>
      </c>
      <c r="B788" s="68">
        <f>VLOOKUP(Table2[[#This Row],[Date]],Database!A:E,2,)</f>
        <v>229.18700000000001</v>
      </c>
      <c r="C788" s="14">
        <f t="shared" si="24"/>
        <v>1.6607883500068788E-3</v>
      </c>
      <c r="D788" s="14">
        <f t="shared" si="25"/>
        <v>2.273163374134856E-2</v>
      </c>
      <c r="E788" s="15">
        <f>VLOOKUP(Table2[[#This Row],[Date]],'Fed Fund New'!$A:$C,2,FALSE)</f>
        <v>0.25</v>
      </c>
      <c r="F788" s="15">
        <f>VLOOKUP(Table2[[#This Row],[Date]],'Fed Fund New'!$A:$C,3,FALSE)</f>
        <v>0.14000000000000001</v>
      </c>
    </row>
    <row r="789" spans="1:6" x14ac:dyDescent="0.2">
      <c r="A789" s="61">
        <v>41030</v>
      </c>
      <c r="B789" s="68">
        <f>VLOOKUP(Table2[[#This Row],[Date]],Database!A:E,2,)</f>
        <v>228.71299999999999</v>
      </c>
      <c r="C789" s="14">
        <f t="shared" si="24"/>
        <v>-2.0681801323810599E-3</v>
      </c>
      <c r="D789" s="14">
        <f t="shared" si="25"/>
        <v>1.7379429374660738E-2</v>
      </c>
      <c r="E789" s="15">
        <f>VLOOKUP(Table2[[#This Row],[Date]],'Fed Fund New'!$A:$C,2,FALSE)</f>
        <v>0.25</v>
      </c>
      <c r="F789" s="15">
        <f>VLOOKUP(Table2[[#This Row],[Date]],'Fed Fund New'!$A:$C,3,FALSE)</f>
        <v>0.16</v>
      </c>
    </row>
    <row r="790" spans="1:6" x14ac:dyDescent="0.2">
      <c r="A790" s="61">
        <v>41061</v>
      </c>
      <c r="B790" s="68">
        <f>VLOOKUP(Table2[[#This Row],[Date]],Database!A:E,2,)</f>
        <v>228.524</v>
      </c>
      <c r="C790" s="14">
        <f t="shared" si="24"/>
        <v>-8.2636317131073859E-4</v>
      </c>
      <c r="D790" s="14">
        <f t="shared" si="25"/>
        <v>1.6538704482976386E-2</v>
      </c>
      <c r="E790" s="15">
        <f>VLOOKUP(Table2[[#This Row],[Date]],'Fed Fund New'!$A:$C,2,FALSE)</f>
        <v>0.25</v>
      </c>
      <c r="F790" s="15">
        <f>VLOOKUP(Table2[[#This Row],[Date]],'Fed Fund New'!$A:$C,3,FALSE)</f>
        <v>0.16</v>
      </c>
    </row>
    <row r="791" spans="1:6" x14ac:dyDescent="0.2">
      <c r="A791" s="61">
        <v>41091</v>
      </c>
      <c r="B791" s="68">
        <f>VLOOKUP(Table2[[#This Row],[Date]],Database!A:E,2,)</f>
        <v>228.59</v>
      </c>
      <c r="C791" s="14">
        <f t="shared" si="24"/>
        <v>2.8880992806008343E-4</v>
      </c>
      <c r="D791" s="14">
        <f t="shared" si="25"/>
        <v>1.4175114798464887E-2</v>
      </c>
      <c r="E791" s="15">
        <f>VLOOKUP(Table2[[#This Row],[Date]],'Fed Fund New'!$A:$C,2,FALSE)</f>
        <v>0.25</v>
      </c>
      <c r="F791" s="15">
        <f>VLOOKUP(Table2[[#This Row],[Date]],'Fed Fund New'!$A:$C,3,FALSE)</f>
        <v>0.16</v>
      </c>
    </row>
    <row r="792" spans="1:6" x14ac:dyDescent="0.2">
      <c r="A792" s="61">
        <v>41122</v>
      </c>
      <c r="B792" s="68">
        <f>VLOOKUP(Table2[[#This Row],[Date]],Database!A:E,2,)</f>
        <v>229.91800000000001</v>
      </c>
      <c r="C792" s="14">
        <f t="shared" si="24"/>
        <v>5.8095279758519748E-3</v>
      </c>
      <c r="D792" s="14">
        <f t="shared" si="25"/>
        <v>1.6859349154821242E-2</v>
      </c>
      <c r="E792" s="15">
        <f>VLOOKUP(Table2[[#This Row],[Date]],'Fed Fund New'!$A:$C,2,FALSE)</f>
        <v>0.25</v>
      </c>
      <c r="F792" s="15">
        <f>VLOOKUP(Table2[[#This Row],[Date]],'Fed Fund New'!$A:$C,3,FALSE)</f>
        <v>0.13</v>
      </c>
    </row>
    <row r="793" spans="1:6" x14ac:dyDescent="0.2">
      <c r="A793" s="61">
        <v>41153</v>
      </c>
      <c r="B793" s="68">
        <f>VLOOKUP(Table2[[#This Row],[Date]],Database!A:E,2,)</f>
        <v>231.01499999999999</v>
      </c>
      <c r="C793" s="14">
        <f t="shared" si="24"/>
        <v>4.7712662775423412E-3</v>
      </c>
      <c r="D793" s="14">
        <f t="shared" si="25"/>
        <v>1.9497168982819623E-2</v>
      </c>
      <c r="E793" s="15">
        <f>VLOOKUP(Table2[[#This Row],[Date]],'Fed Fund New'!$A:$C,2,FALSE)</f>
        <v>0.25</v>
      </c>
      <c r="F793" s="15">
        <f>VLOOKUP(Table2[[#This Row],[Date]],'Fed Fund New'!$A:$C,3,FALSE)</f>
        <v>0.14000000000000001</v>
      </c>
    </row>
    <row r="794" spans="1:6" x14ac:dyDescent="0.2">
      <c r="A794" s="61">
        <v>41183</v>
      </c>
      <c r="B794" s="68">
        <f>VLOOKUP(Table2[[#This Row],[Date]],Database!A:E,2,)</f>
        <v>231.63800000000001</v>
      </c>
      <c r="C794" s="14">
        <f t="shared" si="24"/>
        <v>2.6967945804385815E-3</v>
      </c>
      <c r="D794" s="14">
        <f t="shared" si="25"/>
        <v>2.1556780595369373E-2</v>
      </c>
      <c r="E794" s="15">
        <f>VLOOKUP(Table2[[#This Row],[Date]],'Fed Fund New'!$A:$C,2,FALSE)</f>
        <v>0.25</v>
      </c>
      <c r="F794" s="15">
        <f>VLOOKUP(Table2[[#This Row],[Date]],'Fed Fund New'!$A:$C,3,FALSE)</f>
        <v>0.16</v>
      </c>
    </row>
    <row r="795" spans="1:6" x14ac:dyDescent="0.2">
      <c r="A795" s="61">
        <v>41214</v>
      </c>
      <c r="B795" s="68">
        <f>VLOOKUP(Table2[[#This Row],[Date]],Database!A:E,2,)</f>
        <v>231.249</v>
      </c>
      <c r="C795" s="14">
        <f t="shared" si="24"/>
        <v>-1.6793444944266916E-3</v>
      </c>
      <c r="D795" s="14">
        <f t="shared" si="25"/>
        <v>1.7960197033926213E-2</v>
      </c>
      <c r="E795" s="15">
        <f>VLOOKUP(Table2[[#This Row],[Date]],'Fed Fund New'!$A:$C,2,FALSE)</f>
        <v>0.25</v>
      </c>
      <c r="F795" s="15">
        <f>VLOOKUP(Table2[[#This Row],[Date]],'Fed Fund New'!$A:$C,3,FALSE)</f>
        <v>0.16</v>
      </c>
    </row>
    <row r="796" spans="1:6" x14ac:dyDescent="0.2">
      <c r="A796" s="61">
        <v>41244</v>
      </c>
      <c r="B796" s="68">
        <f>VLOOKUP(Table2[[#This Row],[Date]],Database!A:E,2,)</f>
        <v>231.221</v>
      </c>
      <c r="C796" s="14">
        <f t="shared" si="24"/>
        <v>-1.2108160467717304E-4</v>
      </c>
      <c r="D796" s="14">
        <f t="shared" si="25"/>
        <v>1.7595049796895516E-2</v>
      </c>
      <c r="E796" s="15">
        <f>VLOOKUP(Table2[[#This Row],[Date]],'Fed Fund New'!$A:$C,2,FALSE)</f>
        <v>0.25</v>
      </c>
      <c r="F796" s="15">
        <f>VLOOKUP(Table2[[#This Row],[Date]],'Fed Fund New'!$A:$C,3,FALSE)</f>
        <v>0.16</v>
      </c>
    </row>
    <row r="797" spans="1:6" x14ac:dyDescent="0.2">
      <c r="A797" s="61">
        <v>41275</v>
      </c>
      <c r="B797" s="68">
        <f>VLOOKUP(Table2[[#This Row],[Date]],Database!A:E,2,)</f>
        <v>231.679</v>
      </c>
      <c r="C797" s="14">
        <f t="shared" si="24"/>
        <v>1.9807889421808505E-3</v>
      </c>
      <c r="D797" s="14">
        <f t="shared" si="25"/>
        <v>1.6840617620982913E-2</v>
      </c>
      <c r="E797" s="15">
        <f>VLOOKUP(Table2[[#This Row],[Date]],'Fed Fund New'!$A:$C,2,FALSE)</f>
        <v>0.25</v>
      </c>
      <c r="F797" s="15">
        <f>VLOOKUP(Table2[[#This Row],[Date]],'Fed Fund New'!$A:$C,3,FALSE)</f>
        <v>0.14000000000000001</v>
      </c>
    </row>
    <row r="798" spans="1:6" x14ac:dyDescent="0.2">
      <c r="A798" s="61">
        <v>41306</v>
      </c>
      <c r="B798" s="68">
        <f>VLOOKUP(Table2[[#This Row],[Date]],Database!A:E,2,)</f>
        <v>232.93700000000001</v>
      </c>
      <c r="C798" s="14">
        <f t="shared" si="24"/>
        <v>5.4299267521010098E-3</v>
      </c>
      <c r="D798" s="14">
        <f t="shared" si="25"/>
        <v>2.018140490257481E-2</v>
      </c>
      <c r="E798" s="15">
        <f>VLOOKUP(Table2[[#This Row],[Date]],'Fed Fund New'!$A:$C,2,FALSE)</f>
        <v>0.25</v>
      </c>
      <c r="F798" s="15">
        <f>VLOOKUP(Table2[[#This Row],[Date]],'Fed Fund New'!$A:$C,3,FALSE)</f>
        <v>0.15</v>
      </c>
    </row>
    <row r="799" spans="1:6" x14ac:dyDescent="0.2">
      <c r="A799" s="61">
        <v>41334</v>
      </c>
      <c r="B799" s="68">
        <f>VLOOKUP(Table2[[#This Row],[Date]],Database!A:E,2,)</f>
        <v>232.28200000000001</v>
      </c>
      <c r="C799" s="14">
        <f t="shared" si="24"/>
        <v>-2.8119191025899755E-3</v>
      </c>
      <c r="D799" s="14">
        <f t="shared" si="25"/>
        <v>1.518747241124626E-2</v>
      </c>
      <c r="E799" s="15">
        <f>VLOOKUP(Table2[[#This Row],[Date]],'Fed Fund New'!$A:$C,2,FALSE)</f>
        <v>0.25</v>
      </c>
      <c r="F799" s="15">
        <f>VLOOKUP(Table2[[#This Row],[Date]],'Fed Fund New'!$A:$C,3,FALSE)</f>
        <v>0.14000000000000001</v>
      </c>
    </row>
    <row r="800" spans="1:6" x14ac:dyDescent="0.2">
      <c r="A800" s="61">
        <v>41365</v>
      </c>
      <c r="B800" s="68">
        <f>VLOOKUP(Table2[[#This Row],[Date]],Database!A:E,2,)</f>
        <v>231.797</v>
      </c>
      <c r="C800" s="14">
        <f t="shared" si="24"/>
        <v>-2.087979266581197E-3</v>
      </c>
      <c r="D800" s="14">
        <f t="shared" si="25"/>
        <v>1.1388080475768631E-2</v>
      </c>
      <c r="E800" s="15">
        <f>VLOOKUP(Table2[[#This Row],[Date]],'Fed Fund New'!$A:$C,2,FALSE)</f>
        <v>0.25</v>
      </c>
      <c r="F800" s="15">
        <f>VLOOKUP(Table2[[#This Row],[Date]],'Fed Fund New'!$A:$C,3,FALSE)</f>
        <v>0.15</v>
      </c>
    </row>
    <row r="801" spans="1:6" x14ac:dyDescent="0.2">
      <c r="A801" s="61">
        <v>41395</v>
      </c>
      <c r="B801" s="68">
        <f>VLOOKUP(Table2[[#This Row],[Date]],Database!A:E,2,)</f>
        <v>231.893</v>
      </c>
      <c r="C801" s="14">
        <f t="shared" si="24"/>
        <v>4.1415548950160546E-4</v>
      </c>
      <c r="D801" s="14">
        <f t="shared" si="25"/>
        <v>1.3903888279197103E-2</v>
      </c>
      <c r="E801" s="15">
        <f>VLOOKUP(Table2[[#This Row],[Date]],'Fed Fund New'!$A:$C,2,FALSE)</f>
        <v>0.25</v>
      </c>
      <c r="F801" s="15">
        <f>VLOOKUP(Table2[[#This Row],[Date]],'Fed Fund New'!$A:$C,3,FALSE)</f>
        <v>0.11</v>
      </c>
    </row>
    <row r="802" spans="1:6" x14ac:dyDescent="0.2">
      <c r="A802" s="61">
        <v>41426</v>
      </c>
      <c r="B802" s="68">
        <f>VLOOKUP(Table2[[#This Row],[Date]],Database!A:E,2,)</f>
        <v>232.44499999999999</v>
      </c>
      <c r="C802" s="14">
        <f t="shared" si="24"/>
        <v>2.3804082055085426E-3</v>
      </c>
      <c r="D802" s="14">
        <f t="shared" si="25"/>
        <v>1.7157935271568815E-2</v>
      </c>
      <c r="E802" s="15">
        <f>VLOOKUP(Table2[[#This Row],[Date]],'Fed Fund New'!$A:$C,2,FALSE)</f>
        <v>0.25</v>
      </c>
      <c r="F802" s="15">
        <f>VLOOKUP(Table2[[#This Row],[Date]],'Fed Fund New'!$A:$C,3,FALSE)</f>
        <v>0.09</v>
      </c>
    </row>
    <row r="803" spans="1:6" x14ac:dyDescent="0.2">
      <c r="A803" s="61">
        <v>41456</v>
      </c>
      <c r="B803" s="68">
        <f>VLOOKUP(Table2[[#This Row],[Date]],Database!A:E,2,)</f>
        <v>232.9</v>
      </c>
      <c r="C803" s="14">
        <f t="shared" si="24"/>
        <v>1.9574523005442684E-3</v>
      </c>
      <c r="D803" s="14">
        <f t="shared" si="25"/>
        <v>1.8854718054158108E-2</v>
      </c>
      <c r="E803" s="15">
        <f>VLOOKUP(Table2[[#This Row],[Date]],'Fed Fund New'!$A:$C,2,FALSE)</f>
        <v>0.25</v>
      </c>
      <c r="F803" s="15">
        <f>VLOOKUP(Table2[[#This Row],[Date]],'Fed Fund New'!$A:$C,3,FALSE)</f>
        <v>0.09</v>
      </c>
    </row>
    <row r="804" spans="1:6" x14ac:dyDescent="0.2">
      <c r="A804" s="61">
        <v>41487</v>
      </c>
      <c r="B804" s="68">
        <f>VLOOKUP(Table2[[#This Row],[Date]],Database!A:E,2,)</f>
        <v>233.45599999999999</v>
      </c>
      <c r="C804" s="14">
        <f t="shared" si="24"/>
        <v>2.3872906826963641E-3</v>
      </c>
      <c r="D804" s="14">
        <f t="shared" si="25"/>
        <v>1.5388094886002759E-2</v>
      </c>
      <c r="E804" s="15">
        <f>VLOOKUP(Table2[[#This Row],[Date]],'Fed Fund New'!$A:$C,2,FALSE)</f>
        <v>0.25</v>
      </c>
      <c r="F804" s="15">
        <f>VLOOKUP(Table2[[#This Row],[Date]],'Fed Fund New'!$A:$C,3,FALSE)</f>
        <v>0.08</v>
      </c>
    </row>
    <row r="805" spans="1:6" x14ac:dyDescent="0.2">
      <c r="A805" s="61">
        <v>41518</v>
      </c>
      <c r="B805" s="68">
        <f>VLOOKUP(Table2[[#This Row],[Date]],Database!A:E,2,)</f>
        <v>233.54400000000001</v>
      </c>
      <c r="C805" s="14">
        <f t="shared" si="24"/>
        <v>3.7694469193347903E-4</v>
      </c>
      <c r="D805" s="14">
        <f t="shared" si="25"/>
        <v>1.0947341081748047E-2</v>
      </c>
      <c r="E805" s="15">
        <f>VLOOKUP(Table2[[#This Row],[Date]],'Fed Fund New'!$A:$C,2,FALSE)</f>
        <v>0.25</v>
      </c>
      <c r="F805" s="15">
        <f>VLOOKUP(Table2[[#This Row],[Date]],'Fed Fund New'!$A:$C,3,FALSE)</f>
        <v>0.08</v>
      </c>
    </row>
    <row r="806" spans="1:6" x14ac:dyDescent="0.2">
      <c r="A806" s="61">
        <v>41548</v>
      </c>
      <c r="B806" s="68">
        <f>VLOOKUP(Table2[[#This Row],[Date]],Database!A:E,2,)</f>
        <v>233.66900000000001</v>
      </c>
      <c r="C806" s="14">
        <f t="shared" si="24"/>
        <v>5.3523104853903331E-4</v>
      </c>
      <c r="D806" s="14">
        <f t="shared" si="25"/>
        <v>8.7679914349113961E-3</v>
      </c>
      <c r="E806" s="15">
        <f>VLOOKUP(Table2[[#This Row],[Date]],'Fed Fund New'!$A:$C,2,FALSE)</f>
        <v>0.25</v>
      </c>
      <c r="F806" s="15">
        <f>VLOOKUP(Table2[[#This Row],[Date]],'Fed Fund New'!$A:$C,3,FALSE)</f>
        <v>0.09</v>
      </c>
    </row>
    <row r="807" spans="1:6" x14ac:dyDescent="0.2">
      <c r="A807" s="61">
        <v>41579</v>
      </c>
      <c r="B807" s="68">
        <f>VLOOKUP(Table2[[#This Row],[Date]],Database!A:E,2,)</f>
        <v>234.1</v>
      </c>
      <c r="C807" s="14">
        <f t="shared" si="24"/>
        <v>1.8444894273522939E-3</v>
      </c>
      <c r="D807" s="14">
        <f t="shared" si="25"/>
        <v>1.2328701961954427E-2</v>
      </c>
      <c r="E807" s="15">
        <f>VLOOKUP(Table2[[#This Row],[Date]],'Fed Fund New'!$A:$C,2,FALSE)</f>
        <v>0.25</v>
      </c>
      <c r="F807" s="15">
        <f>VLOOKUP(Table2[[#This Row],[Date]],'Fed Fund New'!$A:$C,3,FALSE)</f>
        <v>0.08</v>
      </c>
    </row>
    <row r="808" spans="1:6" x14ac:dyDescent="0.2">
      <c r="A808" s="61">
        <v>41609</v>
      </c>
      <c r="B808" s="68">
        <f>VLOOKUP(Table2[[#This Row],[Date]],Database!A:E,2,)</f>
        <v>234.71899999999999</v>
      </c>
      <c r="C808" s="14">
        <f t="shared" si="24"/>
        <v>2.6441691584792814E-3</v>
      </c>
      <c r="D808" s="14">
        <f t="shared" si="25"/>
        <v>1.5128383667573405E-2</v>
      </c>
      <c r="E808" s="15">
        <f>VLOOKUP(Table2[[#This Row],[Date]],'Fed Fund New'!$A:$C,2,FALSE)</f>
        <v>0.25</v>
      </c>
      <c r="F808" s="15">
        <f>VLOOKUP(Table2[[#This Row],[Date]],'Fed Fund New'!$A:$C,3,FALSE)</f>
        <v>0.09</v>
      </c>
    </row>
    <row r="809" spans="1:6" x14ac:dyDescent="0.2">
      <c r="A809" s="61">
        <v>41640</v>
      </c>
      <c r="B809" s="68">
        <f>VLOOKUP(Table2[[#This Row],[Date]],Database!A:E,2,)</f>
        <v>235.28800000000001</v>
      </c>
      <c r="C809" s="14">
        <f t="shared" si="24"/>
        <v>2.4241752904537632E-3</v>
      </c>
      <c r="D809" s="14">
        <f t="shared" si="25"/>
        <v>1.5577587955749157E-2</v>
      </c>
      <c r="E809" s="15">
        <f>VLOOKUP(Table2[[#This Row],[Date]],'Fed Fund New'!$A:$C,2,FALSE)</f>
        <v>0.25</v>
      </c>
      <c r="F809" s="15">
        <f>VLOOKUP(Table2[[#This Row],[Date]],'Fed Fund New'!$A:$C,3,FALSE)</f>
        <v>7.0000000000000007E-2</v>
      </c>
    </row>
    <row r="810" spans="1:6" x14ac:dyDescent="0.2">
      <c r="A810" s="61">
        <v>41671</v>
      </c>
      <c r="B810" s="68">
        <f>VLOOKUP(Table2[[#This Row],[Date]],Database!A:E,2,)</f>
        <v>235.547</v>
      </c>
      <c r="C810" s="14">
        <f t="shared" si="24"/>
        <v>1.1007786202440674E-3</v>
      </c>
      <c r="D810" s="14">
        <f t="shared" si="25"/>
        <v>1.1204746347724857E-2</v>
      </c>
      <c r="E810" s="15">
        <f>VLOOKUP(Table2[[#This Row],[Date]],'Fed Fund New'!$A:$C,2,FALSE)</f>
        <v>0.25</v>
      </c>
      <c r="F810" s="15">
        <f>VLOOKUP(Table2[[#This Row],[Date]],'Fed Fund New'!$A:$C,3,FALSE)</f>
        <v>7.0000000000000007E-2</v>
      </c>
    </row>
    <row r="811" spans="1:6" x14ac:dyDescent="0.2">
      <c r="A811" s="61">
        <v>41699</v>
      </c>
      <c r="B811" s="68">
        <f>VLOOKUP(Table2[[#This Row],[Date]],Database!A:E,2,)</f>
        <v>236.02799999999999</v>
      </c>
      <c r="C811" s="14">
        <f t="shared" si="24"/>
        <v>2.0420553010651573E-3</v>
      </c>
      <c r="D811" s="14">
        <f t="shared" si="25"/>
        <v>1.6126949139408049E-2</v>
      </c>
      <c r="E811" s="15">
        <f>VLOOKUP(Table2[[#This Row],[Date]],'Fed Fund New'!$A:$C,2,FALSE)</f>
        <v>0.25</v>
      </c>
      <c r="F811" s="15">
        <f>VLOOKUP(Table2[[#This Row],[Date]],'Fed Fund New'!$A:$C,3,FALSE)</f>
        <v>0.08</v>
      </c>
    </row>
    <row r="812" spans="1:6" x14ac:dyDescent="0.2">
      <c r="A812" s="61">
        <v>41730</v>
      </c>
      <c r="B812" s="68">
        <f>VLOOKUP(Table2[[#This Row],[Date]],Database!A:E,2,)</f>
        <v>236.46799999999999</v>
      </c>
      <c r="C812" s="14">
        <f t="shared" si="24"/>
        <v>1.8641856050976907E-3</v>
      </c>
      <c r="D812" s="14">
        <f t="shared" si="25"/>
        <v>2.0151253036061693E-2</v>
      </c>
      <c r="E812" s="15">
        <f>VLOOKUP(Table2[[#This Row],[Date]],'Fed Fund New'!$A:$C,2,FALSE)</f>
        <v>0.25</v>
      </c>
      <c r="F812" s="15">
        <f>VLOOKUP(Table2[[#This Row],[Date]],'Fed Fund New'!$A:$C,3,FALSE)</f>
        <v>0.09</v>
      </c>
    </row>
    <row r="813" spans="1:6" x14ac:dyDescent="0.2">
      <c r="A813" s="61">
        <v>41760</v>
      </c>
      <c r="B813" s="68">
        <f>VLOOKUP(Table2[[#This Row],[Date]],Database!A:E,2,)</f>
        <v>236.91800000000001</v>
      </c>
      <c r="C813" s="14">
        <f t="shared" si="24"/>
        <v>1.9030059035472751E-3</v>
      </c>
      <c r="D813" s="14">
        <f t="shared" si="25"/>
        <v>2.1669476870798194E-2</v>
      </c>
      <c r="E813" s="15">
        <f>VLOOKUP(Table2[[#This Row],[Date]],'Fed Fund New'!$A:$C,2,FALSE)</f>
        <v>0.25</v>
      </c>
      <c r="F813" s="15">
        <f>VLOOKUP(Table2[[#This Row],[Date]],'Fed Fund New'!$A:$C,3,FALSE)</f>
        <v>0.09</v>
      </c>
    </row>
    <row r="814" spans="1:6" x14ac:dyDescent="0.2">
      <c r="A814" s="61">
        <v>41791</v>
      </c>
      <c r="B814" s="68">
        <f>VLOOKUP(Table2[[#This Row],[Date]],Database!A:E,2,)</f>
        <v>237.23099999999999</v>
      </c>
      <c r="C814" s="14">
        <f t="shared" si="24"/>
        <v>1.3211322060796907E-3</v>
      </c>
      <c r="D814" s="14">
        <f t="shared" si="25"/>
        <v>2.0589816945944209E-2</v>
      </c>
      <c r="E814" s="15">
        <f>VLOOKUP(Table2[[#This Row],[Date]],'Fed Fund New'!$A:$C,2,FALSE)</f>
        <v>0.25</v>
      </c>
      <c r="F814" s="15">
        <f>VLOOKUP(Table2[[#This Row],[Date]],'Fed Fund New'!$A:$C,3,FALSE)</f>
        <v>0.1</v>
      </c>
    </row>
    <row r="815" spans="1:6" x14ac:dyDescent="0.2">
      <c r="A815" s="61">
        <v>41821</v>
      </c>
      <c r="B815" s="68">
        <f>VLOOKUP(Table2[[#This Row],[Date]],Database!A:E,2,)</f>
        <v>237.49799999999999</v>
      </c>
      <c r="C815" s="14">
        <f t="shared" si="24"/>
        <v>1.1254852864928948E-3</v>
      </c>
      <c r="D815" s="14">
        <f t="shared" si="25"/>
        <v>1.9742378703306074E-2</v>
      </c>
      <c r="E815" s="15">
        <f>VLOOKUP(Table2[[#This Row],[Date]],'Fed Fund New'!$A:$C,2,FALSE)</f>
        <v>0.25</v>
      </c>
      <c r="F815" s="15">
        <f>VLOOKUP(Table2[[#This Row],[Date]],'Fed Fund New'!$A:$C,3,FALSE)</f>
        <v>0.09</v>
      </c>
    </row>
    <row r="816" spans="1:6" x14ac:dyDescent="0.2">
      <c r="A816" s="61">
        <v>41852</v>
      </c>
      <c r="B816" s="68">
        <f>VLOOKUP(Table2[[#This Row],[Date]],Database!A:E,2,)</f>
        <v>237.46</v>
      </c>
      <c r="C816" s="14">
        <f t="shared" si="24"/>
        <v>-1.600013473796937E-4</v>
      </c>
      <c r="D816" s="14">
        <f t="shared" si="25"/>
        <v>1.7150983482969034E-2</v>
      </c>
      <c r="E816" s="15">
        <f>VLOOKUP(Table2[[#This Row],[Date]],'Fed Fund New'!$A:$C,2,FALSE)</f>
        <v>0.25</v>
      </c>
      <c r="F816" s="15">
        <f>VLOOKUP(Table2[[#This Row],[Date]],'Fed Fund New'!$A:$C,3,FALSE)</f>
        <v>0.09</v>
      </c>
    </row>
    <row r="817" spans="1:6" x14ac:dyDescent="0.2">
      <c r="A817" s="61">
        <v>41883</v>
      </c>
      <c r="B817" s="68">
        <f>VLOOKUP(Table2[[#This Row],[Date]],Database!A:E,2,)</f>
        <v>237.477</v>
      </c>
      <c r="C817" s="14">
        <f t="shared" si="24"/>
        <v>7.1591004800791315E-5</v>
      </c>
      <c r="D817" s="14">
        <f t="shared" si="25"/>
        <v>1.6840509711232111E-2</v>
      </c>
      <c r="E817" s="15">
        <f>VLOOKUP(Table2[[#This Row],[Date]],'Fed Fund New'!$A:$C,2,FALSE)</f>
        <v>0.25</v>
      </c>
      <c r="F817" s="15">
        <f>VLOOKUP(Table2[[#This Row],[Date]],'Fed Fund New'!$A:$C,3,FALSE)</f>
        <v>0.09</v>
      </c>
    </row>
    <row r="818" spans="1:6" x14ac:dyDescent="0.2">
      <c r="A818" s="61">
        <v>41913</v>
      </c>
      <c r="B818" s="68">
        <f>VLOOKUP(Table2[[#This Row],[Date]],Database!A:E,2,)</f>
        <v>237.43</v>
      </c>
      <c r="C818" s="14">
        <f t="shared" si="24"/>
        <v>-1.9791390324114353E-4</v>
      </c>
      <c r="D818" s="14">
        <f t="shared" si="25"/>
        <v>1.609541702151332E-2</v>
      </c>
      <c r="E818" s="15">
        <f>VLOOKUP(Table2[[#This Row],[Date]],'Fed Fund New'!$A:$C,2,FALSE)</f>
        <v>0.25</v>
      </c>
      <c r="F818" s="15">
        <f>VLOOKUP(Table2[[#This Row],[Date]],'Fed Fund New'!$A:$C,3,FALSE)</f>
        <v>0.09</v>
      </c>
    </row>
    <row r="819" spans="1:6" x14ac:dyDescent="0.2">
      <c r="A819" s="61">
        <v>41944</v>
      </c>
      <c r="B819" s="68">
        <f>VLOOKUP(Table2[[#This Row],[Date]],Database!A:E,2,)</f>
        <v>236.983</v>
      </c>
      <c r="C819" s="14">
        <f t="shared" si="24"/>
        <v>-1.8826601524660014E-3</v>
      </c>
      <c r="D819" s="14">
        <f t="shared" si="25"/>
        <v>1.2315249893208072E-2</v>
      </c>
      <c r="E819" s="15">
        <f>VLOOKUP(Table2[[#This Row],[Date]],'Fed Fund New'!$A:$C,2,FALSE)</f>
        <v>0.25</v>
      </c>
      <c r="F819" s="15">
        <f>VLOOKUP(Table2[[#This Row],[Date]],'Fed Fund New'!$A:$C,3,FALSE)</f>
        <v>0.09</v>
      </c>
    </row>
    <row r="820" spans="1:6" x14ac:dyDescent="0.2">
      <c r="A820" s="61">
        <v>41974</v>
      </c>
      <c r="B820" s="68">
        <f>VLOOKUP(Table2[[#This Row],[Date]],Database!A:E,2,)</f>
        <v>236.25200000000001</v>
      </c>
      <c r="C820" s="14">
        <f t="shared" si="24"/>
        <v>-3.0846094445592912E-3</v>
      </c>
      <c r="D820" s="14">
        <f t="shared" si="25"/>
        <v>6.5312139196231044E-3</v>
      </c>
      <c r="E820" s="15">
        <f>VLOOKUP(Table2[[#This Row],[Date]],'Fed Fund New'!$A:$C,2,FALSE)</f>
        <v>0.25</v>
      </c>
      <c r="F820" s="15">
        <f>VLOOKUP(Table2[[#This Row],[Date]],'Fed Fund New'!$A:$C,3,FALSE)</f>
        <v>0.12</v>
      </c>
    </row>
    <row r="821" spans="1:6" x14ac:dyDescent="0.2">
      <c r="A821" s="61">
        <v>42005</v>
      </c>
      <c r="B821" s="68">
        <f>VLOOKUP(Table2[[#This Row],[Date]],Database!A:E,2,)</f>
        <v>234.74700000000001</v>
      </c>
      <c r="C821" s="14">
        <f t="shared" si="24"/>
        <v>-6.370316441765553E-3</v>
      </c>
      <c r="D821" s="14">
        <f t="shared" si="25"/>
        <v>-2.29930978205432E-3</v>
      </c>
      <c r="E821" s="15">
        <f>VLOOKUP(Table2[[#This Row],[Date]],'Fed Fund New'!$A:$C,2,FALSE)</f>
        <v>0.25</v>
      </c>
      <c r="F821" s="15">
        <f>VLOOKUP(Table2[[#This Row],[Date]],'Fed Fund New'!$A:$C,3,FALSE)</f>
        <v>0.11</v>
      </c>
    </row>
    <row r="822" spans="1:6" x14ac:dyDescent="0.2">
      <c r="A822" s="61">
        <v>42036</v>
      </c>
      <c r="B822" s="68">
        <f>VLOOKUP(Table2[[#This Row],[Date]],Database!A:E,2,)</f>
        <v>235.34200000000001</v>
      </c>
      <c r="C822" s="14">
        <f t="shared" si="24"/>
        <v>2.5346436802174206E-3</v>
      </c>
      <c r="D822" s="14">
        <f t="shared" si="25"/>
        <v>-8.7031462935203627E-4</v>
      </c>
      <c r="E822" s="15">
        <f>VLOOKUP(Table2[[#This Row],[Date]],'Fed Fund New'!$A:$C,2,FALSE)</f>
        <v>0.25</v>
      </c>
      <c r="F822" s="15">
        <f>VLOOKUP(Table2[[#This Row],[Date]],'Fed Fund New'!$A:$C,3,FALSE)</f>
        <v>0.11</v>
      </c>
    </row>
    <row r="823" spans="1:6" x14ac:dyDescent="0.2">
      <c r="A823" s="61">
        <v>42064</v>
      </c>
      <c r="B823" s="68">
        <f>VLOOKUP(Table2[[#This Row],[Date]],Database!A:E,2,)</f>
        <v>235.976</v>
      </c>
      <c r="C823" s="14">
        <f t="shared" si="24"/>
        <v>2.6939517808125457E-3</v>
      </c>
      <c r="D823" s="14">
        <f t="shared" si="25"/>
        <v>-2.2031284423878735E-4</v>
      </c>
      <c r="E823" s="15">
        <f>VLOOKUP(Table2[[#This Row],[Date]],'Fed Fund New'!$A:$C,2,FALSE)</f>
        <v>0.25</v>
      </c>
      <c r="F823" s="15">
        <f>VLOOKUP(Table2[[#This Row],[Date]],'Fed Fund New'!$A:$C,3,FALSE)</f>
        <v>0.11</v>
      </c>
    </row>
    <row r="824" spans="1:6" x14ac:dyDescent="0.2">
      <c r="A824" s="61">
        <v>42095</v>
      </c>
      <c r="B824" s="68">
        <f>VLOOKUP(Table2[[#This Row],[Date]],Database!A:E,2,)</f>
        <v>236.22200000000001</v>
      </c>
      <c r="C824" s="14">
        <f t="shared" si="24"/>
        <v>1.0424788961589709E-3</v>
      </c>
      <c r="D824" s="14">
        <f t="shared" si="25"/>
        <v>-1.040309893939057E-3</v>
      </c>
      <c r="E824" s="15">
        <f>VLOOKUP(Table2[[#This Row],[Date]],'Fed Fund New'!$A:$C,2,FALSE)</f>
        <v>0.25</v>
      </c>
      <c r="F824" s="15">
        <f>VLOOKUP(Table2[[#This Row],[Date]],'Fed Fund New'!$A:$C,3,FALSE)</f>
        <v>0.12</v>
      </c>
    </row>
    <row r="825" spans="1:6" x14ac:dyDescent="0.2">
      <c r="A825" s="61">
        <v>42125</v>
      </c>
      <c r="B825" s="68">
        <f>VLOOKUP(Table2[[#This Row],[Date]],Database!A:E,2,)</f>
        <v>237.001</v>
      </c>
      <c r="C825" s="14">
        <f t="shared" si="24"/>
        <v>3.2977453412467777E-3</v>
      </c>
      <c r="D825" s="14">
        <f t="shared" si="25"/>
        <v>3.5033218244286379E-4</v>
      </c>
      <c r="E825" s="15">
        <f>VLOOKUP(Table2[[#This Row],[Date]],'Fed Fund New'!$A:$C,2,FALSE)</f>
        <v>0.25</v>
      </c>
      <c r="F825" s="15">
        <f>VLOOKUP(Table2[[#This Row],[Date]],'Fed Fund New'!$A:$C,3,FALSE)</f>
        <v>0.12</v>
      </c>
    </row>
    <row r="826" spans="1:6" x14ac:dyDescent="0.2">
      <c r="A826" s="61">
        <v>42156</v>
      </c>
      <c r="B826" s="68">
        <f>VLOOKUP(Table2[[#This Row],[Date]],Database!A:E,2,)</f>
        <v>237.65700000000001</v>
      </c>
      <c r="C826" s="14">
        <f t="shared" si="24"/>
        <v>2.7679208104607403E-3</v>
      </c>
      <c r="D826" s="14">
        <f t="shared" si="25"/>
        <v>1.7957180975505568E-3</v>
      </c>
      <c r="E826" s="15">
        <f>VLOOKUP(Table2[[#This Row],[Date]],'Fed Fund New'!$A:$C,2,FALSE)</f>
        <v>0.25</v>
      </c>
      <c r="F826" s="15">
        <f>VLOOKUP(Table2[[#This Row],[Date]],'Fed Fund New'!$A:$C,3,FALSE)</f>
        <v>0.13</v>
      </c>
    </row>
    <row r="827" spans="1:6" x14ac:dyDescent="0.2">
      <c r="A827" s="61">
        <v>42186</v>
      </c>
      <c r="B827" s="68">
        <f>VLOOKUP(Table2[[#This Row],[Date]],Database!A:E,2,)</f>
        <v>238.03399999999999</v>
      </c>
      <c r="C827" s="14">
        <f t="shared" si="24"/>
        <v>1.5863197801873335E-3</v>
      </c>
      <c r="D827" s="14">
        <f t="shared" si="25"/>
        <v>2.2568611104093568E-3</v>
      </c>
      <c r="E827" s="15">
        <f>VLOOKUP(Table2[[#This Row],[Date]],'Fed Fund New'!$A:$C,2,FALSE)</f>
        <v>0.25</v>
      </c>
      <c r="F827" s="15">
        <f>VLOOKUP(Table2[[#This Row],[Date]],'Fed Fund New'!$A:$C,3,FALSE)</f>
        <v>0.13</v>
      </c>
    </row>
    <row r="828" spans="1:6" x14ac:dyDescent="0.2">
      <c r="A828" s="61">
        <v>42217</v>
      </c>
      <c r="B828" s="68">
        <f>VLOOKUP(Table2[[#This Row],[Date]],Database!A:E,2,)</f>
        <v>238.03299999999999</v>
      </c>
      <c r="C828" s="14">
        <f t="shared" si="24"/>
        <v>-4.2010805179292661E-6</v>
      </c>
      <c r="D828" s="14">
        <f t="shared" si="25"/>
        <v>2.4130379853448121E-3</v>
      </c>
      <c r="E828" s="15">
        <f>VLOOKUP(Table2[[#This Row],[Date]],'Fed Fund New'!$A:$C,2,FALSE)</f>
        <v>0.25</v>
      </c>
      <c r="F828" s="15">
        <f>VLOOKUP(Table2[[#This Row],[Date]],'Fed Fund New'!$A:$C,3,FALSE)</f>
        <v>0.14000000000000001</v>
      </c>
    </row>
    <row r="829" spans="1:6" x14ac:dyDescent="0.2">
      <c r="A829" s="61">
        <v>42248</v>
      </c>
      <c r="B829" s="68">
        <f>VLOOKUP(Table2[[#This Row],[Date]],Database!A:E,2,)</f>
        <v>237.49799999999999</v>
      </c>
      <c r="C829" s="14">
        <f t="shared" si="24"/>
        <v>-2.2475875193775511E-3</v>
      </c>
      <c r="D829" s="14">
        <f t="shared" si="25"/>
        <v>8.8429616341736603E-5</v>
      </c>
      <c r="E829" s="15">
        <f>VLOOKUP(Table2[[#This Row],[Date]],'Fed Fund New'!$A:$C,2,FALSE)</f>
        <v>0.25</v>
      </c>
      <c r="F829" s="15">
        <f>VLOOKUP(Table2[[#This Row],[Date]],'Fed Fund New'!$A:$C,3,FALSE)</f>
        <v>0.14000000000000001</v>
      </c>
    </row>
    <row r="830" spans="1:6" x14ac:dyDescent="0.2">
      <c r="A830" s="61">
        <v>42278</v>
      </c>
      <c r="B830" s="68">
        <f>VLOOKUP(Table2[[#This Row],[Date]],Database!A:E,2,)</f>
        <v>237.733</v>
      </c>
      <c r="C830" s="14">
        <f t="shared" si="24"/>
        <v>9.894820166907244E-4</v>
      </c>
      <c r="D830" s="14">
        <f t="shared" si="25"/>
        <v>1.2761656067051227E-3</v>
      </c>
      <c r="E830" s="15">
        <f>VLOOKUP(Table2[[#This Row],[Date]],'Fed Fund New'!$A:$C,2,FALSE)</f>
        <v>0.25</v>
      </c>
      <c r="F830" s="15">
        <f>VLOOKUP(Table2[[#This Row],[Date]],'Fed Fund New'!$A:$C,3,FALSE)</f>
        <v>0.12</v>
      </c>
    </row>
    <row r="831" spans="1:6" x14ac:dyDescent="0.2">
      <c r="A831" s="61">
        <v>42309</v>
      </c>
      <c r="B831" s="68">
        <f>VLOOKUP(Table2[[#This Row],[Date]],Database!A:E,2,)</f>
        <v>238.017</v>
      </c>
      <c r="C831" s="14">
        <f t="shared" si="24"/>
        <v>1.1946174910508504E-3</v>
      </c>
      <c r="D831" s="14">
        <f t="shared" si="25"/>
        <v>4.3631821691850967E-3</v>
      </c>
      <c r="E831" s="15">
        <f>VLOOKUP(Table2[[#This Row],[Date]],'Fed Fund New'!$A:$C,2,FALSE)</f>
        <v>0.25</v>
      </c>
      <c r="F831" s="15">
        <f>VLOOKUP(Table2[[#This Row],[Date]],'Fed Fund New'!$A:$C,3,FALSE)</f>
        <v>0.12</v>
      </c>
    </row>
    <row r="832" spans="1:6" x14ac:dyDescent="0.2">
      <c r="A832" s="61">
        <v>42339</v>
      </c>
      <c r="B832" s="68">
        <f>VLOOKUP(Table2[[#This Row],[Date]],Database!A:E,2,)</f>
        <v>237.761</v>
      </c>
      <c r="C832" s="14">
        <f t="shared" si="24"/>
        <v>-1.0755534268560658E-3</v>
      </c>
      <c r="D832" s="14">
        <f t="shared" si="25"/>
        <v>6.3872475153648901E-3</v>
      </c>
      <c r="E832" s="15">
        <f>VLOOKUP(Table2[[#This Row],[Date]],'Fed Fund New'!$A:$C,2,FALSE)</f>
        <v>0.5</v>
      </c>
      <c r="F832" s="15">
        <f>VLOOKUP(Table2[[#This Row],[Date]],'Fed Fund New'!$A:$C,3,FALSE)</f>
        <v>0.24</v>
      </c>
    </row>
    <row r="833" spans="1:6" x14ac:dyDescent="0.2">
      <c r="A833" s="61">
        <v>42370</v>
      </c>
      <c r="B833" s="68">
        <f>VLOOKUP(Table2[[#This Row],[Date]],Database!A:E,2,)</f>
        <v>237.65199999999999</v>
      </c>
      <c r="C833" s="14">
        <f t="shared" si="24"/>
        <v>-4.5844356307388038E-4</v>
      </c>
      <c r="D833" s="14">
        <f t="shared" si="25"/>
        <v>1.2375025026943784E-2</v>
      </c>
      <c r="E833" s="15">
        <f>VLOOKUP(Table2[[#This Row],[Date]],'Fed Fund New'!$A:$C,2,FALSE)</f>
        <v>0.5</v>
      </c>
      <c r="F833" s="15">
        <f>VLOOKUP(Table2[[#This Row],[Date]],'Fed Fund New'!$A:$C,3,FALSE)</f>
        <v>0.34</v>
      </c>
    </row>
    <row r="834" spans="1:6" x14ac:dyDescent="0.2">
      <c r="A834" s="61">
        <v>42401</v>
      </c>
      <c r="B834" s="68">
        <f>VLOOKUP(Table2[[#This Row],[Date]],Database!A:E,2,)</f>
        <v>237.33600000000001</v>
      </c>
      <c r="C834" s="14">
        <f t="shared" si="24"/>
        <v>-1.3296753235822719E-3</v>
      </c>
      <c r="D834" s="14">
        <f t="shared" si="25"/>
        <v>8.4727757901267072E-3</v>
      </c>
      <c r="E834" s="15">
        <f>VLOOKUP(Table2[[#This Row],[Date]],'Fed Fund New'!$A:$C,2,FALSE)</f>
        <v>0.5</v>
      </c>
      <c r="F834" s="15">
        <f>VLOOKUP(Table2[[#This Row],[Date]],'Fed Fund New'!$A:$C,3,FALSE)</f>
        <v>0.38</v>
      </c>
    </row>
    <row r="835" spans="1:6" x14ac:dyDescent="0.2">
      <c r="A835" s="61">
        <v>42430</v>
      </c>
      <c r="B835" s="68">
        <f>VLOOKUP(Table2[[#This Row],[Date]],Database!A:E,2,)</f>
        <v>238.08</v>
      </c>
      <c r="C835" s="14">
        <f t="shared" si="24"/>
        <v>3.1347962382445131E-3</v>
      </c>
      <c r="D835" s="14">
        <f t="shared" si="25"/>
        <v>8.9161609655219742E-3</v>
      </c>
      <c r="E835" s="15">
        <f>VLOOKUP(Table2[[#This Row],[Date]],'Fed Fund New'!$A:$C,2,FALSE)</f>
        <v>0.5</v>
      </c>
      <c r="F835" s="15">
        <f>VLOOKUP(Table2[[#This Row],[Date]],'Fed Fund New'!$A:$C,3,FALSE)</f>
        <v>0.36</v>
      </c>
    </row>
    <row r="836" spans="1:6" x14ac:dyDescent="0.2">
      <c r="A836" s="61">
        <v>42461</v>
      </c>
      <c r="B836" s="68">
        <f>VLOOKUP(Table2[[#This Row],[Date]],Database!A:E,2,)</f>
        <v>238.99199999999999</v>
      </c>
      <c r="C836" s="14">
        <f t="shared" si="24"/>
        <v>3.8306451612902287E-3</v>
      </c>
      <c r="D836" s="14">
        <f t="shared" si="25"/>
        <v>1.1726257503534733E-2</v>
      </c>
      <c r="E836" s="15">
        <f>VLOOKUP(Table2[[#This Row],[Date]],'Fed Fund New'!$A:$C,2,FALSE)</f>
        <v>0.5</v>
      </c>
      <c r="F836" s="15">
        <f>VLOOKUP(Table2[[#This Row],[Date]],'Fed Fund New'!$A:$C,3,FALSE)</f>
        <v>0.37</v>
      </c>
    </row>
    <row r="837" spans="1:6" x14ac:dyDescent="0.2">
      <c r="A837" s="61">
        <v>42491</v>
      </c>
      <c r="B837" s="68">
        <f>VLOOKUP(Table2[[#This Row],[Date]],Database!A:E,2,)</f>
        <v>239.55699999999999</v>
      </c>
      <c r="C837" s="14">
        <f t="shared" si="24"/>
        <v>2.3640958693177919E-3</v>
      </c>
      <c r="D837" s="14">
        <f t="shared" si="25"/>
        <v>1.0784764621246253E-2</v>
      </c>
      <c r="E837" s="15">
        <f>VLOOKUP(Table2[[#This Row],[Date]],'Fed Fund New'!$A:$C,2,FALSE)</f>
        <v>0.5</v>
      </c>
      <c r="F837" s="15">
        <f>VLOOKUP(Table2[[#This Row],[Date]],'Fed Fund New'!$A:$C,3,FALSE)</f>
        <v>0.37</v>
      </c>
    </row>
    <row r="838" spans="1:6" x14ac:dyDescent="0.2">
      <c r="A838" s="61">
        <v>42522</v>
      </c>
      <c r="B838" s="68">
        <f>VLOOKUP(Table2[[#This Row],[Date]],Database!A:E,2,)</f>
        <v>240.22200000000001</v>
      </c>
      <c r="C838" s="14">
        <f t="shared" ref="C838:C901" si="26">(B838-B837)/B837</f>
        <v>2.7759572878271999E-3</v>
      </c>
      <c r="D838" s="14">
        <f t="shared" si="25"/>
        <v>1.0792865347959445E-2</v>
      </c>
      <c r="E838" s="15">
        <f>VLOOKUP(Table2[[#This Row],[Date]],'Fed Fund New'!$A:$C,2,FALSE)</f>
        <v>0.5</v>
      </c>
      <c r="F838" s="15">
        <f>VLOOKUP(Table2[[#This Row],[Date]],'Fed Fund New'!$A:$C,3,FALSE)</f>
        <v>0.38</v>
      </c>
    </row>
    <row r="839" spans="1:6" x14ac:dyDescent="0.2">
      <c r="A839" s="61">
        <v>42552</v>
      </c>
      <c r="B839" s="68">
        <f>VLOOKUP(Table2[[#This Row],[Date]],Database!A:E,2,)</f>
        <v>240.101</v>
      </c>
      <c r="C839" s="14">
        <f t="shared" si="26"/>
        <v>-5.0370074347898741E-4</v>
      </c>
      <c r="D839" s="14">
        <f t="shared" si="25"/>
        <v>8.6836334305183602E-3</v>
      </c>
      <c r="E839" s="15">
        <f>VLOOKUP(Table2[[#This Row],[Date]],'Fed Fund New'!$A:$C,2,FALSE)</f>
        <v>0.5</v>
      </c>
      <c r="F839" s="15">
        <f>VLOOKUP(Table2[[#This Row],[Date]],'Fed Fund New'!$A:$C,3,FALSE)</f>
        <v>0.39</v>
      </c>
    </row>
    <row r="840" spans="1:6" x14ac:dyDescent="0.2">
      <c r="A840" s="61">
        <v>42583</v>
      </c>
      <c r="B840" s="68">
        <f>VLOOKUP(Table2[[#This Row],[Date]],Database!A:E,2,)</f>
        <v>240.54499999999999</v>
      </c>
      <c r="C840" s="14">
        <f t="shared" si="26"/>
        <v>1.8492217858317474E-3</v>
      </c>
      <c r="D840" s="14">
        <f t="shared" si="25"/>
        <v>1.0553158595656907E-2</v>
      </c>
      <c r="E840" s="15">
        <f>VLOOKUP(Table2[[#This Row],[Date]],'Fed Fund New'!$A:$C,2,FALSE)</f>
        <v>0.5</v>
      </c>
      <c r="F840" s="15">
        <f>VLOOKUP(Table2[[#This Row],[Date]],'Fed Fund New'!$A:$C,3,FALSE)</f>
        <v>0.4</v>
      </c>
    </row>
    <row r="841" spans="1:6" x14ac:dyDescent="0.2">
      <c r="A841" s="61">
        <v>42614</v>
      </c>
      <c r="B841" s="68">
        <f>VLOOKUP(Table2[[#This Row],[Date]],Database!A:E,2,)</f>
        <v>241.17599999999999</v>
      </c>
      <c r="C841" s="14">
        <f t="shared" si="26"/>
        <v>2.6232097944251607E-3</v>
      </c>
      <c r="D841" s="14">
        <f t="shared" si="25"/>
        <v>1.5486446201652213E-2</v>
      </c>
      <c r="E841" s="15">
        <f>VLOOKUP(Table2[[#This Row],[Date]],'Fed Fund New'!$A:$C,2,FALSE)</f>
        <v>0.5</v>
      </c>
      <c r="F841" s="15">
        <f>VLOOKUP(Table2[[#This Row],[Date]],'Fed Fund New'!$A:$C,3,FALSE)</f>
        <v>0.4</v>
      </c>
    </row>
    <row r="842" spans="1:6" x14ac:dyDescent="0.2">
      <c r="A842" s="61">
        <v>42644</v>
      </c>
      <c r="B842" s="68">
        <f>VLOOKUP(Table2[[#This Row],[Date]],Database!A:E,2,)</f>
        <v>241.74100000000001</v>
      </c>
      <c r="C842" s="14">
        <f t="shared" si="26"/>
        <v>2.3426874979269336E-3</v>
      </c>
      <c r="D842" s="14">
        <f t="shared" si="25"/>
        <v>1.685924966243647E-2</v>
      </c>
      <c r="E842" s="15">
        <f>VLOOKUP(Table2[[#This Row],[Date]],'Fed Fund New'!$A:$C,2,FALSE)</f>
        <v>0.5</v>
      </c>
      <c r="F842" s="15">
        <f>VLOOKUP(Table2[[#This Row],[Date]],'Fed Fund New'!$A:$C,3,FALSE)</f>
        <v>0.4</v>
      </c>
    </row>
    <row r="843" spans="1:6" x14ac:dyDescent="0.2">
      <c r="A843" s="61">
        <v>42675</v>
      </c>
      <c r="B843" s="68">
        <f>VLOOKUP(Table2[[#This Row],[Date]],Database!A:E,2,)</f>
        <v>242.02600000000001</v>
      </c>
      <c r="C843" s="14">
        <f t="shared" si="26"/>
        <v>1.178947716771241E-3</v>
      </c>
      <c r="D843" s="14">
        <f t="shared" si="25"/>
        <v>1.6843334719788983E-2</v>
      </c>
      <c r="E843" s="15">
        <f>VLOOKUP(Table2[[#This Row],[Date]],'Fed Fund New'!$A:$C,2,FALSE)</f>
        <v>0.5</v>
      </c>
      <c r="F843" s="15">
        <f>VLOOKUP(Table2[[#This Row],[Date]],'Fed Fund New'!$A:$C,3,FALSE)</f>
        <v>0.41</v>
      </c>
    </row>
    <row r="844" spans="1:6" x14ac:dyDescent="0.2">
      <c r="A844" s="61">
        <v>42705</v>
      </c>
      <c r="B844" s="68">
        <f>VLOOKUP(Table2[[#This Row],[Date]],Database!A:E,2,)</f>
        <v>242.637</v>
      </c>
      <c r="C844" s="14">
        <f t="shared" si="26"/>
        <v>2.5245221587762885E-3</v>
      </c>
      <c r="D844" s="14">
        <f t="shared" si="25"/>
        <v>2.0507989115119824E-2</v>
      </c>
      <c r="E844" s="15">
        <f>VLOOKUP(Table2[[#This Row],[Date]],'Fed Fund New'!$A:$C,2,FALSE)</f>
        <v>0.75</v>
      </c>
      <c r="F844" s="15">
        <f>VLOOKUP(Table2[[#This Row],[Date]],'Fed Fund New'!$A:$C,3,FALSE)</f>
        <v>0.54</v>
      </c>
    </row>
    <row r="845" spans="1:6" x14ac:dyDescent="0.2">
      <c r="A845" s="61">
        <v>42736</v>
      </c>
      <c r="B845" s="68">
        <f>VLOOKUP(Table2[[#This Row],[Date]],Database!A:E,2,)</f>
        <v>243.62</v>
      </c>
      <c r="C845" s="14">
        <f t="shared" si="26"/>
        <v>4.0513194607582686E-3</v>
      </c>
      <c r="D845" s="14">
        <f t="shared" si="25"/>
        <v>2.5112349149176181E-2</v>
      </c>
      <c r="E845" s="15">
        <f>VLOOKUP(Table2[[#This Row],[Date]],'Fed Fund New'!$A:$C,2,FALSE)</f>
        <v>0.75</v>
      </c>
      <c r="F845" s="15">
        <f>VLOOKUP(Table2[[#This Row],[Date]],'Fed Fund New'!$A:$C,3,FALSE)</f>
        <v>0.65</v>
      </c>
    </row>
    <row r="846" spans="1:6" x14ac:dyDescent="0.2">
      <c r="A846" s="61">
        <v>42767</v>
      </c>
      <c r="B846" s="68">
        <f>VLOOKUP(Table2[[#This Row],[Date]],Database!A:E,2,)</f>
        <v>243.87200000000001</v>
      </c>
      <c r="C846" s="14">
        <f t="shared" si="26"/>
        <v>1.0343978326902946E-3</v>
      </c>
      <c r="D846" s="14">
        <f t="shared" si="25"/>
        <v>2.7539016415545896E-2</v>
      </c>
      <c r="E846" s="15">
        <f>VLOOKUP(Table2[[#This Row],[Date]],'Fed Fund New'!$A:$C,2,FALSE)</f>
        <v>0.75</v>
      </c>
      <c r="F846" s="15">
        <f>VLOOKUP(Table2[[#This Row],[Date]],'Fed Fund New'!$A:$C,3,FALSE)</f>
        <v>0.66</v>
      </c>
    </row>
    <row r="847" spans="1:6" x14ac:dyDescent="0.2">
      <c r="A847" s="61">
        <v>42795</v>
      </c>
      <c r="B847" s="68">
        <f>VLOOKUP(Table2[[#This Row],[Date]],Database!A:E,2,)</f>
        <v>243.76599999999999</v>
      </c>
      <c r="C847" s="14">
        <f t="shared" si="26"/>
        <v>-4.3465424484985142E-4</v>
      </c>
      <c r="D847" s="14">
        <f t="shared" si="25"/>
        <v>2.3882728494623563E-2</v>
      </c>
      <c r="E847" s="15">
        <f>VLOOKUP(Table2[[#This Row],[Date]],'Fed Fund New'!$A:$C,2,FALSE)</f>
        <v>1</v>
      </c>
      <c r="F847" s="15">
        <f>VLOOKUP(Table2[[#This Row],[Date]],'Fed Fund New'!$A:$C,3,FALSE)</f>
        <v>0.79</v>
      </c>
    </row>
    <row r="848" spans="1:6" x14ac:dyDescent="0.2">
      <c r="A848" s="61">
        <v>42826</v>
      </c>
      <c r="B848" s="68">
        <f>VLOOKUP(Table2[[#This Row],[Date]],Database!A:E,2,)</f>
        <v>244.274</v>
      </c>
      <c r="C848" s="14">
        <f t="shared" si="26"/>
        <v>2.0839657704520309E-3</v>
      </c>
      <c r="D848" s="14">
        <f t="shared" si="25"/>
        <v>2.2101158197763988E-2</v>
      </c>
      <c r="E848" s="15">
        <f>VLOOKUP(Table2[[#This Row],[Date]],'Fed Fund New'!$A:$C,2,FALSE)</f>
        <v>1</v>
      </c>
      <c r="F848" s="15">
        <f>VLOOKUP(Table2[[#This Row],[Date]],'Fed Fund New'!$A:$C,3,FALSE)</f>
        <v>0.9</v>
      </c>
    </row>
    <row r="849" spans="1:6" x14ac:dyDescent="0.2">
      <c r="A849" s="61">
        <v>42856</v>
      </c>
      <c r="B849" s="68">
        <f>VLOOKUP(Table2[[#This Row],[Date]],Database!A:E,2,)</f>
        <v>244.06899999999999</v>
      </c>
      <c r="C849" s="14">
        <f t="shared" si="26"/>
        <v>-8.3922152992136907E-4</v>
      </c>
      <c r="D849" s="14">
        <f t="shared" ref="D849:D903" si="27">(B849-B837)/B837</f>
        <v>1.8834765838610438E-2</v>
      </c>
      <c r="E849" s="15">
        <f>VLOOKUP(Table2[[#This Row],[Date]],'Fed Fund New'!$A:$C,2,FALSE)</f>
        <v>1</v>
      </c>
      <c r="F849" s="15">
        <f>VLOOKUP(Table2[[#This Row],[Date]],'Fed Fund New'!$A:$C,3,FALSE)</f>
        <v>0.91</v>
      </c>
    </row>
    <row r="850" spans="1:6" x14ac:dyDescent="0.2">
      <c r="A850" s="61">
        <v>42887</v>
      </c>
      <c r="B850" s="68">
        <f>VLOOKUP(Table2[[#This Row],[Date]],Database!A:E,2,)</f>
        <v>244.21799999999999</v>
      </c>
      <c r="C850" s="14">
        <f t="shared" si="26"/>
        <v>6.1048310109026917E-4</v>
      </c>
      <c r="D850" s="14">
        <f t="shared" si="27"/>
        <v>1.6634612982990654E-2</v>
      </c>
      <c r="E850" s="15">
        <f>VLOOKUP(Table2[[#This Row],[Date]],'Fed Fund New'!$A:$C,2,FALSE)</f>
        <v>1.25</v>
      </c>
      <c r="F850" s="15">
        <f>VLOOKUP(Table2[[#This Row],[Date]],'Fed Fund New'!$A:$C,3,FALSE)</f>
        <v>1.04</v>
      </c>
    </row>
    <row r="851" spans="1:6" x14ac:dyDescent="0.2">
      <c r="A851" s="61">
        <v>42917</v>
      </c>
      <c r="B851" s="68">
        <f>VLOOKUP(Table2[[#This Row],[Date]],Database!A:E,2,)</f>
        <v>244.28</v>
      </c>
      <c r="C851" s="14">
        <f t="shared" si="26"/>
        <v>2.5387154100030231E-4</v>
      </c>
      <c r="D851" s="14">
        <f t="shared" si="27"/>
        <v>1.7405175322051977E-2</v>
      </c>
      <c r="E851" s="15">
        <f>VLOOKUP(Table2[[#This Row],[Date]],'Fed Fund New'!$A:$C,2,FALSE)</f>
        <v>1.25</v>
      </c>
      <c r="F851" s="15">
        <f>VLOOKUP(Table2[[#This Row],[Date]],'Fed Fund New'!$A:$C,3,FALSE)</f>
        <v>1.1499999999999999</v>
      </c>
    </row>
    <row r="852" spans="1:6" x14ac:dyDescent="0.2">
      <c r="A852" s="61">
        <v>42948</v>
      </c>
      <c r="B852" s="68">
        <f>VLOOKUP(Table2[[#This Row],[Date]],Database!A:E,2,)</f>
        <v>245.20500000000001</v>
      </c>
      <c r="C852" s="14">
        <f t="shared" si="26"/>
        <v>3.7866382839365129E-3</v>
      </c>
      <c r="D852" s="14">
        <f t="shared" si="27"/>
        <v>1.9372674551539317E-2</v>
      </c>
      <c r="E852" s="15">
        <f>VLOOKUP(Table2[[#This Row],[Date]],'Fed Fund New'!$A:$C,2,FALSE)</f>
        <v>1.25</v>
      </c>
      <c r="F852" s="15">
        <f>VLOOKUP(Table2[[#This Row],[Date]],'Fed Fund New'!$A:$C,3,FALSE)</f>
        <v>1.1599999999999999</v>
      </c>
    </row>
    <row r="853" spans="1:6" x14ac:dyDescent="0.2">
      <c r="A853" s="61">
        <v>42979</v>
      </c>
      <c r="B853" s="68">
        <f>VLOOKUP(Table2[[#This Row],[Date]],Database!A:E,2,)</f>
        <v>246.55099999999999</v>
      </c>
      <c r="C853" s="14">
        <f t="shared" si="26"/>
        <v>5.4892844762544609E-3</v>
      </c>
      <c r="D853" s="14">
        <f t="shared" si="27"/>
        <v>2.2286628851958735E-2</v>
      </c>
      <c r="E853" s="15">
        <f>VLOOKUP(Table2[[#This Row],[Date]],'Fed Fund New'!$A:$C,2,FALSE)</f>
        <v>1.25</v>
      </c>
      <c r="F853" s="15">
        <f>VLOOKUP(Table2[[#This Row],[Date]],'Fed Fund New'!$A:$C,3,FALSE)</f>
        <v>1.1499999999999999</v>
      </c>
    </row>
    <row r="854" spans="1:6" x14ac:dyDescent="0.2">
      <c r="A854" s="61">
        <v>43009</v>
      </c>
      <c r="B854" s="68">
        <f>VLOOKUP(Table2[[#This Row],[Date]],Database!A:E,2,)</f>
        <v>246.65700000000001</v>
      </c>
      <c r="C854" s="14">
        <f t="shared" si="26"/>
        <v>4.2993133266554576E-4</v>
      </c>
      <c r="D854" s="14">
        <f t="shared" si="27"/>
        <v>2.0335813949640302E-2</v>
      </c>
      <c r="E854" s="15">
        <f>VLOOKUP(Table2[[#This Row],[Date]],'Fed Fund New'!$A:$C,2,FALSE)</f>
        <v>1.25</v>
      </c>
      <c r="F854" s="15">
        <f>VLOOKUP(Table2[[#This Row],[Date]],'Fed Fund New'!$A:$C,3,FALSE)</f>
        <v>1.1499999999999999</v>
      </c>
    </row>
    <row r="855" spans="1:6" x14ac:dyDescent="0.2">
      <c r="A855" s="61">
        <v>43040</v>
      </c>
      <c r="B855" s="68">
        <f>VLOOKUP(Table2[[#This Row],[Date]],Database!A:E,2,)</f>
        <v>247.37799999999999</v>
      </c>
      <c r="C855" s="14">
        <f t="shared" si="26"/>
        <v>2.9230875264029611E-3</v>
      </c>
      <c r="D855" s="14">
        <f t="shared" si="27"/>
        <v>2.2113326667382742E-2</v>
      </c>
      <c r="E855" s="15">
        <f>VLOOKUP(Table2[[#This Row],[Date]],'Fed Fund New'!$A:$C,2,FALSE)</f>
        <v>1.25</v>
      </c>
      <c r="F855" s="15">
        <f>VLOOKUP(Table2[[#This Row],[Date]],'Fed Fund New'!$A:$C,3,FALSE)</f>
        <v>1.1599999999999999</v>
      </c>
    </row>
    <row r="856" spans="1:6" x14ac:dyDescent="0.2">
      <c r="A856" s="61">
        <v>43070</v>
      </c>
      <c r="B856" s="68">
        <f>VLOOKUP(Table2[[#This Row],[Date]],Database!A:E,2,)</f>
        <v>247.73599999999999</v>
      </c>
      <c r="C856" s="14">
        <f t="shared" si="26"/>
        <v>1.4471780028943726E-3</v>
      </c>
      <c r="D856" s="14">
        <f t="shared" si="27"/>
        <v>2.1014931770504869E-2</v>
      </c>
      <c r="E856" s="15">
        <f>VLOOKUP(Table2[[#This Row],[Date]],'Fed Fund New'!$A:$C,2,FALSE)</f>
        <v>1.5</v>
      </c>
      <c r="F856" s="15">
        <f>VLOOKUP(Table2[[#This Row],[Date]],'Fed Fund New'!$A:$C,3,FALSE)</f>
        <v>1.3</v>
      </c>
    </row>
    <row r="857" spans="1:6" x14ac:dyDescent="0.2">
      <c r="A857" s="61">
        <v>43101</v>
      </c>
      <c r="B857" s="68">
        <f>VLOOKUP(Table2[[#This Row],[Date]],Database!A:E,2,)</f>
        <v>248.721</v>
      </c>
      <c r="C857" s="14">
        <f t="shared" si="26"/>
        <v>3.9760067168276457E-3</v>
      </c>
      <c r="D857" s="14">
        <f t="shared" si="27"/>
        <v>2.0938346605369012E-2</v>
      </c>
      <c r="E857" s="15">
        <f>VLOOKUP(Table2[[#This Row],[Date]],'Fed Fund New'!$A:$C,2,FALSE)</f>
        <v>1.5</v>
      </c>
      <c r="F857" s="15">
        <f>VLOOKUP(Table2[[#This Row],[Date]],'Fed Fund New'!$A:$C,3,FALSE)</f>
        <v>1.41</v>
      </c>
    </row>
    <row r="858" spans="1:6" x14ac:dyDescent="0.2">
      <c r="A858" s="61">
        <v>43132</v>
      </c>
      <c r="B858" s="68">
        <f>VLOOKUP(Table2[[#This Row],[Date]],Database!A:E,2,)</f>
        <v>249.3</v>
      </c>
      <c r="C858" s="14">
        <f t="shared" si="26"/>
        <v>2.3279095854391377E-3</v>
      </c>
      <c r="D858" s="14">
        <f t="shared" si="27"/>
        <v>2.225757774570265E-2</v>
      </c>
      <c r="E858" s="15">
        <f>VLOOKUP(Table2[[#This Row],[Date]],'Fed Fund New'!$A:$C,2,FALSE)</f>
        <v>1.5</v>
      </c>
      <c r="F858" s="15">
        <f>VLOOKUP(Table2[[#This Row],[Date]],'Fed Fund New'!$A:$C,3,FALSE)</f>
        <v>1.42</v>
      </c>
    </row>
    <row r="859" spans="1:6" x14ac:dyDescent="0.2">
      <c r="A859" s="61">
        <v>43160</v>
      </c>
      <c r="B859" s="68">
        <f>VLOOKUP(Table2[[#This Row],[Date]],Database!A:E,2,)</f>
        <v>249.517</v>
      </c>
      <c r="C859" s="14">
        <f t="shared" si="26"/>
        <v>8.7043722422777583E-4</v>
      </c>
      <c r="D859" s="14">
        <f t="shared" si="27"/>
        <v>2.3592297531238995E-2</v>
      </c>
      <c r="E859" s="15">
        <f>VLOOKUP(Table2[[#This Row],[Date]],'Fed Fund New'!$A:$C,2,FALSE)</f>
        <v>1.75</v>
      </c>
      <c r="F859" s="15">
        <f>VLOOKUP(Table2[[#This Row],[Date]],'Fed Fund New'!$A:$C,3,FALSE)</f>
        <v>1.51</v>
      </c>
    </row>
    <row r="860" spans="1:6" x14ac:dyDescent="0.2">
      <c r="A860" s="61">
        <v>43191</v>
      </c>
      <c r="B860" s="68">
        <f>VLOOKUP(Table2[[#This Row],[Date]],Database!A:E,2,)</f>
        <v>250.27500000000001</v>
      </c>
      <c r="C860" s="14">
        <f t="shared" si="26"/>
        <v>3.0378691632233865E-3</v>
      </c>
      <c r="D860" s="14">
        <f t="shared" si="27"/>
        <v>2.4566675127111377E-2</v>
      </c>
      <c r="E860" s="15">
        <f>VLOOKUP(Table2[[#This Row],[Date]],'Fed Fund New'!$A:$C,2,FALSE)</f>
        <v>1.75</v>
      </c>
      <c r="F860" s="15">
        <f>VLOOKUP(Table2[[#This Row],[Date]],'Fed Fund New'!$A:$C,3,FALSE)</f>
        <v>1.69</v>
      </c>
    </row>
    <row r="861" spans="1:6" x14ac:dyDescent="0.2">
      <c r="A861" s="61">
        <v>43221</v>
      </c>
      <c r="B861" s="68">
        <f>VLOOKUP(Table2[[#This Row],[Date]],Database!A:E,2,)</f>
        <v>250.786</v>
      </c>
      <c r="C861" s="14">
        <f t="shared" si="26"/>
        <v>2.041754070522408E-3</v>
      </c>
      <c r="D861" s="14">
        <f t="shared" si="27"/>
        <v>2.7520905973310882E-2</v>
      </c>
      <c r="E861" s="15">
        <f>VLOOKUP(Table2[[#This Row],[Date]],'Fed Fund New'!$A:$C,2,FALSE)</f>
        <v>1.75</v>
      </c>
      <c r="F861" s="15">
        <f>VLOOKUP(Table2[[#This Row],[Date]],'Fed Fund New'!$A:$C,3,FALSE)</f>
        <v>1.7</v>
      </c>
    </row>
    <row r="862" spans="1:6" x14ac:dyDescent="0.2">
      <c r="A862" s="61">
        <v>43252</v>
      </c>
      <c r="B862" s="68">
        <f>VLOOKUP(Table2[[#This Row],[Date]],Database!A:E,2,)</f>
        <v>251.15199999999999</v>
      </c>
      <c r="C862" s="14">
        <f t="shared" si="26"/>
        <v>1.4594116098984211E-3</v>
      </c>
      <c r="D862" s="14">
        <f t="shared" si="27"/>
        <v>2.8392665569286449E-2</v>
      </c>
      <c r="E862" s="15">
        <f>VLOOKUP(Table2[[#This Row],[Date]],'Fed Fund New'!$A:$C,2,FALSE)</f>
        <v>2</v>
      </c>
      <c r="F862" s="15">
        <f>VLOOKUP(Table2[[#This Row],[Date]],'Fed Fund New'!$A:$C,3,FALSE)</f>
        <v>1.82</v>
      </c>
    </row>
    <row r="863" spans="1:6" x14ac:dyDescent="0.2">
      <c r="A863" s="61">
        <v>43282</v>
      </c>
      <c r="B863" s="68">
        <f>VLOOKUP(Table2[[#This Row],[Date]],Database!A:E,2,)</f>
        <v>251.345</v>
      </c>
      <c r="C863" s="14">
        <f t="shared" si="26"/>
        <v>7.6845894119900325E-4</v>
      </c>
      <c r="D863" s="14">
        <f t="shared" si="27"/>
        <v>2.8921729163255271E-2</v>
      </c>
      <c r="E863" s="15">
        <f>VLOOKUP(Table2[[#This Row],[Date]],'Fed Fund New'!$A:$C,2,FALSE)</f>
        <v>2</v>
      </c>
      <c r="F863" s="15">
        <f>VLOOKUP(Table2[[#This Row],[Date]],'Fed Fund New'!$A:$C,3,FALSE)</f>
        <v>1.91</v>
      </c>
    </row>
    <row r="864" spans="1:6" x14ac:dyDescent="0.2">
      <c r="A864" s="61">
        <v>43313</v>
      </c>
      <c r="B864" s="68">
        <f>VLOOKUP(Table2[[#This Row],[Date]],Database!A:E,2,)</f>
        <v>251.73500000000001</v>
      </c>
      <c r="C864" s="14">
        <f t="shared" si="26"/>
        <v>1.5516521116394389E-3</v>
      </c>
      <c r="D864" s="14">
        <f t="shared" si="27"/>
        <v>2.6630778328337518E-2</v>
      </c>
      <c r="E864" s="15">
        <f>VLOOKUP(Table2[[#This Row],[Date]],'Fed Fund New'!$A:$C,2,FALSE)</f>
        <v>2</v>
      </c>
      <c r="F864" s="15">
        <f>VLOOKUP(Table2[[#This Row],[Date]],'Fed Fund New'!$A:$C,3,FALSE)</f>
        <v>1.91</v>
      </c>
    </row>
    <row r="865" spans="1:6" x14ac:dyDescent="0.2">
      <c r="A865" s="61">
        <v>43344</v>
      </c>
      <c r="B865" s="68">
        <f>VLOOKUP(Table2[[#This Row],[Date]],Database!A:E,2,)</f>
        <v>252.18299999999999</v>
      </c>
      <c r="C865" s="14">
        <f t="shared" si="26"/>
        <v>1.7796492343137786E-3</v>
      </c>
      <c r="D865" s="14">
        <f t="shared" si="27"/>
        <v>2.2843144014828596E-2</v>
      </c>
      <c r="E865" s="15">
        <f>VLOOKUP(Table2[[#This Row],[Date]],'Fed Fund New'!$A:$C,2,FALSE)</f>
        <v>2.25</v>
      </c>
      <c r="F865" s="15">
        <f>VLOOKUP(Table2[[#This Row],[Date]],'Fed Fund New'!$A:$C,3,FALSE)</f>
        <v>1.95</v>
      </c>
    </row>
    <row r="866" spans="1:6" x14ac:dyDescent="0.2">
      <c r="A866" s="61">
        <v>43374</v>
      </c>
      <c r="B866" s="68">
        <f>VLOOKUP(Table2[[#This Row],[Date]],Database!A:E,2,)</f>
        <v>252.899</v>
      </c>
      <c r="C866" s="14">
        <f t="shared" si="26"/>
        <v>2.8392080354346177E-3</v>
      </c>
      <c r="D866" s="14">
        <f t="shared" si="27"/>
        <v>2.5306397142590684E-2</v>
      </c>
      <c r="E866" s="15">
        <f>VLOOKUP(Table2[[#This Row],[Date]],'Fed Fund New'!$A:$C,2,FALSE)</f>
        <v>2.25</v>
      </c>
      <c r="F866" s="15">
        <f>VLOOKUP(Table2[[#This Row],[Date]],'Fed Fund New'!$A:$C,3,FALSE)</f>
        <v>2.19</v>
      </c>
    </row>
    <row r="867" spans="1:6" x14ac:dyDescent="0.2">
      <c r="A867" s="61">
        <v>43405</v>
      </c>
      <c r="B867" s="68">
        <f>VLOOKUP(Table2[[#This Row],[Date]],Database!A:E,2,)</f>
        <v>252.822</v>
      </c>
      <c r="C867" s="14">
        <f t="shared" si="26"/>
        <v>-3.044693731489574E-4</v>
      </c>
      <c r="D867" s="14">
        <f t="shared" si="27"/>
        <v>2.200680739596899E-2</v>
      </c>
      <c r="E867" s="15">
        <f>VLOOKUP(Table2[[#This Row],[Date]],'Fed Fund New'!$A:$C,2,FALSE)</f>
        <v>2.25</v>
      </c>
      <c r="F867" s="15">
        <f>VLOOKUP(Table2[[#This Row],[Date]],'Fed Fund New'!$A:$C,3,FALSE)</f>
        <v>2.2000000000000002</v>
      </c>
    </row>
    <row r="868" spans="1:6" x14ac:dyDescent="0.2">
      <c r="A868" s="61">
        <v>43435</v>
      </c>
      <c r="B868" s="68">
        <f>VLOOKUP(Table2[[#This Row],[Date]],Database!A:E,2,)</f>
        <v>252.49299999999999</v>
      </c>
      <c r="C868" s="14">
        <f t="shared" si="26"/>
        <v>-1.3013108036484472E-3</v>
      </c>
      <c r="D868" s="14">
        <f t="shared" si="27"/>
        <v>1.920189233700393E-2</v>
      </c>
      <c r="E868" s="15">
        <f>VLOOKUP(Table2[[#This Row],[Date]],'Fed Fund New'!$A:$C,2,FALSE)</f>
        <v>2.5</v>
      </c>
      <c r="F868" s="15">
        <f>VLOOKUP(Table2[[#This Row],[Date]],'Fed Fund New'!$A:$C,3,FALSE)</f>
        <v>2.27</v>
      </c>
    </row>
    <row r="869" spans="1:6" x14ac:dyDescent="0.2">
      <c r="A869" s="61">
        <v>43466</v>
      </c>
      <c r="B869" s="68">
        <f>VLOOKUP(Table2[[#This Row],[Date]],Database!A:E,2,)</f>
        <v>252.441</v>
      </c>
      <c r="C869" s="14">
        <f t="shared" si="26"/>
        <v>-2.0594630346184843E-4</v>
      </c>
      <c r="D869" s="14">
        <f t="shared" si="27"/>
        <v>1.495651754375384E-2</v>
      </c>
      <c r="E869" s="15">
        <f>VLOOKUP(Table2[[#This Row],[Date]],'Fed Fund New'!$A:$C,2,FALSE)</f>
        <v>2.5</v>
      </c>
      <c r="F869" s="15">
        <f>VLOOKUP(Table2[[#This Row],[Date]],'Fed Fund New'!$A:$C,3,FALSE)</f>
        <v>2.4</v>
      </c>
    </row>
    <row r="870" spans="1:6" x14ac:dyDescent="0.2">
      <c r="A870" s="61">
        <v>43497</v>
      </c>
      <c r="B870" s="68">
        <f>VLOOKUP(Table2[[#This Row],[Date]],Database!A:E,2,)</f>
        <v>252.96899999999999</v>
      </c>
      <c r="C870" s="14">
        <f t="shared" si="26"/>
        <v>2.0915778340285119E-3</v>
      </c>
      <c r="D870" s="14">
        <f t="shared" si="27"/>
        <v>1.4717208182912084E-2</v>
      </c>
      <c r="E870" s="15">
        <f>VLOOKUP(Table2[[#This Row],[Date]],'Fed Fund New'!$A:$C,2,FALSE)</f>
        <v>2.5</v>
      </c>
      <c r="F870" s="15">
        <f>VLOOKUP(Table2[[#This Row],[Date]],'Fed Fund New'!$A:$C,3,FALSE)</f>
        <v>2.4</v>
      </c>
    </row>
    <row r="871" spans="1:6" x14ac:dyDescent="0.2">
      <c r="A871" s="61">
        <v>43525</v>
      </c>
      <c r="B871" s="68">
        <f>VLOOKUP(Table2[[#This Row],[Date]],Database!A:E,2,)</f>
        <v>254.14699999999999</v>
      </c>
      <c r="C871" s="14">
        <f t="shared" si="26"/>
        <v>4.6566970656483492E-3</v>
      </c>
      <c r="D871" s="14">
        <f t="shared" si="27"/>
        <v>1.8555849902010667E-2</v>
      </c>
      <c r="E871" s="15">
        <f>VLOOKUP(Table2[[#This Row],[Date]],'Fed Fund New'!$A:$C,2,FALSE)</f>
        <v>2.5</v>
      </c>
      <c r="F871" s="15">
        <f>VLOOKUP(Table2[[#This Row],[Date]],'Fed Fund New'!$A:$C,3,FALSE)</f>
        <v>2.41</v>
      </c>
    </row>
    <row r="872" spans="1:6" x14ac:dyDescent="0.2">
      <c r="A872" s="61">
        <v>43556</v>
      </c>
      <c r="B872" s="68">
        <f>VLOOKUP(Table2[[#This Row],[Date]],Database!A:E,2,)</f>
        <v>255.32599999999999</v>
      </c>
      <c r="C872" s="14">
        <f t="shared" si="26"/>
        <v>4.6390474803952126E-3</v>
      </c>
      <c r="D872" s="14">
        <f t="shared" si="27"/>
        <v>2.0181800019977974E-2</v>
      </c>
      <c r="E872" s="15">
        <f>VLOOKUP(Table2[[#This Row],[Date]],'Fed Fund New'!$A:$C,2,FALSE)</f>
        <v>2.5</v>
      </c>
      <c r="F872" s="15">
        <f>VLOOKUP(Table2[[#This Row],[Date]],'Fed Fund New'!$A:$C,3,FALSE)</f>
        <v>2.42</v>
      </c>
    </row>
    <row r="873" spans="1:6" x14ac:dyDescent="0.2">
      <c r="A873" s="61">
        <v>43586</v>
      </c>
      <c r="B873" s="68">
        <f>VLOOKUP(Table2[[#This Row],[Date]],Database!A:E,2,)</f>
        <v>255.37100000000001</v>
      </c>
      <c r="C873" s="14">
        <f t="shared" si="26"/>
        <v>1.7624527075196382E-4</v>
      </c>
      <c r="D873" s="14">
        <f t="shared" si="27"/>
        <v>1.8282519757881251E-2</v>
      </c>
      <c r="E873" s="15">
        <f>VLOOKUP(Table2[[#This Row],[Date]],'Fed Fund New'!$A:$C,2,FALSE)</f>
        <v>2.5</v>
      </c>
      <c r="F873" s="15">
        <f>VLOOKUP(Table2[[#This Row],[Date]],'Fed Fund New'!$A:$C,3,FALSE)</f>
        <v>2.39</v>
      </c>
    </row>
    <row r="874" spans="1:6" s="74" customFormat="1" x14ac:dyDescent="0.2">
      <c r="A874" s="61">
        <v>43617</v>
      </c>
      <c r="B874" s="68">
        <f>VLOOKUP(Table2[[#This Row],[Date]],Database!A:E,2,)</f>
        <v>255.423</v>
      </c>
      <c r="C874" s="14">
        <f t="shared" si="26"/>
        <v>2.0362531375916801E-4</v>
      </c>
      <c r="D874" s="14">
        <f t="shared" si="27"/>
        <v>1.7005638020003884E-2</v>
      </c>
      <c r="E874" s="15">
        <f>VLOOKUP(Table2[[#This Row],[Date]],'Fed Fund New'!$A:$C,2,FALSE)</f>
        <v>2.5</v>
      </c>
      <c r="F874" s="15">
        <f>VLOOKUP(Table2[[#This Row],[Date]],'Fed Fund New'!$A:$C,3,FALSE)</f>
        <v>2.38</v>
      </c>
    </row>
    <row r="875" spans="1:6" s="74" customFormat="1" x14ac:dyDescent="0.2">
      <c r="A875" s="61">
        <v>43647</v>
      </c>
      <c r="B875" s="68">
        <f>VLOOKUP(Table2[[#This Row],[Date]],Database!A:E,2,)</f>
        <v>255.92500000000001</v>
      </c>
      <c r="C875" s="14">
        <f t="shared" si="26"/>
        <v>1.9653672535363282E-3</v>
      </c>
      <c r="D875" s="14">
        <f t="shared" si="27"/>
        <v>1.822196582386764E-2</v>
      </c>
      <c r="E875" s="15">
        <f>VLOOKUP(Table2[[#This Row],[Date]],'Fed Fund New'!$A:$C,2,FALSE)</f>
        <v>2.5</v>
      </c>
      <c r="F875" s="15">
        <f>VLOOKUP(Table2[[#This Row],[Date]],'Fed Fund New'!$A:$C,3,FALSE)</f>
        <v>2.4</v>
      </c>
    </row>
    <row r="876" spans="1:6" s="74" customFormat="1" x14ac:dyDescent="0.2">
      <c r="A876" s="61">
        <v>43678</v>
      </c>
      <c r="B876" s="68">
        <f>VLOOKUP(Table2[[#This Row],[Date]],Database!A:E,2,)</f>
        <v>256.11799999999999</v>
      </c>
      <c r="C876" s="14">
        <f t="shared" si="26"/>
        <v>7.5412718569887126E-4</v>
      </c>
      <c r="D876" s="14">
        <f t="shared" si="27"/>
        <v>1.741116650445898E-2</v>
      </c>
      <c r="E876" s="15">
        <f>VLOOKUP(Table2[[#This Row],[Date]],'Fed Fund New'!$A:$C,2,FALSE)</f>
        <v>2.25</v>
      </c>
      <c r="F876" s="15">
        <f>VLOOKUP(Table2[[#This Row],[Date]],'Fed Fund New'!$A:$C,3,FALSE)</f>
        <v>2.13</v>
      </c>
    </row>
    <row r="877" spans="1:6" s="74" customFormat="1" x14ac:dyDescent="0.2">
      <c r="A877" s="61">
        <v>43709</v>
      </c>
      <c r="B877" s="68">
        <f>VLOOKUP(Table2[[#This Row],[Date]],Database!A:E,2,)</f>
        <v>256.53199999999998</v>
      </c>
      <c r="C877" s="14">
        <f t="shared" si="26"/>
        <v>1.6164424210714876E-3</v>
      </c>
      <c r="D877" s="14">
        <f t="shared" si="27"/>
        <v>1.724541305321925E-2</v>
      </c>
      <c r="E877" s="15">
        <f>VLOOKUP(Table2[[#This Row],[Date]],'Fed Fund New'!$A:$C,2,FALSE)</f>
        <v>2</v>
      </c>
      <c r="F877" s="15">
        <f>VLOOKUP(Table2[[#This Row],[Date]],'Fed Fund New'!$A:$C,3,FALSE)</f>
        <v>2.04</v>
      </c>
    </row>
    <row r="878" spans="1:6" s="74" customFormat="1" x14ac:dyDescent="0.2">
      <c r="A878" s="61">
        <v>43739</v>
      </c>
      <c r="B878" s="68">
        <f>VLOOKUP(Table2[[#This Row],[Date]],Database!A:E,2,)</f>
        <v>257.387</v>
      </c>
      <c r="C878" s="14">
        <f t="shared" si="26"/>
        <v>3.3329175307564682E-3</v>
      </c>
      <c r="D878" s="14">
        <f t="shared" si="27"/>
        <v>1.7746214892111079E-2</v>
      </c>
      <c r="E878" s="15">
        <f>VLOOKUP(Table2[[#This Row],[Date]],'Fed Fund New'!$A:$C,2,FALSE)</f>
        <v>1.75</v>
      </c>
      <c r="F878" s="15">
        <f>VLOOKUP(Table2[[#This Row],[Date]],'Fed Fund New'!$A:$C,3,FALSE)</f>
        <v>1.83</v>
      </c>
    </row>
    <row r="879" spans="1:6" s="74" customFormat="1" x14ac:dyDescent="0.2">
      <c r="A879" s="61">
        <v>43770</v>
      </c>
      <c r="B879" s="68">
        <f>VLOOKUP(Table2[[#This Row],[Date]],Database!A:E,2,)</f>
        <v>257.98899999999998</v>
      </c>
      <c r="C879" s="14">
        <f t="shared" si="26"/>
        <v>2.3388904645532814E-3</v>
      </c>
      <c r="D879" s="14">
        <f t="shared" si="27"/>
        <v>2.0437303715657551E-2</v>
      </c>
      <c r="E879" s="15">
        <f>VLOOKUP(Table2[[#This Row],[Date]],'Fed Fund New'!$A:$C,2,FALSE)</f>
        <v>1.75</v>
      </c>
      <c r="F879" s="15">
        <f>VLOOKUP(Table2[[#This Row],[Date]],'Fed Fund New'!$A:$C,3,FALSE)</f>
        <v>1.55</v>
      </c>
    </row>
    <row r="880" spans="1:6" s="74" customFormat="1" x14ac:dyDescent="0.2">
      <c r="A880" s="61">
        <v>43800</v>
      </c>
      <c r="B880" s="68">
        <f>VLOOKUP(Table2[[#This Row],[Date]],Database!A:E,2,)</f>
        <v>258.20299999999997</v>
      </c>
      <c r="C880" s="14">
        <f t="shared" si="26"/>
        <v>8.2949273031020178E-4</v>
      </c>
      <c r="D880" s="14">
        <f t="shared" si="27"/>
        <v>2.2614488322448462E-2</v>
      </c>
      <c r="E880" s="15">
        <f>VLOOKUP(Table2[[#This Row],[Date]],'Fed Fund New'!$A:$C,2,FALSE)</f>
        <v>1.75</v>
      </c>
      <c r="F880" s="15">
        <f>VLOOKUP(Table2[[#This Row],[Date]],'Fed Fund New'!$A:$C,3,FALSE)</f>
        <v>1.55</v>
      </c>
    </row>
    <row r="881" spans="1:6" s="74" customFormat="1" x14ac:dyDescent="0.2">
      <c r="A881" s="61">
        <v>43831</v>
      </c>
      <c r="B881" s="68">
        <f>VLOOKUP(Table2[[#This Row],[Date]],Database!A:E,2,)</f>
        <v>258.68700000000001</v>
      </c>
      <c r="C881" s="14">
        <f t="shared" si="26"/>
        <v>1.8744940996039447E-3</v>
      </c>
      <c r="D881" s="14">
        <f t="shared" si="27"/>
        <v>2.474241505936044E-2</v>
      </c>
      <c r="E881" s="15">
        <f>VLOOKUP(Table2[[#This Row],[Date]],'Fed Fund New'!$A:$C,2,FALSE)</f>
        <v>1.75</v>
      </c>
      <c r="F881" s="15">
        <f>VLOOKUP(Table2[[#This Row],[Date]],'Fed Fund New'!$A:$C,3,FALSE)</f>
        <v>1.55</v>
      </c>
    </row>
    <row r="882" spans="1:6" s="74" customFormat="1" x14ac:dyDescent="0.2">
      <c r="A882" s="61">
        <v>43862</v>
      </c>
      <c r="B882" s="68">
        <f>VLOOKUP(Table2[[#This Row],[Date]],Database!A:E,2,)</f>
        <v>258.82400000000001</v>
      </c>
      <c r="C882" s="14">
        <f t="shared" si="26"/>
        <v>5.2959754452291941E-4</v>
      </c>
      <c r="D882" s="14">
        <f t="shared" si="27"/>
        <v>2.3145128454474733E-2</v>
      </c>
      <c r="E882" s="15">
        <f>VLOOKUP(Table2[[#This Row],[Date]],'Fed Fund New'!$A:$C,2,FALSE)</f>
        <v>1.75</v>
      </c>
      <c r="F882" s="15">
        <f>VLOOKUP(Table2[[#This Row],[Date]],'Fed Fund New'!$A:$C,3,FALSE)</f>
        <v>1.58</v>
      </c>
    </row>
    <row r="883" spans="1:6" s="74" customFormat="1" x14ac:dyDescent="0.2">
      <c r="A883" s="61">
        <v>43891</v>
      </c>
      <c r="B883" s="68">
        <f>VLOOKUP(Table2[[#This Row],[Date]],Database!A:E,2,)</f>
        <v>257.98899999999998</v>
      </c>
      <c r="C883" s="14">
        <f t="shared" si="26"/>
        <v>-3.2261304979446896E-3</v>
      </c>
      <c r="D883" s="14">
        <f t="shared" si="27"/>
        <v>1.5117235300829774E-2</v>
      </c>
      <c r="E883" s="15">
        <f>VLOOKUP(Table2[[#This Row],[Date]],'Fed Fund New'!$A:$C,2,FALSE)</f>
        <v>0.25</v>
      </c>
      <c r="F883" s="15">
        <f>VLOOKUP(Table2[[#This Row],[Date]],'Fed Fund New'!$A:$C,3,FALSE)</f>
        <v>0.65</v>
      </c>
    </row>
    <row r="884" spans="1:6" s="74" customFormat="1" x14ac:dyDescent="0.2">
      <c r="A884" s="61">
        <v>43922</v>
      </c>
      <c r="B884" s="68">
        <f>VLOOKUP(Table2[[#This Row],[Date]],Database!A:E,2,)</f>
        <v>256.19200000000001</v>
      </c>
      <c r="C884" s="14">
        <f t="shared" si="26"/>
        <v>-6.9654132540533462E-3</v>
      </c>
      <c r="D884" s="14">
        <f t="shared" si="27"/>
        <v>3.3917423215810922E-3</v>
      </c>
      <c r="E884" s="15">
        <f>VLOOKUP(Table2[[#This Row],[Date]],'Fed Fund New'!$A:$C,2,FALSE)</f>
        <v>0.25</v>
      </c>
      <c r="F884" s="15">
        <f>VLOOKUP(Table2[[#This Row],[Date]],'Fed Fund New'!$A:$C,3,FALSE)</f>
        <v>0.05</v>
      </c>
    </row>
    <row r="885" spans="1:6" s="74" customFormat="1" x14ac:dyDescent="0.2">
      <c r="A885" s="61">
        <v>43952</v>
      </c>
      <c r="B885" s="68">
        <f>VLOOKUP(Table2[[#This Row],[Date]],Database!A:E,2,)</f>
        <v>255.94200000000001</v>
      </c>
      <c r="C885" s="14">
        <f t="shared" si="26"/>
        <v>-9.7583062702972763E-4</v>
      </c>
      <c r="D885" s="14">
        <f t="shared" si="27"/>
        <v>2.2359625799327171E-3</v>
      </c>
      <c r="E885" s="15">
        <f>VLOOKUP(Table2[[#This Row],[Date]],'Fed Fund New'!$A:$C,2,FALSE)</f>
        <v>0.25</v>
      </c>
      <c r="F885" s="15">
        <f>VLOOKUP(Table2[[#This Row],[Date]],'Fed Fund New'!$A:$C,3,FALSE)</f>
        <v>0.05</v>
      </c>
    </row>
    <row r="886" spans="1:6" s="74" customFormat="1" x14ac:dyDescent="0.2">
      <c r="A886" s="61">
        <v>43983</v>
      </c>
      <c r="B886" s="68">
        <f>VLOOKUP(Table2[[#This Row],[Date]],Database!A:E,2,)</f>
        <v>257.28199999999998</v>
      </c>
      <c r="C886" s="14">
        <f t="shared" si="26"/>
        <v>5.2355611818301609E-3</v>
      </c>
      <c r="D886" s="14">
        <f t="shared" si="27"/>
        <v>7.2781229568205695E-3</v>
      </c>
      <c r="E886" s="15">
        <f>VLOOKUP(Table2[[#This Row],[Date]],'Fed Fund New'!$A:$C,2,FALSE)</f>
        <v>0.25</v>
      </c>
      <c r="F886" s="15">
        <f>VLOOKUP(Table2[[#This Row],[Date]],'Fed Fund New'!$A:$C,3,FALSE)</f>
        <v>0.08</v>
      </c>
    </row>
    <row r="887" spans="1:6" s="74" customFormat="1" x14ac:dyDescent="0.2">
      <c r="A887" s="61">
        <v>44013</v>
      </c>
      <c r="B887" s="68">
        <f>VLOOKUP(Table2[[#This Row],[Date]],Database!A:E,2,)</f>
        <v>258.60399999999998</v>
      </c>
      <c r="C887" s="14">
        <f t="shared" si="26"/>
        <v>5.1383307032750163E-3</v>
      </c>
      <c r="D887" s="14">
        <f t="shared" si="27"/>
        <v>1.0467910520660246E-2</v>
      </c>
      <c r="E887" s="15">
        <f>VLOOKUP(Table2[[#This Row],[Date]],'Fed Fund New'!$A:$C,2,FALSE)</f>
        <v>0.25</v>
      </c>
      <c r="F887" s="15">
        <f>VLOOKUP(Table2[[#This Row],[Date]],'Fed Fund New'!$A:$C,3,FALSE)</f>
        <v>0.09</v>
      </c>
    </row>
    <row r="888" spans="1:6" s="74" customFormat="1" x14ac:dyDescent="0.2">
      <c r="A888" s="61">
        <v>44044</v>
      </c>
      <c r="B888" s="68">
        <f>VLOOKUP(Table2[[#This Row],[Date]],Database!A:E,2,)</f>
        <v>259.51100000000002</v>
      </c>
      <c r="C888" s="14">
        <f t="shared" si="26"/>
        <v>3.5072930039753412E-3</v>
      </c>
      <c r="D888" s="14">
        <f t="shared" si="27"/>
        <v>1.3247799842260322E-2</v>
      </c>
      <c r="E888" s="15">
        <f>VLOOKUP(Table2[[#This Row],[Date]],'Fed Fund New'!$A:$C,2,FALSE)</f>
        <v>0.25</v>
      </c>
      <c r="F888" s="15">
        <f>VLOOKUP(Table2[[#This Row],[Date]],'Fed Fund New'!$A:$C,3,FALSE)</f>
        <v>0.1</v>
      </c>
    </row>
    <row r="889" spans="1:6" s="74" customFormat="1" x14ac:dyDescent="0.2">
      <c r="A889" s="61">
        <v>44075</v>
      </c>
      <c r="B889" s="68">
        <f>VLOOKUP(Table2[[#This Row],[Date]],Database!A:E,2,)</f>
        <v>260.149</v>
      </c>
      <c r="C889" s="14">
        <f t="shared" si="26"/>
        <v>2.4584699685176225E-3</v>
      </c>
      <c r="D889" s="14">
        <f t="shared" si="27"/>
        <v>1.4099605507305206E-2</v>
      </c>
      <c r="E889" s="15">
        <f>VLOOKUP(Table2[[#This Row],[Date]],'Fed Fund New'!$A:$C,2,FALSE)</f>
        <v>0.25</v>
      </c>
      <c r="F889" s="15">
        <f>VLOOKUP(Table2[[#This Row],[Date]],'Fed Fund New'!$A:$C,3,FALSE)</f>
        <v>0.09</v>
      </c>
    </row>
    <row r="890" spans="1:6" s="74" customFormat="1" x14ac:dyDescent="0.2">
      <c r="A890" s="61">
        <v>44105</v>
      </c>
      <c r="B890" s="68">
        <f>VLOOKUP(Table2[[#This Row],[Date]],Database!A:E,2,)</f>
        <v>260.46199999999999</v>
      </c>
      <c r="C890" s="14">
        <f t="shared" si="26"/>
        <v>1.2031566525336948E-3</v>
      </c>
      <c r="D890" s="14">
        <f t="shared" si="27"/>
        <v>1.1946990329736888E-2</v>
      </c>
      <c r="E890" s="15">
        <f>VLOOKUP(Table2[[#This Row],[Date]],'Fed Fund New'!$A:$C,2,FALSE)</f>
        <v>0.25</v>
      </c>
      <c r="F890" s="15">
        <f>VLOOKUP(Table2[[#This Row],[Date]],'Fed Fund New'!$A:$C,3,FALSE)</f>
        <v>0.09</v>
      </c>
    </row>
    <row r="891" spans="1:6" s="74" customFormat="1" x14ac:dyDescent="0.2">
      <c r="A891" s="61">
        <v>44136</v>
      </c>
      <c r="B891" s="68">
        <f>VLOOKUP(Table2[[#This Row],[Date]],Database!A:E,2,)</f>
        <v>260.92700000000002</v>
      </c>
      <c r="C891" s="14">
        <f t="shared" si="26"/>
        <v>1.7852892168532526E-3</v>
      </c>
      <c r="D891" s="14">
        <f t="shared" si="27"/>
        <v>1.1388082437623485E-2</v>
      </c>
      <c r="E891" s="15">
        <f>VLOOKUP(Table2[[#This Row],[Date]],'Fed Fund New'!$A:$C,2,FALSE)</f>
        <v>0.25</v>
      </c>
      <c r="F891" s="15">
        <f>VLOOKUP(Table2[[#This Row],[Date]],'Fed Fund New'!$A:$C,3,FALSE)</f>
        <v>0.09</v>
      </c>
    </row>
    <row r="892" spans="1:6" s="74" customFormat="1" x14ac:dyDescent="0.2">
      <c r="A892" s="61">
        <v>44166</v>
      </c>
      <c r="B892" s="68">
        <f>VLOOKUP(Table2[[#This Row],[Date]],Database!A:E,2,)</f>
        <v>261.56</v>
      </c>
      <c r="C892" s="14">
        <f t="shared" si="26"/>
        <v>2.4259658831779821E-3</v>
      </c>
      <c r="D892" s="14">
        <f t="shared" si="27"/>
        <v>1.3001398124731424E-2</v>
      </c>
      <c r="E892" s="15">
        <f>VLOOKUP(Table2[[#This Row],[Date]],'Fed Fund New'!$A:$C,2,FALSE)</f>
        <v>0.25</v>
      </c>
      <c r="F892" s="15">
        <f>VLOOKUP(Table2[[#This Row],[Date]],'Fed Fund New'!$A:$C,3,FALSE)</f>
        <v>0.09</v>
      </c>
    </row>
    <row r="893" spans="1:6" s="74" customFormat="1" x14ac:dyDescent="0.2">
      <c r="A893" s="61">
        <v>44197</v>
      </c>
      <c r="B893" s="68">
        <f>VLOOKUP(Table2[[#This Row],[Date]],Database!A:E,2,)</f>
        <v>262.23099999999999</v>
      </c>
      <c r="C893" s="14">
        <f t="shared" si="26"/>
        <v>2.5653769689554682E-3</v>
      </c>
      <c r="D893" s="14">
        <f t="shared" si="27"/>
        <v>1.3699953998461394E-2</v>
      </c>
      <c r="E893" s="15">
        <f>VLOOKUP(Table2[[#This Row],[Date]],'Fed Fund New'!$A:$C,2,FALSE)</f>
        <v>0.25</v>
      </c>
      <c r="F893" s="15">
        <f>VLOOKUP(Table2[[#This Row],[Date]],'Fed Fund New'!$A:$C,3,FALSE)</f>
        <v>0.09</v>
      </c>
    </row>
    <row r="894" spans="1:6" s="74" customFormat="1" x14ac:dyDescent="0.2">
      <c r="A894" s="61">
        <v>44228</v>
      </c>
      <c r="B894" s="68">
        <f>VLOOKUP(Table2[[#This Row],[Date]],Database!A:E,2,)</f>
        <v>263.161</v>
      </c>
      <c r="C894" s="14">
        <f t="shared" si="26"/>
        <v>3.5464914521929399E-3</v>
      </c>
      <c r="D894" s="14">
        <f t="shared" si="27"/>
        <v>1.6756560442617335E-2</v>
      </c>
      <c r="E894" s="15">
        <f>VLOOKUP(Table2[[#This Row],[Date]],'Fed Fund New'!$A:$C,2,FALSE)</f>
        <v>0.25</v>
      </c>
      <c r="F894" s="15">
        <f>VLOOKUP(Table2[[#This Row],[Date]],'Fed Fund New'!$A:$C,3,FALSE)</f>
        <v>0.08</v>
      </c>
    </row>
    <row r="895" spans="1:6" s="74" customFormat="1" x14ac:dyDescent="0.2">
      <c r="A895" s="61">
        <v>44256</v>
      </c>
      <c r="B895" s="68">
        <f>VLOOKUP(Table2[[#This Row],[Date]],Database!A:E,2,)</f>
        <v>264.79300000000001</v>
      </c>
      <c r="C895" s="14">
        <f t="shared" si="26"/>
        <v>6.2015268219835192E-3</v>
      </c>
      <c r="D895" s="14">
        <f t="shared" si="27"/>
        <v>2.6373217462760161E-2</v>
      </c>
      <c r="E895" s="15">
        <f>VLOOKUP(Table2[[#This Row],[Date]],'Fed Fund New'!$A:$C,2,FALSE)</f>
        <v>0.25</v>
      </c>
      <c r="F895" s="15">
        <f>VLOOKUP(Table2[[#This Row],[Date]],'Fed Fund New'!$A:$C,3,FALSE)</f>
        <v>7.0000000000000007E-2</v>
      </c>
    </row>
    <row r="896" spans="1:6" s="74" customFormat="1" x14ac:dyDescent="0.2">
      <c r="A896" s="61">
        <v>44287</v>
      </c>
      <c r="B896" s="68">
        <f>VLOOKUP(Table2[[#This Row],[Date]],Database!A:E,2,)</f>
        <v>266.83199999999999</v>
      </c>
      <c r="C896" s="14">
        <f t="shared" si="26"/>
        <v>7.7003546166250136E-3</v>
      </c>
      <c r="D896" s="14">
        <f t="shared" si="27"/>
        <v>4.1531351486385155E-2</v>
      </c>
      <c r="E896" s="15">
        <f>VLOOKUP(Table2[[#This Row],[Date]],'Fed Fund New'!$A:$C,2,FALSE)</f>
        <v>0.25</v>
      </c>
      <c r="F896" s="15">
        <f>VLOOKUP(Table2[[#This Row],[Date]],'Fed Fund New'!$A:$C,3,FALSE)</f>
        <v>7.0000000000000007E-2</v>
      </c>
    </row>
    <row r="897" spans="1:6" s="74" customFormat="1" x14ac:dyDescent="0.2">
      <c r="A897" s="61">
        <v>44317</v>
      </c>
      <c r="B897" s="68">
        <f>VLOOKUP(Table2[[#This Row],[Date]],Database!A:E,2,)</f>
        <v>268.55099999999999</v>
      </c>
      <c r="C897" s="14">
        <f t="shared" si="26"/>
        <v>6.442255801403108E-3</v>
      </c>
      <c r="D897" s="14">
        <f t="shared" si="27"/>
        <v>4.9265067866938524E-2</v>
      </c>
      <c r="E897" s="15">
        <f>VLOOKUP(Table2[[#This Row],[Date]],'Fed Fund New'!$A:$C,2,FALSE)</f>
        <v>0.25</v>
      </c>
      <c r="F897" s="15">
        <f>VLOOKUP(Table2[[#This Row],[Date]],'Fed Fund New'!$A:$C,3,FALSE)</f>
        <v>0.06</v>
      </c>
    </row>
    <row r="898" spans="1:6" s="74" customFormat="1" x14ac:dyDescent="0.2">
      <c r="A898" s="61">
        <v>44348</v>
      </c>
      <c r="B898" s="68">
        <f>VLOOKUP(Table2[[#This Row],[Date]],Database!A:E,2,)</f>
        <v>270.98099999999999</v>
      </c>
      <c r="C898" s="14">
        <f t="shared" si="26"/>
        <v>9.04856060859951E-3</v>
      </c>
      <c r="D898" s="14">
        <f t="shared" si="27"/>
        <v>5.3245077385903457E-2</v>
      </c>
      <c r="E898" s="15">
        <f>VLOOKUP(Table2[[#This Row],[Date]],'Fed Fund New'!$A:$C,2,FALSE)</f>
        <v>0.25</v>
      </c>
      <c r="F898" s="15">
        <f>VLOOKUP(Table2[[#This Row],[Date]],'Fed Fund New'!$A:$C,3,FALSE)</f>
        <v>0.08</v>
      </c>
    </row>
    <row r="899" spans="1:6" s="74" customFormat="1" x14ac:dyDescent="0.2">
      <c r="A899" s="61">
        <v>44378</v>
      </c>
      <c r="B899" s="68">
        <f>VLOOKUP(Table2[[#This Row],[Date]],Database!A:E,2,)</f>
        <v>272.26499999999999</v>
      </c>
      <c r="C899" s="14">
        <f t="shared" si="26"/>
        <v>4.7383395883843953E-3</v>
      </c>
      <c r="D899" s="14">
        <f t="shared" si="27"/>
        <v>5.282594236748079E-2</v>
      </c>
      <c r="E899" s="15">
        <f>VLOOKUP(Table2[[#This Row],[Date]],'Fed Fund New'!$A:$C,2,FALSE)</f>
        <v>0.25</v>
      </c>
      <c r="F899" s="15">
        <f>VLOOKUP(Table2[[#This Row],[Date]],'Fed Fund New'!$A:$C,3,FALSE)</f>
        <v>0.1</v>
      </c>
    </row>
    <row r="900" spans="1:6" s="74" customFormat="1" x14ac:dyDescent="0.2">
      <c r="A900" s="61">
        <v>44409</v>
      </c>
      <c r="B900" s="68">
        <f>VLOOKUP(Table2[[#This Row],[Date]],Database!A:E,2,)</f>
        <v>273.012</v>
      </c>
      <c r="C900" s="14">
        <f t="shared" si="26"/>
        <v>2.7436504875764942E-3</v>
      </c>
      <c r="D900" s="14">
        <f t="shared" si="27"/>
        <v>5.20247696629429E-2</v>
      </c>
      <c r="E900" s="15">
        <f>VLOOKUP(Table2[[#This Row],[Date]],'Fed Fund New'!$A:$C,2,FALSE)</f>
        <v>0.25</v>
      </c>
      <c r="F900" s="15">
        <f>VLOOKUP(Table2[[#This Row],[Date]],'Fed Fund New'!$A:$C,3,FALSE)</f>
        <v>0.09</v>
      </c>
    </row>
    <row r="901" spans="1:6" s="74" customFormat="1" x14ac:dyDescent="0.2">
      <c r="A901" s="61">
        <v>44440</v>
      </c>
      <c r="B901" s="68">
        <f>VLOOKUP(Table2[[#This Row],[Date]],Database!A:E,2,)</f>
        <v>274.13799999999998</v>
      </c>
      <c r="C901" s="14">
        <f t="shared" si="26"/>
        <v>4.12436083395593E-3</v>
      </c>
      <c r="D901" s="14">
        <f t="shared" si="27"/>
        <v>5.3773030071228321E-2</v>
      </c>
      <c r="E901" s="15">
        <f>VLOOKUP(Table2[[#This Row],[Date]],'Fed Fund New'!$A:$C,2,FALSE)</f>
        <v>0.25</v>
      </c>
      <c r="F901" s="15">
        <f>VLOOKUP(Table2[[#This Row],[Date]],'Fed Fund New'!$A:$C,3,FALSE)</f>
        <v>0.08</v>
      </c>
    </row>
    <row r="902" spans="1:6" s="74" customFormat="1" x14ac:dyDescent="0.2">
      <c r="A902" s="61">
        <v>44470</v>
      </c>
      <c r="B902" s="68">
        <f>VLOOKUP(Table2[[#This Row],[Date]],Database!A:E,2,)</f>
        <v>276.72399999999999</v>
      </c>
      <c r="C902" s="14">
        <f t="shared" ref="C902:C904" si="28">(B902-B901)/B901</f>
        <v>9.4332051740364815E-3</v>
      </c>
      <c r="D902" s="14">
        <f t="shared" si="27"/>
        <v>6.2435211278420659E-2</v>
      </c>
      <c r="E902" s="15">
        <f>VLOOKUP(Table2[[#This Row],[Date]],'Fed Fund New'!$A:$C,2,FALSE)</f>
        <v>0.25</v>
      </c>
      <c r="F902" s="15">
        <f>VLOOKUP(Table2[[#This Row],[Date]],'Fed Fund New'!$A:$C,3,FALSE)</f>
        <v>0.08</v>
      </c>
    </row>
    <row r="903" spans="1:6" s="74" customFormat="1" x14ac:dyDescent="0.2">
      <c r="A903" s="61">
        <v>44501</v>
      </c>
      <c r="B903" s="68">
        <f>VLOOKUP(Table2[[#This Row],[Date]],Database!A:E,2,)</f>
        <v>278.88</v>
      </c>
      <c r="C903" s="14">
        <f t="shared" si="28"/>
        <v>7.7911565314176074E-3</v>
      </c>
      <c r="D903" s="14">
        <f t="shared" si="27"/>
        <v>6.8804684835222008E-2</v>
      </c>
      <c r="E903" s="15">
        <f>VLOOKUP(Table2[[#This Row],[Date]],'Fed Fund New'!$A:$C,2,FALSE)</f>
        <v>0.25</v>
      </c>
      <c r="F903" s="15">
        <f>VLOOKUP(Table2[[#This Row],[Date]],'Fed Fund New'!$A:$C,3,FALSE)</f>
        <v>0.08</v>
      </c>
    </row>
    <row r="904" spans="1:6" s="74" customFormat="1" x14ac:dyDescent="0.2">
      <c r="A904" s="61">
        <v>44531</v>
      </c>
      <c r="B904" s="68">
        <f>VLOOKUP(Table2[[#This Row],[Date]],Database!A:E,2,)</f>
        <v>280.19200000000001</v>
      </c>
      <c r="C904" s="14">
        <f t="shared" si="28"/>
        <v>4.7045324153758309E-3</v>
      </c>
      <c r="D904" s="14">
        <f t="shared" ref="D904" si="29">(B904-B892)/B892</f>
        <v>7.1234133659580992E-2</v>
      </c>
      <c r="E904" s="15">
        <f>VLOOKUP(Table2[[#This Row],[Date]],'Fed Fund New'!$A:$C,2,FALSE)</f>
        <v>0.25</v>
      </c>
      <c r="F904" s="15">
        <f>VLOOKUP(Table2[[#This Row],[Date]],'Fed Fund New'!$A:$C,3,FALSE)</f>
        <v>0.08</v>
      </c>
    </row>
    <row r="905" spans="1:6" s="74" customFormat="1" x14ac:dyDescent="0.2">
      <c r="A905" s="2"/>
      <c r="B905" s="64"/>
      <c r="C905" s="2"/>
      <c r="D905" s="2"/>
      <c r="E905" s="5"/>
      <c r="F905" s="5"/>
    </row>
    <row r="906" spans="1:6" s="74" customFormat="1" x14ac:dyDescent="0.2">
      <c r="A906" s="2"/>
      <c r="B906" s="64"/>
      <c r="C906" s="2"/>
      <c r="D906" s="2"/>
      <c r="E906" s="5"/>
      <c r="F906" s="5"/>
    </row>
    <row r="907" spans="1:6" s="74" customFormat="1" x14ac:dyDescent="0.2">
      <c r="A907" s="2"/>
      <c r="B907" s="64"/>
      <c r="C907" s="2"/>
      <c r="D907" s="2"/>
      <c r="E907" s="5"/>
      <c r="F907" s="5"/>
    </row>
    <row r="908" spans="1:6" s="74" customFormat="1" x14ac:dyDescent="0.2">
      <c r="A908" s="2"/>
      <c r="B908" s="64"/>
      <c r="C908" s="2"/>
      <c r="D908" s="2"/>
      <c r="E908" s="5"/>
      <c r="F908" s="5"/>
    </row>
    <row r="909" spans="1:6" s="74" customFormat="1" x14ac:dyDescent="0.2">
      <c r="A909" s="2"/>
      <c r="B909" s="64"/>
      <c r="C909" s="2"/>
      <c r="D909" s="2"/>
      <c r="E909" s="5"/>
      <c r="F909" s="5"/>
    </row>
    <row r="910" spans="1:6" s="74" customFormat="1" x14ac:dyDescent="0.2">
      <c r="A910" s="2"/>
      <c r="B910" s="64"/>
      <c r="C910" s="2"/>
      <c r="D910" s="2"/>
      <c r="E910" s="5"/>
      <c r="F910" s="5"/>
    </row>
    <row r="911" spans="1:6" s="74" customFormat="1" x14ac:dyDescent="0.2">
      <c r="A911" s="2"/>
      <c r="B911" s="64"/>
      <c r="C911" s="2"/>
      <c r="D911" s="2"/>
      <c r="E911" s="5"/>
      <c r="F911" s="5"/>
    </row>
    <row r="912" spans="1:6" s="74" customFormat="1" x14ac:dyDescent="0.2">
      <c r="A912" s="2"/>
      <c r="B912" s="64"/>
      <c r="C912" s="2"/>
      <c r="D912" s="2"/>
      <c r="E912" s="5"/>
      <c r="F912" s="5"/>
    </row>
    <row r="913" spans="1:6" s="74" customFormat="1" x14ac:dyDescent="0.2">
      <c r="A913" s="2"/>
      <c r="B913" s="64"/>
      <c r="C913" s="2"/>
      <c r="D913" s="2"/>
      <c r="E913" s="5"/>
      <c r="F913" s="5"/>
    </row>
    <row r="914" spans="1:6" s="74" customFormat="1" x14ac:dyDescent="0.2">
      <c r="A914" s="2"/>
      <c r="B914" s="64"/>
      <c r="C914" s="2"/>
      <c r="D914" s="2"/>
      <c r="E914" s="5"/>
      <c r="F914" s="5"/>
    </row>
    <row r="915" spans="1:6" s="74" customFormat="1" x14ac:dyDescent="0.2">
      <c r="A915" s="2"/>
      <c r="B915" s="64"/>
      <c r="C915" s="2"/>
      <c r="D915" s="2"/>
      <c r="E915" s="5"/>
      <c r="F915" s="5"/>
    </row>
    <row r="916" spans="1:6" s="74" customFormat="1" x14ac:dyDescent="0.2">
      <c r="A916" s="2"/>
      <c r="B916" s="64"/>
      <c r="C916" s="2"/>
      <c r="D916" s="2"/>
      <c r="E916" s="5"/>
      <c r="F916" s="5"/>
    </row>
    <row r="917" spans="1:6" s="74" customFormat="1" x14ac:dyDescent="0.2">
      <c r="A917" s="2"/>
      <c r="B917" s="64"/>
      <c r="C917" s="2"/>
      <c r="D917" s="2"/>
      <c r="E917" s="5"/>
      <c r="F917" s="5"/>
    </row>
    <row r="918" spans="1:6" s="74" customFormat="1" x14ac:dyDescent="0.2">
      <c r="A918" s="2"/>
      <c r="B918" s="64"/>
      <c r="C918" s="2"/>
      <c r="D918" s="2"/>
      <c r="E918" s="5"/>
      <c r="F918" s="5"/>
    </row>
    <row r="919" spans="1:6" s="74" customFormat="1" x14ac:dyDescent="0.2">
      <c r="A919" s="2"/>
      <c r="B919" s="64"/>
      <c r="C919" s="2"/>
      <c r="D919" s="2"/>
      <c r="E919" s="5"/>
      <c r="F919" s="5"/>
    </row>
    <row r="920" spans="1:6" s="74" customFormat="1" x14ac:dyDescent="0.2">
      <c r="A920" s="2"/>
      <c r="B920" s="64"/>
      <c r="C920" s="2"/>
      <c r="D920" s="2"/>
      <c r="E920" s="5"/>
      <c r="F920" s="5"/>
    </row>
    <row r="921" spans="1:6" s="74" customFormat="1" x14ac:dyDescent="0.2">
      <c r="A921" s="2"/>
      <c r="B921" s="64"/>
      <c r="C921" s="2"/>
      <c r="D921" s="2"/>
      <c r="E921" s="5"/>
      <c r="F921" s="5"/>
    </row>
    <row r="922" spans="1:6" s="74" customFormat="1" x14ac:dyDescent="0.2">
      <c r="A922" s="2"/>
      <c r="B922" s="64"/>
      <c r="C922" s="2"/>
      <c r="D922" s="2"/>
      <c r="E922" s="5"/>
      <c r="F922" s="5"/>
    </row>
    <row r="923" spans="1:6" s="74" customFormat="1" x14ac:dyDescent="0.2">
      <c r="A923" s="2"/>
      <c r="B923" s="64"/>
      <c r="C923" s="2"/>
      <c r="D923" s="2"/>
      <c r="E923" s="5"/>
      <c r="F923" s="5"/>
    </row>
    <row r="924" spans="1:6" s="74" customFormat="1" x14ac:dyDescent="0.2">
      <c r="A924" s="2"/>
      <c r="B924" s="64"/>
      <c r="C924" s="2"/>
      <c r="D924" s="2"/>
      <c r="E924" s="5"/>
      <c r="F924" s="5"/>
    </row>
    <row r="925" spans="1:6" s="74" customFormat="1" x14ac:dyDescent="0.2">
      <c r="A925" s="2"/>
      <c r="B925" s="64"/>
      <c r="C925" s="2"/>
      <c r="D925" s="2"/>
      <c r="E925" s="5"/>
      <c r="F925" s="5"/>
    </row>
    <row r="926" spans="1:6" s="74" customFormat="1" x14ac:dyDescent="0.2">
      <c r="A926" s="2"/>
      <c r="B926" s="64"/>
      <c r="C926" s="2"/>
      <c r="D926" s="2"/>
      <c r="E926" s="5"/>
      <c r="F926" s="5"/>
    </row>
    <row r="927" spans="1:6" s="74" customFormat="1" x14ac:dyDescent="0.2">
      <c r="A927" s="2"/>
      <c r="B927" s="64"/>
      <c r="C927" s="2"/>
      <c r="D927" s="2"/>
      <c r="E927" s="5"/>
      <c r="F927" s="5"/>
    </row>
    <row r="928" spans="1:6" s="74" customFormat="1" x14ac:dyDescent="0.2">
      <c r="A928" s="2"/>
      <c r="B928" s="64"/>
      <c r="C928" s="2"/>
      <c r="D928" s="2"/>
      <c r="E928" s="5"/>
      <c r="F928" s="5"/>
    </row>
    <row r="929" spans="1:6" s="74" customFormat="1" x14ac:dyDescent="0.2">
      <c r="A929" s="2"/>
      <c r="B929" s="64"/>
      <c r="C929" s="2"/>
      <c r="D929" s="2"/>
      <c r="E929" s="5"/>
      <c r="F929" s="5"/>
    </row>
    <row r="930" spans="1:6" s="74" customFormat="1" x14ac:dyDescent="0.2">
      <c r="A930" s="2"/>
      <c r="B930" s="64"/>
      <c r="C930" s="2"/>
      <c r="D930" s="2"/>
      <c r="E930" s="5"/>
      <c r="F930" s="5"/>
    </row>
    <row r="931" spans="1:6" s="74" customFormat="1" x14ac:dyDescent="0.2">
      <c r="A931" s="2"/>
      <c r="B931" s="64"/>
      <c r="C931" s="2"/>
      <c r="D931" s="2"/>
      <c r="E931" s="5"/>
      <c r="F931" s="5"/>
    </row>
    <row r="932" spans="1:6" s="74" customFormat="1" x14ac:dyDescent="0.2">
      <c r="A932" s="2"/>
      <c r="B932" s="64"/>
      <c r="C932" s="2"/>
      <c r="D932" s="2"/>
      <c r="E932" s="5"/>
      <c r="F932" s="5"/>
    </row>
    <row r="933" spans="1:6" s="74" customFormat="1" x14ac:dyDescent="0.2">
      <c r="A933" s="2"/>
      <c r="B933" s="64"/>
      <c r="C933" s="2"/>
      <c r="D933" s="2"/>
      <c r="E933" s="5"/>
      <c r="F933" s="5"/>
    </row>
    <row r="934" spans="1:6" s="74" customFormat="1" x14ac:dyDescent="0.2">
      <c r="A934" s="2"/>
      <c r="B934" s="64"/>
      <c r="C934" s="2"/>
      <c r="D934" s="2"/>
      <c r="E934" s="5"/>
      <c r="F934" s="5"/>
    </row>
    <row r="935" spans="1:6" s="74" customFormat="1" x14ac:dyDescent="0.2">
      <c r="A935" s="2"/>
      <c r="B935" s="64"/>
      <c r="C935" s="2"/>
      <c r="D935" s="2"/>
      <c r="E935" s="5"/>
      <c r="F935" s="5"/>
    </row>
    <row r="936" spans="1:6" s="74" customFormat="1" x14ac:dyDescent="0.2">
      <c r="A936" s="2"/>
      <c r="B936" s="64"/>
      <c r="C936" s="2"/>
      <c r="D936" s="2"/>
      <c r="E936" s="5"/>
      <c r="F936" s="5"/>
    </row>
    <row r="937" spans="1:6" s="74" customFormat="1" x14ac:dyDescent="0.2">
      <c r="A937" s="2"/>
      <c r="B937" s="64"/>
      <c r="C937" s="2"/>
      <c r="D937" s="2"/>
      <c r="E937" s="5"/>
      <c r="F937" s="5"/>
    </row>
    <row r="938" spans="1:6" s="74" customFormat="1" x14ac:dyDescent="0.2">
      <c r="A938" s="2"/>
      <c r="B938" s="64"/>
      <c r="C938" s="2"/>
      <c r="D938" s="2"/>
      <c r="E938" s="5"/>
      <c r="F938" s="5"/>
    </row>
    <row r="939" spans="1:6" s="74" customFormat="1" x14ac:dyDescent="0.2">
      <c r="A939" s="2"/>
      <c r="B939" s="64"/>
      <c r="C939" s="2"/>
      <c r="D939" s="2"/>
      <c r="E939" s="5"/>
      <c r="F939" s="5"/>
    </row>
    <row r="940" spans="1:6" s="74" customFormat="1" x14ac:dyDescent="0.2">
      <c r="A940" s="2"/>
      <c r="B940" s="64"/>
      <c r="C940" s="2"/>
      <c r="D940" s="2"/>
      <c r="E940" s="5"/>
      <c r="F940" s="5"/>
    </row>
    <row r="941" spans="1:6" s="74" customFormat="1" x14ac:dyDescent="0.2">
      <c r="A941" s="2"/>
      <c r="B941" s="64"/>
      <c r="C941" s="2"/>
      <c r="D941" s="2"/>
      <c r="E941" s="5"/>
      <c r="F941" s="5"/>
    </row>
    <row r="942" spans="1:6" s="74" customFormat="1" x14ac:dyDescent="0.2">
      <c r="A942" s="2"/>
      <c r="B942" s="64"/>
      <c r="C942" s="2"/>
      <c r="D942" s="2"/>
      <c r="E942" s="5"/>
      <c r="F942" s="5"/>
    </row>
    <row r="943" spans="1:6" s="74" customFormat="1" x14ac:dyDescent="0.2">
      <c r="A943" s="2"/>
      <c r="B943" s="64"/>
      <c r="C943" s="2"/>
      <c r="D943" s="2"/>
      <c r="E943" s="5"/>
      <c r="F943" s="5"/>
    </row>
    <row r="944" spans="1:6" s="74" customFormat="1" x14ac:dyDescent="0.2">
      <c r="A944" s="2"/>
      <c r="B944" s="64"/>
      <c r="C944" s="2"/>
      <c r="D944" s="2"/>
      <c r="E944" s="5"/>
      <c r="F944" s="5"/>
    </row>
    <row r="945" spans="1:6" s="74" customFormat="1" x14ac:dyDescent="0.2">
      <c r="A945" s="2"/>
      <c r="B945" s="64"/>
      <c r="C945" s="2"/>
      <c r="D945" s="2"/>
      <c r="E945" s="5"/>
      <c r="F945" s="5"/>
    </row>
    <row r="946" spans="1:6" s="74" customFormat="1" x14ac:dyDescent="0.2">
      <c r="A946" s="2"/>
      <c r="B946" s="64"/>
      <c r="C946" s="2"/>
      <c r="D946" s="2"/>
      <c r="E946" s="5"/>
      <c r="F946" s="5"/>
    </row>
    <row r="947" spans="1:6" s="74" customFormat="1" x14ac:dyDescent="0.2">
      <c r="A947" s="2"/>
      <c r="B947" s="64"/>
      <c r="C947" s="2"/>
      <c r="D947" s="2"/>
      <c r="E947" s="5"/>
      <c r="F947" s="5"/>
    </row>
    <row r="948" spans="1:6" s="74" customFormat="1" x14ac:dyDescent="0.2">
      <c r="A948" s="2"/>
      <c r="B948" s="64"/>
      <c r="C948" s="2"/>
      <c r="D948" s="2"/>
      <c r="E948" s="5"/>
      <c r="F948" s="5"/>
    </row>
    <row r="949" spans="1:6" s="74" customFormat="1" x14ac:dyDescent="0.2">
      <c r="A949" s="2"/>
      <c r="B949" s="64"/>
      <c r="C949" s="2"/>
      <c r="D949" s="2"/>
      <c r="E949" s="5"/>
      <c r="F949" s="5"/>
    </row>
    <row r="950" spans="1:6" s="74" customFormat="1" x14ac:dyDescent="0.2">
      <c r="A950" s="2"/>
      <c r="B950" s="64"/>
      <c r="C950" s="2"/>
      <c r="D950" s="2"/>
      <c r="E950" s="5"/>
      <c r="F950" s="5"/>
    </row>
    <row r="951" spans="1:6" s="74" customFormat="1" x14ac:dyDescent="0.2">
      <c r="A951" s="2"/>
      <c r="B951" s="64"/>
      <c r="C951" s="2"/>
      <c r="D951" s="2"/>
      <c r="E951" s="5"/>
      <c r="F951" s="5"/>
    </row>
    <row r="952" spans="1:6" s="74" customFormat="1" x14ac:dyDescent="0.2">
      <c r="A952" s="2"/>
      <c r="B952" s="64"/>
      <c r="C952" s="2"/>
      <c r="D952" s="2"/>
      <c r="E952" s="5"/>
      <c r="F952" s="5"/>
    </row>
    <row r="953" spans="1:6" s="74" customFormat="1" x14ac:dyDescent="0.2">
      <c r="A953" s="2"/>
      <c r="B953" s="64"/>
      <c r="C953" s="2"/>
      <c r="D953" s="2"/>
      <c r="E953" s="5"/>
      <c r="F953" s="5"/>
    </row>
    <row r="954" spans="1:6" s="74" customFormat="1" x14ac:dyDescent="0.2">
      <c r="A954" s="2"/>
      <c r="B954" s="64"/>
      <c r="C954" s="2"/>
      <c r="D954" s="2"/>
      <c r="E954" s="5"/>
      <c r="F954" s="5"/>
    </row>
    <row r="955" spans="1:6" s="74" customFormat="1" x14ac:dyDescent="0.2">
      <c r="A955" s="2"/>
      <c r="B955" s="64"/>
      <c r="C955" s="2"/>
      <c r="D955" s="2"/>
      <c r="E955" s="5"/>
      <c r="F955" s="5"/>
    </row>
    <row r="956" spans="1:6" s="74" customFormat="1" x14ac:dyDescent="0.2">
      <c r="A956" s="2"/>
      <c r="B956" s="64"/>
      <c r="C956" s="2"/>
      <c r="D956" s="2"/>
      <c r="E956" s="5"/>
      <c r="F956" s="5"/>
    </row>
    <row r="957" spans="1:6" s="74" customFormat="1" x14ac:dyDescent="0.2">
      <c r="A957" s="2"/>
      <c r="B957" s="64"/>
      <c r="C957" s="2"/>
      <c r="D957" s="2"/>
      <c r="E957" s="5"/>
      <c r="F957" s="5"/>
    </row>
    <row r="958" spans="1:6" s="74" customFormat="1" x14ac:dyDescent="0.2">
      <c r="A958" s="2"/>
      <c r="B958" s="64"/>
      <c r="C958" s="2"/>
      <c r="D958" s="2"/>
      <c r="E958" s="5"/>
      <c r="F958" s="5"/>
    </row>
    <row r="959" spans="1:6" s="74" customFormat="1" x14ac:dyDescent="0.2">
      <c r="A959" s="2"/>
      <c r="B959" s="64"/>
      <c r="C959" s="2"/>
      <c r="D959" s="2"/>
      <c r="E959" s="5"/>
      <c r="F959" s="5"/>
    </row>
    <row r="960" spans="1:6" s="74" customFormat="1" x14ac:dyDescent="0.2">
      <c r="A960" s="2"/>
      <c r="B960" s="64"/>
      <c r="C960" s="2"/>
      <c r="D960" s="2"/>
      <c r="E960" s="5"/>
      <c r="F960" s="5"/>
    </row>
    <row r="961" spans="1:6" s="74" customFormat="1" x14ac:dyDescent="0.2">
      <c r="A961" s="2"/>
      <c r="B961" s="64"/>
      <c r="C961" s="2"/>
      <c r="D961" s="2"/>
      <c r="E961" s="5"/>
      <c r="F961" s="5"/>
    </row>
    <row r="962" spans="1:6" s="74" customFormat="1" x14ac:dyDescent="0.2">
      <c r="A962" s="2"/>
      <c r="B962" s="64"/>
      <c r="C962" s="2"/>
      <c r="D962" s="2"/>
      <c r="E962" s="5"/>
      <c r="F962" s="5"/>
    </row>
    <row r="963" spans="1:6" s="74" customFormat="1" x14ac:dyDescent="0.2">
      <c r="A963" s="2"/>
      <c r="B963" s="64"/>
      <c r="C963" s="2"/>
      <c r="D963" s="2"/>
      <c r="E963" s="5"/>
      <c r="F963" s="5"/>
    </row>
    <row r="964" spans="1:6" s="74" customFormat="1" x14ac:dyDescent="0.2">
      <c r="A964" s="2"/>
      <c r="B964" s="64"/>
      <c r="C964" s="2"/>
      <c r="D964" s="2"/>
      <c r="E964" s="5"/>
      <c r="F964" s="5"/>
    </row>
    <row r="965" spans="1:6" s="74" customFormat="1" x14ac:dyDescent="0.2">
      <c r="A965" s="2"/>
      <c r="B965" s="64"/>
      <c r="C965" s="2"/>
      <c r="D965" s="2"/>
      <c r="E965" s="5"/>
      <c r="F965" s="5"/>
    </row>
    <row r="966" spans="1:6" s="74" customFormat="1" x14ac:dyDescent="0.2">
      <c r="A966" s="2"/>
      <c r="B966" s="64"/>
      <c r="C966" s="2"/>
      <c r="D966" s="2"/>
      <c r="E966" s="5"/>
      <c r="F966" s="5"/>
    </row>
    <row r="967" spans="1:6" s="74" customFormat="1" x14ac:dyDescent="0.2">
      <c r="A967" s="2"/>
      <c r="B967" s="64"/>
      <c r="C967" s="2"/>
      <c r="D967" s="2"/>
      <c r="E967" s="5"/>
      <c r="F967" s="5"/>
    </row>
    <row r="968" spans="1:6" s="74" customFormat="1" x14ac:dyDescent="0.2">
      <c r="A968" s="2"/>
      <c r="B968" s="64"/>
      <c r="C968" s="2"/>
      <c r="D968" s="2"/>
      <c r="E968" s="5"/>
      <c r="F968" s="5"/>
    </row>
    <row r="969" spans="1:6" s="74" customFormat="1" x14ac:dyDescent="0.2">
      <c r="A969" s="2"/>
      <c r="B969" s="64"/>
      <c r="C969" s="2"/>
      <c r="D969" s="2"/>
      <c r="E969" s="5"/>
      <c r="F969" s="5"/>
    </row>
    <row r="970" spans="1:6" s="74" customFormat="1" x14ac:dyDescent="0.2">
      <c r="A970" s="2"/>
      <c r="B970" s="64"/>
      <c r="C970" s="2"/>
      <c r="D970" s="2"/>
      <c r="E970" s="5"/>
      <c r="F970" s="5"/>
    </row>
    <row r="971" spans="1:6" s="74" customFormat="1" x14ac:dyDescent="0.2">
      <c r="A971" s="2"/>
      <c r="B971" s="64"/>
      <c r="C971" s="2"/>
      <c r="D971" s="2"/>
      <c r="E971" s="5"/>
      <c r="F971" s="5"/>
    </row>
    <row r="972" spans="1:6" s="74" customFormat="1" x14ac:dyDescent="0.2">
      <c r="A972" s="2"/>
      <c r="B972" s="64"/>
      <c r="C972" s="2"/>
      <c r="D972" s="2"/>
      <c r="E972" s="5"/>
      <c r="F972" s="5"/>
    </row>
    <row r="973" spans="1:6" s="74" customFormat="1" x14ac:dyDescent="0.2">
      <c r="A973" s="2"/>
      <c r="B973" s="64"/>
      <c r="C973" s="2"/>
      <c r="D973" s="2"/>
      <c r="E973" s="5"/>
      <c r="F973" s="5"/>
    </row>
    <row r="974" spans="1:6" s="74" customFormat="1" x14ac:dyDescent="0.2">
      <c r="A974" s="2"/>
      <c r="B974" s="64"/>
      <c r="C974" s="2"/>
      <c r="D974" s="2"/>
      <c r="E974" s="5"/>
      <c r="F974" s="5"/>
    </row>
    <row r="975" spans="1:6" s="74" customFormat="1" x14ac:dyDescent="0.2">
      <c r="A975" s="2"/>
      <c r="B975" s="64"/>
      <c r="C975" s="2"/>
      <c r="D975" s="2"/>
      <c r="E975" s="5"/>
      <c r="F975" s="5"/>
    </row>
    <row r="976" spans="1:6" s="74" customFormat="1" x14ac:dyDescent="0.2">
      <c r="A976" s="2"/>
      <c r="B976" s="64"/>
      <c r="C976" s="2"/>
      <c r="D976" s="2"/>
      <c r="E976" s="5"/>
      <c r="F976" s="5"/>
    </row>
    <row r="977" spans="1:6" s="74" customFormat="1" x14ac:dyDescent="0.2">
      <c r="A977" s="2"/>
      <c r="B977" s="64"/>
      <c r="C977" s="2"/>
      <c r="D977" s="2"/>
      <c r="E977" s="5"/>
      <c r="F977" s="5"/>
    </row>
    <row r="978" spans="1:6" s="74" customFormat="1" x14ac:dyDescent="0.2">
      <c r="A978" s="2"/>
      <c r="B978" s="64"/>
      <c r="C978" s="2"/>
      <c r="D978" s="2"/>
      <c r="E978" s="5"/>
      <c r="F978" s="5"/>
    </row>
    <row r="979" spans="1:6" s="74" customFormat="1" x14ac:dyDescent="0.2">
      <c r="A979" s="2"/>
      <c r="B979" s="64"/>
      <c r="C979" s="2"/>
      <c r="D979" s="2"/>
      <c r="E979" s="5"/>
      <c r="F979" s="5"/>
    </row>
    <row r="980" spans="1:6" s="74" customFormat="1" x14ac:dyDescent="0.2">
      <c r="A980" s="2"/>
      <c r="B980" s="64"/>
      <c r="C980" s="2"/>
      <c r="D980" s="2"/>
      <c r="E980" s="5"/>
      <c r="F980" s="5"/>
    </row>
    <row r="981" spans="1:6" s="74" customFormat="1" x14ac:dyDescent="0.2">
      <c r="A981" s="2"/>
      <c r="B981" s="64"/>
      <c r="C981" s="2"/>
      <c r="D981" s="2"/>
      <c r="E981" s="5"/>
      <c r="F981" s="5"/>
    </row>
    <row r="982" spans="1:6" s="74" customFormat="1" x14ac:dyDescent="0.2">
      <c r="A982" s="2"/>
      <c r="B982" s="64"/>
      <c r="C982" s="2"/>
      <c r="D982" s="2"/>
      <c r="E982" s="5"/>
      <c r="F982" s="5"/>
    </row>
    <row r="983" spans="1:6" s="74" customFormat="1" x14ac:dyDescent="0.2">
      <c r="A983" s="2"/>
      <c r="B983" s="64"/>
      <c r="C983" s="2"/>
      <c r="D983" s="2"/>
      <c r="E983" s="5"/>
      <c r="F983" s="5"/>
    </row>
    <row r="984" spans="1:6" s="74" customFormat="1" x14ac:dyDescent="0.2">
      <c r="A984" s="2"/>
      <c r="B984" s="64"/>
      <c r="C984" s="2"/>
      <c r="D984" s="2"/>
      <c r="E984" s="5"/>
      <c r="F984" s="5"/>
    </row>
    <row r="985" spans="1:6" s="74" customFormat="1" x14ac:dyDescent="0.2">
      <c r="A985" s="2"/>
      <c r="B985" s="64"/>
      <c r="C985" s="2"/>
      <c r="D985" s="2"/>
      <c r="E985" s="5"/>
      <c r="F985" s="5"/>
    </row>
    <row r="986" spans="1:6" s="74" customFormat="1" x14ac:dyDescent="0.2">
      <c r="A986" s="2"/>
      <c r="B986" s="64"/>
      <c r="C986" s="2"/>
      <c r="D986" s="2"/>
      <c r="E986" s="5"/>
      <c r="F986" s="5"/>
    </row>
    <row r="987" spans="1:6" s="74" customFormat="1" x14ac:dyDescent="0.2">
      <c r="A987" s="2"/>
      <c r="B987" s="64"/>
      <c r="C987" s="2"/>
      <c r="D987" s="2"/>
      <c r="E987" s="5"/>
      <c r="F987" s="5"/>
    </row>
    <row r="988" spans="1:6" s="74" customFormat="1" x14ac:dyDescent="0.2">
      <c r="A988" s="2"/>
      <c r="B988" s="64"/>
      <c r="C988" s="2"/>
      <c r="D988" s="2"/>
      <c r="E988" s="5"/>
      <c r="F988" s="5"/>
    </row>
    <row r="989" spans="1:6" s="74" customFormat="1" x14ac:dyDescent="0.2">
      <c r="A989" s="2"/>
      <c r="B989" s="64"/>
      <c r="C989" s="2"/>
      <c r="D989" s="2"/>
      <c r="E989" s="5"/>
      <c r="F989" s="5"/>
    </row>
    <row r="990" spans="1:6" s="74" customFormat="1" x14ac:dyDescent="0.2">
      <c r="A990" s="2"/>
      <c r="B990" s="64"/>
      <c r="C990" s="2"/>
      <c r="D990" s="2"/>
      <c r="E990" s="5"/>
      <c r="F990" s="5"/>
    </row>
    <row r="991" spans="1:6" s="74" customFormat="1" x14ac:dyDescent="0.2">
      <c r="A991" s="2"/>
      <c r="B991" s="64"/>
      <c r="C991" s="2"/>
      <c r="D991" s="2"/>
      <c r="E991" s="5"/>
      <c r="F991" s="5"/>
    </row>
    <row r="992" spans="1:6" s="74" customFormat="1" x14ac:dyDescent="0.2">
      <c r="A992" s="2"/>
      <c r="B992" s="64"/>
      <c r="C992" s="2"/>
      <c r="D992" s="2"/>
      <c r="E992" s="5"/>
      <c r="F992" s="5"/>
    </row>
    <row r="993" spans="1:6" s="74" customFormat="1" x14ac:dyDescent="0.2">
      <c r="A993" s="2"/>
      <c r="B993" s="64"/>
      <c r="C993" s="2"/>
      <c r="D993" s="2"/>
      <c r="E993" s="5"/>
      <c r="F993" s="5"/>
    </row>
    <row r="994" spans="1:6" s="74" customFormat="1" x14ac:dyDescent="0.2">
      <c r="A994" s="2"/>
      <c r="B994" s="64"/>
      <c r="C994" s="2"/>
      <c r="D994" s="2"/>
      <c r="E994" s="5"/>
      <c r="F994" s="5"/>
    </row>
    <row r="995" spans="1:6" s="74" customFormat="1" x14ac:dyDescent="0.2">
      <c r="A995" s="2"/>
      <c r="B995" s="64"/>
      <c r="C995" s="2"/>
      <c r="D995" s="2"/>
      <c r="E995" s="5"/>
      <c r="F995" s="5"/>
    </row>
    <row r="996" spans="1:6" s="74" customFormat="1" x14ac:dyDescent="0.2">
      <c r="A996" s="2"/>
      <c r="B996" s="64"/>
      <c r="C996" s="2"/>
      <c r="D996" s="2"/>
      <c r="E996" s="5"/>
      <c r="F996" s="5"/>
    </row>
    <row r="997" spans="1:6" s="74" customFormat="1" x14ac:dyDescent="0.2">
      <c r="A997" s="2"/>
      <c r="B997" s="64"/>
      <c r="C997" s="2"/>
      <c r="D997" s="2"/>
      <c r="E997" s="5"/>
      <c r="F997" s="5"/>
    </row>
    <row r="998" spans="1:6" s="74" customFormat="1" x14ac:dyDescent="0.2">
      <c r="A998" s="2"/>
      <c r="B998" s="64"/>
      <c r="C998" s="2"/>
      <c r="D998" s="2"/>
      <c r="E998" s="5"/>
      <c r="F998" s="5"/>
    </row>
    <row r="999" spans="1:6" s="74" customFormat="1" x14ac:dyDescent="0.2">
      <c r="A999" s="2"/>
      <c r="B999" s="64"/>
      <c r="C999" s="2"/>
      <c r="D999" s="2"/>
      <c r="E999" s="5"/>
      <c r="F999" s="5"/>
    </row>
    <row r="1000" spans="1:6" s="74" customFormat="1" x14ac:dyDescent="0.2">
      <c r="A1000" s="2"/>
      <c r="B1000" s="64"/>
      <c r="C1000" s="2"/>
      <c r="D1000" s="2"/>
      <c r="E1000" s="5"/>
      <c r="F1000" s="5"/>
    </row>
    <row r="1001" spans="1:6" s="74" customFormat="1" x14ac:dyDescent="0.2">
      <c r="A1001" s="2"/>
      <c r="B1001" s="64"/>
      <c r="C1001" s="2"/>
      <c r="D1001" s="2"/>
      <c r="E1001" s="5"/>
      <c r="F1001" s="5"/>
    </row>
    <row r="1002" spans="1:6" s="74" customFormat="1" x14ac:dyDescent="0.2">
      <c r="A1002" s="2"/>
      <c r="B1002" s="64"/>
      <c r="C1002" s="2"/>
      <c r="D1002" s="2"/>
      <c r="E1002" s="5"/>
      <c r="F1002" s="5"/>
    </row>
    <row r="1003" spans="1:6" s="74" customFormat="1" x14ac:dyDescent="0.2">
      <c r="A1003" s="2"/>
      <c r="B1003" s="64"/>
      <c r="C1003" s="2"/>
      <c r="D1003" s="2"/>
      <c r="E1003" s="5"/>
      <c r="F1003" s="5"/>
    </row>
    <row r="1004" spans="1:6" s="74" customFormat="1" x14ac:dyDescent="0.2">
      <c r="A1004" s="2"/>
      <c r="B1004" s="64"/>
      <c r="C1004" s="2"/>
      <c r="D1004" s="2"/>
      <c r="E1004" s="5"/>
      <c r="F1004" s="5"/>
    </row>
    <row r="1005" spans="1:6" s="74" customFormat="1" x14ac:dyDescent="0.2">
      <c r="A1005" s="2"/>
      <c r="B1005" s="64"/>
      <c r="C1005" s="2"/>
      <c r="D1005" s="2"/>
      <c r="E1005" s="5"/>
      <c r="F1005" s="5"/>
    </row>
    <row r="1006" spans="1:6" s="74" customFormat="1" x14ac:dyDescent="0.2">
      <c r="A1006" s="2"/>
      <c r="B1006" s="64"/>
      <c r="C1006" s="2"/>
      <c r="D1006" s="2"/>
      <c r="E1006" s="5"/>
      <c r="F1006" s="5"/>
    </row>
    <row r="1007" spans="1:6" s="74" customFormat="1" x14ac:dyDescent="0.2">
      <c r="A1007" s="2"/>
      <c r="B1007" s="64"/>
      <c r="C1007" s="2"/>
      <c r="D1007" s="2"/>
      <c r="E1007" s="5"/>
      <c r="F1007" s="5"/>
    </row>
    <row r="1008" spans="1:6" s="74" customFormat="1" x14ac:dyDescent="0.2">
      <c r="A1008" s="2"/>
      <c r="B1008" s="64"/>
      <c r="C1008" s="2"/>
      <c r="D1008" s="2"/>
      <c r="E1008" s="5"/>
      <c r="F1008" s="5"/>
    </row>
    <row r="1009" spans="1:6" s="74" customFormat="1" x14ac:dyDescent="0.2">
      <c r="A1009" s="2"/>
      <c r="B1009" s="64"/>
      <c r="C1009" s="2"/>
      <c r="D1009" s="2"/>
      <c r="E1009" s="5"/>
      <c r="F1009" s="5"/>
    </row>
    <row r="1010" spans="1:6" s="74" customFormat="1" x14ac:dyDescent="0.2">
      <c r="A1010" s="2"/>
      <c r="B1010" s="64"/>
      <c r="C1010" s="2"/>
      <c r="D1010" s="2"/>
      <c r="E1010" s="5"/>
      <c r="F1010" s="5"/>
    </row>
    <row r="1011" spans="1:6" s="74" customFormat="1" x14ac:dyDescent="0.2">
      <c r="A1011" s="2"/>
      <c r="B1011" s="64"/>
      <c r="C1011" s="2"/>
      <c r="D1011" s="2"/>
      <c r="E1011" s="5"/>
      <c r="F1011" s="5"/>
    </row>
    <row r="1012" spans="1:6" s="74" customFormat="1" x14ac:dyDescent="0.2">
      <c r="A1012" s="2"/>
      <c r="B1012" s="64"/>
      <c r="C1012" s="2"/>
      <c r="D1012" s="2"/>
      <c r="E1012" s="5"/>
      <c r="F1012" s="5"/>
    </row>
    <row r="1013" spans="1:6" s="74" customFormat="1" x14ac:dyDescent="0.2">
      <c r="A1013" s="2"/>
      <c r="B1013" s="64"/>
      <c r="C1013" s="2"/>
      <c r="D1013" s="2"/>
      <c r="E1013" s="5"/>
      <c r="F1013" s="5"/>
    </row>
    <row r="1014" spans="1:6" s="74" customFormat="1" x14ac:dyDescent="0.2">
      <c r="A1014" s="2"/>
      <c r="B1014" s="64"/>
      <c r="C1014" s="2"/>
      <c r="D1014" s="2"/>
      <c r="E1014" s="5"/>
      <c r="F1014" s="5"/>
    </row>
    <row r="1015" spans="1:6" s="74" customFormat="1" x14ac:dyDescent="0.2">
      <c r="A1015" s="2"/>
      <c r="B1015" s="64"/>
      <c r="C1015" s="2"/>
      <c r="D1015" s="2"/>
      <c r="E1015" s="5"/>
      <c r="F1015" s="5"/>
    </row>
    <row r="1016" spans="1:6" s="74" customFormat="1" x14ac:dyDescent="0.2">
      <c r="A1016" s="2"/>
      <c r="B1016" s="64"/>
      <c r="C1016" s="2"/>
      <c r="D1016" s="2"/>
      <c r="E1016" s="5"/>
      <c r="F1016" s="5"/>
    </row>
    <row r="1017" spans="1:6" s="74" customFormat="1" x14ac:dyDescent="0.2">
      <c r="A1017" s="2"/>
      <c r="B1017" s="64"/>
      <c r="C1017" s="2"/>
      <c r="D1017" s="2"/>
      <c r="E1017" s="5"/>
      <c r="F1017" s="5"/>
    </row>
    <row r="1018" spans="1:6" s="74" customFormat="1" x14ac:dyDescent="0.2">
      <c r="A1018" s="2"/>
      <c r="B1018" s="64"/>
      <c r="C1018" s="2"/>
      <c r="D1018" s="2"/>
      <c r="E1018" s="5"/>
      <c r="F1018" s="5"/>
    </row>
    <row r="1019" spans="1:6" s="74" customFormat="1" x14ac:dyDescent="0.2">
      <c r="A1019" s="2"/>
      <c r="B1019" s="64"/>
      <c r="C1019" s="2"/>
      <c r="D1019" s="2"/>
      <c r="E1019" s="5"/>
      <c r="F1019" s="5"/>
    </row>
    <row r="1020" spans="1:6" s="74" customFormat="1" x14ac:dyDescent="0.2">
      <c r="A1020" s="2"/>
      <c r="B1020" s="64"/>
      <c r="C1020" s="2"/>
      <c r="D1020" s="2"/>
      <c r="E1020" s="5"/>
      <c r="F1020" s="5"/>
    </row>
    <row r="1021" spans="1:6" s="74" customFormat="1" x14ac:dyDescent="0.2">
      <c r="A1021" s="2"/>
      <c r="B1021" s="64"/>
      <c r="C1021" s="2"/>
      <c r="D1021" s="2"/>
      <c r="E1021" s="5"/>
      <c r="F1021" s="5"/>
    </row>
    <row r="1022" spans="1:6" s="74" customFormat="1" x14ac:dyDescent="0.2">
      <c r="A1022" s="2"/>
      <c r="B1022" s="64"/>
      <c r="C1022" s="2"/>
      <c r="D1022" s="2"/>
      <c r="E1022" s="5"/>
      <c r="F1022" s="5"/>
    </row>
    <row r="1023" spans="1:6" s="74" customFormat="1" x14ac:dyDescent="0.2">
      <c r="A1023" s="2"/>
      <c r="B1023" s="64"/>
      <c r="C1023" s="2"/>
      <c r="D1023" s="2"/>
      <c r="E1023" s="5"/>
      <c r="F1023" s="5"/>
    </row>
    <row r="1024" spans="1:6" s="74" customFormat="1" x14ac:dyDescent="0.2">
      <c r="A1024" s="2"/>
      <c r="B1024" s="64"/>
      <c r="C1024" s="2"/>
      <c r="D1024" s="2"/>
      <c r="E1024" s="5"/>
      <c r="F1024" s="5"/>
    </row>
    <row r="1025" spans="1:6" s="74" customFormat="1" x14ac:dyDescent="0.2">
      <c r="A1025" s="2"/>
      <c r="B1025" s="64"/>
      <c r="C1025" s="2"/>
      <c r="D1025" s="2"/>
      <c r="E1025" s="5"/>
      <c r="F1025" s="5"/>
    </row>
    <row r="1026" spans="1:6" s="74" customFormat="1" x14ac:dyDescent="0.2">
      <c r="A1026" s="2"/>
      <c r="B1026" s="64"/>
      <c r="C1026" s="2"/>
      <c r="D1026" s="2"/>
      <c r="E1026" s="5"/>
      <c r="F1026" s="5"/>
    </row>
    <row r="1027" spans="1:6" s="74" customFormat="1" x14ac:dyDescent="0.2">
      <c r="A1027" s="2"/>
      <c r="B1027" s="64"/>
      <c r="C1027" s="2"/>
      <c r="D1027" s="2"/>
      <c r="E1027" s="5"/>
      <c r="F1027" s="5"/>
    </row>
    <row r="1028" spans="1:6" s="74" customFormat="1" x14ac:dyDescent="0.2">
      <c r="A1028" s="2"/>
      <c r="B1028" s="64"/>
      <c r="C1028" s="2"/>
      <c r="D1028" s="2"/>
      <c r="E1028" s="5"/>
      <c r="F1028" s="5"/>
    </row>
    <row r="1029" spans="1:6" s="74" customFormat="1" x14ac:dyDescent="0.2">
      <c r="A1029" s="2"/>
      <c r="B1029" s="64"/>
      <c r="C1029" s="2"/>
      <c r="D1029" s="2"/>
      <c r="E1029" s="5"/>
      <c r="F1029" s="5"/>
    </row>
    <row r="1030" spans="1:6" s="74" customFormat="1" x14ac:dyDescent="0.2">
      <c r="A1030" s="2"/>
      <c r="B1030" s="64"/>
      <c r="C1030" s="2"/>
      <c r="D1030" s="2"/>
      <c r="E1030" s="5"/>
      <c r="F1030" s="5"/>
    </row>
    <row r="1031" spans="1:6" s="74" customFormat="1" x14ac:dyDescent="0.2">
      <c r="A1031" s="2"/>
      <c r="B1031" s="64"/>
      <c r="C1031" s="2"/>
      <c r="D1031" s="2"/>
      <c r="E1031" s="5"/>
      <c r="F1031" s="5"/>
    </row>
    <row r="1032" spans="1:6" s="74" customFormat="1" x14ac:dyDescent="0.2">
      <c r="A1032" s="2"/>
      <c r="B1032" s="64"/>
      <c r="C1032" s="2"/>
      <c r="D1032" s="2"/>
      <c r="E1032" s="5"/>
      <c r="F1032" s="5"/>
    </row>
    <row r="1033" spans="1:6" s="74" customFormat="1" x14ac:dyDescent="0.2">
      <c r="A1033" s="2"/>
      <c r="B1033" s="64"/>
      <c r="C1033" s="2"/>
      <c r="D1033" s="2"/>
      <c r="E1033" s="5"/>
      <c r="F1033" s="5"/>
    </row>
    <row r="1034" spans="1:6" s="74" customFormat="1" x14ac:dyDescent="0.2">
      <c r="A1034" s="2"/>
      <c r="B1034" s="64"/>
      <c r="C1034" s="2"/>
      <c r="D1034" s="2"/>
      <c r="E1034" s="5"/>
      <c r="F1034" s="5"/>
    </row>
    <row r="1035" spans="1:6" s="74" customFormat="1" x14ac:dyDescent="0.2">
      <c r="A1035" s="2"/>
      <c r="B1035" s="64"/>
      <c r="C1035" s="2"/>
      <c r="D1035" s="2"/>
      <c r="E1035" s="5"/>
      <c r="F1035" s="5"/>
    </row>
    <row r="1036" spans="1:6" s="74" customFormat="1" x14ac:dyDescent="0.2">
      <c r="A1036" s="2"/>
      <c r="B1036" s="64"/>
      <c r="C1036" s="2"/>
      <c r="D1036" s="2"/>
      <c r="E1036" s="5"/>
      <c r="F1036" s="5"/>
    </row>
    <row r="1037" spans="1:6" s="74" customFormat="1" x14ac:dyDescent="0.2">
      <c r="A1037" s="2"/>
      <c r="B1037" s="64"/>
      <c r="C1037" s="2"/>
      <c r="D1037" s="2"/>
      <c r="E1037" s="5"/>
      <c r="F1037" s="5"/>
    </row>
    <row r="1038" spans="1:6" s="74" customFormat="1" x14ac:dyDescent="0.2">
      <c r="A1038" s="2"/>
      <c r="B1038" s="64"/>
      <c r="C1038" s="2"/>
      <c r="D1038" s="2"/>
      <c r="E1038" s="5"/>
      <c r="F1038" s="5"/>
    </row>
    <row r="1039" spans="1:6" s="74" customFormat="1" x14ac:dyDescent="0.2">
      <c r="A1039" s="2"/>
      <c r="B1039" s="64"/>
      <c r="C1039" s="2"/>
      <c r="D1039" s="2"/>
      <c r="E1039" s="5"/>
      <c r="F1039" s="5"/>
    </row>
    <row r="1040" spans="1:6" s="74" customFormat="1" x14ac:dyDescent="0.2">
      <c r="A1040" s="2"/>
      <c r="B1040" s="64"/>
      <c r="C1040" s="2"/>
      <c r="D1040" s="2"/>
      <c r="E1040" s="5"/>
      <c r="F1040" s="5"/>
    </row>
    <row r="1041" spans="1:6" s="74" customFormat="1" x14ac:dyDescent="0.2">
      <c r="A1041" s="2"/>
      <c r="B1041" s="64"/>
      <c r="C1041" s="2"/>
      <c r="D1041" s="2"/>
      <c r="E1041" s="5"/>
      <c r="F1041" s="5"/>
    </row>
    <row r="1042" spans="1:6" s="74" customFormat="1" x14ac:dyDescent="0.2">
      <c r="A1042" s="2"/>
      <c r="B1042" s="64"/>
      <c r="C1042" s="2"/>
      <c r="D1042" s="2"/>
      <c r="E1042" s="5"/>
      <c r="F1042" s="5"/>
    </row>
    <row r="1043" spans="1:6" s="74" customFormat="1" x14ac:dyDescent="0.2">
      <c r="A1043" s="2"/>
      <c r="B1043" s="64"/>
      <c r="C1043" s="2"/>
      <c r="D1043" s="2"/>
      <c r="E1043" s="5"/>
      <c r="F1043" s="5"/>
    </row>
    <row r="1044" spans="1:6" s="74" customFormat="1" x14ac:dyDescent="0.2">
      <c r="A1044" s="2"/>
      <c r="B1044" s="64"/>
      <c r="C1044" s="2"/>
      <c r="D1044" s="2"/>
      <c r="E1044" s="5"/>
      <c r="F1044" s="5"/>
    </row>
    <row r="1045" spans="1:6" s="74" customFormat="1" x14ac:dyDescent="0.2">
      <c r="A1045" s="2"/>
      <c r="B1045" s="64"/>
      <c r="C1045" s="2"/>
      <c r="D1045" s="2"/>
      <c r="E1045" s="5"/>
      <c r="F1045" s="5"/>
    </row>
    <row r="1046" spans="1:6" s="74" customFormat="1" x14ac:dyDescent="0.2">
      <c r="A1046" s="2"/>
      <c r="B1046" s="64"/>
      <c r="C1046" s="2"/>
      <c r="D1046" s="2"/>
      <c r="E1046" s="5"/>
      <c r="F1046" s="5"/>
    </row>
    <row r="1047" spans="1:6" s="74" customFormat="1" x14ac:dyDescent="0.2">
      <c r="A1047" s="2"/>
      <c r="B1047" s="64"/>
      <c r="C1047" s="2"/>
      <c r="D1047" s="2"/>
      <c r="E1047" s="5"/>
      <c r="F1047" s="5"/>
    </row>
    <row r="1048" spans="1:6" s="74" customFormat="1" x14ac:dyDescent="0.2">
      <c r="A1048" s="2"/>
      <c r="B1048" s="64"/>
      <c r="C1048" s="2"/>
      <c r="D1048" s="2"/>
      <c r="E1048" s="5"/>
      <c r="F1048" s="5"/>
    </row>
    <row r="1049" spans="1:6" s="74" customFormat="1" x14ac:dyDescent="0.2">
      <c r="A1049" s="2"/>
      <c r="B1049" s="64"/>
      <c r="C1049" s="2"/>
      <c r="D1049" s="2"/>
      <c r="E1049" s="5"/>
      <c r="F1049" s="5"/>
    </row>
    <row r="1050" spans="1:6" s="74" customFormat="1" x14ac:dyDescent="0.2">
      <c r="A1050" s="2"/>
      <c r="B1050" s="64"/>
      <c r="C1050" s="2"/>
      <c r="D1050" s="2"/>
      <c r="E1050" s="5"/>
      <c r="F1050" s="5"/>
    </row>
    <row r="1051" spans="1:6" s="74" customFormat="1" x14ac:dyDescent="0.2">
      <c r="A1051" s="2"/>
      <c r="B1051" s="64"/>
      <c r="C1051" s="2"/>
      <c r="D1051" s="2"/>
      <c r="E1051" s="5"/>
      <c r="F1051" s="5"/>
    </row>
    <row r="1052" spans="1:6" s="74" customFormat="1" x14ac:dyDescent="0.2">
      <c r="A1052" s="2"/>
      <c r="B1052" s="64"/>
      <c r="C1052" s="2"/>
      <c r="D1052" s="2"/>
      <c r="E1052" s="5"/>
      <c r="F1052" s="5"/>
    </row>
    <row r="1053" spans="1:6" s="74" customFormat="1" x14ac:dyDescent="0.2">
      <c r="A1053" s="2"/>
      <c r="B1053" s="64"/>
      <c r="C1053" s="2"/>
      <c r="D1053" s="2"/>
      <c r="E1053" s="5"/>
      <c r="F1053" s="5"/>
    </row>
    <row r="1054" spans="1:6" s="74" customFormat="1" x14ac:dyDescent="0.2">
      <c r="A1054" s="2"/>
      <c r="B1054" s="64"/>
      <c r="C1054" s="2"/>
      <c r="D1054" s="2"/>
      <c r="E1054" s="5"/>
      <c r="F1054" s="5"/>
    </row>
    <row r="1055" spans="1:6" s="74" customFormat="1" x14ac:dyDescent="0.2">
      <c r="A1055" s="2"/>
      <c r="B1055" s="64"/>
      <c r="C1055" s="2"/>
      <c r="D1055" s="2"/>
      <c r="E1055" s="5"/>
      <c r="F1055" s="5"/>
    </row>
    <row r="1056" spans="1:6" s="74" customFormat="1" x14ac:dyDescent="0.2">
      <c r="A1056" s="2"/>
      <c r="B1056" s="64"/>
      <c r="C1056" s="2"/>
      <c r="D1056" s="2"/>
      <c r="E1056" s="5"/>
      <c r="F1056" s="5"/>
    </row>
    <row r="1057" spans="1:6" s="74" customFormat="1" x14ac:dyDescent="0.2">
      <c r="A1057" s="2"/>
      <c r="B1057" s="64"/>
      <c r="C1057" s="2"/>
      <c r="D1057" s="2"/>
      <c r="E1057" s="5"/>
      <c r="F1057" s="5"/>
    </row>
    <row r="1058" spans="1:6" s="74" customFormat="1" x14ac:dyDescent="0.2">
      <c r="A1058" s="2"/>
      <c r="B1058" s="64"/>
      <c r="C1058" s="2"/>
      <c r="D1058" s="2"/>
      <c r="E1058" s="5"/>
      <c r="F1058" s="5"/>
    </row>
    <row r="1059" spans="1:6" s="74" customFormat="1" x14ac:dyDescent="0.2">
      <c r="A1059" s="2"/>
      <c r="B1059" s="64"/>
      <c r="C1059" s="2"/>
      <c r="D1059" s="2"/>
      <c r="E1059" s="5"/>
      <c r="F1059" s="5"/>
    </row>
    <row r="1060" spans="1:6" s="74" customFormat="1" x14ac:dyDescent="0.2">
      <c r="A1060" s="2"/>
      <c r="B1060" s="64"/>
      <c r="C1060" s="2"/>
      <c r="D1060" s="2"/>
      <c r="E1060" s="5"/>
      <c r="F1060" s="5"/>
    </row>
    <row r="1061" spans="1:6" s="74" customFormat="1" x14ac:dyDescent="0.2">
      <c r="A1061" s="2"/>
      <c r="B1061" s="64"/>
      <c r="C1061" s="2"/>
      <c r="D1061" s="2"/>
      <c r="E1061" s="5"/>
      <c r="F1061" s="5"/>
    </row>
    <row r="1062" spans="1:6" s="74" customFormat="1" x14ac:dyDescent="0.2">
      <c r="A1062" s="2"/>
      <c r="B1062" s="64"/>
      <c r="C1062" s="2"/>
      <c r="D1062" s="2"/>
      <c r="E1062" s="5"/>
      <c r="F1062" s="5"/>
    </row>
    <row r="1063" spans="1:6" s="74" customFormat="1" x14ac:dyDescent="0.2">
      <c r="A1063" s="2"/>
      <c r="B1063" s="64"/>
      <c r="C1063" s="2"/>
      <c r="D1063" s="2"/>
      <c r="E1063" s="5"/>
      <c r="F1063" s="5"/>
    </row>
    <row r="1064" spans="1:6" s="74" customFormat="1" x14ac:dyDescent="0.2">
      <c r="A1064" s="2"/>
      <c r="B1064" s="64"/>
      <c r="C1064" s="2"/>
      <c r="D1064" s="2"/>
      <c r="E1064" s="5"/>
      <c r="F1064" s="5"/>
    </row>
    <row r="1065" spans="1:6" s="74" customFormat="1" x14ac:dyDescent="0.2">
      <c r="A1065" s="2"/>
      <c r="B1065" s="64"/>
      <c r="C1065" s="2"/>
      <c r="D1065" s="2"/>
      <c r="E1065" s="5"/>
      <c r="F1065" s="5"/>
    </row>
    <row r="1066" spans="1:6" s="74" customFormat="1" x14ac:dyDescent="0.2">
      <c r="A1066" s="2"/>
      <c r="B1066" s="64"/>
      <c r="C1066" s="2"/>
      <c r="D1066" s="2"/>
      <c r="E1066" s="5"/>
      <c r="F1066" s="5"/>
    </row>
    <row r="1067" spans="1:6" s="74" customFormat="1" x14ac:dyDescent="0.2">
      <c r="A1067" s="2"/>
      <c r="B1067" s="64"/>
      <c r="C1067" s="2"/>
      <c r="D1067" s="2"/>
      <c r="E1067" s="5"/>
      <c r="F1067" s="5"/>
    </row>
    <row r="1068" spans="1:6" s="74" customFormat="1" x14ac:dyDescent="0.2">
      <c r="A1068" s="2"/>
      <c r="B1068" s="64"/>
      <c r="C1068" s="2"/>
      <c r="D1068" s="2"/>
      <c r="E1068" s="5"/>
      <c r="F1068" s="5"/>
    </row>
    <row r="1069" spans="1:6" s="74" customFormat="1" x14ac:dyDescent="0.2">
      <c r="A1069" s="2"/>
      <c r="B1069" s="64"/>
      <c r="C1069" s="2"/>
      <c r="D1069" s="2"/>
      <c r="E1069" s="5"/>
      <c r="F1069" s="5"/>
    </row>
    <row r="1070" spans="1:6" s="74" customFormat="1" x14ac:dyDescent="0.2">
      <c r="A1070" s="2"/>
      <c r="B1070" s="64"/>
      <c r="C1070" s="2"/>
      <c r="D1070" s="2"/>
      <c r="E1070" s="5"/>
      <c r="F1070" s="5"/>
    </row>
    <row r="1071" spans="1:6" s="74" customFormat="1" x14ac:dyDescent="0.2">
      <c r="A1071" s="2"/>
      <c r="B1071" s="64"/>
      <c r="C1071" s="2"/>
      <c r="D1071" s="2"/>
      <c r="E1071" s="5"/>
      <c r="F1071" s="5"/>
    </row>
    <row r="1072" spans="1:6" s="74" customFormat="1" x14ac:dyDescent="0.2">
      <c r="A1072" s="2"/>
      <c r="B1072" s="64"/>
      <c r="C1072" s="2"/>
      <c r="D1072" s="2"/>
      <c r="E1072" s="5"/>
      <c r="F1072" s="5"/>
    </row>
    <row r="1073" spans="1:6" s="74" customFormat="1" x14ac:dyDescent="0.2">
      <c r="A1073" s="2"/>
      <c r="B1073" s="64"/>
      <c r="C1073" s="2"/>
      <c r="D1073" s="2"/>
      <c r="E1073" s="5"/>
      <c r="F1073" s="5"/>
    </row>
    <row r="1074" spans="1:6" s="74" customFormat="1" x14ac:dyDescent="0.2">
      <c r="A1074" s="2"/>
      <c r="B1074" s="64"/>
      <c r="C1074" s="2"/>
      <c r="D1074" s="2"/>
      <c r="E1074" s="5"/>
      <c r="F1074" s="5"/>
    </row>
    <row r="1075" spans="1:6" s="74" customFormat="1" x14ac:dyDescent="0.2">
      <c r="A1075" s="2"/>
      <c r="B1075" s="64"/>
      <c r="C1075" s="2"/>
      <c r="D1075" s="2"/>
      <c r="E1075" s="5"/>
      <c r="F1075" s="5"/>
    </row>
    <row r="1076" spans="1:6" s="74" customFormat="1" x14ac:dyDescent="0.2">
      <c r="A1076" s="2"/>
      <c r="B1076" s="64"/>
      <c r="C1076" s="2"/>
      <c r="D1076" s="2"/>
      <c r="E1076" s="5"/>
      <c r="F1076" s="5"/>
    </row>
    <row r="1077" spans="1:6" s="74" customFormat="1" x14ac:dyDescent="0.2">
      <c r="A1077" s="2"/>
      <c r="B1077" s="64"/>
      <c r="C1077" s="2"/>
      <c r="D1077" s="2"/>
      <c r="E1077" s="5"/>
      <c r="F1077" s="5"/>
    </row>
    <row r="1078" spans="1:6" s="74" customFormat="1" x14ac:dyDescent="0.2">
      <c r="A1078" s="2"/>
      <c r="B1078" s="64"/>
      <c r="C1078" s="2"/>
      <c r="D1078" s="2"/>
      <c r="E1078" s="5"/>
      <c r="F1078" s="5"/>
    </row>
    <row r="1079" spans="1:6" s="74" customFormat="1" x14ac:dyDescent="0.2">
      <c r="A1079" s="2"/>
      <c r="B1079" s="64"/>
      <c r="C1079" s="2"/>
      <c r="D1079" s="2"/>
      <c r="E1079" s="5"/>
      <c r="F1079" s="5"/>
    </row>
    <row r="1080" spans="1:6" s="74" customFormat="1" x14ac:dyDescent="0.2">
      <c r="A1080" s="2"/>
      <c r="B1080" s="64"/>
      <c r="C1080" s="2"/>
      <c r="D1080" s="2"/>
      <c r="E1080" s="5"/>
      <c r="F1080" s="5"/>
    </row>
    <row r="1081" spans="1:6" s="74" customFormat="1" x14ac:dyDescent="0.2">
      <c r="A1081" s="2"/>
      <c r="B1081" s="64"/>
      <c r="C1081" s="2"/>
      <c r="D1081" s="2"/>
      <c r="E1081" s="5"/>
      <c r="F1081" s="5"/>
    </row>
    <row r="1082" spans="1:6" s="74" customFormat="1" x14ac:dyDescent="0.2">
      <c r="A1082" s="2"/>
      <c r="B1082" s="64"/>
      <c r="C1082" s="2"/>
      <c r="D1082" s="2"/>
      <c r="E1082" s="5"/>
      <c r="F1082" s="5"/>
    </row>
    <row r="1083" spans="1:6" s="74" customFormat="1" x14ac:dyDescent="0.2">
      <c r="A1083" s="2"/>
      <c r="B1083" s="64"/>
      <c r="C1083" s="2"/>
      <c r="D1083" s="2"/>
      <c r="E1083" s="5"/>
      <c r="F1083" s="5"/>
    </row>
    <row r="1084" spans="1:6" s="74" customFormat="1" x14ac:dyDescent="0.2">
      <c r="A1084" s="2"/>
      <c r="B1084" s="64"/>
      <c r="C1084" s="2"/>
      <c r="D1084" s="2"/>
      <c r="E1084" s="5"/>
      <c r="F1084" s="5"/>
    </row>
    <row r="1085" spans="1:6" s="74" customFormat="1" x14ac:dyDescent="0.2">
      <c r="A1085" s="2"/>
      <c r="B1085" s="64"/>
      <c r="C1085" s="2"/>
      <c r="D1085" s="2"/>
      <c r="E1085" s="5"/>
      <c r="F1085" s="5"/>
    </row>
    <row r="1086" spans="1:6" s="74" customFormat="1" x14ac:dyDescent="0.2">
      <c r="A1086" s="2"/>
      <c r="B1086" s="64"/>
      <c r="C1086" s="2"/>
      <c r="D1086" s="2"/>
      <c r="E1086" s="5"/>
      <c r="F1086" s="5"/>
    </row>
    <row r="1087" spans="1:6" s="74" customFormat="1" x14ac:dyDescent="0.2">
      <c r="A1087" s="2"/>
      <c r="B1087" s="64"/>
      <c r="C1087" s="2"/>
      <c r="D1087" s="2"/>
      <c r="E1087" s="5"/>
      <c r="F1087" s="5"/>
    </row>
    <row r="1088" spans="1:6" s="74" customFormat="1" x14ac:dyDescent="0.2">
      <c r="A1088" s="2"/>
      <c r="B1088" s="64"/>
      <c r="C1088" s="2"/>
      <c r="D1088" s="2"/>
      <c r="E1088" s="5"/>
      <c r="F1088" s="5"/>
    </row>
    <row r="1089" spans="1:6" s="74" customFormat="1" x14ac:dyDescent="0.2">
      <c r="A1089" s="2"/>
      <c r="B1089" s="64"/>
      <c r="C1089" s="2"/>
      <c r="D1089" s="2"/>
      <c r="E1089" s="5"/>
      <c r="F1089" s="5"/>
    </row>
    <row r="1090" spans="1:6" s="74" customFormat="1" x14ac:dyDescent="0.2">
      <c r="A1090" s="2"/>
      <c r="B1090" s="64"/>
      <c r="C1090" s="2"/>
      <c r="D1090" s="2"/>
      <c r="E1090" s="5"/>
      <c r="F1090" s="5"/>
    </row>
    <row r="1091" spans="1:6" s="74" customFormat="1" x14ac:dyDescent="0.2">
      <c r="A1091" s="2"/>
      <c r="B1091" s="64"/>
      <c r="C1091" s="2"/>
      <c r="D1091" s="2"/>
      <c r="E1091" s="5"/>
      <c r="F1091" s="5"/>
    </row>
    <row r="1092" spans="1:6" s="74" customFormat="1" x14ac:dyDescent="0.2">
      <c r="A1092" s="2"/>
      <c r="B1092" s="64"/>
      <c r="C1092" s="2"/>
      <c r="D1092" s="2"/>
      <c r="E1092" s="5"/>
      <c r="F1092" s="5"/>
    </row>
    <row r="1093" spans="1:6" s="74" customFormat="1" x14ac:dyDescent="0.2">
      <c r="A1093" s="2"/>
      <c r="B1093" s="64"/>
      <c r="C1093" s="2"/>
      <c r="D1093" s="2"/>
      <c r="E1093" s="5"/>
      <c r="F1093" s="5"/>
    </row>
    <row r="1094" spans="1:6" s="74" customFormat="1" x14ac:dyDescent="0.2">
      <c r="A1094" s="2"/>
      <c r="B1094" s="64"/>
      <c r="C1094" s="2"/>
      <c r="D1094" s="2"/>
      <c r="E1094" s="5"/>
      <c r="F1094" s="5"/>
    </row>
    <row r="1095" spans="1:6" s="74" customFormat="1" x14ac:dyDescent="0.2">
      <c r="A1095" s="2"/>
      <c r="B1095" s="64"/>
      <c r="C1095" s="2"/>
      <c r="D1095" s="2"/>
      <c r="E1095" s="5"/>
      <c r="F1095" s="5"/>
    </row>
    <row r="1096" spans="1:6" s="74" customFormat="1" x14ac:dyDescent="0.2">
      <c r="A1096" s="2"/>
      <c r="B1096" s="64"/>
      <c r="C1096" s="2"/>
      <c r="D1096" s="2"/>
      <c r="E1096" s="5"/>
      <c r="F1096" s="5"/>
    </row>
    <row r="1097" spans="1:6" s="74" customFormat="1" x14ac:dyDescent="0.2">
      <c r="A1097" s="2"/>
      <c r="B1097" s="64"/>
      <c r="C1097" s="2"/>
      <c r="D1097" s="2"/>
      <c r="E1097" s="5"/>
      <c r="F1097" s="5"/>
    </row>
    <row r="1098" spans="1:6" s="74" customFormat="1" x14ac:dyDescent="0.2">
      <c r="A1098" s="2"/>
      <c r="B1098" s="64"/>
      <c r="C1098" s="2"/>
      <c r="D1098" s="2"/>
      <c r="E1098" s="5"/>
      <c r="F1098" s="5"/>
    </row>
    <row r="1099" spans="1:6" s="74" customFormat="1" x14ac:dyDescent="0.2">
      <c r="A1099" s="2"/>
      <c r="B1099" s="64"/>
      <c r="C1099" s="2"/>
      <c r="D1099" s="2"/>
      <c r="E1099" s="5"/>
      <c r="F1099" s="5"/>
    </row>
    <row r="1100" spans="1:6" s="74" customFormat="1" x14ac:dyDescent="0.2">
      <c r="A1100" s="2"/>
      <c r="B1100" s="64"/>
      <c r="C1100" s="2"/>
      <c r="D1100" s="2"/>
      <c r="E1100" s="5"/>
      <c r="F1100" s="5"/>
    </row>
    <row r="1101" spans="1:6" s="74" customFormat="1" x14ac:dyDescent="0.2">
      <c r="A1101" s="2"/>
      <c r="B1101" s="64"/>
      <c r="C1101" s="2"/>
      <c r="D1101" s="2"/>
      <c r="E1101" s="5"/>
      <c r="F1101" s="5"/>
    </row>
    <row r="1102" spans="1:6" s="74" customFormat="1" x14ac:dyDescent="0.2">
      <c r="A1102" s="2"/>
      <c r="B1102" s="64"/>
      <c r="C1102" s="2"/>
      <c r="D1102" s="2"/>
      <c r="E1102" s="5"/>
      <c r="F1102" s="5"/>
    </row>
    <row r="1103" spans="1:6" s="74" customFormat="1" x14ac:dyDescent="0.2">
      <c r="A1103" s="2"/>
      <c r="B1103" s="64"/>
      <c r="C1103" s="2"/>
      <c r="D1103" s="2"/>
      <c r="E1103" s="5"/>
      <c r="F1103" s="5"/>
    </row>
    <row r="1104" spans="1:6" s="74" customFormat="1" x14ac:dyDescent="0.2">
      <c r="A1104" s="2"/>
      <c r="B1104" s="64"/>
      <c r="C1104" s="2"/>
      <c r="D1104" s="2"/>
      <c r="E1104" s="5"/>
      <c r="F1104" s="5"/>
    </row>
    <row r="1105" spans="1:6" s="74" customFormat="1" x14ac:dyDescent="0.2">
      <c r="A1105" s="2"/>
      <c r="B1105" s="64"/>
      <c r="C1105" s="2"/>
      <c r="D1105" s="2"/>
      <c r="E1105" s="5"/>
      <c r="F1105" s="5"/>
    </row>
    <row r="1106" spans="1:6" s="74" customFormat="1" x14ac:dyDescent="0.2">
      <c r="A1106" s="2"/>
      <c r="B1106" s="64"/>
      <c r="C1106" s="2"/>
      <c r="D1106" s="2"/>
      <c r="E1106" s="5"/>
      <c r="F1106" s="5"/>
    </row>
    <row r="1107" spans="1:6" s="74" customFormat="1" x14ac:dyDescent="0.2">
      <c r="A1107" s="2"/>
      <c r="B1107" s="64"/>
      <c r="C1107" s="2"/>
      <c r="D1107" s="2"/>
      <c r="E1107" s="5"/>
      <c r="F1107" s="5"/>
    </row>
    <row r="1108" spans="1:6" s="74" customFormat="1" x14ac:dyDescent="0.2">
      <c r="A1108" s="2"/>
      <c r="B1108" s="64"/>
      <c r="C1108" s="2"/>
      <c r="D1108" s="2"/>
      <c r="E1108" s="5"/>
      <c r="F1108" s="5"/>
    </row>
    <row r="1109" spans="1:6" s="74" customFormat="1" x14ac:dyDescent="0.2">
      <c r="A1109" s="2"/>
      <c r="B1109" s="64"/>
      <c r="C1109" s="2"/>
      <c r="D1109" s="2"/>
      <c r="E1109" s="5"/>
      <c r="F1109" s="5"/>
    </row>
    <row r="1110" spans="1:6" s="74" customFormat="1" x14ac:dyDescent="0.2">
      <c r="A1110" s="2"/>
      <c r="B1110" s="64"/>
      <c r="C1110" s="2"/>
      <c r="D1110" s="2"/>
      <c r="E1110" s="5"/>
      <c r="F1110" s="5"/>
    </row>
    <row r="1111" spans="1:6" s="74" customFormat="1" x14ac:dyDescent="0.2">
      <c r="A1111" s="2"/>
      <c r="B1111" s="64"/>
      <c r="C1111" s="2"/>
      <c r="D1111" s="2"/>
      <c r="E1111" s="5"/>
      <c r="F1111" s="5"/>
    </row>
    <row r="1112" spans="1:6" s="74" customFormat="1" x14ac:dyDescent="0.2">
      <c r="A1112" s="2"/>
      <c r="B1112" s="64"/>
      <c r="C1112" s="2"/>
      <c r="D1112" s="2"/>
      <c r="E1112" s="5"/>
      <c r="F1112" s="5"/>
    </row>
    <row r="1113" spans="1:6" s="74" customFormat="1" x14ac:dyDescent="0.2">
      <c r="A1113" s="2"/>
      <c r="B1113" s="64"/>
      <c r="C1113" s="2"/>
      <c r="D1113" s="2"/>
      <c r="E1113" s="5"/>
      <c r="F1113" s="5"/>
    </row>
    <row r="1114" spans="1:6" s="74" customFormat="1" x14ac:dyDescent="0.2">
      <c r="A1114" s="2"/>
      <c r="B1114" s="64"/>
      <c r="C1114" s="2"/>
      <c r="D1114" s="2"/>
      <c r="E1114" s="5"/>
      <c r="F1114" s="5"/>
    </row>
    <row r="1115" spans="1:6" s="74" customFormat="1" x14ac:dyDescent="0.2">
      <c r="A1115" s="2"/>
      <c r="B1115" s="64"/>
      <c r="C1115" s="2"/>
      <c r="D1115" s="2"/>
      <c r="E1115" s="5"/>
      <c r="F1115" s="5"/>
    </row>
    <row r="1116" spans="1:6" s="74" customFormat="1" x14ac:dyDescent="0.2">
      <c r="A1116" s="2"/>
      <c r="B1116" s="64"/>
      <c r="C1116" s="2"/>
      <c r="D1116" s="2"/>
      <c r="E1116" s="5"/>
      <c r="F1116" s="5"/>
    </row>
    <row r="1117" spans="1:6" s="74" customFormat="1" x14ac:dyDescent="0.2">
      <c r="A1117" s="2"/>
      <c r="B1117" s="64"/>
      <c r="C1117" s="2"/>
      <c r="D1117" s="2"/>
      <c r="E1117" s="5"/>
      <c r="F1117" s="5"/>
    </row>
    <row r="1118" spans="1:6" s="74" customFormat="1" x14ac:dyDescent="0.2">
      <c r="A1118" s="2"/>
      <c r="B1118" s="64"/>
      <c r="C1118" s="2"/>
      <c r="D1118" s="2"/>
      <c r="E1118" s="5"/>
      <c r="F1118" s="5"/>
    </row>
    <row r="1119" spans="1:6" s="74" customFormat="1" x14ac:dyDescent="0.2">
      <c r="A1119" s="2"/>
      <c r="B1119" s="64"/>
      <c r="C1119" s="2"/>
      <c r="D1119" s="2"/>
      <c r="E1119" s="5"/>
      <c r="F1119" s="5"/>
    </row>
    <row r="1120" spans="1:6" s="74" customFormat="1" x14ac:dyDescent="0.2">
      <c r="A1120" s="2"/>
      <c r="B1120" s="64"/>
      <c r="C1120" s="2"/>
      <c r="D1120" s="2"/>
      <c r="E1120" s="5"/>
      <c r="F1120" s="5"/>
    </row>
    <row r="1121" spans="1:6" s="74" customFormat="1" x14ac:dyDescent="0.2">
      <c r="A1121" s="2"/>
      <c r="B1121" s="64"/>
      <c r="C1121" s="2"/>
      <c r="D1121" s="2"/>
      <c r="E1121" s="5"/>
      <c r="F1121" s="5"/>
    </row>
    <row r="1122" spans="1:6" s="74" customFormat="1" x14ac:dyDescent="0.2">
      <c r="A1122" s="2"/>
      <c r="B1122" s="64"/>
      <c r="C1122" s="2"/>
      <c r="D1122" s="2"/>
      <c r="E1122" s="5"/>
      <c r="F1122" s="5"/>
    </row>
    <row r="1123" spans="1:6" s="74" customFormat="1" x14ac:dyDescent="0.2">
      <c r="A1123" s="2"/>
      <c r="B1123" s="64"/>
      <c r="C1123" s="2"/>
      <c r="D1123" s="2"/>
      <c r="E1123" s="5"/>
      <c r="F1123" s="5"/>
    </row>
    <row r="1124" spans="1:6" s="74" customFormat="1" x14ac:dyDescent="0.2">
      <c r="A1124" s="2"/>
      <c r="B1124" s="64"/>
      <c r="C1124" s="2"/>
      <c r="D1124" s="2"/>
      <c r="E1124" s="5"/>
      <c r="F1124" s="5"/>
    </row>
    <row r="1125" spans="1:6" s="74" customFormat="1" x14ac:dyDescent="0.2">
      <c r="A1125" s="2"/>
      <c r="B1125" s="64"/>
      <c r="C1125" s="2"/>
      <c r="D1125" s="2"/>
      <c r="E1125" s="5"/>
      <c r="F1125" s="5"/>
    </row>
    <row r="1126" spans="1:6" s="74" customFormat="1" x14ac:dyDescent="0.2">
      <c r="A1126" s="2"/>
      <c r="B1126" s="64"/>
      <c r="C1126" s="2"/>
      <c r="D1126" s="2"/>
      <c r="E1126" s="5"/>
      <c r="F1126" s="5"/>
    </row>
    <row r="1127" spans="1:6" s="74" customFormat="1" x14ac:dyDescent="0.2">
      <c r="A1127" s="2"/>
      <c r="B1127" s="64"/>
      <c r="C1127" s="2"/>
      <c r="D1127" s="2"/>
      <c r="E1127" s="5"/>
      <c r="F1127" s="5"/>
    </row>
    <row r="1128" spans="1:6" s="74" customFormat="1" x14ac:dyDescent="0.2">
      <c r="A1128" s="2"/>
      <c r="B1128" s="64"/>
      <c r="C1128" s="2"/>
      <c r="D1128" s="2"/>
      <c r="E1128" s="5"/>
      <c r="F1128" s="5"/>
    </row>
    <row r="1129" spans="1:6" s="74" customFormat="1" x14ac:dyDescent="0.2">
      <c r="A1129" s="2"/>
      <c r="B1129" s="64"/>
      <c r="C1129" s="2"/>
      <c r="D1129" s="2"/>
      <c r="E1129" s="5"/>
      <c r="F1129" s="5"/>
    </row>
    <row r="1130" spans="1:6" s="74" customFormat="1" x14ac:dyDescent="0.2">
      <c r="A1130" s="2"/>
      <c r="B1130" s="64"/>
      <c r="C1130" s="2"/>
      <c r="D1130" s="2"/>
      <c r="E1130" s="5"/>
      <c r="F1130" s="5"/>
    </row>
    <row r="1131" spans="1:6" s="74" customFormat="1" x14ac:dyDescent="0.2">
      <c r="A1131" s="2"/>
      <c r="B1131" s="64"/>
      <c r="C1131" s="2"/>
      <c r="D1131" s="2"/>
      <c r="E1131" s="5"/>
      <c r="F1131" s="5"/>
    </row>
    <row r="1132" spans="1:6" s="74" customFormat="1" x14ac:dyDescent="0.2">
      <c r="A1132" s="2"/>
      <c r="B1132" s="64"/>
      <c r="C1132" s="2"/>
      <c r="D1132" s="2"/>
      <c r="E1132" s="5"/>
      <c r="F1132" s="5"/>
    </row>
    <row r="1133" spans="1:6" s="74" customFormat="1" x14ac:dyDescent="0.2">
      <c r="A1133" s="2"/>
      <c r="B1133" s="64"/>
      <c r="C1133" s="2"/>
      <c r="D1133" s="2"/>
      <c r="E1133" s="5"/>
      <c r="F1133" s="5"/>
    </row>
    <row r="1134" spans="1:6" s="74" customFormat="1" x14ac:dyDescent="0.2">
      <c r="A1134" s="2"/>
      <c r="B1134" s="64"/>
      <c r="C1134" s="2"/>
      <c r="D1134" s="2"/>
      <c r="E1134" s="5"/>
      <c r="F1134" s="5"/>
    </row>
    <row r="1135" spans="1:6" s="74" customFormat="1" x14ac:dyDescent="0.2">
      <c r="A1135" s="2"/>
      <c r="B1135" s="64"/>
      <c r="C1135" s="2"/>
      <c r="D1135" s="2"/>
      <c r="E1135" s="5"/>
      <c r="F1135" s="5"/>
    </row>
    <row r="1136" spans="1:6" s="74" customFormat="1" x14ac:dyDescent="0.2">
      <c r="A1136" s="2"/>
      <c r="B1136" s="64"/>
      <c r="C1136" s="2"/>
      <c r="D1136" s="2"/>
      <c r="E1136" s="5"/>
      <c r="F1136" s="5"/>
    </row>
    <row r="1137" spans="1:6" s="74" customFormat="1" x14ac:dyDescent="0.2">
      <c r="A1137" s="2"/>
      <c r="B1137" s="64"/>
      <c r="C1137" s="2"/>
      <c r="D1137" s="2"/>
      <c r="E1137" s="5"/>
      <c r="F1137" s="5"/>
    </row>
    <row r="1138" spans="1:6" s="74" customFormat="1" x14ac:dyDescent="0.2">
      <c r="A1138" s="2"/>
      <c r="B1138" s="64"/>
      <c r="C1138" s="2"/>
      <c r="D1138" s="2"/>
      <c r="E1138" s="5"/>
      <c r="F1138" s="5"/>
    </row>
    <row r="1139" spans="1:6" s="74" customFormat="1" x14ac:dyDescent="0.2">
      <c r="A1139" s="2"/>
      <c r="B1139" s="64"/>
      <c r="C1139" s="2"/>
      <c r="D1139" s="2"/>
      <c r="E1139" s="5"/>
      <c r="F1139" s="5"/>
    </row>
    <row r="1140" spans="1:6" s="74" customFormat="1" x14ac:dyDescent="0.2">
      <c r="A1140" s="2"/>
      <c r="B1140" s="64"/>
      <c r="C1140" s="2"/>
      <c r="D1140" s="2"/>
      <c r="E1140" s="5"/>
      <c r="F1140" s="5"/>
    </row>
    <row r="1141" spans="1:6" s="74" customFormat="1" x14ac:dyDescent="0.2">
      <c r="A1141" s="2"/>
      <c r="B1141" s="64"/>
      <c r="C1141" s="2"/>
      <c r="D1141" s="2"/>
      <c r="E1141" s="5"/>
      <c r="F1141" s="5"/>
    </row>
    <row r="1142" spans="1:6" s="74" customFormat="1" x14ac:dyDescent="0.2">
      <c r="A1142" s="2"/>
      <c r="B1142" s="64"/>
      <c r="C1142" s="2"/>
      <c r="D1142" s="2"/>
      <c r="E1142" s="5"/>
      <c r="F1142" s="5"/>
    </row>
    <row r="1143" spans="1:6" s="74" customFormat="1" x14ac:dyDescent="0.2">
      <c r="A1143" s="2"/>
      <c r="B1143" s="64"/>
      <c r="C1143" s="2"/>
      <c r="D1143" s="2"/>
      <c r="E1143" s="5"/>
      <c r="F1143" s="5"/>
    </row>
    <row r="1144" spans="1:6" s="74" customFormat="1" x14ac:dyDescent="0.2">
      <c r="A1144" s="2"/>
      <c r="B1144" s="64"/>
      <c r="C1144" s="2"/>
      <c r="D1144" s="2"/>
      <c r="E1144" s="5"/>
      <c r="F1144" s="5"/>
    </row>
    <row r="1145" spans="1:6" s="74" customFormat="1" x14ac:dyDescent="0.2">
      <c r="A1145" s="2"/>
      <c r="B1145" s="64"/>
      <c r="C1145" s="2"/>
      <c r="D1145" s="2"/>
      <c r="E1145" s="5"/>
      <c r="F1145" s="5"/>
    </row>
    <row r="1146" spans="1:6" s="74" customFormat="1" x14ac:dyDescent="0.2">
      <c r="A1146" s="2"/>
      <c r="B1146" s="64"/>
      <c r="C1146" s="2"/>
      <c r="D1146" s="2"/>
      <c r="E1146" s="5"/>
      <c r="F1146" s="5"/>
    </row>
    <row r="1147" spans="1:6" s="74" customFormat="1" x14ac:dyDescent="0.2">
      <c r="A1147" s="2"/>
      <c r="B1147" s="64"/>
      <c r="C1147" s="2"/>
      <c r="D1147" s="2"/>
      <c r="E1147" s="5"/>
      <c r="F1147" s="5"/>
    </row>
    <row r="1148" spans="1:6" s="74" customFormat="1" x14ac:dyDescent="0.2">
      <c r="A1148" s="2"/>
      <c r="B1148" s="64"/>
      <c r="C1148" s="2"/>
      <c r="D1148" s="2"/>
      <c r="E1148" s="5"/>
      <c r="F1148" s="5"/>
    </row>
    <row r="1149" spans="1:6" s="74" customFormat="1" x14ac:dyDescent="0.2">
      <c r="A1149" s="2"/>
      <c r="B1149" s="64"/>
      <c r="C1149" s="2"/>
      <c r="D1149" s="2"/>
      <c r="E1149" s="5"/>
      <c r="F1149" s="5"/>
    </row>
    <row r="1150" spans="1:6" s="74" customFormat="1" x14ac:dyDescent="0.2">
      <c r="A1150" s="2"/>
      <c r="B1150" s="64"/>
      <c r="C1150" s="2"/>
      <c r="D1150" s="2"/>
      <c r="E1150" s="5"/>
      <c r="F1150" s="5"/>
    </row>
    <row r="1151" spans="1:6" s="74" customFormat="1" x14ac:dyDescent="0.2">
      <c r="A1151" s="2"/>
      <c r="B1151" s="64"/>
      <c r="C1151" s="2"/>
      <c r="D1151" s="2"/>
      <c r="E1151" s="5"/>
      <c r="F1151" s="5"/>
    </row>
    <row r="1152" spans="1:6" s="74" customFormat="1" x14ac:dyDescent="0.2">
      <c r="A1152" s="2"/>
      <c r="B1152" s="64"/>
      <c r="C1152" s="2"/>
      <c r="D1152" s="2"/>
      <c r="E1152" s="5"/>
      <c r="F1152" s="5"/>
    </row>
    <row r="1153" spans="1:6" s="74" customFormat="1" x14ac:dyDescent="0.2">
      <c r="A1153" s="2"/>
      <c r="B1153" s="64"/>
      <c r="C1153" s="2"/>
      <c r="D1153" s="2"/>
      <c r="E1153" s="5"/>
      <c r="F1153" s="5"/>
    </row>
    <row r="1154" spans="1:6" s="74" customFormat="1" x14ac:dyDescent="0.2">
      <c r="A1154" s="2"/>
      <c r="B1154" s="64"/>
      <c r="C1154" s="2"/>
      <c r="D1154" s="2"/>
      <c r="E1154" s="5"/>
      <c r="F1154" s="5"/>
    </row>
    <row r="1155" spans="1:6" s="74" customFormat="1" x14ac:dyDescent="0.2">
      <c r="A1155" s="2"/>
      <c r="B1155" s="64"/>
      <c r="C1155" s="2"/>
      <c r="D1155" s="2"/>
      <c r="E1155" s="5"/>
      <c r="F1155" s="5"/>
    </row>
    <row r="1156" spans="1:6" s="74" customFormat="1" x14ac:dyDescent="0.2">
      <c r="A1156" s="2"/>
      <c r="B1156" s="64"/>
      <c r="C1156" s="2"/>
      <c r="D1156" s="2"/>
      <c r="E1156" s="5"/>
      <c r="F1156" s="5"/>
    </row>
    <row r="1157" spans="1:6" s="74" customFormat="1" x14ac:dyDescent="0.2">
      <c r="A1157" s="2"/>
      <c r="B1157" s="64"/>
      <c r="C1157" s="2"/>
      <c r="D1157" s="2"/>
      <c r="E1157" s="5"/>
      <c r="F1157" s="5"/>
    </row>
    <row r="1158" spans="1:6" s="74" customFormat="1" x14ac:dyDescent="0.2">
      <c r="A1158" s="2"/>
      <c r="B1158" s="64"/>
      <c r="C1158" s="2"/>
      <c r="D1158" s="2"/>
      <c r="E1158" s="5"/>
      <c r="F1158" s="5"/>
    </row>
    <row r="1159" spans="1:6" s="74" customFormat="1" x14ac:dyDescent="0.2">
      <c r="A1159" s="2"/>
      <c r="B1159" s="64"/>
      <c r="C1159" s="2"/>
      <c r="D1159" s="2"/>
      <c r="E1159" s="5"/>
      <c r="F1159" s="5"/>
    </row>
    <row r="1160" spans="1:6" s="74" customFormat="1" x14ac:dyDescent="0.2">
      <c r="A1160" s="2"/>
      <c r="B1160" s="64"/>
      <c r="C1160" s="2"/>
      <c r="D1160" s="2"/>
      <c r="E1160" s="5"/>
      <c r="F1160" s="5"/>
    </row>
    <row r="1161" spans="1:6" s="74" customFormat="1" x14ac:dyDescent="0.2">
      <c r="A1161" s="2"/>
      <c r="B1161" s="64"/>
      <c r="C1161" s="2"/>
      <c r="D1161" s="2"/>
      <c r="E1161" s="5"/>
      <c r="F1161" s="5"/>
    </row>
    <row r="1162" spans="1:6" s="74" customFormat="1" x14ac:dyDescent="0.2">
      <c r="A1162" s="2"/>
      <c r="B1162" s="64"/>
      <c r="C1162" s="2"/>
      <c r="D1162" s="2"/>
      <c r="E1162" s="5"/>
      <c r="F1162" s="5"/>
    </row>
    <row r="1163" spans="1:6" s="74" customFormat="1" x14ac:dyDescent="0.2">
      <c r="A1163" s="2"/>
      <c r="B1163" s="64"/>
      <c r="C1163" s="2"/>
      <c r="D1163" s="2"/>
      <c r="E1163" s="5"/>
      <c r="F1163" s="5"/>
    </row>
    <row r="1164" spans="1:6" s="74" customFormat="1" x14ac:dyDescent="0.2">
      <c r="A1164" s="2"/>
      <c r="B1164" s="64"/>
      <c r="C1164" s="2"/>
      <c r="D1164" s="2"/>
      <c r="E1164" s="5"/>
      <c r="F1164" s="5"/>
    </row>
    <row r="1165" spans="1:6" s="74" customFormat="1" x14ac:dyDescent="0.2">
      <c r="A1165" s="2"/>
      <c r="B1165" s="64"/>
      <c r="C1165" s="2"/>
      <c r="D1165" s="2"/>
      <c r="E1165" s="5"/>
      <c r="F1165" s="5"/>
    </row>
    <row r="1166" spans="1:6" s="74" customFormat="1" x14ac:dyDescent="0.2">
      <c r="A1166" s="2"/>
      <c r="B1166" s="64"/>
      <c r="C1166" s="2"/>
      <c r="D1166" s="2"/>
      <c r="E1166" s="5"/>
      <c r="F1166" s="5"/>
    </row>
    <row r="1167" spans="1:6" s="74" customFormat="1" x14ac:dyDescent="0.2">
      <c r="A1167" s="2"/>
      <c r="B1167" s="64"/>
      <c r="C1167" s="2"/>
      <c r="D1167" s="2"/>
      <c r="E1167" s="5"/>
      <c r="F1167" s="5"/>
    </row>
    <row r="1168" spans="1:6" s="74" customFormat="1" x14ac:dyDescent="0.2">
      <c r="A1168" s="2"/>
      <c r="B1168" s="64"/>
      <c r="C1168" s="2"/>
      <c r="D1168" s="2"/>
      <c r="E1168" s="5"/>
      <c r="F1168" s="5"/>
    </row>
    <row r="1169" spans="1:6" s="74" customFormat="1" x14ac:dyDescent="0.2">
      <c r="A1169" s="2"/>
      <c r="B1169" s="64"/>
      <c r="C1169" s="2"/>
      <c r="D1169" s="2"/>
      <c r="E1169" s="5"/>
      <c r="F1169" s="5"/>
    </row>
    <row r="1170" spans="1:6" s="74" customFormat="1" x14ac:dyDescent="0.2">
      <c r="A1170" s="2"/>
      <c r="B1170" s="64"/>
      <c r="C1170" s="2"/>
      <c r="D1170" s="2"/>
      <c r="E1170" s="5"/>
      <c r="F1170" s="5"/>
    </row>
    <row r="1171" spans="1:6" s="74" customFormat="1" x14ac:dyDescent="0.2">
      <c r="A1171" s="2"/>
      <c r="B1171" s="64"/>
      <c r="C1171" s="2"/>
      <c r="D1171" s="2"/>
      <c r="E1171" s="5"/>
      <c r="F1171" s="5"/>
    </row>
    <row r="1172" spans="1:6" s="74" customFormat="1" x14ac:dyDescent="0.2">
      <c r="A1172" s="2"/>
      <c r="B1172" s="64"/>
      <c r="C1172" s="2"/>
      <c r="D1172" s="2"/>
      <c r="E1172" s="5"/>
      <c r="F1172" s="5"/>
    </row>
    <row r="1173" spans="1:6" s="74" customFormat="1" x14ac:dyDescent="0.2">
      <c r="A1173" s="2"/>
      <c r="B1173" s="64"/>
      <c r="C1173" s="2"/>
      <c r="D1173" s="2"/>
      <c r="E1173" s="5"/>
      <c r="F1173" s="5"/>
    </row>
    <row r="1174" spans="1:6" s="74" customFormat="1" x14ac:dyDescent="0.2">
      <c r="A1174" s="2"/>
      <c r="B1174" s="64"/>
      <c r="C1174" s="2"/>
      <c r="D1174" s="2"/>
      <c r="E1174" s="5"/>
      <c r="F1174" s="5"/>
    </row>
    <row r="1175" spans="1:6" s="74" customFormat="1" x14ac:dyDescent="0.2">
      <c r="A1175" s="2"/>
      <c r="B1175" s="64"/>
      <c r="C1175" s="2"/>
      <c r="D1175" s="2"/>
      <c r="E1175" s="5"/>
      <c r="F1175" s="5"/>
    </row>
    <row r="1176" spans="1:6" s="74" customFormat="1" x14ac:dyDescent="0.2">
      <c r="A1176" s="2"/>
      <c r="B1176" s="64"/>
      <c r="C1176" s="2"/>
      <c r="D1176" s="2"/>
      <c r="E1176" s="5"/>
      <c r="F1176" s="5"/>
    </row>
    <row r="1177" spans="1:6" s="74" customFormat="1" x14ac:dyDescent="0.2">
      <c r="A1177" s="2"/>
      <c r="B1177" s="64"/>
      <c r="C1177" s="2"/>
      <c r="D1177" s="2"/>
      <c r="E1177" s="5"/>
      <c r="F1177" s="5"/>
    </row>
    <row r="1178" spans="1:6" s="74" customFormat="1" x14ac:dyDescent="0.2">
      <c r="A1178" s="2"/>
      <c r="B1178" s="64"/>
      <c r="C1178" s="2"/>
      <c r="D1178" s="2"/>
      <c r="E1178" s="5"/>
      <c r="F1178" s="5"/>
    </row>
    <row r="1179" spans="1:6" s="74" customFormat="1" x14ac:dyDescent="0.2">
      <c r="A1179" s="2"/>
      <c r="B1179" s="64"/>
      <c r="C1179" s="2"/>
      <c r="D1179" s="2"/>
      <c r="E1179" s="5"/>
      <c r="F1179" s="5"/>
    </row>
    <row r="1180" spans="1:6" s="74" customFormat="1" x14ac:dyDescent="0.2">
      <c r="A1180" s="2"/>
      <c r="B1180" s="64"/>
      <c r="C1180" s="2"/>
      <c r="D1180" s="2"/>
      <c r="E1180" s="5"/>
      <c r="F1180" s="5"/>
    </row>
    <row r="1181" spans="1:6" s="74" customFormat="1" x14ac:dyDescent="0.2">
      <c r="A1181" s="2"/>
      <c r="B1181" s="64"/>
      <c r="C1181" s="2"/>
      <c r="D1181" s="2"/>
      <c r="E1181" s="5"/>
      <c r="F1181" s="5"/>
    </row>
    <row r="1182" spans="1:6" s="74" customFormat="1" x14ac:dyDescent="0.2">
      <c r="A1182" s="2"/>
      <c r="B1182" s="64"/>
      <c r="C1182" s="2"/>
      <c r="D1182" s="2"/>
      <c r="E1182" s="5"/>
      <c r="F1182" s="5"/>
    </row>
    <row r="1183" spans="1:6" s="74" customFormat="1" x14ac:dyDescent="0.2">
      <c r="A1183" s="2"/>
      <c r="B1183" s="64"/>
      <c r="C1183" s="2"/>
      <c r="D1183" s="2"/>
      <c r="E1183" s="5"/>
      <c r="F1183" s="5"/>
    </row>
    <row r="1184" spans="1:6" s="74" customFormat="1" x14ac:dyDescent="0.2">
      <c r="A1184" s="2"/>
      <c r="B1184" s="64"/>
      <c r="C1184" s="2"/>
      <c r="D1184" s="2"/>
      <c r="E1184" s="5"/>
      <c r="F1184" s="5"/>
    </row>
    <row r="1185" spans="1:6" s="74" customFormat="1" x14ac:dyDescent="0.2">
      <c r="A1185" s="2"/>
      <c r="B1185" s="64"/>
      <c r="C1185" s="2"/>
      <c r="D1185" s="2"/>
      <c r="E1185" s="5"/>
      <c r="F1185" s="5"/>
    </row>
    <row r="1186" spans="1:6" s="74" customFormat="1" x14ac:dyDescent="0.2">
      <c r="A1186" s="2"/>
      <c r="B1186" s="64"/>
      <c r="C1186" s="2"/>
      <c r="D1186" s="2"/>
      <c r="E1186" s="5"/>
      <c r="F1186" s="5"/>
    </row>
    <row r="1187" spans="1:6" s="74" customFormat="1" x14ac:dyDescent="0.2">
      <c r="A1187" s="2"/>
      <c r="B1187" s="64"/>
      <c r="C1187" s="2"/>
      <c r="D1187" s="2"/>
      <c r="E1187" s="5"/>
      <c r="F1187" s="5"/>
    </row>
    <row r="1188" spans="1:6" s="74" customFormat="1" x14ac:dyDescent="0.2">
      <c r="A1188" s="2"/>
      <c r="B1188" s="64"/>
      <c r="C1188" s="2"/>
      <c r="D1188" s="2"/>
      <c r="E1188" s="5"/>
      <c r="F1188" s="5"/>
    </row>
    <row r="1189" spans="1:6" s="74" customFormat="1" x14ac:dyDescent="0.2">
      <c r="A1189" s="2"/>
      <c r="B1189" s="64"/>
      <c r="C1189" s="2"/>
      <c r="D1189" s="2"/>
      <c r="E1189" s="5"/>
      <c r="F1189" s="5"/>
    </row>
    <row r="1190" spans="1:6" s="74" customFormat="1" x14ac:dyDescent="0.2">
      <c r="A1190" s="2"/>
      <c r="B1190" s="64"/>
      <c r="C1190" s="2"/>
      <c r="D1190" s="2"/>
      <c r="E1190" s="5"/>
      <c r="F1190" s="5"/>
    </row>
    <row r="1191" spans="1:6" s="74" customFormat="1" x14ac:dyDescent="0.2">
      <c r="A1191" s="2"/>
      <c r="B1191" s="64"/>
      <c r="C1191" s="2"/>
      <c r="D1191" s="2"/>
      <c r="E1191" s="5"/>
      <c r="F1191" s="5"/>
    </row>
    <row r="1192" spans="1:6" s="74" customFormat="1" x14ac:dyDescent="0.2">
      <c r="A1192" s="2"/>
      <c r="B1192" s="64"/>
      <c r="C1192" s="2"/>
      <c r="D1192" s="2"/>
      <c r="E1192" s="5"/>
      <c r="F1192" s="5"/>
    </row>
    <row r="1193" spans="1:6" s="74" customFormat="1" x14ac:dyDescent="0.2">
      <c r="A1193" s="2"/>
      <c r="B1193" s="64"/>
      <c r="C1193" s="2"/>
      <c r="D1193" s="2"/>
      <c r="E1193" s="5"/>
      <c r="F1193" s="5"/>
    </row>
    <row r="1194" spans="1:6" s="74" customFormat="1" x14ac:dyDescent="0.2">
      <c r="A1194" s="2"/>
      <c r="B1194" s="64"/>
      <c r="C1194" s="2"/>
      <c r="D1194" s="2"/>
      <c r="E1194" s="5"/>
      <c r="F1194" s="5"/>
    </row>
    <row r="1195" spans="1:6" s="74" customFormat="1" x14ac:dyDescent="0.2">
      <c r="A1195" s="2"/>
      <c r="B1195" s="64"/>
      <c r="C1195" s="2"/>
      <c r="D1195" s="2"/>
      <c r="E1195" s="5"/>
      <c r="F1195" s="5"/>
    </row>
    <row r="1196" spans="1:6" s="74" customFormat="1" x14ac:dyDescent="0.2">
      <c r="A1196" s="2"/>
      <c r="B1196" s="64"/>
      <c r="C1196" s="2"/>
      <c r="D1196" s="2"/>
      <c r="E1196" s="5"/>
      <c r="F1196" s="5"/>
    </row>
    <row r="1197" spans="1:6" s="74" customFormat="1" x14ac:dyDescent="0.2">
      <c r="A1197" s="2"/>
      <c r="B1197" s="64"/>
      <c r="C1197" s="2"/>
      <c r="D1197" s="2"/>
      <c r="E1197" s="5"/>
      <c r="F1197" s="5"/>
    </row>
    <row r="1198" spans="1:6" s="74" customFormat="1" x14ac:dyDescent="0.2">
      <c r="A1198" s="2"/>
      <c r="B1198" s="64"/>
      <c r="C1198" s="2"/>
      <c r="D1198" s="2"/>
      <c r="E1198" s="5"/>
      <c r="F1198" s="5"/>
    </row>
    <row r="1199" spans="1:6" s="74" customFormat="1" x14ac:dyDescent="0.2">
      <c r="A1199" s="2"/>
      <c r="B1199" s="64"/>
      <c r="C1199" s="2"/>
      <c r="D1199" s="2"/>
      <c r="E1199" s="5"/>
      <c r="F1199" s="5"/>
    </row>
    <row r="1200" spans="1:6" s="74" customFormat="1" x14ac:dyDescent="0.2">
      <c r="A1200" s="2"/>
      <c r="B1200" s="64"/>
      <c r="C1200" s="2"/>
      <c r="D1200" s="2"/>
      <c r="E1200" s="5"/>
      <c r="F1200" s="5"/>
    </row>
    <row r="1201" spans="1:6" s="74" customFormat="1" x14ac:dyDescent="0.2">
      <c r="A1201" s="2"/>
      <c r="B1201" s="64"/>
      <c r="C1201" s="2"/>
      <c r="D1201" s="2"/>
      <c r="E1201" s="5"/>
      <c r="F1201" s="5"/>
    </row>
    <row r="1202" spans="1:6" s="74" customFormat="1" x14ac:dyDescent="0.2">
      <c r="A1202" s="2"/>
      <c r="B1202" s="64"/>
      <c r="C1202" s="2"/>
      <c r="D1202" s="2"/>
      <c r="E1202" s="5"/>
      <c r="F1202" s="5"/>
    </row>
    <row r="1203" spans="1:6" s="74" customFormat="1" x14ac:dyDescent="0.2">
      <c r="A1203" s="2"/>
      <c r="B1203" s="64"/>
      <c r="C1203" s="2"/>
      <c r="D1203" s="2"/>
      <c r="E1203" s="5"/>
      <c r="F1203" s="5"/>
    </row>
    <row r="1204" spans="1:6" s="74" customFormat="1" x14ac:dyDescent="0.2">
      <c r="A1204" s="2"/>
      <c r="B1204" s="64"/>
      <c r="C1204" s="2"/>
      <c r="D1204" s="2"/>
      <c r="E1204" s="5"/>
      <c r="F1204" s="5"/>
    </row>
    <row r="1205" spans="1:6" s="74" customFormat="1" x14ac:dyDescent="0.2">
      <c r="A1205" s="2"/>
      <c r="B1205" s="64"/>
      <c r="C1205" s="2"/>
      <c r="D1205" s="2"/>
      <c r="E1205" s="5"/>
      <c r="F1205" s="5"/>
    </row>
    <row r="1206" spans="1:6" s="74" customFormat="1" x14ac:dyDescent="0.2">
      <c r="A1206" s="2"/>
      <c r="B1206" s="64"/>
      <c r="C1206" s="2"/>
      <c r="D1206" s="2"/>
      <c r="E1206" s="5"/>
      <c r="F1206" s="5"/>
    </row>
    <row r="1207" spans="1:6" s="74" customFormat="1" x14ac:dyDescent="0.2">
      <c r="A1207" s="2"/>
      <c r="B1207" s="64"/>
      <c r="C1207" s="2"/>
      <c r="D1207" s="2"/>
      <c r="E1207" s="5"/>
      <c r="F1207" s="5"/>
    </row>
    <row r="1208" spans="1:6" s="74" customFormat="1" x14ac:dyDescent="0.2">
      <c r="A1208" s="2"/>
      <c r="B1208" s="64"/>
      <c r="C1208" s="2"/>
      <c r="D1208" s="2"/>
      <c r="E1208" s="5"/>
      <c r="F1208" s="5"/>
    </row>
    <row r="1209" spans="1:6" s="74" customFormat="1" x14ac:dyDescent="0.2">
      <c r="A1209" s="2"/>
      <c r="B1209" s="64"/>
      <c r="C1209" s="2"/>
      <c r="D1209" s="2"/>
      <c r="E1209" s="5"/>
      <c r="F1209" s="5"/>
    </row>
    <row r="1210" spans="1:6" s="74" customFormat="1" x14ac:dyDescent="0.2">
      <c r="A1210" s="2"/>
      <c r="B1210" s="64"/>
      <c r="C1210" s="2"/>
      <c r="D1210" s="2"/>
      <c r="E1210" s="5"/>
      <c r="F1210" s="5"/>
    </row>
    <row r="1211" spans="1:6" s="74" customFormat="1" x14ac:dyDescent="0.2">
      <c r="A1211" s="2"/>
      <c r="B1211" s="64"/>
      <c r="C1211" s="2"/>
      <c r="D1211" s="2"/>
      <c r="E1211" s="5"/>
      <c r="F1211" s="5"/>
    </row>
    <row r="1212" spans="1:6" s="74" customFormat="1" x14ac:dyDescent="0.2">
      <c r="A1212" s="2"/>
      <c r="B1212" s="64"/>
      <c r="C1212" s="2"/>
      <c r="D1212" s="2"/>
      <c r="E1212" s="5"/>
      <c r="F1212" s="5"/>
    </row>
    <row r="1213" spans="1:6" s="74" customFormat="1" x14ac:dyDescent="0.2">
      <c r="A1213" s="2"/>
      <c r="B1213" s="64"/>
      <c r="C1213" s="2"/>
      <c r="D1213" s="2"/>
      <c r="E1213" s="5"/>
      <c r="F1213" s="5"/>
    </row>
    <row r="1214" spans="1:6" s="74" customFormat="1" x14ac:dyDescent="0.2">
      <c r="A1214" s="2"/>
      <c r="B1214" s="64"/>
      <c r="C1214" s="2"/>
      <c r="D1214" s="2"/>
      <c r="E1214" s="5"/>
      <c r="F1214" s="5"/>
    </row>
    <row r="1215" spans="1:6" s="74" customFormat="1" x14ac:dyDescent="0.2">
      <c r="A1215" s="2"/>
      <c r="B1215" s="64"/>
      <c r="C1215" s="2"/>
      <c r="D1215" s="2"/>
      <c r="E1215" s="5"/>
      <c r="F1215" s="5"/>
    </row>
    <row r="1216" spans="1:6" s="74" customFormat="1" x14ac:dyDescent="0.2">
      <c r="A1216" s="2"/>
      <c r="B1216" s="64"/>
      <c r="C1216" s="2"/>
      <c r="D1216" s="2"/>
      <c r="E1216" s="5"/>
      <c r="F1216" s="5"/>
    </row>
    <row r="1217" spans="1:6" s="74" customFormat="1" x14ac:dyDescent="0.2">
      <c r="A1217" s="2"/>
      <c r="B1217" s="64"/>
      <c r="C1217" s="2"/>
      <c r="D1217" s="2"/>
      <c r="E1217" s="5"/>
      <c r="F1217" s="5"/>
    </row>
    <row r="1218" spans="1:6" s="74" customFormat="1" x14ac:dyDescent="0.2">
      <c r="A1218" s="2"/>
      <c r="B1218" s="64"/>
      <c r="C1218" s="2"/>
      <c r="D1218" s="2"/>
      <c r="E1218" s="5"/>
      <c r="F1218" s="5"/>
    </row>
    <row r="1219" spans="1:6" s="74" customFormat="1" x14ac:dyDescent="0.2">
      <c r="A1219" s="2"/>
      <c r="B1219" s="64"/>
      <c r="C1219" s="2"/>
      <c r="D1219" s="2"/>
      <c r="E1219" s="5"/>
      <c r="F1219" s="5"/>
    </row>
    <row r="1220" spans="1:6" s="74" customFormat="1" x14ac:dyDescent="0.2">
      <c r="A1220" s="2"/>
      <c r="B1220" s="64"/>
      <c r="C1220" s="2"/>
      <c r="D1220" s="2"/>
      <c r="E1220" s="5"/>
      <c r="F1220" s="5"/>
    </row>
    <row r="1221" spans="1:6" s="74" customFormat="1" x14ac:dyDescent="0.2">
      <c r="A1221" s="2"/>
      <c r="B1221" s="64"/>
      <c r="C1221" s="2"/>
      <c r="D1221" s="2"/>
      <c r="E1221" s="5"/>
      <c r="F1221" s="5"/>
    </row>
    <row r="1222" spans="1:6" s="74" customFormat="1" x14ac:dyDescent="0.2">
      <c r="A1222" s="2"/>
      <c r="B1222" s="64"/>
      <c r="C1222" s="2"/>
      <c r="D1222" s="2"/>
      <c r="E1222" s="5"/>
      <c r="F1222" s="5"/>
    </row>
    <row r="1223" spans="1:6" s="74" customFormat="1" x14ac:dyDescent="0.2">
      <c r="A1223" s="2"/>
      <c r="B1223" s="64"/>
      <c r="C1223" s="2"/>
      <c r="D1223" s="2"/>
      <c r="E1223" s="5"/>
      <c r="F1223" s="5"/>
    </row>
    <row r="1224" spans="1:6" s="74" customFormat="1" x14ac:dyDescent="0.2">
      <c r="A1224" s="2"/>
      <c r="B1224" s="64"/>
      <c r="C1224" s="2"/>
      <c r="D1224" s="2"/>
      <c r="E1224" s="5"/>
      <c r="F1224" s="5"/>
    </row>
    <row r="1225" spans="1:6" s="74" customFormat="1" x14ac:dyDescent="0.2">
      <c r="A1225" s="2"/>
      <c r="B1225" s="64"/>
      <c r="C1225" s="2"/>
      <c r="D1225" s="2"/>
      <c r="E1225" s="5"/>
      <c r="F1225" s="5"/>
    </row>
    <row r="1226" spans="1:6" s="74" customFormat="1" x14ac:dyDescent="0.2">
      <c r="A1226" s="2"/>
      <c r="B1226" s="64"/>
      <c r="C1226" s="2"/>
      <c r="D1226" s="2"/>
      <c r="E1226" s="5"/>
      <c r="F1226" s="5"/>
    </row>
    <row r="1227" spans="1:6" s="74" customFormat="1" x14ac:dyDescent="0.2">
      <c r="A1227" s="2"/>
      <c r="B1227" s="64"/>
      <c r="C1227" s="2"/>
      <c r="D1227" s="2"/>
      <c r="E1227" s="5"/>
      <c r="F1227" s="5"/>
    </row>
    <row r="1228" spans="1:6" s="74" customFormat="1" x14ac:dyDescent="0.2">
      <c r="A1228" s="2"/>
      <c r="B1228" s="64"/>
      <c r="C1228" s="2"/>
      <c r="D1228" s="2"/>
      <c r="E1228" s="5"/>
      <c r="F1228" s="5"/>
    </row>
    <row r="1229" spans="1:6" s="74" customFormat="1" x14ac:dyDescent="0.2">
      <c r="A1229" s="2"/>
      <c r="B1229" s="64"/>
      <c r="C1229" s="2"/>
      <c r="D1229" s="2"/>
      <c r="E1229" s="5"/>
      <c r="F1229" s="5"/>
    </row>
    <row r="1230" spans="1:6" s="74" customFormat="1" x14ac:dyDescent="0.2">
      <c r="A1230" s="2"/>
      <c r="B1230" s="64"/>
      <c r="C1230" s="2"/>
      <c r="D1230" s="2"/>
      <c r="E1230" s="5"/>
      <c r="F1230" s="5"/>
    </row>
    <row r="1231" spans="1:6" s="74" customFormat="1" x14ac:dyDescent="0.2">
      <c r="A1231" s="2"/>
      <c r="B1231" s="64"/>
      <c r="C1231" s="2"/>
      <c r="D1231" s="2"/>
      <c r="E1231" s="5"/>
      <c r="F1231" s="5"/>
    </row>
    <row r="1232" spans="1:6" s="74" customFormat="1" x14ac:dyDescent="0.2">
      <c r="A1232" s="2"/>
      <c r="B1232" s="64"/>
      <c r="C1232" s="2"/>
      <c r="D1232" s="2"/>
      <c r="E1232" s="5"/>
      <c r="F1232" s="5"/>
    </row>
    <row r="1233" spans="1:6" s="74" customFormat="1" x14ac:dyDescent="0.2">
      <c r="A1233" s="2"/>
      <c r="B1233" s="64"/>
      <c r="C1233" s="2"/>
      <c r="D1233" s="2"/>
      <c r="E1233" s="5"/>
      <c r="F1233" s="5"/>
    </row>
    <row r="1234" spans="1:6" s="74" customFormat="1" x14ac:dyDescent="0.2">
      <c r="A1234" s="2"/>
      <c r="B1234" s="64"/>
      <c r="C1234" s="2"/>
      <c r="D1234" s="2"/>
      <c r="E1234" s="5"/>
      <c r="F1234" s="5"/>
    </row>
    <row r="1235" spans="1:6" s="74" customFormat="1" x14ac:dyDescent="0.2">
      <c r="A1235" s="2"/>
      <c r="B1235" s="64"/>
      <c r="C1235" s="2"/>
      <c r="D1235" s="2"/>
      <c r="E1235" s="5"/>
      <c r="F1235" s="5"/>
    </row>
    <row r="1236" spans="1:6" s="74" customFormat="1" x14ac:dyDescent="0.2">
      <c r="A1236" s="2"/>
      <c r="B1236" s="64"/>
      <c r="C1236" s="2"/>
      <c r="D1236" s="2"/>
      <c r="E1236" s="5"/>
      <c r="F1236" s="5"/>
    </row>
    <row r="1237" spans="1:6" s="74" customFormat="1" x14ac:dyDescent="0.2">
      <c r="A1237" s="2"/>
      <c r="B1237" s="64"/>
      <c r="C1237" s="2"/>
      <c r="D1237" s="2"/>
      <c r="E1237" s="5"/>
      <c r="F1237" s="5"/>
    </row>
    <row r="1238" spans="1:6" s="74" customFormat="1" x14ac:dyDescent="0.2">
      <c r="A1238" s="2"/>
      <c r="B1238" s="64"/>
      <c r="C1238" s="2"/>
      <c r="D1238" s="2"/>
      <c r="E1238" s="5"/>
      <c r="F1238" s="5"/>
    </row>
    <row r="1239" spans="1:6" s="74" customFormat="1" x14ac:dyDescent="0.2">
      <c r="A1239" s="2"/>
      <c r="B1239" s="64"/>
      <c r="C1239" s="2"/>
      <c r="D1239" s="2"/>
      <c r="E1239" s="5"/>
      <c r="F1239" s="5"/>
    </row>
    <row r="1240" spans="1:6" s="74" customFormat="1" x14ac:dyDescent="0.2">
      <c r="A1240" s="2"/>
      <c r="B1240" s="64"/>
      <c r="C1240" s="2"/>
      <c r="D1240" s="2"/>
      <c r="E1240" s="5"/>
      <c r="F1240" s="5"/>
    </row>
    <row r="1241" spans="1:6" s="74" customFormat="1" x14ac:dyDescent="0.2">
      <c r="A1241" s="2"/>
      <c r="B1241" s="64"/>
      <c r="C1241" s="2"/>
      <c r="D1241" s="2"/>
      <c r="E1241" s="5"/>
      <c r="F1241" s="5"/>
    </row>
    <row r="1242" spans="1:6" s="74" customFormat="1" x14ac:dyDescent="0.2">
      <c r="A1242" s="2"/>
      <c r="B1242" s="64"/>
      <c r="C1242" s="2"/>
      <c r="D1242" s="2"/>
      <c r="E1242" s="5"/>
      <c r="F1242" s="5"/>
    </row>
    <row r="1243" spans="1:6" s="74" customFormat="1" x14ac:dyDescent="0.2">
      <c r="A1243" s="2"/>
      <c r="B1243" s="64"/>
      <c r="C1243" s="2"/>
      <c r="D1243" s="2"/>
      <c r="E1243" s="5"/>
      <c r="F1243" s="5"/>
    </row>
    <row r="1244" spans="1:6" s="74" customFormat="1" x14ac:dyDescent="0.2">
      <c r="A1244" s="2"/>
      <c r="B1244" s="64"/>
      <c r="C1244" s="2"/>
      <c r="D1244" s="2"/>
      <c r="E1244" s="5"/>
      <c r="F1244" s="5"/>
    </row>
    <row r="1245" spans="1:6" s="74" customFormat="1" x14ac:dyDescent="0.2">
      <c r="A1245" s="2"/>
      <c r="B1245" s="64"/>
      <c r="C1245" s="2"/>
      <c r="D1245" s="2"/>
      <c r="E1245" s="5"/>
      <c r="F1245" s="5"/>
    </row>
    <row r="1246" spans="1:6" s="74" customFormat="1" x14ac:dyDescent="0.2">
      <c r="A1246" s="2"/>
      <c r="B1246" s="64"/>
      <c r="C1246" s="2"/>
      <c r="D1246" s="2"/>
      <c r="E1246" s="5"/>
      <c r="F1246" s="5"/>
    </row>
    <row r="1247" spans="1:6" s="74" customFormat="1" x14ac:dyDescent="0.2">
      <c r="A1247" s="2"/>
      <c r="B1247" s="64"/>
      <c r="C1247" s="2"/>
      <c r="D1247" s="2"/>
      <c r="E1247" s="5"/>
      <c r="F1247" s="5"/>
    </row>
    <row r="1248" spans="1:6" s="74" customFormat="1" x14ac:dyDescent="0.2">
      <c r="A1248" s="2"/>
      <c r="B1248" s="64"/>
      <c r="C1248" s="2"/>
      <c r="D1248" s="2"/>
      <c r="E1248" s="5"/>
      <c r="F1248" s="5"/>
    </row>
    <row r="1249" spans="1:6" s="74" customFormat="1" x14ac:dyDescent="0.2">
      <c r="A1249" s="2"/>
      <c r="B1249" s="64"/>
      <c r="C1249" s="2"/>
      <c r="D1249" s="2"/>
      <c r="E1249" s="5"/>
      <c r="F1249" s="5"/>
    </row>
    <row r="1250" spans="1:6" s="74" customFormat="1" x14ac:dyDescent="0.2">
      <c r="A1250" s="2"/>
      <c r="B1250" s="64"/>
      <c r="C1250" s="2"/>
      <c r="D1250" s="2"/>
      <c r="E1250" s="5"/>
      <c r="F1250" s="5"/>
    </row>
    <row r="1251" spans="1:6" s="74" customFormat="1" x14ac:dyDescent="0.2">
      <c r="A1251" s="2"/>
      <c r="B1251" s="64"/>
      <c r="C1251" s="2"/>
      <c r="D1251" s="2"/>
      <c r="E1251" s="5"/>
      <c r="F1251" s="5"/>
    </row>
    <row r="1252" spans="1:6" s="74" customFormat="1" x14ac:dyDescent="0.2">
      <c r="A1252" s="2"/>
      <c r="B1252" s="64"/>
      <c r="C1252" s="2"/>
      <c r="D1252" s="2"/>
      <c r="E1252" s="5"/>
      <c r="F1252" s="5"/>
    </row>
    <row r="1253" spans="1:6" s="74" customFormat="1" x14ac:dyDescent="0.2">
      <c r="A1253" s="2"/>
      <c r="B1253" s="64"/>
      <c r="C1253" s="2"/>
      <c r="D1253" s="2"/>
      <c r="E1253" s="5"/>
      <c r="F1253" s="5"/>
    </row>
    <row r="1254" spans="1:6" s="74" customFormat="1" x14ac:dyDescent="0.2">
      <c r="A1254" s="2"/>
      <c r="B1254" s="64"/>
      <c r="C1254" s="2"/>
      <c r="D1254" s="2"/>
      <c r="E1254" s="5"/>
      <c r="F1254" s="5"/>
    </row>
    <row r="1255" spans="1:6" s="74" customFormat="1" x14ac:dyDescent="0.2">
      <c r="A1255" s="2"/>
      <c r="B1255" s="64"/>
      <c r="C1255" s="2"/>
      <c r="D1255" s="2"/>
      <c r="E1255" s="5"/>
      <c r="F1255" s="5"/>
    </row>
    <row r="1256" spans="1:6" s="74" customFormat="1" x14ac:dyDescent="0.2">
      <c r="A1256" s="2"/>
      <c r="B1256" s="64"/>
      <c r="C1256" s="2"/>
      <c r="D1256" s="2"/>
      <c r="E1256" s="5"/>
      <c r="F1256" s="5"/>
    </row>
    <row r="1257" spans="1:6" s="74" customFormat="1" x14ac:dyDescent="0.2">
      <c r="A1257" s="2"/>
      <c r="B1257" s="64"/>
      <c r="C1257" s="2"/>
      <c r="D1257" s="2"/>
      <c r="E1257" s="5"/>
      <c r="F1257" s="5"/>
    </row>
    <row r="1258" spans="1:6" s="74" customFormat="1" x14ac:dyDescent="0.2">
      <c r="A1258" s="2"/>
      <c r="B1258" s="64"/>
      <c r="C1258" s="2"/>
      <c r="D1258" s="2"/>
      <c r="E1258" s="5"/>
      <c r="F1258" s="5"/>
    </row>
    <row r="1259" spans="1:6" s="74" customFormat="1" x14ac:dyDescent="0.2">
      <c r="A1259" s="2"/>
      <c r="B1259" s="64"/>
      <c r="C1259" s="2"/>
      <c r="D1259" s="2"/>
      <c r="E1259" s="5"/>
      <c r="F1259" s="5"/>
    </row>
    <row r="1260" spans="1:6" s="74" customFormat="1" x14ac:dyDescent="0.2">
      <c r="A1260" s="2"/>
      <c r="B1260" s="64"/>
      <c r="C1260" s="2"/>
      <c r="D1260" s="2"/>
      <c r="E1260" s="5"/>
      <c r="F1260" s="5"/>
    </row>
    <row r="1261" spans="1:6" s="74" customFormat="1" x14ac:dyDescent="0.2">
      <c r="A1261" s="2"/>
      <c r="B1261" s="64"/>
      <c r="C1261" s="2"/>
      <c r="D1261" s="2"/>
      <c r="E1261" s="5"/>
      <c r="F1261" s="5"/>
    </row>
    <row r="1262" spans="1:6" s="74" customFormat="1" x14ac:dyDescent="0.2">
      <c r="A1262" s="2"/>
      <c r="B1262" s="64"/>
      <c r="C1262" s="2"/>
      <c r="D1262" s="2"/>
      <c r="E1262" s="5"/>
      <c r="F1262" s="5"/>
    </row>
    <row r="1263" spans="1:6" s="74" customFormat="1" x14ac:dyDescent="0.2">
      <c r="A1263" s="2"/>
      <c r="B1263" s="64"/>
      <c r="C1263" s="2"/>
      <c r="D1263" s="2"/>
      <c r="E1263" s="5"/>
      <c r="F1263" s="5"/>
    </row>
    <row r="1264" spans="1:6" s="74" customFormat="1" x14ac:dyDescent="0.2">
      <c r="A1264" s="2"/>
      <c r="B1264" s="64"/>
      <c r="C1264" s="2"/>
      <c r="D1264" s="2"/>
      <c r="E1264" s="5"/>
      <c r="F1264" s="5"/>
    </row>
    <row r="1265" spans="1:6" s="74" customFormat="1" x14ac:dyDescent="0.2">
      <c r="A1265" s="2"/>
      <c r="B1265" s="64"/>
      <c r="C1265" s="2"/>
      <c r="D1265" s="2"/>
      <c r="E1265" s="5"/>
      <c r="F1265" s="5"/>
    </row>
    <row r="1266" spans="1:6" s="74" customFormat="1" x14ac:dyDescent="0.2">
      <c r="A1266" s="2"/>
      <c r="B1266" s="64"/>
      <c r="C1266" s="2"/>
      <c r="D1266" s="2"/>
      <c r="E1266" s="5"/>
      <c r="F1266" s="5"/>
    </row>
    <row r="1267" spans="1:6" s="74" customFormat="1" x14ac:dyDescent="0.2">
      <c r="A1267" s="2"/>
      <c r="B1267" s="64"/>
      <c r="C1267" s="2"/>
      <c r="D1267" s="2"/>
      <c r="E1267" s="5"/>
      <c r="F1267" s="5"/>
    </row>
    <row r="1268" spans="1:6" s="74" customFormat="1" x14ac:dyDescent="0.2">
      <c r="A1268" s="2"/>
      <c r="B1268" s="64"/>
      <c r="C1268" s="2"/>
      <c r="D1268" s="2"/>
      <c r="E1268" s="5"/>
      <c r="F1268" s="5"/>
    </row>
    <row r="1269" spans="1:6" s="74" customFormat="1" x14ac:dyDescent="0.2">
      <c r="A1269" s="2"/>
      <c r="B1269" s="64"/>
      <c r="C1269" s="2"/>
      <c r="D1269" s="2"/>
      <c r="E1269" s="5"/>
      <c r="F1269" s="5"/>
    </row>
    <row r="1270" spans="1:6" s="74" customFormat="1" x14ac:dyDescent="0.2">
      <c r="A1270" s="2"/>
      <c r="B1270" s="64"/>
      <c r="C1270" s="2"/>
      <c r="D1270" s="2"/>
      <c r="E1270" s="5"/>
      <c r="F1270" s="5"/>
    </row>
    <row r="1271" spans="1:6" s="74" customFormat="1" x14ac:dyDescent="0.2">
      <c r="A1271" s="2"/>
      <c r="B1271" s="64"/>
      <c r="C1271" s="2"/>
      <c r="D1271" s="2"/>
      <c r="E1271" s="5"/>
      <c r="F1271" s="5"/>
    </row>
    <row r="1272" spans="1:6" s="74" customFormat="1" x14ac:dyDescent="0.2">
      <c r="A1272" s="2"/>
      <c r="B1272" s="64"/>
      <c r="C1272" s="2"/>
      <c r="D1272" s="2"/>
      <c r="E1272" s="5"/>
      <c r="F1272" s="5"/>
    </row>
    <row r="1273" spans="1:6" s="74" customFormat="1" x14ac:dyDescent="0.2">
      <c r="A1273" s="2"/>
      <c r="B1273" s="64"/>
      <c r="C1273" s="2"/>
      <c r="D1273" s="2"/>
      <c r="E1273" s="5"/>
      <c r="F1273" s="5"/>
    </row>
    <row r="1274" spans="1:6" s="74" customFormat="1" x14ac:dyDescent="0.2">
      <c r="A1274" s="2"/>
      <c r="B1274" s="64"/>
      <c r="C1274" s="2"/>
      <c r="D1274" s="2"/>
      <c r="E1274" s="5"/>
      <c r="F1274" s="5"/>
    </row>
    <row r="1275" spans="1:6" s="74" customFormat="1" x14ac:dyDescent="0.2">
      <c r="A1275" s="2"/>
      <c r="B1275" s="64"/>
      <c r="C1275" s="2"/>
      <c r="D1275" s="2"/>
      <c r="E1275" s="5"/>
      <c r="F1275" s="5"/>
    </row>
    <row r="1276" spans="1:6" s="74" customFormat="1" x14ac:dyDescent="0.2">
      <c r="A1276" s="2"/>
      <c r="B1276" s="64"/>
      <c r="C1276" s="2"/>
      <c r="D1276" s="2"/>
      <c r="E1276" s="5"/>
      <c r="F1276" s="5"/>
    </row>
    <row r="1277" spans="1:6" s="74" customFormat="1" x14ac:dyDescent="0.2">
      <c r="A1277" s="2"/>
      <c r="B1277" s="64"/>
      <c r="C1277" s="2"/>
      <c r="D1277" s="2"/>
      <c r="E1277" s="5"/>
      <c r="F1277" s="5"/>
    </row>
    <row r="1278" spans="1:6" s="74" customFormat="1" x14ac:dyDescent="0.2">
      <c r="A1278" s="2"/>
      <c r="B1278" s="64"/>
      <c r="C1278" s="2"/>
      <c r="D1278" s="2"/>
      <c r="E1278" s="5"/>
      <c r="F1278" s="5"/>
    </row>
    <row r="1279" spans="1:6" s="74" customFormat="1" x14ac:dyDescent="0.2">
      <c r="A1279" s="2"/>
      <c r="B1279" s="64"/>
      <c r="C1279" s="2"/>
      <c r="D1279" s="2"/>
      <c r="E1279" s="5"/>
      <c r="F1279" s="5"/>
    </row>
    <row r="1280" spans="1:6" s="74" customFormat="1" x14ac:dyDescent="0.2">
      <c r="A1280" s="2"/>
      <c r="B1280" s="64"/>
      <c r="C1280" s="2"/>
      <c r="D1280" s="2"/>
      <c r="E1280" s="5"/>
      <c r="F1280" s="5"/>
    </row>
    <row r="1281" spans="1:6" s="74" customFormat="1" x14ac:dyDescent="0.2">
      <c r="A1281" s="2"/>
      <c r="B1281" s="64"/>
      <c r="C1281" s="2"/>
      <c r="D1281" s="2"/>
      <c r="E1281" s="5"/>
      <c r="F1281" s="5"/>
    </row>
    <row r="1282" spans="1:6" s="74" customFormat="1" x14ac:dyDescent="0.2">
      <c r="A1282" s="2"/>
      <c r="B1282" s="64"/>
      <c r="C1282" s="2"/>
      <c r="D1282" s="2"/>
      <c r="E1282" s="5"/>
      <c r="F1282" s="5"/>
    </row>
    <row r="1283" spans="1:6" s="74" customFormat="1" x14ac:dyDescent="0.2">
      <c r="A1283" s="2"/>
      <c r="B1283" s="64"/>
      <c r="C1283" s="2"/>
      <c r="D1283" s="2"/>
      <c r="E1283" s="5"/>
      <c r="F1283" s="5"/>
    </row>
    <row r="1284" spans="1:6" s="74" customFormat="1" x14ac:dyDescent="0.2">
      <c r="A1284" s="2"/>
      <c r="B1284" s="64"/>
      <c r="C1284" s="2"/>
      <c r="D1284" s="2"/>
      <c r="E1284" s="5"/>
      <c r="F1284" s="5"/>
    </row>
    <row r="1285" spans="1:6" s="74" customFormat="1" x14ac:dyDescent="0.2">
      <c r="A1285" s="2"/>
      <c r="B1285" s="64"/>
      <c r="C1285" s="2"/>
      <c r="D1285" s="2"/>
      <c r="E1285" s="5"/>
      <c r="F1285" s="5"/>
    </row>
    <row r="1286" spans="1:6" s="74" customFormat="1" x14ac:dyDescent="0.2">
      <c r="A1286" s="2"/>
      <c r="B1286" s="64"/>
      <c r="C1286" s="2"/>
      <c r="D1286" s="2"/>
      <c r="E1286" s="5"/>
      <c r="F1286" s="5"/>
    </row>
    <row r="1287" spans="1:6" s="74" customFormat="1" x14ac:dyDescent="0.2">
      <c r="A1287" s="2"/>
      <c r="B1287" s="64"/>
      <c r="C1287" s="2"/>
      <c r="D1287" s="2"/>
      <c r="E1287" s="5"/>
      <c r="F1287" s="5"/>
    </row>
    <row r="1288" spans="1:6" s="74" customFormat="1" x14ac:dyDescent="0.2">
      <c r="A1288" s="2"/>
      <c r="B1288" s="64"/>
      <c r="C1288" s="2"/>
      <c r="D1288" s="2"/>
      <c r="E1288" s="5"/>
      <c r="F1288" s="5"/>
    </row>
    <row r="1289" spans="1:6" s="74" customFormat="1" x14ac:dyDescent="0.2">
      <c r="A1289" s="2"/>
      <c r="B1289" s="64"/>
      <c r="C1289" s="2"/>
      <c r="D1289" s="2"/>
      <c r="E1289" s="5"/>
      <c r="F1289" s="5"/>
    </row>
    <row r="1290" spans="1:6" s="74" customFormat="1" x14ac:dyDescent="0.2">
      <c r="A1290" s="2"/>
      <c r="B1290" s="64"/>
      <c r="C1290" s="2"/>
      <c r="D1290" s="2"/>
      <c r="E1290" s="5"/>
      <c r="F1290" s="5"/>
    </row>
    <row r="1291" spans="1:6" s="74" customFormat="1" x14ac:dyDescent="0.2">
      <c r="A1291" s="2"/>
      <c r="B1291" s="64"/>
      <c r="C1291" s="2"/>
      <c r="D1291" s="2"/>
      <c r="E1291" s="5"/>
      <c r="F1291" s="5"/>
    </row>
    <row r="1292" spans="1:6" s="74" customFormat="1" x14ac:dyDescent="0.2">
      <c r="A1292" s="2"/>
      <c r="B1292" s="64"/>
      <c r="C1292" s="2"/>
      <c r="D1292" s="2"/>
      <c r="E1292" s="5"/>
      <c r="F1292" s="5"/>
    </row>
    <row r="1293" spans="1:6" s="74" customFormat="1" x14ac:dyDescent="0.2">
      <c r="A1293" s="2"/>
      <c r="B1293" s="64"/>
      <c r="C1293" s="2"/>
      <c r="D1293" s="2"/>
      <c r="E1293" s="5"/>
      <c r="F1293" s="5"/>
    </row>
    <row r="1294" spans="1:6" s="74" customFormat="1" x14ac:dyDescent="0.2">
      <c r="A1294" s="2"/>
      <c r="B1294" s="64"/>
      <c r="C1294" s="2"/>
      <c r="D1294" s="2"/>
      <c r="E1294" s="5"/>
      <c r="F1294" s="5"/>
    </row>
    <row r="1295" spans="1:6" s="74" customFormat="1" x14ac:dyDescent="0.2">
      <c r="A1295" s="2"/>
      <c r="B1295" s="64"/>
      <c r="C1295" s="2"/>
      <c r="D1295" s="2"/>
      <c r="E1295" s="5"/>
      <c r="F1295" s="5"/>
    </row>
    <row r="1296" spans="1:6" s="74" customFormat="1" x14ac:dyDescent="0.2">
      <c r="A1296" s="2"/>
      <c r="B1296" s="64"/>
      <c r="C1296" s="2"/>
      <c r="D1296" s="2"/>
      <c r="E1296" s="5"/>
      <c r="F1296" s="5"/>
    </row>
    <row r="1297" spans="1:6" s="74" customFormat="1" x14ac:dyDescent="0.2">
      <c r="A1297" s="2"/>
      <c r="B1297" s="64"/>
      <c r="C1297" s="2"/>
      <c r="D1297" s="2"/>
      <c r="E1297" s="5"/>
      <c r="F1297" s="5"/>
    </row>
    <row r="1298" spans="1:6" s="74" customFormat="1" x14ac:dyDescent="0.2">
      <c r="A1298" s="2"/>
      <c r="B1298" s="64"/>
      <c r="C1298" s="2"/>
      <c r="D1298" s="2"/>
      <c r="E1298" s="5"/>
      <c r="F1298" s="5"/>
    </row>
    <row r="1299" spans="1:6" s="74" customFormat="1" x14ac:dyDescent="0.2">
      <c r="A1299" s="2"/>
      <c r="B1299" s="64"/>
      <c r="C1299" s="2"/>
      <c r="D1299" s="2"/>
      <c r="E1299" s="5"/>
      <c r="F1299" s="5"/>
    </row>
    <row r="1300" spans="1:6" s="74" customFormat="1" x14ac:dyDescent="0.2">
      <c r="A1300" s="2"/>
      <c r="B1300" s="64"/>
      <c r="C1300" s="2"/>
      <c r="D1300" s="2"/>
      <c r="E1300" s="5"/>
      <c r="F1300" s="5"/>
    </row>
    <row r="1301" spans="1:6" s="74" customFormat="1" x14ac:dyDescent="0.2">
      <c r="A1301" s="2"/>
      <c r="B1301" s="64"/>
      <c r="C1301" s="2"/>
      <c r="D1301" s="2"/>
      <c r="E1301" s="5"/>
      <c r="F1301" s="5"/>
    </row>
    <row r="1302" spans="1:6" s="74" customFormat="1" x14ac:dyDescent="0.2">
      <c r="A1302" s="2"/>
      <c r="B1302" s="64"/>
      <c r="C1302" s="2"/>
      <c r="D1302" s="2"/>
      <c r="E1302" s="5"/>
      <c r="F1302" s="5"/>
    </row>
    <row r="1303" spans="1:6" s="74" customFormat="1" x14ac:dyDescent="0.2">
      <c r="A1303" s="2"/>
      <c r="B1303" s="64"/>
      <c r="C1303" s="2"/>
      <c r="D1303" s="2"/>
      <c r="E1303" s="5"/>
      <c r="F1303" s="5"/>
    </row>
    <row r="1304" spans="1:6" s="74" customFormat="1" x14ac:dyDescent="0.2">
      <c r="A1304" s="2"/>
      <c r="B1304" s="64"/>
      <c r="C1304" s="2"/>
      <c r="D1304" s="2"/>
      <c r="E1304" s="5"/>
      <c r="F1304" s="5"/>
    </row>
    <row r="1305" spans="1:6" s="74" customFormat="1" x14ac:dyDescent="0.2">
      <c r="A1305" s="2"/>
      <c r="B1305" s="64"/>
      <c r="C1305" s="2"/>
      <c r="D1305" s="2"/>
      <c r="E1305" s="5"/>
      <c r="F1305" s="5"/>
    </row>
    <row r="1306" spans="1:6" s="74" customFormat="1" x14ac:dyDescent="0.2">
      <c r="A1306" s="2"/>
      <c r="B1306" s="64"/>
      <c r="C1306" s="2"/>
      <c r="D1306" s="2"/>
      <c r="E1306" s="5"/>
      <c r="F1306" s="5"/>
    </row>
    <row r="1307" spans="1:6" s="74" customFormat="1" x14ac:dyDescent="0.2">
      <c r="A1307" s="2"/>
      <c r="B1307" s="64"/>
      <c r="C1307" s="2"/>
      <c r="D1307" s="2"/>
      <c r="E1307" s="5"/>
      <c r="F1307" s="5"/>
    </row>
    <row r="1308" spans="1:6" s="74" customFormat="1" x14ac:dyDescent="0.2">
      <c r="A1308" s="2"/>
      <c r="B1308" s="64"/>
      <c r="C1308" s="2"/>
      <c r="D1308" s="2"/>
      <c r="E1308" s="5"/>
      <c r="F1308" s="5"/>
    </row>
    <row r="1309" spans="1:6" s="74" customFormat="1" x14ac:dyDescent="0.2">
      <c r="A1309" s="2"/>
      <c r="B1309" s="64"/>
      <c r="C1309" s="2"/>
      <c r="D1309" s="2"/>
      <c r="E1309" s="5"/>
      <c r="F1309" s="5"/>
    </row>
    <row r="1310" spans="1:6" s="74" customFormat="1" x14ac:dyDescent="0.2">
      <c r="A1310" s="2"/>
      <c r="B1310" s="64"/>
      <c r="C1310" s="2"/>
      <c r="D1310" s="2"/>
      <c r="E1310" s="5"/>
      <c r="F1310" s="5"/>
    </row>
    <row r="1311" spans="1:6" s="74" customFormat="1" x14ac:dyDescent="0.2">
      <c r="A1311" s="2"/>
      <c r="B1311" s="64"/>
      <c r="C1311" s="2"/>
      <c r="D1311" s="2"/>
      <c r="E1311" s="5"/>
      <c r="F1311" s="5"/>
    </row>
    <row r="1312" spans="1:6" s="74" customFormat="1" x14ac:dyDescent="0.2">
      <c r="A1312" s="2"/>
      <c r="B1312" s="64"/>
      <c r="C1312" s="2"/>
      <c r="D1312" s="2"/>
      <c r="E1312" s="5"/>
      <c r="F1312" s="5"/>
    </row>
    <row r="1313" spans="1:6" s="74" customFormat="1" x14ac:dyDescent="0.2">
      <c r="A1313" s="2"/>
      <c r="B1313" s="64"/>
      <c r="C1313" s="2"/>
      <c r="D1313" s="2"/>
      <c r="E1313" s="5"/>
      <c r="F1313" s="5"/>
    </row>
    <row r="1314" spans="1:6" s="74" customFormat="1" x14ac:dyDescent="0.2">
      <c r="A1314" s="2"/>
      <c r="B1314" s="64"/>
      <c r="C1314" s="2"/>
      <c r="D1314" s="2"/>
      <c r="E1314" s="5"/>
      <c r="F1314" s="5"/>
    </row>
    <row r="1315" spans="1:6" s="74" customFormat="1" x14ac:dyDescent="0.2">
      <c r="A1315" s="2"/>
      <c r="B1315" s="64"/>
      <c r="C1315" s="2"/>
      <c r="D1315" s="2"/>
      <c r="E1315" s="5"/>
      <c r="F1315" s="5"/>
    </row>
    <row r="1316" spans="1:6" s="74" customFormat="1" x14ac:dyDescent="0.2">
      <c r="A1316" s="2"/>
      <c r="B1316" s="64"/>
      <c r="C1316" s="2"/>
      <c r="D1316" s="2"/>
      <c r="E1316" s="5"/>
      <c r="F1316" s="5"/>
    </row>
    <row r="1317" spans="1:6" s="74" customFormat="1" x14ac:dyDescent="0.2">
      <c r="A1317" s="2"/>
      <c r="B1317" s="64"/>
      <c r="C1317" s="2"/>
      <c r="D1317" s="2"/>
      <c r="E1317" s="5"/>
      <c r="F1317" s="5"/>
    </row>
    <row r="1318" spans="1:6" s="74" customFormat="1" x14ac:dyDescent="0.2">
      <c r="A1318" s="2"/>
      <c r="B1318" s="64"/>
      <c r="C1318" s="2"/>
      <c r="D1318" s="2"/>
      <c r="E1318" s="5"/>
      <c r="F1318" s="5"/>
    </row>
    <row r="1319" spans="1:6" s="74" customFormat="1" x14ac:dyDescent="0.2">
      <c r="A1319" s="2"/>
      <c r="B1319" s="64"/>
      <c r="C1319" s="2"/>
      <c r="D1319" s="2"/>
      <c r="E1319" s="5"/>
      <c r="F1319" s="5"/>
    </row>
    <row r="1320" spans="1:6" s="74" customFormat="1" x14ac:dyDescent="0.2">
      <c r="A1320" s="2"/>
      <c r="B1320" s="64"/>
      <c r="C1320" s="2"/>
      <c r="D1320" s="2"/>
      <c r="E1320" s="5"/>
      <c r="F1320" s="5"/>
    </row>
    <row r="1321" spans="1:6" s="74" customFormat="1" x14ac:dyDescent="0.2">
      <c r="A1321" s="2"/>
      <c r="B1321" s="64"/>
      <c r="C1321" s="2"/>
      <c r="D1321" s="2"/>
      <c r="E1321" s="5"/>
      <c r="F1321" s="5"/>
    </row>
    <row r="1322" spans="1:6" s="74" customFormat="1" x14ac:dyDescent="0.2">
      <c r="A1322" s="2"/>
      <c r="B1322" s="64"/>
      <c r="C1322" s="2"/>
      <c r="D1322" s="2"/>
      <c r="E1322" s="5"/>
      <c r="F1322" s="5"/>
    </row>
    <row r="1323" spans="1:6" s="74" customFormat="1" x14ac:dyDescent="0.2">
      <c r="A1323" s="2"/>
      <c r="B1323" s="64"/>
      <c r="C1323" s="2"/>
      <c r="D1323" s="2"/>
      <c r="E1323" s="5"/>
      <c r="F1323" s="5"/>
    </row>
    <row r="1324" spans="1:6" s="74" customFormat="1" x14ac:dyDescent="0.2">
      <c r="A1324" s="2"/>
      <c r="B1324" s="64"/>
      <c r="C1324" s="2"/>
      <c r="D1324" s="2"/>
      <c r="E1324" s="5"/>
      <c r="F1324" s="5"/>
    </row>
    <row r="1325" spans="1:6" s="74" customFormat="1" x14ac:dyDescent="0.2">
      <c r="A1325" s="2"/>
      <c r="B1325" s="64"/>
      <c r="C1325" s="2"/>
      <c r="D1325" s="2"/>
      <c r="E1325" s="5"/>
      <c r="F1325" s="5"/>
    </row>
    <row r="1326" spans="1:6" s="74" customFormat="1" x14ac:dyDescent="0.2">
      <c r="A1326" s="2"/>
      <c r="B1326" s="64"/>
      <c r="C1326" s="2"/>
      <c r="D1326" s="2"/>
      <c r="E1326" s="5"/>
      <c r="F1326" s="5"/>
    </row>
    <row r="1327" spans="1:6" s="74" customFormat="1" x14ac:dyDescent="0.2">
      <c r="A1327" s="2"/>
      <c r="B1327" s="64"/>
      <c r="C1327" s="2"/>
      <c r="D1327" s="2"/>
      <c r="E1327" s="5"/>
      <c r="F1327" s="5"/>
    </row>
    <row r="1328" spans="1:6" s="74" customFormat="1" x14ac:dyDescent="0.2">
      <c r="A1328" s="2"/>
      <c r="B1328" s="64"/>
      <c r="C1328" s="2"/>
      <c r="D1328" s="2"/>
      <c r="E1328" s="5"/>
      <c r="F1328" s="5"/>
    </row>
    <row r="1329" spans="1:6" s="74" customFormat="1" x14ac:dyDescent="0.2">
      <c r="A1329" s="2"/>
      <c r="B1329" s="64"/>
      <c r="C1329" s="2"/>
      <c r="D1329" s="2"/>
      <c r="E1329" s="5"/>
      <c r="F1329" s="5"/>
    </row>
    <row r="1330" spans="1:6" s="74" customFormat="1" x14ac:dyDescent="0.2">
      <c r="A1330" s="2"/>
      <c r="B1330" s="64"/>
      <c r="C1330" s="2"/>
      <c r="D1330" s="2"/>
      <c r="E1330" s="5"/>
      <c r="F1330" s="5"/>
    </row>
    <row r="1331" spans="1:6" s="74" customFormat="1" x14ac:dyDescent="0.2">
      <c r="A1331" s="2"/>
      <c r="B1331" s="64"/>
      <c r="C1331" s="2"/>
      <c r="D1331" s="2"/>
      <c r="E1331" s="5"/>
      <c r="F1331" s="5"/>
    </row>
    <row r="1332" spans="1:6" s="74" customFormat="1" x14ac:dyDescent="0.2">
      <c r="A1332" s="2"/>
      <c r="B1332" s="64"/>
      <c r="C1332" s="2"/>
      <c r="D1332" s="2"/>
      <c r="E1332" s="5"/>
      <c r="F1332" s="5"/>
    </row>
    <row r="1333" spans="1:6" s="74" customFormat="1" x14ac:dyDescent="0.2">
      <c r="A1333" s="2"/>
      <c r="B1333" s="64"/>
      <c r="C1333" s="2"/>
      <c r="D1333" s="2"/>
      <c r="E1333" s="5"/>
      <c r="F1333" s="5"/>
    </row>
    <row r="1334" spans="1:6" s="74" customFormat="1" x14ac:dyDescent="0.2">
      <c r="A1334" s="2"/>
      <c r="B1334" s="64"/>
      <c r="C1334" s="2"/>
      <c r="D1334" s="2"/>
      <c r="E1334" s="5"/>
      <c r="F1334" s="5"/>
    </row>
    <row r="1335" spans="1:6" s="74" customFormat="1" x14ac:dyDescent="0.2">
      <c r="A1335" s="2"/>
      <c r="B1335" s="64"/>
      <c r="C1335" s="2"/>
      <c r="D1335" s="2"/>
      <c r="E1335" s="5"/>
      <c r="F1335" s="5"/>
    </row>
    <row r="1336" spans="1:6" s="74" customFormat="1" x14ac:dyDescent="0.2">
      <c r="A1336" s="2"/>
      <c r="B1336" s="64"/>
      <c r="C1336" s="2"/>
      <c r="D1336" s="2"/>
      <c r="E1336" s="5"/>
      <c r="F1336" s="5"/>
    </row>
    <row r="1337" spans="1:6" s="74" customFormat="1" x14ac:dyDescent="0.2">
      <c r="A1337" s="2"/>
      <c r="B1337" s="64"/>
      <c r="C1337" s="2"/>
      <c r="D1337" s="2"/>
      <c r="E1337" s="5"/>
      <c r="F1337" s="5"/>
    </row>
    <row r="1338" spans="1:6" s="74" customFormat="1" x14ac:dyDescent="0.2">
      <c r="A1338" s="2"/>
      <c r="B1338" s="64"/>
      <c r="C1338" s="2"/>
      <c r="D1338" s="2"/>
      <c r="E1338" s="5"/>
      <c r="F1338" s="5"/>
    </row>
    <row r="1339" spans="1:6" s="74" customFormat="1" x14ac:dyDescent="0.2">
      <c r="A1339" s="2"/>
      <c r="B1339" s="64"/>
      <c r="C1339" s="2"/>
      <c r="D1339" s="2"/>
      <c r="E1339" s="5"/>
      <c r="F1339" s="5"/>
    </row>
    <row r="1340" spans="1:6" s="74" customFormat="1" x14ac:dyDescent="0.2">
      <c r="A1340" s="2"/>
      <c r="B1340" s="64"/>
      <c r="C1340" s="2"/>
      <c r="D1340" s="2"/>
      <c r="E1340" s="5"/>
      <c r="F1340" s="5"/>
    </row>
    <row r="1341" spans="1:6" s="74" customFormat="1" x14ac:dyDescent="0.2">
      <c r="A1341" s="2"/>
      <c r="B1341" s="64"/>
      <c r="C1341" s="2"/>
      <c r="D1341" s="2"/>
      <c r="E1341" s="5"/>
      <c r="F1341" s="5"/>
    </row>
    <row r="1342" spans="1:6" s="74" customFormat="1" x14ac:dyDescent="0.2">
      <c r="A1342" s="2"/>
      <c r="B1342" s="64"/>
      <c r="C1342" s="2"/>
      <c r="D1342" s="2"/>
      <c r="E1342" s="5"/>
      <c r="F1342" s="5"/>
    </row>
    <row r="1343" spans="1:6" s="74" customFormat="1" x14ac:dyDescent="0.2">
      <c r="A1343" s="2"/>
      <c r="B1343" s="64"/>
      <c r="C1343" s="2"/>
      <c r="D1343" s="2"/>
      <c r="E1343" s="5"/>
      <c r="F1343" s="5"/>
    </row>
    <row r="1344" spans="1:6" s="74" customFormat="1" x14ac:dyDescent="0.2">
      <c r="A1344" s="2"/>
      <c r="B1344" s="64"/>
      <c r="C1344" s="2"/>
      <c r="D1344" s="2"/>
      <c r="E1344" s="5"/>
      <c r="F1344" s="5"/>
    </row>
    <row r="1345" spans="1:6" s="74" customFormat="1" x14ac:dyDescent="0.2">
      <c r="A1345" s="2"/>
      <c r="B1345" s="64"/>
      <c r="C1345" s="2"/>
      <c r="D1345" s="2"/>
      <c r="E1345" s="5"/>
      <c r="F1345" s="5"/>
    </row>
    <row r="1346" spans="1:6" s="74" customFormat="1" x14ac:dyDescent="0.2">
      <c r="A1346" s="2"/>
      <c r="B1346" s="64"/>
      <c r="C1346" s="2"/>
      <c r="D1346" s="2"/>
      <c r="E1346" s="5"/>
      <c r="F1346" s="5"/>
    </row>
    <row r="1347" spans="1:6" s="74" customFormat="1" x14ac:dyDescent="0.2">
      <c r="A1347" s="2"/>
      <c r="B1347" s="64"/>
      <c r="C1347" s="2"/>
      <c r="D1347" s="2"/>
      <c r="E1347" s="5"/>
      <c r="F1347" s="5"/>
    </row>
    <row r="1348" spans="1:6" s="74" customFormat="1" x14ac:dyDescent="0.2">
      <c r="A1348" s="2"/>
      <c r="B1348" s="64"/>
      <c r="C1348" s="2"/>
      <c r="D1348" s="2"/>
      <c r="E1348" s="5"/>
      <c r="F1348" s="5"/>
    </row>
    <row r="1349" spans="1:6" s="74" customFormat="1" x14ac:dyDescent="0.2">
      <c r="A1349" s="2"/>
      <c r="B1349" s="64"/>
      <c r="C1349" s="2"/>
      <c r="D1349" s="2"/>
      <c r="E1349" s="5"/>
      <c r="F1349" s="5"/>
    </row>
    <row r="1350" spans="1:6" s="74" customFormat="1" x14ac:dyDescent="0.2">
      <c r="A1350" s="2"/>
      <c r="B1350" s="64"/>
      <c r="C1350" s="2"/>
      <c r="D1350" s="2"/>
      <c r="E1350" s="5"/>
      <c r="F1350" s="5"/>
    </row>
    <row r="1351" spans="1:6" s="74" customFormat="1" x14ac:dyDescent="0.2">
      <c r="A1351" s="2"/>
      <c r="B1351" s="64"/>
      <c r="C1351" s="2"/>
      <c r="D1351" s="2"/>
      <c r="E1351" s="5"/>
      <c r="F1351" s="5"/>
    </row>
    <row r="1352" spans="1:6" s="74" customFormat="1" x14ac:dyDescent="0.2">
      <c r="A1352" s="2"/>
      <c r="B1352" s="64"/>
      <c r="C1352" s="2"/>
      <c r="D1352" s="2"/>
      <c r="E1352" s="5"/>
      <c r="F1352" s="5"/>
    </row>
    <row r="1353" spans="1:6" s="74" customFormat="1" x14ac:dyDescent="0.2">
      <c r="A1353" s="2"/>
      <c r="B1353" s="64"/>
      <c r="C1353" s="2"/>
      <c r="D1353" s="2"/>
      <c r="E1353" s="5"/>
      <c r="F1353" s="5"/>
    </row>
    <row r="1354" spans="1:6" s="74" customFormat="1" x14ac:dyDescent="0.2">
      <c r="A1354" s="2"/>
      <c r="B1354" s="64"/>
      <c r="C1354" s="2"/>
      <c r="D1354" s="2"/>
      <c r="E1354" s="5"/>
      <c r="F1354" s="5"/>
    </row>
    <row r="1355" spans="1:6" s="74" customFormat="1" x14ac:dyDescent="0.2">
      <c r="A1355" s="2"/>
      <c r="B1355" s="64"/>
      <c r="C1355" s="2"/>
      <c r="D1355" s="2"/>
      <c r="E1355" s="5"/>
      <c r="F1355" s="5"/>
    </row>
    <row r="1356" spans="1:6" s="74" customFormat="1" x14ac:dyDescent="0.2">
      <c r="A1356" s="2"/>
      <c r="B1356" s="64"/>
      <c r="C1356" s="2"/>
      <c r="D1356" s="2"/>
      <c r="E1356" s="5"/>
      <c r="F1356" s="5"/>
    </row>
    <row r="1357" spans="1:6" s="74" customFormat="1" x14ac:dyDescent="0.2">
      <c r="A1357" s="2"/>
      <c r="B1357" s="64"/>
      <c r="C1357" s="2"/>
      <c r="D1357" s="2"/>
      <c r="E1357" s="5"/>
      <c r="F1357" s="5"/>
    </row>
    <row r="1358" spans="1:6" s="74" customFormat="1" x14ac:dyDescent="0.2">
      <c r="A1358" s="2"/>
      <c r="B1358" s="64"/>
      <c r="C1358" s="2"/>
      <c r="D1358" s="2"/>
      <c r="E1358" s="5"/>
      <c r="F1358" s="5"/>
    </row>
    <row r="1359" spans="1:6" s="74" customFormat="1" x14ac:dyDescent="0.2">
      <c r="A1359" s="2"/>
      <c r="B1359" s="64"/>
      <c r="C1359" s="2"/>
      <c r="D1359" s="2"/>
      <c r="E1359" s="5"/>
      <c r="F1359" s="5"/>
    </row>
    <row r="1360" spans="1:6" s="74" customFormat="1" x14ac:dyDescent="0.2">
      <c r="A1360" s="2"/>
      <c r="B1360" s="64"/>
      <c r="C1360" s="2"/>
      <c r="D1360" s="2"/>
      <c r="E1360" s="5"/>
      <c r="F1360" s="5"/>
    </row>
    <row r="1361" spans="1:6" s="74" customFormat="1" x14ac:dyDescent="0.2">
      <c r="A1361" s="2"/>
      <c r="B1361" s="64"/>
      <c r="C1361" s="2"/>
      <c r="D1361" s="2"/>
      <c r="E1361" s="5"/>
      <c r="F1361" s="5"/>
    </row>
    <row r="1362" spans="1:6" s="74" customFormat="1" x14ac:dyDescent="0.2">
      <c r="A1362" s="2"/>
      <c r="B1362" s="64"/>
      <c r="C1362" s="2"/>
      <c r="D1362" s="2"/>
      <c r="E1362" s="5"/>
      <c r="F1362" s="5"/>
    </row>
    <row r="1363" spans="1:6" s="74" customFormat="1" x14ac:dyDescent="0.2">
      <c r="A1363" s="2"/>
      <c r="B1363" s="64"/>
      <c r="C1363" s="2"/>
      <c r="D1363" s="2"/>
      <c r="E1363" s="5"/>
      <c r="F1363" s="5"/>
    </row>
    <row r="1364" spans="1:6" s="74" customFormat="1" x14ac:dyDescent="0.2">
      <c r="A1364" s="2"/>
      <c r="B1364" s="64"/>
      <c r="C1364" s="2"/>
      <c r="D1364" s="2"/>
      <c r="E1364" s="5"/>
      <c r="F1364" s="5"/>
    </row>
    <row r="1365" spans="1:6" s="74" customFormat="1" x14ac:dyDescent="0.2">
      <c r="A1365" s="2"/>
      <c r="B1365" s="64"/>
      <c r="C1365" s="2"/>
      <c r="D1365" s="2"/>
      <c r="E1365" s="5"/>
      <c r="F1365" s="5"/>
    </row>
    <row r="1366" spans="1:6" s="74" customFormat="1" x14ac:dyDescent="0.2">
      <c r="A1366" s="2"/>
      <c r="B1366" s="64"/>
      <c r="C1366" s="2"/>
      <c r="D1366" s="2"/>
      <c r="E1366" s="5"/>
      <c r="F1366" s="5"/>
    </row>
    <row r="1367" spans="1:6" s="74" customFormat="1" x14ac:dyDescent="0.2">
      <c r="A1367" s="2"/>
      <c r="B1367" s="64"/>
      <c r="C1367" s="2"/>
      <c r="D1367" s="2"/>
      <c r="E1367" s="5"/>
      <c r="F1367" s="5"/>
    </row>
    <row r="1368" spans="1:6" s="74" customFormat="1" x14ac:dyDescent="0.2">
      <c r="A1368" s="2"/>
      <c r="B1368" s="64"/>
      <c r="C1368" s="2"/>
      <c r="D1368" s="2"/>
      <c r="E1368" s="5"/>
      <c r="F1368" s="5"/>
    </row>
    <row r="1369" spans="1:6" s="74" customFormat="1" x14ac:dyDescent="0.2">
      <c r="A1369" s="2"/>
      <c r="B1369" s="64"/>
      <c r="C1369" s="2"/>
      <c r="D1369" s="2"/>
      <c r="E1369" s="5"/>
      <c r="F1369" s="5"/>
    </row>
    <row r="1370" spans="1:6" s="74" customFormat="1" x14ac:dyDescent="0.2">
      <c r="A1370" s="2"/>
      <c r="B1370" s="64"/>
      <c r="C1370" s="2"/>
      <c r="D1370" s="2"/>
      <c r="E1370" s="5"/>
      <c r="F1370" s="5"/>
    </row>
    <row r="1371" spans="1:6" s="74" customFormat="1" x14ac:dyDescent="0.2">
      <c r="A1371" s="2"/>
      <c r="B1371" s="64"/>
      <c r="C1371" s="2"/>
      <c r="D1371" s="2"/>
      <c r="E1371" s="5"/>
      <c r="F1371" s="5"/>
    </row>
    <row r="1372" spans="1:6" s="74" customFormat="1" x14ac:dyDescent="0.2">
      <c r="A1372" s="2"/>
      <c r="B1372" s="64"/>
      <c r="C1372" s="2"/>
      <c r="D1372" s="2"/>
      <c r="E1372" s="5"/>
      <c r="F1372" s="5"/>
    </row>
    <row r="1373" spans="1:6" s="74" customFormat="1" x14ac:dyDescent="0.2">
      <c r="A1373" s="2"/>
      <c r="B1373" s="64"/>
      <c r="C1373" s="2"/>
      <c r="D1373" s="2"/>
      <c r="E1373" s="5"/>
      <c r="F1373" s="5"/>
    </row>
    <row r="1374" spans="1:6" s="74" customFormat="1" x14ac:dyDescent="0.2">
      <c r="A1374" s="2"/>
      <c r="B1374" s="64"/>
      <c r="C1374" s="2"/>
      <c r="D1374" s="2"/>
      <c r="E1374" s="5"/>
      <c r="F1374" s="5"/>
    </row>
    <row r="1375" spans="1:6" s="74" customFormat="1" x14ac:dyDescent="0.2">
      <c r="A1375" s="2"/>
      <c r="B1375" s="64"/>
      <c r="C1375" s="2"/>
      <c r="D1375" s="2"/>
      <c r="E1375" s="5"/>
      <c r="F1375" s="5"/>
    </row>
    <row r="1376" spans="1:6" s="74" customFormat="1" x14ac:dyDescent="0.2">
      <c r="A1376" s="2"/>
      <c r="B1376" s="64"/>
      <c r="C1376" s="2"/>
      <c r="D1376" s="2"/>
      <c r="E1376" s="5"/>
      <c r="F1376" s="5"/>
    </row>
    <row r="1377" spans="1:6" s="74" customFormat="1" x14ac:dyDescent="0.2">
      <c r="A1377" s="2"/>
      <c r="B1377" s="64"/>
      <c r="C1377" s="2"/>
      <c r="D1377" s="2"/>
      <c r="E1377" s="5"/>
      <c r="F1377" s="5"/>
    </row>
    <row r="1378" spans="1:6" s="74" customFormat="1" x14ac:dyDescent="0.2">
      <c r="A1378" s="2"/>
      <c r="B1378" s="64"/>
      <c r="C1378" s="2"/>
      <c r="D1378" s="2"/>
      <c r="E1378" s="5"/>
      <c r="F1378" s="5"/>
    </row>
    <row r="1379" spans="1:6" s="74" customFormat="1" x14ac:dyDescent="0.2">
      <c r="A1379" s="2"/>
      <c r="B1379" s="64"/>
      <c r="C1379" s="2"/>
      <c r="D1379" s="2"/>
      <c r="E1379" s="5"/>
      <c r="F1379" s="5"/>
    </row>
    <row r="1380" spans="1:6" s="74" customFormat="1" x14ac:dyDescent="0.2">
      <c r="A1380" s="2"/>
      <c r="B1380" s="64"/>
      <c r="C1380" s="2"/>
      <c r="D1380" s="2"/>
      <c r="E1380" s="5"/>
      <c r="F1380" s="5"/>
    </row>
    <row r="1381" spans="1:6" s="74" customFormat="1" x14ac:dyDescent="0.2">
      <c r="A1381" s="2"/>
      <c r="B1381" s="64"/>
      <c r="C1381" s="2"/>
      <c r="D1381" s="2"/>
      <c r="E1381" s="5"/>
      <c r="F1381" s="5"/>
    </row>
    <row r="1382" spans="1:6" s="74" customFormat="1" x14ac:dyDescent="0.2">
      <c r="A1382" s="2"/>
      <c r="B1382" s="64"/>
      <c r="C1382" s="2"/>
      <c r="D1382" s="2"/>
      <c r="E1382" s="5"/>
      <c r="F1382" s="5"/>
    </row>
    <row r="1383" spans="1:6" s="74" customFormat="1" x14ac:dyDescent="0.2">
      <c r="A1383" s="2"/>
      <c r="B1383" s="64"/>
      <c r="C1383" s="2"/>
      <c r="D1383" s="2"/>
      <c r="E1383" s="5"/>
      <c r="F1383" s="5"/>
    </row>
    <row r="1384" spans="1:6" s="74" customFormat="1" x14ac:dyDescent="0.2">
      <c r="A1384" s="2"/>
      <c r="B1384" s="64"/>
      <c r="C1384" s="2"/>
      <c r="D1384" s="2"/>
      <c r="E1384" s="5"/>
      <c r="F1384" s="5"/>
    </row>
    <row r="1385" spans="1:6" s="74" customFormat="1" x14ac:dyDescent="0.2">
      <c r="A1385" s="2"/>
      <c r="B1385" s="64"/>
      <c r="C1385" s="2"/>
      <c r="D1385" s="2"/>
      <c r="E1385" s="5"/>
      <c r="F1385" s="5"/>
    </row>
    <row r="1386" spans="1:6" s="74" customFormat="1" x14ac:dyDescent="0.2">
      <c r="A1386" s="2"/>
      <c r="B1386" s="64"/>
      <c r="C1386" s="2"/>
      <c r="D1386" s="2"/>
      <c r="E1386" s="5"/>
      <c r="F1386" s="5"/>
    </row>
    <row r="1387" spans="1:6" s="74" customFormat="1" x14ac:dyDescent="0.2">
      <c r="A1387" s="2"/>
      <c r="B1387" s="64"/>
      <c r="C1387" s="2"/>
      <c r="D1387" s="2"/>
      <c r="E1387" s="5"/>
      <c r="F1387" s="5"/>
    </row>
    <row r="1388" spans="1:6" s="74" customFormat="1" x14ac:dyDescent="0.2">
      <c r="A1388" s="2"/>
      <c r="B1388" s="64"/>
      <c r="C1388" s="2"/>
      <c r="D1388" s="2"/>
      <c r="E1388" s="5"/>
      <c r="F1388" s="5"/>
    </row>
    <row r="1389" spans="1:6" s="74" customFormat="1" x14ac:dyDescent="0.2">
      <c r="A1389" s="2"/>
      <c r="B1389" s="64"/>
      <c r="C1389" s="2"/>
      <c r="D1389" s="2"/>
      <c r="E1389" s="5"/>
      <c r="F1389" s="5"/>
    </row>
    <row r="1390" spans="1:6" s="74" customFormat="1" x14ac:dyDescent="0.2">
      <c r="A1390" s="2"/>
      <c r="B1390" s="64"/>
      <c r="C1390" s="2"/>
      <c r="D1390" s="2"/>
      <c r="E1390" s="5"/>
      <c r="F1390" s="5"/>
    </row>
    <row r="1391" spans="1:6" s="74" customFormat="1" x14ac:dyDescent="0.2">
      <c r="A1391" s="2"/>
      <c r="B1391" s="64"/>
      <c r="C1391" s="2"/>
      <c r="D1391" s="2"/>
      <c r="E1391" s="5"/>
      <c r="F1391" s="5"/>
    </row>
    <row r="1392" spans="1:6" s="74" customFormat="1" x14ac:dyDescent="0.2">
      <c r="A1392" s="2"/>
      <c r="B1392" s="64"/>
      <c r="C1392" s="2"/>
      <c r="D1392" s="2"/>
      <c r="E1392" s="5"/>
      <c r="F1392" s="5"/>
    </row>
    <row r="1393" spans="1:6" s="74" customFormat="1" x14ac:dyDescent="0.2">
      <c r="A1393" s="2"/>
      <c r="B1393" s="64"/>
      <c r="C1393" s="2"/>
      <c r="D1393" s="2"/>
      <c r="E1393" s="5"/>
      <c r="F1393" s="5"/>
    </row>
    <row r="1394" spans="1:6" s="74" customFormat="1" x14ac:dyDescent="0.2">
      <c r="A1394" s="2"/>
      <c r="B1394" s="64"/>
      <c r="C1394" s="2"/>
      <c r="D1394" s="2"/>
      <c r="E1394" s="5"/>
      <c r="F1394" s="5"/>
    </row>
    <row r="1395" spans="1:6" s="74" customFormat="1" x14ac:dyDescent="0.2">
      <c r="A1395" s="2"/>
      <c r="B1395" s="64"/>
      <c r="C1395" s="2"/>
      <c r="D1395" s="2"/>
      <c r="E1395" s="5"/>
      <c r="F1395" s="5"/>
    </row>
    <row r="1396" spans="1:6" s="74" customFormat="1" x14ac:dyDescent="0.2">
      <c r="A1396" s="2"/>
      <c r="B1396" s="64"/>
      <c r="C1396" s="2"/>
      <c r="D1396" s="2"/>
      <c r="E1396" s="5"/>
      <c r="F1396" s="5"/>
    </row>
    <row r="1397" spans="1:6" s="74" customFormat="1" x14ac:dyDescent="0.2">
      <c r="A1397" s="2"/>
      <c r="B1397" s="64"/>
      <c r="C1397" s="2"/>
      <c r="D1397" s="2"/>
      <c r="E1397" s="5"/>
      <c r="F1397" s="5"/>
    </row>
    <row r="1398" spans="1:6" s="74" customFormat="1" x14ac:dyDescent="0.2">
      <c r="A1398" s="2"/>
      <c r="B1398" s="64"/>
      <c r="C1398" s="2"/>
      <c r="D1398" s="2"/>
      <c r="E1398" s="5"/>
      <c r="F1398" s="5"/>
    </row>
    <row r="1399" spans="1:6" s="74" customFormat="1" x14ac:dyDescent="0.2">
      <c r="A1399" s="2"/>
      <c r="B1399" s="64"/>
      <c r="C1399" s="2"/>
      <c r="D1399" s="2"/>
      <c r="E1399" s="5"/>
      <c r="F1399" s="5"/>
    </row>
    <row r="1400" spans="1:6" s="74" customFormat="1" x14ac:dyDescent="0.2">
      <c r="A1400" s="2"/>
      <c r="B1400" s="64"/>
      <c r="C1400" s="2"/>
      <c r="D1400" s="2"/>
      <c r="E1400" s="5"/>
      <c r="F1400" s="5"/>
    </row>
    <row r="1401" spans="1:6" s="74" customFormat="1" x14ac:dyDescent="0.2">
      <c r="A1401" s="2"/>
      <c r="B1401" s="64"/>
      <c r="C1401" s="2"/>
      <c r="D1401" s="2"/>
      <c r="E1401" s="5"/>
      <c r="F1401" s="5"/>
    </row>
    <row r="1402" spans="1:6" s="74" customFormat="1" x14ac:dyDescent="0.2">
      <c r="A1402" s="2"/>
      <c r="B1402" s="64"/>
      <c r="C1402" s="2"/>
      <c r="D1402" s="2"/>
      <c r="E1402" s="5"/>
      <c r="F1402" s="5"/>
    </row>
    <row r="1403" spans="1:6" s="74" customFormat="1" x14ac:dyDescent="0.2">
      <c r="A1403" s="2"/>
      <c r="B1403" s="64"/>
      <c r="C1403" s="2"/>
      <c r="D1403" s="2"/>
      <c r="E1403" s="5"/>
      <c r="F1403" s="5"/>
    </row>
    <row r="1404" spans="1:6" s="74" customFormat="1" x14ac:dyDescent="0.2">
      <c r="A1404" s="2"/>
      <c r="B1404" s="64"/>
      <c r="C1404" s="2"/>
      <c r="D1404" s="2"/>
      <c r="E1404" s="5"/>
      <c r="F1404" s="5"/>
    </row>
    <row r="1405" spans="1:6" s="74" customFormat="1" x14ac:dyDescent="0.2">
      <c r="A1405" s="2"/>
      <c r="B1405" s="64"/>
      <c r="C1405" s="2"/>
      <c r="D1405" s="2"/>
      <c r="E1405" s="5"/>
      <c r="F1405" s="5"/>
    </row>
    <row r="1406" spans="1:6" s="74" customFormat="1" x14ac:dyDescent="0.2">
      <c r="A1406" s="2"/>
      <c r="B1406" s="64"/>
      <c r="C1406" s="2"/>
      <c r="D1406" s="2"/>
      <c r="E1406" s="5"/>
      <c r="F1406" s="5"/>
    </row>
    <row r="1407" spans="1:6" s="74" customFormat="1" x14ac:dyDescent="0.2">
      <c r="A1407" s="2"/>
      <c r="B1407" s="64"/>
      <c r="C1407" s="2"/>
      <c r="D1407" s="2"/>
      <c r="E1407" s="5"/>
      <c r="F1407" s="5"/>
    </row>
    <row r="1408" spans="1:6" s="74" customFormat="1" x14ac:dyDescent="0.2">
      <c r="A1408" s="2"/>
      <c r="B1408" s="64"/>
      <c r="C1408" s="2"/>
      <c r="D1408" s="2"/>
      <c r="E1408" s="5"/>
      <c r="F1408" s="5"/>
    </row>
    <row r="1409" spans="1:6" s="74" customFormat="1" x14ac:dyDescent="0.2">
      <c r="A1409" s="2"/>
      <c r="B1409" s="64"/>
      <c r="C1409" s="2"/>
      <c r="D1409" s="2"/>
      <c r="E1409" s="5"/>
      <c r="F1409" s="5"/>
    </row>
    <row r="1410" spans="1:6" s="74" customFormat="1" x14ac:dyDescent="0.2">
      <c r="A1410" s="2"/>
      <c r="B1410" s="64"/>
      <c r="C1410" s="2"/>
      <c r="D1410" s="2"/>
      <c r="E1410" s="5"/>
      <c r="F1410" s="5"/>
    </row>
    <row r="1411" spans="1:6" s="74" customFormat="1" x14ac:dyDescent="0.2">
      <c r="A1411" s="2"/>
      <c r="B1411" s="64"/>
      <c r="C1411" s="2"/>
      <c r="D1411" s="2"/>
      <c r="E1411" s="5"/>
      <c r="F1411" s="5"/>
    </row>
    <row r="1412" spans="1:6" s="74" customFormat="1" x14ac:dyDescent="0.2">
      <c r="A1412" s="2"/>
      <c r="B1412" s="64"/>
      <c r="C1412" s="2"/>
      <c r="D1412" s="2"/>
      <c r="E1412" s="5"/>
      <c r="F1412" s="5"/>
    </row>
    <row r="1413" spans="1:6" s="74" customFormat="1" x14ac:dyDescent="0.2">
      <c r="A1413" s="2"/>
      <c r="B1413" s="64"/>
      <c r="C1413" s="2"/>
      <c r="D1413" s="2"/>
      <c r="E1413" s="5"/>
      <c r="F1413" s="5"/>
    </row>
    <row r="1414" spans="1:6" s="74" customFormat="1" x14ac:dyDescent="0.2">
      <c r="A1414" s="2"/>
      <c r="B1414" s="64"/>
      <c r="C1414" s="2"/>
      <c r="D1414" s="2"/>
      <c r="E1414" s="5"/>
      <c r="F1414" s="5"/>
    </row>
    <row r="1415" spans="1:6" s="74" customFormat="1" x14ac:dyDescent="0.2">
      <c r="A1415" s="2"/>
      <c r="B1415" s="64"/>
      <c r="C1415" s="2"/>
      <c r="D1415" s="2"/>
      <c r="E1415" s="5"/>
      <c r="F1415" s="5"/>
    </row>
    <row r="1416" spans="1:6" s="74" customFormat="1" x14ac:dyDescent="0.2">
      <c r="A1416" s="2"/>
      <c r="B1416" s="64"/>
      <c r="C1416" s="2"/>
      <c r="D1416" s="2"/>
      <c r="E1416" s="5"/>
      <c r="F1416" s="5"/>
    </row>
    <row r="1417" spans="1:6" s="74" customFormat="1" x14ac:dyDescent="0.2">
      <c r="A1417" s="2"/>
      <c r="B1417" s="64"/>
      <c r="C1417" s="2"/>
      <c r="D1417" s="2"/>
      <c r="E1417" s="5"/>
      <c r="F1417" s="5"/>
    </row>
    <row r="1418" spans="1:6" s="74" customFormat="1" x14ac:dyDescent="0.2">
      <c r="A1418" s="2"/>
      <c r="B1418" s="64"/>
      <c r="C1418" s="2"/>
      <c r="D1418" s="2"/>
      <c r="E1418" s="5"/>
      <c r="F1418" s="5"/>
    </row>
    <row r="1419" spans="1:6" s="74" customFormat="1" x14ac:dyDescent="0.2">
      <c r="A1419" s="2"/>
      <c r="B1419" s="64"/>
      <c r="C1419" s="2"/>
      <c r="D1419" s="2"/>
      <c r="E1419" s="5"/>
      <c r="F1419" s="5"/>
    </row>
    <row r="1420" spans="1:6" s="74" customFormat="1" x14ac:dyDescent="0.2">
      <c r="A1420" s="2"/>
      <c r="B1420" s="64"/>
      <c r="C1420" s="2"/>
      <c r="D1420" s="2"/>
      <c r="E1420" s="5"/>
      <c r="F1420" s="5"/>
    </row>
    <row r="1421" spans="1:6" s="74" customFormat="1" x14ac:dyDescent="0.2">
      <c r="A1421" s="2"/>
      <c r="B1421" s="64"/>
      <c r="C1421" s="2"/>
      <c r="D1421" s="2"/>
      <c r="E1421" s="5"/>
      <c r="F1421" s="5"/>
    </row>
    <row r="1422" spans="1:6" s="74" customFormat="1" x14ac:dyDescent="0.2">
      <c r="A1422" s="2"/>
      <c r="B1422" s="64"/>
      <c r="C1422" s="2"/>
      <c r="D1422" s="2"/>
      <c r="E1422" s="5"/>
      <c r="F1422" s="5"/>
    </row>
    <row r="1423" spans="1:6" s="74" customFormat="1" x14ac:dyDescent="0.2">
      <c r="A1423" s="2"/>
      <c r="B1423" s="64"/>
      <c r="C1423" s="2"/>
      <c r="D1423" s="2"/>
      <c r="E1423" s="5"/>
      <c r="F1423" s="5"/>
    </row>
    <row r="1424" spans="1:6" s="74" customFormat="1" x14ac:dyDescent="0.2">
      <c r="A1424" s="2"/>
      <c r="B1424" s="64"/>
      <c r="C1424" s="2"/>
      <c r="D1424" s="2"/>
      <c r="E1424" s="5"/>
      <c r="F1424" s="5"/>
    </row>
    <row r="1425" spans="1:6" s="74" customFormat="1" x14ac:dyDescent="0.2">
      <c r="A1425" s="2"/>
      <c r="B1425" s="64"/>
      <c r="C1425" s="2"/>
      <c r="D1425" s="2"/>
      <c r="E1425" s="5"/>
      <c r="F1425" s="5"/>
    </row>
    <row r="1426" spans="1:6" s="74" customFormat="1" x14ac:dyDescent="0.2">
      <c r="A1426" s="2"/>
      <c r="B1426" s="64"/>
      <c r="C1426" s="2"/>
      <c r="D1426" s="2"/>
      <c r="E1426" s="5"/>
      <c r="F1426" s="5"/>
    </row>
    <row r="1427" spans="1:6" s="74" customFormat="1" x14ac:dyDescent="0.2">
      <c r="A1427" s="2"/>
      <c r="B1427" s="64"/>
      <c r="C1427" s="2"/>
      <c r="D1427" s="2"/>
      <c r="E1427" s="5"/>
      <c r="F1427" s="5"/>
    </row>
    <row r="1428" spans="1:6" s="74" customFormat="1" x14ac:dyDescent="0.2">
      <c r="A1428" s="2"/>
      <c r="B1428" s="64"/>
      <c r="C1428" s="2"/>
      <c r="D1428" s="2"/>
      <c r="E1428" s="5"/>
      <c r="F1428" s="5"/>
    </row>
    <row r="1429" spans="1:6" s="74" customFormat="1" x14ac:dyDescent="0.2">
      <c r="A1429" s="2"/>
      <c r="B1429" s="64"/>
      <c r="C1429" s="2"/>
      <c r="D1429" s="2"/>
      <c r="E1429" s="5"/>
      <c r="F1429" s="5"/>
    </row>
    <row r="1430" spans="1:6" s="74" customFormat="1" x14ac:dyDescent="0.2">
      <c r="A1430" s="2"/>
      <c r="B1430" s="64"/>
      <c r="C1430" s="2"/>
      <c r="D1430" s="2"/>
      <c r="E1430" s="5"/>
      <c r="F1430" s="5"/>
    </row>
    <row r="1431" spans="1:6" s="74" customFormat="1" x14ac:dyDescent="0.2">
      <c r="A1431" s="2"/>
      <c r="B1431" s="64"/>
      <c r="C1431" s="2"/>
      <c r="D1431" s="2"/>
      <c r="E1431" s="5"/>
      <c r="F1431" s="5"/>
    </row>
    <row r="1432" spans="1:6" s="74" customFormat="1" x14ac:dyDescent="0.2">
      <c r="A1432" s="2"/>
      <c r="B1432" s="64"/>
      <c r="C1432" s="2"/>
      <c r="D1432" s="2"/>
      <c r="E1432" s="5"/>
      <c r="F1432" s="5"/>
    </row>
    <row r="1433" spans="1:6" s="74" customFormat="1" x14ac:dyDescent="0.2">
      <c r="A1433" s="2"/>
      <c r="B1433" s="64"/>
      <c r="C1433" s="2"/>
      <c r="D1433" s="2"/>
      <c r="E1433" s="5"/>
      <c r="F1433" s="5"/>
    </row>
    <row r="1434" spans="1:6" s="74" customFormat="1" x14ac:dyDescent="0.2">
      <c r="A1434" s="2"/>
      <c r="B1434" s="64"/>
      <c r="C1434" s="2"/>
      <c r="D1434" s="2"/>
      <c r="E1434" s="5"/>
      <c r="F1434" s="5"/>
    </row>
    <row r="1435" spans="1:6" s="74" customFormat="1" x14ac:dyDescent="0.2">
      <c r="A1435" s="2"/>
      <c r="B1435" s="64"/>
      <c r="C1435" s="2"/>
      <c r="D1435" s="2"/>
      <c r="E1435" s="5"/>
      <c r="F1435" s="5"/>
    </row>
    <row r="1436" spans="1:6" s="74" customFormat="1" x14ac:dyDescent="0.2">
      <c r="A1436" s="2"/>
      <c r="B1436" s="64"/>
      <c r="C1436" s="2"/>
      <c r="D1436" s="2"/>
      <c r="E1436" s="5"/>
      <c r="F1436" s="5"/>
    </row>
    <row r="1437" spans="1:6" s="74" customFormat="1" x14ac:dyDescent="0.2">
      <c r="A1437" s="2"/>
      <c r="B1437" s="64"/>
      <c r="C1437" s="2"/>
      <c r="D1437" s="2"/>
      <c r="E1437" s="5"/>
      <c r="F1437" s="5"/>
    </row>
    <row r="1438" spans="1:6" s="74" customFormat="1" x14ac:dyDescent="0.2">
      <c r="A1438" s="2"/>
      <c r="B1438" s="64"/>
      <c r="C1438" s="2"/>
      <c r="D1438" s="2"/>
      <c r="E1438" s="5"/>
      <c r="F1438" s="5"/>
    </row>
    <row r="1439" spans="1:6" s="74" customFormat="1" x14ac:dyDescent="0.2">
      <c r="A1439" s="2"/>
      <c r="B1439" s="64"/>
      <c r="C1439" s="2"/>
      <c r="D1439" s="2"/>
      <c r="E1439" s="5"/>
      <c r="F1439" s="5"/>
    </row>
    <row r="1440" spans="1:6" s="74" customFormat="1" x14ac:dyDescent="0.2">
      <c r="A1440" s="2"/>
      <c r="B1440" s="64"/>
      <c r="C1440" s="2"/>
      <c r="D1440" s="2"/>
      <c r="E1440" s="5"/>
      <c r="F1440" s="5"/>
    </row>
    <row r="1441" spans="1:6" s="74" customFormat="1" x14ac:dyDescent="0.2">
      <c r="A1441" s="2"/>
      <c r="B1441" s="64"/>
      <c r="C1441" s="2"/>
      <c r="D1441" s="2"/>
      <c r="E1441" s="5"/>
      <c r="F1441" s="5"/>
    </row>
    <row r="1442" spans="1:6" s="74" customFormat="1" x14ac:dyDescent="0.2">
      <c r="A1442" s="2"/>
      <c r="B1442" s="64"/>
      <c r="C1442" s="2"/>
      <c r="D1442" s="2"/>
      <c r="E1442" s="5"/>
      <c r="F1442" s="5"/>
    </row>
    <row r="1443" spans="1:6" s="74" customFormat="1" x14ac:dyDescent="0.2">
      <c r="A1443" s="2"/>
      <c r="B1443" s="64"/>
      <c r="C1443" s="2"/>
      <c r="D1443" s="2"/>
      <c r="E1443" s="5"/>
      <c r="F1443" s="5"/>
    </row>
    <row r="1444" spans="1:6" s="74" customFormat="1" x14ac:dyDescent="0.2">
      <c r="A1444" s="2"/>
      <c r="B1444" s="64"/>
      <c r="C1444" s="2"/>
      <c r="D1444" s="2"/>
      <c r="E1444" s="5"/>
      <c r="F1444" s="5"/>
    </row>
    <row r="1445" spans="1:6" s="74" customFormat="1" x14ac:dyDescent="0.2">
      <c r="A1445" s="2"/>
      <c r="B1445" s="64"/>
      <c r="C1445" s="2"/>
      <c r="D1445" s="2"/>
      <c r="E1445" s="5"/>
      <c r="F1445" s="5"/>
    </row>
    <row r="1446" spans="1:6" s="74" customFormat="1" x14ac:dyDescent="0.2">
      <c r="A1446" s="2"/>
      <c r="B1446" s="64"/>
      <c r="C1446" s="2"/>
      <c r="D1446" s="2"/>
      <c r="E1446" s="5"/>
      <c r="F1446" s="5"/>
    </row>
    <row r="1447" spans="1:6" s="74" customFormat="1" x14ac:dyDescent="0.2">
      <c r="A1447" s="2"/>
      <c r="B1447" s="64"/>
      <c r="C1447" s="2"/>
      <c r="D1447" s="2"/>
      <c r="E1447" s="5"/>
      <c r="F1447" s="5"/>
    </row>
    <row r="1448" spans="1:6" s="74" customFormat="1" x14ac:dyDescent="0.2">
      <c r="A1448" s="2"/>
      <c r="B1448" s="64"/>
      <c r="C1448" s="2"/>
      <c r="D1448" s="2"/>
      <c r="E1448" s="5"/>
      <c r="F1448" s="5"/>
    </row>
    <row r="1449" spans="1:6" s="74" customFormat="1" x14ac:dyDescent="0.2">
      <c r="A1449" s="2"/>
      <c r="B1449" s="64"/>
      <c r="C1449" s="2"/>
      <c r="D1449" s="2"/>
      <c r="E1449" s="5"/>
      <c r="F1449" s="5"/>
    </row>
    <row r="1450" spans="1:6" s="74" customFormat="1" x14ac:dyDescent="0.2">
      <c r="A1450" s="2"/>
      <c r="B1450" s="64"/>
      <c r="C1450" s="2"/>
      <c r="D1450" s="2"/>
      <c r="E1450" s="5"/>
      <c r="F1450" s="5"/>
    </row>
    <row r="1451" spans="1:6" s="74" customFormat="1" x14ac:dyDescent="0.2">
      <c r="A1451" s="2"/>
      <c r="B1451" s="64"/>
      <c r="C1451" s="2"/>
      <c r="D1451" s="2"/>
      <c r="E1451" s="5"/>
      <c r="F1451" s="5"/>
    </row>
    <row r="1452" spans="1:6" s="74" customFormat="1" x14ac:dyDescent="0.2">
      <c r="A1452" s="2"/>
      <c r="B1452" s="64"/>
      <c r="C1452" s="2"/>
      <c r="D1452" s="2"/>
      <c r="E1452" s="5"/>
      <c r="F1452" s="5"/>
    </row>
    <row r="1453" spans="1:6" s="74" customFormat="1" x14ac:dyDescent="0.2">
      <c r="A1453" s="2"/>
      <c r="B1453" s="64"/>
      <c r="C1453" s="2"/>
      <c r="D1453" s="2"/>
      <c r="E1453" s="5"/>
      <c r="F1453" s="5"/>
    </row>
    <row r="1454" spans="1:6" s="74" customFormat="1" x14ac:dyDescent="0.2">
      <c r="A1454" s="2"/>
      <c r="B1454" s="64"/>
      <c r="C1454" s="2"/>
      <c r="D1454" s="2"/>
      <c r="E1454" s="5"/>
      <c r="F1454" s="5"/>
    </row>
    <row r="1455" spans="1:6" s="74" customFormat="1" x14ac:dyDescent="0.2">
      <c r="A1455" s="2"/>
      <c r="B1455" s="64"/>
      <c r="C1455" s="2"/>
      <c r="D1455" s="2"/>
      <c r="E1455" s="5"/>
      <c r="F1455" s="5"/>
    </row>
    <row r="1456" spans="1:6" s="74" customFormat="1" x14ac:dyDescent="0.2">
      <c r="A1456" s="2"/>
      <c r="B1456" s="64"/>
      <c r="C1456" s="2"/>
      <c r="D1456" s="2"/>
      <c r="E1456" s="5"/>
      <c r="F1456" s="5"/>
    </row>
    <row r="1457" spans="1:6" s="74" customFormat="1" x14ac:dyDescent="0.2">
      <c r="A1457" s="2"/>
      <c r="B1457" s="64"/>
      <c r="C1457" s="2"/>
      <c r="D1457" s="2"/>
      <c r="E1457" s="5"/>
      <c r="F1457" s="5"/>
    </row>
    <row r="1458" spans="1:6" s="74" customFormat="1" x14ac:dyDescent="0.2">
      <c r="A1458" s="2"/>
      <c r="B1458" s="64"/>
      <c r="C1458" s="2"/>
      <c r="D1458" s="2"/>
      <c r="E1458" s="5"/>
      <c r="F1458" s="5"/>
    </row>
    <row r="1459" spans="1:6" s="74" customFormat="1" x14ac:dyDescent="0.2">
      <c r="A1459" s="2"/>
      <c r="B1459" s="64"/>
      <c r="C1459" s="2"/>
      <c r="D1459" s="2"/>
      <c r="E1459" s="5"/>
      <c r="F1459" s="5"/>
    </row>
    <row r="1460" spans="1:6" s="74" customFormat="1" x14ac:dyDescent="0.2">
      <c r="A1460" s="2"/>
      <c r="B1460" s="64"/>
      <c r="C1460" s="2"/>
      <c r="D1460" s="2"/>
      <c r="E1460" s="5"/>
      <c r="F1460" s="5"/>
    </row>
    <row r="1461" spans="1:6" s="74" customFormat="1" x14ac:dyDescent="0.2">
      <c r="A1461" s="2"/>
      <c r="B1461" s="64"/>
      <c r="C1461" s="2"/>
      <c r="D1461" s="2"/>
      <c r="E1461" s="5"/>
      <c r="F1461" s="5"/>
    </row>
    <row r="1462" spans="1:6" s="74" customFormat="1" x14ac:dyDescent="0.2">
      <c r="A1462" s="2"/>
      <c r="B1462" s="64"/>
      <c r="C1462" s="2"/>
      <c r="D1462" s="2"/>
      <c r="E1462" s="5"/>
      <c r="F1462" s="5"/>
    </row>
    <row r="1463" spans="1:6" s="74" customFormat="1" x14ac:dyDescent="0.2">
      <c r="A1463" s="2"/>
      <c r="B1463" s="64"/>
      <c r="C1463" s="2"/>
      <c r="D1463" s="2"/>
      <c r="E1463" s="5"/>
      <c r="F1463" s="5"/>
    </row>
    <row r="1464" spans="1:6" s="74" customFormat="1" x14ac:dyDescent="0.2">
      <c r="A1464" s="2"/>
      <c r="B1464" s="64"/>
      <c r="C1464" s="2"/>
      <c r="D1464" s="2"/>
      <c r="E1464" s="5"/>
      <c r="F1464" s="5"/>
    </row>
    <row r="1465" spans="1:6" s="74" customFormat="1" x14ac:dyDescent="0.2">
      <c r="A1465" s="2"/>
      <c r="B1465" s="64"/>
      <c r="C1465" s="2"/>
      <c r="D1465" s="2"/>
      <c r="E1465" s="5"/>
      <c r="F1465" s="5"/>
    </row>
    <row r="1466" spans="1:6" s="74" customFormat="1" x14ac:dyDescent="0.2">
      <c r="A1466" s="2"/>
      <c r="B1466" s="64"/>
      <c r="C1466" s="2"/>
      <c r="D1466" s="2"/>
      <c r="E1466" s="5"/>
      <c r="F1466" s="5"/>
    </row>
    <row r="1467" spans="1:6" s="74" customFormat="1" x14ac:dyDescent="0.2">
      <c r="A1467" s="2"/>
      <c r="B1467" s="64"/>
      <c r="C1467" s="2"/>
      <c r="D1467" s="2"/>
      <c r="E1467" s="5"/>
      <c r="F1467" s="5"/>
    </row>
    <row r="1468" spans="1:6" s="74" customFormat="1" x14ac:dyDescent="0.2">
      <c r="A1468" s="2"/>
      <c r="B1468" s="64"/>
      <c r="C1468" s="2"/>
      <c r="D1468" s="2"/>
      <c r="E1468" s="5"/>
      <c r="F1468" s="5"/>
    </row>
    <row r="1469" spans="1:6" s="74" customFormat="1" x14ac:dyDescent="0.2">
      <c r="A1469" s="2"/>
      <c r="B1469" s="64"/>
      <c r="C1469" s="2"/>
      <c r="D1469" s="2"/>
      <c r="E1469" s="5"/>
      <c r="F1469" s="5"/>
    </row>
    <row r="1470" spans="1:6" s="74" customFormat="1" x14ac:dyDescent="0.2">
      <c r="A1470" s="2"/>
      <c r="B1470" s="64"/>
      <c r="C1470" s="2"/>
      <c r="D1470" s="2"/>
      <c r="E1470" s="5"/>
      <c r="F1470" s="5"/>
    </row>
    <row r="1471" spans="1:6" s="74" customFormat="1" x14ac:dyDescent="0.2">
      <c r="A1471" s="2"/>
      <c r="B1471" s="64"/>
      <c r="C1471" s="2"/>
      <c r="D1471" s="2"/>
      <c r="E1471" s="5"/>
      <c r="F1471" s="5"/>
    </row>
    <row r="1472" spans="1:6" s="74" customFormat="1" x14ac:dyDescent="0.2">
      <c r="A1472" s="2"/>
      <c r="B1472" s="64"/>
      <c r="C1472" s="2"/>
      <c r="D1472" s="2"/>
      <c r="E1472" s="5"/>
      <c r="F1472" s="5"/>
    </row>
    <row r="1473" spans="1:6" s="74" customFormat="1" x14ac:dyDescent="0.2">
      <c r="A1473" s="2"/>
      <c r="B1473" s="64"/>
      <c r="C1473" s="2"/>
      <c r="D1473" s="2"/>
      <c r="E1473" s="5"/>
      <c r="F1473" s="5"/>
    </row>
    <row r="1474" spans="1:6" s="74" customFormat="1" x14ac:dyDescent="0.2">
      <c r="A1474" s="2"/>
      <c r="B1474" s="64"/>
      <c r="C1474" s="2"/>
      <c r="D1474" s="2"/>
      <c r="E1474" s="5"/>
      <c r="F1474" s="5"/>
    </row>
    <row r="1475" spans="1:6" s="74" customFormat="1" x14ac:dyDescent="0.2">
      <c r="A1475" s="2"/>
      <c r="B1475" s="64"/>
      <c r="C1475" s="2"/>
      <c r="D1475" s="2"/>
      <c r="E1475" s="5"/>
      <c r="F1475" s="5"/>
    </row>
    <row r="1476" spans="1:6" s="74" customFormat="1" x14ac:dyDescent="0.2">
      <c r="A1476" s="2"/>
      <c r="B1476" s="64"/>
      <c r="C1476" s="2"/>
      <c r="D1476" s="2"/>
      <c r="E1476" s="5"/>
      <c r="F1476" s="5"/>
    </row>
    <row r="1477" spans="1:6" s="74" customFormat="1" x14ac:dyDescent="0.2">
      <c r="A1477" s="2"/>
      <c r="B1477" s="64"/>
      <c r="C1477" s="2"/>
      <c r="D1477" s="2"/>
      <c r="E1477" s="5"/>
      <c r="F1477" s="5"/>
    </row>
    <row r="1478" spans="1:6" s="74" customFormat="1" x14ac:dyDescent="0.2">
      <c r="A1478" s="2"/>
      <c r="B1478" s="64"/>
      <c r="C1478" s="2"/>
      <c r="D1478" s="2"/>
      <c r="E1478" s="5"/>
      <c r="F1478" s="5"/>
    </row>
    <row r="1479" spans="1:6" s="74" customFormat="1" x14ac:dyDescent="0.2">
      <c r="A1479" s="2"/>
      <c r="B1479" s="64"/>
      <c r="C1479" s="2"/>
      <c r="D1479" s="2"/>
      <c r="E1479" s="5"/>
      <c r="F1479" s="5"/>
    </row>
    <row r="1480" spans="1:6" s="74" customFormat="1" x14ac:dyDescent="0.2">
      <c r="A1480" s="2"/>
      <c r="B1480" s="64"/>
      <c r="C1480" s="2"/>
      <c r="D1480" s="2"/>
      <c r="E1480" s="5"/>
      <c r="F1480" s="5"/>
    </row>
    <row r="1481" spans="1:6" s="74" customFormat="1" x14ac:dyDescent="0.2">
      <c r="A1481" s="2"/>
      <c r="B1481" s="64"/>
      <c r="C1481" s="2"/>
      <c r="D1481" s="2"/>
      <c r="E1481" s="5"/>
      <c r="F1481" s="5"/>
    </row>
    <row r="1482" spans="1:6" s="74" customFormat="1" x14ac:dyDescent="0.2">
      <c r="A1482" s="2"/>
      <c r="B1482" s="64"/>
      <c r="C1482" s="2"/>
      <c r="D1482" s="2"/>
      <c r="E1482" s="5"/>
      <c r="F1482" s="5"/>
    </row>
    <row r="1483" spans="1:6" s="74" customFormat="1" x14ac:dyDescent="0.2">
      <c r="A1483" s="2"/>
      <c r="B1483" s="64"/>
      <c r="C1483" s="2"/>
      <c r="D1483" s="2"/>
      <c r="E1483" s="5"/>
      <c r="F1483" s="5"/>
    </row>
    <row r="1484" spans="1:6" s="74" customFormat="1" x14ac:dyDescent="0.2">
      <c r="A1484" s="2"/>
      <c r="B1484" s="64"/>
      <c r="C1484" s="2"/>
      <c r="D1484" s="2"/>
      <c r="E1484" s="5"/>
      <c r="F1484" s="5"/>
    </row>
    <row r="1485" spans="1:6" s="74" customFormat="1" x14ac:dyDescent="0.2">
      <c r="A1485" s="2"/>
      <c r="B1485" s="64"/>
      <c r="C1485" s="2"/>
      <c r="D1485" s="2"/>
      <c r="E1485" s="5"/>
      <c r="F1485" s="5"/>
    </row>
    <row r="1486" spans="1:6" s="74" customFormat="1" x14ac:dyDescent="0.2">
      <c r="A1486" s="2"/>
      <c r="B1486" s="64"/>
      <c r="C1486" s="2"/>
      <c r="D1486" s="2"/>
      <c r="E1486" s="5"/>
      <c r="F1486" s="5"/>
    </row>
    <row r="1487" spans="1:6" s="74" customFormat="1" x14ac:dyDescent="0.2">
      <c r="A1487" s="2"/>
      <c r="B1487" s="64"/>
      <c r="C1487" s="2"/>
      <c r="D1487" s="2"/>
      <c r="E1487" s="5"/>
      <c r="F1487" s="5"/>
    </row>
    <row r="1488" spans="1:6" s="74" customFormat="1" x14ac:dyDescent="0.2">
      <c r="A1488" s="2"/>
      <c r="B1488" s="64"/>
      <c r="C1488" s="2"/>
      <c r="D1488" s="2"/>
      <c r="E1488" s="5"/>
      <c r="F1488" s="5"/>
    </row>
    <row r="1489" spans="1:6" s="74" customFormat="1" x14ac:dyDescent="0.2">
      <c r="A1489" s="2"/>
      <c r="B1489" s="64"/>
      <c r="C1489" s="2"/>
      <c r="D1489" s="2"/>
      <c r="E1489" s="5"/>
      <c r="F1489" s="5"/>
    </row>
    <row r="1490" spans="1:6" s="74" customFormat="1" x14ac:dyDescent="0.2">
      <c r="A1490" s="2"/>
      <c r="B1490" s="64"/>
      <c r="C1490" s="2"/>
      <c r="D1490" s="2"/>
      <c r="E1490" s="5"/>
      <c r="F1490" s="5"/>
    </row>
    <row r="1491" spans="1:6" s="74" customFormat="1" x14ac:dyDescent="0.2">
      <c r="A1491" s="2"/>
      <c r="B1491" s="64"/>
      <c r="C1491" s="2"/>
      <c r="D1491" s="2"/>
      <c r="E1491" s="5"/>
      <c r="F1491" s="5"/>
    </row>
    <row r="1492" spans="1:6" s="74" customFormat="1" x14ac:dyDescent="0.2">
      <c r="A1492" s="2"/>
      <c r="B1492" s="64"/>
      <c r="C1492" s="2"/>
      <c r="D1492" s="2"/>
      <c r="E1492" s="5"/>
      <c r="F1492" s="5"/>
    </row>
    <row r="1493" spans="1:6" s="74" customFormat="1" x14ac:dyDescent="0.2">
      <c r="A1493" s="2"/>
      <c r="B1493" s="64"/>
      <c r="C1493" s="2"/>
      <c r="D1493" s="2"/>
      <c r="E1493" s="5"/>
      <c r="F1493" s="5"/>
    </row>
    <row r="1494" spans="1:6" s="74" customFormat="1" x14ac:dyDescent="0.2">
      <c r="A1494" s="2"/>
      <c r="B1494" s="64"/>
      <c r="C1494" s="2"/>
      <c r="D1494" s="2"/>
      <c r="E1494" s="5"/>
      <c r="F1494" s="5"/>
    </row>
    <row r="1495" spans="1:6" s="74" customFormat="1" x14ac:dyDescent="0.2">
      <c r="A1495" s="2"/>
      <c r="B1495" s="64"/>
      <c r="C1495" s="2"/>
      <c r="D1495" s="2"/>
      <c r="E1495" s="5"/>
      <c r="F1495" s="5"/>
    </row>
    <row r="1496" spans="1:6" s="74" customFormat="1" x14ac:dyDescent="0.2">
      <c r="A1496" s="2"/>
      <c r="B1496" s="64"/>
      <c r="C1496" s="2"/>
      <c r="D1496" s="2"/>
      <c r="E1496" s="5"/>
      <c r="F1496" s="5"/>
    </row>
    <row r="1497" spans="1:6" s="74" customFormat="1" x14ac:dyDescent="0.2">
      <c r="A1497" s="2"/>
      <c r="B1497" s="64"/>
      <c r="C1497" s="2"/>
      <c r="D1497" s="2"/>
      <c r="E1497" s="5"/>
      <c r="F1497" s="5"/>
    </row>
    <row r="1498" spans="1:6" s="74" customFormat="1" x14ac:dyDescent="0.2">
      <c r="A1498" s="2"/>
      <c r="B1498" s="64"/>
      <c r="C1498" s="2"/>
      <c r="D1498" s="2"/>
      <c r="E1498" s="5"/>
      <c r="F1498" s="5"/>
    </row>
    <row r="1499" spans="1:6" s="74" customFormat="1" x14ac:dyDescent="0.2">
      <c r="A1499" s="2"/>
      <c r="B1499" s="64"/>
      <c r="C1499" s="2"/>
      <c r="D1499" s="2"/>
      <c r="E1499" s="5"/>
      <c r="F1499" s="5"/>
    </row>
    <row r="1500" spans="1:6" s="74" customFormat="1" x14ac:dyDescent="0.2">
      <c r="A1500" s="2"/>
      <c r="B1500" s="64"/>
      <c r="C1500" s="2"/>
      <c r="D1500" s="2"/>
      <c r="E1500" s="5"/>
      <c r="F1500" s="5"/>
    </row>
    <row r="1501" spans="1:6" s="74" customFormat="1" x14ac:dyDescent="0.2">
      <c r="A1501" s="2"/>
      <c r="B1501" s="64"/>
      <c r="C1501" s="2"/>
      <c r="D1501" s="2"/>
      <c r="E1501" s="5"/>
      <c r="F1501" s="5"/>
    </row>
    <row r="1502" spans="1:6" s="74" customFormat="1" x14ac:dyDescent="0.2">
      <c r="A1502" s="2"/>
      <c r="B1502" s="64"/>
      <c r="C1502" s="2"/>
      <c r="D1502" s="2"/>
      <c r="E1502" s="5"/>
      <c r="F1502" s="5"/>
    </row>
    <row r="1503" spans="1:6" s="74" customFormat="1" x14ac:dyDescent="0.2">
      <c r="A1503" s="2"/>
      <c r="B1503" s="64"/>
      <c r="C1503" s="2"/>
      <c r="D1503" s="2"/>
      <c r="E1503" s="5"/>
      <c r="F1503" s="5"/>
    </row>
    <row r="1504" spans="1:6" s="74" customFormat="1" x14ac:dyDescent="0.2">
      <c r="A1504" s="2"/>
      <c r="B1504" s="64"/>
      <c r="C1504" s="2"/>
      <c r="D1504" s="2"/>
      <c r="E1504" s="5"/>
      <c r="F1504" s="5"/>
    </row>
    <row r="1505" spans="1:6" s="74" customFormat="1" x14ac:dyDescent="0.2">
      <c r="A1505" s="2"/>
      <c r="B1505" s="64"/>
      <c r="C1505" s="2"/>
      <c r="D1505" s="2"/>
      <c r="E1505" s="5"/>
      <c r="F1505" s="5"/>
    </row>
    <row r="1506" spans="1:6" s="74" customFormat="1" x14ac:dyDescent="0.2">
      <c r="A1506" s="2"/>
      <c r="B1506" s="64"/>
      <c r="C1506" s="2"/>
      <c r="D1506" s="2"/>
      <c r="E1506" s="5"/>
      <c r="F1506" s="5"/>
    </row>
    <row r="1507" spans="1:6" s="74" customFormat="1" x14ac:dyDescent="0.2">
      <c r="A1507" s="2"/>
      <c r="B1507" s="64"/>
      <c r="C1507" s="2"/>
      <c r="D1507" s="2"/>
      <c r="E1507" s="5"/>
      <c r="F1507" s="5"/>
    </row>
    <row r="1508" spans="1:6" s="74" customFormat="1" x14ac:dyDescent="0.2">
      <c r="A1508" s="2"/>
      <c r="B1508" s="64"/>
      <c r="C1508" s="2"/>
      <c r="D1508" s="2"/>
      <c r="E1508" s="5"/>
      <c r="F1508" s="5"/>
    </row>
    <row r="1509" spans="1:6" s="74" customFormat="1" x14ac:dyDescent="0.2">
      <c r="A1509" s="2"/>
      <c r="B1509" s="64"/>
      <c r="C1509" s="2"/>
      <c r="D1509" s="2"/>
      <c r="E1509" s="5"/>
      <c r="F1509" s="5"/>
    </row>
    <row r="1510" spans="1:6" s="74" customFormat="1" x14ac:dyDescent="0.2">
      <c r="A1510" s="2"/>
      <c r="B1510" s="64"/>
      <c r="C1510" s="2"/>
      <c r="D1510" s="2"/>
      <c r="E1510" s="5"/>
      <c r="F1510" s="5"/>
    </row>
    <row r="1511" spans="1:6" s="74" customFormat="1" x14ac:dyDescent="0.2">
      <c r="A1511" s="2"/>
      <c r="B1511" s="64"/>
      <c r="C1511" s="2"/>
      <c r="D1511" s="2"/>
      <c r="E1511" s="5"/>
      <c r="F1511" s="5"/>
    </row>
    <row r="1512" spans="1:6" s="74" customFormat="1" x14ac:dyDescent="0.2">
      <c r="A1512" s="2"/>
      <c r="B1512" s="64"/>
      <c r="C1512" s="2"/>
      <c r="D1512" s="2"/>
      <c r="E1512" s="5"/>
      <c r="F1512" s="5"/>
    </row>
    <row r="1513" spans="1:6" s="74" customFormat="1" x14ac:dyDescent="0.2">
      <c r="A1513" s="2"/>
      <c r="B1513" s="64"/>
      <c r="C1513" s="2"/>
      <c r="D1513" s="2"/>
      <c r="E1513" s="5"/>
      <c r="F1513" s="5"/>
    </row>
    <row r="1514" spans="1:6" s="74" customFormat="1" x14ac:dyDescent="0.2">
      <c r="A1514" s="2"/>
      <c r="B1514" s="64"/>
      <c r="C1514" s="2"/>
      <c r="D1514" s="2"/>
      <c r="E1514" s="5"/>
      <c r="F1514" s="5"/>
    </row>
    <row r="1515" spans="1:6" s="74" customFormat="1" x14ac:dyDescent="0.2">
      <c r="A1515" s="2"/>
      <c r="B1515" s="64"/>
      <c r="C1515" s="2"/>
      <c r="D1515" s="2"/>
      <c r="E1515" s="5"/>
      <c r="F1515" s="5"/>
    </row>
    <row r="1516" spans="1:6" s="74" customFormat="1" x14ac:dyDescent="0.2">
      <c r="A1516" s="2"/>
      <c r="B1516" s="64"/>
      <c r="C1516" s="2"/>
      <c r="D1516" s="2"/>
      <c r="E1516" s="5"/>
      <c r="F1516" s="5"/>
    </row>
    <row r="1517" spans="1:6" s="74" customFormat="1" x14ac:dyDescent="0.2">
      <c r="A1517" s="2"/>
      <c r="B1517" s="64"/>
      <c r="C1517" s="2"/>
      <c r="D1517" s="2"/>
      <c r="E1517" s="5"/>
      <c r="F1517" s="5"/>
    </row>
    <row r="1518" spans="1:6" s="74" customFormat="1" x14ac:dyDescent="0.2">
      <c r="A1518" s="2"/>
      <c r="B1518" s="64"/>
      <c r="C1518" s="2"/>
      <c r="D1518" s="2"/>
      <c r="E1518" s="5"/>
      <c r="F1518" s="5"/>
    </row>
    <row r="1519" spans="1:6" s="74" customFormat="1" x14ac:dyDescent="0.2">
      <c r="A1519" s="2"/>
      <c r="B1519" s="64"/>
      <c r="C1519" s="2"/>
      <c r="D1519" s="2"/>
      <c r="E1519" s="5"/>
      <c r="F1519" s="5"/>
    </row>
    <row r="1520" spans="1:6" s="74" customFormat="1" x14ac:dyDescent="0.2">
      <c r="A1520" s="2"/>
      <c r="B1520" s="64"/>
      <c r="C1520" s="2"/>
      <c r="D1520" s="2"/>
      <c r="E1520" s="5"/>
      <c r="F1520" s="5"/>
    </row>
    <row r="1521" spans="1:6" s="74" customFormat="1" x14ac:dyDescent="0.2">
      <c r="A1521" s="2"/>
      <c r="B1521" s="64"/>
      <c r="C1521" s="2"/>
      <c r="D1521" s="2"/>
      <c r="E1521" s="5"/>
      <c r="F1521" s="5"/>
    </row>
    <row r="1522" spans="1:6" s="74" customFormat="1" x14ac:dyDescent="0.2">
      <c r="A1522" s="2"/>
      <c r="B1522" s="64"/>
      <c r="C1522" s="2"/>
      <c r="D1522" s="2"/>
      <c r="E1522" s="5"/>
      <c r="F1522" s="5"/>
    </row>
    <row r="1523" spans="1:6" s="74" customFormat="1" x14ac:dyDescent="0.2">
      <c r="A1523" s="2"/>
      <c r="B1523" s="64"/>
      <c r="C1523" s="2"/>
      <c r="D1523" s="2"/>
      <c r="E1523" s="5"/>
      <c r="F1523" s="5"/>
    </row>
    <row r="1524" spans="1:6" s="74" customFormat="1" x14ac:dyDescent="0.2">
      <c r="A1524" s="2"/>
      <c r="B1524" s="64"/>
      <c r="C1524" s="2"/>
      <c r="D1524" s="2"/>
      <c r="E1524" s="5"/>
      <c r="F1524" s="5"/>
    </row>
    <row r="1525" spans="1:6" s="74" customFormat="1" x14ac:dyDescent="0.2">
      <c r="A1525" s="2"/>
      <c r="B1525" s="64"/>
      <c r="C1525" s="2"/>
      <c r="D1525" s="2"/>
      <c r="E1525" s="5"/>
      <c r="F1525" s="5"/>
    </row>
    <row r="1526" spans="1:6" s="74" customFormat="1" x14ac:dyDescent="0.2">
      <c r="A1526" s="2"/>
      <c r="B1526" s="64"/>
      <c r="C1526" s="2"/>
      <c r="D1526" s="2"/>
      <c r="E1526" s="5"/>
      <c r="F1526" s="5"/>
    </row>
    <row r="1527" spans="1:6" s="74" customFormat="1" x14ac:dyDescent="0.2">
      <c r="A1527" s="2"/>
      <c r="B1527" s="64"/>
      <c r="C1527" s="2"/>
      <c r="D1527" s="2"/>
      <c r="E1527" s="5"/>
      <c r="F1527" s="5"/>
    </row>
    <row r="1528" spans="1:6" s="74" customFormat="1" x14ac:dyDescent="0.2">
      <c r="A1528" s="2"/>
      <c r="B1528" s="64"/>
      <c r="C1528" s="2"/>
      <c r="D1528" s="2"/>
      <c r="E1528" s="5"/>
      <c r="F1528" s="5"/>
    </row>
    <row r="1529" spans="1:6" s="74" customFormat="1" x14ac:dyDescent="0.2">
      <c r="A1529" s="2"/>
      <c r="B1529" s="64"/>
      <c r="C1529" s="2"/>
      <c r="D1529" s="2"/>
      <c r="E1529" s="5"/>
      <c r="F1529" s="5"/>
    </row>
    <row r="1530" spans="1:6" s="74" customFormat="1" x14ac:dyDescent="0.2">
      <c r="A1530" s="2"/>
      <c r="B1530" s="64"/>
      <c r="C1530" s="2"/>
      <c r="D1530" s="2"/>
      <c r="E1530" s="5"/>
      <c r="F1530" s="5"/>
    </row>
    <row r="1531" spans="1:6" s="74" customFormat="1" x14ac:dyDescent="0.2">
      <c r="A1531" s="2"/>
      <c r="B1531" s="64"/>
      <c r="C1531" s="2"/>
      <c r="D1531" s="2"/>
      <c r="E1531" s="5"/>
      <c r="F1531" s="5"/>
    </row>
    <row r="1532" spans="1:6" s="74" customFormat="1" x14ac:dyDescent="0.2">
      <c r="A1532" s="2"/>
      <c r="B1532" s="64"/>
      <c r="C1532" s="2"/>
      <c r="D1532" s="2"/>
      <c r="E1532" s="5"/>
      <c r="F1532" s="5"/>
    </row>
    <row r="1533" spans="1:6" s="74" customFormat="1" x14ac:dyDescent="0.2">
      <c r="A1533" s="2"/>
      <c r="B1533" s="64"/>
      <c r="C1533" s="2"/>
      <c r="D1533" s="2"/>
      <c r="E1533" s="5"/>
      <c r="F1533" s="5"/>
    </row>
    <row r="1534" spans="1:6" s="74" customFormat="1" x14ac:dyDescent="0.2">
      <c r="A1534" s="2"/>
      <c r="B1534" s="64"/>
      <c r="C1534" s="2"/>
      <c r="D1534" s="2"/>
      <c r="E1534" s="5"/>
      <c r="F1534" s="5"/>
    </row>
    <row r="1535" spans="1:6" s="74" customFormat="1" x14ac:dyDescent="0.2">
      <c r="A1535" s="2"/>
      <c r="B1535" s="64"/>
      <c r="C1535" s="2"/>
      <c r="D1535" s="2"/>
      <c r="E1535" s="5"/>
      <c r="F1535" s="5"/>
    </row>
    <row r="1536" spans="1:6" s="74" customFormat="1" x14ac:dyDescent="0.2">
      <c r="A1536" s="2"/>
      <c r="B1536" s="64"/>
      <c r="C1536" s="2"/>
      <c r="D1536" s="2"/>
      <c r="E1536" s="5"/>
      <c r="F1536" s="5"/>
    </row>
    <row r="1537" spans="1:6" s="74" customFormat="1" x14ac:dyDescent="0.2">
      <c r="A1537" s="2"/>
      <c r="B1537" s="64"/>
      <c r="C1537" s="2"/>
      <c r="D1537" s="2"/>
      <c r="E1537" s="5"/>
      <c r="F1537" s="5"/>
    </row>
    <row r="1538" spans="1:6" s="74" customFormat="1" x14ac:dyDescent="0.2">
      <c r="A1538" s="2"/>
      <c r="B1538" s="64"/>
      <c r="C1538" s="2"/>
      <c r="D1538" s="2"/>
      <c r="E1538" s="5"/>
      <c r="F1538" s="5"/>
    </row>
    <row r="1539" spans="1:6" s="74" customFormat="1" x14ac:dyDescent="0.2">
      <c r="A1539" s="2"/>
      <c r="B1539" s="64"/>
      <c r="C1539" s="2"/>
      <c r="D1539" s="2"/>
      <c r="E1539" s="5"/>
      <c r="F1539" s="5"/>
    </row>
    <row r="1540" spans="1:6" s="74" customFormat="1" x14ac:dyDescent="0.2">
      <c r="A1540" s="2"/>
      <c r="B1540" s="64"/>
      <c r="C1540" s="2"/>
      <c r="D1540" s="2"/>
      <c r="E1540" s="5"/>
      <c r="F1540" s="5"/>
    </row>
    <row r="1541" spans="1:6" s="74" customFormat="1" x14ac:dyDescent="0.2">
      <c r="A1541" s="2"/>
      <c r="B1541" s="64"/>
      <c r="C1541" s="2"/>
      <c r="D1541" s="2"/>
      <c r="E1541" s="5"/>
      <c r="F1541" s="5"/>
    </row>
    <row r="1542" spans="1:6" s="74" customFormat="1" x14ac:dyDescent="0.2">
      <c r="A1542" s="2"/>
      <c r="B1542" s="64"/>
      <c r="C1542" s="2"/>
      <c r="D1542" s="2"/>
      <c r="E1542" s="5"/>
      <c r="F1542" s="5"/>
    </row>
    <row r="1543" spans="1:6" s="74" customFormat="1" x14ac:dyDescent="0.2">
      <c r="A1543" s="2"/>
      <c r="B1543" s="64"/>
      <c r="C1543" s="2"/>
      <c r="D1543" s="2"/>
      <c r="E1543" s="5"/>
      <c r="F1543" s="5"/>
    </row>
    <row r="1544" spans="1:6" s="74" customFormat="1" x14ac:dyDescent="0.2">
      <c r="A1544" s="2"/>
      <c r="B1544" s="64"/>
      <c r="C1544" s="2"/>
      <c r="D1544" s="2"/>
      <c r="E1544" s="5"/>
      <c r="F1544" s="5"/>
    </row>
    <row r="1545" spans="1:6" s="74" customFormat="1" x14ac:dyDescent="0.2">
      <c r="A1545" s="2"/>
      <c r="B1545" s="64"/>
      <c r="C1545" s="2"/>
      <c r="D1545" s="2"/>
      <c r="E1545" s="5"/>
      <c r="F1545" s="5"/>
    </row>
    <row r="1546" spans="1:6" s="74" customFormat="1" x14ac:dyDescent="0.2">
      <c r="A1546" s="2"/>
      <c r="B1546" s="64"/>
      <c r="C1546" s="2"/>
      <c r="D1546" s="2"/>
      <c r="E1546" s="5"/>
      <c r="F1546" s="5"/>
    </row>
    <row r="1547" spans="1:6" s="74" customFormat="1" x14ac:dyDescent="0.2">
      <c r="A1547" s="2"/>
      <c r="B1547" s="64"/>
      <c r="C1547" s="2"/>
      <c r="D1547" s="2"/>
      <c r="E1547" s="5"/>
      <c r="F1547" s="5"/>
    </row>
    <row r="1548" spans="1:6" s="74" customFormat="1" x14ac:dyDescent="0.2">
      <c r="A1548" s="2"/>
      <c r="B1548" s="64"/>
      <c r="C1548" s="2"/>
      <c r="D1548" s="2"/>
      <c r="E1548" s="5"/>
      <c r="F1548" s="5"/>
    </row>
    <row r="1549" spans="1:6" s="74" customFormat="1" x14ac:dyDescent="0.2">
      <c r="A1549" s="2"/>
      <c r="B1549" s="64"/>
      <c r="C1549" s="2"/>
      <c r="D1549" s="2"/>
      <c r="E1549" s="5"/>
      <c r="F1549" s="5"/>
    </row>
    <row r="1550" spans="1:6" s="74" customFormat="1" x14ac:dyDescent="0.2">
      <c r="A1550" s="2"/>
      <c r="B1550" s="64"/>
      <c r="C1550" s="2"/>
      <c r="D1550" s="2"/>
      <c r="E1550" s="5"/>
      <c r="F1550" s="5"/>
    </row>
    <row r="1551" spans="1:6" s="74" customFormat="1" x14ac:dyDescent="0.2">
      <c r="A1551" s="2"/>
      <c r="B1551" s="64"/>
      <c r="C1551" s="2"/>
      <c r="D1551" s="2"/>
      <c r="E1551" s="5"/>
      <c r="F1551" s="5"/>
    </row>
    <row r="1552" spans="1:6" s="74" customFormat="1" x14ac:dyDescent="0.2">
      <c r="A1552" s="2"/>
      <c r="B1552" s="64"/>
      <c r="C1552" s="2"/>
      <c r="D1552" s="2"/>
      <c r="E1552" s="5"/>
      <c r="F1552" s="5"/>
    </row>
    <row r="1553" spans="1:6" s="74" customFormat="1" x14ac:dyDescent="0.2">
      <c r="A1553" s="2"/>
      <c r="B1553" s="64"/>
      <c r="C1553" s="2"/>
      <c r="D1553" s="2"/>
      <c r="E1553" s="5"/>
      <c r="F1553" s="5"/>
    </row>
    <row r="1554" spans="1:6" s="74" customFormat="1" x14ac:dyDescent="0.2">
      <c r="A1554" s="2"/>
      <c r="B1554" s="64"/>
      <c r="C1554" s="2"/>
      <c r="D1554" s="2"/>
      <c r="E1554" s="5"/>
      <c r="F1554" s="5"/>
    </row>
    <row r="1555" spans="1:6" s="74" customFormat="1" x14ac:dyDescent="0.2">
      <c r="A1555" s="2"/>
      <c r="B1555" s="64"/>
      <c r="C1555" s="2"/>
      <c r="D1555" s="2"/>
      <c r="E1555" s="5"/>
      <c r="F1555" s="5"/>
    </row>
    <row r="1556" spans="1:6" s="74" customFormat="1" x14ac:dyDescent="0.2">
      <c r="A1556" s="2"/>
      <c r="B1556" s="64"/>
      <c r="C1556" s="2"/>
      <c r="D1556" s="2"/>
      <c r="E1556" s="5"/>
      <c r="F1556" s="5"/>
    </row>
    <row r="1557" spans="1:6" s="74" customFormat="1" x14ac:dyDescent="0.2">
      <c r="A1557" s="2"/>
      <c r="B1557" s="64"/>
      <c r="C1557" s="2"/>
      <c r="D1557" s="2"/>
      <c r="E1557" s="5"/>
      <c r="F1557" s="5"/>
    </row>
    <row r="1558" spans="1:6" s="74" customFormat="1" x14ac:dyDescent="0.2">
      <c r="A1558" s="2"/>
      <c r="B1558" s="64"/>
      <c r="C1558" s="2"/>
      <c r="D1558" s="2"/>
      <c r="E1558" s="5"/>
      <c r="F1558" s="5"/>
    </row>
    <row r="1559" spans="1:6" s="74" customFormat="1" x14ac:dyDescent="0.2">
      <c r="A1559" s="2"/>
      <c r="B1559" s="64"/>
      <c r="C1559" s="2"/>
      <c r="D1559" s="2"/>
      <c r="E1559" s="5"/>
      <c r="F1559" s="5"/>
    </row>
    <row r="1560" spans="1:6" s="74" customFormat="1" x14ac:dyDescent="0.2">
      <c r="A1560" s="2"/>
      <c r="B1560" s="64"/>
      <c r="C1560" s="2"/>
      <c r="D1560" s="2"/>
      <c r="E1560" s="5"/>
      <c r="F1560" s="5"/>
    </row>
    <row r="1561" spans="1:6" s="74" customFormat="1" x14ac:dyDescent="0.2">
      <c r="A1561" s="2"/>
      <c r="B1561" s="64"/>
      <c r="C1561" s="2"/>
      <c r="D1561" s="2"/>
      <c r="E1561" s="5"/>
      <c r="F1561" s="5"/>
    </row>
    <row r="1562" spans="1:6" s="74" customFormat="1" x14ac:dyDescent="0.2">
      <c r="A1562" s="2"/>
      <c r="B1562" s="64"/>
      <c r="C1562" s="2"/>
      <c r="D1562" s="2"/>
      <c r="E1562" s="5"/>
      <c r="F1562" s="5"/>
    </row>
    <row r="1563" spans="1:6" s="74" customFormat="1" x14ac:dyDescent="0.2">
      <c r="A1563" s="2"/>
      <c r="B1563" s="64"/>
      <c r="C1563" s="2"/>
      <c r="D1563" s="2"/>
      <c r="E1563" s="5"/>
      <c r="F1563" s="5"/>
    </row>
    <row r="1564" spans="1:6" s="74" customFormat="1" x14ac:dyDescent="0.2">
      <c r="A1564" s="2"/>
      <c r="B1564" s="64"/>
      <c r="C1564" s="2"/>
      <c r="D1564" s="2"/>
      <c r="E1564" s="5"/>
      <c r="F1564" s="5"/>
    </row>
    <row r="1565" spans="1:6" s="74" customFormat="1" x14ac:dyDescent="0.2">
      <c r="A1565" s="2"/>
      <c r="B1565" s="64"/>
      <c r="C1565" s="2"/>
      <c r="D1565" s="2"/>
      <c r="E1565" s="5"/>
      <c r="F1565" s="5"/>
    </row>
    <row r="1566" spans="1:6" s="74" customFormat="1" x14ac:dyDescent="0.2">
      <c r="A1566" s="2"/>
      <c r="B1566" s="64"/>
      <c r="C1566" s="2"/>
      <c r="D1566" s="2"/>
      <c r="E1566" s="5"/>
      <c r="F1566" s="5"/>
    </row>
    <row r="1567" spans="1:6" s="74" customFormat="1" x14ac:dyDescent="0.2">
      <c r="A1567" s="2"/>
      <c r="B1567" s="64"/>
      <c r="C1567" s="2"/>
      <c r="D1567" s="2"/>
      <c r="E1567" s="5"/>
      <c r="F1567" s="5"/>
    </row>
    <row r="1568" spans="1:6" s="74" customFormat="1" x14ac:dyDescent="0.2">
      <c r="A1568" s="2"/>
      <c r="B1568" s="64"/>
      <c r="C1568" s="2"/>
      <c r="D1568" s="2"/>
      <c r="E1568" s="5"/>
      <c r="F1568" s="5"/>
    </row>
    <row r="1569" spans="1:6" s="74" customFormat="1" x14ac:dyDescent="0.2">
      <c r="A1569" s="2"/>
      <c r="B1569" s="64"/>
      <c r="C1569" s="2"/>
      <c r="D1569" s="2"/>
      <c r="E1569" s="5"/>
      <c r="F1569" s="5"/>
    </row>
    <row r="1570" spans="1:6" s="74" customFormat="1" x14ac:dyDescent="0.2">
      <c r="A1570" s="2"/>
      <c r="B1570" s="64"/>
      <c r="C1570" s="2"/>
      <c r="D1570" s="2"/>
      <c r="E1570" s="5"/>
      <c r="F1570" s="5"/>
    </row>
    <row r="1571" spans="1:6" s="74" customFormat="1" x14ac:dyDescent="0.2">
      <c r="A1571" s="2"/>
      <c r="B1571" s="64"/>
      <c r="C1571" s="2"/>
      <c r="D1571" s="2"/>
      <c r="E1571" s="5"/>
      <c r="F1571" s="5"/>
    </row>
    <row r="1572" spans="1:6" s="74" customFormat="1" x14ac:dyDescent="0.2">
      <c r="A1572" s="2"/>
      <c r="B1572" s="64"/>
      <c r="C1572" s="2"/>
      <c r="D1572" s="2"/>
      <c r="E1572" s="5"/>
      <c r="F1572" s="5"/>
    </row>
    <row r="1573" spans="1:6" s="74" customFormat="1" x14ac:dyDescent="0.2">
      <c r="A1573" s="2"/>
      <c r="B1573" s="64"/>
      <c r="C1573" s="2"/>
      <c r="D1573" s="2"/>
      <c r="E1573" s="5"/>
      <c r="F1573" s="5"/>
    </row>
    <row r="1574" spans="1:6" s="74" customFormat="1" x14ac:dyDescent="0.2">
      <c r="A1574" s="2"/>
      <c r="B1574" s="64"/>
      <c r="C1574" s="2"/>
      <c r="D1574" s="2"/>
      <c r="E1574" s="5"/>
      <c r="F1574" s="5"/>
    </row>
    <row r="1575" spans="1:6" s="74" customFormat="1" x14ac:dyDescent="0.2">
      <c r="A1575" s="2"/>
      <c r="B1575" s="64"/>
      <c r="C1575" s="2"/>
      <c r="D1575" s="2"/>
      <c r="E1575" s="5"/>
      <c r="F1575" s="5"/>
    </row>
    <row r="1576" spans="1:6" s="74" customFormat="1" x14ac:dyDescent="0.2">
      <c r="A1576" s="2"/>
      <c r="B1576" s="64"/>
      <c r="C1576" s="2"/>
      <c r="D1576" s="2"/>
      <c r="E1576" s="5"/>
      <c r="F1576" s="5"/>
    </row>
    <row r="1577" spans="1:6" s="74" customFormat="1" x14ac:dyDescent="0.2">
      <c r="A1577" s="2"/>
      <c r="B1577" s="64"/>
      <c r="C1577" s="2"/>
      <c r="D1577" s="2"/>
      <c r="E1577" s="5"/>
      <c r="F1577" s="5"/>
    </row>
    <row r="1578" spans="1:6" s="74" customFormat="1" x14ac:dyDescent="0.2">
      <c r="A1578" s="2"/>
      <c r="B1578" s="64"/>
      <c r="C1578" s="2"/>
      <c r="D1578" s="2"/>
      <c r="E1578" s="5"/>
      <c r="F1578" s="5"/>
    </row>
    <row r="1579" spans="1:6" s="74" customFormat="1" x14ac:dyDescent="0.2">
      <c r="A1579" s="2"/>
      <c r="B1579" s="64"/>
      <c r="C1579" s="2"/>
      <c r="D1579" s="2"/>
      <c r="E1579" s="5"/>
      <c r="F1579" s="5"/>
    </row>
    <row r="1580" spans="1:6" s="74" customFormat="1" x14ac:dyDescent="0.2">
      <c r="A1580" s="2"/>
      <c r="B1580" s="64"/>
      <c r="C1580" s="2"/>
      <c r="D1580" s="2"/>
      <c r="E1580" s="5"/>
      <c r="F1580" s="5"/>
    </row>
    <row r="1581" spans="1:6" s="74" customFormat="1" x14ac:dyDescent="0.2">
      <c r="A1581" s="2"/>
      <c r="B1581" s="64"/>
      <c r="C1581" s="2"/>
      <c r="D1581" s="2"/>
      <c r="E1581" s="5"/>
      <c r="F1581" s="5"/>
    </row>
    <row r="1582" spans="1:6" s="74" customFormat="1" x14ac:dyDescent="0.2">
      <c r="A1582" s="2"/>
      <c r="B1582" s="64"/>
      <c r="C1582" s="2"/>
      <c r="D1582" s="2"/>
      <c r="E1582" s="5"/>
      <c r="F1582" s="5"/>
    </row>
    <row r="1583" spans="1:6" s="74" customFormat="1" x14ac:dyDescent="0.2">
      <c r="A1583" s="2"/>
      <c r="B1583" s="64"/>
      <c r="C1583" s="2"/>
      <c r="D1583" s="2"/>
      <c r="E1583" s="5"/>
      <c r="F1583" s="5"/>
    </row>
    <row r="1584" spans="1:6" s="74" customFormat="1" x14ac:dyDescent="0.2">
      <c r="A1584" s="2"/>
      <c r="B1584" s="64"/>
      <c r="C1584" s="2"/>
      <c r="D1584" s="2"/>
      <c r="E1584" s="5"/>
      <c r="F1584" s="5"/>
    </row>
    <row r="1585" spans="1:6" s="74" customFormat="1" x14ac:dyDescent="0.2">
      <c r="A1585" s="2"/>
      <c r="B1585" s="64"/>
      <c r="C1585" s="2"/>
      <c r="D1585" s="2"/>
      <c r="E1585" s="5"/>
      <c r="F1585" s="5"/>
    </row>
    <row r="1586" spans="1:6" s="74" customFormat="1" x14ac:dyDescent="0.2">
      <c r="A1586" s="2"/>
      <c r="B1586" s="64"/>
      <c r="C1586" s="2"/>
      <c r="D1586" s="2"/>
      <c r="E1586" s="5"/>
      <c r="F1586" s="5"/>
    </row>
    <row r="1587" spans="1:6" s="74" customFormat="1" x14ac:dyDescent="0.2">
      <c r="A1587" s="2"/>
      <c r="B1587" s="64"/>
      <c r="C1587" s="2"/>
      <c r="D1587" s="2"/>
      <c r="E1587" s="5"/>
      <c r="F1587" s="5"/>
    </row>
    <row r="1588" spans="1:6" s="74" customFormat="1" x14ac:dyDescent="0.2">
      <c r="A1588" s="2"/>
      <c r="B1588" s="64"/>
      <c r="C1588" s="2"/>
      <c r="D1588" s="2"/>
      <c r="E1588" s="5"/>
      <c r="F1588" s="5"/>
    </row>
    <row r="1589" spans="1:6" s="74" customFormat="1" x14ac:dyDescent="0.2">
      <c r="A1589" s="2"/>
      <c r="B1589" s="64"/>
      <c r="C1589" s="2"/>
      <c r="D1589" s="2"/>
      <c r="E1589" s="5"/>
      <c r="F1589" s="5"/>
    </row>
    <row r="1590" spans="1:6" s="74" customFormat="1" x14ac:dyDescent="0.2">
      <c r="A1590" s="2"/>
      <c r="B1590" s="64"/>
      <c r="C1590" s="2"/>
      <c r="D1590" s="2"/>
      <c r="E1590" s="5"/>
      <c r="F1590" s="5"/>
    </row>
    <row r="1591" spans="1:6" s="74" customFormat="1" x14ac:dyDescent="0.2">
      <c r="A1591" s="2"/>
      <c r="B1591" s="64"/>
      <c r="C1591" s="2"/>
      <c r="D1591" s="2"/>
      <c r="E1591" s="5"/>
      <c r="F1591" s="5"/>
    </row>
    <row r="1592" spans="1:6" s="74" customFormat="1" x14ac:dyDescent="0.2">
      <c r="A1592" s="2"/>
      <c r="B1592" s="64"/>
      <c r="C1592" s="2"/>
      <c r="D1592" s="2"/>
      <c r="E1592" s="5"/>
      <c r="F1592" s="5"/>
    </row>
    <row r="1593" spans="1:6" s="74" customFormat="1" x14ac:dyDescent="0.2">
      <c r="A1593" s="2"/>
      <c r="B1593" s="64"/>
      <c r="C1593" s="2"/>
      <c r="D1593" s="2"/>
      <c r="E1593" s="5"/>
      <c r="F1593" s="5"/>
    </row>
    <row r="1594" spans="1:6" s="74" customFormat="1" x14ac:dyDescent="0.2">
      <c r="A1594" s="2"/>
      <c r="B1594" s="64"/>
      <c r="C1594" s="2"/>
      <c r="D1594" s="2"/>
      <c r="E1594" s="5"/>
      <c r="F1594" s="5"/>
    </row>
    <row r="1595" spans="1:6" s="74" customFormat="1" x14ac:dyDescent="0.2">
      <c r="A1595" s="2"/>
      <c r="B1595" s="64"/>
      <c r="C1595" s="2"/>
      <c r="D1595" s="2"/>
      <c r="E1595" s="5"/>
      <c r="F1595" s="5"/>
    </row>
    <row r="1596" spans="1:6" s="74" customFormat="1" x14ac:dyDescent="0.2">
      <c r="A1596" s="2"/>
      <c r="B1596" s="64"/>
      <c r="C1596" s="2"/>
      <c r="D1596" s="2"/>
      <c r="E1596" s="5"/>
      <c r="F1596" s="5"/>
    </row>
    <row r="1597" spans="1:6" s="74" customFormat="1" x14ac:dyDescent="0.2">
      <c r="A1597" s="2"/>
      <c r="B1597" s="64"/>
      <c r="C1597" s="2"/>
      <c r="D1597" s="2"/>
      <c r="E1597" s="5"/>
      <c r="F1597" s="5"/>
    </row>
    <row r="1598" spans="1:6" s="74" customFormat="1" x14ac:dyDescent="0.2">
      <c r="A1598" s="2"/>
      <c r="B1598" s="64"/>
      <c r="C1598" s="2"/>
      <c r="D1598" s="2"/>
      <c r="E1598" s="5"/>
      <c r="F1598" s="5"/>
    </row>
    <row r="1599" spans="1:6" s="74" customFormat="1" x14ac:dyDescent="0.2">
      <c r="A1599" s="2"/>
      <c r="B1599" s="64"/>
      <c r="C1599" s="2"/>
      <c r="D1599" s="2"/>
      <c r="E1599" s="5"/>
      <c r="F1599" s="5"/>
    </row>
    <row r="1600" spans="1:6" s="74" customFormat="1" x14ac:dyDescent="0.2">
      <c r="A1600" s="2"/>
      <c r="B1600" s="64"/>
      <c r="C1600" s="2"/>
      <c r="D1600" s="2"/>
      <c r="E1600" s="5"/>
      <c r="F1600" s="5"/>
    </row>
    <row r="1601" spans="1:6" s="74" customFormat="1" x14ac:dyDescent="0.2">
      <c r="A1601" s="2"/>
      <c r="B1601" s="64"/>
      <c r="C1601" s="2"/>
      <c r="D1601" s="2"/>
      <c r="E1601" s="5"/>
      <c r="F1601" s="5"/>
    </row>
    <row r="1602" spans="1:6" s="74" customFormat="1" x14ac:dyDescent="0.2">
      <c r="A1602" s="2"/>
      <c r="B1602" s="64"/>
      <c r="C1602" s="2"/>
      <c r="D1602" s="2"/>
      <c r="E1602" s="5"/>
      <c r="F1602" s="5"/>
    </row>
    <row r="1603" spans="1:6" s="74" customFormat="1" x14ac:dyDescent="0.2">
      <c r="A1603" s="2"/>
      <c r="B1603" s="64"/>
      <c r="C1603" s="2"/>
      <c r="D1603" s="2"/>
      <c r="E1603" s="5"/>
      <c r="F1603" s="5"/>
    </row>
    <row r="1604" spans="1:6" s="74" customFormat="1" x14ac:dyDescent="0.2">
      <c r="A1604" s="2"/>
      <c r="B1604" s="64"/>
      <c r="C1604" s="2"/>
      <c r="D1604" s="2"/>
      <c r="E1604" s="5"/>
      <c r="F1604" s="5"/>
    </row>
    <row r="1605" spans="1:6" s="74" customFormat="1" x14ac:dyDescent="0.2">
      <c r="A1605" s="2"/>
      <c r="B1605" s="64"/>
      <c r="C1605" s="2"/>
      <c r="D1605" s="2"/>
      <c r="E1605" s="5"/>
      <c r="F1605" s="5"/>
    </row>
    <row r="1606" spans="1:6" s="74" customFormat="1" x14ac:dyDescent="0.2">
      <c r="A1606" s="2"/>
      <c r="B1606" s="64"/>
      <c r="C1606" s="2"/>
      <c r="D1606" s="2"/>
      <c r="E1606" s="5"/>
      <c r="F1606" s="5"/>
    </row>
    <row r="1607" spans="1:6" s="74" customFormat="1" x14ac:dyDescent="0.2">
      <c r="A1607" s="2"/>
      <c r="B1607" s="64"/>
      <c r="C1607" s="2"/>
      <c r="D1607" s="2"/>
      <c r="E1607" s="5"/>
      <c r="F1607" s="5"/>
    </row>
    <row r="1608" spans="1:6" s="74" customFormat="1" x14ac:dyDescent="0.2">
      <c r="A1608" s="2"/>
      <c r="B1608" s="64"/>
      <c r="C1608" s="2"/>
      <c r="D1608" s="2"/>
      <c r="E1608" s="5"/>
      <c r="F1608" s="5"/>
    </row>
    <row r="1609" spans="1:6" s="74" customFormat="1" x14ac:dyDescent="0.2">
      <c r="A1609" s="2"/>
      <c r="B1609" s="64"/>
      <c r="C1609" s="2"/>
      <c r="D1609" s="2"/>
      <c r="E1609" s="5"/>
      <c r="F1609" s="5"/>
    </row>
    <row r="1610" spans="1:6" s="74" customFormat="1" x14ac:dyDescent="0.2">
      <c r="A1610" s="2"/>
      <c r="B1610" s="64"/>
      <c r="C1610" s="2"/>
      <c r="D1610" s="2"/>
      <c r="E1610" s="5"/>
      <c r="F1610" s="5"/>
    </row>
    <row r="1611" spans="1:6" s="74" customFormat="1" x14ac:dyDescent="0.2">
      <c r="A1611" s="2"/>
      <c r="B1611" s="64"/>
      <c r="C1611" s="2"/>
      <c r="D1611" s="2"/>
      <c r="E1611" s="5"/>
      <c r="F1611" s="5"/>
    </row>
    <row r="1612" spans="1:6" s="74" customFormat="1" x14ac:dyDescent="0.2">
      <c r="A1612" s="2"/>
      <c r="B1612" s="64"/>
      <c r="C1612" s="2"/>
      <c r="D1612" s="2"/>
      <c r="E1612" s="5"/>
      <c r="F1612" s="5"/>
    </row>
    <row r="1613" spans="1:6" s="74" customFormat="1" x14ac:dyDescent="0.2">
      <c r="A1613" s="2"/>
      <c r="B1613" s="64"/>
      <c r="C1613" s="2"/>
      <c r="D1613" s="2"/>
      <c r="E1613" s="5"/>
      <c r="F1613" s="5"/>
    </row>
    <row r="1614" spans="1:6" s="74" customFormat="1" x14ac:dyDescent="0.2">
      <c r="A1614" s="2"/>
      <c r="B1614" s="64"/>
      <c r="C1614" s="2"/>
      <c r="D1614" s="2"/>
      <c r="E1614" s="5"/>
      <c r="F1614" s="5"/>
    </row>
    <row r="1615" spans="1:6" s="74" customFormat="1" x14ac:dyDescent="0.2">
      <c r="A1615" s="2"/>
      <c r="B1615" s="64"/>
      <c r="C1615" s="2"/>
      <c r="D1615" s="2"/>
      <c r="E1615" s="5"/>
      <c r="F1615" s="5"/>
    </row>
    <row r="1616" spans="1:6" s="74" customFormat="1" x14ac:dyDescent="0.2">
      <c r="A1616" s="2"/>
      <c r="B1616" s="64"/>
      <c r="C1616" s="2"/>
      <c r="D1616" s="2"/>
      <c r="E1616" s="5"/>
      <c r="F1616" s="5"/>
    </row>
    <row r="1617" spans="1:6" s="74" customFormat="1" x14ac:dyDescent="0.2">
      <c r="A1617" s="2"/>
      <c r="B1617" s="64"/>
      <c r="C1617" s="2"/>
      <c r="D1617" s="2"/>
      <c r="E1617" s="5"/>
      <c r="F1617" s="5"/>
    </row>
    <row r="1618" spans="1:6" s="74" customFormat="1" x14ac:dyDescent="0.2">
      <c r="A1618" s="2"/>
      <c r="B1618" s="64"/>
      <c r="C1618" s="2"/>
      <c r="D1618" s="2"/>
      <c r="E1618" s="5"/>
      <c r="F1618" s="5"/>
    </row>
    <row r="1619" spans="1:6" s="74" customFormat="1" x14ac:dyDescent="0.2">
      <c r="A1619" s="2"/>
      <c r="B1619" s="64"/>
      <c r="C1619" s="2"/>
      <c r="D1619" s="2"/>
      <c r="E1619" s="5"/>
      <c r="F1619" s="5"/>
    </row>
    <row r="1620" spans="1:6" s="74" customFormat="1" x14ac:dyDescent="0.2">
      <c r="A1620" s="2"/>
      <c r="B1620" s="64"/>
      <c r="C1620" s="2"/>
      <c r="D1620" s="2"/>
      <c r="E1620" s="5"/>
      <c r="F1620" s="5"/>
    </row>
    <row r="1621" spans="1:6" s="74" customFormat="1" x14ac:dyDescent="0.2">
      <c r="A1621" s="2"/>
      <c r="B1621" s="64"/>
      <c r="C1621" s="2"/>
      <c r="D1621" s="2"/>
      <c r="E1621" s="5"/>
      <c r="F1621" s="5"/>
    </row>
    <row r="1622" spans="1:6" s="74" customFormat="1" x14ac:dyDescent="0.2">
      <c r="A1622" s="2"/>
      <c r="B1622" s="64"/>
      <c r="C1622" s="2"/>
      <c r="D1622" s="2"/>
      <c r="E1622" s="5"/>
      <c r="F1622" s="5"/>
    </row>
    <row r="1623" spans="1:6" s="74" customFormat="1" x14ac:dyDescent="0.2">
      <c r="A1623" s="2"/>
      <c r="B1623" s="64"/>
      <c r="C1623" s="2"/>
      <c r="D1623" s="2"/>
      <c r="E1623" s="5"/>
      <c r="F1623" s="5"/>
    </row>
    <row r="1624" spans="1:6" s="74" customFormat="1" x14ac:dyDescent="0.2">
      <c r="A1624" s="2"/>
      <c r="B1624" s="64"/>
      <c r="C1624" s="2"/>
      <c r="D1624" s="2"/>
      <c r="E1624" s="5"/>
      <c r="F1624" s="5"/>
    </row>
    <row r="1625" spans="1:6" s="74" customFormat="1" x14ac:dyDescent="0.2">
      <c r="A1625" s="2"/>
      <c r="B1625" s="64"/>
      <c r="C1625" s="2"/>
      <c r="D1625" s="2"/>
      <c r="E1625" s="5"/>
      <c r="F1625" s="5"/>
    </row>
    <row r="1626" spans="1:6" s="74" customFormat="1" x14ac:dyDescent="0.2">
      <c r="A1626" s="2"/>
      <c r="B1626" s="64"/>
      <c r="C1626" s="2"/>
      <c r="D1626" s="2"/>
      <c r="E1626" s="5"/>
      <c r="F1626" s="5"/>
    </row>
    <row r="1627" spans="1:6" s="74" customFormat="1" x14ac:dyDescent="0.2">
      <c r="A1627" s="2"/>
      <c r="B1627" s="64"/>
      <c r="C1627" s="2"/>
      <c r="D1627" s="2"/>
      <c r="E1627" s="5"/>
      <c r="F1627" s="5"/>
    </row>
    <row r="1628" spans="1:6" s="74" customFormat="1" x14ac:dyDescent="0.2">
      <c r="A1628" s="2"/>
      <c r="B1628" s="64"/>
      <c r="C1628" s="2"/>
      <c r="D1628" s="2"/>
      <c r="E1628" s="5"/>
      <c r="F1628" s="5"/>
    </row>
    <row r="1629" spans="1:6" s="74" customFormat="1" x14ac:dyDescent="0.2">
      <c r="A1629" s="2"/>
      <c r="B1629" s="64"/>
      <c r="C1629" s="2"/>
      <c r="D1629" s="2"/>
      <c r="E1629" s="5"/>
      <c r="F1629" s="5"/>
    </row>
    <row r="1630" spans="1:6" s="74" customFormat="1" x14ac:dyDescent="0.2">
      <c r="A1630" s="2"/>
      <c r="B1630" s="64"/>
      <c r="C1630" s="2"/>
      <c r="D1630" s="2"/>
      <c r="E1630" s="5"/>
      <c r="F1630" s="5"/>
    </row>
    <row r="1631" spans="1:6" s="74" customFormat="1" x14ac:dyDescent="0.2">
      <c r="A1631" s="2"/>
      <c r="B1631" s="64"/>
      <c r="C1631" s="2"/>
      <c r="D1631" s="2"/>
      <c r="E1631" s="5"/>
      <c r="F1631" s="5"/>
    </row>
    <row r="1632" spans="1:6" s="74" customFormat="1" x14ac:dyDescent="0.2">
      <c r="A1632" s="2"/>
      <c r="B1632" s="64"/>
      <c r="C1632" s="2"/>
      <c r="D1632" s="2"/>
      <c r="E1632" s="5"/>
      <c r="F1632" s="5"/>
    </row>
    <row r="1633" spans="1:6" s="74" customFormat="1" x14ac:dyDescent="0.2">
      <c r="A1633" s="2"/>
      <c r="B1633" s="64"/>
      <c r="C1633" s="2"/>
      <c r="D1633" s="2"/>
      <c r="E1633" s="5"/>
      <c r="F1633" s="5"/>
    </row>
    <row r="1634" spans="1:6" s="74" customFormat="1" x14ac:dyDescent="0.2">
      <c r="A1634" s="2"/>
      <c r="B1634" s="64"/>
      <c r="C1634" s="2"/>
      <c r="D1634" s="2"/>
      <c r="E1634" s="5"/>
      <c r="F1634" s="5"/>
    </row>
    <row r="1635" spans="1:6" s="74" customFormat="1" x14ac:dyDescent="0.2">
      <c r="A1635" s="2"/>
      <c r="B1635" s="64"/>
      <c r="C1635" s="2"/>
      <c r="D1635" s="2"/>
      <c r="E1635" s="5"/>
      <c r="F1635" s="5"/>
    </row>
    <row r="1636" spans="1:6" s="74" customFormat="1" x14ac:dyDescent="0.2">
      <c r="A1636" s="2"/>
      <c r="B1636" s="64"/>
      <c r="C1636" s="2"/>
      <c r="D1636" s="2"/>
      <c r="E1636" s="5"/>
      <c r="F1636" s="5"/>
    </row>
    <row r="1637" spans="1:6" s="74" customFormat="1" x14ac:dyDescent="0.2">
      <c r="A1637" s="2"/>
      <c r="B1637" s="64"/>
      <c r="C1637" s="2"/>
      <c r="D1637" s="2"/>
      <c r="E1637" s="5"/>
      <c r="F1637" s="5"/>
    </row>
    <row r="1638" spans="1:6" s="74" customFormat="1" x14ac:dyDescent="0.2">
      <c r="A1638" s="2"/>
      <c r="B1638" s="64"/>
      <c r="C1638" s="2"/>
      <c r="D1638" s="2"/>
      <c r="E1638" s="5"/>
      <c r="F1638" s="5"/>
    </row>
    <row r="1639" spans="1:6" s="74" customFormat="1" x14ac:dyDescent="0.2">
      <c r="A1639" s="2"/>
      <c r="B1639" s="64"/>
      <c r="C1639" s="2"/>
      <c r="D1639" s="2"/>
      <c r="E1639" s="5"/>
      <c r="F1639" s="5"/>
    </row>
    <row r="1640" spans="1:6" s="74" customFormat="1" x14ac:dyDescent="0.2">
      <c r="A1640" s="2"/>
      <c r="B1640" s="64"/>
      <c r="C1640" s="2"/>
      <c r="D1640" s="2"/>
      <c r="E1640" s="5"/>
      <c r="F1640" s="5"/>
    </row>
    <row r="1641" spans="1:6" s="74" customFormat="1" x14ac:dyDescent="0.2">
      <c r="A1641" s="2"/>
      <c r="B1641" s="64"/>
      <c r="C1641" s="2"/>
      <c r="D1641" s="2"/>
      <c r="E1641" s="5"/>
      <c r="F1641" s="5"/>
    </row>
    <row r="1642" spans="1:6" s="74" customFormat="1" x14ac:dyDescent="0.2">
      <c r="A1642" s="2"/>
      <c r="B1642" s="64"/>
      <c r="C1642" s="2"/>
      <c r="D1642" s="2"/>
      <c r="E1642" s="5"/>
      <c r="F1642" s="5"/>
    </row>
    <row r="1643" spans="1:6" s="74" customFormat="1" x14ac:dyDescent="0.2">
      <c r="A1643" s="2"/>
      <c r="B1643" s="64"/>
      <c r="C1643" s="2"/>
      <c r="D1643" s="2"/>
      <c r="E1643" s="5"/>
      <c r="F1643" s="5"/>
    </row>
    <row r="1644" spans="1:6" s="74" customFormat="1" x14ac:dyDescent="0.2">
      <c r="A1644" s="2"/>
      <c r="B1644" s="64"/>
      <c r="C1644" s="2"/>
      <c r="D1644" s="2"/>
      <c r="E1644" s="5"/>
      <c r="F1644" s="5"/>
    </row>
    <row r="1645" spans="1:6" s="74" customFormat="1" x14ac:dyDescent="0.2">
      <c r="A1645" s="2"/>
      <c r="B1645" s="64"/>
      <c r="C1645" s="2"/>
      <c r="D1645" s="2"/>
      <c r="E1645" s="5"/>
      <c r="F1645" s="5"/>
    </row>
    <row r="1646" spans="1:6" s="74" customFormat="1" x14ac:dyDescent="0.2">
      <c r="A1646" s="2"/>
      <c r="B1646" s="64"/>
      <c r="C1646" s="2"/>
      <c r="D1646" s="2"/>
      <c r="E1646" s="5"/>
      <c r="F1646" s="5"/>
    </row>
    <row r="1647" spans="1:6" s="74" customFormat="1" x14ac:dyDescent="0.2">
      <c r="A1647" s="2"/>
      <c r="B1647" s="64"/>
      <c r="C1647" s="2"/>
      <c r="D1647" s="2"/>
      <c r="E1647" s="5"/>
      <c r="F1647" s="5"/>
    </row>
    <row r="1648" spans="1:6" s="74" customFormat="1" x14ac:dyDescent="0.2">
      <c r="A1648" s="2"/>
      <c r="B1648" s="64"/>
      <c r="C1648" s="2"/>
      <c r="D1648" s="2"/>
      <c r="E1648" s="5"/>
      <c r="F1648" s="5"/>
    </row>
    <row r="1649" spans="1:6" s="74" customFormat="1" x14ac:dyDescent="0.2">
      <c r="A1649" s="2"/>
      <c r="B1649" s="64"/>
      <c r="C1649" s="2"/>
      <c r="D1649" s="2"/>
      <c r="E1649" s="5"/>
      <c r="F1649" s="5"/>
    </row>
    <row r="1650" spans="1:6" s="74" customFormat="1" x14ac:dyDescent="0.2">
      <c r="A1650" s="2"/>
      <c r="B1650" s="64"/>
      <c r="C1650" s="2"/>
      <c r="D1650" s="2"/>
      <c r="E1650" s="5"/>
      <c r="F1650" s="5"/>
    </row>
    <row r="1651" spans="1:6" s="74" customFormat="1" x14ac:dyDescent="0.2">
      <c r="A1651" s="2"/>
      <c r="B1651" s="64"/>
      <c r="C1651" s="2"/>
      <c r="D1651" s="2"/>
      <c r="E1651" s="5"/>
      <c r="F1651" s="5"/>
    </row>
    <row r="1652" spans="1:6" s="74" customFormat="1" x14ac:dyDescent="0.2">
      <c r="A1652" s="2"/>
      <c r="B1652" s="64"/>
      <c r="C1652" s="2"/>
      <c r="D1652" s="2"/>
      <c r="E1652" s="5"/>
      <c r="F1652" s="5"/>
    </row>
    <row r="1653" spans="1:6" s="74" customFormat="1" x14ac:dyDescent="0.2">
      <c r="A1653" s="2"/>
      <c r="B1653" s="64"/>
      <c r="C1653" s="2"/>
      <c r="D1653" s="2"/>
      <c r="E1653" s="5"/>
      <c r="F1653" s="5"/>
    </row>
    <row r="1654" spans="1:6" s="74" customFormat="1" x14ac:dyDescent="0.2">
      <c r="A1654" s="2"/>
      <c r="B1654" s="64"/>
      <c r="C1654" s="2"/>
      <c r="D1654" s="2"/>
      <c r="E1654" s="5"/>
      <c r="F1654" s="5"/>
    </row>
    <row r="1655" spans="1:6" s="74" customFormat="1" x14ac:dyDescent="0.2">
      <c r="A1655" s="2"/>
      <c r="B1655" s="64"/>
      <c r="C1655" s="2"/>
      <c r="D1655" s="2"/>
      <c r="E1655" s="5"/>
      <c r="F1655" s="5"/>
    </row>
    <row r="1656" spans="1:6" s="74" customFormat="1" x14ac:dyDescent="0.2">
      <c r="A1656" s="2"/>
      <c r="B1656" s="64"/>
      <c r="C1656" s="2"/>
      <c r="D1656" s="2"/>
      <c r="E1656" s="5"/>
      <c r="F1656" s="5"/>
    </row>
    <row r="1657" spans="1:6" s="74" customFormat="1" x14ac:dyDescent="0.2">
      <c r="A1657" s="2"/>
      <c r="B1657" s="64"/>
      <c r="C1657" s="2"/>
      <c r="D1657" s="2"/>
      <c r="E1657" s="5"/>
      <c r="F1657" s="5"/>
    </row>
    <row r="1658" spans="1:6" s="74" customFormat="1" x14ac:dyDescent="0.2">
      <c r="A1658" s="2"/>
      <c r="B1658" s="64"/>
      <c r="C1658" s="2"/>
      <c r="D1658" s="2"/>
      <c r="E1658" s="5"/>
      <c r="F1658" s="5"/>
    </row>
    <row r="1659" spans="1:6" s="74" customFormat="1" x14ac:dyDescent="0.2">
      <c r="A1659" s="2"/>
      <c r="B1659" s="64"/>
      <c r="C1659" s="2"/>
      <c r="D1659" s="2"/>
      <c r="E1659" s="5"/>
      <c r="F1659" s="5"/>
    </row>
    <row r="1660" spans="1:6" s="74" customFormat="1" x14ac:dyDescent="0.2">
      <c r="A1660" s="2"/>
      <c r="B1660" s="64"/>
      <c r="C1660" s="2"/>
      <c r="D1660" s="2"/>
      <c r="E1660" s="5"/>
      <c r="F1660" s="5"/>
    </row>
    <row r="1661" spans="1:6" s="74" customFormat="1" x14ac:dyDescent="0.2">
      <c r="A1661" s="2"/>
      <c r="B1661" s="64"/>
      <c r="C1661" s="2"/>
      <c r="D1661" s="2"/>
      <c r="E1661" s="5"/>
      <c r="F1661" s="5"/>
    </row>
    <row r="1662" spans="1:6" s="74" customFormat="1" x14ac:dyDescent="0.2">
      <c r="A1662" s="2"/>
      <c r="B1662" s="64"/>
      <c r="C1662" s="2"/>
      <c r="D1662" s="2"/>
      <c r="E1662" s="5"/>
      <c r="F1662" s="5"/>
    </row>
    <row r="1663" spans="1:6" s="74" customFormat="1" x14ac:dyDescent="0.2">
      <c r="A1663" s="2"/>
      <c r="B1663" s="64"/>
      <c r="C1663" s="2"/>
      <c r="D1663" s="2"/>
      <c r="E1663" s="5"/>
      <c r="F1663" s="5"/>
    </row>
    <row r="1664" spans="1:6" s="74" customFormat="1" x14ac:dyDescent="0.2">
      <c r="A1664" s="2"/>
      <c r="B1664" s="64"/>
      <c r="C1664" s="2"/>
      <c r="D1664" s="2"/>
      <c r="E1664" s="5"/>
      <c r="F1664" s="5"/>
    </row>
    <row r="1665" spans="1:6" s="74" customFormat="1" x14ac:dyDescent="0.2">
      <c r="A1665" s="2"/>
      <c r="B1665" s="64"/>
      <c r="C1665" s="2"/>
      <c r="D1665" s="2"/>
      <c r="E1665" s="5"/>
      <c r="F1665" s="5"/>
    </row>
    <row r="1666" spans="1:6" s="74" customFormat="1" x14ac:dyDescent="0.2">
      <c r="A1666" s="2"/>
      <c r="B1666" s="64"/>
      <c r="C1666" s="2"/>
      <c r="D1666" s="2"/>
      <c r="E1666" s="5"/>
      <c r="F1666" s="5"/>
    </row>
    <row r="1667" spans="1:6" s="74" customFormat="1" x14ac:dyDescent="0.2">
      <c r="A1667" s="2"/>
      <c r="B1667" s="64"/>
      <c r="C1667" s="2"/>
      <c r="D1667" s="2"/>
      <c r="E1667" s="5"/>
      <c r="F1667" s="5"/>
    </row>
    <row r="1668" spans="1:6" s="74" customFormat="1" x14ac:dyDescent="0.2">
      <c r="A1668" s="2"/>
      <c r="B1668" s="64"/>
      <c r="C1668" s="2"/>
      <c r="D1668" s="2"/>
      <c r="E1668" s="5"/>
      <c r="F1668" s="5"/>
    </row>
    <row r="1669" spans="1:6" s="74" customFormat="1" x14ac:dyDescent="0.2">
      <c r="A1669" s="2"/>
      <c r="B1669" s="64"/>
      <c r="C1669" s="2"/>
      <c r="D1669" s="2"/>
      <c r="E1669" s="5"/>
      <c r="F1669" s="5"/>
    </row>
    <row r="1670" spans="1:6" s="74" customFormat="1" x14ac:dyDescent="0.2">
      <c r="A1670" s="2"/>
      <c r="B1670" s="64"/>
      <c r="C1670" s="2"/>
      <c r="D1670" s="2"/>
      <c r="E1670" s="5"/>
      <c r="F1670" s="5"/>
    </row>
    <row r="1671" spans="1:6" s="74" customFormat="1" x14ac:dyDescent="0.2">
      <c r="A1671" s="2"/>
      <c r="B1671" s="64"/>
      <c r="C1671" s="2"/>
      <c r="D1671" s="2"/>
      <c r="E1671" s="5"/>
      <c r="F1671" s="5"/>
    </row>
    <row r="1672" spans="1:6" s="74" customFormat="1" x14ac:dyDescent="0.2">
      <c r="A1672" s="2"/>
      <c r="B1672" s="64"/>
      <c r="C1672" s="2"/>
      <c r="D1672" s="2"/>
      <c r="E1672" s="5"/>
      <c r="F1672" s="5"/>
    </row>
    <row r="1673" spans="1:6" s="74" customFormat="1" x14ac:dyDescent="0.2">
      <c r="A1673" s="2"/>
      <c r="B1673" s="64"/>
      <c r="C1673" s="2"/>
      <c r="D1673" s="2"/>
      <c r="E1673" s="5"/>
      <c r="F1673" s="5"/>
    </row>
    <row r="1674" spans="1:6" s="74" customFormat="1" x14ac:dyDescent="0.2">
      <c r="A1674" s="2"/>
      <c r="B1674" s="64"/>
      <c r="C1674" s="2"/>
      <c r="D1674" s="2"/>
      <c r="E1674" s="5"/>
      <c r="F1674" s="5"/>
    </row>
    <row r="1675" spans="1:6" s="74" customFormat="1" x14ac:dyDescent="0.2">
      <c r="A1675" s="2"/>
      <c r="B1675" s="64"/>
      <c r="C1675" s="2"/>
      <c r="D1675" s="2"/>
      <c r="E1675" s="5"/>
      <c r="F1675" s="5"/>
    </row>
    <row r="1676" spans="1:6" s="74" customFormat="1" x14ac:dyDescent="0.2">
      <c r="A1676" s="2"/>
      <c r="B1676" s="64"/>
      <c r="C1676" s="2"/>
      <c r="D1676" s="2"/>
      <c r="E1676" s="5"/>
      <c r="F1676" s="5"/>
    </row>
    <row r="1677" spans="1:6" s="74" customFormat="1" x14ac:dyDescent="0.2">
      <c r="A1677" s="2"/>
      <c r="B1677" s="64"/>
      <c r="C1677" s="2"/>
      <c r="D1677" s="2"/>
      <c r="E1677" s="5"/>
      <c r="F1677" s="5"/>
    </row>
    <row r="1678" spans="1:6" s="74" customFormat="1" x14ac:dyDescent="0.2">
      <c r="A1678" s="2"/>
      <c r="B1678" s="64"/>
      <c r="C1678" s="2"/>
      <c r="D1678" s="2"/>
      <c r="E1678" s="5"/>
      <c r="F1678" s="5"/>
    </row>
    <row r="1679" spans="1:6" s="74" customFormat="1" x14ac:dyDescent="0.2">
      <c r="A1679" s="2"/>
      <c r="B1679" s="64"/>
      <c r="C1679" s="2"/>
      <c r="D1679" s="2"/>
      <c r="E1679" s="5"/>
      <c r="F1679" s="5"/>
    </row>
    <row r="1680" spans="1:6" s="74" customFormat="1" x14ac:dyDescent="0.2">
      <c r="A1680" s="2"/>
      <c r="B1680" s="64"/>
      <c r="C1680" s="2"/>
      <c r="D1680" s="2"/>
      <c r="E1680" s="5"/>
      <c r="F1680" s="5"/>
    </row>
    <row r="1681" spans="1:6" s="74" customFormat="1" x14ac:dyDescent="0.2">
      <c r="A1681" s="2"/>
      <c r="B1681" s="64"/>
      <c r="C1681" s="2"/>
      <c r="D1681" s="2"/>
      <c r="E1681" s="5"/>
      <c r="F1681" s="5"/>
    </row>
    <row r="1682" spans="1:6" s="74" customFormat="1" x14ac:dyDescent="0.2">
      <c r="A1682" s="2"/>
      <c r="B1682" s="64"/>
      <c r="C1682" s="2"/>
      <c r="D1682" s="2"/>
      <c r="E1682" s="5"/>
      <c r="F1682" s="5"/>
    </row>
    <row r="1683" spans="1:6" s="74" customFormat="1" x14ac:dyDescent="0.2">
      <c r="A1683" s="2"/>
      <c r="B1683" s="64"/>
      <c r="C1683" s="2"/>
      <c r="D1683" s="2"/>
      <c r="E1683" s="5"/>
      <c r="F1683" s="5"/>
    </row>
    <row r="1684" spans="1:6" s="74" customFormat="1" x14ac:dyDescent="0.2">
      <c r="A1684" s="2"/>
      <c r="B1684" s="64"/>
      <c r="C1684" s="2"/>
      <c r="D1684" s="2"/>
      <c r="E1684" s="5"/>
      <c r="F1684" s="5"/>
    </row>
    <row r="1685" spans="1:6" s="74" customFormat="1" x14ac:dyDescent="0.2">
      <c r="A1685" s="2"/>
      <c r="B1685" s="64"/>
      <c r="C1685" s="2"/>
      <c r="D1685" s="2"/>
      <c r="E1685" s="5"/>
      <c r="F1685" s="5"/>
    </row>
    <row r="1686" spans="1:6" s="74" customFormat="1" x14ac:dyDescent="0.2">
      <c r="A1686" s="2"/>
      <c r="B1686" s="64"/>
      <c r="C1686" s="2"/>
      <c r="D1686" s="2"/>
      <c r="E1686" s="5"/>
      <c r="F1686" s="5"/>
    </row>
    <row r="1687" spans="1:6" s="74" customFormat="1" x14ac:dyDescent="0.2">
      <c r="A1687" s="2"/>
      <c r="B1687" s="64"/>
      <c r="C1687" s="2"/>
      <c r="D1687" s="2"/>
      <c r="E1687" s="5"/>
      <c r="F1687" s="5"/>
    </row>
    <row r="1688" spans="1:6" s="74" customFormat="1" x14ac:dyDescent="0.2">
      <c r="A1688" s="2"/>
      <c r="B1688" s="64"/>
      <c r="C1688" s="2"/>
      <c r="D1688" s="2"/>
      <c r="E1688" s="5"/>
      <c r="F1688" s="5"/>
    </row>
    <row r="1689" spans="1:6" s="74" customFormat="1" x14ac:dyDescent="0.2">
      <c r="A1689" s="2"/>
      <c r="B1689" s="64"/>
      <c r="C1689" s="2"/>
      <c r="D1689" s="2"/>
      <c r="E1689" s="5"/>
      <c r="F1689" s="5"/>
    </row>
    <row r="1690" spans="1:6" s="74" customFormat="1" x14ac:dyDescent="0.2">
      <c r="A1690" s="2"/>
      <c r="B1690" s="64"/>
      <c r="C1690" s="2"/>
      <c r="D1690" s="2"/>
      <c r="E1690" s="5"/>
      <c r="F1690" s="5"/>
    </row>
    <row r="1691" spans="1:6" s="74" customFormat="1" x14ac:dyDescent="0.2">
      <c r="A1691" s="2"/>
      <c r="B1691" s="64"/>
      <c r="C1691" s="2"/>
      <c r="D1691" s="2"/>
      <c r="E1691" s="5"/>
      <c r="F1691" s="5"/>
    </row>
    <row r="1692" spans="1:6" s="74" customFormat="1" x14ac:dyDescent="0.2">
      <c r="A1692" s="2"/>
      <c r="B1692" s="64"/>
      <c r="C1692" s="2"/>
      <c r="D1692" s="2"/>
      <c r="E1692" s="5"/>
      <c r="F1692" s="5"/>
    </row>
    <row r="1693" spans="1:6" s="74" customFormat="1" x14ac:dyDescent="0.2">
      <c r="A1693" s="2"/>
      <c r="B1693" s="64"/>
      <c r="C1693" s="2"/>
      <c r="D1693" s="2"/>
      <c r="E1693" s="5"/>
      <c r="F1693" s="5"/>
    </row>
    <row r="1694" spans="1:6" s="74" customFormat="1" x14ac:dyDescent="0.2">
      <c r="A1694" s="2"/>
      <c r="B1694" s="64"/>
      <c r="C1694" s="2"/>
      <c r="D1694" s="2"/>
      <c r="E1694" s="5"/>
      <c r="F1694" s="5"/>
    </row>
    <row r="1695" spans="1:6" s="74" customFormat="1" x14ac:dyDescent="0.2">
      <c r="A1695" s="2"/>
      <c r="B1695" s="64"/>
      <c r="C1695" s="2"/>
      <c r="D1695" s="2"/>
      <c r="E1695" s="5"/>
      <c r="F1695" s="5"/>
    </row>
    <row r="1696" spans="1:6" s="74" customFormat="1" x14ac:dyDescent="0.2">
      <c r="A1696" s="2"/>
      <c r="B1696" s="64"/>
      <c r="C1696" s="2"/>
      <c r="D1696" s="2"/>
      <c r="E1696" s="5"/>
      <c r="F1696" s="5"/>
    </row>
    <row r="1697" spans="1:6" s="74" customFormat="1" x14ac:dyDescent="0.2">
      <c r="A1697" s="2"/>
      <c r="B1697" s="64"/>
      <c r="C1697" s="2"/>
      <c r="D1697" s="2"/>
      <c r="E1697" s="5"/>
      <c r="F1697" s="5"/>
    </row>
    <row r="1698" spans="1:6" s="74" customFormat="1" x14ac:dyDescent="0.2">
      <c r="A1698" s="2"/>
      <c r="B1698" s="64"/>
      <c r="C1698" s="2"/>
      <c r="D1698" s="2"/>
      <c r="E1698" s="5"/>
      <c r="F1698" s="5"/>
    </row>
    <row r="1699" spans="1:6" s="74" customFormat="1" x14ac:dyDescent="0.2">
      <c r="A1699" s="2"/>
      <c r="B1699" s="64"/>
      <c r="C1699" s="2"/>
      <c r="D1699" s="2"/>
      <c r="E1699" s="5"/>
      <c r="F1699" s="5"/>
    </row>
    <row r="1700" spans="1:6" s="74" customFormat="1" x14ac:dyDescent="0.2">
      <c r="A1700" s="2"/>
      <c r="B1700" s="64"/>
      <c r="C1700" s="2"/>
      <c r="D1700" s="2"/>
      <c r="E1700" s="5"/>
      <c r="F1700" s="5"/>
    </row>
    <row r="1701" spans="1:6" s="74" customFormat="1" x14ac:dyDescent="0.2">
      <c r="A1701" s="2"/>
      <c r="B1701" s="64"/>
      <c r="C1701" s="2"/>
      <c r="D1701" s="2"/>
      <c r="E1701" s="5"/>
      <c r="F1701" s="5"/>
    </row>
    <row r="1702" spans="1:6" s="74" customFormat="1" x14ac:dyDescent="0.2">
      <c r="A1702" s="2"/>
      <c r="B1702" s="64"/>
      <c r="C1702" s="2"/>
      <c r="D1702" s="2"/>
      <c r="E1702" s="5"/>
      <c r="F1702" s="5"/>
    </row>
    <row r="1703" spans="1:6" s="74" customFormat="1" x14ac:dyDescent="0.2">
      <c r="A1703" s="2"/>
      <c r="B1703" s="64"/>
      <c r="C1703" s="2"/>
      <c r="D1703" s="2"/>
      <c r="E1703" s="5"/>
      <c r="F1703" s="5"/>
    </row>
    <row r="1704" spans="1:6" s="74" customFormat="1" x14ac:dyDescent="0.2">
      <c r="A1704" s="2"/>
      <c r="B1704" s="64"/>
      <c r="C1704" s="2"/>
      <c r="D1704" s="2"/>
      <c r="E1704" s="5"/>
      <c r="F1704" s="5"/>
    </row>
    <row r="1705" spans="1:6" s="74" customFormat="1" x14ac:dyDescent="0.2">
      <c r="A1705" s="2"/>
      <c r="B1705" s="64"/>
      <c r="C1705" s="2"/>
      <c r="D1705" s="2"/>
      <c r="E1705" s="5"/>
      <c r="F1705" s="5"/>
    </row>
    <row r="1706" spans="1:6" s="74" customFormat="1" x14ac:dyDescent="0.2">
      <c r="A1706" s="2"/>
      <c r="B1706" s="64"/>
      <c r="C1706" s="2"/>
      <c r="D1706" s="2"/>
      <c r="E1706" s="5"/>
      <c r="F1706" s="5"/>
    </row>
    <row r="1707" spans="1:6" s="74" customFormat="1" x14ac:dyDescent="0.2">
      <c r="A1707" s="2"/>
      <c r="B1707" s="64"/>
      <c r="C1707" s="2"/>
      <c r="D1707" s="2"/>
      <c r="E1707" s="5"/>
      <c r="F1707" s="5"/>
    </row>
    <row r="1708" spans="1:6" s="74" customFormat="1" x14ac:dyDescent="0.2">
      <c r="A1708" s="2"/>
      <c r="B1708" s="64"/>
      <c r="C1708" s="2"/>
      <c r="D1708" s="2"/>
      <c r="E1708" s="5"/>
      <c r="F1708" s="5"/>
    </row>
    <row r="1709" spans="1:6" s="74" customFormat="1" x14ac:dyDescent="0.2">
      <c r="A1709" s="2"/>
      <c r="B1709" s="64"/>
      <c r="C1709" s="2"/>
      <c r="D1709" s="2"/>
      <c r="E1709" s="5"/>
      <c r="F1709" s="5"/>
    </row>
    <row r="1710" spans="1:6" s="74" customFormat="1" x14ac:dyDescent="0.2">
      <c r="A1710" s="2"/>
      <c r="B1710" s="64"/>
      <c r="C1710" s="2"/>
      <c r="D1710" s="2"/>
      <c r="E1710" s="5"/>
      <c r="F1710" s="5"/>
    </row>
    <row r="1711" spans="1:6" s="74" customFormat="1" x14ac:dyDescent="0.2">
      <c r="A1711" s="2"/>
      <c r="B1711" s="64"/>
      <c r="C1711" s="2"/>
      <c r="D1711" s="2"/>
      <c r="E1711" s="5"/>
      <c r="F1711" s="5"/>
    </row>
    <row r="1712" spans="1:6" s="74" customFormat="1" x14ac:dyDescent="0.2">
      <c r="A1712" s="2"/>
      <c r="B1712" s="64"/>
      <c r="C1712" s="2"/>
      <c r="D1712" s="2"/>
      <c r="E1712" s="5"/>
      <c r="F1712" s="5"/>
    </row>
    <row r="1713" spans="1:6" s="74" customFormat="1" x14ac:dyDescent="0.2">
      <c r="A1713" s="2"/>
      <c r="B1713" s="64"/>
      <c r="C1713" s="2"/>
      <c r="D1713" s="2"/>
      <c r="E1713" s="5"/>
      <c r="F1713" s="5"/>
    </row>
    <row r="1714" spans="1:6" s="74" customFormat="1" x14ac:dyDescent="0.2">
      <c r="A1714" s="2"/>
      <c r="B1714" s="64"/>
      <c r="C1714" s="2"/>
      <c r="D1714" s="2"/>
      <c r="E1714" s="5"/>
      <c r="F1714" s="5"/>
    </row>
    <row r="1715" spans="1:6" s="74" customFormat="1" x14ac:dyDescent="0.2">
      <c r="A1715" s="2"/>
      <c r="B1715" s="64"/>
      <c r="C1715" s="2"/>
      <c r="D1715" s="2"/>
      <c r="E1715" s="5"/>
      <c r="F1715" s="5"/>
    </row>
    <row r="1716" spans="1:6" s="74" customFormat="1" x14ac:dyDescent="0.2">
      <c r="A1716" s="2"/>
      <c r="B1716" s="64"/>
      <c r="C1716" s="2"/>
      <c r="D1716" s="2"/>
      <c r="E1716" s="5"/>
      <c r="F1716" s="5"/>
    </row>
    <row r="1717" spans="1:6" s="74" customFormat="1" x14ac:dyDescent="0.2">
      <c r="A1717" s="2"/>
      <c r="B1717" s="64"/>
      <c r="C1717" s="2"/>
      <c r="D1717" s="2"/>
      <c r="E1717" s="5"/>
      <c r="F1717" s="5"/>
    </row>
    <row r="1718" spans="1:6" s="74" customFormat="1" x14ac:dyDescent="0.2">
      <c r="A1718" s="2"/>
      <c r="B1718" s="64"/>
      <c r="C1718" s="2"/>
      <c r="D1718" s="2"/>
      <c r="E1718" s="5"/>
      <c r="F1718" s="5"/>
    </row>
    <row r="1719" spans="1:6" s="74" customFormat="1" x14ac:dyDescent="0.2">
      <c r="A1719" s="2"/>
      <c r="B1719" s="64"/>
      <c r="C1719" s="2"/>
      <c r="D1719" s="2"/>
      <c r="E1719" s="5"/>
      <c r="F1719" s="5"/>
    </row>
    <row r="1720" spans="1:6" s="74" customFormat="1" x14ac:dyDescent="0.2">
      <c r="A1720" s="2"/>
      <c r="B1720" s="64"/>
      <c r="C1720" s="2"/>
      <c r="D1720" s="2"/>
      <c r="E1720" s="5"/>
      <c r="F1720" s="5"/>
    </row>
    <row r="1721" spans="1:6" s="74" customFormat="1" x14ac:dyDescent="0.2">
      <c r="A1721" s="2"/>
      <c r="B1721" s="64"/>
      <c r="C1721" s="2"/>
      <c r="D1721" s="2"/>
      <c r="E1721" s="5"/>
      <c r="F1721" s="5"/>
    </row>
    <row r="1722" spans="1:6" s="74" customFormat="1" x14ac:dyDescent="0.2">
      <c r="A1722" s="2"/>
      <c r="B1722" s="64"/>
      <c r="C1722" s="2"/>
      <c r="D1722" s="2"/>
      <c r="E1722" s="5"/>
      <c r="F1722" s="5"/>
    </row>
    <row r="1723" spans="1:6" s="74" customFormat="1" x14ac:dyDescent="0.2">
      <c r="A1723" s="2"/>
      <c r="B1723" s="64"/>
      <c r="C1723" s="2"/>
      <c r="D1723" s="2"/>
      <c r="E1723" s="5"/>
      <c r="F1723" s="5"/>
    </row>
    <row r="1724" spans="1:6" s="74" customFormat="1" x14ac:dyDescent="0.2">
      <c r="A1724" s="2"/>
      <c r="B1724" s="64"/>
      <c r="C1724" s="2"/>
      <c r="D1724" s="2"/>
      <c r="E1724" s="5"/>
      <c r="F1724" s="5"/>
    </row>
    <row r="1725" spans="1:6" s="74" customFormat="1" x14ac:dyDescent="0.2">
      <c r="A1725" s="2"/>
      <c r="B1725" s="64"/>
      <c r="C1725" s="2"/>
      <c r="D1725" s="2"/>
      <c r="E1725" s="5"/>
      <c r="F1725" s="5"/>
    </row>
    <row r="1726" spans="1:6" s="74" customFormat="1" x14ac:dyDescent="0.2">
      <c r="A1726" s="2"/>
      <c r="B1726" s="64"/>
      <c r="C1726" s="2"/>
      <c r="D1726" s="2"/>
      <c r="E1726" s="5"/>
      <c r="F1726" s="5"/>
    </row>
    <row r="1727" spans="1:6" s="74" customFormat="1" x14ac:dyDescent="0.2">
      <c r="A1727" s="2"/>
      <c r="B1727" s="64"/>
      <c r="C1727" s="2"/>
      <c r="D1727" s="2"/>
      <c r="E1727" s="5"/>
      <c r="F1727" s="5"/>
    </row>
    <row r="1728" spans="1:6" s="74" customFormat="1" x14ac:dyDescent="0.2">
      <c r="A1728" s="2"/>
      <c r="B1728" s="64"/>
      <c r="C1728" s="2"/>
      <c r="D1728" s="2"/>
      <c r="E1728" s="5"/>
      <c r="F1728" s="5"/>
    </row>
    <row r="1729" spans="1:6" s="74" customFormat="1" x14ac:dyDescent="0.2">
      <c r="A1729" s="2"/>
      <c r="B1729" s="64"/>
      <c r="C1729" s="2"/>
      <c r="D1729" s="2"/>
      <c r="E1729" s="5"/>
      <c r="F1729" s="5"/>
    </row>
    <row r="1730" spans="1:6" s="74" customFormat="1" x14ac:dyDescent="0.2">
      <c r="A1730" s="2"/>
      <c r="B1730" s="64"/>
      <c r="C1730" s="2"/>
      <c r="D1730" s="2"/>
      <c r="E1730" s="5"/>
      <c r="F1730" s="5"/>
    </row>
    <row r="1731" spans="1:6" s="74" customFormat="1" x14ac:dyDescent="0.2">
      <c r="A1731" s="2"/>
      <c r="B1731" s="64"/>
      <c r="C1731" s="2"/>
      <c r="D1731" s="2"/>
      <c r="E1731" s="5"/>
      <c r="F1731" s="5"/>
    </row>
    <row r="1732" spans="1:6" s="74" customFormat="1" x14ac:dyDescent="0.2">
      <c r="A1732" s="2"/>
      <c r="B1732" s="64"/>
      <c r="C1732" s="2"/>
      <c r="D1732" s="2"/>
      <c r="E1732" s="5"/>
      <c r="F1732" s="5"/>
    </row>
    <row r="1733" spans="1:6" s="74" customFormat="1" x14ac:dyDescent="0.2">
      <c r="A1733" s="2"/>
      <c r="B1733" s="64"/>
      <c r="C1733" s="2"/>
      <c r="D1733" s="2"/>
      <c r="E1733" s="5"/>
      <c r="F1733" s="5"/>
    </row>
    <row r="1734" spans="1:6" s="74" customFormat="1" x14ac:dyDescent="0.2">
      <c r="A1734" s="2"/>
      <c r="B1734" s="64"/>
      <c r="C1734" s="2"/>
      <c r="D1734" s="2"/>
      <c r="E1734" s="5"/>
      <c r="F1734" s="5"/>
    </row>
    <row r="1735" spans="1:6" s="74" customFormat="1" x14ac:dyDescent="0.2">
      <c r="A1735" s="2"/>
      <c r="B1735" s="64"/>
      <c r="C1735" s="2"/>
      <c r="D1735" s="2"/>
      <c r="E1735" s="5"/>
      <c r="F1735" s="5"/>
    </row>
    <row r="1736" spans="1:6" s="74" customFormat="1" x14ac:dyDescent="0.2">
      <c r="A1736" s="2"/>
      <c r="B1736" s="64"/>
      <c r="C1736" s="2"/>
      <c r="D1736" s="2"/>
      <c r="E1736" s="5"/>
      <c r="F1736" s="5"/>
    </row>
    <row r="1737" spans="1:6" s="74" customFormat="1" x14ac:dyDescent="0.2">
      <c r="A1737" s="2"/>
      <c r="B1737" s="64"/>
      <c r="C1737" s="2"/>
      <c r="D1737" s="2"/>
      <c r="E1737" s="5"/>
      <c r="F1737" s="5"/>
    </row>
    <row r="1738" spans="1:6" s="74" customFormat="1" x14ac:dyDescent="0.2">
      <c r="A1738" s="2"/>
      <c r="B1738" s="64"/>
      <c r="C1738" s="2"/>
      <c r="D1738" s="2"/>
      <c r="E1738" s="5"/>
      <c r="F1738" s="5"/>
    </row>
    <row r="1739" spans="1:6" s="74" customFormat="1" x14ac:dyDescent="0.2">
      <c r="A1739" s="2"/>
      <c r="B1739" s="64"/>
      <c r="C1739" s="2"/>
      <c r="D1739" s="2"/>
      <c r="E1739" s="5"/>
      <c r="F1739" s="5"/>
    </row>
    <row r="1740" spans="1:6" s="74" customFormat="1" x14ac:dyDescent="0.2">
      <c r="A1740" s="2"/>
      <c r="B1740" s="64"/>
      <c r="C1740" s="2"/>
      <c r="D1740" s="2"/>
      <c r="E1740" s="5"/>
      <c r="F1740" s="5"/>
    </row>
    <row r="1741" spans="1:6" s="74" customFormat="1" x14ac:dyDescent="0.2">
      <c r="A1741" s="2"/>
      <c r="B1741" s="64"/>
      <c r="C1741" s="2"/>
      <c r="D1741" s="2"/>
      <c r="E1741" s="5"/>
      <c r="F1741" s="5"/>
    </row>
    <row r="1742" spans="1:6" s="74" customFormat="1" x14ac:dyDescent="0.2">
      <c r="A1742" s="2"/>
      <c r="B1742" s="64"/>
      <c r="C1742" s="2"/>
      <c r="D1742" s="2"/>
      <c r="E1742" s="5"/>
      <c r="F1742" s="5"/>
    </row>
    <row r="1743" spans="1:6" s="74" customFormat="1" x14ac:dyDescent="0.2">
      <c r="A1743" s="2"/>
      <c r="B1743" s="64"/>
      <c r="C1743" s="2"/>
      <c r="D1743" s="2"/>
      <c r="E1743" s="5"/>
      <c r="F1743" s="5"/>
    </row>
    <row r="1744" spans="1:6" s="74" customFormat="1" x14ac:dyDescent="0.2">
      <c r="A1744" s="2"/>
      <c r="B1744" s="64"/>
      <c r="C1744" s="2"/>
      <c r="D1744" s="2"/>
      <c r="E1744" s="5"/>
      <c r="F1744" s="5"/>
    </row>
    <row r="1745" spans="1:6" s="74" customFormat="1" x14ac:dyDescent="0.2">
      <c r="A1745" s="2"/>
      <c r="B1745" s="64"/>
      <c r="C1745" s="2"/>
      <c r="D1745" s="2"/>
      <c r="E1745" s="5"/>
      <c r="F1745" s="5"/>
    </row>
    <row r="1746" spans="1:6" s="74" customFormat="1" x14ac:dyDescent="0.2">
      <c r="A1746" s="2"/>
      <c r="B1746" s="64"/>
      <c r="C1746" s="2"/>
      <c r="D1746" s="2"/>
      <c r="E1746" s="5"/>
      <c r="F1746" s="5"/>
    </row>
    <row r="1747" spans="1:6" s="74" customFormat="1" x14ac:dyDescent="0.2">
      <c r="A1747" s="2"/>
      <c r="B1747" s="64"/>
      <c r="C1747" s="2"/>
      <c r="D1747" s="2"/>
      <c r="E1747" s="5"/>
      <c r="F1747" s="5"/>
    </row>
    <row r="1748" spans="1:6" x14ac:dyDescent="0.2">
      <c r="A1748" s="2"/>
      <c r="B1748" s="64"/>
      <c r="C1748" s="2"/>
      <c r="D1748" s="2"/>
      <c r="E1748" s="5"/>
      <c r="F1748" s="5"/>
    </row>
    <row r="1749" spans="1:6" x14ac:dyDescent="0.2">
      <c r="A1749" s="2"/>
      <c r="B1749" s="64"/>
      <c r="C1749" s="2"/>
      <c r="D1749" s="2"/>
      <c r="E1749" s="5"/>
      <c r="F1749" s="5"/>
    </row>
    <row r="1750" spans="1:6" x14ac:dyDescent="0.2">
      <c r="A1750" s="2"/>
      <c r="B1750" s="64"/>
      <c r="C1750" s="2"/>
      <c r="D1750" s="2"/>
      <c r="E1750" s="5"/>
      <c r="F1750" s="5"/>
    </row>
    <row r="1751" spans="1:6" x14ac:dyDescent="0.2">
      <c r="A1751" s="2"/>
      <c r="B1751" s="64"/>
      <c r="C1751" s="2"/>
      <c r="D1751" s="2"/>
      <c r="E1751" s="5"/>
      <c r="F1751" s="5"/>
    </row>
    <row r="1752" spans="1:6" x14ac:dyDescent="0.2">
      <c r="A1752" s="2"/>
      <c r="B1752" s="64"/>
      <c r="C1752" s="2"/>
      <c r="D1752" s="2"/>
      <c r="E1752" s="5"/>
      <c r="F1752" s="5"/>
    </row>
    <row r="1753" spans="1:6" x14ac:dyDescent="0.2">
      <c r="A1753" s="2"/>
      <c r="B1753" s="64"/>
      <c r="C1753" s="2"/>
      <c r="D1753" s="2"/>
      <c r="E1753" s="5"/>
      <c r="F1753" s="5"/>
    </row>
    <row r="1754" spans="1:6" x14ac:dyDescent="0.2">
      <c r="A1754" s="2"/>
      <c r="B1754" s="64"/>
      <c r="C1754" s="2"/>
      <c r="D1754" s="2"/>
      <c r="E1754" s="5"/>
      <c r="F1754" s="5"/>
    </row>
    <row r="1755" spans="1:6" x14ac:dyDescent="0.2">
      <c r="A1755" s="2"/>
      <c r="B1755" s="64"/>
      <c r="C1755" s="2"/>
      <c r="D1755" s="2"/>
      <c r="E1755" s="5"/>
      <c r="F1755" s="5"/>
    </row>
    <row r="1756" spans="1:6" x14ac:dyDescent="0.2">
      <c r="A1756" s="2"/>
      <c r="B1756" s="64"/>
      <c r="C1756" s="2"/>
      <c r="D1756" s="2"/>
      <c r="E1756" s="5"/>
      <c r="F1756" s="5"/>
    </row>
    <row r="1757" spans="1:6" x14ac:dyDescent="0.2">
      <c r="A1757" s="2"/>
      <c r="B1757" s="64"/>
      <c r="C1757" s="2"/>
      <c r="D1757" s="2"/>
      <c r="E1757" s="5"/>
      <c r="F1757" s="5"/>
    </row>
    <row r="1758" spans="1:6" x14ac:dyDescent="0.2">
      <c r="A1758" s="2"/>
      <c r="B1758" s="64"/>
      <c r="C1758" s="2"/>
      <c r="D1758" s="2"/>
      <c r="E1758" s="5"/>
      <c r="F1758" s="5"/>
    </row>
    <row r="1759" spans="1:6" x14ac:dyDescent="0.2">
      <c r="A1759" s="2"/>
      <c r="B1759" s="64"/>
      <c r="C1759" s="2"/>
      <c r="D1759" s="2"/>
      <c r="E1759" s="5"/>
      <c r="F1759" s="5"/>
    </row>
    <row r="1760" spans="1:6" x14ac:dyDescent="0.2">
      <c r="A1760" s="2"/>
      <c r="B1760" s="64"/>
      <c r="C1760" s="2"/>
      <c r="D1760" s="2"/>
      <c r="E1760" s="5"/>
      <c r="F1760" s="5"/>
    </row>
    <row r="1761" spans="1:6" x14ac:dyDescent="0.2">
      <c r="A1761" s="2"/>
      <c r="B1761" s="64"/>
      <c r="C1761" s="2"/>
      <c r="D1761" s="2"/>
      <c r="E1761" s="5"/>
      <c r="F1761" s="5"/>
    </row>
    <row r="1762" spans="1:6" x14ac:dyDescent="0.2">
      <c r="A1762" s="2"/>
      <c r="B1762" s="64"/>
      <c r="C1762" s="2"/>
      <c r="D1762" s="2"/>
      <c r="E1762" s="5"/>
      <c r="F1762" s="5"/>
    </row>
    <row r="1763" spans="1:6" x14ac:dyDescent="0.2">
      <c r="A1763" s="2"/>
      <c r="B1763" s="64"/>
      <c r="C1763" s="2"/>
      <c r="D1763" s="2"/>
      <c r="E1763" s="5"/>
      <c r="F1763" s="5"/>
    </row>
    <row r="1764" spans="1:6" x14ac:dyDescent="0.2">
      <c r="A1764" s="2"/>
      <c r="B1764" s="64"/>
      <c r="C1764" s="2"/>
      <c r="D1764" s="2"/>
      <c r="E1764" s="5"/>
      <c r="F1764" s="5"/>
    </row>
    <row r="1765" spans="1:6" x14ac:dyDescent="0.2">
      <c r="A1765" s="2"/>
      <c r="B1765" s="64"/>
      <c r="C1765" s="2"/>
      <c r="D1765" s="2"/>
      <c r="E1765" s="5"/>
      <c r="F1765" s="5"/>
    </row>
    <row r="1766" spans="1:6" x14ac:dyDescent="0.2">
      <c r="A1766" s="2"/>
      <c r="B1766" s="64"/>
      <c r="C1766" s="2"/>
      <c r="D1766" s="2"/>
      <c r="E1766" s="5"/>
      <c r="F1766" s="5"/>
    </row>
    <row r="1767" spans="1:6" x14ac:dyDescent="0.2">
      <c r="A1767" s="2"/>
      <c r="B1767" s="64"/>
      <c r="C1767" s="2"/>
      <c r="D1767" s="2"/>
      <c r="E1767" s="5"/>
      <c r="F1767" s="5"/>
    </row>
    <row r="1768" spans="1:6" x14ac:dyDescent="0.2">
      <c r="A1768" s="2"/>
      <c r="B1768" s="64"/>
      <c r="C1768" s="2"/>
      <c r="D1768" s="2"/>
      <c r="E1768" s="5"/>
      <c r="F1768" s="5"/>
    </row>
    <row r="1769" spans="1:6" x14ac:dyDescent="0.2">
      <c r="A1769" s="2"/>
      <c r="B1769" s="64"/>
      <c r="C1769" s="2"/>
      <c r="D1769" s="2"/>
      <c r="E1769" s="5"/>
      <c r="F1769" s="5"/>
    </row>
    <row r="1770" spans="1:6" x14ac:dyDescent="0.2">
      <c r="A1770" s="2"/>
      <c r="B1770" s="64"/>
      <c r="C1770" s="2"/>
      <c r="D1770" s="2"/>
      <c r="E1770" s="5"/>
      <c r="F1770" s="5"/>
    </row>
    <row r="1771" spans="1:6" x14ac:dyDescent="0.2">
      <c r="A1771" s="2"/>
      <c r="B1771" s="64"/>
      <c r="C1771" s="2"/>
      <c r="D1771" s="2"/>
      <c r="E1771" s="5"/>
      <c r="F1771" s="5"/>
    </row>
    <row r="1772" spans="1:6" x14ac:dyDescent="0.2">
      <c r="A1772" s="2"/>
      <c r="B1772" s="64"/>
      <c r="C1772" s="2"/>
      <c r="D1772" s="2"/>
      <c r="E1772" s="5"/>
      <c r="F1772" s="5"/>
    </row>
    <row r="1773" spans="1:6" x14ac:dyDescent="0.2">
      <c r="A1773" s="2"/>
      <c r="B1773" s="64"/>
      <c r="C1773" s="2"/>
      <c r="D1773" s="2"/>
      <c r="E1773" s="5"/>
      <c r="F1773" s="5"/>
    </row>
    <row r="1774" spans="1:6" x14ac:dyDescent="0.2">
      <c r="A1774" s="2"/>
      <c r="B1774" s="64"/>
      <c r="C1774" s="2"/>
      <c r="D1774" s="2"/>
      <c r="E1774" s="5"/>
      <c r="F1774" s="5"/>
    </row>
    <row r="1775" spans="1:6" x14ac:dyDescent="0.2">
      <c r="A1775" s="2"/>
      <c r="B1775" s="64"/>
      <c r="C1775" s="2"/>
      <c r="D1775" s="2"/>
      <c r="E1775" s="5"/>
      <c r="F1775" s="5"/>
    </row>
    <row r="1776" spans="1:6" x14ac:dyDescent="0.2">
      <c r="A1776" s="2"/>
      <c r="B1776" s="64"/>
      <c r="C1776" s="2"/>
      <c r="D1776" s="2"/>
      <c r="E1776" s="5"/>
      <c r="F1776" s="5"/>
    </row>
    <row r="1777" spans="1:6" x14ac:dyDescent="0.2">
      <c r="A1777" s="2"/>
      <c r="B1777" s="64"/>
      <c r="C1777" s="2"/>
      <c r="D1777" s="2"/>
      <c r="E1777" s="5"/>
      <c r="F1777" s="5"/>
    </row>
    <row r="1778" spans="1:6" x14ac:dyDescent="0.2">
      <c r="A1778" s="2"/>
      <c r="B1778" s="64"/>
      <c r="C1778" s="2"/>
      <c r="D1778" s="2"/>
      <c r="E1778" s="5"/>
      <c r="F1778" s="5"/>
    </row>
    <row r="1779" spans="1:6" x14ac:dyDescent="0.2">
      <c r="A1779" s="2"/>
      <c r="B1779" s="64"/>
      <c r="C1779" s="2"/>
      <c r="D1779" s="2"/>
      <c r="E1779" s="5"/>
      <c r="F1779" s="5"/>
    </row>
    <row r="1780" spans="1:6" x14ac:dyDescent="0.2">
      <c r="A1780" s="2"/>
      <c r="B1780" s="64"/>
      <c r="C1780" s="2"/>
      <c r="D1780" s="2"/>
      <c r="E1780" s="5"/>
      <c r="F1780" s="5"/>
    </row>
    <row r="1781" spans="1:6" x14ac:dyDescent="0.2">
      <c r="A1781" s="2"/>
      <c r="B1781" s="64"/>
      <c r="C1781" s="2"/>
      <c r="D1781" s="2"/>
      <c r="E1781" s="5"/>
      <c r="F1781" s="5"/>
    </row>
  </sheetData>
  <conditionalFormatting sqref="D761:D904">
    <cfRule type="colorScale" priority="43">
      <colorScale>
        <cfvo type="min"/>
        <cfvo type="percentile" val="50"/>
        <cfvo type="max"/>
        <color rgb="FFF8696B"/>
        <color rgb="FFFFEB84"/>
        <color rgb="FF63BE7B"/>
      </colorScale>
    </cfRule>
  </conditionalFormatting>
  <conditionalFormatting sqref="C761:C904">
    <cfRule type="colorScale" priority="44">
      <colorScale>
        <cfvo type="min"/>
        <cfvo type="percentile" val="50"/>
        <cfvo type="max"/>
        <color rgb="FFF8696B"/>
        <color rgb="FFFFEB84"/>
        <color rgb="FF63BE7B"/>
      </colorScale>
    </cfRule>
  </conditionalFormatting>
  <pageMargins left="0.7" right="0.7" top="0.75" bottom="0.75" header="0.3" footer="0.3"/>
  <pageSetup orientation="portrait"/>
  <drawing r:id="rId1"/>
  <tableParts count="1">
    <tablePart r:id="rId2"/>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4"/>
  <dimension ref="A1:FS906"/>
  <sheetViews>
    <sheetView zoomScale="120" zoomScaleNormal="120" workbookViewId="0">
      <pane ySplit="4" topLeftCell="A628" activePane="bottomLeft" state="frozen"/>
      <selection activeCell="N27" sqref="N27"/>
      <selection pane="bottomLeft" activeCell="Z663" sqref="Z663"/>
    </sheetView>
  </sheetViews>
  <sheetFormatPr baseColWidth="10" defaultColWidth="8.83203125" defaultRowHeight="15" x14ac:dyDescent="0.2"/>
  <cols>
    <col min="1" max="1" width="8.6640625" style="1" customWidth="1"/>
    <col min="2" max="2" width="20.33203125" style="62" customWidth="1"/>
    <col min="3" max="3" width="18.6640625" style="1" customWidth="1"/>
    <col min="4" max="4" width="20.1640625" style="1" customWidth="1"/>
    <col min="5" max="5" width="20.6640625" style="74" customWidth="1"/>
    <col min="6" max="175" width="9.1640625" style="74" customWidth="1"/>
  </cols>
  <sheetData>
    <row r="1" spans="1:4" s="74" customFormat="1" x14ac:dyDescent="0.2">
      <c r="A1" s="7" t="s">
        <v>19</v>
      </c>
      <c r="B1" s="69" t="s">
        <v>20</v>
      </c>
      <c r="C1" s="2"/>
      <c r="D1" s="2"/>
    </row>
    <row r="2" spans="1:4" s="74" customFormat="1" x14ac:dyDescent="0.2">
      <c r="A2" s="2"/>
      <c r="B2" s="64"/>
      <c r="C2" s="2"/>
      <c r="D2" s="2"/>
    </row>
    <row r="3" spans="1:4" s="74" customFormat="1" ht="16" customHeight="1" thickBot="1" x14ac:dyDescent="0.25">
      <c r="A3" s="2"/>
      <c r="B3" s="64"/>
      <c r="C3" s="2"/>
      <c r="D3" s="2"/>
    </row>
    <row r="4" spans="1:4" ht="38.25" customHeight="1" thickBot="1" x14ac:dyDescent="0.25">
      <c r="A4" s="22" t="s">
        <v>28</v>
      </c>
      <c r="B4" s="65" t="s">
        <v>33</v>
      </c>
      <c r="C4" s="20" t="s">
        <v>34</v>
      </c>
      <c r="D4" s="21" t="s">
        <v>35</v>
      </c>
    </row>
    <row r="5" spans="1:4" x14ac:dyDescent="0.2">
      <c r="A5" s="66">
        <v>24473</v>
      </c>
      <c r="B5" s="67">
        <f>VLOOKUP(Table3[[#This Row],[Date]],Database!A:E,4,)</f>
        <v>34.799999999999997</v>
      </c>
      <c r="C5" s="18"/>
      <c r="D5" s="18"/>
    </row>
    <row r="6" spans="1:4" x14ac:dyDescent="0.2">
      <c r="A6" s="61">
        <v>24504</v>
      </c>
      <c r="B6" s="68">
        <f>VLOOKUP(Table3[[#This Row],[Date]],Database!A:E,4,)</f>
        <v>34.700000000000003</v>
      </c>
      <c r="C6" s="14">
        <f t="shared" ref="C6:C69" si="0">(B6-B5)/B5</f>
        <v>-2.8735632183906415E-3</v>
      </c>
      <c r="D6" s="16"/>
    </row>
    <row r="7" spans="1:4" x14ac:dyDescent="0.2">
      <c r="A7" s="61">
        <v>24532</v>
      </c>
      <c r="B7" s="68">
        <f>VLOOKUP(Table3[[#This Row],[Date]],Database!A:E,4,)</f>
        <v>34.700000000000003</v>
      </c>
      <c r="C7" s="14">
        <f t="shared" si="0"/>
        <v>0</v>
      </c>
      <c r="D7" s="16"/>
    </row>
    <row r="8" spans="1:4" x14ac:dyDescent="0.2">
      <c r="A8" s="61">
        <v>24563</v>
      </c>
      <c r="B8" s="68">
        <f>VLOOKUP(Table3[[#This Row],[Date]],Database!A:E,4,)</f>
        <v>34.6</v>
      </c>
      <c r="C8" s="14">
        <f t="shared" si="0"/>
        <v>-2.8818443804034988E-3</v>
      </c>
      <c r="D8" s="16"/>
    </row>
    <row r="9" spans="1:4" x14ac:dyDescent="0.2">
      <c r="A9" s="61">
        <v>24593</v>
      </c>
      <c r="B9" s="68">
        <f>VLOOKUP(Table3[[#This Row],[Date]],Database!A:E,4,)</f>
        <v>34.6</v>
      </c>
      <c r="C9" s="14">
        <f t="shared" si="0"/>
        <v>0</v>
      </c>
      <c r="D9" s="16"/>
    </row>
    <row r="10" spans="1:4" x14ac:dyDescent="0.2">
      <c r="A10" s="61">
        <v>24624</v>
      </c>
      <c r="B10" s="68">
        <f>VLOOKUP(Table3[[#This Row],[Date]],Database!A:E,4,)</f>
        <v>34.9</v>
      </c>
      <c r="C10" s="14">
        <f t="shared" si="0"/>
        <v>8.6705202312137904E-3</v>
      </c>
      <c r="D10" s="16"/>
    </row>
    <row r="11" spans="1:4" x14ac:dyDescent="0.2">
      <c r="A11" s="61">
        <v>24654</v>
      </c>
      <c r="B11" s="68">
        <f>VLOOKUP(Table3[[#This Row],[Date]],Database!A:E,4,)</f>
        <v>35</v>
      </c>
      <c r="C11" s="14">
        <f t="shared" si="0"/>
        <v>2.8653295128940235E-3</v>
      </c>
      <c r="D11" s="16"/>
    </row>
    <row r="12" spans="1:4" x14ac:dyDescent="0.2">
      <c r="A12" s="61">
        <v>24685</v>
      </c>
      <c r="B12" s="68">
        <f>VLOOKUP(Table3[[#This Row],[Date]],Database!A:E,4,)</f>
        <v>35.200000000000003</v>
      </c>
      <c r="C12" s="14">
        <f t="shared" si="0"/>
        <v>5.7142857142857958E-3</v>
      </c>
      <c r="D12" s="16"/>
    </row>
    <row r="13" spans="1:4" x14ac:dyDescent="0.2">
      <c r="A13" s="61">
        <v>24716</v>
      </c>
      <c r="B13" s="68">
        <f>VLOOKUP(Table3[[#This Row],[Date]],Database!A:E,4,)</f>
        <v>35.200000000000003</v>
      </c>
      <c r="C13" s="14">
        <f t="shared" si="0"/>
        <v>0</v>
      </c>
      <c r="D13" s="16"/>
    </row>
    <row r="14" spans="1:4" x14ac:dyDescent="0.2">
      <c r="A14" s="61">
        <v>24746</v>
      </c>
      <c r="B14" s="68">
        <f>VLOOKUP(Table3[[#This Row],[Date]],Database!A:E,4,)</f>
        <v>35.299999999999997</v>
      </c>
      <c r="C14" s="14">
        <f t="shared" si="0"/>
        <v>2.8409090909089292E-3</v>
      </c>
      <c r="D14" s="16"/>
    </row>
    <row r="15" spans="1:4" x14ac:dyDescent="0.2">
      <c r="A15" s="61">
        <v>24777</v>
      </c>
      <c r="B15" s="68">
        <f>VLOOKUP(Table3[[#This Row],[Date]],Database!A:E,4,)</f>
        <v>35.4</v>
      </c>
      <c r="C15" s="14">
        <f t="shared" si="0"/>
        <v>2.8328611898017402E-3</v>
      </c>
      <c r="D15" s="16"/>
    </row>
    <row r="16" spans="1:4" x14ac:dyDescent="0.2">
      <c r="A16" s="61">
        <v>24807</v>
      </c>
      <c r="B16" s="68">
        <f>VLOOKUP(Table3[[#This Row],[Date]],Database!A:E,4,)</f>
        <v>35.5</v>
      </c>
      <c r="C16" s="14">
        <f t="shared" si="0"/>
        <v>2.8248587570621872E-3</v>
      </c>
      <c r="D16" s="16"/>
    </row>
    <row r="17" spans="1:4" x14ac:dyDescent="0.2">
      <c r="A17" s="61">
        <v>24838</v>
      </c>
      <c r="B17" s="68">
        <f>VLOOKUP(Table3[[#This Row],[Date]],Database!A:E,4,)</f>
        <v>35.5</v>
      </c>
      <c r="C17" s="14">
        <f t="shared" si="0"/>
        <v>0</v>
      </c>
      <c r="D17" s="14">
        <f t="shared" ref="D17:D80" si="1">(B17-B5)/B5</f>
        <v>2.0114942528735715E-2</v>
      </c>
    </row>
    <row r="18" spans="1:4" x14ac:dyDescent="0.2">
      <c r="A18" s="61">
        <v>24869</v>
      </c>
      <c r="B18" s="68">
        <f>VLOOKUP(Table3[[#This Row],[Date]],Database!A:E,4,)</f>
        <v>35.700000000000003</v>
      </c>
      <c r="C18" s="14">
        <f t="shared" si="0"/>
        <v>5.6338028169014885E-3</v>
      </c>
      <c r="D18" s="14">
        <f t="shared" si="1"/>
        <v>2.8818443804034581E-2</v>
      </c>
    </row>
    <row r="19" spans="1:4" x14ac:dyDescent="0.2">
      <c r="A19" s="61">
        <v>24898</v>
      </c>
      <c r="B19" s="68">
        <f>VLOOKUP(Table3[[#This Row],[Date]],Database!A:E,4,)</f>
        <v>35.799999999999997</v>
      </c>
      <c r="C19" s="14">
        <f t="shared" si="0"/>
        <v>2.8011204481791121E-3</v>
      </c>
      <c r="D19" s="14">
        <f t="shared" si="1"/>
        <v>3.1700288184437875E-2</v>
      </c>
    </row>
    <row r="20" spans="1:4" x14ac:dyDescent="0.2">
      <c r="A20" s="61">
        <v>24929</v>
      </c>
      <c r="B20" s="68">
        <f>VLOOKUP(Table3[[#This Row],[Date]],Database!A:E,4,)</f>
        <v>36</v>
      </c>
      <c r="C20" s="14">
        <f t="shared" si="0"/>
        <v>5.5865921787710297E-3</v>
      </c>
      <c r="D20" s="14">
        <f t="shared" si="1"/>
        <v>4.0462427745664699E-2</v>
      </c>
    </row>
    <row r="21" spans="1:4" x14ac:dyDescent="0.2">
      <c r="A21" s="61">
        <v>24959</v>
      </c>
      <c r="B21" s="68">
        <f>VLOOKUP(Table3[[#This Row],[Date]],Database!A:E,4,)</f>
        <v>36.1</v>
      </c>
      <c r="C21" s="14">
        <f t="shared" si="0"/>
        <v>2.7777777777778173E-3</v>
      </c>
      <c r="D21" s="14">
        <f t="shared" si="1"/>
        <v>4.3352601156069363E-2</v>
      </c>
    </row>
    <row r="22" spans="1:4" x14ac:dyDescent="0.2">
      <c r="A22" s="61">
        <v>24990</v>
      </c>
      <c r="B22" s="68">
        <f>VLOOKUP(Table3[[#This Row],[Date]],Database!A:E,4,)</f>
        <v>36.1</v>
      </c>
      <c r="C22" s="14">
        <f t="shared" si="0"/>
        <v>0</v>
      </c>
      <c r="D22" s="14">
        <f t="shared" si="1"/>
        <v>3.4383954154727878E-2</v>
      </c>
    </row>
    <row r="23" spans="1:4" x14ac:dyDescent="0.2">
      <c r="A23" s="61">
        <v>25020</v>
      </c>
      <c r="B23" s="68">
        <f>VLOOKUP(Table3[[#This Row],[Date]],Database!A:E,4,)</f>
        <v>36.200000000000003</v>
      </c>
      <c r="C23" s="14">
        <f t="shared" si="0"/>
        <v>2.7700831024931143E-3</v>
      </c>
      <c r="D23" s="14">
        <f t="shared" si="1"/>
        <v>3.4285714285714364E-2</v>
      </c>
    </row>
    <row r="24" spans="1:4" x14ac:dyDescent="0.2">
      <c r="A24" s="61">
        <v>25051</v>
      </c>
      <c r="B24" s="68">
        <f>VLOOKUP(Table3[[#This Row],[Date]],Database!A:E,4,)</f>
        <v>36.299999999999997</v>
      </c>
      <c r="C24" s="14">
        <f t="shared" si="0"/>
        <v>2.7624309392263622E-3</v>
      </c>
      <c r="D24" s="14">
        <f t="shared" si="1"/>
        <v>3.1249999999999837E-2</v>
      </c>
    </row>
    <row r="25" spans="1:4" x14ac:dyDescent="0.2">
      <c r="A25" s="61">
        <v>25082</v>
      </c>
      <c r="B25" s="68">
        <f>VLOOKUP(Table3[[#This Row],[Date]],Database!A:E,4,)</f>
        <v>36.5</v>
      </c>
      <c r="C25" s="14">
        <f t="shared" si="0"/>
        <v>5.509641873278316E-3</v>
      </c>
      <c r="D25" s="14">
        <f t="shared" si="1"/>
        <v>3.69318181818181E-2</v>
      </c>
    </row>
    <row r="26" spans="1:4" x14ac:dyDescent="0.2">
      <c r="A26" s="61">
        <v>25112</v>
      </c>
      <c r="B26" s="68">
        <f>VLOOKUP(Table3[[#This Row],[Date]],Database!A:E,4,)</f>
        <v>36.799999999999997</v>
      </c>
      <c r="C26" s="14">
        <f t="shared" si="0"/>
        <v>8.2191780821917037E-3</v>
      </c>
      <c r="D26" s="14">
        <f t="shared" si="1"/>
        <v>4.2492917847025496E-2</v>
      </c>
    </row>
    <row r="27" spans="1:4" x14ac:dyDescent="0.2">
      <c r="A27" s="61">
        <v>25143</v>
      </c>
      <c r="B27" s="68">
        <f>VLOOKUP(Table3[[#This Row],[Date]],Database!A:E,4,)</f>
        <v>36.799999999999997</v>
      </c>
      <c r="C27" s="14">
        <f t="shared" si="0"/>
        <v>0</v>
      </c>
      <c r="D27" s="14">
        <f t="shared" si="1"/>
        <v>3.9548022598870018E-2</v>
      </c>
    </row>
    <row r="28" spans="1:4" x14ac:dyDescent="0.2">
      <c r="A28" s="61">
        <v>25173</v>
      </c>
      <c r="B28" s="68">
        <f>VLOOKUP(Table3[[#This Row],[Date]],Database!A:E,4,)</f>
        <v>37</v>
      </c>
      <c r="C28" s="14">
        <f t="shared" si="0"/>
        <v>5.4347826086957301E-3</v>
      </c>
      <c r="D28" s="14">
        <f t="shared" si="1"/>
        <v>4.2253521126760563E-2</v>
      </c>
    </row>
    <row r="29" spans="1:4" x14ac:dyDescent="0.2">
      <c r="A29" s="61">
        <v>25204</v>
      </c>
      <c r="B29" s="68">
        <f>VLOOKUP(Table3[[#This Row],[Date]],Database!A:E,4,)</f>
        <v>37</v>
      </c>
      <c r="C29" s="14">
        <f t="shared" si="0"/>
        <v>0</v>
      </c>
      <c r="D29" s="14">
        <f t="shared" si="1"/>
        <v>4.2253521126760563E-2</v>
      </c>
    </row>
    <row r="30" spans="1:4" x14ac:dyDescent="0.2">
      <c r="A30" s="61">
        <v>25235</v>
      </c>
      <c r="B30" s="68">
        <f>VLOOKUP(Table3[[#This Row],[Date]],Database!A:E,4,)</f>
        <v>37</v>
      </c>
      <c r="C30" s="14">
        <f t="shared" si="0"/>
        <v>0</v>
      </c>
      <c r="D30" s="14">
        <f t="shared" si="1"/>
        <v>3.6414565826330451E-2</v>
      </c>
    </row>
    <row r="31" spans="1:4" x14ac:dyDescent="0.2">
      <c r="A31" s="61">
        <v>25263</v>
      </c>
      <c r="B31" s="68">
        <f>VLOOKUP(Table3[[#This Row],[Date]],Database!A:E,4,)</f>
        <v>37.1</v>
      </c>
      <c r="C31" s="14">
        <f t="shared" si="0"/>
        <v>2.702702702702741E-3</v>
      </c>
      <c r="D31" s="14">
        <f t="shared" si="1"/>
        <v>3.6312849162011294E-2</v>
      </c>
    </row>
    <row r="32" spans="1:4" x14ac:dyDescent="0.2">
      <c r="A32" s="61">
        <v>25294</v>
      </c>
      <c r="B32" s="68">
        <f>VLOOKUP(Table3[[#This Row],[Date]],Database!A:E,4,)</f>
        <v>37.4</v>
      </c>
      <c r="C32" s="14">
        <f t="shared" si="0"/>
        <v>8.0862533692721596E-3</v>
      </c>
      <c r="D32" s="14">
        <f t="shared" si="1"/>
        <v>3.8888888888888848E-2</v>
      </c>
    </row>
    <row r="33" spans="1:4" x14ac:dyDescent="0.2">
      <c r="A33" s="61">
        <v>25324</v>
      </c>
      <c r="B33" s="68">
        <f>VLOOKUP(Table3[[#This Row],[Date]],Database!A:E,4,)</f>
        <v>37.6</v>
      </c>
      <c r="C33" s="14">
        <f t="shared" si="0"/>
        <v>5.3475935828877766E-3</v>
      </c>
      <c r="D33" s="14">
        <f t="shared" si="1"/>
        <v>4.1551246537396121E-2</v>
      </c>
    </row>
    <row r="34" spans="1:4" x14ac:dyDescent="0.2">
      <c r="A34" s="61">
        <v>25355</v>
      </c>
      <c r="B34" s="68">
        <f>VLOOKUP(Table3[[#This Row],[Date]],Database!A:E,4,)</f>
        <v>38</v>
      </c>
      <c r="C34" s="14">
        <f t="shared" si="0"/>
        <v>1.0638297872340387E-2</v>
      </c>
      <c r="D34" s="14">
        <f t="shared" si="1"/>
        <v>5.2631578947368376E-2</v>
      </c>
    </row>
    <row r="35" spans="1:4" x14ac:dyDescent="0.2">
      <c r="A35" s="61">
        <v>25385</v>
      </c>
      <c r="B35" s="68">
        <f>VLOOKUP(Table3[[#This Row],[Date]],Database!A:E,4,)</f>
        <v>38.200000000000003</v>
      </c>
      <c r="C35" s="14">
        <f t="shared" si="0"/>
        <v>5.2631578947369166E-3</v>
      </c>
      <c r="D35" s="14">
        <f t="shared" si="1"/>
        <v>5.5248618784530384E-2</v>
      </c>
    </row>
    <row r="36" spans="1:4" x14ac:dyDescent="0.2">
      <c r="A36" s="61">
        <v>25416</v>
      </c>
      <c r="B36" s="68">
        <f>VLOOKUP(Table3[[#This Row],[Date]],Database!A:E,4,)</f>
        <v>38.4</v>
      </c>
      <c r="C36" s="14">
        <f t="shared" si="0"/>
        <v>5.2356020942407261E-3</v>
      </c>
      <c r="D36" s="14">
        <f t="shared" si="1"/>
        <v>5.7851239669421531E-2</v>
      </c>
    </row>
    <row r="37" spans="1:4" x14ac:dyDescent="0.2">
      <c r="A37" s="61">
        <v>25447</v>
      </c>
      <c r="B37" s="68">
        <f>VLOOKUP(Table3[[#This Row],[Date]],Database!A:E,4,)</f>
        <v>38.6</v>
      </c>
      <c r="C37" s="14">
        <f t="shared" si="0"/>
        <v>5.2083333333334076E-3</v>
      </c>
      <c r="D37" s="14">
        <f t="shared" si="1"/>
        <v>5.7534246575342507E-2</v>
      </c>
    </row>
    <row r="38" spans="1:4" x14ac:dyDescent="0.2">
      <c r="A38" s="61">
        <v>25477</v>
      </c>
      <c r="B38" s="68">
        <f>VLOOKUP(Table3[[#This Row],[Date]],Database!A:E,4,)</f>
        <v>38.700000000000003</v>
      </c>
      <c r="C38" s="14">
        <f t="shared" si="0"/>
        <v>2.5906735751295702E-3</v>
      </c>
      <c r="D38" s="14">
        <f t="shared" si="1"/>
        <v>5.1630434782608856E-2</v>
      </c>
    </row>
    <row r="39" spans="1:4" x14ac:dyDescent="0.2">
      <c r="A39" s="61">
        <v>25508</v>
      </c>
      <c r="B39" s="68">
        <f>VLOOKUP(Table3[[#This Row],[Date]],Database!A:E,4,)</f>
        <v>39.1</v>
      </c>
      <c r="C39" s="14">
        <f t="shared" si="0"/>
        <v>1.0335917312661461E-2</v>
      </c>
      <c r="D39" s="14">
        <f t="shared" si="1"/>
        <v>6.2500000000000125E-2</v>
      </c>
    </row>
    <row r="40" spans="1:4" x14ac:dyDescent="0.2">
      <c r="A40" s="61">
        <v>25538</v>
      </c>
      <c r="B40" s="68">
        <f>VLOOKUP(Table3[[#This Row],[Date]],Database!A:E,4,)</f>
        <v>39.5</v>
      </c>
      <c r="C40" s="14">
        <f t="shared" si="0"/>
        <v>1.0230179028132955E-2</v>
      </c>
      <c r="D40" s="14">
        <f t="shared" si="1"/>
        <v>6.7567567567567571E-2</v>
      </c>
    </row>
    <row r="41" spans="1:4" x14ac:dyDescent="0.2">
      <c r="A41" s="61">
        <v>25569</v>
      </c>
      <c r="B41" s="68">
        <f>VLOOKUP(Table3[[#This Row],[Date]],Database!A:E,4,)</f>
        <v>39.6</v>
      </c>
      <c r="C41" s="14">
        <f t="shared" si="0"/>
        <v>2.5316455696202892E-3</v>
      </c>
      <c r="D41" s="14">
        <f t="shared" si="1"/>
        <v>7.0270270270270302E-2</v>
      </c>
    </row>
    <row r="42" spans="1:4" x14ac:dyDescent="0.2">
      <c r="A42" s="61">
        <v>25600</v>
      </c>
      <c r="B42" s="68">
        <f>VLOOKUP(Table3[[#This Row],[Date]],Database!A:E,4,)</f>
        <v>39.799999999999997</v>
      </c>
      <c r="C42" s="14">
        <f t="shared" si="0"/>
        <v>5.0505050505049425E-3</v>
      </c>
      <c r="D42" s="14">
        <f t="shared" si="1"/>
        <v>7.5675675675675597E-2</v>
      </c>
    </row>
    <row r="43" spans="1:4" x14ac:dyDescent="0.2">
      <c r="A43" s="61">
        <v>25628</v>
      </c>
      <c r="B43" s="68">
        <f>VLOOKUP(Table3[[#This Row],[Date]],Database!A:E,4,)</f>
        <v>39.799999999999997</v>
      </c>
      <c r="C43" s="14">
        <f t="shared" si="0"/>
        <v>0</v>
      </c>
      <c r="D43" s="14">
        <f t="shared" si="1"/>
        <v>7.2776280323450016E-2</v>
      </c>
    </row>
    <row r="44" spans="1:4" x14ac:dyDescent="0.2">
      <c r="A44" s="61">
        <v>25659</v>
      </c>
      <c r="B44" s="68">
        <f>VLOOKUP(Table3[[#This Row],[Date]],Database!A:E,4,)</f>
        <v>39.9</v>
      </c>
      <c r="C44" s="14">
        <f t="shared" si="0"/>
        <v>2.5125628140703878E-3</v>
      </c>
      <c r="D44" s="14">
        <f t="shared" si="1"/>
        <v>6.684491978609626E-2</v>
      </c>
    </row>
    <row r="45" spans="1:4" x14ac:dyDescent="0.2">
      <c r="A45" s="61">
        <v>25689</v>
      </c>
      <c r="B45" s="68">
        <f>VLOOKUP(Table3[[#This Row],[Date]],Database!A:E,4,)</f>
        <v>40.1</v>
      </c>
      <c r="C45" s="14">
        <f t="shared" si="0"/>
        <v>5.0125313283208737E-3</v>
      </c>
      <c r="D45" s="14">
        <f t="shared" si="1"/>
        <v>6.6489361702127658E-2</v>
      </c>
    </row>
    <row r="46" spans="1:4" x14ac:dyDescent="0.2">
      <c r="A46" s="61">
        <v>25720</v>
      </c>
      <c r="B46" s="68">
        <f>VLOOKUP(Table3[[#This Row],[Date]],Database!A:E,4,)</f>
        <v>40.1</v>
      </c>
      <c r="C46" s="14">
        <f t="shared" si="0"/>
        <v>0</v>
      </c>
      <c r="D46" s="14">
        <f t="shared" si="1"/>
        <v>5.5263157894736882E-2</v>
      </c>
    </row>
    <row r="47" spans="1:4" x14ac:dyDescent="0.2">
      <c r="A47" s="61">
        <v>25750</v>
      </c>
      <c r="B47" s="68">
        <f>VLOOKUP(Table3[[#This Row],[Date]],Database!A:E,4,)</f>
        <v>40.200000000000003</v>
      </c>
      <c r="C47" s="14">
        <f t="shared" si="0"/>
        <v>2.4937655860349482E-3</v>
      </c>
      <c r="D47" s="14">
        <f t="shared" si="1"/>
        <v>5.235602094240837E-2</v>
      </c>
    </row>
    <row r="48" spans="1:4" x14ac:dyDescent="0.2">
      <c r="A48" s="61">
        <v>25781</v>
      </c>
      <c r="B48" s="68">
        <f>VLOOKUP(Table3[[#This Row],[Date]],Database!A:E,4,)</f>
        <v>40.200000000000003</v>
      </c>
      <c r="C48" s="14">
        <f t="shared" si="0"/>
        <v>0</v>
      </c>
      <c r="D48" s="14">
        <f t="shared" si="1"/>
        <v>4.6875000000000111E-2</v>
      </c>
    </row>
    <row r="49" spans="1:4" x14ac:dyDescent="0.2">
      <c r="A49" s="61">
        <v>25812</v>
      </c>
      <c r="B49" s="68">
        <f>VLOOKUP(Table3[[#This Row],[Date]],Database!A:E,4,)</f>
        <v>40.4</v>
      </c>
      <c r="C49" s="14">
        <f t="shared" si="0"/>
        <v>4.975124378109346E-3</v>
      </c>
      <c r="D49" s="14">
        <f t="shared" si="1"/>
        <v>4.6632124352331529E-2</v>
      </c>
    </row>
    <row r="50" spans="1:4" x14ac:dyDescent="0.2">
      <c r="A50" s="61">
        <v>25842</v>
      </c>
      <c r="B50" s="68">
        <f>VLOOKUP(Table3[[#This Row],[Date]],Database!A:E,4,)</f>
        <v>40.5</v>
      </c>
      <c r="C50" s="14">
        <f t="shared" si="0"/>
        <v>2.4752475247525104E-3</v>
      </c>
      <c r="D50" s="14">
        <f t="shared" si="1"/>
        <v>4.6511627906976667E-2</v>
      </c>
    </row>
    <row r="51" spans="1:4" x14ac:dyDescent="0.2">
      <c r="A51" s="61">
        <v>25873</v>
      </c>
      <c r="B51" s="68">
        <f>VLOOKUP(Table3[[#This Row],[Date]],Database!A:E,4,)</f>
        <v>40.4</v>
      </c>
      <c r="C51" s="14">
        <f t="shared" si="0"/>
        <v>-2.4691358024691709E-3</v>
      </c>
      <c r="D51" s="14">
        <f t="shared" si="1"/>
        <v>3.3248081841432152E-2</v>
      </c>
    </row>
    <row r="52" spans="1:4" x14ac:dyDescent="0.2">
      <c r="A52" s="61">
        <v>25903</v>
      </c>
      <c r="B52" s="68">
        <f>VLOOKUP(Table3[[#This Row],[Date]],Database!A:E,4,)</f>
        <v>40.5</v>
      </c>
      <c r="C52" s="14">
        <f t="shared" si="0"/>
        <v>2.4752475247525104E-3</v>
      </c>
      <c r="D52" s="14">
        <f t="shared" si="1"/>
        <v>2.5316455696202531E-2</v>
      </c>
    </row>
    <row r="53" spans="1:4" x14ac:dyDescent="0.2">
      <c r="A53" s="61">
        <v>25934</v>
      </c>
      <c r="B53" s="68">
        <f>VLOOKUP(Table3[[#This Row],[Date]],Database!A:E,4,)</f>
        <v>40.5</v>
      </c>
      <c r="C53" s="14">
        <f t="shared" si="0"/>
        <v>0</v>
      </c>
      <c r="D53" s="14">
        <f t="shared" si="1"/>
        <v>2.272727272727269E-2</v>
      </c>
    </row>
    <row r="54" spans="1:4" x14ac:dyDescent="0.2">
      <c r="A54" s="61">
        <v>25965</v>
      </c>
      <c r="B54" s="68">
        <f>VLOOKUP(Table3[[#This Row],[Date]],Database!A:E,4,)</f>
        <v>40.5</v>
      </c>
      <c r="C54" s="14">
        <f t="shared" si="0"/>
        <v>0</v>
      </c>
      <c r="D54" s="14">
        <f t="shared" si="1"/>
        <v>1.7587939698492535E-2</v>
      </c>
    </row>
    <row r="55" spans="1:4" x14ac:dyDescent="0.2">
      <c r="A55" s="61">
        <v>25993</v>
      </c>
      <c r="B55" s="68">
        <f>VLOOKUP(Table3[[#This Row],[Date]],Database!A:E,4,)</f>
        <v>40.9</v>
      </c>
      <c r="C55" s="14">
        <f t="shared" si="0"/>
        <v>9.8765432098765083E-3</v>
      </c>
      <c r="D55" s="14">
        <f t="shared" si="1"/>
        <v>2.7638190954773906E-2</v>
      </c>
    </row>
    <row r="56" spans="1:4" x14ac:dyDescent="0.2">
      <c r="A56" s="61">
        <v>26024</v>
      </c>
      <c r="B56" s="68">
        <f>VLOOKUP(Table3[[#This Row],[Date]],Database!A:E,4,)</f>
        <v>41.1</v>
      </c>
      <c r="C56" s="14">
        <f t="shared" si="0"/>
        <v>4.8899755501223188E-3</v>
      </c>
      <c r="D56" s="14">
        <f t="shared" si="1"/>
        <v>3.0075187969924883E-2</v>
      </c>
    </row>
    <row r="57" spans="1:4" x14ac:dyDescent="0.2">
      <c r="A57" s="61">
        <v>26054</v>
      </c>
      <c r="B57" s="68">
        <f>VLOOKUP(Table3[[#This Row],[Date]],Database!A:E,4,)</f>
        <v>41.3</v>
      </c>
      <c r="C57" s="14">
        <f t="shared" si="0"/>
        <v>4.8661800486616965E-3</v>
      </c>
      <c r="D57" s="14">
        <f t="shared" si="1"/>
        <v>2.9925187032418844E-2</v>
      </c>
    </row>
    <row r="58" spans="1:4" x14ac:dyDescent="0.2">
      <c r="A58" s="61">
        <v>26085</v>
      </c>
      <c r="B58" s="68">
        <f>VLOOKUP(Table3[[#This Row],[Date]],Database!A:E,4,)</f>
        <v>41.5</v>
      </c>
      <c r="C58" s="14">
        <f t="shared" si="0"/>
        <v>4.8426150121066063E-3</v>
      </c>
      <c r="D58" s="14">
        <f t="shared" si="1"/>
        <v>3.4912718204488741E-2</v>
      </c>
    </row>
    <row r="59" spans="1:4" x14ac:dyDescent="0.2">
      <c r="A59" s="61">
        <v>26115</v>
      </c>
      <c r="B59" s="68">
        <f>VLOOKUP(Table3[[#This Row],[Date]],Database!A:E,4,)</f>
        <v>41.6</v>
      </c>
      <c r="C59" s="14">
        <f t="shared" si="0"/>
        <v>2.4096385542169015E-3</v>
      </c>
      <c r="D59" s="14">
        <f t="shared" si="1"/>
        <v>3.4825870646766129E-2</v>
      </c>
    </row>
    <row r="60" spans="1:4" x14ac:dyDescent="0.2">
      <c r="A60" s="61">
        <v>26146</v>
      </c>
      <c r="B60" s="68">
        <f>VLOOKUP(Table3[[#This Row],[Date]],Database!A:E,4,)</f>
        <v>41.6</v>
      </c>
      <c r="C60" s="14">
        <f t="shared" si="0"/>
        <v>0</v>
      </c>
      <c r="D60" s="14">
        <f t="shared" si="1"/>
        <v>3.4825870646766129E-2</v>
      </c>
    </row>
    <row r="61" spans="1:4" x14ac:dyDescent="0.2">
      <c r="A61" s="61">
        <v>26177</v>
      </c>
      <c r="B61" s="68">
        <f>VLOOKUP(Table3[[#This Row],[Date]],Database!A:E,4,)</f>
        <v>41.6</v>
      </c>
      <c r="C61" s="14">
        <f t="shared" si="0"/>
        <v>0</v>
      </c>
      <c r="D61" s="14">
        <f t="shared" si="1"/>
        <v>2.9702970297029774E-2</v>
      </c>
    </row>
    <row r="62" spans="1:4" x14ac:dyDescent="0.2">
      <c r="A62" s="61">
        <v>26207</v>
      </c>
      <c r="B62" s="68">
        <f>VLOOKUP(Table3[[#This Row],[Date]],Database!A:E,4,)</f>
        <v>41.7</v>
      </c>
      <c r="C62" s="14">
        <f t="shared" si="0"/>
        <v>2.4038461538461878E-3</v>
      </c>
      <c r="D62" s="14">
        <f t="shared" si="1"/>
        <v>2.96296296296297E-2</v>
      </c>
    </row>
    <row r="63" spans="1:4" x14ac:dyDescent="0.2">
      <c r="A63" s="61">
        <v>26238</v>
      </c>
      <c r="B63" s="68">
        <f>VLOOKUP(Table3[[#This Row],[Date]],Database!A:E,4,)</f>
        <v>41.9</v>
      </c>
      <c r="C63" s="14">
        <f t="shared" si="0"/>
        <v>4.7961630695442618E-3</v>
      </c>
      <c r="D63" s="14">
        <f t="shared" si="1"/>
        <v>3.7128712871287127E-2</v>
      </c>
    </row>
    <row r="64" spans="1:4" x14ac:dyDescent="0.2">
      <c r="A64" s="61">
        <v>26268</v>
      </c>
      <c r="B64" s="68">
        <f>VLOOKUP(Table3[[#This Row],[Date]],Database!A:E,4,)</f>
        <v>42.3</v>
      </c>
      <c r="C64" s="14">
        <f t="shared" si="0"/>
        <v>9.5465393794749061E-3</v>
      </c>
      <c r="D64" s="14">
        <f t="shared" si="1"/>
        <v>4.4444444444444377E-2</v>
      </c>
    </row>
    <row r="65" spans="1:4" x14ac:dyDescent="0.2">
      <c r="A65" s="61">
        <v>26299</v>
      </c>
      <c r="B65" s="68">
        <f>VLOOKUP(Table3[[#This Row],[Date]],Database!A:E,4,)</f>
        <v>42.2</v>
      </c>
      <c r="C65" s="14">
        <f t="shared" si="0"/>
        <v>-2.3640661938532938E-3</v>
      </c>
      <c r="D65" s="14">
        <f t="shared" si="1"/>
        <v>4.1975308641975378E-2</v>
      </c>
    </row>
    <row r="66" spans="1:4" x14ac:dyDescent="0.2">
      <c r="A66" s="61">
        <v>26330</v>
      </c>
      <c r="B66" s="68">
        <f>VLOOKUP(Table3[[#This Row],[Date]],Database!A:E,4,)</f>
        <v>42.6</v>
      </c>
      <c r="C66" s="14">
        <f t="shared" si="0"/>
        <v>9.4786729857819566E-3</v>
      </c>
      <c r="D66" s="14">
        <f t="shared" si="1"/>
        <v>5.1851851851851885E-2</v>
      </c>
    </row>
    <row r="67" spans="1:4" x14ac:dyDescent="0.2">
      <c r="A67" s="61">
        <v>26359</v>
      </c>
      <c r="B67" s="68">
        <f>VLOOKUP(Table3[[#This Row],[Date]],Database!A:E,4,)</f>
        <v>42.6</v>
      </c>
      <c r="C67" s="14">
        <f t="shared" si="0"/>
        <v>0</v>
      </c>
      <c r="D67" s="14">
        <f t="shared" si="1"/>
        <v>4.1564792176039193E-2</v>
      </c>
    </row>
    <row r="68" spans="1:4" x14ac:dyDescent="0.2">
      <c r="A68" s="61">
        <v>26390</v>
      </c>
      <c r="B68" s="68">
        <f>VLOOKUP(Table3[[#This Row],[Date]],Database!A:E,4,)</f>
        <v>42.6</v>
      </c>
      <c r="C68" s="14">
        <f t="shared" si="0"/>
        <v>0</v>
      </c>
      <c r="D68" s="14">
        <f t="shared" si="1"/>
        <v>3.6496350364963501E-2</v>
      </c>
    </row>
    <row r="69" spans="1:4" x14ac:dyDescent="0.2">
      <c r="A69" s="61">
        <v>26420</v>
      </c>
      <c r="B69" s="68">
        <f>VLOOKUP(Table3[[#This Row],[Date]],Database!A:E,4,)</f>
        <v>42.7</v>
      </c>
      <c r="C69" s="14">
        <f t="shared" si="0"/>
        <v>2.3474178403756203E-3</v>
      </c>
      <c r="D69" s="14">
        <f t="shared" si="1"/>
        <v>3.3898305084745901E-2</v>
      </c>
    </row>
    <row r="70" spans="1:4" x14ac:dyDescent="0.2">
      <c r="A70" s="61">
        <v>26451</v>
      </c>
      <c r="B70" s="68">
        <f>VLOOKUP(Table3[[#This Row],[Date]],Database!A:E,4,)</f>
        <v>42.8</v>
      </c>
      <c r="C70" s="14">
        <f t="shared" ref="C70:C133" si="2">(B70-B69)/B69</f>
        <v>2.3419203747071268E-3</v>
      </c>
      <c r="D70" s="14">
        <f t="shared" si="1"/>
        <v>3.132530120481921E-2</v>
      </c>
    </row>
    <row r="71" spans="1:4" x14ac:dyDescent="0.2">
      <c r="A71" s="61">
        <v>26481</v>
      </c>
      <c r="B71" s="68">
        <f>VLOOKUP(Table3[[#This Row],[Date]],Database!A:E,4,)</f>
        <v>43.1</v>
      </c>
      <c r="C71" s="14">
        <f t="shared" si="2"/>
        <v>7.009345794392623E-3</v>
      </c>
      <c r="D71" s="14">
        <f t="shared" si="1"/>
        <v>3.6057692307692304E-2</v>
      </c>
    </row>
    <row r="72" spans="1:4" x14ac:dyDescent="0.2">
      <c r="A72" s="61">
        <v>26512</v>
      </c>
      <c r="B72" s="68">
        <f>VLOOKUP(Table3[[#This Row],[Date]],Database!A:E,4,)</f>
        <v>43.1</v>
      </c>
      <c r="C72" s="14">
        <f t="shared" si="2"/>
        <v>0</v>
      </c>
      <c r="D72" s="14">
        <f t="shared" si="1"/>
        <v>3.6057692307692304E-2</v>
      </c>
    </row>
    <row r="73" spans="1:4" x14ac:dyDescent="0.2">
      <c r="A73" s="61">
        <v>26543</v>
      </c>
      <c r="B73" s="68">
        <f>VLOOKUP(Table3[[#This Row],[Date]],Database!A:E,4,)</f>
        <v>43.5</v>
      </c>
      <c r="C73" s="14">
        <f t="shared" si="2"/>
        <v>9.2807424593967184E-3</v>
      </c>
      <c r="D73" s="14">
        <f t="shared" si="1"/>
        <v>4.5673076923076886E-2</v>
      </c>
    </row>
    <row r="74" spans="1:4" x14ac:dyDescent="0.2">
      <c r="A74" s="61">
        <v>26573</v>
      </c>
      <c r="B74" s="68">
        <f>VLOOKUP(Table3[[#This Row],[Date]],Database!A:E,4,)</f>
        <v>43.7</v>
      </c>
      <c r="C74" s="14">
        <f t="shared" si="2"/>
        <v>4.5977011494253523E-3</v>
      </c>
      <c r="D74" s="14">
        <f t="shared" si="1"/>
        <v>4.7961630695443645E-2</v>
      </c>
    </row>
    <row r="75" spans="1:4" x14ac:dyDescent="0.2">
      <c r="A75" s="61">
        <v>26604</v>
      </c>
      <c r="B75" s="68">
        <f>VLOOKUP(Table3[[#This Row],[Date]],Database!A:E,4,)</f>
        <v>43.9</v>
      </c>
      <c r="C75" s="14">
        <f t="shared" si="2"/>
        <v>4.5766590389015038E-3</v>
      </c>
      <c r="D75" s="14">
        <f t="shared" si="1"/>
        <v>4.77326968973747E-2</v>
      </c>
    </row>
    <row r="76" spans="1:4" x14ac:dyDescent="0.2">
      <c r="A76" s="61">
        <v>26634</v>
      </c>
      <c r="B76" s="68">
        <f>VLOOKUP(Table3[[#This Row],[Date]],Database!A:E,4,)</f>
        <v>44.1</v>
      </c>
      <c r="C76" s="14">
        <f t="shared" si="2"/>
        <v>4.5558086560365113E-3</v>
      </c>
      <c r="D76" s="14">
        <f t="shared" si="1"/>
        <v>4.2553191489361805E-2</v>
      </c>
    </row>
    <row r="77" spans="1:4" x14ac:dyDescent="0.2">
      <c r="A77" s="61">
        <v>26665</v>
      </c>
      <c r="B77" s="68">
        <f>VLOOKUP(Table3[[#This Row],[Date]],Database!A:E,4,)</f>
        <v>44.8</v>
      </c>
      <c r="C77" s="14">
        <f t="shared" si="2"/>
        <v>1.5873015873015775E-2</v>
      </c>
      <c r="D77" s="14">
        <f t="shared" si="1"/>
        <v>6.1611374407582797E-2</v>
      </c>
    </row>
    <row r="78" spans="1:4" x14ac:dyDescent="0.2">
      <c r="A78" s="61">
        <v>26696</v>
      </c>
      <c r="B78" s="68">
        <f>VLOOKUP(Table3[[#This Row],[Date]],Database!A:E,4,)</f>
        <v>45.5</v>
      </c>
      <c r="C78" s="14">
        <f t="shared" si="2"/>
        <v>1.5625000000000066E-2</v>
      </c>
      <c r="D78" s="14">
        <f t="shared" si="1"/>
        <v>6.8075117370891988E-2</v>
      </c>
    </row>
    <row r="79" spans="1:4" x14ac:dyDescent="0.2">
      <c r="A79" s="61">
        <v>26724</v>
      </c>
      <c r="B79" s="68">
        <f>VLOOKUP(Table3[[#This Row],[Date]],Database!A:E,4,)</f>
        <v>46.5</v>
      </c>
      <c r="C79" s="14">
        <f t="shared" si="2"/>
        <v>2.197802197802198E-2</v>
      </c>
      <c r="D79" s="14">
        <f t="shared" si="1"/>
        <v>9.1549295774647849E-2</v>
      </c>
    </row>
    <row r="80" spans="1:4" x14ac:dyDescent="0.2">
      <c r="A80" s="61">
        <v>26755</v>
      </c>
      <c r="B80" s="68">
        <f>VLOOKUP(Table3[[#This Row],[Date]],Database!A:E,4,)</f>
        <v>47.2</v>
      </c>
      <c r="C80" s="14">
        <f t="shared" si="2"/>
        <v>1.5053763440860277E-2</v>
      </c>
      <c r="D80" s="14">
        <f t="shared" si="1"/>
        <v>0.10798122065727703</v>
      </c>
    </row>
    <row r="81" spans="1:4" x14ac:dyDescent="0.2">
      <c r="A81" s="61">
        <v>26785</v>
      </c>
      <c r="B81" s="68">
        <f>VLOOKUP(Table3[[#This Row],[Date]],Database!A:E,4,)</f>
        <v>47.8</v>
      </c>
      <c r="C81" s="14">
        <f t="shared" si="2"/>
        <v>1.271186440677954E-2</v>
      </c>
      <c r="D81" s="14">
        <f t="shared" ref="D81:D144" si="3">(B81-B69)/B69</f>
        <v>0.11943793911007011</v>
      </c>
    </row>
    <row r="82" spans="1:4" x14ac:dyDescent="0.2">
      <c r="A82" s="61">
        <v>26816</v>
      </c>
      <c r="B82" s="68">
        <f>VLOOKUP(Table3[[#This Row],[Date]],Database!A:E,4,)</f>
        <v>48.3</v>
      </c>
      <c r="C82" s="14">
        <f t="shared" si="2"/>
        <v>1.0460251046025106E-2</v>
      </c>
      <c r="D82" s="14">
        <f t="shared" si="3"/>
        <v>0.12850467289719628</v>
      </c>
    </row>
    <row r="83" spans="1:4" x14ac:dyDescent="0.2">
      <c r="A83" s="61">
        <v>26846</v>
      </c>
      <c r="B83" s="68">
        <f>VLOOKUP(Table3[[#This Row],[Date]],Database!A:E,4,)</f>
        <v>48.4</v>
      </c>
      <c r="C83" s="14">
        <f t="shared" si="2"/>
        <v>2.0703933747412305E-3</v>
      </c>
      <c r="D83" s="14">
        <f t="shared" si="3"/>
        <v>0.12296983758700689</v>
      </c>
    </row>
    <row r="84" spans="1:4" x14ac:dyDescent="0.2">
      <c r="A84" s="61">
        <v>26877</v>
      </c>
      <c r="B84" s="68">
        <f>VLOOKUP(Table3[[#This Row],[Date]],Database!A:E,4,)</f>
        <v>50.9</v>
      </c>
      <c r="C84" s="14">
        <f t="shared" si="2"/>
        <v>5.1652892561983473E-2</v>
      </c>
      <c r="D84" s="14">
        <f t="shared" si="3"/>
        <v>0.1809744779582366</v>
      </c>
    </row>
    <row r="85" spans="1:4" x14ac:dyDescent="0.2">
      <c r="A85" s="61">
        <v>26908</v>
      </c>
      <c r="B85" s="68">
        <f>VLOOKUP(Table3[[#This Row],[Date]],Database!A:E,4,)</f>
        <v>50.9</v>
      </c>
      <c r="C85" s="14">
        <f t="shared" si="2"/>
        <v>0</v>
      </c>
      <c r="D85" s="14">
        <f t="shared" si="3"/>
        <v>0.1701149425287356</v>
      </c>
    </row>
    <row r="86" spans="1:4" x14ac:dyDescent="0.2">
      <c r="A86" s="61">
        <v>26938</v>
      </c>
      <c r="B86" s="68">
        <f>VLOOKUP(Table3[[#This Row],[Date]],Database!A:E,4,)</f>
        <v>51.2</v>
      </c>
      <c r="C86" s="14">
        <f t="shared" si="2"/>
        <v>5.8939096267191411E-3</v>
      </c>
      <c r="D86" s="14">
        <f t="shared" si="3"/>
        <v>0.17162471395881007</v>
      </c>
    </row>
    <row r="87" spans="1:4" x14ac:dyDescent="0.2">
      <c r="A87" s="61">
        <v>26969</v>
      </c>
      <c r="B87" s="68">
        <f>VLOOKUP(Table3[[#This Row],[Date]],Database!A:E,4,)</f>
        <v>51.8</v>
      </c>
      <c r="C87" s="14">
        <f t="shared" si="2"/>
        <v>1.1718749999999889E-2</v>
      </c>
      <c r="D87" s="14">
        <f t="shared" si="3"/>
        <v>0.17995444191343962</v>
      </c>
    </row>
    <row r="88" spans="1:4" x14ac:dyDescent="0.2">
      <c r="A88" s="61">
        <v>26999</v>
      </c>
      <c r="B88" s="68">
        <f>VLOOKUP(Table3[[#This Row],[Date]],Database!A:E,4,)</f>
        <v>52.3</v>
      </c>
      <c r="C88" s="14">
        <f t="shared" si="2"/>
        <v>9.6525096525096523E-3</v>
      </c>
      <c r="D88" s="14">
        <f t="shared" si="3"/>
        <v>0.18594104308390014</v>
      </c>
    </row>
    <row r="89" spans="1:4" x14ac:dyDescent="0.2">
      <c r="A89" s="61">
        <v>27030</v>
      </c>
      <c r="B89" s="68">
        <f>VLOOKUP(Table3[[#This Row],[Date]],Database!A:E,4,)</f>
        <v>52.9</v>
      </c>
      <c r="C89" s="14">
        <f t="shared" si="2"/>
        <v>1.1472275334608059E-2</v>
      </c>
      <c r="D89" s="14">
        <f t="shared" si="3"/>
        <v>0.18080357142857148</v>
      </c>
    </row>
    <row r="90" spans="1:4" x14ac:dyDescent="0.2">
      <c r="A90" s="61">
        <v>27061</v>
      </c>
      <c r="B90" s="68">
        <f>VLOOKUP(Table3[[#This Row],[Date]],Database!A:E,4,)</f>
        <v>54</v>
      </c>
      <c r="C90" s="14">
        <f t="shared" si="2"/>
        <v>2.0793950850661654E-2</v>
      </c>
      <c r="D90" s="14">
        <f t="shared" si="3"/>
        <v>0.18681318681318682</v>
      </c>
    </row>
    <row r="91" spans="1:4" x14ac:dyDescent="0.2">
      <c r="A91" s="61">
        <v>27089</v>
      </c>
      <c r="B91" s="68">
        <f>VLOOKUP(Table3[[#This Row],[Date]],Database!A:E,4,)</f>
        <v>54.5</v>
      </c>
      <c r="C91" s="14">
        <f t="shared" si="2"/>
        <v>9.2592592592592587E-3</v>
      </c>
      <c r="D91" s="14">
        <f t="shared" si="3"/>
        <v>0.17204301075268819</v>
      </c>
    </row>
    <row r="92" spans="1:4" x14ac:dyDescent="0.2">
      <c r="A92" s="61">
        <v>27120</v>
      </c>
      <c r="B92" s="68">
        <f>VLOOKUP(Table3[[#This Row],[Date]],Database!A:E,4,)</f>
        <v>54.4</v>
      </c>
      <c r="C92" s="14">
        <f t="shared" si="2"/>
        <v>-1.834862385321127E-3</v>
      </c>
      <c r="D92" s="14">
        <f t="shared" si="3"/>
        <v>0.15254237288135583</v>
      </c>
    </row>
    <row r="93" spans="1:4" x14ac:dyDescent="0.2">
      <c r="A93" s="61">
        <v>27150</v>
      </c>
      <c r="B93" s="68">
        <f>VLOOKUP(Table3[[#This Row],[Date]],Database!A:E,4,)</f>
        <v>54.8</v>
      </c>
      <c r="C93" s="14">
        <f t="shared" si="2"/>
        <v>7.3529411764705621E-3</v>
      </c>
      <c r="D93" s="14">
        <f t="shared" si="3"/>
        <v>0.14644351464435149</v>
      </c>
    </row>
    <row r="94" spans="1:4" x14ac:dyDescent="0.2">
      <c r="A94" s="61">
        <v>27181</v>
      </c>
      <c r="B94" s="68">
        <f>VLOOKUP(Table3[[#This Row],[Date]],Database!A:E,4,)</f>
        <v>54.9</v>
      </c>
      <c r="C94" s="14">
        <f t="shared" si="2"/>
        <v>1.8248175182482011E-3</v>
      </c>
      <c r="D94" s="14">
        <f t="shared" si="3"/>
        <v>0.13664596273291929</v>
      </c>
    </row>
    <row r="95" spans="1:4" x14ac:dyDescent="0.2">
      <c r="A95" s="61">
        <v>27211</v>
      </c>
      <c r="B95" s="68">
        <f>VLOOKUP(Table3[[#This Row],[Date]],Database!A:E,4,)</f>
        <v>54.8</v>
      </c>
      <c r="C95" s="14">
        <f t="shared" si="2"/>
        <v>-1.8214936247723393E-3</v>
      </c>
      <c r="D95" s="14">
        <f t="shared" si="3"/>
        <v>0.13223140495867766</v>
      </c>
    </row>
    <row r="96" spans="1:4" x14ac:dyDescent="0.2">
      <c r="A96" s="61">
        <v>27242</v>
      </c>
      <c r="B96" s="68">
        <f>VLOOKUP(Table3[[#This Row],[Date]],Database!A:E,4,)</f>
        <v>55.5</v>
      </c>
      <c r="C96" s="14">
        <f t="shared" si="2"/>
        <v>1.2773722627737278E-2</v>
      </c>
      <c r="D96" s="14">
        <f t="shared" si="3"/>
        <v>9.0373280943025575E-2</v>
      </c>
    </row>
    <row r="97" spans="1:4" x14ac:dyDescent="0.2">
      <c r="A97" s="61">
        <v>27273</v>
      </c>
      <c r="B97" s="68">
        <f>VLOOKUP(Table3[[#This Row],[Date]],Database!A:E,4,)</f>
        <v>56.6</v>
      </c>
      <c r="C97" s="14">
        <f t="shared" si="2"/>
        <v>1.9819819819819846E-2</v>
      </c>
      <c r="D97" s="14">
        <f t="shared" si="3"/>
        <v>0.11198428290766214</v>
      </c>
    </row>
    <row r="98" spans="1:4" x14ac:dyDescent="0.2">
      <c r="A98" s="61">
        <v>27303</v>
      </c>
      <c r="B98" s="68">
        <f>VLOOKUP(Table3[[#This Row],[Date]],Database!A:E,4,)</f>
        <v>57.2</v>
      </c>
      <c r="C98" s="14">
        <f t="shared" si="2"/>
        <v>1.0600706713780944E-2</v>
      </c>
      <c r="D98" s="14">
        <f t="shared" si="3"/>
        <v>0.1171875</v>
      </c>
    </row>
    <row r="99" spans="1:4" x14ac:dyDescent="0.2">
      <c r="A99" s="61">
        <v>27334</v>
      </c>
      <c r="B99" s="68">
        <f>VLOOKUP(Table3[[#This Row],[Date]],Database!A:E,4,)</f>
        <v>57.9</v>
      </c>
      <c r="C99" s="14">
        <f t="shared" si="2"/>
        <v>1.2237762237762163E-2</v>
      </c>
      <c r="D99" s="14">
        <f t="shared" si="3"/>
        <v>0.11776061776061779</v>
      </c>
    </row>
    <row r="100" spans="1:4" x14ac:dyDescent="0.2">
      <c r="A100" s="61">
        <v>27364</v>
      </c>
      <c r="B100" s="68">
        <f>VLOOKUP(Table3[[#This Row],[Date]],Database!A:E,4,)</f>
        <v>58.6</v>
      </c>
      <c r="C100" s="14">
        <f t="shared" si="2"/>
        <v>1.2089810017271206E-2</v>
      </c>
      <c r="D100" s="14">
        <f t="shared" si="3"/>
        <v>0.1204588910133844</v>
      </c>
    </row>
    <row r="101" spans="1:4" x14ac:dyDescent="0.2">
      <c r="A101" s="61">
        <v>27395</v>
      </c>
      <c r="B101" s="68">
        <f>VLOOKUP(Table3[[#This Row],[Date]],Database!A:E,4,)</f>
        <v>58.8</v>
      </c>
      <c r="C101" s="14">
        <f t="shared" si="2"/>
        <v>3.4129692832763777E-3</v>
      </c>
      <c r="D101" s="14">
        <f t="shared" si="3"/>
        <v>0.11153119092627597</v>
      </c>
    </row>
    <row r="102" spans="1:4" x14ac:dyDescent="0.2">
      <c r="A102" s="61">
        <v>27426</v>
      </c>
      <c r="B102" s="68">
        <f>VLOOKUP(Table3[[#This Row],[Date]],Database!A:E,4,)</f>
        <v>59</v>
      </c>
      <c r="C102" s="14">
        <f t="shared" si="2"/>
        <v>3.4013605442177355E-3</v>
      </c>
      <c r="D102" s="14">
        <f t="shared" si="3"/>
        <v>9.2592592592592587E-2</v>
      </c>
    </row>
    <row r="103" spans="1:4" x14ac:dyDescent="0.2">
      <c r="A103" s="61">
        <v>27454</v>
      </c>
      <c r="B103" s="68">
        <f>VLOOKUP(Table3[[#This Row],[Date]],Database!A:E,4,)</f>
        <v>58.9</v>
      </c>
      <c r="C103" s="14">
        <f t="shared" si="2"/>
        <v>-1.6949152542373122E-3</v>
      </c>
      <c r="D103" s="14">
        <f t="shared" si="3"/>
        <v>8.0733944954128417E-2</v>
      </c>
    </row>
    <row r="104" spans="1:4" x14ac:dyDescent="0.2">
      <c r="A104" s="61">
        <v>27485</v>
      </c>
      <c r="B104" s="68">
        <f>VLOOKUP(Table3[[#This Row],[Date]],Database!A:E,4,)</f>
        <v>58.8</v>
      </c>
      <c r="C104" s="14">
        <f t="shared" si="2"/>
        <v>-1.6977928692699733E-3</v>
      </c>
      <c r="D104" s="14">
        <f t="shared" si="3"/>
        <v>8.0882352941176447E-2</v>
      </c>
    </row>
    <row r="105" spans="1:4" x14ac:dyDescent="0.2">
      <c r="A105" s="61">
        <v>27515</v>
      </c>
      <c r="B105" s="68">
        <f>VLOOKUP(Table3[[#This Row],[Date]],Database!A:E,4,)</f>
        <v>59</v>
      </c>
      <c r="C105" s="14">
        <f t="shared" si="2"/>
        <v>3.4013605442177355E-3</v>
      </c>
      <c r="D105" s="14">
        <f t="shared" si="3"/>
        <v>7.6642335766423417E-2</v>
      </c>
    </row>
    <row r="106" spans="1:4" x14ac:dyDescent="0.2">
      <c r="A106" s="61">
        <v>27546</v>
      </c>
      <c r="B106" s="68">
        <f>VLOOKUP(Table3[[#This Row],[Date]],Database!A:E,4,)</f>
        <v>59.6</v>
      </c>
      <c r="C106" s="14">
        <f t="shared" si="2"/>
        <v>1.0169491525423752E-2</v>
      </c>
      <c r="D106" s="14">
        <f t="shared" si="3"/>
        <v>8.5610200364298783E-2</v>
      </c>
    </row>
    <row r="107" spans="1:4" x14ac:dyDescent="0.2">
      <c r="A107" s="61">
        <v>27576</v>
      </c>
      <c r="B107" s="68">
        <f>VLOOKUP(Table3[[#This Row],[Date]],Database!A:E,4,)</f>
        <v>60.6</v>
      </c>
      <c r="C107" s="14">
        <f t="shared" si="2"/>
        <v>1.6778523489932886E-2</v>
      </c>
      <c r="D107" s="14">
        <f t="shared" si="3"/>
        <v>0.10583941605839424</v>
      </c>
    </row>
    <row r="108" spans="1:4" x14ac:dyDescent="0.2">
      <c r="A108" s="61">
        <v>27607</v>
      </c>
      <c r="B108" s="68">
        <f>VLOOKUP(Table3[[#This Row],[Date]],Database!A:E,4,)</f>
        <v>60.7</v>
      </c>
      <c r="C108" s="14">
        <f t="shared" si="2"/>
        <v>1.6501650165016736E-3</v>
      </c>
      <c r="D108" s="14">
        <f t="shared" si="3"/>
        <v>9.369369369369375E-2</v>
      </c>
    </row>
    <row r="109" spans="1:4" x14ac:dyDescent="0.2">
      <c r="A109" s="61">
        <v>27638</v>
      </c>
      <c r="B109" s="68">
        <f>VLOOKUP(Table3[[#This Row],[Date]],Database!A:E,4,)</f>
        <v>61</v>
      </c>
      <c r="C109" s="14">
        <f t="shared" si="2"/>
        <v>4.9423393739702988E-3</v>
      </c>
      <c r="D109" s="14">
        <f t="shared" si="3"/>
        <v>7.773851590106004E-2</v>
      </c>
    </row>
    <row r="110" spans="1:4" x14ac:dyDescent="0.2">
      <c r="A110" s="61">
        <v>27668</v>
      </c>
      <c r="B110" s="68">
        <f>VLOOKUP(Table3[[#This Row],[Date]],Database!A:E,4,)</f>
        <v>61.6</v>
      </c>
      <c r="C110" s="14">
        <f t="shared" si="2"/>
        <v>9.8360655737705152E-3</v>
      </c>
      <c r="D110" s="14">
        <f t="shared" si="3"/>
        <v>7.69230769230769E-2</v>
      </c>
    </row>
    <row r="111" spans="1:4" x14ac:dyDescent="0.2">
      <c r="A111" s="61">
        <v>27699</v>
      </c>
      <c r="B111" s="68">
        <f>VLOOKUP(Table3[[#This Row],[Date]],Database!A:E,4,)</f>
        <v>62</v>
      </c>
      <c r="C111" s="14">
        <f t="shared" si="2"/>
        <v>6.4935064935064705E-3</v>
      </c>
      <c r="D111" s="14">
        <f t="shared" si="3"/>
        <v>7.0811744386873945E-2</v>
      </c>
    </row>
    <row r="112" spans="1:4" x14ac:dyDescent="0.2">
      <c r="A112" s="61">
        <v>27729</v>
      </c>
      <c r="B112" s="68">
        <f>VLOOKUP(Table3[[#This Row],[Date]],Database!A:E,4,)</f>
        <v>62.3</v>
      </c>
      <c r="C112" s="14">
        <f t="shared" si="2"/>
        <v>4.8387096774193091E-3</v>
      </c>
      <c r="D112" s="14">
        <f t="shared" si="3"/>
        <v>6.3139931740614261E-2</v>
      </c>
    </row>
    <row r="113" spans="1:4" x14ac:dyDescent="0.2">
      <c r="A113" s="61">
        <v>27760</v>
      </c>
      <c r="B113" s="68">
        <f>VLOOKUP(Table3[[#This Row],[Date]],Database!A:E,4,)</f>
        <v>62.2</v>
      </c>
      <c r="C113" s="14">
        <f t="shared" si="2"/>
        <v>-1.6051364365970197E-3</v>
      </c>
      <c r="D113" s="14">
        <f t="shared" si="3"/>
        <v>5.7823129251700779E-2</v>
      </c>
    </row>
    <row r="114" spans="1:4" x14ac:dyDescent="0.2">
      <c r="A114" s="61">
        <v>27791</v>
      </c>
      <c r="B114" s="68">
        <f>VLOOKUP(Table3[[#This Row],[Date]],Database!A:E,4,)</f>
        <v>61.6</v>
      </c>
      <c r="C114" s="14">
        <f t="shared" si="2"/>
        <v>-9.6463022508038801E-3</v>
      </c>
      <c r="D114" s="14">
        <f t="shared" si="3"/>
        <v>4.4067796610169518E-2</v>
      </c>
    </row>
    <row r="115" spans="1:4" x14ac:dyDescent="0.2">
      <c r="A115" s="61">
        <v>27820</v>
      </c>
      <c r="B115" s="68">
        <f>VLOOKUP(Table3[[#This Row],[Date]],Database!A:E,4,)</f>
        <v>61.3</v>
      </c>
      <c r="C115" s="14">
        <f t="shared" si="2"/>
        <v>-4.8701298701299394E-3</v>
      </c>
      <c r="D115" s="14">
        <f t="shared" si="3"/>
        <v>4.0747028862478753E-2</v>
      </c>
    </row>
    <row r="116" spans="1:4" x14ac:dyDescent="0.2">
      <c r="A116" s="61">
        <v>27851</v>
      </c>
      <c r="B116" s="68">
        <f>VLOOKUP(Table3[[#This Row],[Date]],Database!A:E,4,)</f>
        <v>61.3</v>
      </c>
      <c r="C116" s="14">
        <f t="shared" si="2"/>
        <v>0</v>
      </c>
      <c r="D116" s="14">
        <f t="shared" si="3"/>
        <v>4.2517006802721087E-2</v>
      </c>
    </row>
    <row r="117" spans="1:4" x14ac:dyDescent="0.2">
      <c r="A117" s="61">
        <v>27881</v>
      </c>
      <c r="B117" s="68">
        <f>VLOOKUP(Table3[[#This Row],[Date]],Database!A:E,4,)</f>
        <v>61.6</v>
      </c>
      <c r="C117" s="14">
        <f t="shared" si="2"/>
        <v>4.893964110929923E-3</v>
      </c>
      <c r="D117" s="14">
        <f t="shared" si="3"/>
        <v>4.4067796610169518E-2</v>
      </c>
    </row>
    <row r="118" spans="1:4" x14ac:dyDescent="0.2">
      <c r="A118" s="61">
        <v>27912</v>
      </c>
      <c r="B118" s="68">
        <f>VLOOKUP(Table3[[#This Row],[Date]],Database!A:E,4,)</f>
        <v>61.7</v>
      </c>
      <c r="C118" s="14">
        <f t="shared" si="2"/>
        <v>1.6233766233766465E-3</v>
      </c>
      <c r="D118" s="14">
        <f t="shared" si="3"/>
        <v>3.5234899328859086E-2</v>
      </c>
    </row>
    <row r="119" spans="1:4" x14ac:dyDescent="0.2">
      <c r="A119" s="61">
        <v>27942</v>
      </c>
      <c r="B119" s="68">
        <f>VLOOKUP(Table3[[#This Row],[Date]],Database!A:E,4,)</f>
        <v>62</v>
      </c>
      <c r="C119" s="14">
        <f t="shared" si="2"/>
        <v>4.8622366288492242E-3</v>
      </c>
      <c r="D119" s="14">
        <f t="shared" si="3"/>
        <v>2.310231023102308E-2</v>
      </c>
    </row>
    <row r="120" spans="1:4" x14ac:dyDescent="0.2">
      <c r="A120" s="61">
        <v>27973</v>
      </c>
      <c r="B120" s="68">
        <f>VLOOKUP(Table3[[#This Row],[Date]],Database!A:E,4,)</f>
        <v>62.2</v>
      </c>
      <c r="C120" s="14">
        <f t="shared" si="2"/>
        <v>3.2258064516129492E-3</v>
      </c>
      <c r="D120" s="14">
        <f t="shared" si="3"/>
        <v>2.4711696869851727E-2</v>
      </c>
    </row>
    <row r="121" spans="1:4" x14ac:dyDescent="0.2">
      <c r="A121" s="61">
        <v>28004</v>
      </c>
      <c r="B121" s="68">
        <f>VLOOKUP(Table3[[#This Row],[Date]],Database!A:E,4,)</f>
        <v>62.5</v>
      </c>
      <c r="C121" s="14">
        <f t="shared" si="2"/>
        <v>4.8231511254018837E-3</v>
      </c>
      <c r="D121" s="14">
        <f t="shared" si="3"/>
        <v>2.4590163934426229E-2</v>
      </c>
    </row>
    <row r="122" spans="1:4" x14ac:dyDescent="0.2">
      <c r="A122" s="61">
        <v>28034</v>
      </c>
      <c r="B122" s="68">
        <f>VLOOKUP(Table3[[#This Row],[Date]],Database!A:E,4,)</f>
        <v>62.8</v>
      </c>
      <c r="C122" s="14">
        <f t="shared" si="2"/>
        <v>4.7999999999999545E-3</v>
      </c>
      <c r="D122" s="14">
        <f t="shared" si="3"/>
        <v>1.9480519480519411E-2</v>
      </c>
    </row>
    <row r="123" spans="1:4" x14ac:dyDescent="0.2">
      <c r="A123" s="61">
        <v>28065</v>
      </c>
      <c r="B123" s="68">
        <f>VLOOKUP(Table3[[#This Row],[Date]],Database!A:E,4,)</f>
        <v>62.8</v>
      </c>
      <c r="C123" s="14">
        <f t="shared" si="2"/>
        <v>0</v>
      </c>
      <c r="D123" s="14">
        <f t="shared" si="3"/>
        <v>1.2903225806451568E-2</v>
      </c>
    </row>
    <row r="124" spans="1:4" x14ac:dyDescent="0.2">
      <c r="A124" s="61">
        <v>28095</v>
      </c>
      <c r="B124" s="68">
        <f>VLOOKUP(Table3[[#This Row],[Date]],Database!A:E,4,)</f>
        <v>62.9</v>
      </c>
      <c r="C124" s="14">
        <f t="shared" si="2"/>
        <v>1.5923566878981118E-3</v>
      </c>
      <c r="D124" s="14">
        <f t="shared" si="3"/>
        <v>9.6308186195826883E-3</v>
      </c>
    </row>
    <row r="125" spans="1:4" x14ac:dyDescent="0.2">
      <c r="A125" s="61">
        <v>28126</v>
      </c>
      <c r="B125" s="68">
        <f>VLOOKUP(Table3[[#This Row],[Date]],Database!A:E,4,)</f>
        <v>63.1</v>
      </c>
      <c r="C125" s="14">
        <f t="shared" si="2"/>
        <v>3.1796502384738132E-3</v>
      </c>
      <c r="D125" s="14">
        <f t="shared" si="3"/>
        <v>1.4469453376205765E-2</v>
      </c>
    </row>
    <row r="126" spans="1:4" x14ac:dyDescent="0.2">
      <c r="A126" s="61">
        <v>28157</v>
      </c>
      <c r="B126" s="68">
        <f>VLOOKUP(Table3[[#This Row],[Date]],Database!A:E,4,)</f>
        <v>64.2</v>
      </c>
      <c r="C126" s="14">
        <f t="shared" si="2"/>
        <v>1.7432646592710006E-2</v>
      </c>
      <c r="D126" s="14">
        <f t="shared" si="3"/>
        <v>4.2207792207792229E-2</v>
      </c>
    </row>
    <row r="127" spans="1:4" x14ac:dyDescent="0.2">
      <c r="A127" s="61">
        <v>28185</v>
      </c>
      <c r="B127" s="68">
        <f>VLOOKUP(Table3[[#This Row],[Date]],Database!A:E,4,)</f>
        <v>64.5</v>
      </c>
      <c r="C127" s="14">
        <f t="shared" si="2"/>
        <v>4.6728971962616377E-3</v>
      </c>
      <c r="D127" s="14">
        <f t="shared" si="3"/>
        <v>5.2202283849918485E-2</v>
      </c>
    </row>
    <row r="128" spans="1:4" x14ac:dyDescent="0.2">
      <c r="A128" s="61">
        <v>28216</v>
      </c>
      <c r="B128" s="68">
        <f>VLOOKUP(Table3[[#This Row],[Date]],Database!A:E,4,)</f>
        <v>65.2</v>
      </c>
      <c r="C128" s="14">
        <f t="shared" si="2"/>
        <v>1.0852713178294617E-2</v>
      </c>
      <c r="D128" s="14">
        <f t="shared" si="3"/>
        <v>6.3621533442088193E-2</v>
      </c>
    </row>
    <row r="129" spans="1:4" x14ac:dyDescent="0.2">
      <c r="A129" s="61">
        <v>28246</v>
      </c>
      <c r="B129" s="68">
        <f>VLOOKUP(Table3[[#This Row],[Date]],Database!A:E,4,)</f>
        <v>65.5</v>
      </c>
      <c r="C129" s="14">
        <f t="shared" si="2"/>
        <v>4.6012269938649868E-3</v>
      </c>
      <c r="D129" s="14">
        <f t="shared" si="3"/>
        <v>6.3311688311688291E-2</v>
      </c>
    </row>
    <row r="130" spans="1:4" x14ac:dyDescent="0.2">
      <c r="A130" s="61">
        <v>28277</v>
      </c>
      <c r="B130" s="68">
        <f>VLOOKUP(Table3[[#This Row],[Date]],Database!A:E,4,)</f>
        <v>65.900000000000006</v>
      </c>
      <c r="C130" s="14">
        <f t="shared" si="2"/>
        <v>6.1068702290077203E-3</v>
      </c>
      <c r="D130" s="14">
        <f t="shared" si="3"/>
        <v>6.8071312803889839E-2</v>
      </c>
    </row>
    <row r="131" spans="1:4" x14ac:dyDescent="0.2">
      <c r="A131" s="61">
        <v>28307</v>
      </c>
      <c r="B131" s="68">
        <f>VLOOKUP(Table3[[#This Row],[Date]],Database!A:E,4,)</f>
        <v>66.099999999999994</v>
      </c>
      <c r="C131" s="14">
        <f t="shared" si="2"/>
        <v>3.0349013657054416E-3</v>
      </c>
      <c r="D131" s="14">
        <f t="shared" si="3"/>
        <v>6.6129032258064421E-2</v>
      </c>
    </row>
    <row r="132" spans="1:4" x14ac:dyDescent="0.2">
      <c r="A132" s="61">
        <v>28338</v>
      </c>
      <c r="B132" s="68">
        <f>VLOOKUP(Table3[[#This Row],[Date]],Database!A:E,4,)</f>
        <v>66.400000000000006</v>
      </c>
      <c r="C132" s="14">
        <f t="shared" si="2"/>
        <v>4.5385779122543331E-3</v>
      </c>
      <c r="D132" s="14">
        <f t="shared" si="3"/>
        <v>6.7524115755627057E-2</v>
      </c>
    </row>
    <row r="133" spans="1:4" x14ac:dyDescent="0.2">
      <c r="A133" s="61">
        <v>28369</v>
      </c>
      <c r="B133" s="68">
        <f>VLOOKUP(Table3[[#This Row],[Date]],Database!A:E,4,)</f>
        <v>66.599999999999994</v>
      </c>
      <c r="C133" s="14">
        <f t="shared" si="2"/>
        <v>3.0120481927709128E-3</v>
      </c>
      <c r="D133" s="14">
        <f t="shared" si="3"/>
        <v>6.5599999999999908E-2</v>
      </c>
    </row>
    <row r="134" spans="1:4" x14ac:dyDescent="0.2">
      <c r="A134" s="61">
        <v>28399</v>
      </c>
      <c r="B134" s="68">
        <f>VLOOKUP(Table3[[#This Row],[Date]],Database!A:E,4,)</f>
        <v>66.8</v>
      </c>
      <c r="C134" s="14">
        <f t="shared" ref="C134:C197" si="4">(B134-B133)/B133</f>
        <v>3.0030030030030459E-3</v>
      </c>
      <c r="D134" s="14">
        <f t="shared" si="3"/>
        <v>6.3694267515923567E-2</v>
      </c>
    </row>
    <row r="135" spans="1:4" x14ac:dyDescent="0.2">
      <c r="A135" s="61">
        <v>28430</v>
      </c>
      <c r="B135" s="68">
        <f>VLOOKUP(Table3[[#This Row],[Date]],Database!A:E,4,)</f>
        <v>67.400000000000006</v>
      </c>
      <c r="C135" s="14">
        <f t="shared" si="4"/>
        <v>8.9820359281438406E-3</v>
      </c>
      <c r="D135" s="14">
        <f t="shared" si="3"/>
        <v>7.3248407643312238E-2</v>
      </c>
    </row>
    <row r="136" spans="1:4" x14ac:dyDescent="0.2">
      <c r="A136" s="61">
        <v>28460</v>
      </c>
      <c r="B136" s="68">
        <f>VLOOKUP(Table3[[#This Row],[Date]],Database!A:E,4,)</f>
        <v>67.5</v>
      </c>
      <c r="C136" s="14">
        <f t="shared" si="4"/>
        <v>1.4836795252224674E-3</v>
      </c>
      <c r="D136" s="14">
        <f t="shared" si="3"/>
        <v>7.3131955484896691E-2</v>
      </c>
    </row>
    <row r="137" spans="1:4" x14ac:dyDescent="0.2">
      <c r="A137" s="61">
        <v>28491</v>
      </c>
      <c r="B137" s="68">
        <f>VLOOKUP(Table3[[#This Row],[Date]],Database!A:E,4,)</f>
        <v>68.099999999999994</v>
      </c>
      <c r="C137" s="14">
        <f t="shared" si="4"/>
        <v>8.8888888888888039E-3</v>
      </c>
      <c r="D137" s="14">
        <f t="shared" si="3"/>
        <v>7.9239302694136177E-2</v>
      </c>
    </row>
    <row r="138" spans="1:4" x14ac:dyDescent="0.2">
      <c r="A138" s="61">
        <v>28522</v>
      </c>
      <c r="B138" s="68">
        <f>VLOOKUP(Table3[[#This Row],[Date]],Database!A:E,4,)</f>
        <v>68.8</v>
      </c>
      <c r="C138" s="14">
        <f t="shared" si="4"/>
        <v>1.0279001468428825E-2</v>
      </c>
      <c r="D138" s="14">
        <f t="shared" si="3"/>
        <v>7.1651090342679039E-2</v>
      </c>
    </row>
    <row r="139" spans="1:4" x14ac:dyDescent="0.2">
      <c r="A139" s="61">
        <v>28550</v>
      </c>
      <c r="B139" s="68">
        <f>VLOOKUP(Table3[[#This Row],[Date]],Database!A:E,4,)</f>
        <v>69.599999999999994</v>
      </c>
      <c r="C139" s="14">
        <f t="shared" si="4"/>
        <v>1.1627906976744146E-2</v>
      </c>
      <c r="D139" s="14">
        <f t="shared" si="3"/>
        <v>7.9069767441860381E-2</v>
      </c>
    </row>
    <row r="140" spans="1:4" x14ac:dyDescent="0.2">
      <c r="A140" s="61">
        <v>28581</v>
      </c>
      <c r="B140" s="68">
        <f>VLOOKUP(Table3[[#This Row],[Date]],Database!A:E,4,)</f>
        <v>70.7</v>
      </c>
      <c r="C140" s="14">
        <f t="shared" si="4"/>
        <v>1.5804597701149548E-2</v>
      </c>
      <c r="D140" s="14">
        <f t="shared" si="3"/>
        <v>8.4355828220858894E-2</v>
      </c>
    </row>
    <row r="141" spans="1:4" x14ac:dyDescent="0.2">
      <c r="A141" s="61">
        <v>28611</v>
      </c>
      <c r="B141" s="68">
        <f>VLOOKUP(Table3[[#This Row],[Date]],Database!A:E,4,)</f>
        <v>71.7</v>
      </c>
      <c r="C141" s="14">
        <f t="shared" si="4"/>
        <v>1.4144271570014143E-2</v>
      </c>
      <c r="D141" s="14">
        <f t="shared" si="3"/>
        <v>9.4656488549618362E-2</v>
      </c>
    </row>
    <row r="142" spans="1:4" x14ac:dyDescent="0.2">
      <c r="A142" s="61">
        <v>28642</v>
      </c>
      <c r="B142" s="68">
        <f>VLOOKUP(Table3[[#This Row],[Date]],Database!A:E,4,)</f>
        <v>72.8</v>
      </c>
      <c r="C142" s="14">
        <f t="shared" si="4"/>
        <v>1.5341701534170074E-2</v>
      </c>
      <c r="D142" s="14">
        <f t="shared" si="3"/>
        <v>0.10470409711684356</v>
      </c>
    </row>
    <row r="143" spans="1:4" x14ac:dyDescent="0.2">
      <c r="A143" s="61">
        <v>28672</v>
      </c>
      <c r="B143" s="68">
        <f>VLOOKUP(Table3[[#This Row],[Date]],Database!A:E,4,)</f>
        <v>73.099999999999994</v>
      </c>
      <c r="C143" s="14">
        <f t="shared" si="4"/>
        <v>4.120879120879082E-3</v>
      </c>
      <c r="D143" s="14">
        <f t="shared" si="3"/>
        <v>0.10590015128593042</v>
      </c>
    </row>
    <row r="144" spans="1:4" x14ac:dyDescent="0.2">
      <c r="A144" s="61">
        <v>28703</v>
      </c>
      <c r="B144" s="68">
        <f>VLOOKUP(Table3[[#This Row],[Date]],Database!A:E,4,)</f>
        <v>73.400000000000006</v>
      </c>
      <c r="C144" s="14">
        <f t="shared" si="4"/>
        <v>4.10396716826281E-3</v>
      </c>
      <c r="D144" s="14">
        <f t="shared" si="3"/>
        <v>0.10542168674698794</v>
      </c>
    </row>
    <row r="145" spans="1:4" x14ac:dyDescent="0.2">
      <c r="A145" s="61">
        <v>28734</v>
      </c>
      <c r="B145" s="68">
        <f>VLOOKUP(Table3[[#This Row],[Date]],Database!A:E,4,)</f>
        <v>73.7</v>
      </c>
      <c r="C145" s="14">
        <f t="shared" si="4"/>
        <v>4.0871934604904238E-3</v>
      </c>
      <c r="D145" s="14">
        <f t="shared" ref="D145:D208" si="5">(B145-B133)/B133</f>
        <v>0.10660660660660674</v>
      </c>
    </row>
    <row r="146" spans="1:4" x14ac:dyDescent="0.2">
      <c r="A146" s="61">
        <v>28764</v>
      </c>
      <c r="B146" s="68">
        <f>VLOOKUP(Table3[[#This Row],[Date]],Database!A:E,4,)</f>
        <v>74.3</v>
      </c>
      <c r="C146" s="14">
        <f t="shared" si="4"/>
        <v>8.1411126187244821E-3</v>
      </c>
      <c r="D146" s="14">
        <f t="shared" si="5"/>
        <v>0.11227544910179642</v>
      </c>
    </row>
    <row r="147" spans="1:4" x14ac:dyDescent="0.2">
      <c r="A147" s="61">
        <v>28795</v>
      </c>
      <c r="B147" s="68">
        <f>VLOOKUP(Table3[[#This Row],[Date]],Database!A:E,4,)</f>
        <v>74.8</v>
      </c>
      <c r="C147" s="14">
        <f t="shared" si="4"/>
        <v>6.7294751009421266E-3</v>
      </c>
      <c r="D147" s="14">
        <f t="shared" si="5"/>
        <v>0.10979228486646871</v>
      </c>
    </row>
    <row r="148" spans="1:4" x14ac:dyDescent="0.2">
      <c r="A148" s="61">
        <v>28825</v>
      </c>
      <c r="B148" s="68">
        <f>VLOOKUP(Table3[[#This Row],[Date]],Database!A:E,4,)</f>
        <v>75.2</v>
      </c>
      <c r="C148" s="14">
        <f t="shared" si="4"/>
        <v>5.3475935828877766E-3</v>
      </c>
      <c r="D148" s="14">
        <f t="shared" si="5"/>
        <v>0.11407407407407412</v>
      </c>
    </row>
    <row r="149" spans="1:4" x14ac:dyDescent="0.2">
      <c r="A149" s="61">
        <v>28856</v>
      </c>
      <c r="B149" s="68">
        <f>VLOOKUP(Table3[[#This Row],[Date]],Database!A:E,4,)</f>
        <v>76.5</v>
      </c>
      <c r="C149" s="14">
        <f t="shared" si="4"/>
        <v>1.7287234042553154E-2</v>
      </c>
      <c r="D149" s="14">
        <f t="shared" si="5"/>
        <v>0.12334801762114547</v>
      </c>
    </row>
    <row r="150" spans="1:4" x14ac:dyDescent="0.2">
      <c r="A150" s="61">
        <v>28887</v>
      </c>
      <c r="B150" s="68">
        <f>VLOOKUP(Table3[[#This Row],[Date]],Database!A:E,4,)</f>
        <v>77.7</v>
      </c>
      <c r="C150" s="14">
        <f t="shared" si="4"/>
        <v>1.568627450980396E-2</v>
      </c>
      <c r="D150" s="14">
        <f t="shared" si="5"/>
        <v>0.12936046511627916</v>
      </c>
    </row>
    <row r="151" spans="1:4" x14ac:dyDescent="0.2">
      <c r="A151" s="61">
        <v>28915</v>
      </c>
      <c r="B151" s="68">
        <f>VLOOKUP(Table3[[#This Row],[Date]],Database!A:E,4,)</f>
        <v>78.400000000000006</v>
      </c>
      <c r="C151" s="14">
        <f t="shared" si="4"/>
        <v>9.0090090090090454E-3</v>
      </c>
      <c r="D151" s="14">
        <f t="shared" si="5"/>
        <v>0.12643678160919558</v>
      </c>
    </row>
    <row r="152" spans="1:4" x14ac:dyDescent="0.2">
      <c r="A152" s="61">
        <v>28946</v>
      </c>
      <c r="B152" s="68">
        <f>VLOOKUP(Table3[[#This Row],[Date]],Database!A:E,4,)</f>
        <v>78.900000000000006</v>
      </c>
      <c r="C152" s="14">
        <f t="shared" si="4"/>
        <v>6.3775510204081625E-3</v>
      </c>
      <c r="D152" s="14">
        <f t="shared" si="5"/>
        <v>0.11598302687411602</v>
      </c>
    </row>
    <row r="153" spans="1:4" x14ac:dyDescent="0.2">
      <c r="A153" s="61">
        <v>28976</v>
      </c>
      <c r="B153" s="68">
        <f>VLOOKUP(Table3[[#This Row],[Date]],Database!A:E,4,)</f>
        <v>79.7</v>
      </c>
      <c r="C153" s="14">
        <f t="shared" si="4"/>
        <v>1.013941698352341E-2</v>
      </c>
      <c r="D153" s="14">
        <f t="shared" si="5"/>
        <v>0.11157601115760112</v>
      </c>
    </row>
    <row r="154" spans="1:4" x14ac:dyDescent="0.2">
      <c r="A154" s="61">
        <v>29007</v>
      </c>
      <c r="B154" s="68">
        <f>VLOOKUP(Table3[[#This Row],[Date]],Database!A:E,4,)</f>
        <v>80</v>
      </c>
      <c r="C154" s="14">
        <f t="shared" si="4"/>
        <v>3.7641154328732392E-3</v>
      </c>
      <c r="D154" s="14">
        <f t="shared" si="5"/>
        <v>9.8901098901098938E-2</v>
      </c>
    </row>
    <row r="155" spans="1:4" x14ac:dyDescent="0.2">
      <c r="A155" s="61">
        <v>29037</v>
      </c>
      <c r="B155" s="68">
        <f>VLOOKUP(Table3[[#This Row],[Date]],Database!A:E,4,)</f>
        <v>80.400000000000006</v>
      </c>
      <c r="C155" s="14">
        <f t="shared" si="4"/>
        <v>5.0000000000000712E-3</v>
      </c>
      <c r="D155" s="14">
        <f t="shared" si="5"/>
        <v>9.986320109439141E-2</v>
      </c>
    </row>
    <row r="156" spans="1:4" x14ac:dyDescent="0.2">
      <c r="A156" s="61">
        <v>29068</v>
      </c>
      <c r="B156" s="68">
        <f>VLOOKUP(Table3[[#This Row],[Date]],Database!A:E,4,)</f>
        <v>80.3</v>
      </c>
      <c r="C156" s="14">
        <f t="shared" si="4"/>
        <v>-1.2437810945274692E-3</v>
      </c>
      <c r="D156" s="14">
        <f t="shared" si="5"/>
        <v>9.4005449591280529E-2</v>
      </c>
    </row>
    <row r="157" spans="1:4" x14ac:dyDescent="0.2">
      <c r="A157" s="61">
        <v>29099</v>
      </c>
      <c r="B157" s="68">
        <f>VLOOKUP(Table3[[#This Row],[Date]],Database!A:E,4,)</f>
        <v>80.900000000000006</v>
      </c>
      <c r="C157" s="14">
        <f t="shared" si="4"/>
        <v>7.4719800747199069E-3</v>
      </c>
      <c r="D157" s="14">
        <f t="shared" si="5"/>
        <v>9.7693351424694749E-2</v>
      </c>
    </row>
    <row r="158" spans="1:4" x14ac:dyDescent="0.2">
      <c r="A158" s="61">
        <v>29129</v>
      </c>
      <c r="B158" s="68">
        <f>VLOOKUP(Table3[[#This Row],[Date]],Database!A:E,4,)</f>
        <v>81.5</v>
      </c>
      <c r="C158" s="14">
        <f t="shared" si="4"/>
        <v>7.4165636588380008E-3</v>
      </c>
      <c r="D158" s="14">
        <f t="shared" si="5"/>
        <v>9.6904441453566664E-2</v>
      </c>
    </row>
    <row r="159" spans="1:4" x14ac:dyDescent="0.2">
      <c r="A159" s="61">
        <v>29160</v>
      </c>
      <c r="B159" s="68">
        <f>VLOOKUP(Table3[[#This Row],[Date]],Database!A:E,4,)</f>
        <v>82.1</v>
      </c>
      <c r="C159" s="14">
        <f t="shared" si="4"/>
        <v>7.3619631901839797E-3</v>
      </c>
      <c r="D159" s="14">
        <f t="shared" si="5"/>
        <v>9.7593582887700495E-2</v>
      </c>
    </row>
    <row r="160" spans="1:4" x14ac:dyDescent="0.2">
      <c r="A160" s="61">
        <v>29190</v>
      </c>
      <c r="B160" s="68">
        <f>VLOOKUP(Table3[[#This Row],[Date]],Database!A:E,4,)</f>
        <v>82.8</v>
      </c>
      <c r="C160" s="14">
        <f t="shared" si="4"/>
        <v>8.5261875761267099E-3</v>
      </c>
      <c r="D160" s="14">
        <f t="shared" si="5"/>
        <v>0.10106382978723397</v>
      </c>
    </row>
    <row r="161" spans="1:4" x14ac:dyDescent="0.2">
      <c r="A161" s="61">
        <v>29221</v>
      </c>
      <c r="B161" s="68">
        <f>VLOOKUP(Table3[[#This Row],[Date]],Database!A:E,4,)</f>
        <v>83.3</v>
      </c>
      <c r="C161" s="14">
        <f t="shared" si="4"/>
        <v>6.038647342995169E-3</v>
      </c>
      <c r="D161" s="14">
        <f t="shared" si="5"/>
        <v>8.8888888888888851E-2</v>
      </c>
    </row>
    <row r="162" spans="1:4" x14ac:dyDescent="0.2">
      <c r="A162" s="61">
        <v>29252</v>
      </c>
      <c r="B162" s="68">
        <f>VLOOKUP(Table3[[#This Row],[Date]],Database!A:E,4,)</f>
        <v>83.4</v>
      </c>
      <c r="C162" s="14">
        <f t="shared" si="4"/>
        <v>1.2004801920769332E-3</v>
      </c>
      <c r="D162" s="14">
        <f t="shared" si="5"/>
        <v>7.3359073359073393E-2</v>
      </c>
    </row>
    <row r="163" spans="1:4" x14ac:dyDescent="0.2">
      <c r="A163" s="61">
        <v>29281</v>
      </c>
      <c r="B163" s="68">
        <f>VLOOKUP(Table3[[#This Row],[Date]],Database!A:E,4,)</f>
        <v>84.1</v>
      </c>
      <c r="C163" s="14">
        <f t="shared" si="4"/>
        <v>8.3932853717025007E-3</v>
      </c>
      <c r="D163" s="14">
        <f t="shared" si="5"/>
        <v>7.2704081632652906E-2</v>
      </c>
    </row>
    <row r="164" spans="1:4" x14ac:dyDescent="0.2">
      <c r="A164" s="61">
        <v>29312</v>
      </c>
      <c r="B164" s="68">
        <f>VLOOKUP(Table3[[#This Row],[Date]],Database!A:E,4,)</f>
        <v>84.6</v>
      </c>
      <c r="C164" s="14">
        <f t="shared" si="4"/>
        <v>5.945303210463734E-3</v>
      </c>
      <c r="D164" s="14">
        <f t="shared" si="5"/>
        <v>7.2243346007604417E-2</v>
      </c>
    </row>
    <row r="165" spans="1:4" x14ac:dyDescent="0.2">
      <c r="A165" s="61">
        <v>29342</v>
      </c>
      <c r="B165" s="68">
        <f>VLOOKUP(Table3[[#This Row],[Date]],Database!A:E,4,)</f>
        <v>85.2</v>
      </c>
      <c r="C165" s="14">
        <f t="shared" si="4"/>
        <v>7.092198581560385E-3</v>
      </c>
      <c r="D165" s="14">
        <f t="shared" si="5"/>
        <v>6.9008782936010038E-2</v>
      </c>
    </row>
    <row r="166" spans="1:4" x14ac:dyDescent="0.2">
      <c r="A166" s="61">
        <v>29373</v>
      </c>
      <c r="B166" s="68">
        <f>VLOOKUP(Table3[[#This Row],[Date]],Database!A:E,4,)</f>
        <v>85.7</v>
      </c>
      <c r="C166" s="14">
        <f t="shared" si="4"/>
        <v>5.8685446009389668E-3</v>
      </c>
      <c r="D166" s="14">
        <f t="shared" si="5"/>
        <v>7.1250000000000036E-2</v>
      </c>
    </row>
    <row r="167" spans="1:4" x14ac:dyDescent="0.2">
      <c r="A167" s="61">
        <v>29403</v>
      </c>
      <c r="B167" s="68">
        <f>VLOOKUP(Table3[[#This Row],[Date]],Database!A:E,4,)</f>
        <v>86.5</v>
      </c>
      <c r="C167" s="14">
        <f t="shared" si="4"/>
        <v>9.3348891481913315E-3</v>
      </c>
      <c r="D167" s="14">
        <f t="shared" si="5"/>
        <v>7.5870646766169073E-2</v>
      </c>
    </row>
    <row r="168" spans="1:4" x14ac:dyDescent="0.2">
      <c r="A168" s="61">
        <v>29434</v>
      </c>
      <c r="B168" s="68">
        <f>VLOOKUP(Table3[[#This Row],[Date]],Database!A:E,4,)</f>
        <v>87.9</v>
      </c>
      <c r="C168" s="14">
        <f t="shared" si="4"/>
        <v>1.6184971098265961E-2</v>
      </c>
      <c r="D168" s="14">
        <f t="shared" si="5"/>
        <v>9.4645080946450924E-2</v>
      </c>
    </row>
    <row r="169" spans="1:4" x14ac:dyDescent="0.2">
      <c r="A169" s="61">
        <v>29465</v>
      </c>
      <c r="B169" s="68">
        <f>VLOOKUP(Table3[[#This Row],[Date]],Database!A:E,4,)</f>
        <v>88.9</v>
      </c>
      <c r="C169" s="14">
        <f t="shared" si="4"/>
        <v>1.1376564277588168E-2</v>
      </c>
      <c r="D169" s="14">
        <f t="shared" si="5"/>
        <v>9.8887515451174288E-2</v>
      </c>
    </row>
    <row r="170" spans="1:4" x14ac:dyDescent="0.2">
      <c r="A170" s="61">
        <v>29495</v>
      </c>
      <c r="B170" s="68">
        <f>VLOOKUP(Table3[[#This Row],[Date]],Database!A:E,4,)</f>
        <v>89.6</v>
      </c>
      <c r="C170" s="14">
        <f t="shared" si="4"/>
        <v>7.8740157480313676E-3</v>
      </c>
      <c r="D170" s="14">
        <f t="shared" si="5"/>
        <v>9.9386503067484588E-2</v>
      </c>
    </row>
    <row r="171" spans="1:4" x14ac:dyDescent="0.2">
      <c r="A171" s="61">
        <v>29526</v>
      </c>
      <c r="B171" s="68">
        <f>VLOOKUP(Table3[[#This Row],[Date]],Database!A:E,4,)</f>
        <v>90.6</v>
      </c>
      <c r="C171" s="14">
        <f t="shared" si="4"/>
        <v>1.1160714285714286E-2</v>
      </c>
      <c r="D171" s="14">
        <f t="shared" si="5"/>
        <v>0.10353227771010963</v>
      </c>
    </row>
    <row r="172" spans="1:4" x14ac:dyDescent="0.2">
      <c r="A172" s="61">
        <v>29556</v>
      </c>
      <c r="B172" s="68">
        <f>VLOOKUP(Table3[[#This Row],[Date]],Database!A:E,4,)</f>
        <v>91.2</v>
      </c>
      <c r="C172" s="14">
        <f t="shared" si="4"/>
        <v>6.6225165562914853E-3</v>
      </c>
      <c r="D172" s="14">
        <f t="shared" si="5"/>
        <v>0.10144927536231892</v>
      </c>
    </row>
    <row r="173" spans="1:4" x14ac:dyDescent="0.2">
      <c r="A173" s="61">
        <v>29587</v>
      </c>
      <c r="B173" s="68">
        <f>VLOOKUP(Table3[[#This Row],[Date]],Database!A:E,4,)</f>
        <v>91.5</v>
      </c>
      <c r="C173" s="14">
        <f t="shared" si="4"/>
        <v>3.2894736842104949E-3</v>
      </c>
      <c r="D173" s="14">
        <f t="shared" si="5"/>
        <v>9.8439375750300151E-2</v>
      </c>
    </row>
    <row r="174" spans="1:4" x14ac:dyDescent="0.2">
      <c r="A174" s="61">
        <v>29618</v>
      </c>
      <c r="B174" s="68">
        <f>VLOOKUP(Table3[[#This Row],[Date]],Database!A:E,4,)</f>
        <v>92</v>
      </c>
      <c r="C174" s="14">
        <f t="shared" si="4"/>
        <v>5.4644808743169399E-3</v>
      </c>
      <c r="D174" s="14">
        <f t="shared" si="5"/>
        <v>0.10311750599520376</v>
      </c>
    </row>
    <row r="175" spans="1:4" x14ac:dyDescent="0.2">
      <c r="A175" s="61">
        <v>29646</v>
      </c>
      <c r="B175" s="68">
        <f>VLOOKUP(Table3[[#This Row],[Date]],Database!A:E,4,)</f>
        <v>92.5</v>
      </c>
      <c r="C175" s="14">
        <f t="shared" si="4"/>
        <v>5.434782608695652E-3</v>
      </c>
      <c r="D175" s="14">
        <f t="shared" si="5"/>
        <v>9.9881093935790796E-2</v>
      </c>
    </row>
    <row r="176" spans="1:4" x14ac:dyDescent="0.2">
      <c r="A176" s="61">
        <v>29677</v>
      </c>
      <c r="B176" s="68">
        <f>VLOOKUP(Table3[[#This Row],[Date]],Database!A:E,4,)</f>
        <v>92.6</v>
      </c>
      <c r="C176" s="14">
        <f t="shared" si="4"/>
        <v>1.0810810810810197E-3</v>
      </c>
      <c r="D176" s="14">
        <f t="shared" si="5"/>
        <v>9.4562647754137127E-2</v>
      </c>
    </row>
    <row r="177" spans="1:4" x14ac:dyDescent="0.2">
      <c r="A177" s="61">
        <v>29707</v>
      </c>
      <c r="B177" s="68">
        <f>VLOOKUP(Table3[[#This Row],[Date]],Database!A:E,4,)</f>
        <v>92.7</v>
      </c>
      <c r="C177" s="14">
        <f t="shared" si="4"/>
        <v>1.0799136069115393E-3</v>
      </c>
      <c r="D177" s="14">
        <f t="shared" si="5"/>
        <v>8.8028169014084501E-2</v>
      </c>
    </row>
    <row r="178" spans="1:4" x14ac:dyDescent="0.2">
      <c r="A178" s="61">
        <v>29738</v>
      </c>
      <c r="B178" s="68">
        <f>VLOOKUP(Table3[[#This Row],[Date]],Database!A:E,4,)</f>
        <v>93.1</v>
      </c>
      <c r="C178" s="14">
        <f t="shared" si="4"/>
        <v>4.3149946062566499E-3</v>
      </c>
      <c r="D178" s="14">
        <f t="shared" si="5"/>
        <v>8.6347724620770019E-2</v>
      </c>
    </row>
    <row r="179" spans="1:4" x14ac:dyDescent="0.2">
      <c r="A179" s="61">
        <v>29768</v>
      </c>
      <c r="B179" s="68">
        <f>VLOOKUP(Table3[[#This Row],[Date]],Database!A:E,4,)</f>
        <v>93.8</v>
      </c>
      <c r="C179" s="14">
        <f t="shared" si="4"/>
        <v>7.5187969924812338E-3</v>
      </c>
      <c r="D179" s="14">
        <f t="shared" si="5"/>
        <v>8.4393063583815001E-2</v>
      </c>
    </row>
    <row r="180" spans="1:4" x14ac:dyDescent="0.2">
      <c r="A180" s="61">
        <v>29799</v>
      </c>
      <c r="B180" s="68">
        <f>VLOOKUP(Table3[[#This Row],[Date]],Database!A:E,4,)</f>
        <v>94.3</v>
      </c>
      <c r="C180" s="14">
        <f t="shared" si="4"/>
        <v>5.3304904051172707E-3</v>
      </c>
      <c r="D180" s="14">
        <f t="shared" si="5"/>
        <v>7.2810011376564177E-2</v>
      </c>
    </row>
    <row r="181" spans="1:4" x14ac:dyDescent="0.2">
      <c r="A181" s="61">
        <v>29830</v>
      </c>
      <c r="B181" s="68">
        <f>VLOOKUP(Table3[[#This Row],[Date]],Database!A:E,4,)</f>
        <v>94.7</v>
      </c>
      <c r="C181" s="14">
        <f t="shared" si="4"/>
        <v>4.2417815482503254E-3</v>
      </c>
      <c r="D181" s="14">
        <f t="shared" si="5"/>
        <v>6.5241844769403784E-2</v>
      </c>
    </row>
    <row r="182" spans="1:4" x14ac:dyDescent="0.2">
      <c r="A182" s="61">
        <v>29860</v>
      </c>
      <c r="B182" s="68">
        <f>VLOOKUP(Table3[[#This Row],[Date]],Database!A:E,4,)</f>
        <v>94.8</v>
      </c>
      <c r="C182" s="14">
        <f t="shared" si="4"/>
        <v>1.0559662090812493E-3</v>
      </c>
      <c r="D182" s="14">
        <f t="shared" si="5"/>
        <v>5.8035714285714322E-2</v>
      </c>
    </row>
    <row r="183" spans="1:4" x14ac:dyDescent="0.2">
      <c r="A183" s="61">
        <v>29891</v>
      </c>
      <c r="B183" s="68">
        <f>VLOOKUP(Table3[[#This Row],[Date]],Database!A:E,4,)</f>
        <v>95</v>
      </c>
      <c r="C183" s="14">
        <f t="shared" si="4"/>
        <v>2.1097046413502412E-3</v>
      </c>
      <c r="D183" s="14">
        <f t="shared" si="5"/>
        <v>4.85651214128036E-2</v>
      </c>
    </row>
    <row r="184" spans="1:4" x14ac:dyDescent="0.2">
      <c r="A184" s="61">
        <v>29921</v>
      </c>
      <c r="B184" s="68">
        <f>VLOOKUP(Table3[[#This Row],[Date]],Database!A:E,4,)</f>
        <v>95.2</v>
      </c>
      <c r="C184" s="14">
        <f t="shared" si="4"/>
        <v>2.1052631578947667E-3</v>
      </c>
      <c r="D184" s="14">
        <f t="shared" si="5"/>
        <v>4.3859649122807015E-2</v>
      </c>
    </row>
    <row r="185" spans="1:4" x14ac:dyDescent="0.2">
      <c r="A185" s="61">
        <v>29952</v>
      </c>
      <c r="B185" s="68">
        <f>VLOOKUP(Table3[[#This Row],[Date]],Database!A:E,4,)</f>
        <v>95.5</v>
      </c>
      <c r="C185" s="14">
        <f t="shared" si="4"/>
        <v>3.1512605042016508E-3</v>
      </c>
      <c r="D185" s="14">
        <f t="shared" si="5"/>
        <v>4.3715846994535519E-2</v>
      </c>
    </row>
    <row r="186" spans="1:4" x14ac:dyDescent="0.2">
      <c r="A186" s="61">
        <v>29983</v>
      </c>
      <c r="B186" s="68">
        <f>VLOOKUP(Table3[[#This Row],[Date]],Database!A:E,4,)</f>
        <v>96.2</v>
      </c>
      <c r="C186" s="14">
        <f t="shared" si="4"/>
        <v>7.3298429319372024E-3</v>
      </c>
      <c r="D186" s="14">
        <f t="shared" si="5"/>
        <v>4.5652173913043506E-2</v>
      </c>
    </row>
    <row r="187" spans="1:4" x14ac:dyDescent="0.2">
      <c r="A187" s="61">
        <v>30011</v>
      </c>
      <c r="B187" s="68">
        <f>VLOOKUP(Table3[[#This Row],[Date]],Database!A:E,4,)</f>
        <v>96.1</v>
      </c>
      <c r="C187" s="14">
        <f t="shared" si="4"/>
        <v>-1.039501039501128E-3</v>
      </c>
      <c r="D187" s="14">
        <f t="shared" si="5"/>
        <v>3.8918918918918854E-2</v>
      </c>
    </row>
    <row r="188" spans="1:4" x14ac:dyDescent="0.2">
      <c r="A188" s="61">
        <v>30042</v>
      </c>
      <c r="B188" s="68">
        <f>VLOOKUP(Table3[[#This Row],[Date]],Database!A:E,4,)</f>
        <v>96.3</v>
      </c>
      <c r="C188" s="14">
        <f t="shared" si="4"/>
        <v>2.0811654526535156E-3</v>
      </c>
      <c r="D188" s="14">
        <f t="shared" si="5"/>
        <v>3.9956803455723576E-2</v>
      </c>
    </row>
    <row r="189" spans="1:4" x14ac:dyDescent="0.2">
      <c r="A189" s="61">
        <v>30072</v>
      </c>
      <c r="B189" s="68">
        <f>VLOOKUP(Table3[[#This Row],[Date]],Database!A:E,4,)</f>
        <v>97.1</v>
      </c>
      <c r="C189" s="14">
        <f t="shared" si="4"/>
        <v>8.307372793354072E-3</v>
      </c>
      <c r="D189" s="14">
        <f t="shared" si="5"/>
        <v>4.746494066882407E-2</v>
      </c>
    </row>
    <row r="190" spans="1:4" x14ac:dyDescent="0.2">
      <c r="A190" s="61">
        <v>30103</v>
      </c>
      <c r="B190" s="68">
        <f>VLOOKUP(Table3[[#This Row],[Date]],Database!A:E,4,)</f>
        <v>98</v>
      </c>
      <c r="C190" s="14">
        <f t="shared" si="4"/>
        <v>9.2687950566426956E-3</v>
      </c>
      <c r="D190" s="14">
        <f t="shared" si="5"/>
        <v>5.2631578947368488E-2</v>
      </c>
    </row>
    <row r="191" spans="1:4" x14ac:dyDescent="0.2">
      <c r="A191" s="61">
        <v>30133</v>
      </c>
      <c r="B191" s="68">
        <f>VLOOKUP(Table3[[#This Row],[Date]],Database!A:E,4,)</f>
        <v>98.1</v>
      </c>
      <c r="C191" s="14">
        <f t="shared" si="4"/>
        <v>1.0204081632652481E-3</v>
      </c>
      <c r="D191" s="14">
        <f t="shared" si="5"/>
        <v>4.5842217484008498E-2</v>
      </c>
    </row>
    <row r="192" spans="1:4" x14ac:dyDescent="0.2">
      <c r="A192" s="61">
        <v>30164</v>
      </c>
      <c r="B192" s="68">
        <f>VLOOKUP(Table3[[#This Row],[Date]],Database!A:E,4,)</f>
        <v>97.9</v>
      </c>
      <c r="C192" s="14">
        <f t="shared" si="4"/>
        <v>-2.0387359836899965E-3</v>
      </c>
      <c r="D192" s="14">
        <f t="shared" si="5"/>
        <v>3.8176033934252479E-2</v>
      </c>
    </row>
    <row r="193" spans="1:4" x14ac:dyDescent="0.2">
      <c r="A193" s="61">
        <v>30195</v>
      </c>
      <c r="B193" s="68">
        <f>VLOOKUP(Table3[[#This Row],[Date]],Database!A:E,4,)</f>
        <v>98</v>
      </c>
      <c r="C193" s="14">
        <f t="shared" si="4"/>
        <v>1.0214504596526488E-3</v>
      </c>
      <c r="D193" s="14">
        <f t="shared" si="5"/>
        <v>3.4846884899683177E-2</v>
      </c>
    </row>
    <row r="194" spans="1:4" x14ac:dyDescent="0.2">
      <c r="A194" s="61">
        <v>30225</v>
      </c>
      <c r="B194" s="68">
        <f>VLOOKUP(Table3[[#This Row],[Date]],Database!A:E,4,)</f>
        <v>98.1</v>
      </c>
      <c r="C194" s="14">
        <f t="shared" si="4"/>
        <v>1.0204081632652481E-3</v>
      </c>
      <c r="D194" s="14">
        <f t="shared" si="5"/>
        <v>3.4810126582278451E-2</v>
      </c>
    </row>
    <row r="195" spans="1:4" x14ac:dyDescent="0.2">
      <c r="A195" s="61">
        <v>30256</v>
      </c>
      <c r="B195" s="68">
        <f>VLOOKUP(Table3[[#This Row],[Date]],Database!A:E,4,)</f>
        <v>98.2</v>
      </c>
      <c r="C195" s="14">
        <f t="shared" si="4"/>
        <v>1.0193679918451431E-3</v>
      </c>
      <c r="D195" s="14">
        <f t="shared" si="5"/>
        <v>3.3684210526315816E-2</v>
      </c>
    </row>
    <row r="196" spans="1:4" x14ac:dyDescent="0.2">
      <c r="A196" s="61">
        <v>30286</v>
      </c>
      <c r="B196" s="68">
        <f>VLOOKUP(Table3[[#This Row],[Date]],Database!A:E,4,)</f>
        <v>98.1</v>
      </c>
      <c r="C196" s="14">
        <f t="shared" si="4"/>
        <v>-1.0183299389002905E-3</v>
      </c>
      <c r="D196" s="14">
        <f t="shared" si="5"/>
        <v>3.0462184873949489E-2</v>
      </c>
    </row>
    <row r="197" spans="1:4" x14ac:dyDescent="0.2">
      <c r="A197" s="61">
        <v>30317</v>
      </c>
      <c r="B197" s="68">
        <f>VLOOKUP(Table3[[#This Row],[Date]],Database!A:E,4,)</f>
        <v>98</v>
      </c>
      <c r="C197" s="14">
        <f t="shared" si="4"/>
        <v>-1.0193679918449982E-3</v>
      </c>
      <c r="D197" s="14">
        <f t="shared" si="5"/>
        <v>2.6178010471204188E-2</v>
      </c>
    </row>
    <row r="198" spans="1:4" x14ac:dyDescent="0.2">
      <c r="A198" s="61">
        <v>30348</v>
      </c>
      <c r="B198" s="68">
        <f>VLOOKUP(Table3[[#This Row],[Date]],Database!A:E,4,)</f>
        <v>98.2</v>
      </c>
      <c r="C198" s="14">
        <f t="shared" ref="C198:C261" si="6">(B198-B197)/B197</f>
        <v>2.0408163265306411E-3</v>
      </c>
      <c r="D198" s="14">
        <f t="shared" si="5"/>
        <v>2.0790020790020788E-2</v>
      </c>
    </row>
    <row r="199" spans="1:4" x14ac:dyDescent="0.2">
      <c r="A199" s="61">
        <v>30376</v>
      </c>
      <c r="B199" s="68">
        <f>VLOOKUP(Table3[[#This Row],[Date]],Database!A:E,4,)</f>
        <v>98.8</v>
      </c>
      <c r="C199" s="14">
        <f t="shared" si="6"/>
        <v>6.1099796334011637E-3</v>
      </c>
      <c r="D199" s="14">
        <f t="shared" si="5"/>
        <v>2.8095733610822092E-2</v>
      </c>
    </row>
    <row r="200" spans="1:4" x14ac:dyDescent="0.2">
      <c r="A200" s="61">
        <v>30407</v>
      </c>
      <c r="B200" s="68">
        <f>VLOOKUP(Table3[[#This Row],[Date]],Database!A:E,4,)</f>
        <v>99.2</v>
      </c>
      <c r="C200" s="14">
        <f t="shared" si="6"/>
        <v>4.0485829959514743E-3</v>
      </c>
      <c r="D200" s="14">
        <f t="shared" si="5"/>
        <v>3.011422637590868E-2</v>
      </c>
    </row>
    <row r="201" spans="1:4" x14ac:dyDescent="0.2">
      <c r="A201" s="61">
        <v>30437</v>
      </c>
      <c r="B201" s="68">
        <f>VLOOKUP(Table3[[#This Row],[Date]],Database!A:E,4,)</f>
        <v>99.5</v>
      </c>
      <c r="C201" s="14">
        <f t="shared" si="6"/>
        <v>3.0241935483870681E-3</v>
      </c>
      <c r="D201" s="14">
        <f t="shared" si="5"/>
        <v>2.4716786817713759E-2</v>
      </c>
    </row>
    <row r="202" spans="1:4" x14ac:dyDescent="0.2">
      <c r="A202" s="61">
        <v>30468</v>
      </c>
      <c r="B202" s="68">
        <f>VLOOKUP(Table3[[#This Row],[Date]],Database!A:E,4,)</f>
        <v>99.6</v>
      </c>
      <c r="C202" s="14">
        <f t="shared" si="6"/>
        <v>1.0050251256280836E-3</v>
      </c>
      <c r="D202" s="14">
        <f t="shared" si="5"/>
        <v>1.632653061224484E-2</v>
      </c>
    </row>
    <row r="203" spans="1:4" x14ac:dyDescent="0.2">
      <c r="A203" s="61">
        <v>30498</v>
      </c>
      <c r="B203" s="68">
        <f>VLOOKUP(Table3[[#This Row],[Date]],Database!A:E,4,)</f>
        <v>99.6</v>
      </c>
      <c r="C203" s="14">
        <f t="shared" si="6"/>
        <v>0</v>
      </c>
      <c r="D203" s="14">
        <f t="shared" si="5"/>
        <v>1.5290519877675842E-2</v>
      </c>
    </row>
    <row r="204" spans="1:4" x14ac:dyDescent="0.2">
      <c r="A204" s="61">
        <v>30529</v>
      </c>
      <c r="B204" s="68">
        <f>VLOOKUP(Table3[[#This Row],[Date]],Database!A:E,4,)</f>
        <v>99.6</v>
      </c>
      <c r="C204" s="14">
        <f t="shared" si="6"/>
        <v>0</v>
      </c>
      <c r="D204" s="14">
        <f t="shared" si="5"/>
        <v>1.73646578140959E-2</v>
      </c>
    </row>
    <row r="205" spans="1:4" x14ac:dyDescent="0.2">
      <c r="A205" s="61">
        <v>30560</v>
      </c>
      <c r="B205" s="68">
        <f>VLOOKUP(Table3[[#This Row],[Date]],Database!A:E,4,)</f>
        <v>100</v>
      </c>
      <c r="C205" s="14">
        <f t="shared" si="6"/>
        <v>4.0160642570281693E-3</v>
      </c>
      <c r="D205" s="14">
        <f t="shared" si="5"/>
        <v>2.0408163265306121E-2</v>
      </c>
    </row>
    <row r="206" spans="1:4" x14ac:dyDescent="0.2">
      <c r="A206" s="61">
        <v>30590</v>
      </c>
      <c r="B206" s="68">
        <f>VLOOKUP(Table3[[#This Row],[Date]],Database!A:E,4,)</f>
        <v>100.3</v>
      </c>
      <c r="C206" s="14">
        <f t="shared" si="6"/>
        <v>2.9999999999999714E-3</v>
      </c>
      <c r="D206" s="14">
        <f t="shared" si="5"/>
        <v>2.2426095820591265E-2</v>
      </c>
    </row>
    <row r="207" spans="1:4" x14ac:dyDescent="0.2">
      <c r="A207" s="61">
        <v>30621</v>
      </c>
      <c r="B207" s="68">
        <f>VLOOKUP(Table3[[#This Row],[Date]],Database!A:E,4,)</f>
        <v>100.3</v>
      </c>
      <c r="C207" s="14">
        <f t="shared" si="6"/>
        <v>0</v>
      </c>
      <c r="D207" s="14">
        <f t="shared" si="5"/>
        <v>2.1384928716904218E-2</v>
      </c>
    </row>
    <row r="208" spans="1:4" x14ac:dyDescent="0.2">
      <c r="A208" s="61">
        <v>30651</v>
      </c>
      <c r="B208" s="68">
        <f>VLOOKUP(Table3[[#This Row],[Date]],Database!A:E,4,)</f>
        <v>100.6</v>
      </c>
      <c r="C208" s="14">
        <f t="shared" si="6"/>
        <v>2.9910269192422448E-3</v>
      </c>
      <c r="D208" s="14">
        <f t="shared" si="5"/>
        <v>2.5484199796126403E-2</v>
      </c>
    </row>
    <row r="209" spans="1:4" x14ac:dyDescent="0.2">
      <c r="A209" s="61">
        <v>30682</v>
      </c>
      <c r="B209" s="68">
        <f>VLOOKUP(Table3[[#This Row],[Date]],Database!A:E,4,)</f>
        <v>101.9</v>
      </c>
      <c r="C209" s="14">
        <f t="shared" si="6"/>
        <v>1.2922465208747628E-2</v>
      </c>
      <c r="D209" s="14">
        <f t="shared" ref="D209:D272" si="7">(B209-B197)/B197</f>
        <v>3.9795918367347E-2</v>
      </c>
    </row>
    <row r="210" spans="1:4" x14ac:dyDescent="0.2">
      <c r="A210" s="61">
        <v>30713</v>
      </c>
      <c r="B210" s="68">
        <f>VLOOKUP(Table3[[#This Row],[Date]],Database!A:E,4,)</f>
        <v>102.5</v>
      </c>
      <c r="C210" s="14">
        <f t="shared" si="6"/>
        <v>5.8881256133463617E-3</v>
      </c>
      <c r="D210" s="14">
        <f t="shared" si="7"/>
        <v>4.3788187372708724E-2</v>
      </c>
    </row>
    <row r="211" spans="1:4" x14ac:dyDescent="0.2">
      <c r="A211" s="61">
        <v>30742</v>
      </c>
      <c r="B211" s="68">
        <f>VLOOKUP(Table3[[#This Row],[Date]],Database!A:E,4,)</f>
        <v>102.8</v>
      </c>
      <c r="C211" s="14">
        <f t="shared" si="6"/>
        <v>2.9268292682926552E-3</v>
      </c>
      <c r="D211" s="14">
        <f t="shared" si="7"/>
        <v>4.048582995951417E-2</v>
      </c>
    </row>
    <row r="212" spans="1:4" x14ac:dyDescent="0.2">
      <c r="A212" s="61">
        <v>30773</v>
      </c>
      <c r="B212" s="68">
        <f>VLOOKUP(Table3[[#This Row],[Date]],Database!A:E,4,)</f>
        <v>102.8</v>
      </c>
      <c r="C212" s="14">
        <f t="shared" si="6"/>
        <v>0</v>
      </c>
      <c r="D212" s="14">
        <f t="shared" si="7"/>
        <v>3.6290322580645101E-2</v>
      </c>
    </row>
    <row r="213" spans="1:4" x14ac:dyDescent="0.2">
      <c r="A213" s="61">
        <v>30803</v>
      </c>
      <c r="B213" s="68">
        <f>VLOOKUP(Table3[[#This Row],[Date]],Database!A:E,4,)</f>
        <v>102.6</v>
      </c>
      <c r="C213" s="14">
        <f t="shared" si="6"/>
        <v>-1.9455252918288216E-3</v>
      </c>
      <c r="D213" s="14">
        <f t="shared" si="7"/>
        <v>3.1155778894472304E-2</v>
      </c>
    </row>
    <row r="214" spans="1:4" x14ac:dyDescent="0.2">
      <c r="A214" s="61">
        <v>30834</v>
      </c>
      <c r="B214" s="68">
        <f>VLOOKUP(Table3[[#This Row],[Date]],Database!A:E,4,)</f>
        <v>103</v>
      </c>
      <c r="C214" s="14">
        <f t="shared" si="6"/>
        <v>3.8986354775829017E-3</v>
      </c>
      <c r="D214" s="14">
        <f t="shared" si="7"/>
        <v>3.4136546184739013E-2</v>
      </c>
    </row>
    <row r="215" spans="1:4" x14ac:dyDescent="0.2">
      <c r="A215" s="61">
        <v>30864</v>
      </c>
      <c r="B215" s="68">
        <f>VLOOKUP(Table3[[#This Row],[Date]],Database!A:E,4,)</f>
        <v>103.2</v>
      </c>
      <c r="C215" s="14">
        <f t="shared" si="6"/>
        <v>1.9417475728155617E-3</v>
      </c>
      <c r="D215" s="14">
        <f t="shared" si="7"/>
        <v>3.6144578313253101E-2</v>
      </c>
    </row>
    <row r="216" spans="1:4" x14ac:dyDescent="0.2">
      <c r="A216" s="61">
        <v>30895</v>
      </c>
      <c r="B216" s="68">
        <f>VLOOKUP(Table3[[#This Row],[Date]],Database!A:E,4,)</f>
        <v>103.8</v>
      </c>
      <c r="C216" s="14">
        <f t="shared" si="6"/>
        <v>5.8139534883720374E-3</v>
      </c>
      <c r="D216" s="14">
        <f t="shared" si="7"/>
        <v>4.2168674698795212E-2</v>
      </c>
    </row>
    <row r="217" spans="1:4" x14ac:dyDescent="0.2">
      <c r="A217" s="61">
        <v>30926</v>
      </c>
      <c r="B217" s="68">
        <f>VLOOKUP(Table3[[#This Row],[Date]],Database!A:E,4,)</f>
        <v>103.7</v>
      </c>
      <c r="C217" s="14">
        <f t="shared" si="6"/>
        <v>-9.6339113680148666E-4</v>
      </c>
      <c r="D217" s="14">
        <f t="shared" si="7"/>
        <v>3.7000000000000026E-2</v>
      </c>
    </row>
    <row r="218" spans="1:4" x14ac:dyDescent="0.2">
      <c r="A218" s="61">
        <v>30956</v>
      </c>
      <c r="B218" s="68">
        <f>VLOOKUP(Table3[[#This Row],[Date]],Database!A:E,4,)</f>
        <v>103.9</v>
      </c>
      <c r="C218" s="14">
        <f t="shared" si="6"/>
        <v>1.9286403085824768E-3</v>
      </c>
      <c r="D218" s="14">
        <f t="shared" si="7"/>
        <v>3.5892323030907364E-2</v>
      </c>
    </row>
    <row r="219" spans="1:4" x14ac:dyDescent="0.2">
      <c r="A219" s="61">
        <v>30987</v>
      </c>
      <c r="B219" s="68">
        <f>VLOOKUP(Table3[[#This Row],[Date]],Database!A:E,4,)</f>
        <v>104</v>
      </c>
      <c r="C219" s="14">
        <f t="shared" si="6"/>
        <v>9.6246390760341006E-4</v>
      </c>
      <c r="D219" s="14">
        <f t="shared" si="7"/>
        <v>3.6889332003988064E-2</v>
      </c>
    </row>
    <row r="220" spans="1:4" x14ac:dyDescent="0.2">
      <c r="A220" s="61">
        <v>31017</v>
      </c>
      <c r="B220" s="68">
        <f>VLOOKUP(Table3[[#This Row],[Date]],Database!A:E,4,)</f>
        <v>104.4</v>
      </c>
      <c r="C220" s="14">
        <f t="shared" si="6"/>
        <v>3.846153846153901E-3</v>
      </c>
      <c r="D220" s="14">
        <f t="shared" si="7"/>
        <v>3.7773359840954389E-2</v>
      </c>
    </row>
    <row r="221" spans="1:4" x14ac:dyDescent="0.2">
      <c r="A221" s="61">
        <v>31048</v>
      </c>
      <c r="B221" s="68">
        <f>VLOOKUP(Table3[[#This Row],[Date]],Database!A:E,4,)</f>
        <v>104.5</v>
      </c>
      <c r="C221" s="14">
        <f t="shared" si="6"/>
        <v>9.5785440613021372E-4</v>
      </c>
      <c r="D221" s="14">
        <f t="shared" si="7"/>
        <v>2.5515210991167755E-2</v>
      </c>
    </row>
    <row r="222" spans="1:4" x14ac:dyDescent="0.2">
      <c r="A222" s="61">
        <v>31079</v>
      </c>
      <c r="B222" s="68">
        <f>VLOOKUP(Table3[[#This Row],[Date]],Database!A:E,4,)</f>
        <v>105</v>
      </c>
      <c r="C222" s="14">
        <f t="shared" si="6"/>
        <v>4.7846889952153108E-3</v>
      </c>
      <c r="D222" s="14">
        <f t="shared" si="7"/>
        <v>2.4390243902439025E-2</v>
      </c>
    </row>
    <row r="223" spans="1:4" x14ac:dyDescent="0.2">
      <c r="A223" s="61">
        <v>31107</v>
      </c>
      <c r="B223" s="68">
        <f>VLOOKUP(Table3[[#This Row],[Date]],Database!A:E,4,)</f>
        <v>105.4</v>
      </c>
      <c r="C223" s="14">
        <f t="shared" si="6"/>
        <v>3.8095238095238637E-3</v>
      </c>
      <c r="D223" s="14">
        <f t="shared" si="7"/>
        <v>2.5291828793774403E-2</v>
      </c>
    </row>
    <row r="224" spans="1:4" x14ac:dyDescent="0.2">
      <c r="A224" s="61">
        <v>31138</v>
      </c>
      <c r="B224" s="68">
        <f>VLOOKUP(Table3[[#This Row],[Date]],Database!A:E,4,)</f>
        <v>105.3</v>
      </c>
      <c r="C224" s="14">
        <f t="shared" si="6"/>
        <v>-9.4876660341564056E-4</v>
      </c>
      <c r="D224" s="14">
        <f t="shared" si="7"/>
        <v>2.4319066147859923E-2</v>
      </c>
    </row>
    <row r="225" spans="1:4" x14ac:dyDescent="0.2">
      <c r="A225" s="61">
        <v>31168</v>
      </c>
      <c r="B225" s="68">
        <f>VLOOKUP(Table3[[#This Row],[Date]],Database!A:E,4,)</f>
        <v>105.1</v>
      </c>
      <c r="C225" s="14">
        <f t="shared" si="6"/>
        <v>-1.899335232668593E-3</v>
      </c>
      <c r="D225" s="14">
        <f t="shared" si="7"/>
        <v>2.436647173489279E-2</v>
      </c>
    </row>
    <row r="226" spans="1:4" x14ac:dyDescent="0.2">
      <c r="A226" s="61">
        <v>31199</v>
      </c>
      <c r="B226" s="68">
        <f>VLOOKUP(Table3[[#This Row],[Date]],Database!A:E,4,)</f>
        <v>105.4</v>
      </c>
      <c r="C226" s="14">
        <f t="shared" si="6"/>
        <v>2.8544243577546279E-3</v>
      </c>
      <c r="D226" s="14">
        <f t="shared" si="7"/>
        <v>2.3300970873786464E-2</v>
      </c>
    </row>
    <row r="227" spans="1:4" x14ac:dyDescent="0.2">
      <c r="A227" s="61">
        <v>31229</v>
      </c>
      <c r="B227" s="68">
        <f>VLOOKUP(Table3[[#This Row],[Date]],Database!A:E,4,)</f>
        <v>105.4</v>
      </c>
      <c r="C227" s="14">
        <f t="shared" si="6"/>
        <v>0</v>
      </c>
      <c r="D227" s="14">
        <f t="shared" si="7"/>
        <v>2.1317829457364369E-2</v>
      </c>
    </row>
    <row r="228" spans="1:4" x14ac:dyDescent="0.2">
      <c r="A228" s="61">
        <v>31260</v>
      </c>
      <c r="B228" s="68">
        <f>VLOOKUP(Table3[[#This Row],[Date]],Database!A:E,4,)</f>
        <v>105.5</v>
      </c>
      <c r="C228" s="14">
        <f t="shared" si="6"/>
        <v>9.487666034155058E-4</v>
      </c>
      <c r="D228" s="14">
        <f t="shared" si="7"/>
        <v>1.6377649325626232E-2</v>
      </c>
    </row>
    <row r="229" spans="1:4" x14ac:dyDescent="0.2">
      <c r="A229" s="61">
        <v>31291</v>
      </c>
      <c r="B229" s="68">
        <f>VLOOKUP(Table3[[#This Row],[Date]],Database!A:E,4,)</f>
        <v>105.7</v>
      </c>
      <c r="C229" s="14">
        <f t="shared" si="6"/>
        <v>1.8957345971564251E-3</v>
      </c>
      <c r="D229" s="14">
        <f t="shared" si="7"/>
        <v>1.9286403085824494E-2</v>
      </c>
    </row>
    <row r="230" spans="1:4" x14ac:dyDescent="0.2">
      <c r="A230" s="61">
        <v>31321</v>
      </c>
      <c r="B230" s="68">
        <f>VLOOKUP(Table3[[#This Row],[Date]],Database!A:E,4,)</f>
        <v>105.9</v>
      </c>
      <c r="C230" s="14">
        <f t="shared" si="6"/>
        <v>1.8921475875118528E-3</v>
      </c>
      <c r="D230" s="14">
        <f t="shared" si="7"/>
        <v>1.9249278152069296E-2</v>
      </c>
    </row>
    <row r="231" spans="1:4" x14ac:dyDescent="0.2">
      <c r="A231" s="61">
        <v>31352</v>
      </c>
      <c r="B231" s="68">
        <f>VLOOKUP(Table3[[#This Row],[Date]],Database!A:E,4,)</f>
        <v>106.5</v>
      </c>
      <c r="C231" s="14">
        <f t="shared" si="6"/>
        <v>5.6657223796033451E-3</v>
      </c>
      <c r="D231" s="14">
        <f t="shared" si="7"/>
        <v>2.403846153846154E-2</v>
      </c>
    </row>
    <row r="232" spans="1:4" x14ac:dyDescent="0.2">
      <c r="A232" s="61">
        <v>31382</v>
      </c>
      <c r="B232" s="68">
        <f>VLOOKUP(Table3[[#This Row],[Date]],Database!A:E,4,)</f>
        <v>107.3</v>
      </c>
      <c r="C232" s="14">
        <f t="shared" si="6"/>
        <v>7.5117370892018509E-3</v>
      </c>
      <c r="D232" s="14">
        <f t="shared" si="7"/>
        <v>2.7777777777777693E-2</v>
      </c>
    </row>
    <row r="233" spans="1:4" x14ac:dyDescent="0.2">
      <c r="A233" s="61">
        <v>31413</v>
      </c>
      <c r="B233" s="68">
        <f>VLOOKUP(Table3[[#This Row],[Date]],Database!A:E,4,)</f>
        <v>107.5</v>
      </c>
      <c r="C233" s="14">
        <f t="shared" si="6"/>
        <v>1.8639328984156836E-3</v>
      </c>
      <c r="D233" s="14">
        <f t="shared" si="7"/>
        <v>2.8708133971291867E-2</v>
      </c>
    </row>
    <row r="234" spans="1:4" x14ac:dyDescent="0.2">
      <c r="A234" s="61">
        <v>31444</v>
      </c>
      <c r="B234" s="68">
        <f>VLOOKUP(Table3[[#This Row],[Date]],Database!A:E,4,)</f>
        <v>107.4</v>
      </c>
      <c r="C234" s="14">
        <f t="shared" si="6"/>
        <v>-9.3023255813948203E-4</v>
      </c>
      <c r="D234" s="14">
        <f t="shared" si="7"/>
        <v>2.2857142857142913E-2</v>
      </c>
    </row>
    <row r="235" spans="1:4" x14ac:dyDescent="0.2">
      <c r="A235" s="61">
        <v>31472</v>
      </c>
      <c r="B235" s="68">
        <f>VLOOKUP(Table3[[#This Row],[Date]],Database!A:E,4,)</f>
        <v>107.6</v>
      </c>
      <c r="C235" s="14">
        <f t="shared" si="6"/>
        <v>1.8621973929235439E-3</v>
      </c>
      <c r="D235" s="14">
        <f t="shared" si="7"/>
        <v>2.0872865275142205E-2</v>
      </c>
    </row>
    <row r="236" spans="1:4" x14ac:dyDescent="0.2">
      <c r="A236" s="61">
        <v>31503</v>
      </c>
      <c r="B236" s="68">
        <f>VLOOKUP(Table3[[#This Row],[Date]],Database!A:E,4,)</f>
        <v>107.8</v>
      </c>
      <c r="C236" s="14">
        <f t="shared" si="6"/>
        <v>1.8587360594795805E-3</v>
      </c>
      <c r="D236" s="14">
        <f t="shared" si="7"/>
        <v>2.3741690408357077E-2</v>
      </c>
    </row>
    <row r="237" spans="1:4" x14ac:dyDescent="0.2">
      <c r="A237" s="61">
        <v>31533</v>
      </c>
      <c r="B237" s="68">
        <f>VLOOKUP(Table3[[#This Row],[Date]],Database!A:E,4,)</f>
        <v>108.2</v>
      </c>
      <c r="C237" s="14">
        <f t="shared" si="6"/>
        <v>3.7105751391466207E-3</v>
      </c>
      <c r="D237" s="14">
        <f t="shared" si="7"/>
        <v>2.9495718363463451E-2</v>
      </c>
    </row>
    <row r="238" spans="1:4" x14ac:dyDescent="0.2">
      <c r="A238" s="61">
        <v>31564</v>
      </c>
      <c r="B238" s="68">
        <f>VLOOKUP(Table3[[#This Row],[Date]],Database!A:E,4,)</f>
        <v>108.3</v>
      </c>
      <c r="C238" s="14">
        <f t="shared" si="6"/>
        <v>9.2421441774486422E-4</v>
      </c>
      <c r="D238" s="14">
        <f t="shared" si="7"/>
        <v>2.7514231499051151E-2</v>
      </c>
    </row>
    <row r="239" spans="1:4" x14ac:dyDescent="0.2">
      <c r="A239" s="61">
        <v>31594</v>
      </c>
      <c r="B239" s="68">
        <f>VLOOKUP(Table3[[#This Row],[Date]],Database!A:E,4,)</f>
        <v>109.1</v>
      </c>
      <c r="C239" s="14">
        <f t="shared" si="6"/>
        <v>7.3868882733148398E-3</v>
      </c>
      <c r="D239" s="14">
        <f t="shared" si="7"/>
        <v>3.5104364326375599E-2</v>
      </c>
    </row>
    <row r="240" spans="1:4" x14ac:dyDescent="0.2">
      <c r="A240" s="61">
        <v>31625</v>
      </c>
      <c r="B240" s="68">
        <f>VLOOKUP(Table3[[#This Row],[Date]],Database!A:E,4,)</f>
        <v>110</v>
      </c>
      <c r="C240" s="14">
        <f t="shared" si="6"/>
        <v>8.2493125572869457E-3</v>
      </c>
      <c r="D240" s="14">
        <f t="shared" si="7"/>
        <v>4.2654028436018961E-2</v>
      </c>
    </row>
    <row r="241" spans="1:4" x14ac:dyDescent="0.2">
      <c r="A241" s="61">
        <v>31656</v>
      </c>
      <c r="B241" s="68">
        <f>VLOOKUP(Table3[[#This Row],[Date]],Database!A:E,4,)</f>
        <v>110.1</v>
      </c>
      <c r="C241" s="14">
        <f t="shared" si="6"/>
        <v>9.0909090909085737E-4</v>
      </c>
      <c r="D241" s="14">
        <f t="shared" si="7"/>
        <v>4.162724692526009E-2</v>
      </c>
    </row>
    <row r="242" spans="1:4" x14ac:dyDescent="0.2">
      <c r="A242" s="61">
        <v>31686</v>
      </c>
      <c r="B242" s="68">
        <f>VLOOKUP(Table3[[#This Row],[Date]],Database!A:E,4,)</f>
        <v>110.4</v>
      </c>
      <c r="C242" s="14">
        <f t="shared" si="6"/>
        <v>2.724795640327079E-3</v>
      </c>
      <c r="D242" s="14">
        <f t="shared" si="7"/>
        <v>4.2492917847025496E-2</v>
      </c>
    </row>
    <row r="243" spans="1:4" x14ac:dyDescent="0.2">
      <c r="A243" s="61">
        <v>31717</v>
      </c>
      <c r="B243" s="68">
        <f>VLOOKUP(Table3[[#This Row],[Date]],Database!A:E,4,)</f>
        <v>111</v>
      </c>
      <c r="C243" s="14">
        <f t="shared" si="6"/>
        <v>5.4347826086956E-3</v>
      </c>
      <c r="D243" s="14">
        <f t="shared" si="7"/>
        <v>4.2253521126760563E-2</v>
      </c>
    </row>
    <row r="244" spans="1:4" x14ac:dyDescent="0.2">
      <c r="A244" s="61">
        <v>31747</v>
      </c>
      <c r="B244" s="68">
        <f>VLOOKUP(Table3[[#This Row],[Date]],Database!A:E,4,)</f>
        <v>111.3</v>
      </c>
      <c r="C244" s="14">
        <f t="shared" si="6"/>
        <v>2.7027027027026773E-3</v>
      </c>
      <c r="D244" s="14">
        <f t="shared" si="7"/>
        <v>3.7278657968313145E-2</v>
      </c>
    </row>
    <row r="245" spans="1:4" x14ac:dyDescent="0.2">
      <c r="A245" s="61">
        <v>31778</v>
      </c>
      <c r="B245" s="68">
        <f>VLOOKUP(Table3[[#This Row],[Date]],Database!A:E,4,)</f>
        <v>111.9</v>
      </c>
      <c r="C245" s="14">
        <f t="shared" si="6"/>
        <v>5.3908355795149014E-3</v>
      </c>
      <c r="D245" s="14">
        <f t="shared" si="7"/>
        <v>4.0930232558139587E-2</v>
      </c>
    </row>
    <row r="246" spans="1:4" x14ac:dyDescent="0.2">
      <c r="A246" s="61">
        <v>31809</v>
      </c>
      <c r="B246" s="68">
        <f>VLOOKUP(Table3[[#This Row],[Date]],Database!A:E,4,)</f>
        <v>112.2</v>
      </c>
      <c r="C246" s="14">
        <f t="shared" si="6"/>
        <v>2.6809651474530576E-3</v>
      </c>
      <c r="D246" s="14">
        <f t="shared" si="7"/>
        <v>4.4692737430167571E-2</v>
      </c>
    </row>
    <row r="247" spans="1:4" x14ac:dyDescent="0.2">
      <c r="A247" s="61">
        <v>31837</v>
      </c>
      <c r="B247" s="68">
        <f>VLOOKUP(Table3[[#This Row],[Date]],Database!A:E,4,)</f>
        <v>112.4</v>
      </c>
      <c r="C247" s="14">
        <f t="shared" si="6"/>
        <v>1.7825311942959254E-3</v>
      </c>
      <c r="D247" s="14">
        <f t="shared" si="7"/>
        <v>4.4609665427509403E-2</v>
      </c>
    </row>
    <row r="248" spans="1:4" x14ac:dyDescent="0.2">
      <c r="A248" s="61">
        <v>31868</v>
      </c>
      <c r="B248" s="68">
        <f>VLOOKUP(Table3[[#This Row],[Date]],Database!A:E,4,)</f>
        <v>112.6</v>
      </c>
      <c r="C248" s="14">
        <f t="shared" si="6"/>
        <v>1.7793594306048811E-3</v>
      </c>
      <c r="D248" s="14">
        <f t="shared" si="7"/>
        <v>4.4526901669758791E-2</v>
      </c>
    </row>
    <row r="249" spans="1:4" x14ac:dyDescent="0.2">
      <c r="A249" s="61">
        <v>31898</v>
      </c>
      <c r="B249" s="68">
        <f>VLOOKUP(Table3[[#This Row],[Date]],Database!A:E,4,)</f>
        <v>113.2</v>
      </c>
      <c r="C249" s="14">
        <f t="shared" si="6"/>
        <v>5.328596802841994E-3</v>
      </c>
      <c r="D249" s="14">
        <f t="shared" si="7"/>
        <v>4.6210720887245843E-2</v>
      </c>
    </row>
    <row r="250" spans="1:4" x14ac:dyDescent="0.2">
      <c r="A250" s="61">
        <v>31929</v>
      </c>
      <c r="B250" s="68">
        <f>VLOOKUP(Table3[[#This Row],[Date]],Database!A:E,4,)</f>
        <v>113.8</v>
      </c>
      <c r="C250" s="14">
        <f t="shared" si="6"/>
        <v>5.3003533568904094E-3</v>
      </c>
      <c r="D250" s="14">
        <f t="shared" si="7"/>
        <v>5.0784856879039705E-2</v>
      </c>
    </row>
    <row r="251" spans="1:4" x14ac:dyDescent="0.2">
      <c r="A251" s="61">
        <v>31959</v>
      </c>
      <c r="B251" s="68">
        <f>VLOOKUP(Table3[[#This Row],[Date]],Database!A:E,4,)</f>
        <v>113.7</v>
      </c>
      <c r="C251" s="14">
        <f t="shared" si="6"/>
        <v>-8.7873462214406255E-4</v>
      </c>
      <c r="D251" s="14">
        <f t="shared" si="7"/>
        <v>4.2163153070577532E-2</v>
      </c>
    </row>
    <row r="252" spans="1:4" x14ac:dyDescent="0.2">
      <c r="A252" s="61">
        <v>31990</v>
      </c>
      <c r="B252" s="68">
        <f>VLOOKUP(Table3[[#This Row],[Date]],Database!A:E,4,)</f>
        <v>113.9</v>
      </c>
      <c r="C252" s="14">
        <f t="shared" si="6"/>
        <v>1.7590149516271138E-3</v>
      </c>
      <c r="D252" s="14">
        <f t="shared" si="7"/>
        <v>3.5454545454545509E-2</v>
      </c>
    </row>
    <row r="253" spans="1:4" x14ac:dyDescent="0.2">
      <c r="A253" s="61">
        <v>32021</v>
      </c>
      <c r="B253" s="68">
        <f>VLOOKUP(Table3[[#This Row],[Date]],Database!A:E,4,)</f>
        <v>114.4</v>
      </c>
      <c r="C253" s="14">
        <f t="shared" si="6"/>
        <v>4.3898156277436349E-3</v>
      </c>
      <c r="D253" s="14">
        <f t="shared" si="7"/>
        <v>3.9055404178020087E-2</v>
      </c>
    </row>
    <row r="254" spans="1:4" x14ac:dyDescent="0.2">
      <c r="A254" s="61">
        <v>32051</v>
      </c>
      <c r="B254" s="68">
        <f>VLOOKUP(Table3[[#This Row],[Date]],Database!A:E,4,)</f>
        <v>114.6</v>
      </c>
      <c r="C254" s="14">
        <f t="shared" si="6"/>
        <v>1.7482517482516487E-3</v>
      </c>
      <c r="D254" s="14">
        <f t="shared" si="7"/>
        <v>3.8043478260869464E-2</v>
      </c>
    </row>
    <row r="255" spans="1:4" x14ac:dyDescent="0.2">
      <c r="A255" s="61">
        <v>32082</v>
      </c>
      <c r="B255" s="68">
        <f>VLOOKUP(Table3[[#This Row],[Date]],Database!A:E,4,)</f>
        <v>114.7</v>
      </c>
      <c r="C255" s="14">
        <f t="shared" si="6"/>
        <v>8.7260034904021401E-4</v>
      </c>
      <c r="D255" s="14">
        <f t="shared" si="7"/>
        <v>3.3333333333333361E-2</v>
      </c>
    </row>
    <row r="256" spans="1:4" x14ac:dyDescent="0.2">
      <c r="A256" s="61">
        <v>32112</v>
      </c>
      <c r="B256" s="68">
        <f>VLOOKUP(Table3[[#This Row],[Date]],Database!A:E,4,)</f>
        <v>115.2</v>
      </c>
      <c r="C256" s="14">
        <f t="shared" si="6"/>
        <v>4.3591979075850041E-3</v>
      </c>
      <c r="D256" s="14">
        <f t="shared" si="7"/>
        <v>3.504043126684641E-2</v>
      </c>
    </row>
    <row r="257" spans="1:4" x14ac:dyDescent="0.2">
      <c r="A257" s="61">
        <v>32143</v>
      </c>
      <c r="B257" s="68">
        <f>VLOOKUP(Table3[[#This Row],[Date]],Database!A:E,4,)</f>
        <v>115.6</v>
      </c>
      <c r="C257" s="14">
        <f t="shared" si="6"/>
        <v>3.4722222222221483E-3</v>
      </c>
      <c r="D257" s="14">
        <f t="shared" si="7"/>
        <v>3.3065236818587924E-2</v>
      </c>
    </row>
    <row r="258" spans="1:4" x14ac:dyDescent="0.2">
      <c r="A258" s="61">
        <v>32174</v>
      </c>
      <c r="B258" s="68">
        <f>VLOOKUP(Table3[[#This Row],[Date]],Database!A:E,4,)</f>
        <v>115.7</v>
      </c>
      <c r="C258" s="14">
        <f t="shared" si="6"/>
        <v>8.650519031142606E-4</v>
      </c>
      <c r="D258" s="14">
        <f t="shared" si="7"/>
        <v>3.1194295900178252E-2</v>
      </c>
    </row>
    <row r="259" spans="1:4" x14ac:dyDescent="0.2">
      <c r="A259" s="61">
        <v>32203</v>
      </c>
      <c r="B259" s="68">
        <f>VLOOKUP(Table3[[#This Row],[Date]],Database!A:E,4,)</f>
        <v>115.9</v>
      </c>
      <c r="C259" s="14">
        <f t="shared" si="6"/>
        <v>1.7286084701815284E-3</v>
      </c>
      <c r="D259" s="14">
        <f t="shared" si="7"/>
        <v>3.1138790035587186E-2</v>
      </c>
    </row>
    <row r="260" spans="1:4" x14ac:dyDescent="0.2">
      <c r="A260" s="61">
        <v>32234</v>
      </c>
      <c r="B260" s="68">
        <f>VLOOKUP(Table3[[#This Row],[Date]],Database!A:E,4,)</f>
        <v>116.5</v>
      </c>
      <c r="C260" s="14">
        <f t="shared" si="6"/>
        <v>5.1768766177738941E-3</v>
      </c>
      <c r="D260" s="14">
        <f t="shared" si="7"/>
        <v>3.4635879218472519E-2</v>
      </c>
    </row>
    <row r="261" spans="1:4" x14ac:dyDescent="0.2">
      <c r="A261" s="61">
        <v>32264</v>
      </c>
      <c r="B261" s="68">
        <f>VLOOKUP(Table3[[#This Row],[Date]],Database!A:E,4,)</f>
        <v>116.9</v>
      </c>
      <c r="C261" s="14">
        <f t="shared" si="6"/>
        <v>3.4334763948498342E-3</v>
      </c>
      <c r="D261" s="14">
        <f t="shared" si="7"/>
        <v>3.268551236749119E-2</v>
      </c>
    </row>
    <row r="262" spans="1:4" x14ac:dyDescent="0.2">
      <c r="A262" s="61">
        <v>32295</v>
      </c>
      <c r="B262" s="68">
        <f>VLOOKUP(Table3[[#This Row],[Date]],Database!A:E,4,)</f>
        <v>117.6</v>
      </c>
      <c r="C262" s="14">
        <f t="shared" ref="C262:C325" si="8">(B262-B261)/B261</f>
        <v>5.9880239520957107E-3</v>
      </c>
      <c r="D262" s="14">
        <f t="shared" si="7"/>
        <v>3.3391915641476248E-2</v>
      </c>
    </row>
    <row r="263" spans="1:4" x14ac:dyDescent="0.2">
      <c r="A263" s="61">
        <v>32325</v>
      </c>
      <c r="B263" s="68">
        <f>VLOOKUP(Table3[[#This Row],[Date]],Database!A:E,4,)</f>
        <v>118.8</v>
      </c>
      <c r="C263" s="14">
        <f t="shared" si="8"/>
        <v>1.0204081632653086E-2</v>
      </c>
      <c r="D263" s="14">
        <f t="shared" si="7"/>
        <v>4.4854881266490711E-2</v>
      </c>
    </row>
    <row r="264" spans="1:4" x14ac:dyDescent="0.2">
      <c r="A264" s="61">
        <v>32356</v>
      </c>
      <c r="B264" s="68">
        <f>VLOOKUP(Table3[[#This Row],[Date]],Database!A:E,4,)</f>
        <v>119.4</v>
      </c>
      <c r="C264" s="14">
        <f t="shared" si="8"/>
        <v>5.0505050505051221E-3</v>
      </c>
      <c r="D264" s="14">
        <f t="shared" si="7"/>
        <v>4.8287971905179979E-2</v>
      </c>
    </row>
    <row r="265" spans="1:4" x14ac:dyDescent="0.2">
      <c r="A265" s="61">
        <v>32387</v>
      </c>
      <c r="B265" s="68">
        <f>VLOOKUP(Table3[[#This Row],[Date]],Database!A:E,4,)</f>
        <v>120</v>
      </c>
      <c r="C265" s="14">
        <f t="shared" si="8"/>
        <v>5.0251256281406559E-3</v>
      </c>
      <c r="D265" s="14">
        <f t="shared" si="7"/>
        <v>4.8951048951048896E-2</v>
      </c>
    </row>
    <row r="266" spans="1:4" x14ac:dyDescent="0.2">
      <c r="A266" s="61">
        <v>32417</v>
      </c>
      <c r="B266" s="68">
        <f>VLOOKUP(Table3[[#This Row],[Date]],Database!A:E,4,)</f>
        <v>120.3</v>
      </c>
      <c r="C266" s="14">
        <f t="shared" si="8"/>
        <v>2.4999999999999762E-3</v>
      </c>
      <c r="D266" s="14">
        <f t="shared" si="7"/>
        <v>4.9738219895287983E-2</v>
      </c>
    </row>
    <row r="267" spans="1:4" x14ac:dyDescent="0.2">
      <c r="A267" s="61">
        <v>32448</v>
      </c>
      <c r="B267" s="68">
        <f>VLOOKUP(Table3[[#This Row],[Date]],Database!A:E,4,)</f>
        <v>120.5</v>
      </c>
      <c r="C267" s="14">
        <f t="shared" si="8"/>
        <v>1.6625103906899655E-3</v>
      </c>
      <c r="D267" s="14">
        <f t="shared" si="7"/>
        <v>5.0566695727986027E-2</v>
      </c>
    </row>
    <row r="268" spans="1:4" x14ac:dyDescent="0.2">
      <c r="A268" s="61">
        <v>32478</v>
      </c>
      <c r="B268" s="68">
        <f>VLOOKUP(Table3[[#This Row],[Date]],Database!A:E,4,)</f>
        <v>121</v>
      </c>
      <c r="C268" s="14">
        <f t="shared" si="8"/>
        <v>4.1493775933609959E-3</v>
      </c>
      <c r="D268" s="14">
        <f t="shared" si="7"/>
        <v>5.0347222222222196E-2</v>
      </c>
    </row>
    <row r="269" spans="1:4" x14ac:dyDescent="0.2">
      <c r="A269" s="61">
        <v>32509</v>
      </c>
      <c r="B269" s="68">
        <f>VLOOKUP(Table3[[#This Row],[Date]],Database!A:E,4,)</f>
        <v>121.5</v>
      </c>
      <c r="C269" s="14">
        <f t="shared" si="8"/>
        <v>4.1322314049586778E-3</v>
      </c>
      <c r="D269" s="14">
        <f t="shared" si="7"/>
        <v>5.1038062283737078E-2</v>
      </c>
    </row>
    <row r="270" spans="1:4" x14ac:dyDescent="0.2">
      <c r="A270" s="61">
        <v>32540</v>
      </c>
      <c r="B270" s="68">
        <f>VLOOKUP(Table3[[#This Row],[Date]],Database!A:E,4,)</f>
        <v>122.3</v>
      </c>
      <c r="C270" s="14">
        <f t="shared" si="8"/>
        <v>6.5843621399176719E-3</v>
      </c>
      <c r="D270" s="14">
        <f t="shared" si="7"/>
        <v>5.7044079515989575E-2</v>
      </c>
    </row>
    <row r="271" spans="1:4" x14ac:dyDescent="0.2">
      <c r="A271" s="61">
        <v>32568</v>
      </c>
      <c r="B271" s="68">
        <f>VLOOKUP(Table3[[#This Row],[Date]],Database!A:E,4,)</f>
        <v>123.1</v>
      </c>
      <c r="C271" s="14">
        <f t="shared" si="8"/>
        <v>6.5412919051512442E-3</v>
      </c>
      <c r="D271" s="14">
        <f t="shared" si="7"/>
        <v>6.2122519413287218E-2</v>
      </c>
    </row>
    <row r="272" spans="1:4" x14ac:dyDescent="0.2">
      <c r="A272" s="61">
        <v>32599</v>
      </c>
      <c r="B272" s="68">
        <f>VLOOKUP(Table3[[#This Row],[Date]],Database!A:E,4,)</f>
        <v>123.7</v>
      </c>
      <c r="C272" s="14">
        <f t="shared" si="8"/>
        <v>4.8740861088546594E-3</v>
      </c>
      <c r="D272" s="14">
        <f t="shared" si="7"/>
        <v>6.1802575107296163E-2</v>
      </c>
    </row>
    <row r="273" spans="1:4" x14ac:dyDescent="0.2">
      <c r="A273" s="61">
        <v>32629</v>
      </c>
      <c r="B273" s="68">
        <f>VLOOKUP(Table3[[#This Row],[Date]],Database!A:E,4,)</f>
        <v>124.6</v>
      </c>
      <c r="C273" s="14">
        <f t="shared" si="8"/>
        <v>7.2756669361357437E-3</v>
      </c>
      <c r="D273" s="14">
        <f t="shared" ref="D273:D336" si="9">(B273-B261)/B261</f>
        <v>6.5868263473053787E-2</v>
      </c>
    </row>
    <row r="274" spans="1:4" x14ac:dyDescent="0.2">
      <c r="A274" s="61">
        <v>32660</v>
      </c>
      <c r="B274" s="68">
        <f>VLOOKUP(Table3[[#This Row],[Date]],Database!A:E,4,)</f>
        <v>124.9</v>
      </c>
      <c r="C274" s="14">
        <f t="shared" si="8"/>
        <v>2.4077046548957575E-3</v>
      </c>
      <c r="D274" s="14">
        <f t="shared" si="9"/>
        <v>6.2074829931972886E-2</v>
      </c>
    </row>
    <row r="275" spans="1:4" x14ac:dyDescent="0.2">
      <c r="A275" s="61">
        <v>32690</v>
      </c>
      <c r="B275" s="68">
        <f>VLOOKUP(Table3[[#This Row],[Date]],Database!A:E,4,)</f>
        <v>125.4</v>
      </c>
      <c r="C275" s="14">
        <f t="shared" si="8"/>
        <v>4.0032025620496394E-3</v>
      </c>
      <c r="D275" s="14">
        <f t="shared" si="9"/>
        <v>5.5555555555555629E-2</v>
      </c>
    </row>
    <row r="276" spans="1:4" x14ac:dyDescent="0.2">
      <c r="A276" s="61">
        <v>32721</v>
      </c>
      <c r="B276" s="68">
        <f>VLOOKUP(Table3[[#This Row],[Date]],Database!A:E,4,)</f>
        <v>125.7</v>
      </c>
      <c r="C276" s="14">
        <f t="shared" si="8"/>
        <v>2.3923444976076329E-3</v>
      </c>
      <c r="D276" s="14">
        <f t="shared" si="9"/>
        <v>5.2763819095477359E-2</v>
      </c>
    </row>
    <row r="277" spans="1:4" x14ac:dyDescent="0.2">
      <c r="A277" s="61">
        <v>32752</v>
      </c>
      <c r="B277" s="68">
        <f>VLOOKUP(Table3[[#This Row],[Date]],Database!A:E,4,)</f>
        <v>126.1</v>
      </c>
      <c r="C277" s="14">
        <f t="shared" si="8"/>
        <v>3.1821797931582455E-3</v>
      </c>
      <c r="D277" s="14">
        <f t="shared" si="9"/>
        <v>5.0833333333333286E-2</v>
      </c>
    </row>
    <row r="278" spans="1:4" x14ac:dyDescent="0.2">
      <c r="A278" s="61">
        <v>32782</v>
      </c>
      <c r="B278" s="68">
        <f>VLOOKUP(Table3[[#This Row],[Date]],Database!A:E,4,)</f>
        <v>126.7</v>
      </c>
      <c r="C278" s="14">
        <f t="shared" si="8"/>
        <v>4.7581284694687438E-3</v>
      </c>
      <c r="D278" s="14">
        <f t="shared" si="9"/>
        <v>5.3200332502078188E-2</v>
      </c>
    </row>
    <row r="279" spans="1:4" x14ac:dyDescent="0.2">
      <c r="A279" s="61">
        <v>32813</v>
      </c>
      <c r="B279" s="68">
        <f>VLOOKUP(Table3[[#This Row],[Date]],Database!A:E,4,)</f>
        <v>127.2</v>
      </c>
      <c r="C279" s="14">
        <f t="shared" si="8"/>
        <v>3.9463299131807421E-3</v>
      </c>
      <c r="D279" s="14">
        <f t="shared" si="9"/>
        <v>5.5601659751037369E-2</v>
      </c>
    </row>
    <row r="280" spans="1:4" x14ac:dyDescent="0.2">
      <c r="A280" s="61">
        <v>32843</v>
      </c>
      <c r="B280" s="68">
        <f>VLOOKUP(Table3[[#This Row],[Date]],Database!A:E,4,)</f>
        <v>127.7</v>
      </c>
      <c r="C280" s="14">
        <f t="shared" si="8"/>
        <v>3.9308176100628931E-3</v>
      </c>
      <c r="D280" s="14">
        <f t="shared" si="9"/>
        <v>5.5371900826446302E-2</v>
      </c>
    </row>
    <row r="281" spans="1:4" x14ac:dyDescent="0.2">
      <c r="A281" s="61">
        <v>32874</v>
      </c>
      <c r="B281" s="68">
        <f>VLOOKUP(Table3[[#This Row],[Date]],Database!A:E,4,)</f>
        <v>129.4</v>
      </c>
      <c r="C281" s="14">
        <f t="shared" si="8"/>
        <v>1.3312451057165253E-2</v>
      </c>
      <c r="D281" s="14">
        <f t="shared" si="9"/>
        <v>6.5020576131687283E-2</v>
      </c>
    </row>
    <row r="282" spans="1:4" x14ac:dyDescent="0.2">
      <c r="A282" s="61">
        <v>32905</v>
      </c>
      <c r="B282" s="68">
        <f>VLOOKUP(Table3[[#This Row],[Date]],Database!A:E,4,)</f>
        <v>130.5</v>
      </c>
      <c r="C282" s="14">
        <f t="shared" si="8"/>
        <v>8.500772797527003E-3</v>
      </c>
      <c r="D282" s="14">
        <f t="shared" si="9"/>
        <v>6.704824202780052E-2</v>
      </c>
    </row>
    <row r="283" spans="1:4" x14ac:dyDescent="0.2">
      <c r="A283" s="61">
        <v>32933</v>
      </c>
      <c r="B283" s="68">
        <f>VLOOKUP(Table3[[#This Row],[Date]],Database!A:E,4,)</f>
        <v>130.69999999999999</v>
      </c>
      <c r="C283" s="14">
        <f t="shared" si="8"/>
        <v>1.532567049808342E-3</v>
      </c>
      <c r="D283" s="14">
        <f t="shared" si="9"/>
        <v>6.173842404549143E-2</v>
      </c>
    </row>
    <row r="284" spans="1:4" x14ac:dyDescent="0.2">
      <c r="A284" s="61">
        <v>32964</v>
      </c>
      <c r="B284" s="68">
        <f>VLOOKUP(Table3[[#This Row],[Date]],Database!A:E,4,)</f>
        <v>130.6</v>
      </c>
      <c r="C284" s="14">
        <f t="shared" si="8"/>
        <v>-7.6511094108641414E-4</v>
      </c>
      <c r="D284" s="14">
        <f t="shared" si="9"/>
        <v>5.5780113177041159E-2</v>
      </c>
    </row>
    <row r="285" spans="1:4" x14ac:dyDescent="0.2">
      <c r="A285" s="61">
        <v>32994</v>
      </c>
      <c r="B285" s="68">
        <f>VLOOKUP(Table3[[#This Row],[Date]],Database!A:E,4,)</f>
        <v>130.9</v>
      </c>
      <c r="C285" s="14">
        <f t="shared" si="8"/>
        <v>2.2970903522206076E-3</v>
      </c>
      <c r="D285" s="14">
        <f t="shared" si="9"/>
        <v>5.0561797752809085E-2</v>
      </c>
    </row>
    <row r="286" spans="1:4" x14ac:dyDescent="0.2">
      <c r="A286" s="61">
        <v>33025</v>
      </c>
      <c r="B286" s="68">
        <f>VLOOKUP(Table3[[#This Row],[Date]],Database!A:E,4,)</f>
        <v>131.80000000000001</v>
      </c>
      <c r="C286" s="14">
        <f t="shared" si="8"/>
        <v>6.8754774637128013E-3</v>
      </c>
      <c r="D286" s="14">
        <f t="shared" si="9"/>
        <v>5.5244195356285074E-2</v>
      </c>
    </row>
    <row r="287" spans="1:4" x14ac:dyDescent="0.2">
      <c r="A287" s="61">
        <v>33055</v>
      </c>
      <c r="B287" s="68">
        <f>VLOOKUP(Table3[[#This Row],[Date]],Database!A:E,4,)</f>
        <v>132.5</v>
      </c>
      <c r="C287" s="14">
        <f t="shared" si="8"/>
        <v>5.3110773899847389E-3</v>
      </c>
      <c r="D287" s="14">
        <f t="shared" si="9"/>
        <v>5.6618819776714464E-2</v>
      </c>
    </row>
    <row r="288" spans="1:4" x14ac:dyDescent="0.2">
      <c r="A288" s="61">
        <v>33086</v>
      </c>
      <c r="B288" s="68">
        <f>VLOOKUP(Table3[[#This Row],[Date]],Database!A:E,4,)</f>
        <v>132.9</v>
      </c>
      <c r="C288" s="14">
        <f t="shared" si="8"/>
        <v>3.0188679245283447E-3</v>
      </c>
      <c r="D288" s="14">
        <f t="shared" si="9"/>
        <v>5.7279236276849665E-2</v>
      </c>
    </row>
    <row r="289" spans="1:4" x14ac:dyDescent="0.2">
      <c r="A289" s="61">
        <v>33117</v>
      </c>
      <c r="B289" s="68">
        <f>VLOOKUP(Table3[[#This Row],[Date]],Database!A:E,4,)</f>
        <v>133.30000000000001</v>
      </c>
      <c r="C289" s="14">
        <f t="shared" si="8"/>
        <v>3.0097817908202084E-3</v>
      </c>
      <c r="D289" s="14">
        <f t="shared" si="9"/>
        <v>5.7097541633624245E-2</v>
      </c>
    </row>
    <row r="290" spans="1:4" x14ac:dyDescent="0.2">
      <c r="A290" s="61">
        <v>33147</v>
      </c>
      <c r="B290" s="68">
        <f>VLOOKUP(Table3[[#This Row],[Date]],Database!A:E,4,)</f>
        <v>133.80000000000001</v>
      </c>
      <c r="C290" s="14">
        <f t="shared" si="8"/>
        <v>3.7509377344336079E-3</v>
      </c>
      <c r="D290" s="14">
        <f t="shared" si="9"/>
        <v>5.6037884767166604E-2</v>
      </c>
    </row>
    <row r="291" spans="1:4" x14ac:dyDescent="0.2">
      <c r="A291" s="61">
        <v>33178</v>
      </c>
      <c r="B291" s="68">
        <f>VLOOKUP(Table3[[#This Row],[Date]],Database!A:E,4,)</f>
        <v>134.19999999999999</v>
      </c>
      <c r="C291" s="14">
        <f t="shared" si="8"/>
        <v>2.989536621823447E-3</v>
      </c>
      <c r="D291" s="14">
        <f t="shared" si="9"/>
        <v>5.5031446540880387E-2</v>
      </c>
    </row>
    <row r="292" spans="1:4" x14ac:dyDescent="0.2">
      <c r="A292" s="61">
        <v>33208</v>
      </c>
      <c r="B292" s="68">
        <f>VLOOKUP(Table3[[#This Row],[Date]],Database!A:E,4,)</f>
        <v>134.30000000000001</v>
      </c>
      <c r="C292" s="14">
        <f t="shared" si="8"/>
        <v>7.4515648286157035E-4</v>
      </c>
      <c r="D292" s="14">
        <f t="shared" si="9"/>
        <v>5.1683633516053318E-2</v>
      </c>
    </row>
    <row r="293" spans="1:4" x14ac:dyDescent="0.2">
      <c r="A293" s="61">
        <v>33239</v>
      </c>
      <c r="B293" s="68">
        <f>VLOOKUP(Table3[[#This Row],[Date]],Database!A:E,4,)</f>
        <v>135.19999999999999</v>
      </c>
      <c r="C293" s="14">
        <f t="shared" si="8"/>
        <v>6.7014147431122646E-3</v>
      </c>
      <c r="D293" s="14">
        <f t="shared" si="9"/>
        <v>4.4822256568778848E-2</v>
      </c>
    </row>
    <row r="294" spans="1:4" x14ac:dyDescent="0.2">
      <c r="A294" s="61">
        <v>33270</v>
      </c>
      <c r="B294" s="68">
        <f>VLOOKUP(Table3[[#This Row],[Date]],Database!A:E,4,)</f>
        <v>135.69999999999999</v>
      </c>
      <c r="C294" s="14">
        <f t="shared" si="8"/>
        <v>3.6982248520710062E-3</v>
      </c>
      <c r="D294" s="14">
        <f t="shared" si="9"/>
        <v>3.9846743295019069E-2</v>
      </c>
    </row>
    <row r="295" spans="1:4" x14ac:dyDescent="0.2">
      <c r="A295" s="61">
        <v>33298</v>
      </c>
      <c r="B295" s="68">
        <f>VLOOKUP(Table3[[#This Row],[Date]],Database!A:E,4,)</f>
        <v>135.9</v>
      </c>
      <c r="C295" s="14">
        <f t="shared" si="8"/>
        <v>1.4738393515108111E-3</v>
      </c>
      <c r="D295" s="14">
        <f t="shared" si="9"/>
        <v>3.9785768936495929E-2</v>
      </c>
    </row>
    <row r="296" spans="1:4" x14ac:dyDescent="0.2">
      <c r="A296" s="61">
        <v>33329</v>
      </c>
      <c r="B296" s="68">
        <f>VLOOKUP(Table3[[#This Row],[Date]],Database!A:E,4,)</f>
        <v>136.6</v>
      </c>
      <c r="C296" s="14">
        <f t="shared" si="8"/>
        <v>5.1508462104487753E-3</v>
      </c>
      <c r="D296" s="14">
        <f t="shared" si="9"/>
        <v>4.5941807044410414E-2</v>
      </c>
    </row>
    <row r="297" spans="1:4" x14ac:dyDescent="0.2">
      <c r="A297" s="61">
        <v>33359</v>
      </c>
      <c r="B297" s="68">
        <f>VLOOKUP(Table3[[#This Row],[Date]],Database!A:E,4,)</f>
        <v>137.1</v>
      </c>
      <c r="C297" s="14">
        <f t="shared" si="8"/>
        <v>3.6603221083455345E-3</v>
      </c>
      <c r="D297" s="14">
        <f t="shared" si="9"/>
        <v>4.736440030557669E-2</v>
      </c>
    </row>
    <row r="298" spans="1:4" x14ac:dyDescent="0.2">
      <c r="A298" s="61">
        <v>33390</v>
      </c>
      <c r="B298" s="68">
        <f>VLOOKUP(Table3[[#This Row],[Date]],Database!A:E,4,)</f>
        <v>137.80000000000001</v>
      </c>
      <c r="C298" s="14">
        <f t="shared" si="8"/>
        <v>5.105762217359716E-3</v>
      </c>
      <c r="D298" s="14">
        <f t="shared" si="9"/>
        <v>4.5523520485584217E-2</v>
      </c>
    </row>
    <row r="299" spans="1:4" x14ac:dyDescent="0.2">
      <c r="A299" s="61">
        <v>33420</v>
      </c>
      <c r="B299" s="68">
        <f>VLOOKUP(Table3[[#This Row],[Date]],Database!A:E,4,)</f>
        <v>137.19999999999999</v>
      </c>
      <c r="C299" s="14">
        <f t="shared" si="8"/>
        <v>-4.3541364296082923E-3</v>
      </c>
      <c r="D299" s="14">
        <f t="shared" si="9"/>
        <v>3.547169811320746E-2</v>
      </c>
    </row>
    <row r="300" spans="1:4" x14ac:dyDescent="0.2">
      <c r="A300" s="61">
        <v>33451</v>
      </c>
      <c r="B300" s="68">
        <f>VLOOKUP(Table3[[#This Row],[Date]],Database!A:E,4,)</f>
        <v>136.80000000000001</v>
      </c>
      <c r="C300" s="14">
        <f t="shared" si="8"/>
        <v>-2.9154518950435665E-3</v>
      </c>
      <c r="D300" s="14">
        <f t="shared" si="9"/>
        <v>2.9345372460496656E-2</v>
      </c>
    </row>
    <row r="301" spans="1:4" x14ac:dyDescent="0.2">
      <c r="A301" s="61">
        <v>33482</v>
      </c>
      <c r="B301" s="68">
        <f>VLOOKUP(Table3[[#This Row],[Date]],Database!A:E,4,)</f>
        <v>137</v>
      </c>
      <c r="C301" s="14">
        <f t="shared" si="8"/>
        <v>1.4619883040934841E-3</v>
      </c>
      <c r="D301" s="14">
        <f t="shared" si="9"/>
        <v>2.7756939234808615E-2</v>
      </c>
    </row>
    <row r="302" spans="1:4" x14ac:dyDescent="0.2">
      <c r="A302" s="61">
        <v>33512</v>
      </c>
      <c r="B302" s="68">
        <f>VLOOKUP(Table3[[#This Row],[Date]],Database!A:E,4,)</f>
        <v>136.9</v>
      </c>
      <c r="C302" s="14">
        <f t="shared" si="8"/>
        <v>-7.2992700729922861E-4</v>
      </c>
      <c r="D302" s="14">
        <f t="shared" si="9"/>
        <v>2.3168908819132989E-2</v>
      </c>
    </row>
    <row r="303" spans="1:4" x14ac:dyDescent="0.2">
      <c r="A303" s="61">
        <v>33543</v>
      </c>
      <c r="B303" s="68">
        <f>VLOOKUP(Table3[[#This Row],[Date]],Database!A:E,4,)</f>
        <v>137.4</v>
      </c>
      <c r="C303" s="14">
        <f t="shared" si="8"/>
        <v>3.6523009495982466E-3</v>
      </c>
      <c r="D303" s="14">
        <f t="shared" si="9"/>
        <v>2.3845007451564957E-2</v>
      </c>
    </row>
    <row r="304" spans="1:4" x14ac:dyDescent="0.2">
      <c r="A304" s="61">
        <v>33573</v>
      </c>
      <c r="B304" s="68">
        <f>VLOOKUP(Table3[[#This Row],[Date]],Database!A:E,4,)</f>
        <v>137.6</v>
      </c>
      <c r="C304" s="14">
        <f t="shared" si="8"/>
        <v>1.4556040756913292E-3</v>
      </c>
      <c r="D304" s="14">
        <f t="shared" si="9"/>
        <v>2.4571854058078799E-2</v>
      </c>
    </row>
    <row r="305" spans="1:4" x14ac:dyDescent="0.2">
      <c r="A305" s="61">
        <v>33604</v>
      </c>
      <c r="B305" s="68">
        <f>VLOOKUP(Table3[[#This Row],[Date]],Database!A:E,4,)</f>
        <v>137.30000000000001</v>
      </c>
      <c r="C305" s="14">
        <f t="shared" si="8"/>
        <v>-2.1802325581394113E-3</v>
      </c>
      <c r="D305" s="14">
        <f t="shared" si="9"/>
        <v>1.5532544378698394E-2</v>
      </c>
    </row>
    <row r="306" spans="1:4" x14ac:dyDescent="0.2">
      <c r="A306" s="61">
        <v>33635</v>
      </c>
      <c r="B306" s="68">
        <f>VLOOKUP(Table3[[#This Row],[Date]],Database!A:E,4,)</f>
        <v>137.80000000000001</v>
      </c>
      <c r="C306" s="14">
        <f t="shared" si="8"/>
        <v>3.6416605972323375E-3</v>
      </c>
      <c r="D306" s="14">
        <f t="shared" si="9"/>
        <v>1.5475313190862365E-2</v>
      </c>
    </row>
    <row r="307" spans="1:4" x14ac:dyDescent="0.2">
      <c r="A307" s="61">
        <v>33664</v>
      </c>
      <c r="B307" s="68">
        <f>VLOOKUP(Table3[[#This Row],[Date]],Database!A:E,4,)</f>
        <v>138.30000000000001</v>
      </c>
      <c r="C307" s="14">
        <f t="shared" si="8"/>
        <v>3.6284470246734394E-3</v>
      </c>
      <c r="D307" s="14">
        <f t="shared" si="9"/>
        <v>1.7660044150110417E-2</v>
      </c>
    </row>
    <row r="308" spans="1:4" x14ac:dyDescent="0.2">
      <c r="A308" s="61">
        <v>33695</v>
      </c>
      <c r="B308" s="68">
        <f>VLOOKUP(Table3[[#This Row],[Date]],Database!A:E,4,)</f>
        <v>138.19999999999999</v>
      </c>
      <c r="C308" s="14">
        <f t="shared" si="8"/>
        <v>-7.2306579898787223E-4</v>
      </c>
      <c r="D308" s="14">
        <f t="shared" si="9"/>
        <v>1.1713030746705669E-2</v>
      </c>
    </row>
    <row r="309" spans="1:4" x14ac:dyDescent="0.2">
      <c r="A309" s="61">
        <v>33725</v>
      </c>
      <c r="B309" s="68">
        <f>VLOOKUP(Table3[[#This Row],[Date]],Database!A:E,4,)</f>
        <v>138.1</v>
      </c>
      <c r="C309" s="14">
        <f t="shared" si="8"/>
        <v>-7.2358900144713697E-4</v>
      </c>
      <c r="D309" s="14">
        <f t="shared" si="9"/>
        <v>7.2939460247994168E-3</v>
      </c>
    </row>
    <row r="310" spans="1:4" x14ac:dyDescent="0.2">
      <c r="A310" s="61">
        <v>33756</v>
      </c>
      <c r="B310" s="68">
        <f>VLOOKUP(Table3[[#This Row],[Date]],Database!A:E,4,)</f>
        <v>138.4</v>
      </c>
      <c r="C310" s="14">
        <f t="shared" si="8"/>
        <v>2.1723388848661216E-3</v>
      </c>
      <c r="D310" s="14">
        <f t="shared" si="9"/>
        <v>4.3541364296080859E-3</v>
      </c>
    </row>
    <row r="311" spans="1:4" x14ac:dyDescent="0.2">
      <c r="A311" s="61">
        <v>33786</v>
      </c>
      <c r="B311" s="68">
        <f>VLOOKUP(Table3[[#This Row],[Date]],Database!A:E,4,)</f>
        <v>138.30000000000001</v>
      </c>
      <c r="C311" s="14">
        <f t="shared" si="8"/>
        <v>-7.2254335260111494E-4</v>
      </c>
      <c r="D311" s="14">
        <f t="shared" si="9"/>
        <v>8.0174927113704289E-3</v>
      </c>
    </row>
    <row r="312" spans="1:4" x14ac:dyDescent="0.2">
      <c r="A312" s="61">
        <v>33817</v>
      </c>
      <c r="B312" s="68">
        <f>VLOOKUP(Table3[[#This Row],[Date]],Database!A:E,4,)</f>
        <v>139.1</v>
      </c>
      <c r="C312" s="14">
        <f t="shared" si="8"/>
        <v>5.7845263919015389E-3</v>
      </c>
      <c r="D312" s="14">
        <f t="shared" si="9"/>
        <v>1.6812865497075898E-2</v>
      </c>
    </row>
    <row r="313" spans="1:4" x14ac:dyDescent="0.2">
      <c r="A313" s="61">
        <v>33848</v>
      </c>
      <c r="B313" s="68">
        <f>VLOOKUP(Table3[[#This Row],[Date]],Database!A:E,4,)</f>
        <v>139.69999999999999</v>
      </c>
      <c r="C313" s="14">
        <f t="shared" si="8"/>
        <v>4.3134435657799734E-3</v>
      </c>
      <c r="D313" s="14">
        <f t="shared" si="9"/>
        <v>1.9708029197080208E-2</v>
      </c>
    </row>
    <row r="314" spans="1:4" x14ac:dyDescent="0.2">
      <c r="A314" s="61">
        <v>33878</v>
      </c>
      <c r="B314" s="68">
        <f>VLOOKUP(Table3[[#This Row],[Date]],Database!A:E,4,)</f>
        <v>139.69999999999999</v>
      </c>
      <c r="C314" s="14">
        <f t="shared" si="8"/>
        <v>0</v>
      </c>
      <c r="D314" s="14">
        <f t="shared" si="9"/>
        <v>2.0452885317750056E-2</v>
      </c>
    </row>
    <row r="315" spans="1:4" x14ac:dyDescent="0.2">
      <c r="A315" s="61">
        <v>33909</v>
      </c>
      <c r="B315" s="68">
        <f>VLOOKUP(Table3[[#This Row],[Date]],Database!A:E,4,)</f>
        <v>139.6</v>
      </c>
      <c r="C315" s="14">
        <f t="shared" si="8"/>
        <v>-7.1581961345736815E-4</v>
      </c>
      <c r="D315" s="14">
        <f t="shared" si="9"/>
        <v>1.6011644832605448E-2</v>
      </c>
    </row>
    <row r="316" spans="1:4" x14ac:dyDescent="0.2">
      <c r="A316" s="61">
        <v>33939</v>
      </c>
      <c r="B316" s="68">
        <f>VLOOKUP(Table3[[#This Row],[Date]],Database!A:E,4,)</f>
        <v>139.6</v>
      </c>
      <c r="C316" s="14">
        <f t="shared" si="8"/>
        <v>0</v>
      </c>
      <c r="D316" s="14">
        <f t="shared" si="9"/>
        <v>1.4534883720930232E-2</v>
      </c>
    </row>
    <row r="317" spans="1:4" x14ac:dyDescent="0.2">
      <c r="A317" s="61">
        <v>33970</v>
      </c>
      <c r="B317" s="68">
        <f>VLOOKUP(Table3[[#This Row],[Date]],Database!A:E,4,)</f>
        <v>140</v>
      </c>
      <c r="C317" s="14">
        <f t="shared" si="8"/>
        <v>2.8653295128940235E-3</v>
      </c>
      <c r="D317" s="14">
        <f t="shared" si="9"/>
        <v>1.9664967225054539E-2</v>
      </c>
    </row>
    <row r="318" spans="1:4" x14ac:dyDescent="0.2">
      <c r="A318" s="61">
        <v>34001</v>
      </c>
      <c r="B318" s="68">
        <f>VLOOKUP(Table3[[#This Row],[Date]],Database!A:E,4,)</f>
        <v>140.4</v>
      </c>
      <c r="C318" s="14">
        <f t="shared" si="8"/>
        <v>2.8571428571428979E-3</v>
      </c>
      <c r="D318" s="14">
        <f t="shared" si="9"/>
        <v>1.8867924528301844E-2</v>
      </c>
    </row>
    <row r="319" spans="1:4" x14ac:dyDescent="0.2">
      <c r="A319" s="61">
        <v>34029</v>
      </c>
      <c r="B319" s="68">
        <f>VLOOKUP(Table3[[#This Row],[Date]],Database!A:E,4,)</f>
        <v>140.4</v>
      </c>
      <c r="C319" s="14">
        <f t="shared" si="8"/>
        <v>0</v>
      </c>
      <c r="D319" s="14">
        <f t="shared" si="9"/>
        <v>1.5184381778741823E-2</v>
      </c>
    </row>
    <row r="320" spans="1:4" x14ac:dyDescent="0.2">
      <c r="A320" s="61">
        <v>34060</v>
      </c>
      <c r="B320" s="68">
        <f>VLOOKUP(Table3[[#This Row],[Date]],Database!A:E,4,)</f>
        <v>140.80000000000001</v>
      </c>
      <c r="C320" s="14">
        <f t="shared" si="8"/>
        <v>2.8490028490028895E-3</v>
      </c>
      <c r="D320" s="14">
        <f t="shared" si="9"/>
        <v>1.8813314037626795E-2</v>
      </c>
    </row>
    <row r="321" spans="1:4" x14ac:dyDescent="0.2">
      <c r="A321" s="61">
        <v>34090</v>
      </c>
      <c r="B321" s="68">
        <f>VLOOKUP(Table3[[#This Row],[Date]],Database!A:E,4,)</f>
        <v>141.69999999999999</v>
      </c>
      <c r="C321" s="14">
        <f t="shared" si="8"/>
        <v>6.3920454545452927E-3</v>
      </c>
      <c r="D321" s="14">
        <f t="shared" si="9"/>
        <v>2.6068066618392428E-2</v>
      </c>
    </row>
    <row r="322" spans="1:4" x14ac:dyDescent="0.2">
      <c r="A322" s="61">
        <v>34121</v>
      </c>
      <c r="B322" s="68">
        <f>VLOOKUP(Table3[[#This Row],[Date]],Database!A:E,4,)</f>
        <v>141.4</v>
      </c>
      <c r="C322" s="14">
        <f t="shared" si="8"/>
        <v>-2.1171489061396118E-3</v>
      </c>
      <c r="D322" s="14">
        <f t="shared" si="9"/>
        <v>2.1676300578034682E-2</v>
      </c>
    </row>
    <row r="323" spans="1:4" x14ac:dyDescent="0.2">
      <c r="A323" s="61">
        <v>34151</v>
      </c>
      <c r="B323" s="68">
        <f>VLOOKUP(Table3[[#This Row],[Date]],Database!A:E,4,)</f>
        <v>141.4</v>
      </c>
      <c r="C323" s="14">
        <f t="shared" si="8"/>
        <v>0</v>
      </c>
      <c r="D323" s="14">
        <f t="shared" si="9"/>
        <v>2.2415039768618902E-2</v>
      </c>
    </row>
    <row r="324" spans="1:4" x14ac:dyDescent="0.2">
      <c r="A324" s="61">
        <v>34182</v>
      </c>
      <c r="B324" s="68">
        <f>VLOOKUP(Table3[[#This Row],[Date]],Database!A:E,4,)</f>
        <v>141.9</v>
      </c>
      <c r="C324" s="14">
        <f t="shared" si="8"/>
        <v>3.5360678925035359E-3</v>
      </c>
      <c r="D324" s="14">
        <f t="shared" si="9"/>
        <v>2.0129403306973482E-2</v>
      </c>
    </row>
    <row r="325" spans="1:4" x14ac:dyDescent="0.2">
      <c r="A325" s="61">
        <v>34213</v>
      </c>
      <c r="B325" s="68">
        <f>VLOOKUP(Table3[[#This Row],[Date]],Database!A:E,4,)</f>
        <v>142.1</v>
      </c>
      <c r="C325" s="14">
        <f t="shared" si="8"/>
        <v>1.409443269908306E-3</v>
      </c>
      <c r="D325" s="14">
        <f t="shared" si="9"/>
        <v>1.7179670722977852E-2</v>
      </c>
    </row>
    <row r="326" spans="1:4" x14ac:dyDescent="0.2">
      <c r="A326" s="61">
        <v>34243</v>
      </c>
      <c r="B326" s="68">
        <f>VLOOKUP(Table3[[#This Row],[Date]],Database!A:E,4,)</f>
        <v>142.69999999999999</v>
      </c>
      <c r="C326" s="14">
        <f t="shared" ref="C326:C389" si="10">(B326-B325)/B325</f>
        <v>4.2223786066150201E-3</v>
      </c>
      <c r="D326" s="14">
        <f t="shared" si="9"/>
        <v>2.1474588403722263E-2</v>
      </c>
    </row>
    <row r="327" spans="1:4" x14ac:dyDescent="0.2">
      <c r="A327" s="61">
        <v>34274</v>
      </c>
      <c r="B327" s="68">
        <f>VLOOKUP(Table3[[#This Row],[Date]],Database!A:E,4,)</f>
        <v>143</v>
      </c>
      <c r="C327" s="14">
        <f t="shared" si="10"/>
        <v>2.102312543798258E-3</v>
      </c>
      <c r="D327" s="14">
        <f t="shared" si="9"/>
        <v>2.4355300859598895E-2</v>
      </c>
    </row>
    <row r="328" spans="1:4" x14ac:dyDescent="0.2">
      <c r="A328" s="61">
        <v>34304</v>
      </c>
      <c r="B328" s="68">
        <f>VLOOKUP(Table3[[#This Row],[Date]],Database!A:E,4,)</f>
        <v>143.5</v>
      </c>
      <c r="C328" s="14">
        <f t="shared" si="10"/>
        <v>3.4965034965034965E-3</v>
      </c>
      <c r="D328" s="14">
        <f t="shared" si="9"/>
        <v>2.7936962750716374E-2</v>
      </c>
    </row>
    <row r="329" spans="1:4" x14ac:dyDescent="0.2">
      <c r="A329" s="61">
        <v>34335</v>
      </c>
      <c r="B329" s="68">
        <f>VLOOKUP(Table3[[#This Row],[Date]],Database!A:E,4,)</f>
        <v>143.6</v>
      </c>
      <c r="C329" s="14">
        <f t="shared" si="10"/>
        <v>6.9686411149821827E-4</v>
      </c>
      <c r="D329" s="14">
        <f t="shared" si="9"/>
        <v>2.5714285714285672E-2</v>
      </c>
    </row>
    <row r="330" spans="1:4" x14ac:dyDescent="0.2">
      <c r="A330" s="61">
        <v>34366</v>
      </c>
      <c r="B330" s="68">
        <f>VLOOKUP(Table3[[#This Row],[Date]],Database!A:E,4,)</f>
        <v>143.4</v>
      </c>
      <c r="C330" s="14">
        <f t="shared" si="10"/>
        <v>-1.3927576601670518E-3</v>
      </c>
      <c r="D330" s="14">
        <f t="shared" si="9"/>
        <v>2.1367521367521368E-2</v>
      </c>
    </row>
    <row r="331" spans="1:4" x14ac:dyDescent="0.2">
      <c r="A331" s="61">
        <v>34394</v>
      </c>
      <c r="B331" s="68">
        <f>VLOOKUP(Table3[[#This Row],[Date]],Database!A:E,4,)</f>
        <v>143.4</v>
      </c>
      <c r="C331" s="14">
        <f t="shared" si="10"/>
        <v>0</v>
      </c>
      <c r="D331" s="14">
        <f t="shared" si="9"/>
        <v>2.1367521367521368E-2</v>
      </c>
    </row>
    <row r="332" spans="1:4" x14ac:dyDescent="0.2">
      <c r="A332" s="61">
        <v>34425</v>
      </c>
      <c r="B332" s="68">
        <f>VLOOKUP(Table3[[#This Row],[Date]],Database!A:E,4,)</f>
        <v>143.69999999999999</v>
      </c>
      <c r="C332" s="14">
        <f t="shared" si="10"/>
        <v>2.0920502092049019E-3</v>
      </c>
      <c r="D332" s="14">
        <f t="shared" si="9"/>
        <v>2.0596590909090745E-2</v>
      </c>
    </row>
    <row r="333" spans="1:4" x14ac:dyDescent="0.2">
      <c r="A333" s="61">
        <v>34455</v>
      </c>
      <c r="B333" s="68">
        <f>VLOOKUP(Table3[[#This Row],[Date]],Database!A:E,4,)</f>
        <v>144</v>
      </c>
      <c r="C333" s="14">
        <f t="shared" si="10"/>
        <v>2.0876826722338996E-3</v>
      </c>
      <c r="D333" s="14">
        <f t="shared" si="9"/>
        <v>1.6231474947071358E-2</v>
      </c>
    </row>
    <row r="334" spans="1:4" x14ac:dyDescent="0.2">
      <c r="A334" s="61">
        <v>34486</v>
      </c>
      <c r="B334" s="68">
        <f>VLOOKUP(Table3[[#This Row],[Date]],Database!A:E,4,)</f>
        <v>144.4</v>
      </c>
      <c r="C334" s="14">
        <f t="shared" si="10"/>
        <v>2.7777777777778173E-3</v>
      </c>
      <c r="D334" s="14">
        <f t="shared" si="9"/>
        <v>2.1216407355021217E-2</v>
      </c>
    </row>
    <row r="335" spans="1:4" x14ac:dyDescent="0.2">
      <c r="A335" s="61">
        <v>34516</v>
      </c>
      <c r="B335" s="68">
        <f>VLOOKUP(Table3[[#This Row],[Date]],Database!A:E,4,)</f>
        <v>145.19999999999999</v>
      </c>
      <c r="C335" s="14">
        <f t="shared" si="10"/>
        <v>5.5401662049860316E-3</v>
      </c>
      <c r="D335" s="14">
        <f t="shared" si="9"/>
        <v>2.6874115983026751E-2</v>
      </c>
    </row>
    <row r="336" spans="1:4" x14ac:dyDescent="0.2">
      <c r="A336" s="61">
        <v>34547</v>
      </c>
      <c r="B336" s="68">
        <f>VLOOKUP(Table3[[#This Row],[Date]],Database!A:E,4,)</f>
        <v>145.6</v>
      </c>
      <c r="C336" s="14">
        <f t="shared" si="10"/>
        <v>2.754820936639158E-3</v>
      </c>
      <c r="D336" s="14">
        <f t="shared" si="9"/>
        <v>2.6074700493305063E-2</v>
      </c>
    </row>
    <row r="337" spans="1:4" x14ac:dyDescent="0.2">
      <c r="A337" s="61">
        <v>34578</v>
      </c>
      <c r="B337" s="68">
        <f>VLOOKUP(Table3[[#This Row],[Date]],Database!A:E,4,)</f>
        <v>145.80000000000001</v>
      </c>
      <c r="C337" s="14">
        <f t="shared" si="10"/>
        <v>1.3736263736264908E-3</v>
      </c>
      <c r="D337" s="14">
        <f t="shared" ref="D337:D400" si="11">(B337-B325)/B325</f>
        <v>2.6038001407459658E-2</v>
      </c>
    </row>
    <row r="338" spans="1:4" x14ac:dyDescent="0.2">
      <c r="A338" s="61">
        <v>34608</v>
      </c>
      <c r="B338" s="68">
        <f>VLOOKUP(Table3[[#This Row],[Date]],Database!A:E,4,)</f>
        <v>145.80000000000001</v>
      </c>
      <c r="C338" s="14">
        <f t="shared" si="10"/>
        <v>0</v>
      </c>
      <c r="D338" s="14">
        <f t="shared" si="11"/>
        <v>2.1723896285914666E-2</v>
      </c>
    </row>
    <row r="339" spans="1:4" x14ac:dyDescent="0.2">
      <c r="A339" s="61">
        <v>34639</v>
      </c>
      <c r="B339" s="68">
        <f>VLOOKUP(Table3[[#This Row],[Date]],Database!A:E,4,)</f>
        <v>146.19999999999999</v>
      </c>
      <c r="C339" s="14">
        <f t="shared" si="10"/>
        <v>2.7434842249655501E-3</v>
      </c>
      <c r="D339" s="14">
        <f t="shared" si="11"/>
        <v>2.2377622377622298E-2</v>
      </c>
    </row>
    <row r="340" spans="1:4" x14ac:dyDescent="0.2">
      <c r="A340" s="61">
        <v>34669</v>
      </c>
      <c r="B340" s="68">
        <f>VLOOKUP(Table3[[#This Row],[Date]],Database!A:E,4,)</f>
        <v>147.19999999999999</v>
      </c>
      <c r="C340" s="14">
        <f t="shared" si="10"/>
        <v>6.8399452804377573E-3</v>
      </c>
      <c r="D340" s="14">
        <f t="shared" si="11"/>
        <v>2.5783972125435459E-2</v>
      </c>
    </row>
    <row r="341" spans="1:4" x14ac:dyDescent="0.2">
      <c r="A341" s="61">
        <v>34700</v>
      </c>
      <c r="B341" s="68">
        <f>VLOOKUP(Table3[[#This Row],[Date]],Database!A:E,4,)</f>
        <v>147.19999999999999</v>
      </c>
      <c r="C341" s="14">
        <f t="shared" si="10"/>
        <v>0</v>
      </c>
      <c r="D341" s="14">
        <f t="shared" si="11"/>
        <v>2.5069637883008318E-2</v>
      </c>
    </row>
    <row r="342" spans="1:4" x14ac:dyDescent="0.2">
      <c r="A342" s="61">
        <v>34731</v>
      </c>
      <c r="B342" s="68">
        <f>VLOOKUP(Table3[[#This Row],[Date]],Database!A:E,4,)</f>
        <v>147.69999999999999</v>
      </c>
      <c r="C342" s="14">
        <f t="shared" si="10"/>
        <v>3.3967391304347829E-3</v>
      </c>
      <c r="D342" s="14">
        <f t="shared" si="11"/>
        <v>2.998605299860518E-2</v>
      </c>
    </row>
    <row r="343" spans="1:4" x14ac:dyDescent="0.2">
      <c r="A343" s="61">
        <v>34759</v>
      </c>
      <c r="B343" s="68">
        <f>VLOOKUP(Table3[[#This Row],[Date]],Database!A:E,4,)</f>
        <v>147.5</v>
      </c>
      <c r="C343" s="14">
        <f t="shared" si="10"/>
        <v>-1.3540961408259218E-3</v>
      </c>
      <c r="D343" s="14">
        <f t="shared" si="11"/>
        <v>2.8591352859135246E-2</v>
      </c>
    </row>
    <row r="344" spans="1:4" x14ac:dyDescent="0.2">
      <c r="A344" s="61">
        <v>34790</v>
      </c>
      <c r="B344" s="68">
        <f>VLOOKUP(Table3[[#This Row],[Date]],Database!A:E,4,)</f>
        <v>148.5</v>
      </c>
      <c r="C344" s="14">
        <f t="shared" si="10"/>
        <v>6.7796610169491523E-3</v>
      </c>
      <c r="D344" s="14">
        <f t="shared" si="11"/>
        <v>3.3402922755741207E-2</v>
      </c>
    </row>
    <row r="345" spans="1:4" x14ac:dyDescent="0.2">
      <c r="A345" s="61">
        <v>34820</v>
      </c>
      <c r="B345" s="68">
        <f>VLOOKUP(Table3[[#This Row],[Date]],Database!A:E,4,)</f>
        <v>148.69999999999999</v>
      </c>
      <c r="C345" s="14">
        <f t="shared" si="10"/>
        <v>1.3468013468012703E-3</v>
      </c>
      <c r="D345" s="14">
        <f t="shared" si="11"/>
        <v>3.2638888888888808E-2</v>
      </c>
    </row>
    <row r="346" spans="1:4" x14ac:dyDescent="0.2">
      <c r="A346" s="61">
        <v>34851</v>
      </c>
      <c r="B346" s="68">
        <f>VLOOKUP(Table3[[#This Row],[Date]],Database!A:E,4,)</f>
        <v>148.80000000000001</v>
      </c>
      <c r="C346" s="14">
        <f t="shared" si="10"/>
        <v>6.7249495628798081E-4</v>
      </c>
      <c r="D346" s="14">
        <f t="shared" si="11"/>
        <v>3.0470914127423861E-2</v>
      </c>
    </row>
    <row r="347" spans="1:4" x14ac:dyDescent="0.2">
      <c r="A347" s="61">
        <v>34881</v>
      </c>
      <c r="B347" s="68">
        <f>VLOOKUP(Table3[[#This Row],[Date]],Database!A:E,4,)</f>
        <v>149</v>
      </c>
      <c r="C347" s="14">
        <f t="shared" si="10"/>
        <v>1.3440860215052999E-3</v>
      </c>
      <c r="D347" s="14">
        <f t="shared" si="11"/>
        <v>2.6170798898071706E-2</v>
      </c>
    </row>
    <row r="348" spans="1:4" x14ac:dyDescent="0.2">
      <c r="A348" s="61">
        <v>34912</v>
      </c>
      <c r="B348" s="68">
        <f>VLOOKUP(Table3[[#This Row],[Date]],Database!A:E,4,)</f>
        <v>149.1</v>
      </c>
      <c r="C348" s="14">
        <f t="shared" si="10"/>
        <v>6.7114093959727724E-4</v>
      </c>
      <c r="D348" s="14">
        <f t="shared" si="11"/>
        <v>2.403846153846154E-2</v>
      </c>
    </row>
    <row r="349" spans="1:4" x14ac:dyDescent="0.2">
      <c r="A349" s="61">
        <v>34943</v>
      </c>
      <c r="B349" s="68">
        <f>VLOOKUP(Table3[[#This Row],[Date]],Database!A:E,4,)</f>
        <v>149.6</v>
      </c>
      <c r="C349" s="14">
        <f t="shared" si="10"/>
        <v>3.3534540576794099E-3</v>
      </c>
      <c r="D349" s="14">
        <f t="shared" si="11"/>
        <v>2.6063100137174094E-2</v>
      </c>
    </row>
    <row r="350" spans="1:4" x14ac:dyDescent="0.2">
      <c r="A350" s="61">
        <v>34973</v>
      </c>
      <c r="B350" s="68">
        <f>VLOOKUP(Table3[[#This Row],[Date]],Database!A:E,4,)</f>
        <v>150</v>
      </c>
      <c r="C350" s="14">
        <f t="shared" si="10"/>
        <v>2.6737967914438883E-3</v>
      </c>
      <c r="D350" s="14">
        <f t="shared" si="11"/>
        <v>2.8806584362139839E-2</v>
      </c>
    </row>
    <row r="351" spans="1:4" x14ac:dyDescent="0.2">
      <c r="A351" s="61">
        <v>35004</v>
      </c>
      <c r="B351" s="68">
        <f>VLOOKUP(Table3[[#This Row],[Date]],Database!A:E,4,)</f>
        <v>150</v>
      </c>
      <c r="C351" s="14">
        <f t="shared" si="10"/>
        <v>0</v>
      </c>
      <c r="D351" s="14">
        <f t="shared" si="11"/>
        <v>2.5991792065663554E-2</v>
      </c>
    </row>
    <row r="352" spans="1:4" x14ac:dyDescent="0.2">
      <c r="A352" s="61">
        <v>35034</v>
      </c>
      <c r="B352" s="68">
        <f>VLOOKUP(Table3[[#This Row],[Date]],Database!A:E,4,)</f>
        <v>150.30000000000001</v>
      </c>
      <c r="C352" s="14">
        <f t="shared" si="10"/>
        <v>2.0000000000000759E-3</v>
      </c>
      <c r="D352" s="14">
        <f t="shared" si="11"/>
        <v>2.1059782608695808E-2</v>
      </c>
    </row>
    <row r="353" spans="1:4" x14ac:dyDescent="0.2">
      <c r="A353" s="61">
        <v>35065</v>
      </c>
      <c r="B353" s="68">
        <f>VLOOKUP(Table3[[#This Row],[Date]],Database!A:E,4,)</f>
        <v>150.80000000000001</v>
      </c>
      <c r="C353" s="14">
        <f t="shared" si="10"/>
        <v>3.3266799733865601E-3</v>
      </c>
      <c r="D353" s="14">
        <f t="shared" si="11"/>
        <v>2.4456521739130592E-2</v>
      </c>
    </row>
    <row r="354" spans="1:4" x14ac:dyDescent="0.2">
      <c r="A354" s="61">
        <v>35096</v>
      </c>
      <c r="B354" s="68">
        <f>VLOOKUP(Table3[[#This Row],[Date]],Database!A:E,4,)</f>
        <v>151.19999999999999</v>
      </c>
      <c r="C354" s="14">
        <f t="shared" si="10"/>
        <v>2.6525198938990532E-3</v>
      </c>
      <c r="D354" s="14">
        <f t="shared" si="11"/>
        <v>2.3696682464454978E-2</v>
      </c>
    </row>
    <row r="355" spans="1:4" x14ac:dyDescent="0.2">
      <c r="A355" s="61">
        <v>35125</v>
      </c>
      <c r="B355" s="68">
        <f>VLOOKUP(Table3[[#This Row],[Date]],Database!A:E,4,)</f>
        <v>151.9</v>
      </c>
      <c r="C355" s="14">
        <f t="shared" si="10"/>
        <v>4.629629629629743E-3</v>
      </c>
      <c r="D355" s="14">
        <f t="shared" si="11"/>
        <v>2.9830508474576311E-2</v>
      </c>
    </row>
    <row r="356" spans="1:4" x14ac:dyDescent="0.2">
      <c r="A356" s="61">
        <v>35156</v>
      </c>
      <c r="B356" s="68">
        <f>VLOOKUP(Table3[[#This Row],[Date]],Database!A:E,4,)</f>
        <v>152.5</v>
      </c>
      <c r="C356" s="14">
        <f t="shared" si="10"/>
        <v>3.9499670836075987E-3</v>
      </c>
      <c r="D356" s="14">
        <f t="shared" si="11"/>
        <v>2.6936026936026935E-2</v>
      </c>
    </row>
    <row r="357" spans="1:4" x14ac:dyDescent="0.2">
      <c r="A357" s="61">
        <v>35186</v>
      </c>
      <c r="B357" s="68">
        <f>VLOOKUP(Table3[[#This Row],[Date]],Database!A:E,4,)</f>
        <v>152.4</v>
      </c>
      <c r="C357" s="14">
        <f t="shared" si="10"/>
        <v>-6.5573770491799549E-4</v>
      </c>
      <c r="D357" s="14">
        <f t="shared" si="11"/>
        <v>2.4882313382649748E-2</v>
      </c>
    </row>
    <row r="358" spans="1:4" x14ac:dyDescent="0.2">
      <c r="A358" s="61">
        <v>35217</v>
      </c>
      <c r="B358" s="68">
        <f>VLOOKUP(Table3[[#This Row],[Date]],Database!A:E,4,)</f>
        <v>153.30000000000001</v>
      </c>
      <c r="C358" s="14">
        <f t="shared" si="10"/>
        <v>5.9055118110236593E-3</v>
      </c>
      <c r="D358" s="14">
        <f t="shared" si="11"/>
        <v>3.0241935483870965E-2</v>
      </c>
    </row>
    <row r="359" spans="1:4" x14ac:dyDescent="0.2">
      <c r="A359" s="61">
        <v>35247</v>
      </c>
      <c r="B359" s="68">
        <f>VLOOKUP(Table3[[#This Row],[Date]],Database!A:E,4,)</f>
        <v>153.80000000000001</v>
      </c>
      <c r="C359" s="14">
        <f t="shared" si="10"/>
        <v>3.2615786040443573E-3</v>
      </c>
      <c r="D359" s="14">
        <f t="shared" si="11"/>
        <v>3.2214765100671214E-2</v>
      </c>
    </row>
    <row r="360" spans="1:4" x14ac:dyDescent="0.2">
      <c r="A360" s="61">
        <v>35278</v>
      </c>
      <c r="B360" s="68">
        <f>VLOOKUP(Table3[[#This Row],[Date]],Database!A:E,4,)</f>
        <v>154.30000000000001</v>
      </c>
      <c r="C360" s="14">
        <f t="shared" si="10"/>
        <v>3.2509752925877762E-3</v>
      </c>
      <c r="D360" s="14">
        <f t="shared" si="11"/>
        <v>3.4875922199865975E-2</v>
      </c>
    </row>
    <row r="361" spans="1:4" x14ac:dyDescent="0.2">
      <c r="A361" s="61">
        <v>35309</v>
      </c>
      <c r="B361" s="68">
        <f>VLOOKUP(Table3[[#This Row],[Date]],Database!A:E,4,)</f>
        <v>155</v>
      </c>
      <c r="C361" s="14">
        <f t="shared" si="10"/>
        <v>4.536616979909194E-3</v>
      </c>
      <c r="D361" s="14">
        <f t="shared" si="11"/>
        <v>3.6096256684492019E-2</v>
      </c>
    </row>
    <row r="362" spans="1:4" x14ac:dyDescent="0.2">
      <c r="A362" s="61">
        <v>35339</v>
      </c>
      <c r="B362" s="68">
        <f>VLOOKUP(Table3[[#This Row],[Date]],Database!A:E,4,)</f>
        <v>155.9</v>
      </c>
      <c r="C362" s="14">
        <f t="shared" si="10"/>
        <v>5.8064516129032627E-3</v>
      </c>
      <c r="D362" s="14">
        <f t="shared" si="11"/>
        <v>3.9333333333333373E-2</v>
      </c>
    </row>
    <row r="363" spans="1:4" x14ac:dyDescent="0.2">
      <c r="A363" s="61">
        <v>35370</v>
      </c>
      <c r="B363" s="68">
        <f>VLOOKUP(Table3[[#This Row],[Date]],Database!A:E,4,)</f>
        <v>156.4</v>
      </c>
      <c r="C363" s="14">
        <f t="shared" si="10"/>
        <v>3.2071840923669015E-3</v>
      </c>
      <c r="D363" s="14">
        <f t="shared" si="11"/>
        <v>4.2666666666666707E-2</v>
      </c>
    </row>
    <row r="364" spans="1:4" x14ac:dyDescent="0.2">
      <c r="A364" s="61">
        <v>35400</v>
      </c>
      <c r="B364" s="68">
        <f>VLOOKUP(Table3[[#This Row],[Date]],Database!A:E,4,)</f>
        <v>156.6</v>
      </c>
      <c r="C364" s="14">
        <f t="shared" si="10"/>
        <v>1.2787723785165513E-3</v>
      </c>
      <c r="D364" s="14">
        <f t="shared" si="11"/>
        <v>4.1916167664670545E-2</v>
      </c>
    </row>
    <row r="365" spans="1:4" x14ac:dyDescent="0.2">
      <c r="A365" s="61">
        <v>35431</v>
      </c>
      <c r="B365" s="68">
        <f>VLOOKUP(Table3[[#This Row],[Date]],Database!A:E,4,)</f>
        <v>156.30000000000001</v>
      </c>
      <c r="C365" s="14">
        <f t="shared" si="10"/>
        <v>-1.9157088122604277E-3</v>
      </c>
      <c r="D365" s="14">
        <f t="shared" si="11"/>
        <v>3.6472148541114052E-2</v>
      </c>
    </row>
    <row r="366" spans="1:4" x14ac:dyDescent="0.2">
      <c r="A366" s="61">
        <v>35462</v>
      </c>
      <c r="B366" s="68">
        <f>VLOOKUP(Table3[[#This Row],[Date]],Database!A:E,4,)</f>
        <v>156.9</v>
      </c>
      <c r="C366" s="14">
        <f t="shared" si="10"/>
        <v>3.8387715930901746E-3</v>
      </c>
      <c r="D366" s="14">
        <f t="shared" si="11"/>
        <v>3.7698412698412814E-2</v>
      </c>
    </row>
    <row r="367" spans="1:4" x14ac:dyDescent="0.2">
      <c r="A367" s="61">
        <v>35490</v>
      </c>
      <c r="B367" s="68">
        <f>VLOOKUP(Table3[[#This Row],[Date]],Database!A:E,4,)</f>
        <v>157</v>
      </c>
      <c r="C367" s="14">
        <f t="shared" si="10"/>
        <v>6.3734862970040991E-4</v>
      </c>
      <c r="D367" s="14">
        <f t="shared" si="11"/>
        <v>3.357472021066487E-2</v>
      </c>
    </row>
    <row r="368" spans="1:4" x14ac:dyDescent="0.2">
      <c r="A368" s="61">
        <v>35521</v>
      </c>
      <c r="B368" s="68">
        <f>VLOOKUP(Table3[[#This Row],[Date]],Database!A:E,4,)</f>
        <v>157</v>
      </c>
      <c r="C368" s="14">
        <f t="shared" si="10"/>
        <v>0</v>
      </c>
      <c r="D368" s="14">
        <f t="shared" si="11"/>
        <v>2.9508196721311476E-2</v>
      </c>
    </row>
    <row r="369" spans="1:4" x14ac:dyDescent="0.2">
      <c r="A369" s="61">
        <v>35551</v>
      </c>
      <c r="B369" s="68">
        <f>VLOOKUP(Table3[[#This Row],[Date]],Database!A:E,4,)</f>
        <v>157.1</v>
      </c>
      <c r="C369" s="14">
        <f t="shared" si="10"/>
        <v>6.3694267515919942E-4</v>
      </c>
      <c r="D369" s="14">
        <f t="shared" si="11"/>
        <v>3.0839895013123283E-2</v>
      </c>
    </row>
    <row r="370" spans="1:4" x14ac:dyDescent="0.2">
      <c r="A370" s="61">
        <v>35582</v>
      </c>
      <c r="B370" s="68">
        <f>VLOOKUP(Table3[[#This Row],[Date]],Database!A:E,4,)</f>
        <v>157.4</v>
      </c>
      <c r="C370" s="14">
        <f t="shared" si="10"/>
        <v>1.9096117122852411E-3</v>
      </c>
      <c r="D370" s="14">
        <f t="shared" si="11"/>
        <v>2.6744944553163692E-2</v>
      </c>
    </row>
    <row r="371" spans="1:4" x14ac:dyDescent="0.2">
      <c r="A371" s="61">
        <v>35612</v>
      </c>
      <c r="B371" s="68">
        <f>VLOOKUP(Table3[[#This Row],[Date]],Database!A:E,4,)</f>
        <v>157.69999999999999</v>
      </c>
      <c r="C371" s="14">
        <f t="shared" si="10"/>
        <v>1.9059720457432208E-3</v>
      </c>
      <c r="D371" s="14">
        <f t="shared" si="11"/>
        <v>2.5357607282184506E-2</v>
      </c>
    </row>
    <row r="372" spans="1:4" x14ac:dyDescent="0.2">
      <c r="A372" s="61">
        <v>35643</v>
      </c>
      <c r="B372" s="68">
        <f>VLOOKUP(Table3[[#This Row],[Date]],Database!A:E,4,)</f>
        <v>158.19999999999999</v>
      </c>
      <c r="C372" s="14">
        <f t="shared" si="10"/>
        <v>3.1705770450221942E-3</v>
      </c>
      <c r="D372" s="14">
        <f t="shared" si="11"/>
        <v>2.5275437459494343E-2</v>
      </c>
    </row>
    <row r="373" spans="1:4" x14ac:dyDescent="0.2">
      <c r="A373" s="61">
        <v>35674</v>
      </c>
      <c r="B373" s="68">
        <f>VLOOKUP(Table3[[#This Row],[Date]],Database!A:E,4,)</f>
        <v>158.4</v>
      </c>
      <c r="C373" s="14">
        <f t="shared" si="10"/>
        <v>1.2642225031606641E-3</v>
      </c>
      <c r="D373" s="14">
        <f t="shared" si="11"/>
        <v>2.1935483870967779E-2</v>
      </c>
    </row>
    <row r="374" spans="1:4" x14ac:dyDescent="0.2">
      <c r="A374" s="61">
        <v>35704</v>
      </c>
      <c r="B374" s="68">
        <f>VLOOKUP(Table3[[#This Row],[Date]],Database!A:E,4,)</f>
        <v>158.69999999999999</v>
      </c>
      <c r="C374" s="14">
        <f t="shared" si="10"/>
        <v>1.8939393939392862E-3</v>
      </c>
      <c r="D374" s="14">
        <f t="shared" si="11"/>
        <v>1.796023091725454E-2</v>
      </c>
    </row>
    <row r="375" spans="1:4" x14ac:dyDescent="0.2">
      <c r="A375" s="61">
        <v>35735</v>
      </c>
      <c r="B375" s="68">
        <f>VLOOKUP(Table3[[#This Row],[Date]],Database!A:E,4,)</f>
        <v>159</v>
      </c>
      <c r="C375" s="14">
        <f t="shared" si="10"/>
        <v>1.8903591682420378E-3</v>
      </c>
      <c r="D375" s="14">
        <f t="shared" si="11"/>
        <v>1.6624040920716076E-2</v>
      </c>
    </row>
    <row r="376" spans="1:4" x14ac:dyDescent="0.2">
      <c r="A376" s="61">
        <v>35765</v>
      </c>
      <c r="B376" s="68">
        <f>VLOOKUP(Table3[[#This Row],[Date]],Database!A:E,4,)</f>
        <v>159.19999999999999</v>
      </c>
      <c r="C376" s="14">
        <f t="shared" si="10"/>
        <v>1.2578616352200544E-3</v>
      </c>
      <c r="D376" s="14">
        <f t="shared" si="11"/>
        <v>1.6602809706257948E-2</v>
      </c>
    </row>
    <row r="377" spans="1:4" x14ac:dyDescent="0.2">
      <c r="A377" s="61">
        <v>35796</v>
      </c>
      <c r="B377" s="68">
        <f>VLOOKUP(Table3[[#This Row],[Date]],Database!A:E,4,)</f>
        <v>159.9</v>
      </c>
      <c r="C377" s="14">
        <f t="shared" si="10"/>
        <v>4.3969849246232231E-3</v>
      </c>
      <c r="D377" s="14">
        <f t="shared" si="11"/>
        <v>2.303262955854123E-2</v>
      </c>
    </row>
    <row r="378" spans="1:4" x14ac:dyDescent="0.2">
      <c r="A378" s="61">
        <v>35827</v>
      </c>
      <c r="B378" s="68">
        <f>VLOOKUP(Table3[[#This Row],[Date]],Database!A:E,4,)</f>
        <v>159.9</v>
      </c>
      <c r="C378" s="14">
        <f t="shared" si="10"/>
        <v>0</v>
      </c>
      <c r="D378" s="14">
        <f t="shared" si="11"/>
        <v>1.9120458891013385E-2</v>
      </c>
    </row>
    <row r="379" spans="1:4" x14ac:dyDescent="0.2">
      <c r="A379" s="61">
        <v>35855</v>
      </c>
      <c r="B379" s="68">
        <f>VLOOKUP(Table3[[#This Row],[Date]],Database!A:E,4,)</f>
        <v>160.1</v>
      </c>
      <c r="C379" s="14">
        <f t="shared" si="10"/>
        <v>1.2507817385865455E-3</v>
      </c>
      <c r="D379" s="14">
        <f t="shared" si="11"/>
        <v>1.974522292993627E-2</v>
      </c>
    </row>
    <row r="380" spans="1:4" x14ac:dyDescent="0.2">
      <c r="A380" s="61">
        <v>35886</v>
      </c>
      <c r="B380" s="68">
        <f>VLOOKUP(Table3[[#This Row],[Date]],Database!A:E,4,)</f>
        <v>160.19999999999999</v>
      </c>
      <c r="C380" s="14">
        <f t="shared" si="10"/>
        <v>6.2460961898809693E-4</v>
      </c>
      <c r="D380" s="14">
        <f t="shared" si="11"/>
        <v>2.0382165605095467E-2</v>
      </c>
    </row>
    <row r="381" spans="1:4" x14ac:dyDescent="0.2">
      <c r="A381" s="61">
        <v>35916</v>
      </c>
      <c r="B381" s="68">
        <f>VLOOKUP(Table3[[#This Row],[Date]],Database!A:E,4,)</f>
        <v>160.69999999999999</v>
      </c>
      <c r="C381" s="14">
        <f t="shared" si="10"/>
        <v>3.1210986267166045E-3</v>
      </c>
      <c r="D381" s="14">
        <f t="shared" si="11"/>
        <v>2.2915340547421989E-2</v>
      </c>
    </row>
    <row r="382" spans="1:4" x14ac:dyDescent="0.2">
      <c r="A382" s="61">
        <v>35947</v>
      </c>
      <c r="B382" s="68">
        <f>VLOOKUP(Table3[[#This Row],[Date]],Database!A:E,4,)</f>
        <v>160.6</v>
      </c>
      <c r="C382" s="14">
        <f t="shared" si="10"/>
        <v>-6.2227753578092296E-4</v>
      </c>
      <c r="D382" s="14">
        <f t="shared" si="11"/>
        <v>2.0330368487928772E-2</v>
      </c>
    </row>
    <row r="383" spans="1:4" x14ac:dyDescent="0.2">
      <c r="A383" s="61">
        <v>35977</v>
      </c>
      <c r="B383" s="68">
        <f>VLOOKUP(Table3[[#This Row],[Date]],Database!A:E,4,)</f>
        <v>161</v>
      </c>
      <c r="C383" s="14">
        <f t="shared" si="10"/>
        <v>2.4906600249066358E-3</v>
      </c>
      <c r="D383" s="14">
        <f t="shared" si="11"/>
        <v>2.0925808497146554E-2</v>
      </c>
    </row>
    <row r="384" spans="1:4" x14ac:dyDescent="0.2">
      <c r="A384" s="61">
        <v>36008</v>
      </c>
      <c r="B384" s="68">
        <f>VLOOKUP(Table3[[#This Row],[Date]],Database!A:E,4,)</f>
        <v>161.4</v>
      </c>
      <c r="C384" s="14">
        <f t="shared" si="10"/>
        <v>2.4844720496894762E-3</v>
      </c>
      <c r="D384" s="14">
        <f t="shared" si="11"/>
        <v>2.0227560050569009E-2</v>
      </c>
    </row>
    <row r="385" spans="1:4" x14ac:dyDescent="0.2">
      <c r="A385" s="61">
        <v>36039</v>
      </c>
      <c r="B385" s="68">
        <f>VLOOKUP(Table3[[#This Row],[Date]],Database!A:E,4,)</f>
        <v>161.5</v>
      </c>
      <c r="C385" s="14">
        <f t="shared" si="10"/>
        <v>6.195786864931494E-4</v>
      </c>
      <c r="D385" s="14">
        <f t="shared" si="11"/>
        <v>1.9570707070707034E-2</v>
      </c>
    </row>
    <row r="386" spans="1:4" x14ac:dyDescent="0.2">
      <c r="A386" s="61">
        <v>36069</v>
      </c>
      <c r="B386" s="68">
        <f>VLOOKUP(Table3[[#This Row],[Date]],Database!A:E,4,)</f>
        <v>162.4</v>
      </c>
      <c r="C386" s="14">
        <f t="shared" si="10"/>
        <v>5.5727554179566914E-3</v>
      </c>
      <c r="D386" s="14">
        <f t="shared" si="11"/>
        <v>2.3314429741651023E-2</v>
      </c>
    </row>
    <row r="387" spans="1:4" x14ac:dyDescent="0.2">
      <c r="A387" s="61">
        <v>36100</v>
      </c>
      <c r="B387" s="68">
        <f>VLOOKUP(Table3[[#This Row],[Date]],Database!A:E,4,)</f>
        <v>162.69999999999999</v>
      </c>
      <c r="C387" s="14">
        <f t="shared" si="10"/>
        <v>1.8472906403939836E-3</v>
      </c>
      <c r="D387" s="14">
        <f t="shared" si="11"/>
        <v>2.3270440251572256E-2</v>
      </c>
    </row>
    <row r="388" spans="1:4" x14ac:dyDescent="0.2">
      <c r="A388" s="61">
        <v>36130</v>
      </c>
      <c r="B388" s="68">
        <f>VLOOKUP(Table3[[#This Row],[Date]],Database!A:E,4,)</f>
        <v>162.80000000000001</v>
      </c>
      <c r="C388" s="14">
        <f t="shared" si="10"/>
        <v>6.146281499694084E-4</v>
      </c>
      <c r="D388" s="14">
        <f t="shared" si="11"/>
        <v>2.2613065326633309E-2</v>
      </c>
    </row>
    <row r="389" spans="1:4" x14ac:dyDescent="0.2">
      <c r="A389" s="61">
        <v>36161</v>
      </c>
      <c r="B389" s="68">
        <f>VLOOKUP(Table3[[#This Row],[Date]],Database!A:E,4,)</f>
        <v>163.4</v>
      </c>
      <c r="C389" s="14">
        <f t="shared" si="10"/>
        <v>3.6855036855036505E-3</v>
      </c>
      <c r="D389" s="14">
        <f t="shared" si="11"/>
        <v>2.1888680425265792E-2</v>
      </c>
    </row>
    <row r="390" spans="1:4" x14ac:dyDescent="0.2">
      <c r="A390" s="61">
        <v>36192</v>
      </c>
      <c r="B390" s="68">
        <f>VLOOKUP(Table3[[#This Row],[Date]],Database!A:E,4,)</f>
        <v>163.80000000000001</v>
      </c>
      <c r="C390" s="14">
        <f t="shared" ref="C390:C453" si="12">(B390-B389)/B389</f>
        <v>2.4479804161567057E-3</v>
      </c>
      <c r="D390" s="14">
        <f t="shared" si="11"/>
        <v>2.439024390243906E-2</v>
      </c>
    </row>
    <row r="391" spans="1:4" x14ac:dyDescent="0.2">
      <c r="A391" s="61">
        <v>36220</v>
      </c>
      <c r="B391" s="68">
        <f>VLOOKUP(Table3[[#This Row],[Date]],Database!A:E,4,)</f>
        <v>163.69999999999999</v>
      </c>
      <c r="C391" s="14">
        <f t="shared" si="12"/>
        <v>-6.1050061050074928E-4</v>
      </c>
      <c r="D391" s="14">
        <f t="shared" si="11"/>
        <v>2.2485946283572731E-2</v>
      </c>
    </row>
    <row r="392" spans="1:4" x14ac:dyDescent="0.2">
      <c r="A392" s="61">
        <v>36251</v>
      </c>
      <c r="B392" s="68">
        <f>VLOOKUP(Table3[[#This Row],[Date]],Database!A:E,4,)</f>
        <v>163.9</v>
      </c>
      <c r="C392" s="14">
        <f t="shared" si="12"/>
        <v>1.2217470983507458E-3</v>
      </c>
      <c r="D392" s="14">
        <f t="shared" si="11"/>
        <v>2.309612983770298E-2</v>
      </c>
    </row>
    <row r="393" spans="1:4" x14ac:dyDescent="0.2">
      <c r="A393" s="61">
        <v>36281</v>
      </c>
      <c r="B393" s="68">
        <f>VLOOKUP(Table3[[#This Row],[Date]],Database!A:E,4,)</f>
        <v>164.2</v>
      </c>
      <c r="C393" s="14">
        <f t="shared" si="12"/>
        <v>1.8303843807198471E-3</v>
      </c>
      <c r="D393" s="14">
        <f t="shared" si="11"/>
        <v>2.1779713752333542E-2</v>
      </c>
    </row>
    <row r="394" spans="1:4" x14ac:dyDescent="0.2">
      <c r="A394" s="61">
        <v>36312</v>
      </c>
      <c r="B394" s="68">
        <f>VLOOKUP(Table3[[#This Row],[Date]],Database!A:E,4,)</f>
        <v>164.1</v>
      </c>
      <c r="C394" s="14">
        <f t="shared" si="12"/>
        <v>-6.0901339829472787E-4</v>
      </c>
      <c r="D394" s="14">
        <f t="shared" si="11"/>
        <v>2.1793275217932753E-2</v>
      </c>
    </row>
    <row r="395" spans="1:4" x14ac:dyDescent="0.2">
      <c r="A395" s="61">
        <v>36342</v>
      </c>
      <c r="B395" s="68">
        <f>VLOOKUP(Table3[[#This Row],[Date]],Database!A:E,4,)</f>
        <v>164.4</v>
      </c>
      <c r="C395" s="14">
        <f t="shared" si="12"/>
        <v>1.8281535648995209E-3</v>
      </c>
      <c r="D395" s="14">
        <f t="shared" si="11"/>
        <v>2.1118012422360284E-2</v>
      </c>
    </row>
    <row r="396" spans="1:4" x14ac:dyDescent="0.2">
      <c r="A396" s="61">
        <v>36373</v>
      </c>
      <c r="B396" s="68">
        <f>VLOOKUP(Table3[[#This Row],[Date]],Database!A:E,4,)</f>
        <v>164.7</v>
      </c>
      <c r="C396" s="14">
        <f t="shared" si="12"/>
        <v>1.8248175182480715E-3</v>
      </c>
      <c r="D396" s="14">
        <f t="shared" si="11"/>
        <v>2.0446096654274985E-2</v>
      </c>
    </row>
    <row r="397" spans="1:4" x14ac:dyDescent="0.2">
      <c r="A397" s="61">
        <v>36404</v>
      </c>
      <c r="B397" s="68">
        <f>VLOOKUP(Table3[[#This Row],[Date]],Database!A:E,4,)</f>
        <v>165.1</v>
      </c>
      <c r="C397" s="14">
        <f t="shared" si="12"/>
        <v>2.4286581663631192E-3</v>
      </c>
      <c r="D397" s="14">
        <f t="shared" si="11"/>
        <v>2.2291021671826589E-2</v>
      </c>
    </row>
    <row r="398" spans="1:4" x14ac:dyDescent="0.2">
      <c r="A398" s="61">
        <v>36434</v>
      </c>
      <c r="B398" s="68">
        <f>VLOOKUP(Table3[[#This Row],[Date]],Database!A:E,4,)</f>
        <v>165.5</v>
      </c>
      <c r="C398" s="14">
        <f t="shared" si="12"/>
        <v>2.422774076317418E-3</v>
      </c>
      <c r="D398" s="14">
        <f t="shared" si="11"/>
        <v>1.9088669950738879E-2</v>
      </c>
    </row>
    <row r="399" spans="1:4" x14ac:dyDescent="0.2">
      <c r="A399" s="61">
        <v>36465</v>
      </c>
      <c r="B399" s="68">
        <f>VLOOKUP(Table3[[#This Row],[Date]],Database!A:E,4,)</f>
        <v>165.8</v>
      </c>
      <c r="C399" s="14">
        <f t="shared" si="12"/>
        <v>1.8126888217523346E-3</v>
      </c>
      <c r="D399" s="14">
        <f t="shared" si="11"/>
        <v>1.9053472649047467E-2</v>
      </c>
    </row>
    <row r="400" spans="1:4" x14ac:dyDescent="0.2">
      <c r="A400" s="61">
        <v>36495</v>
      </c>
      <c r="B400" s="68">
        <f>VLOOKUP(Table3[[#This Row],[Date]],Database!A:E,4,)</f>
        <v>166</v>
      </c>
      <c r="C400" s="14">
        <f t="shared" si="12"/>
        <v>1.2062726176115116E-3</v>
      </c>
      <c r="D400" s="14">
        <f t="shared" si="11"/>
        <v>1.9656019656019586E-2</v>
      </c>
    </row>
    <row r="401" spans="1:4" x14ac:dyDescent="0.2">
      <c r="A401" s="61">
        <v>36526</v>
      </c>
      <c r="B401" s="68">
        <f>VLOOKUP(Table3[[#This Row],[Date]],Database!A:E,4,)</f>
        <v>166.1</v>
      </c>
      <c r="C401" s="14">
        <f t="shared" si="12"/>
        <v>6.0240963855418266E-4</v>
      </c>
      <c r="D401" s="14">
        <f t="shared" ref="D401:D464" si="13">(B401-B389)/B389</f>
        <v>1.6523867809057458E-2</v>
      </c>
    </row>
    <row r="402" spans="1:4" x14ac:dyDescent="0.2">
      <c r="A402" s="61">
        <v>36557</v>
      </c>
      <c r="B402" s="68">
        <f>VLOOKUP(Table3[[#This Row],[Date]],Database!A:E,4,)</f>
        <v>166.7</v>
      </c>
      <c r="C402" s="14">
        <f t="shared" si="12"/>
        <v>3.612281757977088E-3</v>
      </c>
      <c r="D402" s="14">
        <f t="shared" si="13"/>
        <v>1.7704517704517565E-2</v>
      </c>
    </row>
    <row r="403" spans="1:4" x14ac:dyDescent="0.2">
      <c r="A403" s="61">
        <v>36586</v>
      </c>
      <c r="B403" s="68">
        <f>VLOOKUP(Table3[[#This Row],[Date]],Database!A:E,4,)</f>
        <v>167.1</v>
      </c>
      <c r="C403" s="14">
        <f t="shared" si="12"/>
        <v>2.3995200959808379E-3</v>
      </c>
      <c r="D403" s="14">
        <f t="shared" si="13"/>
        <v>2.076970067196094E-2</v>
      </c>
    </row>
    <row r="404" spans="1:4" x14ac:dyDescent="0.2">
      <c r="A404" s="61">
        <v>36617</v>
      </c>
      <c r="B404" s="68">
        <f>VLOOKUP(Table3[[#This Row],[Date]],Database!A:E,4,)</f>
        <v>167.2</v>
      </c>
      <c r="C404" s="14">
        <f t="shared" si="12"/>
        <v>5.9844404548171351E-4</v>
      </c>
      <c r="D404" s="14">
        <f t="shared" si="13"/>
        <v>2.0134228187919358E-2</v>
      </c>
    </row>
    <row r="405" spans="1:4" x14ac:dyDescent="0.2">
      <c r="A405" s="61">
        <v>36647</v>
      </c>
      <c r="B405" s="68">
        <f>VLOOKUP(Table3[[#This Row],[Date]],Database!A:E,4,)</f>
        <v>167.8</v>
      </c>
      <c r="C405" s="14">
        <f t="shared" si="12"/>
        <v>3.5885167464116195E-3</v>
      </c>
      <c r="D405" s="14">
        <f t="shared" si="13"/>
        <v>2.1924482338611589E-2</v>
      </c>
    </row>
    <row r="406" spans="1:4" x14ac:dyDescent="0.2">
      <c r="A406" s="61">
        <v>36678</v>
      </c>
      <c r="B406" s="68">
        <f>VLOOKUP(Table3[[#This Row],[Date]],Database!A:E,4,)</f>
        <v>168</v>
      </c>
      <c r="C406" s="14">
        <f t="shared" si="12"/>
        <v>1.1918951132299678E-3</v>
      </c>
      <c r="D406" s="14">
        <f t="shared" si="13"/>
        <v>2.3765996343692905E-2</v>
      </c>
    </row>
    <row r="407" spans="1:4" x14ac:dyDescent="0.2">
      <c r="A407" s="61">
        <v>36708</v>
      </c>
      <c r="B407" s="68">
        <f>VLOOKUP(Table3[[#This Row],[Date]],Database!A:E,4,)</f>
        <v>168.8</v>
      </c>
      <c r="C407" s="14">
        <f t="shared" si="12"/>
        <v>4.76190476190483E-3</v>
      </c>
      <c r="D407" s="14">
        <f t="shared" si="13"/>
        <v>2.6763990267639936E-2</v>
      </c>
    </row>
    <row r="408" spans="1:4" x14ac:dyDescent="0.2">
      <c r="A408" s="61">
        <v>36739</v>
      </c>
      <c r="B408" s="68">
        <f>VLOOKUP(Table3[[#This Row],[Date]],Database!A:E,4,)</f>
        <v>169.3</v>
      </c>
      <c r="C408" s="14">
        <f t="shared" si="12"/>
        <v>2.9620853080568718E-3</v>
      </c>
      <c r="D408" s="14">
        <f t="shared" si="13"/>
        <v>2.792956891317561E-2</v>
      </c>
    </row>
    <row r="409" spans="1:4" x14ac:dyDescent="0.2">
      <c r="A409" s="61">
        <v>36770</v>
      </c>
      <c r="B409" s="68">
        <f>VLOOKUP(Table3[[#This Row],[Date]],Database!A:E,4,)</f>
        <v>169.4</v>
      </c>
      <c r="C409" s="14">
        <f t="shared" si="12"/>
        <v>5.9066745422323868E-4</v>
      </c>
      <c r="D409" s="14">
        <f t="shared" si="13"/>
        <v>2.6044821320411943E-2</v>
      </c>
    </row>
    <row r="410" spans="1:4" x14ac:dyDescent="0.2">
      <c r="A410" s="61">
        <v>36800</v>
      </c>
      <c r="B410" s="68">
        <f>VLOOKUP(Table3[[#This Row],[Date]],Database!A:E,4,)</f>
        <v>169.6</v>
      </c>
      <c r="C410" s="14">
        <f t="shared" si="12"/>
        <v>1.1806375442738408E-3</v>
      </c>
      <c r="D410" s="14">
        <f t="shared" si="13"/>
        <v>2.4773413897280931E-2</v>
      </c>
    </row>
    <row r="411" spans="1:4" x14ac:dyDescent="0.2">
      <c r="A411" s="61">
        <v>36831</v>
      </c>
      <c r="B411" s="68">
        <f>VLOOKUP(Table3[[#This Row],[Date]],Database!A:E,4,)</f>
        <v>169.7</v>
      </c>
      <c r="C411" s="14">
        <f t="shared" si="12"/>
        <v>5.8962264150940044E-4</v>
      </c>
      <c r="D411" s="14">
        <f t="shared" si="13"/>
        <v>2.3522316043425674E-2</v>
      </c>
    </row>
    <row r="412" spans="1:4" x14ac:dyDescent="0.2">
      <c r="A412" s="61">
        <v>36861</v>
      </c>
      <c r="B412" s="68">
        <f>VLOOKUP(Table3[[#This Row],[Date]],Database!A:E,4,)</f>
        <v>170.5</v>
      </c>
      <c r="C412" s="14">
        <f t="shared" si="12"/>
        <v>4.7142015321155655E-3</v>
      </c>
      <c r="D412" s="14">
        <f t="shared" si="13"/>
        <v>2.710843373493976E-2</v>
      </c>
    </row>
    <row r="413" spans="1:4" x14ac:dyDescent="0.2">
      <c r="A413" s="61">
        <v>36892</v>
      </c>
      <c r="B413" s="68">
        <f>VLOOKUP(Table3[[#This Row],[Date]],Database!A:E,4,)</f>
        <v>170.9</v>
      </c>
      <c r="C413" s="14">
        <f t="shared" si="12"/>
        <v>2.3460410557185085E-3</v>
      </c>
      <c r="D413" s="14">
        <f t="shared" si="13"/>
        <v>2.8898254063817047E-2</v>
      </c>
    </row>
    <row r="414" spans="1:4" x14ac:dyDescent="0.2">
      <c r="A414" s="61">
        <v>36923</v>
      </c>
      <c r="B414" s="68">
        <f>VLOOKUP(Table3[[#This Row],[Date]],Database!A:E,4,)</f>
        <v>171.7</v>
      </c>
      <c r="C414" s="14">
        <f t="shared" si="12"/>
        <v>4.6811000585136511E-3</v>
      </c>
      <c r="D414" s="14">
        <f t="shared" si="13"/>
        <v>2.9994001199760052E-2</v>
      </c>
    </row>
    <row r="415" spans="1:4" x14ac:dyDescent="0.2">
      <c r="A415" s="61">
        <v>36951</v>
      </c>
      <c r="B415" s="68">
        <f>VLOOKUP(Table3[[#This Row],[Date]],Database!A:E,4,)</f>
        <v>172.2</v>
      </c>
      <c r="C415" s="14">
        <f t="shared" si="12"/>
        <v>2.9120559114735006E-3</v>
      </c>
      <c r="D415" s="14">
        <f t="shared" si="13"/>
        <v>3.0520646319569088E-2</v>
      </c>
    </row>
    <row r="416" spans="1:4" x14ac:dyDescent="0.2">
      <c r="A416" s="61">
        <v>36982</v>
      </c>
      <c r="B416" s="68">
        <f>VLOOKUP(Table3[[#This Row],[Date]],Database!A:E,4,)</f>
        <v>172.6</v>
      </c>
      <c r="C416" s="14">
        <f t="shared" si="12"/>
        <v>2.3228803716608924E-3</v>
      </c>
      <c r="D416" s="14">
        <f t="shared" si="13"/>
        <v>3.2296650717703386E-2</v>
      </c>
    </row>
    <row r="417" spans="1:4" x14ac:dyDescent="0.2">
      <c r="A417" s="61">
        <v>37012</v>
      </c>
      <c r="B417" s="68">
        <f>VLOOKUP(Table3[[#This Row],[Date]],Database!A:E,4,)</f>
        <v>172.9</v>
      </c>
      <c r="C417" s="14">
        <f t="shared" si="12"/>
        <v>1.7381228273465317E-3</v>
      </c>
      <c r="D417" s="14">
        <f t="shared" si="13"/>
        <v>3.0393325387365874E-2</v>
      </c>
    </row>
    <row r="418" spans="1:4" x14ac:dyDescent="0.2">
      <c r="A418" s="61">
        <v>37043</v>
      </c>
      <c r="B418" s="68">
        <f>VLOOKUP(Table3[[#This Row],[Date]],Database!A:E,4,)</f>
        <v>173.5</v>
      </c>
      <c r="C418" s="14">
        <f t="shared" si="12"/>
        <v>3.470213996529753E-3</v>
      </c>
      <c r="D418" s="14">
        <f t="shared" si="13"/>
        <v>3.273809523809524E-2</v>
      </c>
    </row>
    <row r="419" spans="1:4" x14ac:dyDescent="0.2">
      <c r="A419" s="61">
        <v>37073</v>
      </c>
      <c r="B419" s="68">
        <f>VLOOKUP(Table3[[#This Row],[Date]],Database!A:E,4,)</f>
        <v>174.1</v>
      </c>
      <c r="C419" s="14">
        <f t="shared" si="12"/>
        <v>3.4582132564841173E-3</v>
      </c>
      <c r="D419" s="14">
        <f t="shared" si="13"/>
        <v>3.1398104265402738E-2</v>
      </c>
    </row>
    <row r="420" spans="1:4" x14ac:dyDescent="0.2">
      <c r="A420" s="61">
        <v>37104</v>
      </c>
      <c r="B420" s="68">
        <f>VLOOKUP(Table3[[#This Row],[Date]],Database!A:E,4,)</f>
        <v>174.5</v>
      </c>
      <c r="C420" s="14">
        <f t="shared" si="12"/>
        <v>2.297530155083318E-3</v>
      </c>
      <c r="D420" s="14">
        <f t="shared" si="13"/>
        <v>3.071470761961009E-2</v>
      </c>
    </row>
    <row r="421" spans="1:4" x14ac:dyDescent="0.2">
      <c r="A421" s="61">
        <v>37135</v>
      </c>
      <c r="B421" s="68">
        <f>VLOOKUP(Table3[[#This Row],[Date]],Database!A:E,4,)</f>
        <v>174.7</v>
      </c>
      <c r="C421" s="14">
        <f t="shared" si="12"/>
        <v>1.146131805157528E-3</v>
      </c>
      <c r="D421" s="14">
        <f t="shared" si="13"/>
        <v>3.1286894923258458E-2</v>
      </c>
    </row>
    <row r="422" spans="1:4" x14ac:dyDescent="0.2">
      <c r="A422" s="61">
        <v>37165</v>
      </c>
      <c r="B422" s="68">
        <f>VLOOKUP(Table3[[#This Row],[Date]],Database!A:E,4,)</f>
        <v>175.3</v>
      </c>
      <c r="C422" s="14">
        <f t="shared" si="12"/>
        <v>3.4344590726961806E-3</v>
      </c>
      <c r="D422" s="14">
        <f t="shared" si="13"/>
        <v>3.3608490566037839E-2</v>
      </c>
    </row>
    <row r="423" spans="1:4" x14ac:dyDescent="0.2">
      <c r="A423" s="61">
        <v>37196</v>
      </c>
      <c r="B423" s="68">
        <f>VLOOKUP(Table3[[#This Row],[Date]],Database!A:E,4,)</f>
        <v>175.4</v>
      </c>
      <c r="C423" s="14">
        <f t="shared" si="12"/>
        <v>5.7045065601822197E-4</v>
      </c>
      <c r="D423" s="14">
        <f t="shared" si="13"/>
        <v>3.3588685916323024E-2</v>
      </c>
    </row>
    <row r="424" spans="1:4" x14ac:dyDescent="0.2">
      <c r="A424" s="61">
        <v>37226</v>
      </c>
      <c r="B424" s="68">
        <f>VLOOKUP(Table3[[#This Row],[Date]],Database!A:E,4,)</f>
        <v>175.2</v>
      </c>
      <c r="C424" s="14">
        <f t="shared" si="12"/>
        <v>-1.1402508551882386E-3</v>
      </c>
      <c r="D424" s="14">
        <f t="shared" si="13"/>
        <v>2.7565982404692015E-2</v>
      </c>
    </row>
    <row r="425" spans="1:4" x14ac:dyDescent="0.2">
      <c r="A425" s="61">
        <v>37257</v>
      </c>
      <c r="B425" s="68">
        <f>VLOOKUP(Table3[[#This Row],[Date]],Database!A:E,4,)</f>
        <v>175.8</v>
      </c>
      <c r="C425" s="14">
        <f t="shared" si="12"/>
        <v>3.4246575342467053E-3</v>
      </c>
      <c r="D425" s="14">
        <f t="shared" si="13"/>
        <v>2.8671737858396756E-2</v>
      </c>
    </row>
    <row r="426" spans="1:4" x14ac:dyDescent="0.2">
      <c r="A426" s="61">
        <v>37288</v>
      </c>
      <c r="B426" s="68">
        <f>VLOOKUP(Table3[[#This Row],[Date]],Database!A:E,4,)</f>
        <v>176.2</v>
      </c>
      <c r="C426" s="14">
        <f t="shared" si="12"/>
        <v>2.2753128555175043E-3</v>
      </c>
      <c r="D426" s="14">
        <f t="shared" si="13"/>
        <v>2.6208503203261506E-2</v>
      </c>
    </row>
    <row r="427" spans="1:4" x14ac:dyDescent="0.2">
      <c r="A427" s="61">
        <v>37316</v>
      </c>
      <c r="B427" s="68">
        <f>VLOOKUP(Table3[[#This Row],[Date]],Database!A:E,4,)</f>
        <v>176.6</v>
      </c>
      <c r="C427" s="14">
        <f t="shared" si="12"/>
        <v>2.2701475595914059E-3</v>
      </c>
      <c r="D427" s="14">
        <f t="shared" si="13"/>
        <v>2.5551684088269491E-2</v>
      </c>
    </row>
    <row r="428" spans="1:4" x14ac:dyDescent="0.2">
      <c r="A428" s="61">
        <v>37347</v>
      </c>
      <c r="B428" s="68">
        <f>VLOOKUP(Table3[[#This Row],[Date]],Database!A:E,4,)</f>
        <v>176.9</v>
      </c>
      <c r="C428" s="14">
        <f t="shared" si="12"/>
        <v>1.6987542468856816E-3</v>
      </c>
      <c r="D428" s="14">
        <f t="shared" si="13"/>
        <v>2.4913093858632742E-2</v>
      </c>
    </row>
    <row r="429" spans="1:4" x14ac:dyDescent="0.2">
      <c r="A429" s="61">
        <v>37377</v>
      </c>
      <c r="B429" s="68">
        <f>VLOOKUP(Table3[[#This Row],[Date]],Database!A:E,4,)</f>
        <v>176.4</v>
      </c>
      <c r="C429" s="14">
        <f t="shared" si="12"/>
        <v>-2.8264556246466932E-3</v>
      </c>
      <c r="D429" s="14">
        <f t="shared" si="13"/>
        <v>2.0242914979757085E-2</v>
      </c>
    </row>
    <row r="430" spans="1:4" x14ac:dyDescent="0.2">
      <c r="A430" s="61">
        <v>37408</v>
      </c>
      <c r="B430" s="68">
        <f>VLOOKUP(Table3[[#This Row],[Date]],Database!A:E,4,)</f>
        <v>176.5</v>
      </c>
      <c r="C430" s="14">
        <f t="shared" si="12"/>
        <v>5.6689342403624888E-4</v>
      </c>
      <c r="D430" s="14">
        <f t="shared" si="13"/>
        <v>1.7291066282420751E-2</v>
      </c>
    </row>
    <row r="431" spans="1:4" x14ac:dyDescent="0.2">
      <c r="A431" s="61">
        <v>37438</v>
      </c>
      <c r="B431" s="68">
        <f>VLOOKUP(Table3[[#This Row],[Date]],Database!A:E,4,)</f>
        <v>176.7</v>
      </c>
      <c r="C431" s="14">
        <f t="shared" si="12"/>
        <v>1.1331444759206154E-3</v>
      </c>
      <c r="D431" s="14">
        <f t="shared" si="13"/>
        <v>1.4933946008041323E-2</v>
      </c>
    </row>
    <row r="432" spans="1:4" x14ac:dyDescent="0.2">
      <c r="A432" s="61">
        <v>37469</v>
      </c>
      <c r="B432" s="68">
        <f>VLOOKUP(Table3[[#This Row],[Date]],Database!A:E,4,)</f>
        <v>176.7</v>
      </c>
      <c r="C432" s="14">
        <f t="shared" si="12"/>
        <v>0</v>
      </c>
      <c r="D432" s="14">
        <f t="shared" si="13"/>
        <v>1.260744985673346E-2</v>
      </c>
    </row>
    <row r="433" spans="1:4" x14ac:dyDescent="0.2">
      <c r="A433" s="61">
        <v>37500</v>
      </c>
      <c r="B433" s="68">
        <f>VLOOKUP(Table3[[#This Row],[Date]],Database!A:E,4,)</f>
        <v>177</v>
      </c>
      <c r="C433" s="14">
        <f t="shared" si="12"/>
        <v>1.6977928692700134E-3</v>
      </c>
      <c r="D433" s="14">
        <f t="shared" si="13"/>
        <v>1.3165426445334926E-2</v>
      </c>
    </row>
    <row r="434" spans="1:4" x14ac:dyDescent="0.2">
      <c r="A434" s="61">
        <v>37530</v>
      </c>
      <c r="B434" s="68">
        <f>VLOOKUP(Table3[[#This Row],[Date]],Database!A:E,4,)</f>
        <v>177</v>
      </c>
      <c r="C434" s="14">
        <f t="shared" si="12"/>
        <v>0</v>
      </c>
      <c r="D434" s="14">
        <f t="shared" si="13"/>
        <v>9.6976611523102597E-3</v>
      </c>
    </row>
    <row r="435" spans="1:4" x14ac:dyDescent="0.2">
      <c r="A435" s="61">
        <v>37561</v>
      </c>
      <c r="B435" s="68">
        <f>VLOOKUP(Table3[[#This Row],[Date]],Database!A:E,4,)</f>
        <v>177.5</v>
      </c>
      <c r="C435" s="14">
        <f t="shared" si="12"/>
        <v>2.8248587570621469E-3</v>
      </c>
      <c r="D435" s="14">
        <f t="shared" si="13"/>
        <v>1.1972633979475452E-2</v>
      </c>
    </row>
    <row r="436" spans="1:4" x14ac:dyDescent="0.2">
      <c r="A436" s="61">
        <v>37591</v>
      </c>
      <c r="B436" s="68">
        <f>VLOOKUP(Table3[[#This Row],[Date]],Database!A:E,4,)</f>
        <v>177.7</v>
      </c>
      <c r="C436" s="14">
        <f t="shared" si="12"/>
        <v>1.1267605633802176E-3</v>
      </c>
      <c r="D436" s="14">
        <f t="shared" si="13"/>
        <v>1.4269406392694065E-2</v>
      </c>
    </row>
    <row r="437" spans="1:4" x14ac:dyDescent="0.2">
      <c r="A437" s="61">
        <v>37622</v>
      </c>
      <c r="B437" s="68">
        <f>VLOOKUP(Table3[[#This Row],[Date]],Database!A:E,4,)</f>
        <v>177.7</v>
      </c>
      <c r="C437" s="14">
        <f t="shared" si="12"/>
        <v>0</v>
      </c>
      <c r="D437" s="14">
        <f t="shared" si="13"/>
        <v>1.080773606370863E-2</v>
      </c>
    </row>
    <row r="438" spans="1:4" x14ac:dyDescent="0.2">
      <c r="A438" s="61">
        <v>37653</v>
      </c>
      <c r="B438" s="68">
        <f>VLOOKUP(Table3[[#This Row],[Date]],Database!A:E,4,)</f>
        <v>178.7</v>
      </c>
      <c r="C438" s="14">
        <f t="shared" si="12"/>
        <v>5.6274620146314017E-3</v>
      </c>
      <c r="D438" s="14">
        <f t="shared" si="13"/>
        <v>1.4188422247446085E-2</v>
      </c>
    </row>
    <row r="439" spans="1:4" x14ac:dyDescent="0.2">
      <c r="A439" s="61">
        <v>37681</v>
      </c>
      <c r="B439" s="68">
        <f>VLOOKUP(Table3[[#This Row],[Date]],Database!A:E,4,)</f>
        <v>179</v>
      </c>
      <c r="C439" s="14">
        <f t="shared" si="12"/>
        <v>1.6787912702854583E-3</v>
      </c>
      <c r="D439" s="14">
        <f t="shared" si="13"/>
        <v>1.3590033975084971E-2</v>
      </c>
    </row>
    <row r="440" spans="1:4" x14ac:dyDescent="0.2">
      <c r="A440" s="61">
        <v>37712</v>
      </c>
      <c r="B440" s="68">
        <f>VLOOKUP(Table3[[#This Row],[Date]],Database!A:E,4,)</f>
        <v>179.1</v>
      </c>
      <c r="C440" s="14">
        <f t="shared" si="12"/>
        <v>5.5865921787706327E-4</v>
      </c>
      <c r="D440" s="14">
        <f t="shared" si="13"/>
        <v>1.2436404748445385E-2</v>
      </c>
    </row>
    <row r="441" spans="1:4" x14ac:dyDescent="0.2">
      <c r="A441" s="61">
        <v>37742</v>
      </c>
      <c r="B441" s="68">
        <f>VLOOKUP(Table3[[#This Row],[Date]],Database!A:E,4,)</f>
        <v>179.4</v>
      </c>
      <c r="C441" s="14">
        <f t="shared" si="12"/>
        <v>1.6750418760469647E-3</v>
      </c>
      <c r="D441" s="14">
        <f t="shared" si="13"/>
        <v>1.7006802721088433E-2</v>
      </c>
    </row>
    <row r="442" spans="1:4" x14ac:dyDescent="0.2">
      <c r="A442" s="61">
        <v>37773</v>
      </c>
      <c r="B442" s="68">
        <f>VLOOKUP(Table3[[#This Row],[Date]],Database!A:E,4,)</f>
        <v>180.3</v>
      </c>
      <c r="C442" s="14">
        <f t="shared" si="12"/>
        <v>5.0167224080267872E-3</v>
      </c>
      <c r="D442" s="14">
        <f t="shared" si="13"/>
        <v>2.1529745042492981E-2</v>
      </c>
    </row>
    <row r="443" spans="1:4" x14ac:dyDescent="0.2">
      <c r="A443" s="61">
        <v>37803</v>
      </c>
      <c r="B443" s="68">
        <f>VLOOKUP(Table3[[#This Row],[Date]],Database!A:E,4,)</f>
        <v>180.4</v>
      </c>
      <c r="C443" s="14">
        <f t="shared" si="12"/>
        <v>5.5463117027173766E-4</v>
      </c>
      <c r="D443" s="14">
        <f t="shared" si="13"/>
        <v>2.0939445387662802E-2</v>
      </c>
    </row>
    <row r="444" spans="1:4" x14ac:dyDescent="0.2">
      <c r="A444" s="61">
        <v>37834</v>
      </c>
      <c r="B444" s="68">
        <f>VLOOKUP(Table3[[#This Row],[Date]],Database!A:E,4,)</f>
        <v>181.1</v>
      </c>
      <c r="C444" s="14">
        <f t="shared" si="12"/>
        <v>3.8802660753879635E-3</v>
      </c>
      <c r="D444" s="14">
        <f t="shared" si="13"/>
        <v>2.4900962082625953E-2</v>
      </c>
    </row>
    <row r="445" spans="1:4" x14ac:dyDescent="0.2">
      <c r="A445" s="61">
        <v>37865</v>
      </c>
      <c r="B445" s="68">
        <f>VLOOKUP(Table3[[#This Row],[Date]],Database!A:E,4,)</f>
        <v>181.5</v>
      </c>
      <c r="C445" s="14">
        <f t="shared" si="12"/>
        <v>2.2087244616234439E-3</v>
      </c>
      <c r="D445" s="14">
        <f t="shared" si="13"/>
        <v>2.5423728813559324E-2</v>
      </c>
    </row>
    <row r="446" spans="1:4" x14ac:dyDescent="0.2">
      <c r="A446" s="61">
        <v>37895</v>
      </c>
      <c r="B446" s="68">
        <f>VLOOKUP(Table3[[#This Row],[Date]],Database!A:E,4,)</f>
        <v>182.2</v>
      </c>
      <c r="C446" s="14">
        <f t="shared" si="12"/>
        <v>3.8567493112947032E-3</v>
      </c>
      <c r="D446" s="14">
        <f t="shared" si="13"/>
        <v>2.9378531073446262E-2</v>
      </c>
    </row>
    <row r="447" spans="1:4" x14ac:dyDescent="0.2">
      <c r="A447" s="61">
        <v>37926</v>
      </c>
      <c r="B447" s="68">
        <f>VLOOKUP(Table3[[#This Row],[Date]],Database!A:E,4,)</f>
        <v>183.1</v>
      </c>
      <c r="C447" s="14">
        <f t="shared" si="12"/>
        <v>4.9396267837541474E-3</v>
      </c>
      <c r="D447" s="14">
        <f t="shared" si="13"/>
        <v>3.1549295774647858E-2</v>
      </c>
    </row>
    <row r="448" spans="1:4" x14ac:dyDescent="0.2">
      <c r="A448" s="61">
        <v>37956</v>
      </c>
      <c r="B448" s="68">
        <f>VLOOKUP(Table3[[#This Row],[Date]],Database!A:E,4,)</f>
        <v>184</v>
      </c>
      <c r="C448" s="14">
        <f t="shared" si="12"/>
        <v>4.9153468050246079E-3</v>
      </c>
      <c r="D448" s="14">
        <f t="shared" si="13"/>
        <v>3.5453010692177891E-2</v>
      </c>
    </row>
    <row r="449" spans="1:4" x14ac:dyDescent="0.2">
      <c r="A449" s="61">
        <v>37987</v>
      </c>
      <c r="B449" s="68">
        <f>VLOOKUP(Table3[[#This Row],[Date]],Database!A:E,4,)</f>
        <v>183.9</v>
      </c>
      <c r="C449" s="14">
        <f t="shared" si="12"/>
        <v>-5.4347826086953432E-4</v>
      </c>
      <c r="D449" s="14">
        <f t="shared" si="13"/>
        <v>3.4890264490714785E-2</v>
      </c>
    </row>
    <row r="450" spans="1:4" x14ac:dyDescent="0.2">
      <c r="A450" s="61">
        <v>38018</v>
      </c>
      <c r="B450" s="68">
        <f>VLOOKUP(Table3[[#This Row],[Date]],Database!A:E,4,)</f>
        <v>184.3</v>
      </c>
      <c r="C450" s="14">
        <f t="shared" si="12"/>
        <v>2.1750951604132991E-3</v>
      </c>
      <c r="D450" s="14">
        <f t="shared" si="13"/>
        <v>3.1337437045327494E-2</v>
      </c>
    </row>
    <row r="451" spans="1:4" x14ac:dyDescent="0.2">
      <c r="A451" s="61">
        <v>38047</v>
      </c>
      <c r="B451" s="68">
        <f>VLOOKUP(Table3[[#This Row],[Date]],Database!A:E,4,)</f>
        <v>184.7</v>
      </c>
      <c r="C451" s="14">
        <f t="shared" si="12"/>
        <v>2.1703743895820794E-3</v>
      </c>
      <c r="D451" s="14">
        <f t="shared" si="13"/>
        <v>3.1843575418994352E-2</v>
      </c>
    </row>
    <row r="452" spans="1:4" x14ac:dyDescent="0.2">
      <c r="A452" s="61">
        <v>38078</v>
      </c>
      <c r="B452" s="68">
        <f>VLOOKUP(Table3[[#This Row],[Date]],Database!A:E,4,)</f>
        <v>185.1</v>
      </c>
      <c r="C452" s="14">
        <f t="shared" si="12"/>
        <v>2.1656740660530899E-3</v>
      </c>
      <c r="D452" s="14">
        <f t="shared" si="13"/>
        <v>3.3500837520938027E-2</v>
      </c>
    </row>
    <row r="453" spans="1:4" x14ac:dyDescent="0.2">
      <c r="A453" s="61">
        <v>38108</v>
      </c>
      <c r="B453" s="68">
        <f>VLOOKUP(Table3[[#This Row],[Date]],Database!A:E,4,)</f>
        <v>186.5</v>
      </c>
      <c r="C453" s="14">
        <f t="shared" si="12"/>
        <v>7.5634792004322295E-3</v>
      </c>
      <c r="D453" s="14">
        <f t="shared" si="13"/>
        <v>3.9576365663322149E-2</v>
      </c>
    </row>
    <row r="454" spans="1:4" x14ac:dyDescent="0.2">
      <c r="A454" s="61">
        <v>38139</v>
      </c>
      <c r="B454" s="68">
        <f>VLOOKUP(Table3[[#This Row],[Date]],Database!A:E,4,)</f>
        <v>186.9</v>
      </c>
      <c r="C454" s="14">
        <f t="shared" ref="C454:C517" si="14">(B454-B453)/B453</f>
        <v>2.1447721179624971E-3</v>
      </c>
      <c r="D454" s="14">
        <f t="shared" si="13"/>
        <v>3.660565723793674E-2</v>
      </c>
    </row>
    <row r="455" spans="1:4" x14ac:dyDescent="0.2">
      <c r="A455" s="61">
        <v>38169</v>
      </c>
      <c r="B455" s="68">
        <f>VLOOKUP(Table3[[#This Row],[Date]],Database!A:E,4,)</f>
        <v>187.3</v>
      </c>
      <c r="C455" s="14">
        <f t="shared" si="14"/>
        <v>2.1401819154628445E-3</v>
      </c>
      <c r="D455" s="14">
        <f t="shared" si="13"/>
        <v>3.8248337028824866E-2</v>
      </c>
    </row>
    <row r="456" spans="1:4" x14ac:dyDescent="0.2">
      <c r="A456" s="61">
        <v>38200</v>
      </c>
      <c r="B456" s="68">
        <f>VLOOKUP(Table3[[#This Row],[Date]],Database!A:E,4,)</f>
        <v>187.5</v>
      </c>
      <c r="C456" s="14">
        <f t="shared" si="14"/>
        <v>1.0678056593699339E-3</v>
      </c>
      <c r="D456" s="14">
        <f t="shared" si="13"/>
        <v>3.5339591385974631E-2</v>
      </c>
    </row>
    <row r="457" spans="1:4" x14ac:dyDescent="0.2">
      <c r="A457" s="61">
        <v>38231</v>
      </c>
      <c r="B457" s="68">
        <f>VLOOKUP(Table3[[#This Row],[Date]],Database!A:E,4,)</f>
        <v>187.4</v>
      </c>
      <c r="C457" s="14">
        <f t="shared" si="14"/>
        <v>-5.33333333333303E-4</v>
      </c>
      <c r="D457" s="14">
        <f t="shared" si="13"/>
        <v>3.2506887052341629E-2</v>
      </c>
    </row>
    <row r="458" spans="1:4" x14ac:dyDescent="0.2">
      <c r="A458" s="61">
        <v>38261</v>
      </c>
      <c r="B458" s="68">
        <f>VLOOKUP(Table3[[#This Row],[Date]],Database!A:E,4,)</f>
        <v>188.3</v>
      </c>
      <c r="C458" s="14">
        <f t="shared" si="14"/>
        <v>4.8025613660619302E-3</v>
      </c>
      <c r="D458" s="14">
        <f t="shared" si="13"/>
        <v>3.3479692645444696E-2</v>
      </c>
    </row>
    <row r="459" spans="1:4" x14ac:dyDescent="0.2">
      <c r="A459" s="61">
        <v>38292</v>
      </c>
      <c r="B459" s="68">
        <f>VLOOKUP(Table3[[#This Row],[Date]],Database!A:E,4,)</f>
        <v>188.9</v>
      </c>
      <c r="C459" s="14">
        <f t="shared" si="14"/>
        <v>3.1864046733934906E-3</v>
      </c>
      <c r="D459" s="14">
        <f t="shared" si="13"/>
        <v>3.1676679410158448E-2</v>
      </c>
    </row>
    <row r="460" spans="1:4" x14ac:dyDescent="0.2">
      <c r="A460" s="61">
        <v>38322</v>
      </c>
      <c r="B460" s="68">
        <f>VLOOKUP(Table3[[#This Row],[Date]],Database!A:E,4,)</f>
        <v>188.9</v>
      </c>
      <c r="C460" s="14">
        <f t="shared" si="14"/>
        <v>0</v>
      </c>
      <c r="D460" s="14">
        <f t="shared" si="13"/>
        <v>2.6630434782608726E-2</v>
      </c>
    </row>
    <row r="461" spans="1:4" x14ac:dyDescent="0.2">
      <c r="A461" s="61">
        <v>38353</v>
      </c>
      <c r="B461" s="68">
        <f>VLOOKUP(Table3[[#This Row],[Date]],Database!A:E,4,)</f>
        <v>189.1</v>
      </c>
      <c r="C461" s="14">
        <f t="shared" si="14"/>
        <v>1.058761249338214E-3</v>
      </c>
      <c r="D461" s="14">
        <f t="shared" si="13"/>
        <v>2.8276237085372424E-2</v>
      </c>
    </row>
    <row r="462" spans="1:4" x14ac:dyDescent="0.2">
      <c r="A462" s="61">
        <v>38384</v>
      </c>
      <c r="B462" s="68">
        <f>VLOOKUP(Table3[[#This Row],[Date]],Database!A:E,4,)</f>
        <v>189.2</v>
      </c>
      <c r="C462" s="14">
        <f t="shared" si="14"/>
        <v>5.2882072977257705E-4</v>
      </c>
      <c r="D462" s="14">
        <f t="shared" si="13"/>
        <v>2.6587086272381859E-2</v>
      </c>
    </row>
    <row r="463" spans="1:4" x14ac:dyDescent="0.2">
      <c r="A463" s="61">
        <v>38412</v>
      </c>
      <c r="B463" s="68">
        <f>VLOOKUP(Table3[[#This Row],[Date]],Database!A:E,4,)</f>
        <v>189.6</v>
      </c>
      <c r="C463" s="14">
        <f t="shared" si="14"/>
        <v>2.1141649048626093E-3</v>
      </c>
      <c r="D463" s="14">
        <f t="shared" si="13"/>
        <v>2.6529507309150005E-2</v>
      </c>
    </row>
    <row r="464" spans="1:4" x14ac:dyDescent="0.2">
      <c r="A464" s="61">
        <v>38443</v>
      </c>
      <c r="B464" s="68">
        <f>VLOOKUP(Table3[[#This Row],[Date]],Database!A:E,4,)</f>
        <v>190.8</v>
      </c>
      <c r="C464" s="14">
        <f t="shared" si="14"/>
        <v>6.329113924050723E-3</v>
      </c>
      <c r="D464" s="14">
        <f t="shared" si="13"/>
        <v>3.0794165316045473E-2</v>
      </c>
    </row>
    <row r="465" spans="1:4" x14ac:dyDescent="0.2">
      <c r="A465" s="61">
        <v>38473</v>
      </c>
      <c r="B465" s="68">
        <f>VLOOKUP(Table3[[#This Row],[Date]],Database!A:E,4,)</f>
        <v>191</v>
      </c>
      <c r="C465" s="14">
        <f t="shared" si="14"/>
        <v>1.0482180293500452E-3</v>
      </c>
      <c r="D465" s="14">
        <f t="shared" ref="D465:D528" si="15">(B465-B453)/B453</f>
        <v>2.4128686327077747E-2</v>
      </c>
    </row>
    <row r="466" spans="1:4" x14ac:dyDescent="0.2">
      <c r="A466" s="61">
        <v>38504</v>
      </c>
      <c r="B466" s="68">
        <f>VLOOKUP(Table3[[#This Row],[Date]],Database!A:E,4,)</f>
        <v>191</v>
      </c>
      <c r="C466" s="14">
        <f t="shared" si="14"/>
        <v>0</v>
      </c>
      <c r="D466" s="14">
        <f t="shared" si="15"/>
        <v>2.1936864633493817E-2</v>
      </c>
    </row>
    <row r="467" spans="1:4" x14ac:dyDescent="0.2">
      <c r="A467" s="61">
        <v>38534</v>
      </c>
      <c r="B467" s="68">
        <f>VLOOKUP(Table3[[#This Row],[Date]],Database!A:E,4,)</f>
        <v>191.4</v>
      </c>
      <c r="C467" s="14">
        <f t="shared" si="14"/>
        <v>2.0942408376963648E-3</v>
      </c>
      <c r="D467" s="14">
        <f t="shared" si="15"/>
        <v>2.189001601708486E-2</v>
      </c>
    </row>
    <row r="468" spans="1:4" x14ac:dyDescent="0.2">
      <c r="A468" s="61">
        <v>38565</v>
      </c>
      <c r="B468" s="68">
        <f>VLOOKUP(Table3[[#This Row],[Date]],Database!A:E,4,)</f>
        <v>191.5</v>
      </c>
      <c r="C468" s="14">
        <f t="shared" si="14"/>
        <v>5.2246603970738925E-4</v>
      </c>
      <c r="D468" s="14">
        <f t="shared" si="15"/>
        <v>2.1333333333333333E-2</v>
      </c>
    </row>
    <row r="469" spans="1:4" x14ac:dyDescent="0.2">
      <c r="A469" s="61">
        <v>38596</v>
      </c>
      <c r="B469" s="68">
        <f>VLOOKUP(Table3[[#This Row],[Date]],Database!A:E,4,)</f>
        <v>191.9</v>
      </c>
      <c r="C469" s="14">
        <f t="shared" si="14"/>
        <v>2.0887728459530325E-3</v>
      </c>
      <c r="D469" s="14">
        <f t="shared" si="15"/>
        <v>2.4012806830309499E-2</v>
      </c>
    </row>
    <row r="470" spans="1:4" x14ac:dyDescent="0.2">
      <c r="A470" s="61">
        <v>38626</v>
      </c>
      <c r="B470" s="68">
        <f>VLOOKUP(Table3[[#This Row],[Date]],Database!A:E,4,)</f>
        <v>192.4</v>
      </c>
      <c r="C470" s="14">
        <f t="shared" si="14"/>
        <v>2.6055237102657635E-3</v>
      </c>
      <c r="D470" s="14">
        <f t="shared" si="15"/>
        <v>2.1773765268189027E-2</v>
      </c>
    </row>
    <row r="471" spans="1:4" x14ac:dyDescent="0.2">
      <c r="A471" s="61">
        <v>38657</v>
      </c>
      <c r="B471" s="68">
        <f>VLOOKUP(Table3[[#This Row],[Date]],Database!A:E,4,)</f>
        <v>193</v>
      </c>
      <c r="C471" s="14">
        <f t="shared" si="14"/>
        <v>3.1185031185030888E-3</v>
      </c>
      <c r="D471" s="14">
        <f t="shared" si="15"/>
        <v>2.1704605611434592E-2</v>
      </c>
    </row>
    <row r="472" spans="1:4" x14ac:dyDescent="0.2">
      <c r="A472" s="61">
        <v>38687</v>
      </c>
      <c r="B472" s="68">
        <f>VLOOKUP(Table3[[#This Row],[Date]],Database!A:E,4,)</f>
        <v>193.3</v>
      </c>
      <c r="C472" s="14">
        <f t="shared" si="14"/>
        <v>1.5544041450777791E-3</v>
      </c>
      <c r="D472" s="14">
        <f t="shared" si="15"/>
        <v>2.3292747485442061E-2</v>
      </c>
    </row>
    <row r="473" spans="1:4" x14ac:dyDescent="0.2">
      <c r="A473" s="61">
        <v>38718</v>
      </c>
      <c r="B473" s="68">
        <f>VLOOKUP(Table3[[#This Row],[Date]],Database!A:E,4,)</f>
        <v>194.1</v>
      </c>
      <c r="C473" s="14">
        <f t="shared" si="14"/>
        <v>4.1386445938954106E-3</v>
      </c>
      <c r="D473" s="14">
        <f t="shared" si="15"/>
        <v>2.6441036488630356E-2</v>
      </c>
    </row>
    <row r="474" spans="1:4" x14ac:dyDescent="0.2">
      <c r="A474" s="61">
        <v>38749</v>
      </c>
      <c r="B474" s="68">
        <f>VLOOKUP(Table3[[#This Row],[Date]],Database!A:E,4,)</f>
        <v>194.2</v>
      </c>
      <c r="C474" s="14">
        <f t="shared" si="14"/>
        <v>5.1519835136524638E-4</v>
      </c>
      <c r="D474" s="14">
        <f t="shared" si="15"/>
        <v>2.6427061310782242E-2</v>
      </c>
    </row>
    <row r="475" spans="1:4" x14ac:dyDescent="0.2">
      <c r="A475" s="61">
        <v>38777</v>
      </c>
      <c r="B475" s="68">
        <f>VLOOKUP(Table3[[#This Row],[Date]],Database!A:E,4,)</f>
        <v>194.4</v>
      </c>
      <c r="C475" s="14">
        <f t="shared" si="14"/>
        <v>1.0298661174048252E-3</v>
      </c>
      <c r="D475" s="14">
        <f t="shared" si="15"/>
        <v>2.5316455696202594E-2</v>
      </c>
    </row>
    <row r="476" spans="1:4" x14ac:dyDescent="0.2">
      <c r="A476" s="61">
        <v>38808</v>
      </c>
      <c r="B476" s="68">
        <f>VLOOKUP(Table3[[#This Row],[Date]],Database!A:E,4,)</f>
        <v>194.3</v>
      </c>
      <c r="C476" s="14">
        <f t="shared" si="14"/>
        <v>-5.1440329218104073E-4</v>
      </c>
      <c r="D476" s="14">
        <f t="shared" si="15"/>
        <v>1.8343815513626835E-2</v>
      </c>
    </row>
    <row r="477" spans="1:4" x14ac:dyDescent="0.2">
      <c r="A477" s="61">
        <v>38838</v>
      </c>
      <c r="B477" s="68">
        <f>VLOOKUP(Table3[[#This Row],[Date]],Database!A:E,4,)</f>
        <v>194.7</v>
      </c>
      <c r="C477" s="14">
        <f t="shared" si="14"/>
        <v>2.0586721564589665E-3</v>
      </c>
      <c r="D477" s="14">
        <f t="shared" si="15"/>
        <v>1.9371727748691041E-2</v>
      </c>
    </row>
    <row r="478" spans="1:4" x14ac:dyDescent="0.2">
      <c r="A478" s="61">
        <v>38869</v>
      </c>
      <c r="B478" s="68">
        <f>VLOOKUP(Table3[[#This Row],[Date]],Database!A:E,4,)</f>
        <v>195.3</v>
      </c>
      <c r="C478" s="14">
        <f t="shared" si="14"/>
        <v>3.0816640986133679E-3</v>
      </c>
      <c r="D478" s="14">
        <f t="shared" si="15"/>
        <v>2.2513089005235663E-2</v>
      </c>
    </row>
    <row r="479" spans="1:4" x14ac:dyDescent="0.2">
      <c r="A479" s="61">
        <v>38899</v>
      </c>
      <c r="B479" s="68">
        <f>VLOOKUP(Table3[[#This Row],[Date]],Database!A:E,4,)</f>
        <v>195.7</v>
      </c>
      <c r="C479" s="14">
        <f t="shared" si="14"/>
        <v>2.0481310803890282E-3</v>
      </c>
      <c r="D479" s="14">
        <f t="shared" si="15"/>
        <v>2.2466039707418929E-2</v>
      </c>
    </row>
    <row r="480" spans="1:4" x14ac:dyDescent="0.2">
      <c r="A480" s="61">
        <v>38930</v>
      </c>
      <c r="B480" s="68">
        <f>VLOOKUP(Table3[[#This Row],[Date]],Database!A:E,4,)</f>
        <v>196.2</v>
      </c>
      <c r="C480" s="14">
        <f t="shared" si="14"/>
        <v>2.5549310168625446E-3</v>
      </c>
      <c r="D480" s="14">
        <f t="shared" si="15"/>
        <v>2.4543080939947722E-2</v>
      </c>
    </row>
    <row r="481" spans="1:4" x14ac:dyDescent="0.2">
      <c r="A481" s="61">
        <v>38961</v>
      </c>
      <c r="B481" s="68">
        <f>VLOOKUP(Table3[[#This Row],[Date]],Database!A:E,4,)</f>
        <v>196.8</v>
      </c>
      <c r="C481" s="14">
        <f t="shared" si="14"/>
        <v>3.0581039755352844E-3</v>
      </c>
      <c r="D481" s="14">
        <f t="shared" si="15"/>
        <v>2.5534132360604509E-2</v>
      </c>
    </row>
    <row r="482" spans="1:4" x14ac:dyDescent="0.2">
      <c r="A482" s="61">
        <v>38991</v>
      </c>
      <c r="B482" s="68">
        <f>VLOOKUP(Table3[[#This Row],[Date]],Database!A:E,4,)</f>
        <v>197.4</v>
      </c>
      <c r="C482" s="14">
        <f t="shared" si="14"/>
        <v>3.0487804878048491E-3</v>
      </c>
      <c r="D482" s="14">
        <f t="shared" si="15"/>
        <v>2.5987525987525985E-2</v>
      </c>
    </row>
    <row r="483" spans="1:4" x14ac:dyDescent="0.2">
      <c r="A483" s="61">
        <v>39022</v>
      </c>
      <c r="B483" s="68">
        <f>VLOOKUP(Table3[[#This Row],[Date]],Database!A:E,4,)</f>
        <v>197.4</v>
      </c>
      <c r="C483" s="14">
        <f t="shared" si="14"/>
        <v>0</v>
      </c>
      <c r="D483" s="14">
        <f t="shared" si="15"/>
        <v>2.2797927461139927E-2</v>
      </c>
    </row>
    <row r="484" spans="1:4" x14ac:dyDescent="0.2">
      <c r="A484" s="61">
        <v>39052</v>
      </c>
      <c r="B484" s="68">
        <f>VLOOKUP(Table3[[#This Row],[Date]],Database!A:E,4,)</f>
        <v>197.5</v>
      </c>
      <c r="C484" s="14">
        <f t="shared" si="14"/>
        <v>5.0658561296856289E-4</v>
      </c>
      <c r="D484" s="14">
        <f t="shared" si="15"/>
        <v>2.1727884117951311E-2</v>
      </c>
    </row>
    <row r="485" spans="1:4" x14ac:dyDescent="0.2">
      <c r="A485" s="61">
        <v>39083</v>
      </c>
      <c r="B485" s="68">
        <f>VLOOKUP(Table3[[#This Row],[Date]],Database!A:E,4,)</f>
        <v>198.81299999999999</v>
      </c>
      <c r="C485" s="14">
        <f t="shared" si="14"/>
        <v>6.648101265822725E-3</v>
      </c>
      <c r="D485" s="14">
        <f t="shared" si="15"/>
        <v>2.4281298299845409E-2</v>
      </c>
    </row>
    <row r="486" spans="1:4" x14ac:dyDescent="0.2">
      <c r="A486" s="61">
        <v>39114</v>
      </c>
      <c r="B486" s="68">
        <f>VLOOKUP(Table3[[#This Row],[Date]],Database!A:E,4,)</f>
        <v>200.126</v>
      </c>
      <c r="C486" s="14">
        <f t="shared" si="14"/>
        <v>6.6041959026825045E-3</v>
      </c>
      <c r="D486" s="14">
        <f t="shared" si="15"/>
        <v>3.0514933058702454E-2</v>
      </c>
    </row>
    <row r="487" spans="1:4" x14ac:dyDescent="0.2">
      <c r="A487" s="61">
        <v>39142</v>
      </c>
      <c r="B487" s="68">
        <f>VLOOKUP(Table3[[#This Row],[Date]],Database!A:E,4,)</f>
        <v>200.85300000000001</v>
      </c>
      <c r="C487" s="14">
        <f t="shared" si="14"/>
        <v>3.6327113918231705E-3</v>
      </c>
      <c r="D487" s="14">
        <f t="shared" si="15"/>
        <v>3.3194444444444457E-2</v>
      </c>
    </row>
    <row r="488" spans="1:4" x14ac:dyDescent="0.2">
      <c r="A488" s="61">
        <v>39173</v>
      </c>
      <c r="B488" s="68">
        <f>VLOOKUP(Table3[[#This Row],[Date]],Database!A:E,4,)</f>
        <v>201.392</v>
      </c>
      <c r="C488" s="14">
        <f t="shared" si="14"/>
        <v>2.6835546394626281E-3</v>
      </c>
      <c r="D488" s="14">
        <f t="shared" si="15"/>
        <v>3.6500257334019473E-2</v>
      </c>
    </row>
    <row r="489" spans="1:4" x14ac:dyDescent="0.2">
      <c r="A489" s="61">
        <v>39203</v>
      </c>
      <c r="B489" s="68">
        <f>VLOOKUP(Table3[[#This Row],[Date]],Database!A:E,4,)</f>
        <v>202.15700000000001</v>
      </c>
      <c r="C489" s="14">
        <f t="shared" si="14"/>
        <v>3.7985620084214607E-3</v>
      </c>
      <c r="D489" s="14">
        <f t="shared" si="15"/>
        <v>3.8299948638931804E-2</v>
      </c>
    </row>
    <row r="490" spans="1:4" x14ac:dyDescent="0.2">
      <c r="A490" s="61">
        <v>39234</v>
      </c>
      <c r="B490" s="68">
        <f>VLOOKUP(Table3[[#This Row],[Date]],Database!A:E,4,)</f>
        <v>202.977</v>
      </c>
      <c r="C490" s="14">
        <f t="shared" si="14"/>
        <v>4.0562533080724045E-3</v>
      </c>
      <c r="D490" s="14">
        <f t="shared" si="15"/>
        <v>3.9308755760368623E-2</v>
      </c>
    </row>
    <row r="491" spans="1:4" x14ac:dyDescent="0.2">
      <c r="A491" s="61">
        <v>39264</v>
      </c>
      <c r="B491" s="68">
        <f>VLOOKUP(Table3[[#This Row],[Date]],Database!A:E,4,)</f>
        <v>203.64</v>
      </c>
      <c r="C491" s="14">
        <f t="shared" si="14"/>
        <v>3.266379934672315E-3</v>
      </c>
      <c r="D491" s="14">
        <f t="shared" si="15"/>
        <v>4.0572304547777202E-2</v>
      </c>
    </row>
    <row r="492" spans="1:4" x14ac:dyDescent="0.2">
      <c r="A492" s="61">
        <v>39295</v>
      </c>
      <c r="B492" s="68">
        <f>VLOOKUP(Table3[[#This Row],[Date]],Database!A:E,4,)</f>
        <v>204.41800000000001</v>
      </c>
      <c r="C492" s="14">
        <f t="shared" si="14"/>
        <v>3.8204674916520335E-3</v>
      </c>
      <c r="D492" s="14">
        <f t="shared" si="15"/>
        <v>4.1885830784913446E-2</v>
      </c>
    </row>
    <row r="493" spans="1:4" x14ac:dyDescent="0.2">
      <c r="A493" s="61">
        <v>39326</v>
      </c>
      <c r="B493" s="68">
        <f>VLOOKUP(Table3[[#This Row],[Date]],Database!A:E,4,)</f>
        <v>205.34700000000001</v>
      </c>
      <c r="C493" s="14">
        <f t="shared" si="14"/>
        <v>4.5446095744993203E-3</v>
      </c>
      <c r="D493" s="14">
        <f t="shared" si="15"/>
        <v>4.3429878048780471E-2</v>
      </c>
    </row>
    <row r="494" spans="1:4" x14ac:dyDescent="0.2">
      <c r="A494" s="61">
        <v>39356</v>
      </c>
      <c r="B494" s="68">
        <f>VLOOKUP(Table3[[#This Row],[Date]],Database!A:E,4,)</f>
        <v>205.988</v>
      </c>
      <c r="C494" s="14">
        <f t="shared" si="14"/>
        <v>3.1215454815506976E-3</v>
      </c>
      <c r="D494" s="14">
        <f t="shared" si="15"/>
        <v>4.3505572441742621E-2</v>
      </c>
    </row>
    <row r="495" spans="1:4" x14ac:dyDescent="0.2">
      <c r="A495" s="61">
        <v>39387</v>
      </c>
      <c r="B495" s="68">
        <f>VLOOKUP(Table3[[#This Row],[Date]],Database!A:E,4,)</f>
        <v>206.78899999999999</v>
      </c>
      <c r="C495" s="14">
        <f t="shared" si="14"/>
        <v>3.888576033555293E-3</v>
      </c>
      <c r="D495" s="14">
        <f t="shared" si="15"/>
        <v>4.7563323201620981E-2</v>
      </c>
    </row>
    <row r="496" spans="1:4" x14ac:dyDescent="0.2">
      <c r="A496" s="61">
        <v>39417</v>
      </c>
      <c r="B496" s="68">
        <f>VLOOKUP(Table3[[#This Row],[Date]],Database!A:E,4,)</f>
        <v>207.14099999999999</v>
      </c>
      <c r="C496" s="14">
        <f t="shared" si="14"/>
        <v>1.7022182030959282E-3</v>
      </c>
      <c r="D496" s="14">
        <f t="shared" si="15"/>
        <v>4.8815189873417673E-2</v>
      </c>
    </row>
    <row r="497" spans="1:4" x14ac:dyDescent="0.2">
      <c r="A497" s="61">
        <v>39448</v>
      </c>
      <c r="B497" s="68">
        <f>VLOOKUP(Table3[[#This Row],[Date]],Database!A:E,4,)</f>
        <v>208.392</v>
      </c>
      <c r="C497" s="14">
        <f t="shared" si="14"/>
        <v>6.0393644908540789E-3</v>
      </c>
      <c r="D497" s="14">
        <f t="shared" si="15"/>
        <v>4.8180953961763105E-2</v>
      </c>
    </row>
    <row r="498" spans="1:4" x14ac:dyDescent="0.2">
      <c r="A498" s="61">
        <v>39479</v>
      </c>
      <c r="B498" s="68">
        <f>VLOOKUP(Table3[[#This Row],[Date]],Database!A:E,4,)</f>
        <v>209.18299999999999</v>
      </c>
      <c r="C498" s="14">
        <f t="shared" si="14"/>
        <v>3.7957311221159971E-3</v>
      </c>
      <c r="D498" s="14">
        <f t="shared" si="15"/>
        <v>4.5256488412300191E-2</v>
      </c>
    </row>
    <row r="499" spans="1:4" x14ac:dyDescent="0.2">
      <c r="A499" s="61">
        <v>39508</v>
      </c>
      <c r="B499" s="68">
        <f>VLOOKUP(Table3[[#This Row],[Date]],Database!A:E,4,)</f>
        <v>209.595</v>
      </c>
      <c r="C499" s="14">
        <f t="shared" si="14"/>
        <v>1.9695673166557808E-3</v>
      </c>
      <c r="D499" s="14">
        <f t="shared" si="15"/>
        <v>4.3524368568057185E-2</v>
      </c>
    </row>
    <row r="500" spans="1:4" x14ac:dyDescent="0.2">
      <c r="A500" s="61">
        <v>39539</v>
      </c>
      <c r="B500" s="68">
        <f>VLOOKUP(Table3[[#This Row],[Date]],Database!A:E,4,)</f>
        <v>211.36799999999999</v>
      </c>
      <c r="C500" s="14">
        <f t="shared" si="14"/>
        <v>8.4591712588563475E-3</v>
      </c>
      <c r="D500" s="14">
        <f t="shared" si="15"/>
        <v>4.953523476602844E-2</v>
      </c>
    </row>
    <row r="501" spans="1:4" x14ac:dyDescent="0.2">
      <c r="A501" s="61">
        <v>39569</v>
      </c>
      <c r="B501" s="68">
        <f>VLOOKUP(Table3[[#This Row],[Date]],Database!A:E,4,)</f>
        <v>212.20400000000001</v>
      </c>
      <c r="C501" s="14">
        <f t="shared" si="14"/>
        <v>3.9551871617274741E-3</v>
      </c>
      <c r="D501" s="14">
        <f t="shared" si="15"/>
        <v>4.9698996324638756E-2</v>
      </c>
    </row>
    <row r="502" spans="1:4" x14ac:dyDescent="0.2">
      <c r="A502" s="61">
        <v>39600</v>
      </c>
      <c r="B502" s="68">
        <f>VLOOKUP(Table3[[#This Row],[Date]],Database!A:E,4,)</f>
        <v>213.452</v>
      </c>
      <c r="C502" s="14">
        <f t="shared" si="14"/>
        <v>5.8811332491375771E-3</v>
      </c>
      <c r="D502" s="14">
        <f t="shared" si="15"/>
        <v>5.1606832301196656E-2</v>
      </c>
    </row>
    <row r="503" spans="1:4" x14ac:dyDescent="0.2">
      <c r="A503" s="61">
        <v>39630</v>
      </c>
      <c r="B503" s="68">
        <f>VLOOKUP(Table3[[#This Row],[Date]],Database!A:E,4,)</f>
        <v>215.44900000000001</v>
      </c>
      <c r="C503" s="14">
        <f t="shared" si="14"/>
        <v>9.3557333733111613E-3</v>
      </c>
      <c r="D503" s="14">
        <f t="shared" si="15"/>
        <v>5.7989589471616712E-2</v>
      </c>
    </row>
    <row r="504" spans="1:4" x14ac:dyDescent="0.2">
      <c r="A504" s="61">
        <v>39661</v>
      </c>
      <c r="B504" s="68">
        <f>VLOOKUP(Table3[[#This Row],[Date]],Database!A:E,4,)</f>
        <v>216.53</v>
      </c>
      <c r="C504" s="14">
        <f t="shared" si="14"/>
        <v>5.0174287186294146E-3</v>
      </c>
      <c r="D504" s="14">
        <f t="shared" si="15"/>
        <v>5.9251142267314982E-2</v>
      </c>
    </row>
    <row r="505" spans="1:4" x14ac:dyDescent="0.2">
      <c r="A505" s="61">
        <v>39692</v>
      </c>
      <c r="B505" s="68">
        <f>VLOOKUP(Table3[[#This Row],[Date]],Database!A:E,4,)</f>
        <v>217.749</v>
      </c>
      <c r="C505" s="14">
        <f t="shared" si="14"/>
        <v>5.6297048907772325E-3</v>
      </c>
      <c r="D505" s="14">
        <f t="shared" si="15"/>
        <v>6.0395330830253113E-2</v>
      </c>
    </row>
    <row r="506" spans="1:4" x14ac:dyDescent="0.2">
      <c r="A506" s="61">
        <v>39722</v>
      </c>
      <c r="B506" s="68">
        <f>VLOOKUP(Table3[[#This Row],[Date]],Database!A:E,4,)</f>
        <v>218.63200000000001</v>
      </c>
      <c r="C506" s="14">
        <f t="shared" si="14"/>
        <v>4.0551276928941574E-3</v>
      </c>
      <c r="D506" s="14">
        <f t="shared" si="15"/>
        <v>6.1382216439792636E-2</v>
      </c>
    </row>
    <row r="507" spans="1:4" x14ac:dyDescent="0.2">
      <c r="A507" s="61">
        <v>39753</v>
      </c>
      <c r="B507" s="68">
        <f>VLOOKUP(Table3[[#This Row],[Date]],Database!A:E,4,)</f>
        <v>219.07900000000001</v>
      </c>
      <c r="C507" s="14">
        <f t="shared" si="14"/>
        <v>2.0445314501079566E-3</v>
      </c>
      <c r="D507" s="14">
        <f t="shared" si="15"/>
        <v>5.9432561693320347E-2</v>
      </c>
    </row>
    <row r="508" spans="1:4" x14ac:dyDescent="0.2">
      <c r="A508" s="61">
        <v>39783</v>
      </c>
      <c r="B508" s="68">
        <f>VLOOKUP(Table3[[#This Row],[Date]],Database!A:E,4,)</f>
        <v>219.15100000000001</v>
      </c>
      <c r="C508" s="14">
        <f t="shared" si="14"/>
        <v>3.2864856969404976E-4</v>
      </c>
      <c r="D508" s="14">
        <f t="shared" si="15"/>
        <v>5.7979830163994668E-2</v>
      </c>
    </row>
    <row r="509" spans="1:4" x14ac:dyDescent="0.2">
      <c r="A509" s="61">
        <v>39814</v>
      </c>
      <c r="B509" s="68">
        <f>VLOOKUP(Table3[[#This Row],[Date]],Database!A:E,4,)</f>
        <v>219.32300000000001</v>
      </c>
      <c r="C509" s="14">
        <f t="shared" si="14"/>
        <v>7.8484697765466291E-4</v>
      </c>
      <c r="D509" s="14">
        <f t="shared" si="15"/>
        <v>5.2454028945449017E-2</v>
      </c>
    </row>
    <row r="510" spans="1:4" x14ac:dyDescent="0.2">
      <c r="A510" s="61">
        <v>39845</v>
      </c>
      <c r="B510" s="68">
        <f>VLOOKUP(Table3[[#This Row],[Date]],Database!A:E,4,)</f>
        <v>219.05799999999999</v>
      </c>
      <c r="C510" s="14">
        <f t="shared" si="14"/>
        <v>-1.2082636112036346E-3</v>
      </c>
      <c r="D510" s="14">
        <f t="shared" si="15"/>
        <v>4.720746905819307E-2</v>
      </c>
    </row>
    <row r="511" spans="1:4" x14ac:dyDescent="0.2">
      <c r="A511" s="61">
        <v>39873</v>
      </c>
      <c r="B511" s="68">
        <f>VLOOKUP(Table3[[#This Row],[Date]],Database!A:E,4,)</f>
        <v>218.68199999999999</v>
      </c>
      <c r="C511" s="14">
        <f t="shared" si="14"/>
        <v>-1.7164403947813127E-3</v>
      </c>
      <c r="D511" s="14">
        <f t="shared" si="15"/>
        <v>4.3355041866456688E-2</v>
      </c>
    </row>
    <row r="512" spans="1:4" x14ac:dyDescent="0.2">
      <c r="A512" s="61">
        <v>39904</v>
      </c>
      <c r="B512" s="68">
        <f>VLOOKUP(Table3[[#This Row],[Date]],Database!A:E,4,)</f>
        <v>218.37200000000001</v>
      </c>
      <c r="C512" s="14">
        <f t="shared" si="14"/>
        <v>-1.417583523106492E-3</v>
      </c>
      <c r="D512" s="14">
        <f t="shared" si="15"/>
        <v>3.3136520192271389E-2</v>
      </c>
    </row>
    <row r="513" spans="1:4" x14ac:dyDescent="0.2">
      <c r="A513" s="61">
        <v>39934</v>
      </c>
      <c r="B513" s="68">
        <f>VLOOKUP(Table3[[#This Row],[Date]],Database!A:E,4,)</f>
        <v>218.053</v>
      </c>
      <c r="C513" s="14">
        <f t="shared" si="14"/>
        <v>-1.460809993955346E-3</v>
      </c>
      <c r="D513" s="14">
        <f t="shared" si="15"/>
        <v>2.7563099658818823E-2</v>
      </c>
    </row>
    <row r="514" spans="1:4" x14ac:dyDescent="0.2">
      <c r="A514" s="61">
        <v>39965</v>
      </c>
      <c r="B514" s="68">
        <f>VLOOKUP(Table3[[#This Row],[Date]],Database!A:E,4,)</f>
        <v>218.09200000000001</v>
      </c>
      <c r="C514" s="14">
        <f t="shared" si="14"/>
        <v>1.7885559932684112E-4</v>
      </c>
      <c r="D514" s="14">
        <f t="shared" si="15"/>
        <v>2.1737908288514584E-2</v>
      </c>
    </row>
    <row r="515" spans="1:4" x14ac:dyDescent="0.2">
      <c r="A515" s="61">
        <v>39995</v>
      </c>
      <c r="B515" s="68">
        <f>VLOOKUP(Table3[[#This Row],[Date]],Database!A:E,4,)</f>
        <v>217.72499999999999</v>
      </c>
      <c r="C515" s="14">
        <f t="shared" si="14"/>
        <v>-1.6827760761514343E-3</v>
      </c>
      <c r="D515" s="14">
        <f t="shared" si="15"/>
        <v>1.0563984980204048E-2</v>
      </c>
    </row>
    <row r="516" spans="1:4" x14ac:dyDescent="0.2">
      <c r="A516" s="61">
        <v>40026</v>
      </c>
      <c r="B516" s="68">
        <f>VLOOKUP(Table3[[#This Row],[Date]],Database!A:E,4,)</f>
        <v>217.738</v>
      </c>
      <c r="C516" s="14">
        <f t="shared" si="14"/>
        <v>5.970834768632555E-5</v>
      </c>
      <c r="D516" s="14">
        <f t="shared" si="15"/>
        <v>5.5789036161270882E-3</v>
      </c>
    </row>
    <row r="517" spans="1:4" x14ac:dyDescent="0.2">
      <c r="A517" s="61">
        <v>40057</v>
      </c>
      <c r="B517" s="68">
        <f>VLOOKUP(Table3[[#This Row],[Date]],Database!A:E,4,)</f>
        <v>217.66399999999999</v>
      </c>
      <c r="C517" s="14">
        <f t="shared" si="14"/>
        <v>-3.3985799447047499E-4</v>
      </c>
      <c r="D517" s="14">
        <f t="shared" si="15"/>
        <v>-3.903577054315196E-4</v>
      </c>
    </row>
    <row r="518" spans="1:4" x14ac:dyDescent="0.2">
      <c r="A518" s="61">
        <v>40087</v>
      </c>
      <c r="B518" s="68">
        <f>VLOOKUP(Table3[[#This Row],[Date]],Database!A:E,4,)</f>
        <v>217.881</v>
      </c>
      <c r="C518" s="14">
        <f t="shared" ref="C518:C581" si="16">(B518-B517)/B517</f>
        <v>9.9694942663928338E-4</v>
      </c>
      <c r="D518" s="14">
        <f t="shared" si="15"/>
        <v>-3.4349957920158289E-3</v>
      </c>
    </row>
    <row r="519" spans="1:4" x14ac:dyDescent="0.2">
      <c r="A519" s="61">
        <v>40118</v>
      </c>
      <c r="B519" s="68">
        <f>VLOOKUP(Table3[[#This Row],[Date]],Database!A:E,4,)</f>
        <v>218.05500000000001</v>
      </c>
      <c r="C519" s="14">
        <f t="shared" si="16"/>
        <v>7.986010712269844E-4</v>
      </c>
      <c r="D519" s="14">
        <f t="shared" si="15"/>
        <v>-4.6741129912040904E-3</v>
      </c>
    </row>
    <row r="520" spans="1:4" x14ac:dyDescent="0.2">
      <c r="A520" s="61">
        <v>40148</v>
      </c>
      <c r="B520" s="68">
        <f>VLOOKUP(Table3[[#This Row],[Date]],Database!A:E,4,)</f>
        <v>218.34100000000001</v>
      </c>
      <c r="C520" s="14">
        <f t="shared" si="16"/>
        <v>1.3115956983329956E-3</v>
      </c>
      <c r="D520" s="14">
        <f t="shared" si="15"/>
        <v>-3.6960816970947074E-3</v>
      </c>
    </row>
    <row r="521" spans="1:4" x14ac:dyDescent="0.2">
      <c r="A521" s="61">
        <v>40179</v>
      </c>
      <c r="B521" s="68">
        <f>VLOOKUP(Table3[[#This Row],[Date]],Database!A:E,4,)</f>
        <v>218.85499999999999</v>
      </c>
      <c r="C521" s="14">
        <f t="shared" si="16"/>
        <v>2.3541158096737741E-3</v>
      </c>
      <c r="D521" s="14">
        <f t="shared" si="15"/>
        <v>-2.1338391322388338E-3</v>
      </c>
    </row>
    <row r="522" spans="1:4" x14ac:dyDescent="0.2">
      <c r="A522" s="61">
        <v>40210</v>
      </c>
      <c r="B522" s="68">
        <f>VLOOKUP(Table3[[#This Row],[Date]],Database!A:E,4,)</f>
        <v>218.898</v>
      </c>
      <c r="C522" s="14">
        <f t="shared" si="16"/>
        <v>1.9647711955407172E-4</v>
      </c>
      <c r="D522" s="14">
        <f t="shared" si="15"/>
        <v>-7.3040016799202304E-4</v>
      </c>
    </row>
    <row r="523" spans="1:4" x14ac:dyDescent="0.2">
      <c r="A523" s="61">
        <v>40238</v>
      </c>
      <c r="B523" s="68">
        <f>VLOOKUP(Table3[[#This Row],[Date]],Database!A:E,4,)</f>
        <v>219.321</v>
      </c>
      <c r="C523" s="14">
        <f t="shared" si="16"/>
        <v>1.9324068744346766E-3</v>
      </c>
      <c r="D523" s="14">
        <f t="shared" si="15"/>
        <v>2.9220511976294802E-3</v>
      </c>
    </row>
    <row r="524" spans="1:4" x14ac:dyDescent="0.2">
      <c r="A524" s="61">
        <v>40269</v>
      </c>
      <c r="B524" s="68">
        <f>VLOOKUP(Table3[[#This Row],[Date]],Database!A:E,4,)</f>
        <v>219.53100000000001</v>
      </c>
      <c r="C524" s="14">
        <f t="shared" si="16"/>
        <v>9.5750064973262005E-4</v>
      </c>
      <c r="D524" s="14">
        <f t="shared" si="15"/>
        <v>5.3074569999816447E-3</v>
      </c>
    </row>
    <row r="525" spans="1:4" x14ac:dyDescent="0.2">
      <c r="A525" s="61">
        <v>40299</v>
      </c>
      <c r="B525" s="68">
        <f>VLOOKUP(Table3[[#This Row],[Date]],Database!A:E,4,)</f>
        <v>219.65100000000001</v>
      </c>
      <c r="C525" s="14">
        <f t="shared" si="16"/>
        <v>5.4661983956709773E-4</v>
      </c>
      <c r="D525" s="14">
        <f t="shared" si="15"/>
        <v>7.3284935313892184E-3</v>
      </c>
    </row>
    <row r="526" spans="1:4" x14ac:dyDescent="0.2">
      <c r="A526" s="61">
        <v>40330</v>
      </c>
      <c r="B526" s="68">
        <f>VLOOKUP(Table3[[#This Row],[Date]],Database!A:E,4,)</f>
        <v>219.62700000000001</v>
      </c>
      <c r="C526" s="14">
        <f t="shared" si="16"/>
        <v>-1.0926424191103572E-4</v>
      </c>
      <c r="D526" s="14">
        <f t="shared" si="15"/>
        <v>7.0383141059736096E-3</v>
      </c>
    </row>
    <row r="527" spans="1:4" x14ac:dyDescent="0.2">
      <c r="A527" s="61">
        <v>40360</v>
      </c>
      <c r="B527" s="68">
        <f>VLOOKUP(Table3[[#This Row],[Date]],Database!A:E,4,)</f>
        <v>219.643</v>
      </c>
      <c r="C527" s="14">
        <f t="shared" si="16"/>
        <v>7.2850787926762798E-5</v>
      </c>
      <c r="D527" s="14">
        <f t="shared" si="15"/>
        <v>8.8092777586405158E-3</v>
      </c>
    </row>
    <row r="528" spans="1:4" x14ac:dyDescent="0.2">
      <c r="A528" s="61">
        <v>40391</v>
      </c>
      <c r="B528" s="68">
        <f>VLOOKUP(Table3[[#This Row],[Date]],Database!A:E,4,)</f>
        <v>219.87899999999999</v>
      </c>
      <c r="C528" s="14">
        <f t="shared" si="16"/>
        <v>1.074470845872575E-3</v>
      </c>
      <c r="D528" s="14">
        <f t="shared" si="15"/>
        <v>9.8329184616373407E-3</v>
      </c>
    </row>
    <row r="529" spans="1:4" x14ac:dyDescent="0.2">
      <c r="A529" s="61">
        <v>40422</v>
      </c>
      <c r="B529" s="68">
        <f>VLOOKUP(Table3[[#This Row],[Date]],Database!A:E,4,)</f>
        <v>220.59800000000001</v>
      </c>
      <c r="C529" s="14">
        <f t="shared" si="16"/>
        <v>3.2699803073509637E-3</v>
      </c>
      <c r="D529" s="14">
        <f t="shared" ref="D529:D592" si="17">(B529-B517)/B517</f>
        <v>1.3479491326080685E-2</v>
      </c>
    </row>
    <row r="530" spans="1:4" x14ac:dyDescent="0.2">
      <c r="A530" s="61">
        <v>40452</v>
      </c>
      <c r="B530" s="68">
        <f>VLOOKUP(Table3[[#This Row],[Date]],Database!A:E,4,)</f>
        <v>220.911</v>
      </c>
      <c r="C530" s="14">
        <f t="shared" si="16"/>
        <v>1.4188705246647212E-3</v>
      </c>
      <c r="D530" s="14">
        <f t="shared" si="17"/>
        <v>1.3906673826538344E-2</v>
      </c>
    </row>
    <row r="531" spans="1:4" x14ac:dyDescent="0.2">
      <c r="A531" s="61">
        <v>40483</v>
      </c>
      <c r="B531" s="68">
        <f>VLOOKUP(Table3[[#This Row],[Date]],Database!A:E,4,)</f>
        <v>221.315</v>
      </c>
      <c r="C531" s="14">
        <f t="shared" si="16"/>
        <v>1.828790779997358E-3</v>
      </c>
      <c r="D531" s="14">
        <f t="shared" si="17"/>
        <v>1.4950356561417948E-2</v>
      </c>
    </row>
    <row r="532" spans="1:4" x14ac:dyDescent="0.2">
      <c r="A532" s="61">
        <v>40513</v>
      </c>
      <c r="B532" s="68">
        <f>VLOOKUP(Table3[[#This Row],[Date]],Database!A:E,4,)</f>
        <v>221.55600000000001</v>
      </c>
      <c r="C532" s="14">
        <f t="shared" si="16"/>
        <v>1.0889456204957362E-3</v>
      </c>
      <c r="D532" s="14">
        <f t="shared" si="17"/>
        <v>1.4724673790080668E-2</v>
      </c>
    </row>
    <row r="533" spans="1:4" x14ac:dyDescent="0.2">
      <c r="A533" s="61">
        <v>40544</v>
      </c>
      <c r="B533" s="68">
        <f>VLOOKUP(Table3[[#This Row],[Date]],Database!A:E,4,)</f>
        <v>222.73500000000001</v>
      </c>
      <c r="C533" s="14">
        <f t="shared" si="16"/>
        <v>5.3214537182473143E-3</v>
      </c>
      <c r="D533" s="14">
        <f t="shared" si="17"/>
        <v>1.7728633113248609E-2</v>
      </c>
    </row>
    <row r="534" spans="1:4" x14ac:dyDescent="0.2">
      <c r="A534" s="61">
        <v>40575</v>
      </c>
      <c r="B534" s="68">
        <f>VLOOKUP(Table3[[#This Row],[Date]],Database!A:E,4,)</f>
        <v>223.73400000000001</v>
      </c>
      <c r="C534" s="14">
        <f t="shared" si="16"/>
        <v>4.4851505151861865E-3</v>
      </c>
      <c r="D534" s="14">
        <f t="shared" si="17"/>
        <v>2.2092481429707045E-2</v>
      </c>
    </row>
    <row r="535" spans="1:4" x14ac:dyDescent="0.2">
      <c r="A535" s="61">
        <v>40603</v>
      </c>
      <c r="B535" s="68">
        <f>VLOOKUP(Table3[[#This Row],[Date]],Database!A:E,4,)</f>
        <v>225.33699999999999</v>
      </c>
      <c r="C535" s="14">
        <f t="shared" si="16"/>
        <v>7.1647581503033967E-3</v>
      </c>
      <c r="D535" s="14">
        <f t="shared" si="17"/>
        <v>2.7430113851386741E-2</v>
      </c>
    </row>
    <row r="536" spans="1:4" x14ac:dyDescent="0.2">
      <c r="A536" s="61">
        <v>40634</v>
      </c>
      <c r="B536" s="68">
        <f>VLOOKUP(Table3[[#This Row],[Date]],Database!A:E,4,)</f>
        <v>226.18</v>
      </c>
      <c r="C536" s="14">
        <f t="shared" si="16"/>
        <v>3.7410633850633395E-3</v>
      </c>
      <c r="D536" s="14">
        <f t="shared" si="17"/>
        <v>3.0287294277345798E-2</v>
      </c>
    </row>
    <row r="537" spans="1:4" x14ac:dyDescent="0.2">
      <c r="A537" s="61">
        <v>40664</v>
      </c>
      <c r="B537" s="68">
        <f>VLOOKUP(Table3[[#This Row],[Date]],Database!A:E,4,)</f>
        <v>227.04499999999999</v>
      </c>
      <c r="C537" s="14">
        <f t="shared" si="16"/>
        <v>3.824387655849238E-3</v>
      </c>
      <c r="D537" s="14">
        <f t="shared" si="17"/>
        <v>3.3662491862090207E-2</v>
      </c>
    </row>
    <row r="538" spans="1:4" x14ac:dyDescent="0.2">
      <c r="A538" s="61">
        <v>40695</v>
      </c>
      <c r="B538" s="68">
        <f>VLOOKUP(Table3[[#This Row],[Date]],Database!A:E,4,)</f>
        <v>227.60300000000001</v>
      </c>
      <c r="C538" s="14">
        <f t="shared" si="16"/>
        <v>2.4576625779031522E-3</v>
      </c>
      <c r="D538" s="14">
        <f t="shared" si="17"/>
        <v>3.6316117781511378E-2</v>
      </c>
    </row>
    <row r="539" spans="1:4" x14ac:dyDescent="0.2">
      <c r="A539" s="61">
        <v>40725</v>
      </c>
      <c r="B539" s="68">
        <f>VLOOKUP(Table3[[#This Row],[Date]],Database!A:E,4,)</f>
        <v>228.47300000000001</v>
      </c>
      <c r="C539" s="14">
        <f t="shared" si="16"/>
        <v>3.8224452226025339E-3</v>
      </c>
      <c r="D539" s="14">
        <f t="shared" si="17"/>
        <v>4.0201599868878189E-2</v>
      </c>
    </row>
    <row r="540" spans="1:4" x14ac:dyDescent="0.2">
      <c r="A540" s="61">
        <v>40756</v>
      </c>
      <c r="B540" s="68">
        <f>VLOOKUP(Table3[[#This Row],[Date]],Database!A:E,4,)</f>
        <v>229.577</v>
      </c>
      <c r="C540" s="14">
        <f t="shared" si="16"/>
        <v>4.8320808148008074E-3</v>
      </c>
      <c r="D540" s="14">
        <f t="shared" si="17"/>
        <v>4.4106076523906364E-2</v>
      </c>
    </row>
    <row r="541" spans="1:4" x14ac:dyDescent="0.2">
      <c r="A541" s="61">
        <v>40787</v>
      </c>
      <c r="B541" s="68">
        <f>VLOOKUP(Table3[[#This Row],[Date]],Database!A:E,4,)</f>
        <v>230.56100000000001</v>
      </c>
      <c r="C541" s="14">
        <f t="shared" si="16"/>
        <v>4.2861436467939249E-3</v>
      </c>
      <c r="D541" s="14">
        <f t="shared" si="17"/>
        <v>4.5163600757939751E-2</v>
      </c>
    </row>
    <row r="542" spans="1:4" x14ac:dyDescent="0.2">
      <c r="A542" s="61">
        <v>40817</v>
      </c>
      <c r="B542" s="68">
        <f>VLOOKUP(Table3[[#This Row],[Date]],Database!A:E,4,)</f>
        <v>230.77600000000001</v>
      </c>
      <c r="C542" s="14">
        <f t="shared" si="16"/>
        <v>9.3250809980874219E-4</v>
      </c>
      <c r="D542" s="14">
        <f t="shared" si="17"/>
        <v>4.4655992684836922E-2</v>
      </c>
    </row>
    <row r="543" spans="1:4" x14ac:dyDescent="0.2">
      <c r="A543" s="61">
        <v>40848</v>
      </c>
      <c r="B543" s="68">
        <f>VLOOKUP(Table3[[#This Row],[Date]],Database!A:E,4,)</f>
        <v>230.976</v>
      </c>
      <c r="C543" s="14">
        <f t="shared" si="16"/>
        <v>8.6664124519009178E-4</v>
      </c>
      <c r="D543" s="14">
        <f t="shared" si="17"/>
        <v>4.3652712197546489E-2</v>
      </c>
    </row>
    <row r="544" spans="1:4" x14ac:dyDescent="0.2">
      <c r="A544" s="61">
        <v>40878</v>
      </c>
      <c r="B544" s="68">
        <f>VLOOKUP(Table3[[#This Row],[Date]],Database!A:E,4,)</f>
        <v>231.392</v>
      </c>
      <c r="C544" s="14">
        <f t="shared" si="16"/>
        <v>1.8010529232474232E-3</v>
      </c>
      <c r="D544" s="14">
        <f t="shared" si="17"/>
        <v>4.4395096499304842E-2</v>
      </c>
    </row>
    <row r="545" spans="1:4" x14ac:dyDescent="0.2">
      <c r="A545" s="61">
        <v>40909</v>
      </c>
      <c r="B545" s="68">
        <f>VLOOKUP(Table3[[#This Row],[Date]],Database!A:E,4,)</f>
        <v>232.131</v>
      </c>
      <c r="C545" s="14">
        <f t="shared" si="16"/>
        <v>3.1937145623012219E-3</v>
      </c>
      <c r="D545" s="14">
        <f t="shared" si="17"/>
        <v>4.2184658899589132E-2</v>
      </c>
    </row>
    <row r="546" spans="1:4" x14ac:dyDescent="0.2">
      <c r="A546" s="61">
        <v>40940</v>
      </c>
      <c r="B546" s="68">
        <f>VLOOKUP(Table3[[#This Row],[Date]],Database!A:E,4,)</f>
        <v>232.10300000000001</v>
      </c>
      <c r="C546" s="14">
        <f t="shared" si="16"/>
        <v>-1.2062154559275404E-4</v>
      </c>
      <c r="D546" s="14">
        <f t="shared" si="17"/>
        <v>3.740602679968176E-2</v>
      </c>
    </row>
    <row r="547" spans="1:4" x14ac:dyDescent="0.2">
      <c r="A547" s="61">
        <v>40969</v>
      </c>
      <c r="B547" s="68">
        <f>VLOOKUP(Table3[[#This Row],[Date]],Database!A:E,4,)</f>
        <v>232.50200000000001</v>
      </c>
      <c r="C547" s="14">
        <f t="shared" si="16"/>
        <v>1.719064380899863E-3</v>
      </c>
      <c r="D547" s="14">
        <f t="shared" si="17"/>
        <v>3.1796819874232905E-2</v>
      </c>
    </row>
    <row r="548" spans="1:4" x14ac:dyDescent="0.2">
      <c r="A548" s="61">
        <v>41000</v>
      </c>
      <c r="B548" s="68">
        <f>VLOOKUP(Table3[[#This Row],[Date]],Database!A:E,4,)</f>
        <v>232.934</v>
      </c>
      <c r="C548" s="14">
        <f t="shared" si="16"/>
        <v>1.8580485329157939E-3</v>
      </c>
      <c r="D548" s="14">
        <f t="shared" si="17"/>
        <v>2.9861172517463924E-2</v>
      </c>
    </row>
    <row r="549" spans="1:4" x14ac:dyDescent="0.2">
      <c r="A549" s="61">
        <v>41030</v>
      </c>
      <c r="B549" s="68">
        <f>VLOOKUP(Table3[[#This Row],[Date]],Database!A:E,4,)</f>
        <v>233.12700000000001</v>
      </c>
      <c r="C549" s="14">
        <f t="shared" si="16"/>
        <v>8.285608799059478E-4</v>
      </c>
      <c r="D549" s="14">
        <f t="shared" si="17"/>
        <v>2.6787641216499031E-2</v>
      </c>
    </row>
    <row r="550" spans="1:4" x14ac:dyDescent="0.2">
      <c r="A550" s="61">
        <v>41061</v>
      </c>
      <c r="B550" s="68">
        <f>VLOOKUP(Table3[[#This Row],[Date]],Database!A:E,4,)</f>
        <v>233.624</v>
      </c>
      <c r="C550" s="14">
        <f t="shared" si="16"/>
        <v>2.131885195622925E-3</v>
      </c>
      <c r="D550" s="14">
        <f t="shared" si="17"/>
        <v>2.6453957109528373E-2</v>
      </c>
    </row>
    <row r="551" spans="1:4" x14ac:dyDescent="0.2">
      <c r="A551" s="61">
        <v>41091</v>
      </c>
      <c r="B551" s="68">
        <f>VLOOKUP(Table3[[#This Row],[Date]],Database!A:E,4,)</f>
        <v>233.75200000000001</v>
      </c>
      <c r="C551" s="14">
        <f t="shared" si="16"/>
        <v>5.4788891552243917E-4</v>
      </c>
      <c r="D551" s="14">
        <f t="shared" si="17"/>
        <v>2.3105574838164666E-2</v>
      </c>
    </row>
    <row r="552" spans="1:4" x14ac:dyDescent="0.2">
      <c r="A552" s="61">
        <v>41122</v>
      </c>
      <c r="B552" s="68">
        <f>VLOOKUP(Table3[[#This Row],[Date]],Database!A:E,4,)</f>
        <v>234.108</v>
      </c>
      <c r="C552" s="14">
        <f t="shared" si="16"/>
        <v>1.5229816215475997E-3</v>
      </c>
      <c r="D552" s="14">
        <f t="shared" si="17"/>
        <v>1.9736297625633257E-2</v>
      </c>
    </row>
    <row r="553" spans="1:4" x14ac:dyDescent="0.2">
      <c r="A553" s="61">
        <v>41153</v>
      </c>
      <c r="B553" s="68">
        <f>VLOOKUP(Table3[[#This Row],[Date]],Database!A:E,4,)</f>
        <v>234.286</v>
      </c>
      <c r="C553" s="14">
        <f t="shared" si="16"/>
        <v>7.6033283783551728E-4</v>
      </c>
      <c r="D553" s="14">
        <f t="shared" si="17"/>
        <v>1.615624498505816E-2</v>
      </c>
    </row>
    <row r="554" spans="1:4" x14ac:dyDescent="0.2">
      <c r="A554" s="61">
        <v>41183</v>
      </c>
      <c r="B554" s="68">
        <f>VLOOKUP(Table3[[#This Row],[Date]],Database!A:E,4,)</f>
        <v>234.69399999999999</v>
      </c>
      <c r="C554" s="14">
        <f t="shared" si="16"/>
        <v>1.7414612909008094E-3</v>
      </c>
      <c r="D554" s="14">
        <f t="shared" si="17"/>
        <v>1.6977501993274767E-2</v>
      </c>
    </row>
    <row r="555" spans="1:4" x14ac:dyDescent="0.2">
      <c r="A555" s="61">
        <v>41214</v>
      </c>
      <c r="B555" s="68">
        <f>VLOOKUP(Table3[[#This Row],[Date]],Database!A:E,4,)</f>
        <v>235.1</v>
      </c>
      <c r="C555" s="14">
        <f t="shared" si="16"/>
        <v>1.72991214091543E-3</v>
      </c>
      <c r="D555" s="14">
        <f t="shared" si="17"/>
        <v>1.7854668883347167E-2</v>
      </c>
    </row>
    <row r="556" spans="1:4" x14ac:dyDescent="0.2">
      <c r="A556" s="61">
        <v>41244</v>
      </c>
      <c r="B556" s="68">
        <f>VLOOKUP(Table3[[#This Row],[Date]],Database!A:E,4,)</f>
        <v>235.52099999999999</v>
      </c>
      <c r="C556" s="14">
        <f t="shared" si="16"/>
        <v>1.7907273500637698E-3</v>
      </c>
      <c r="D556" s="14">
        <f t="shared" si="17"/>
        <v>1.7844177845387874E-2</v>
      </c>
    </row>
    <row r="557" spans="1:4" x14ac:dyDescent="0.2">
      <c r="A557" s="61">
        <v>41275</v>
      </c>
      <c r="B557" s="68">
        <f>VLOOKUP(Table3[[#This Row],[Date]],Database!A:E,4,)</f>
        <v>235.86</v>
      </c>
      <c r="C557" s="14">
        <f t="shared" si="16"/>
        <v>1.4393620950999149E-3</v>
      </c>
      <c r="D557" s="14">
        <f t="shared" si="17"/>
        <v>1.6064205125554162E-2</v>
      </c>
    </row>
    <row r="558" spans="1:4" x14ac:dyDescent="0.2">
      <c r="A558" s="61">
        <v>41306</v>
      </c>
      <c r="B558" s="68">
        <f>VLOOKUP(Table3[[#This Row],[Date]],Database!A:E,4,)</f>
        <v>235.90299999999999</v>
      </c>
      <c r="C558" s="14">
        <f t="shared" si="16"/>
        <v>1.8231154074441593E-4</v>
      </c>
      <c r="D558" s="14">
        <f t="shared" si="17"/>
        <v>1.6372041722855727E-2</v>
      </c>
    </row>
    <row r="559" spans="1:4" x14ac:dyDescent="0.2">
      <c r="A559" s="61">
        <v>41334</v>
      </c>
      <c r="B559" s="68">
        <f>VLOOKUP(Table3[[#This Row],[Date]],Database!A:E,4,)</f>
        <v>236.13</v>
      </c>
      <c r="C559" s="14">
        <f t="shared" si="16"/>
        <v>9.6225991191296368E-4</v>
      </c>
      <c r="D559" s="14">
        <f t="shared" si="17"/>
        <v>1.5604166845876533E-2</v>
      </c>
    </row>
    <row r="560" spans="1:4" x14ac:dyDescent="0.2">
      <c r="A560" s="61">
        <v>41365</v>
      </c>
      <c r="B560" s="68">
        <f>VLOOKUP(Table3[[#This Row],[Date]],Database!A:E,4,)</f>
        <v>236.57400000000001</v>
      </c>
      <c r="C560" s="14">
        <f t="shared" si="16"/>
        <v>1.8803201626223557E-3</v>
      </c>
      <c r="D560" s="14">
        <f t="shared" si="17"/>
        <v>1.5626744056256341E-2</v>
      </c>
    </row>
    <row r="561" spans="1:4" x14ac:dyDescent="0.2">
      <c r="A561" s="61">
        <v>41395</v>
      </c>
      <c r="B561" s="68">
        <f>VLOOKUP(Table3[[#This Row],[Date]],Database!A:E,4,)</f>
        <v>236.387</v>
      </c>
      <c r="C561" s="14">
        <f t="shared" si="16"/>
        <v>-7.9045034534653777E-4</v>
      </c>
      <c r="D561" s="14">
        <f t="shared" si="17"/>
        <v>1.3983794240907278E-2</v>
      </c>
    </row>
    <row r="562" spans="1:4" x14ac:dyDescent="0.2">
      <c r="A562" s="61">
        <v>41426</v>
      </c>
      <c r="B562" s="68">
        <f>VLOOKUP(Table3[[#This Row],[Date]],Database!A:E,4,)</f>
        <v>236.91200000000001</v>
      </c>
      <c r="C562" s="14">
        <f t="shared" si="16"/>
        <v>2.2209343153388539E-3</v>
      </c>
      <c r="D562" s="14">
        <f t="shared" si="17"/>
        <v>1.4073896517481128E-2</v>
      </c>
    </row>
    <row r="563" spans="1:4" x14ac:dyDescent="0.2">
      <c r="A563" s="61">
        <v>41456</v>
      </c>
      <c r="B563" s="68">
        <f>VLOOKUP(Table3[[#This Row],[Date]],Database!A:E,4,)</f>
        <v>237.13300000000001</v>
      </c>
      <c r="C563" s="14">
        <f t="shared" si="16"/>
        <v>9.3283582089553777E-4</v>
      </c>
      <c r="D563" s="14">
        <f t="shared" si="17"/>
        <v>1.4464047366439645E-2</v>
      </c>
    </row>
    <row r="564" spans="1:4" x14ac:dyDescent="0.2">
      <c r="A564" s="61">
        <v>41487</v>
      </c>
      <c r="B564" s="68">
        <f>VLOOKUP(Table3[[#This Row],[Date]],Database!A:E,4,)</f>
        <v>237.40700000000001</v>
      </c>
      <c r="C564" s="14">
        <f t="shared" si="16"/>
        <v>1.1554697153074473E-3</v>
      </c>
      <c r="D564" s="14">
        <f t="shared" si="17"/>
        <v>1.4091786696738285E-2</v>
      </c>
    </row>
    <row r="565" spans="1:4" x14ac:dyDescent="0.2">
      <c r="A565" s="61">
        <v>41518</v>
      </c>
      <c r="B565" s="68">
        <f>VLOOKUP(Table3[[#This Row],[Date]],Database!A:E,4,)</f>
        <v>237.464</v>
      </c>
      <c r="C565" s="14">
        <f t="shared" si="16"/>
        <v>2.4009401576191076E-4</v>
      </c>
      <c r="D565" s="14">
        <f t="shared" si="17"/>
        <v>1.3564617604124861E-2</v>
      </c>
    </row>
    <row r="566" spans="1:4" x14ac:dyDescent="0.2">
      <c r="A566" s="61">
        <v>41548</v>
      </c>
      <c r="B566" s="68">
        <f>VLOOKUP(Table3[[#This Row],[Date]],Database!A:E,4,)</f>
        <v>237.69300000000001</v>
      </c>
      <c r="C566" s="14">
        <f t="shared" si="16"/>
        <v>9.6435670248969704E-4</v>
      </c>
      <c r="D566" s="14">
        <f t="shared" si="17"/>
        <v>1.2778341159126454E-2</v>
      </c>
    </row>
    <row r="567" spans="1:4" x14ac:dyDescent="0.2">
      <c r="A567" s="61">
        <v>41579</v>
      </c>
      <c r="B567" s="68">
        <f>VLOOKUP(Table3[[#This Row],[Date]],Database!A:E,4,)</f>
        <v>237.89500000000001</v>
      </c>
      <c r="C567" s="14">
        <f t="shared" si="16"/>
        <v>8.4983571245260978E-4</v>
      </c>
      <c r="D567" s="14">
        <f t="shared" si="17"/>
        <v>1.1888558060399897E-2</v>
      </c>
    </row>
    <row r="568" spans="1:4" x14ac:dyDescent="0.2">
      <c r="A568" s="61">
        <v>41609</v>
      </c>
      <c r="B568" s="68">
        <f>VLOOKUP(Table3[[#This Row],[Date]],Database!A:E,4,)</f>
        <v>238.13300000000001</v>
      </c>
      <c r="C568" s="14">
        <f t="shared" si="16"/>
        <v>1.0004413711931716E-3</v>
      </c>
      <c r="D568" s="14">
        <f t="shared" si="17"/>
        <v>1.1090306172273485E-2</v>
      </c>
    </row>
    <row r="569" spans="1:4" x14ac:dyDescent="0.2">
      <c r="A569" s="61">
        <v>41640</v>
      </c>
      <c r="B569" s="68">
        <f>VLOOKUP(Table3[[#This Row],[Date]],Database!A:E,4,)</f>
        <v>238.417</v>
      </c>
      <c r="C569" s="14">
        <f t="shared" si="16"/>
        <v>1.1926108519188512E-3</v>
      </c>
      <c r="D569" s="14">
        <f t="shared" si="17"/>
        <v>1.0841176969388569E-2</v>
      </c>
    </row>
    <row r="570" spans="1:4" x14ac:dyDescent="0.2">
      <c r="A570" s="61">
        <v>41671</v>
      </c>
      <c r="B570" s="68">
        <f>VLOOKUP(Table3[[#This Row],[Date]],Database!A:E,4,)</f>
        <v>239.24700000000001</v>
      </c>
      <c r="C570" s="14">
        <f t="shared" si="16"/>
        <v>3.4812953774269978E-3</v>
      </c>
      <c r="D570" s="14">
        <f t="shared" si="17"/>
        <v>1.4175317821308006E-2</v>
      </c>
    </row>
    <row r="571" spans="1:4" x14ac:dyDescent="0.2">
      <c r="A571" s="61">
        <v>41699</v>
      </c>
      <c r="B571" s="68">
        <f>VLOOKUP(Table3[[#This Row],[Date]],Database!A:E,4,)</f>
        <v>240.24</v>
      </c>
      <c r="C571" s="14">
        <f t="shared" si="16"/>
        <v>4.1505222636020302E-3</v>
      </c>
      <c r="D571" s="14">
        <f t="shared" si="17"/>
        <v>1.7405666370219851E-2</v>
      </c>
    </row>
    <row r="572" spans="1:4" x14ac:dyDescent="0.2">
      <c r="A572" s="61">
        <v>41730</v>
      </c>
      <c r="B572" s="68">
        <f>VLOOKUP(Table3[[#This Row],[Date]],Database!A:E,4,)</f>
        <v>240.995</v>
      </c>
      <c r="C572" s="14">
        <f t="shared" si="16"/>
        <v>3.1426906426906234E-3</v>
      </c>
      <c r="D572" s="14">
        <f t="shared" si="17"/>
        <v>1.8687598806293136E-2</v>
      </c>
    </row>
    <row r="573" spans="1:4" x14ac:dyDescent="0.2">
      <c r="A573" s="61">
        <v>41760</v>
      </c>
      <c r="B573" s="68">
        <f>VLOOKUP(Table3[[#This Row],[Date]],Database!A:E,4,)</f>
        <v>242.107</v>
      </c>
      <c r="C573" s="14">
        <f t="shared" si="16"/>
        <v>4.6142036141828451E-3</v>
      </c>
      <c r="D573" s="14">
        <f t="shared" si="17"/>
        <v>2.4197608159501151E-2</v>
      </c>
    </row>
    <row r="574" spans="1:4" x14ac:dyDescent="0.2">
      <c r="A574" s="61">
        <v>41791</v>
      </c>
      <c r="B574" s="68">
        <f>VLOOKUP(Table3[[#This Row],[Date]],Database!A:E,4,)</f>
        <v>242.345</v>
      </c>
      <c r="C574" s="14">
        <f t="shared" si="16"/>
        <v>9.8303642604302861E-4</v>
      </c>
      <c r="D574" s="14">
        <f t="shared" si="17"/>
        <v>2.2932565678395321E-2</v>
      </c>
    </row>
    <row r="575" spans="1:4" x14ac:dyDescent="0.2">
      <c r="A575" s="61">
        <v>41821</v>
      </c>
      <c r="B575" s="68">
        <f>VLOOKUP(Table3[[#This Row],[Date]],Database!A:E,4,)</f>
        <v>242.88300000000001</v>
      </c>
      <c r="C575" s="14">
        <f t="shared" si="16"/>
        <v>2.2199756545421235E-3</v>
      </c>
      <c r="D575" s="14">
        <f t="shared" si="17"/>
        <v>2.4247995850429926E-2</v>
      </c>
    </row>
    <row r="576" spans="1:4" x14ac:dyDescent="0.2">
      <c r="A576" s="61">
        <v>41852</v>
      </c>
      <c r="B576" s="68">
        <f>VLOOKUP(Table3[[#This Row],[Date]],Database!A:E,4,)</f>
        <v>243.505</v>
      </c>
      <c r="C576" s="14">
        <f t="shared" si="16"/>
        <v>2.5609038096531486E-3</v>
      </c>
      <c r="D576" s="14">
        <f t="shared" si="17"/>
        <v>2.5685847510814697E-2</v>
      </c>
    </row>
    <row r="577" spans="1:4" x14ac:dyDescent="0.2">
      <c r="A577" s="61">
        <v>41883</v>
      </c>
      <c r="B577" s="68">
        <f>VLOOKUP(Table3[[#This Row],[Date]],Database!A:E,4,)</f>
        <v>244.148</v>
      </c>
      <c r="C577" s="14">
        <f t="shared" si="16"/>
        <v>2.6406028623642253E-3</v>
      </c>
      <c r="D577" s="14">
        <f t="shared" si="17"/>
        <v>2.8147424451706354E-2</v>
      </c>
    </row>
    <row r="578" spans="1:4" x14ac:dyDescent="0.2">
      <c r="A578" s="61">
        <v>41913</v>
      </c>
      <c r="B578" s="68">
        <f>VLOOKUP(Table3[[#This Row],[Date]],Database!A:E,4,)</f>
        <v>244.5</v>
      </c>
      <c r="C578" s="14">
        <f t="shared" si="16"/>
        <v>1.4417484476629088E-3</v>
      </c>
      <c r="D578" s="14">
        <f t="shared" si="17"/>
        <v>2.8637780666658199E-2</v>
      </c>
    </row>
    <row r="579" spans="1:4" x14ac:dyDescent="0.2">
      <c r="A579" s="61">
        <v>41944</v>
      </c>
      <c r="B579" s="68">
        <f>VLOOKUP(Table3[[#This Row],[Date]],Database!A:E,4,)</f>
        <v>245.10599999999999</v>
      </c>
      <c r="C579" s="14">
        <f t="shared" si="16"/>
        <v>2.478527607361941E-3</v>
      </c>
      <c r="D579" s="14">
        <f t="shared" si="17"/>
        <v>3.0311692133083858E-2</v>
      </c>
    </row>
    <row r="580" spans="1:4" x14ac:dyDescent="0.2">
      <c r="A580" s="61">
        <v>41974</v>
      </c>
      <c r="B580" s="68">
        <f>VLOOKUP(Table3[[#This Row],[Date]],Database!A:E,4,)</f>
        <v>245.84</v>
      </c>
      <c r="C580" s="14">
        <f t="shared" si="16"/>
        <v>2.9946227346536146E-3</v>
      </c>
      <c r="D580" s="14">
        <f t="shared" si="17"/>
        <v>3.2364267027249448E-2</v>
      </c>
    </row>
    <row r="581" spans="1:4" x14ac:dyDescent="0.2">
      <c r="A581" s="61">
        <v>42005</v>
      </c>
      <c r="B581" s="68">
        <f>VLOOKUP(Table3[[#This Row],[Date]],Database!A:E,4,)</f>
        <v>245.76400000000001</v>
      </c>
      <c r="C581" s="14">
        <f t="shared" si="16"/>
        <v>-3.0914415880244631E-4</v>
      </c>
      <c r="D581" s="14">
        <f t="shared" si="17"/>
        <v>3.081575558789855E-2</v>
      </c>
    </row>
    <row r="582" spans="1:4" x14ac:dyDescent="0.2">
      <c r="A582" s="61">
        <v>42036</v>
      </c>
      <c r="B582" s="68">
        <f>VLOOKUP(Table3[[#This Row],[Date]],Database!A:E,4,)</f>
        <v>246.05600000000001</v>
      </c>
      <c r="C582" s="14">
        <f t="shared" ref="C582:C645" si="18">(B582-B581)/B581</f>
        <v>1.1881317035855601E-3</v>
      </c>
      <c r="D582" s="14">
        <f t="shared" si="17"/>
        <v>2.8460126981738526E-2</v>
      </c>
    </row>
    <row r="583" spans="1:4" x14ac:dyDescent="0.2">
      <c r="A583" s="61">
        <v>42064</v>
      </c>
      <c r="B583" s="68">
        <f>VLOOKUP(Table3[[#This Row],[Date]],Database!A:E,4,)</f>
        <v>245.685</v>
      </c>
      <c r="C583" s="14">
        <f t="shared" si="18"/>
        <v>-1.507786845271033E-3</v>
      </c>
      <c r="D583" s="14">
        <f t="shared" si="17"/>
        <v>2.2664835164835136E-2</v>
      </c>
    </row>
    <row r="584" spans="1:4" x14ac:dyDescent="0.2">
      <c r="A584" s="61">
        <v>42095</v>
      </c>
      <c r="B584" s="68">
        <f>VLOOKUP(Table3[[#This Row],[Date]],Database!A:E,4,)</f>
        <v>245.61500000000001</v>
      </c>
      <c r="C584" s="14">
        <f t="shared" si="18"/>
        <v>-2.8491767914196297E-4</v>
      </c>
      <c r="D584" s="14">
        <f t="shared" si="17"/>
        <v>1.9170522210004374E-2</v>
      </c>
    </row>
    <row r="585" spans="1:4" x14ac:dyDescent="0.2">
      <c r="A585" s="61">
        <v>42125</v>
      </c>
      <c r="B585" s="68">
        <f>VLOOKUP(Table3[[#This Row],[Date]],Database!A:E,4,)</f>
        <v>245.886</v>
      </c>
      <c r="C585" s="14">
        <f t="shared" si="18"/>
        <v>1.10335280825677E-3</v>
      </c>
      <c r="D585" s="14">
        <f t="shared" si="17"/>
        <v>1.5608801067296675E-2</v>
      </c>
    </row>
    <row r="586" spans="1:4" x14ac:dyDescent="0.2">
      <c r="A586" s="61">
        <v>42156</v>
      </c>
      <c r="B586" s="68">
        <f>VLOOKUP(Table3[[#This Row],[Date]],Database!A:E,4,)</f>
        <v>246.511</v>
      </c>
      <c r="C586" s="14">
        <f t="shared" si="18"/>
        <v>2.5418283269482604E-3</v>
      </c>
      <c r="D586" s="14">
        <f t="shared" si="17"/>
        <v>1.7190369101900169E-2</v>
      </c>
    </row>
    <row r="587" spans="1:4" x14ac:dyDescent="0.2">
      <c r="A587" s="61">
        <v>42186</v>
      </c>
      <c r="B587" s="68">
        <f>VLOOKUP(Table3[[#This Row],[Date]],Database!A:E,4,)</f>
        <v>246.733</v>
      </c>
      <c r="C587" s="14">
        <f t="shared" si="18"/>
        <v>9.0056833163635057E-4</v>
      </c>
      <c r="D587" s="14">
        <f t="shared" si="17"/>
        <v>1.5851253484187835E-2</v>
      </c>
    </row>
    <row r="588" spans="1:4" x14ac:dyDescent="0.2">
      <c r="A588" s="61">
        <v>42217</v>
      </c>
      <c r="B588" s="68">
        <f>VLOOKUP(Table3[[#This Row],[Date]],Database!A:E,4,)</f>
        <v>247.29499999999999</v>
      </c>
      <c r="C588" s="14">
        <f t="shared" si="18"/>
        <v>2.2777658440499785E-3</v>
      </c>
      <c r="D588" s="14">
        <f t="shared" si="17"/>
        <v>1.5564362128087686E-2</v>
      </c>
    </row>
    <row r="589" spans="1:4" x14ac:dyDescent="0.2">
      <c r="A589" s="61">
        <v>42248</v>
      </c>
      <c r="B589" s="68">
        <f>VLOOKUP(Table3[[#This Row],[Date]],Database!A:E,4,)</f>
        <v>247.98400000000001</v>
      </c>
      <c r="C589" s="14">
        <f t="shared" si="18"/>
        <v>2.786146100810859E-3</v>
      </c>
      <c r="D589" s="14">
        <f t="shared" si="17"/>
        <v>1.571178137850817E-2</v>
      </c>
    </row>
    <row r="590" spans="1:4" x14ac:dyDescent="0.2">
      <c r="A590" s="61">
        <v>42278</v>
      </c>
      <c r="B590" s="68">
        <f>VLOOKUP(Table3[[#This Row],[Date]],Database!A:E,4,)</f>
        <v>248.28800000000001</v>
      </c>
      <c r="C590" s="14">
        <f t="shared" si="18"/>
        <v>1.2258855410026536E-3</v>
      </c>
      <c r="D590" s="14">
        <f t="shared" si="17"/>
        <v>1.5492842535787366E-2</v>
      </c>
    </row>
    <row r="591" spans="1:4" x14ac:dyDescent="0.2">
      <c r="A591" s="61">
        <v>42309</v>
      </c>
      <c r="B591" s="68">
        <f>VLOOKUP(Table3[[#This Row],[Date]],Database!A:E,4,)</f>
        <v>248.07499999999999</v>
      </c>
      <c r="C591" s="14">
        <f t="shared" si="18"/>
        <v>-8.5787472612459026E-4</v>
      </c>
      <c r="D591" s="14">
        <f t="shared" si="17"/>
        <v>1.2113126565649123E-2</v>
      </c>
    </row>
    <row r="592" spans="1:4" x14ac:dyDescent="0.2">
      <c r="A592" s="61">
        <v>42339</v>
      </c>
      <c r="B592" s="68">
        <f>VLOOKUP(Table3[[#This Row],[Date]],Database!A:E,4,)</f>
        <v>247.761</v>
      </c>
      <c r="C592" s="14">
        <f t="shared" si="18"/>
        <v>-1.2657462460949026E-3</v>
      </c>
      <c r="D592" s="14">
        <f t="shared" si="17"/>
        <v>7.8140253823624807E-3</v>
      </c>
    </row>
    <row r="593" spans="1:4" x14ac:dyDescent="0.2">
      <c r="A593" s="61">
        <v>42370</v>
      </c>
      <c r="B593" s="68">
        <f>VLOOKUP(Table3[[#This Row],[Date]],Database!A:E,4,)</f>
        <v>247.96700000000001</v>
      </c>
      <c r="C593" s="14">
        <f t="shared" si="18"/>
        <v>8.314464342653496E-4</v>
      </c>
      <c r="D593" s="14">
        <f t="shared" ref="D593:D656" si="19">(B593-B581)/B581</f>
        <v>8.9638840513663626E-3</v>
      </c>
    </row>
    <row r="594" spans="1:4" x14ac:dyDescent="0.2">
      <c r="A594" s="61">
        <v>42401</v>
      </c>
      <c r="B594" s="68">
        <f>VLOOKUP(Table3[[#This Row],[Date]],Database!A:E,4,)</f>
        <v>248.244</v>
      </c>
      <c r="C594" s="14">
        <f t="shared" si="18"/>
        <v>1.1170841281298994E-3</v>
      </c>
      <c r="D594" s="14">
        <f t="shared" si="19"/>
        <v>8.8922846831615086E-3</v>
      </c>
    </row>
    <row r="595" spans="1:4" x14ac:dyDescent="0.2">
      <c r="A595" s="61">
        <v>42430</v>
      </c>
      <c r="B595" s="68">
        <f>VLOOKUP(Table3[[#This Row],[Date]],Database!A:E,4,)</f>
        <v>247.69900000000001</v>
      </c>
      <c r="C595" s="14">
        <f t="shared" si="18"/>
        <v>-2.1954206345369373E-3</v>
      </c>
      <c r="D595" s="14">
        <f t="shared" si="19"/>
        <v>8.1974886541710326E-3</v>
      </c>
    </row>
    <row r="596" spans="1:4" x14ac:dyDescent="0.2">
      <c r="A596" s="61">
        <v>42461</v>
      </c>
      <c r="B596" s="68">
        <f>VLOOKUP(Table3[[#This Row],[Date]],Database!A:E,4,)</f>
        <v>247.90600000000001</v>
      </c>
      <c r="C596" s="14">
        <f t="shared" si="18"/>
        <v>8.3569170646629026E-4</v>
      </c>
      <c r="D596" s="14">
        <f t="shared" si="19"/>
        <v>9.3276062129755786E-3</v>
      </c>
    </row>
    <row r="597" spans="1:4" x14ac:dyDescent="0.2">
      <c r="A597" s="61">
        <v>42491</v>
      </c>
      <c r="B597" s="68">
        <f>VLOOKUP(Table3[[#This Row],[Date]],Database!A:E,4,)</f>
        <v>247.57499999999999</v>
      </c>
      <c r="C597" s="14">
        <f t="shared" si="18"/>
        <v>-1.3351834969706957E-3</v>
      </c>
      <c r="D597" s="14">
        <f t="shared" si="19"/>
        <v>6.8690368707449512E-3</v>
      </c>
    </row>
    <row r="598" spans="1:4" x14ac:dyDescent="0.2">
      <c r="A598" s="61">
        <v>42522</v>
      </c>
      <c r="B598" s="68">
        <f>VLOOKUP(Table3[[#This Row],[Date]],Database!A:E,4,)</f>
        <v>247.42</v>
      </c>
      <c r="C598" s="14">
        <f t="shared" si="18"/>
        <v>-6.26072907199843E-4</v>
      </c>
      <c r="D598" s="14">
        <f t="shared" si="19"/>
        <v>3.6874622227811003E-3</v>
      </c>
    </row>
    <row r="599" spans="1:4" x14ac:dyDescent="0.2">
      <c r="A599" s="61">
        <v>42552</v>
      </c>
      <c r="B599" s="68">
        <f>VLOOKUP(Table3[[#This Row],[Date]],Database!A:E,4,)</f>
        <v>247.40600000000001</v>
      </c>
      <c r="C599" s="14">
        <f t="shared" si="18"/>
        <v>-5.6583946326010762E-5</v>
      </c>
      <c r="D599" s="14">
        <f t="shared" si="19"/>
        <v>2.7276448630706141E-3</v>
      </c>
    </row>
    <row r="600" spans="1:4" x14ac:dyDescent="0.2">
      <c r="A600" s="61">
        <v>42583</v>
      </c>
      <c r="B600" s="68">
        <f>VLOOKUP(Table3[[#This Row],[Date]],Database!A:E,4,)</f>
        <v>247.47900000000001</v>
      </c>
      <c r="C600" s="14">
        <f t="shared" si="18"/>
        <v>2.9506155873344829E-4</v>
      </c>
      <c r="D600" s="14">
        <f t="shared" si="19"/>
        <v>7.4405062779282207E-4</v>
      </c>
    </row>
    <row r="601" spans="1:4" x14ac:dyDescent="0.2">
      <c r="A601" s="61">
        <v>42614</v>
      </c>
      <c r="B601" s="68">
        <f>VLOOKUP(Table3[[#This Row],[Date]],Database!A:E,4,)</f>
        <v>247.52799999999999</v>
      </c>
      <c r="C601" s="14">
        <f t="shared" si="18"/>
        <v>1.9799659769102903E-4</v>
      </c>
      <c r="D601" s="14">
        <f t="shared" si="19"/>
        <v>-1.8388283115040377E-3</v>
      </c>
    </row>
    <row r="602" spans="1:4" x14ac:dyDescent="0.2">
      <c r="A602" s="61">
        <v>42644</v>
      </c>
      <c r="B602" s="68">
        <f>VLOOKUP(Table3[[#This Row],[Date]],Database!A:E,4,)</f>
        <v>247.596</v>
      </c>
      <c r="C602" s="14">
        <f t="shared" si="18"/>
        <v>2.7471639572093686E-4</v>
      </c>
      <c r="D602" s="14">
        <f t="shared" si="19"/>
        <v>-2.7870859646862002E-3</v>
      </c>
    </row>
    <row r="603" spans="1:4" x14ac:dyDescent="0.2">
      <c r="A603" s="61">
        <v>42675</v>
      </c>
      <c r="B603" s="68">
        <f>VLOOKUP(Table3[[#This Row],[Date]],Database!A:E,4,)</f>
        <v>247.52500000000001</v>
      </c>
      <c r="C603" s="14">
        <f t="shared" si="18"/>
        <v>-2.8675745973278223E-4</v>
      </c>
      <c r="D603" s="14">
        <f t="shared" si="19"/>
        <v>-2.2170714501662117E-3</v>
      </c>
    </row>
    <row r="604" spans="1:4" x14ac:dyDescent="0.2">
      <c r="A604" s="61">
        <v>42705</v>
      </c>
      <c r="B604" s="68">
        <f>VLOOKUP(Table3[[#This Row],[Date]],Database!A:E,4,)</f>
        <v>247.53</v>
      </c>
      <c r="C604" s="14">
        <f t="shared" si="18"/>
        <v>2.0199979800001828E-5</v>
      </c>
      <c r="D604" s="14">
        <f t="shared" si="19"/>
        <v>-9.3235012774405392E-4</v>
      </c>
    </row>
    <row r="605" spans="1:4" x14ac:dyDescent="0.2">
      <c r="A605" s="61">
        <v>42736</v>
      </c>
      <c r="B605" s="68">
        <f>VLOOKUP(Table3[[#This Row],[Date]],Database!A:E,4,)</f>
        <v>247.86500000000001</v>
      </c>
      <c r="C605" s="14">
        <f t="shared" si="18"/>
        <v>1.3533713085282914E-3</v>
      </c>
      <c r="D605" s="14">
        <f t="shared" si="19"/>
        <v>-4.1134505801176713E-4</v>
      </c>
    </row>
    <row r="606" spans="1:4" x14ac:dyDescent="0.2">
      <c r="A606" s="61">
        <v>42767</v>
      </c>
      <c r="B606" s="68">
        <f>VLOOKUP(Table3[[#This Row],[Date]],Database!A:E,4,)</f>
        <v>248.44300000000001</v>
      </c>
      <c r="C606" s="14">
        <f t="shared" si="18"/>
        <v>2.3319145502592254E-3</v>
      </c>
      <c r="D606" s="14">
        <f t="shared" si="19"/>
        <v>8.0163065371172029E-4</v>
      </c>
    </row>
    <row r="607" spans="1:4" x14ac:dyDescent="0.2">
      <c r="A607" s="61">
        <v>42795</v>
      </c>
      <c r="B607" s="68">
        <f>VLOOKUP(Table3[[#This Row],[Date]],Database!A:E,4,)</f>
        <v>248.92599999999999</v>
      </c>
      <c r="C607" s="14">
        <f t="shared" si="18"/>
        <v>1.9441079040261775E-3</v>
      </c>
      <c r="D607" s="14">
        <f t="shared" si="19"/>
        <v>4.9535928687640058E-3</v>
      </c>
    </row>
    <row r="608" spans="1:4" x14ac:dyDescent="0.2">
      <c r="A608" s="61">
        <v>42826</v>
      </c>
      <c r="B608" s="68">
        <f>VLOOKUP(Table3[[#This Row],[Date]],Database!A:E,4,)</f>
        <v>249.28800000000001</v>
      </c>
      <c r="C608" s="14">
        <f t="shared" si="18"/>
        <v>1.4542474470325448E-3</v>
      </c>
      <c r="D608" s="14">
        <f t="shared" si="19"/>
        <v>5.5746936338773772E-3</v>
      </c>
    </row>
    <row r="609" spans="1:4" x14ac:dyDescent="0.2">
      <c r="A609" s="61">
        <v>42856</v>
      </c>
      <c r="B609" s="68">
        <f>VLOOKUP(Table3[[#This Row],[Date]],Database!A:E,4,)</f>
        <v>249.68600000000001</v>
      </c>
      <c r="C609" s="14">
        <f t="shared" si="18"/>
        <v>1.5965469657584646E-3</v>
      </c>
      <c r="D609" s="14">
        <f t="shared" si="19"/>
        <v>8.5267090780572295E-3</v>
      </c>
    </row>
    <row r="610" spans="1:4" x14ac:dyDescent="0.2">
      <c r="A610" s="61">
        <v>42887</v>
      </c>
      <c r="B610" s="68">
        <f>VLOOKUP(Table3[[#This Row],[Date]],Database!A:E,4,)</f>
        <v>249.53800000000001</v>
      </c>
      <c r="C610" s="14">
        <f t="shared" si="18"/>
        <v>-5.9274448707575167E-4</v>
      </c>
      <c r="D610" s="14">
        <f t="shared" si="19"/>
        <v>8.5603427370464138E-3</v>
      </c>
    </row>
    <row r="611" spans="1:4" x14ac:dyDescent="0.2">
      <c r="A611" s="61">
        <v>42917</v>
      </c>
      <c r="B611" s="68">
        <f>VLOOKUP(Table3[[#This Row],[Date]],Database!A:E,4,)</f>
        <v>250.03200000000001</v>
      </c>
      <c r="C611" s="14">
        <f t="shared" si="18"/>
        <v>1.9796584087393492E-3</v>
      </c>
      <c r="D611" s="14">
        <f t="shared" si="19"/>
        <v>1.0614132236081602E-2</v>
      </c>
    </row>
    <row r="612" spans="1:4" x14ac:dyDescent="0.2">
      <c r="A612" s="61">
        <v>42948</v>
      </c>
      <c r="B612" s="68">
        <f>VLOOKUP(Table3[[#This Row],[Date]],Database!A:E,4,)</f>
        <v>250.249</v>
      </c>
      <c r="C612" s="14">
        <f t="shared" si="18"/>
        <v>8.6788891021943003E-4</v>
      </c>
      <c r="D612" s="14">
        <f t="shared" si="19"/>
        <v>1.1192868889885531E-2</v>
      </c>
    </row>
    <row r="613" spans="1:4" x14ac:dyDescent="0.2">
      <c r="A613" s="61">
        <v>42979</v>
      </c>
      <c r="B613" s="68">
        <f>VLOOKUP(Table3[[#This Row],[Date]],Database!A:E,4,)</f>
        <v>250.678</v>
      </c>
      <c r="C613" s="14">
        <f t="shared" si="18"/>
        <v>1.7142925646056609E-3</v>
      </c>
      <c r="D613" s="14">
        <f t="shared" si="19"/>
        <v>1.2725833037070576E-2</v>
      </c>
    </row>
    <row r="614" spans="1:4" x14ac:dyDescent="0.2">
      <c r="A614" s="61">
        <v>43009</v>
      </c>
      <c r="B614" s="68">
        <f>VLOOKUP(Table3[[#This Row],[Date]],Database!A:E,4,)</f>
        <v>250.91900000000001</v>
      </c>
      <c r="C614" s="14">
        <f t="shared" si="18"/>
        <v>9.613927029895478E-4</v>
      </c>
      <c r="D614" s="14">
        <f t="shared" si="19"/>
        <v>1.3421056882986832E-2</v>
      </c>
    </row>
    <row r="615" spans="1:4" x14ac:dyDescent="0.2">
      <c r="A615" s="61">
        <v>43040</v>
      </c>
      <c r="B615" s="68">
        <f>VLOOKUP(Table3[[#This Row],[Date]],Database!A:E,4,)</f>
        <v>251.04499999999999</v>
      </c>
      <c r="C615" s="14">
        <f t="shared" si="18"/>
        <v>5.021540815959586E-4</v>
      </c>
      <c r="D615" s="14">
        <f t="shared" si="19"/>
        <v>1.4220785779214148E-2</v>
      </c>
    </row>
    <row r="616" spans="1:4" x14ac:dyDescent="0.2">
      <c r="A616" s="61">
        <v>43070</v>
      </c>
      <c r="B616" s="68">
        <f>VLOOKUP(Table3[[#This Row],[Date]],Database!A:E,4,)</f>
        <v>251.47900000000001</v>
      </c>
      <c r="C616" s="14">
        <f t="shared" si="18"/>
        <v>1.7287737258261506E-3</v>
      </c>
      <c r="D616" s="14">
        <f t="shared" si="19"/>
        <v>1.5953621783218245E-2</v>
      </c>
    </row>
    <row r="617" spans="1:4" x14ac:dyDescent="0.2">
      <c r="A617" s="61">
        <v>43101</v>
      </c>
      <c r="B617" s="68">
        <f>VLOOKUP(Table3[[#This Row],[Date]],Database!A:E,4,)</f>
        <v>251.94800000000001</v>
      </c>
      <c r="C617" s="14">
        <f t="shared" si="18"/>
        <v>1.8649668560794105E-3</v>
      </c>
      <c r="D617" s="14">
        <f t="shared" si="19"/>
        <v>1.6472676658664993E-2</v>
      </c>
    </row>
    <row r="618" spans="1:4" x14ac:dyDescent="0.2">
      <c r="A618" s="61">
        <v>43132</v>
      </c>
      <c r="B618" s="68">
        <f>VLOOKUP(Table3[[#This Row],[Date]],Database!A:E,4,)</f>
        <v>251.96100000000001</v>
      </c>
      <c r="C618" s="14">
        <f t="shared" si="18"/>
        <v>5.159794878310298E-5</v>
      </c>
      <c r="D618" s="14">
        <f t="shared" si="19"/>
        <v>1.4160189661210017E-2</v>
      </c>
    </row>
    <row r="619" spans="1:4" x14ac:dyDescent="0.2">
      <c r="A619" s="61">
        <v>43160</v>
      </c>
      <c r="B619" s="68">
        <f>VLOOKUP(Table3[[#This Row],[Date]],Database!A:E,4,)</f>
        <v>252.08199999999999</v>
      </c>
      <c r="C619" s="14">
        <f t="shared" si="18"/>
        <v>4.802330519405023E-4</v>
      </c>
      <c r="D619" s="14">
        <f t="shared" si="19"/>
        <v>1.2678466692912777E-2</v>
      </c>
    </row>
    <row r="620" spans="1:4" x14ac:dyDescent="0.2">
      <c r="A620" s="61">
        <v>43191</v>
      </c>
      <c r="B620" s="68">
        <f>VLOOKUP(Table3[[#This Row],[Date]],Database!A:E,4,)</f>
        <v>252.68600000000001</v>
      </c>
      <c r="C620" s="14">
        <f t="shared" si="18"/>
        <v>2.396045731151028E-3</v>
      </c>
      <c r="D620" s="14">
        <f t="shared" si="19"/>
        <v>1.3630820577003289E-2</v>
      </c>
    </row>
    <row r="621" spans="1:4" x14ac:dyDescent="0.2">
      <c r="A621" s="61">
        <v>43221</v>
      </c>
      <c r="B621" s="68">
        <f>VLOOKUP(Table3[[#This Row],[Date]],Database!A:E,4,)</f>
        <v>252.70599999999999</v>
      </c>
      <c r="C621" s="14">
        <f t="shared" si="18"/>
        <v>7.9149616520035975E-5</v>
      </c>
      <c r="D621" s="14">
        <f t="shared" si="19"/>
        <v>1.209519156060004E-2</v>
      </c>
    </row>
    <row r="622" spans="1:4" x14ac:dyDescent="0.2">
      <c r="A622" s="61">
        <v>43252</v>
      </c>
      <c r="B622" s="68">
        <f>VLOOKUP(Table3[[#This Row],[Date]],Database!A:E,4,)</f>
        <v>253.06800000000001</v>
      </c>
      <c r="C622" s="14">
        <f t="shared" si="18"/>
        <v>1.432494677609646E-3</v>
      </c>
      <c r="D622" s="14">
        <f t="shared" si="19"/>
        <v>1.4146142070546373E-2</v>
      </c>
    </row>
    <row r="623" spans="1:4" x14ac:dyDescent="0.2">
      <c r="A623" s="61">
        <v>43282</v>
      </c>
      <c r="B623" s="68">
        <f>VLOOKUP(Table3[[#This Row],[Date]],Database!A:E,4,)</f>
        <v>253.53100000000001</v>
      </c>
      <c r="C623" s="14">
        <f t="shared" si="18"/>
        <v>1.8295477895269013E-3</v>
      </c>
      <c r="D623" s="14">
        <f t="shared" si="19"/>
        <v>1.3994208741281097E-2</v>
      </c>
    </row>
    <row r="624" spans="1:4" x14ac:dyDescent="0.2">
      <c r="A624" s="61">
        <v>43313</v>
      </c>
      <c r="B624" s="68">
        <f>VLOOKUP(Table3[[#This Row],[Date]],Database!A:E,4,)</f>
        <v>253.81399999999999</v>
      </c>
      <c r="C624" s="14">
        <f t="shared" si="18"/>
        <v>1.1162343066527841E-3</v>
      </c>
      <c r="D624" s="14">
        <f t="shared" si="19"/>
        <v>1.4245811172072607E-2</v>
      </c>
    </row>
    <row r="625" spans="1:4" x14ac:dyDescent="0.2">
      <c r="A625" s="61">
        <v>43344</v>
      </c>
      <c r="B625" s="68">
        <f>VLOOKUP(Table3[[#This Row],[Date]],Database!A:E,4,)</f>
        <v>254.20099999999999</v>
      </c>
      <c r="C625" s="14">
        <f t="shared" si="18"/>
        <v>1.524738588099949E-3</v>
      </c>
      <c r="D625" s="14">
        <f t="shared" si="19"/>
        <v>1.4053885861543479E-2</v>
      </c>
    </row>
    <row r="626" spans="1:4" x14ac:dyDescent="0.2">
      <c r="A626" s="61">
        <v>43374</v>
      </c>
      <c r="B626" s="68">
        <f>VLOOKUP(Table3[[#This Row],[Date]],Database!A:E,4,)</f>
        <v>254.06399999999999</v>
      </c>
      <c r="C626" s="14">
        <f t="shared" si="18"/>
        <v>-5.3894359188201644E-4</v>
      </c>
      <c r="D626" s="14">
        <f t="shared" si="19"/>
        <v>1.2533925290631565E-2</v>
      </c>
    </row>
    <row r="627" spans="1:4" x14ac:dyDescent="0.2">
      <c r="A627" s="61">
        <v>43405</v>
      </c>
      <c r="B627" s="68">
        <f>VLOOKUP(Table3[[#This Row],[Date]],Database!A:E,4,)</f>
        <v>254.68600000000001</v>
      </c>
      <c r="C627" s="14">
        <f t="shared" si="18"/>
        <v>2.4482020278355616E-3</v>
      </c>
      <c r="D627" s="14">
        <f t="shared" si="19"/>
        <v>1.4503375888784958E-2</v>
      </c>
    </row>
    <row r="628" spans="1:4" x14ac:dyDescent="0.2">
      <c r="A628" s="61">
        <v>43435</v>
      </c>
      <c r="B628" s="68">
        <f>VLOOKUP(Table3[[#This Row],[Date]],Database!A:E,4,)</f>
        <v>255.529</v>
      </c>
      <c r="C628" s="14">
        <f t="shared" si="18"/>
        <v>3.3099581445387234E-3</v>
      </c>
      <c r="D628" s="14">
        <f t="shared" si="19"/>
        <v>1.6104724450152826E-2</v>
      </c>
    </row>
    <row r="629" spans="1:4" x14ac:dyDescent="0.2">
      <c r="A629" s="61">
        <v>43466</v>
      </c>
      <c r="B629" s="68">
        <f>VLOOKUP(Table3[[#This Row],[Date]],Database!A:E,4,)</f>
        <v>256.07600000000002</v>
      </c>
      <c r="C629" s="14">
        <f t="shared" si="18"/>
        <v>2.1406572248160696E-3</v>
      </c>
      <c r="D629" s="14">
        <f t="shared" si="19"/>
        <v>1.638433327512032E-2</v>
      </c>
    </row>
    <row r="630" spans="1:4" x14ac:dyDescent="0.2">
      <c r="A630" s="61">
        <v>43497</v>
      </c>
      <c r="B630" s="68">
        <f>VLOOKUP(Table3[[#This Row],[Date]],Database!A:E,4,)</f>
        <v>256.916</v>
      </c>
      <c r="C630" s="14">
        <f t="shared" si="18"/>
        <v>3.2802761680125231E-3</v>
      </c>
      <c r="D630" s="14">
        <f t="shared" si="19"/>
        <v>1.9665741920376501E-2</v>
      </c>
    </row>
    <row r="631" spans="1:4" x14ac:dyDescent="0.2">
      <c r="A631" s="61">
        <v>43525</v>
      </c>
      <c r="B631" s="68">
        <f>VLOOKUP(Table3[[#This Row],[Date]],Database!A:E,4,)</f>
        <v>257.28500000000003</v>
      </c>
      <c r="C631" s="14">
        <f t="shared" si="18"/>
        <v>1.436267106758739E-3</v>
      </c>
      <c r="D631" s="14">
        <f t="shared" si="19"/>
        <v>2.0640109170825493E-2</v>
      </c>
    </row>
    <row r="632" spans="1:4" x14ac:dyDescent="0.2">
      <c r="A632" s="61">
        <v>43556</v>
      </c>
      <c r="B632" s="68">
        <f>VLOOKUP(Table3[[#This Row],[Date]],Database!A:E,4,)</f>
        <v>257.02600000000001</v>
      </c>
      <c r="C632" s="14">
        <f t="shared" si="18"/>
        <v>-1.0066657597606332E-3</v>
      </c>
      <c r="D632" s="14">
        <f t="shared" si="19"/>
        <v>1.7175466784863442E-2</v>
      </c>
    </row>
    <row r="633" spans="1:4" x14ac:dyDescent="0.2">
      <c r="A633" s="61">
        <v>43586</v>
      </c>
      <c r="B633" s="68">
        <f>VLOOKUP(Table3[[#This Row],[Date]],Database!A:E,4,)</f>
        <v>257.57100000000003</v>
      </c>
      <c r="C633" s="14">
        <f t="shared" si="18"/>
        <v>2.12040805210374E-3</v>
      </c>
      <c r="D633" s="14">
        <f t="shared" si="19"/>
        <v>1.9251620460139601E-2</v>
      </c>
    </row>
    <row r="634" spans="1:4" x14ac:dyDescent="0.2">
      <c r="A634" s="61">
        <v>43617</v>
      </c>
      <c r="B634" s="68">
        <f>VLOOKUP(Table3[[#This Row],[Date]],Database!A:E,4,)</f>
        <v>257.70699999999999</v>
      </c>
      <c r="C634" s="14">
        <f t="shared" si="18"/>
        <v>5.2800975265059828E-4</v>
      </c>
      <c r="D634" s="14">
        <f t="shared" si="19"/>
        <v>1.8331041459212469E-2</v>
      </c>
    </row>
    <row r="635" spans="1:4" x14ac:dyDescent="0.2">
      <c r="A635" s="61">
        <v>43647</v>
      </c>
      <c r="B635" s="68">
        <f>VLOOKUP(Table3[[#This Row],[Date]],Database!A:E,4,)</f>
        <v>257.99799999999999</v>
      </c>
      <c r="C635" s="14">
        <f t="shared" si="18"/>
        <v>1.1291893506967091E-3</v>
      </c>
      <c r="D635" s="14">
        <f t="shared" si="19"/>
        <v>1.761914716543533E-2</v>
      </c>
    </row>
    <row r="636" spans="1:4" s="74" customFormat="1" x14ac:dyDescent="0.2">
      <c r="A636" s="61">
        <v>43678</v>
      </c>
      <c r="B636" s="68">
        <f>VLOOKUP(Table3[[#This Row],[Date]],Database!A:E,4,)</f>
        <v>258.15800000000002</v>
      </c>
      <c r="C636" s="14">
        <f t="shared" si="18"/>
        <v>6.2015984620045509E-4</v>
      </c>
      <c r="D636" s="14">
        <f t="shared" si="19"/>
        <v>1.7114895159447557E-2</v>
      </c>
    </row>
    <row r="637" spans="1:4" s="74" customFormat="1" x14ac:dyDescent="0.2">
      <c r="A637" s="61">
        <v>43709</v>
      </c>
      <c r="B637" s="68">
        <f>VLOOKUP(Table3[[#This Row],[Date]],Database!A:E,4,)</f>
        <v>258.74</v>
      </c>
      <c r="C637" s="14">
        <f t="shared" si="18"/>
        <v>2.25443333152563E-3</v>
      </c>
      <c r="D637" s="14">
        <f t="shared" si="19"/>
        <v>1.7855948639069145E-2</v>
      </c>
    </row>
    <row r="638" spans="1:4" s="74" customFormat="1" x14ac:dyDescent="0.2">
      <c r="A638" s="61">
        <v>43739</v>
      </c>
      <c r="B638" s="68">
        <f>VLOOKUP(Table3[[#This Row],[Date]],Database!A:E,4,)</f>
        <v>259.21600000000001</v>
      </c>
      <c r="C638" s="14">
        <f t="shared" si="18"/>
        <v>1.8396846254927692E-3</v>
      </c>
      <c r="D638" s="14">
        <f t="shared" si="19"/>
        <v>2.0278355060142386E-2</v>
      </c>
    </row>
    <row r="639" spans="1:4" s="74" customFormat="1" x14ac:dyDescent="0.2">
      <c r="A639" s="61">
        <v>43770</v>
      </c>
      <c r="B639" s="68">
        <f>VLOOKUP(Table3[[#This Row],[Date]],Database!A:E,4,)</f>
        <v>259.59800000000001</v>
      </c>
      <c r="C639" s="14">
        <f t="shared" si="18"/>
        <v>1.4736744645392453E-3</v>
      </c>
      <c r="D639" s="14">
        <f t="shared" si="19"/>
        <v>1.9286493957265047E-2</v>
      </c>
    </row>
    <row r="640" spans="1:4" s="74" customFormat="1" x14ac:dyDescent="0.2">
      <c r="A640" s="61">
        <v>43800</v>
      </c>
      <c r="B640" s="68">
        <f>VLOOKUP(Table3[[#This Row],[Date]],Database!A:E,4,)</f>
        <v>259.97000000000003</v>
      </c>
      <c r="C640" s="14">
        <f t="shared" si="18"/>
        <v>1.432984845800099E-3</v>
      </c>
      <c r="D640" s="14">
        <f t="shared" si="19"/>
        <v>1.737963205741826E-2</v>
      </c>
    </row>
    <row r="641" spans="1:4" s="74" customFormat="1" x14ac:dyDescent="0.2">
      <c r="A641" s="61">
        <v>43831</v>
      </c>
      <c r="B641" s="68">
        <f>VLOOKUP(Table3[[#This Row],[Date]],Database!A:E,4,)</f>
        <v>260.57900000000001</v>
      </c>
      <c r="C641" s="14">
        <f t="shared" si="18"/>
        <v>2.3425779897679748E-3</v>
      </c>
      <c r="D641" s="14">
        <f t="shared" si="19"/>
        <v>1.7584623314953318E-2</v>
      </c>
    </row>
    <row r="642" spans="1:4" s="74" customFormat="1" x14ac:dyDescent="0.2">
      <c r="A642" s="61">
        <v>43862</v>
      </c>
      <c r="B642" s="68">
        <f>VLOOKUP(Table3[[#This Row],[Date]],Database!A:E,4,)</f>
        <v>261.41199999999998</v>
      </c>
      <c r="C642" s="14">
        <f t="shared" si="18"/>
        <v>3.1967272880775886E-3</v>
      </c>
      <c r="D642" s="14">
        <f t="shared" si="19"/>
        <v>1.7499883230316451E-2</v>
      </c>
    </row>
    <row r="643" spans="1:4" s="74" customFormat="1" x14ac:dyDescent="0.2">
      <c r="A643" s="61">
        <v>43891</v>
      </c>
      <c r="B643" s="68">
        <f>VLOOKUP(Table3[[#This Row],[Date]],Database!A:E,4,)</f>
        <v>262.13200000000001</v>
      </c>
      <c r="C643" s="14">
        <f t="shared" si="18"/>
        <v>2.754272948449296E-3</v>
      </c>
      <c r="D643" s="14">
        <f t="shared" si="19"/>
        <v>1.8839030646947856E-2</v>
      </c>
    </row>
    <row r="644" spans="1:4" s="74" customFormat="1" x14ac:dyDescent="0.2">
      <c r="A644" s="61">
        <v>43922</v>
      </c>
      <c r="B644" s="68">
        <f>VLOOKUP(Table3[[#This Row],[Date]],Database!A:E,4,)</f>
        <v>265.702</v>
      </c>
      <c r="C644" s="14">
        <f t="shared" si="18"/>
        <v>1.3619092670868086E-2</v>
      </c>
      <c r="D644" s="14">
        <f t="shared" si="19"/>
        <v>3.3755339926699976E-2</v>
      </c>
    </row>
    <row r="645" spans="1:4" s="74" customFormat="1" x14ac:dyDescent="0.2">
      <c r="A645" s="61">
        <v>43952</v>
      </c>
      <c r="B645" s="68">
        <f>VLOOKUP(Table3[[#This Row],[Date]],Database!A:E,4,)</f>
        <v>267.47300000000001</v>
      </c>
      <c r="C645" s="14">
        <f t="shared" si="18"/>
        <v>6.6653619468427603E-3</v>
      </c>
      <c r="D645" s="14">
        <f t="shared" si="19"/>
        <v>3.8443768902554971E-2</v>
      </c>
    </row>
    <row r="646" spans="1:4" s="74" customFormat="1" x14ac:dyDescent="0.2">
      <c r="A646" s="61">
        <v>43983</v>
      </c>
      <c r="B646" s="68">
        <f>VLOOKUP(Table3[[#This Row],[Date]],Database!A:E,4,)</f>
        <v>268.84100000000001</v>
      </c>
      <c r="C646" s="14">
        <f t="shared" ref="C646:C664" si="20">(B646-B645)/B645</f>
        <v>5.1145349250204504E-3</v>
      </c>
      <c r="D646" s="14">
        <f t="shared" si="19"/>
        <v>4.3204103885420321E-2</v>
      </c>
    </row>
    <row r="647" spans="1:4" s="74" customFormat="1" x14ac:dyDescent="0.2">
      <c r="A647" s="61">
        <v>44013</v>
      </c>
      <c r="B647" s="68">
        <f>VLOOKUP(Table3[[#This Row],[Date]],Database!A:E,4,)</f>
        <v>268.04700000000003</v>
      </c>
      <c r="C647" s="14">
        <f t="shared" si="20"/>
        <v>-2.9534185633887044E-3</v>
      </c>
      <c r="D647" s="14">
        <f t="shared" si="19"/>
        <v>3.8949914340421381E-2</v>
      </c>
    </row>
    <row r="648" spans="1:4" s="74" customFormat="1" x14ac:dyDescent="0.2">
      <c r="A648" s="61">
        <v>44044</v>
      </c>
      <c r="B648" s="68">
        <f>VLOOKUP(Table3[[#This Row],[Date]],Database!A:E,4,)</f>
        <v>268.37299999999999</v>
      </c>
      <c r="C648" s="14">
        <f t="shared" si="20"/>
        <v>1.2162046208312907E-3</v>
      </c>
      <c r="D648" s="14">
        <f t="shared" si="19"/>
        <v>3.9568791205385749E-2</v>
      </c>
    </row>
    <row r="649" spans="1:4" s="74" customFormat="1" x14ac:dyDescent="0.2">
      <c r="A649" s="61">
        <v>44075</v>
      </c>
      <c r="B649" s="68">
        <f>VLOOKUP(Table3[[#This Row],[Date]],Database!A:E,4,)</f>
        <v>268.62099999999998</v>
      </c>
      <c r="C649" s="14">
        <f t="shared" si="20"/>
        <v>9.2408699831946753E-4</v>
      </c>
      <c r="D649" s="14">
        <f t="shared" si="19"/>
        <v>3.8188915513642931E-2</v>
      </c>
    </row>
    <row r="650" spans="1:4" s="74" customFormat="1" x14ac:dyDescent="0.2">
      <c r="A650" s="61">
        <v>44105</v>
      </c>
      <c r="B650" s="68">
        <f>VLOOKUP(Table3[[#This Row],[Date]],Database!A:E,4,)</f>
        <v>269.16399999999999</v>
      </c>
      <c r="C650" s="14">
        <f t="shared" si="20"/>
        <v>2.0214354052736248E-3</v>
      </c>
      <c r="D650" s="14">
        <f t="shared" si="19"/>
        <v>3.8377260662921957E-2</v>
      </c>
    </row>
    <row r="651" spans="1:4" s="74" customFormat="1" x14ac:dyDescent="0.2">
      <c r="A651" s="61">
        <v>44136</v>
      </c>
      <c r="B651" s="68">
        <f>VLOOKUP(Table3[[#This Row],[Date]],Database!A:E,4,)</f>
        <v>269.14999999999998</v>
      </c>
      <c r="C651" s="14">
        <f t="shared" si="20"/>
        <v>-5.2012899199038521E-5</v>
      </c>
      <c r="D651" s="14">
        <f t="shared" si="19"/>
        <v>3.679535281473649E-2</v>
      </c>
    </row>
    <row r="652" spans="1:4" s="74" customFormat="1" x14ac:dyDescent="0.2">
      <c r="A652" s="61">
        <v>44166</v>
      </c>
      <c r="B652" s="68">
        <f>VLOOKUP(Table3[[#This Row],[Date]],Database!A:E,4,)</f>
        <v>270.01499999999999</v>
      </c>
      <c r="C652" s="14">
        <f t="shared" si="20"/>
        <v>3.2138212892439499E-3</v>
      </c>
      <c r="D652" s="14">
        <f t="shared" si="19"/>
        <v>3.8639073739277448E-2</v>
      </c>
    </row>
    <row r="653" spans="1:4" s="74" customFormat="1" x14ac:dyDescent="0.2">
      <c r="A653" s="61">
        <v>44197</v>
      </c>
      <c r="B653" s="68">
        <f>VLOOKUP(Table3[[#This Row],[Date]],Database!A:E,4,)</f>
        <v>270.21199999999999</v>
      </c>
      <c r="C653" s="14">
        <f t="shared" si="20"/>
        <v>7.2958909690203414E-4</v>
      </c>
      <c r="D653" s="14">
        <f t="shared" si="19"/>
        <v>3.6967675829594794E-2</v>
      </c>
    </row>
    <row r="654" spans="1:4" s="74" customFormat="1" x14ac:dyDescent="0.2">
      <c r="A654" s="61">
        <v>44228</v>
      </c>
      <c r="B654" s="68">
        <f>VLOOKUP(Table3[[#This Row],[Date]],Database!A:E,4,)</f>
        <v>270.60399999999998</v>
      </c>
      <c r="C654" s="14">
        <f t="shared" si="20"/>
        <v>1.4507127736739891E-3</v>
      </c>
      <c r="D654" s="14">
        <f t="shared" si="19"/>
        <v>3.5162884641868043E-2</v>
      </c>
    </row>
    <row r="655" spans="1:4" s="74" customFormat="1" x14ac:dyDescent="0.2">
      <c r="A655" s="61">
        <v>44256</v>
      </c>
      <c r="B655" s="68">
        <f>VLOOKUP(Table3[[#This Row],[Date]],Database!A:E,4,)</f>
        <v>270.94600000000003</v>
      </c>
      <c r="C655" s="14">
        <f t="shared" si="20"/>
        <v>1.2638394110953326E-3</v>
      </c>
      <c r="D655" s="14">
        <f t="shared" si="19"/>
        <v>3.3624280896647568E-2</v>
      </c>
    </row>
    <row r="656" spans="1:4" s="74" customFormat="1" x14ac:dyDescent="0.2">
      <c r="A656" s="61">
        <v>44287</v>
      </c>
      <c r="B656" s="68">
        <f>VLOOKUP(Table3[[#This Row],[Date]],Database!A:E,4,)</f>
        <v>271.93299999999999</v>
      </c>
      <c r="C656" s="14">
        <f t="shared" si="20"/>
        <v>3.6427922907146305E-3</v>
      </c>
      <c r="D656" s="14">
        <f t="shared" si="19"/>
        <v>2.3451084297445992E-2</v>
      </c>
    </row>
    <row r="657" spans="1:4" s="74" customFormat="1" x14ac:dyDescent="0.2">
      <c r="A657" s="61">
        <v>44317</v>
      </c>
      <c r="B657" s="68">
        <f>VLOOKUP(Table3[[#This Row],[Date]],Database!A:E,4,)</f>
        <v>273.12200000000001</v>
      </c>
      <c r="C657" s="14">
        <f t="shared" si="20"/>
        <v>4.3724005545484421E-3</v>
      </c>
      <c r="D657" s="14">
        <f t="shared" ref="D657:D663" si="21">(B657-B645)/B645</f>
        <v>2.1119888736433213E-2</v>
      </c>
    </row>
    <row r="658" spans="1:4" s="74" customFormat="1" x14ac:dyDescent="0.2">
      <c r="A658" s="61">
        <v>44348</v>
      </c>
      <c r="B658" s="68">
        <f>VLOOKUP(Table3[[#This Row],[Date]],Database!A:E,4,)</f>
        <v>275.18299999999999</v>
      </c>
      <c r="C658" s="14">
        <f t="shared" si="20"/>
        <v>7.5460783093268891E-3</v>
      </c>
      <c r="D658" s="14">
        <f t="shared" si="21"/>
        <v>2.3590151799762628E-2</v>
      </c>
    </row>
    <row r="659" spans="1:4" s="74" customFormat="1" x14ac:dyDescent="0.2">
      <c r="A659" s="61">
        <v>44378</v>
      </c>
      <c r="B659" s="68">
        <f>VLOOKUP(Table3[[#This Row],[Date]],Database!A:E,4,)</f>
        <v>277.09100000000001</v>
      </c>
      <c r="C659" s="14">
        <f t="shared" si="20"/>
        <v>6.9335678439439051E-3</v>
      </c>
      <c r="D659" s="14">
        <f t="shared" si="21"/>
        <v>3.3740351505519489E-2</v>
      </c>
    </row>
    <row r="660" spans="1:4" s="74" customFormat="1" x14ac:dyDescent="0.2">
      <c r="A660" s="61">
        <v>44409</v>
      </c>
      <c r="B660" s="68">
        <f>VLOOKUP(Table3[[#This Row],[Date]],Database!A:E,4,)</f>
        <v>278.17700000000002</v>
      </c>
      <c r="C660" s="14">
        <f t="shared" si="20"/>
        <v>3.9192900527264063E-3</v>
      </c>
      <c r="D660" s="14">
        <f t="shared" si="21"/>
        <v>3.6531245691630791E-2</v>
      </c>
    </row>
    <row r="661" spans="1:4" s="74" customFormat="1" x14ac:dyDescent="0.2">
      <c r="A661" s="61">
        <v>44440</v>
      </c>
      <c r="B661" s="68">
        <f>VLOOKUP(Table3[[#This Row],[Date]],Database!A:E,4,)</f>
        <v>280.608</v>
      </c>
      <c r="C661" s="14">
        <f t="shared" si="20"/>
        <v>8.7390402513506972E-3</v>
      </c>
      <c r="D661" s="14">
        <f t="shared" si="21"/>
        <v>4.4624210318627448E-2</v>
      </c>
    </row>
    <row r="662" spans="1:4" s="74" customFormat="1" x14ac:dyDescent="0.2">
      <c r="A662" s="61">
        <v>44470</v>
      </c>
      <c r="B662" s="68">
        <f>VLOOKUP(Table3[[#This Row],[Date]],Database!A:E,4,)</f>
        <v>282.952</v>
      </c>
      <c r="C662" s="14">
        <f t="shared" si="20"/>
        <v>8.3532899988595973E-3</v>
      </c>
      <c r="D662" s="14">
        <f t="shared" si="21"/>
        <v>5.1225275296845091E-2</v>
      </c>
    </row>
    <row r="663" spans="1:4" s="74" customFormat="1" x14ac:dyDescent="0.2">
      <c r="A663" s="61">
        <v>44501</v>
      </c>
      <c r="B663" s="68">
        <f>VLOOKUP(Table3[[#This Row],[Date]],Database!A:E,4,)</f>
        <v>284.83499999999998</v>
      </c>
      <c r="C663" s="14">
        <f t="shared" si="20"/>
        <v>6.6548389832903863E-3</v>
      </c>
      <c r="D663" s="14">
        <f t="shared" si="21"/>
        <v>5.8276054244844895E-2</v>
      </c>
    </row>
    <row r="664" spans="1:4" s="74" customFormat="1" x14ac:dyDescent="0.2">
      <c r="A664" s="61">
        <v>44531</v>
      </c>
      <c r="B664" s="68">
        <f>VLOOKUP(Table3[[#This Row],[Date]],Database!A:E,4,)</f>
        <v>286.255</v>
      </c>
      <c r="C664" s="14">
        <f t="shared" si="20"/>
        <v>4.9853423912090021E-3</v>
      </c>
      <c r="D664" s="14">
        <f t="shared" ref="D664" si="22">(B664-B652)/B652</f>
        <v>6.01448067699943E-2</v>
      </c>
    </row>
    <row r="665" spans="1:4" s="74" customFormat="1" x14ac:dyDescent="0.2">
      <c r="A665" s="2"/>
      <c r="B665" s="64"/>
      <c r="C665" s="2"/>
      <c r="D665" s="2"/>
    </row>
    <row r="666" spans="1:4" s="74" customFormat="1" x14ac:dyDescent="0.2">
      <c r="A666" s="2"/>
      <c r="B666" s="64"/>
      <c r="C666" s="2"/>
      <c r="D666" s="2"/>
    </row>
    <row r="667" spans="1:4" s="74" customFormat="1" x14ac:dyDescent="0.2">
      <c r="A667" s="2"/>
      <c r="B667" s="64"/>
      <c r="C667" s="2"/>
      <c r="D667" s="2"/>
    </row>
    <row r="668" spans="1:4" s="74" customFormat="1" x14ac:dyDescent="0.2">
      <c r="A668" s="2"/>
      <c r="B668" s="64"/>
      <c r="C668" s="2"/>
      <c r="D668" s="2"/>
    </row>
    <row r="669" spans="1:4" s="74" customFormat="1" x14ac:dyDescent="0.2">
      <c r="A669" s="2"/>
      <c r="B669" s="64"/>
      <c r="C669" s="2"/>
      <c r="D669" s="2"/>
    </row>
    <row r="670" spans="1:4" s="74" customFormat="1" x14ac:dyDescent="0.2">
      <c r="A670" s="2"/>
      <c r="B670" s="64"/>
      <c r="C670" s="2"/>
      <c r="D670" s="2"/>
    </row>
    <row r="671" spans="1:4" s="74" customFormat="1" x14ac:dyDescent="0.2">
      <c r="A671" s="2"/>
      <c r="B671" s="64"/>
      <c r="C671" s="2"/>
      <c r="D671" s="2"/>
    </row>
    <row r="672" spans="1:4" s="74" customFormat="1" x14ac:dyDescent="0.2">
      <c r="A672" s="2"/>
      <c r="B672" s="64"/>
      <c r="C672" s="2"/>
      <c r="D672" s="2"/>
    </row>
    <row r="673" spans="1:4" s="74" customFormat="1" x14ac:dyDescent="0.2">
      <c r="A673" s="2"/>
      <c r="B673" s="64"/>
      <c r="C673" s="2"/>
      <c r="D673" s="2"/>
    </row>
    <row r="674" spans="1:4" s="74" customFormat="1" x14ac:dyDescent="0.2">
      <c r="A674" s="2"/>
      <c r="B674" s="64"/>
      <c r="C674" s="2"/>
      <c r="D674" s="2"/>
    </row>
    <row r="675" spans="1:4" s="74" customFormat="1" x14ac:dyDescent="0.2">
      <c r="A675" s="2"/>
      <c r="B675" s="64"/>
      <c r="C675" s="2"/>
      <c r="D675" s="2"/>
    </row>
    <row r="676" spans="1:4" s="74" customFormat="1" x14ac:dyDescent="0.2">
      <c r="A676" s="2"/>
      <c r="B676" s="64"/>
      <c r="C676" s="2"/>
      <c r="D676" s="2"/>
    </row>
    <row r="677" spans="1:4" s="74" customFormat="1" x14ac:dyDescent="0.2">
      <c r="A677" s="2"/>
      <c r="B677" s="64"/>
      <c r="C677" s="2"/>
      <c r="D677" s="2"/>
    </row>
    <row r="678" spans="1:4" s="74" customFormat="1" x14ac:dyDescent="0.2">
      <c r="A678" s="2"/>
      <c r="B678" s="64"/>
      <c r="C678" s="2"/>
      <c r="D678" s="2"/>
    </row>
    <row r="679" spans="1:4" s="74" customFormat="1" x14ac:dyDescent="0.2">
      <c r="A679" s="2"/>
      <c r="B679" s="64"/>
      <c r="C679" s="2"/>
      <c r="D679" s="2"/>
    </row>
    <row r="680" spans="1:4" s="74" customFormat="1" x14ac:dyDescent="0.2">
      <c r="A680" s="2"/>
      <c r="B680" s="64"/>
      <c r="C680" s="2"/>
      <c r="D680" s="2"/>
    </row>
    <row r="681" spans="1:4" s="74" customFormat="1" x14ac:dyDescent="0.2">
      <c r="A681" s="2"/>
      <c r="B681" s="64"/>
      <c r="C681" s="2"/>
      <c r="D681" s="2"/>
    </row>
    <row r="682" spans="1:4" s="74" customFormat="1" x14ac:dyDescent="0.2">
      <c r="A682" s="2"/>
      <c r="B682" s="64"/>
      <c r="C682" s="2"/>
      <c r="D682" s="2"/>
    </row>
    <row r="683" spans="1:4" s="74" customFormat="1" x14ac:dyDescent="0.2">
      <c r="A683" s="2"/>
      <c r="B683" s="64"/>
      <c r="C683" s="2"/>
      <c r="D683" s="2"/>
    </row>
    <row r="684" spans="1:4" s="74" customFormat="1" x14ac:dyDescent="0.2">
      <c r="A684" s="2"/>
      <c r="B684" s="64"/>
      <c r="C684" s="2"/>
      <c r="D684" s="2"/>
    </row>
    <row r="685" spans="1:4" s="74" customFormat="1" x14ac:dyDescent="0.2">
      <c r="A685" s="2"/>
      <c r="B685" s="64"/>
      <c r="C685" s="2"/>
      <c r="D685" s="2"/>
    </row>
    <row r="686" spans="1:4" s="74" customFormat="1" x14ac:dyDescent="0.2">
      <c r="A686" s="2"/>
      <c r="B686" s="64"/>
      <c r="C686" s="2"/>
      <c r="D686" s="2"/>
    </row>
    <row r="687" spans="1:4" s="74" customFormat="1" x14ac:dyDescent="0.2">
      <c r="A687" s="2"/>
      <c r="B687" s="64"/>
      <c r="C687" s="2"/>
      <c r="D687" s="2"/>
    </row>
    <row r="688" spans="1:4" s="74" customFormat="1" x14ac:dyDescent="0.2">
      <c r="A688" s="2"/>
      <c r="B688" s="64"/>
      <c r="C688" s="2"/>
      <c r="D688" s="2"/>
    </row>
    <row r="689" spans="1:4" s="74" customFormat="1" x14ac:dyDescent="0.2">
      <c r="A689" s="2"/>
      <c r="B689" s="64"/>
      <c r="C689" s="2"/>
      <c r="D689" s="2"/>
    </row>
    <row r="690" spans="1:4" s="74" customFormat="1" x14ac:dyDescent="0.2">
      <c r="A690" s="2"/>
      <c r="B690" s="64"/>
      <c r="C690" s="2"/>
      <c r="D690" s="2"/>
    </row>
    <row r="691" spans="1:4" s="74" customFormat="1" x14ac:dyDescent="0.2">
      <c r="A691" s="2"/>
      <c r="B691" s="64"/>
      <c r="C691" s="2"/>
      <c r="D691" s="2"/>
    </row>
    <row r="692" spans="1:4" s="74" customFormat="1" x14ac:dyDescent="0.2">
      <c r="A692" s="2"/>
      <c r="B692" s="64"/>
      <c r="C692" s="2"/>
      <c r="D692" s="2"/>
    </row>
    <row r="693" spans="1:4" s="74" customFormat="1" x14ac:dyDescent="0.2">
      <c r="A693" s="2"/>
      <c r="B693" s="64"/>
      <c r="C693" s="2"/>
      <c r="D693" s="2"/>
    </row>
    <row r="694" spans="1:4" s="74" customFormat="1" x14ac:dyDescent="0.2">
      <c r="A694" s="2"/>
      <c r="B694" s="64"/>
      <c r="C694" s="2"/>
      <c r="D694" s="2"/>
    </row>
    <row r="695" spans="1:4" s="74" customFormat="1" x14ac:dyDescent="0.2">
      <c r="A695" s="2"/>
      <c r="B695" s="64"/>
      <c r="C695" s="2"/>
      <c r="D695" s="2"/>
    </row>
    <row r="696" spans="1:4" s="74" customFormat="1" x14ac:dyDescent="0.2">
      <c r="A696" s="2"/>
      <c r="B696" s="64"/>
      <c r="C696" s="2"/>
      <c r="D696" s="2"/>
    </row>
    <row r="697" spans="1:4" s="74" customFormat="1" x14ac:dyDescent="0.2">
      <c r="A697" s="2"/>
      <c r="B697" s="64"/>
      <c r="C697" s="2"/>
      <c r="D697" s="2"/>
    </row>
    <row r="698" spans="1:4" s="74" customFormat="1" x14ac:dyDescent="0.2">
      <c r="A698" s="2"/>
      <c r="B698" s="64"/>
      <c r="C698" s="2"/>
      <c r="D698" s="2"/>
    </row>
    <row r="699" spans="1:4" s="74" customFormat="1" x14ac:dyDescent="0.2">
      <c r="A699" s="2"/>
      <c r="B699" s="64"/>
      <c r="C699" s="2"/>
      <c r="D699" s="2"/>
    </row>
    <row r="700" spans="1:4" s="74" customFormat="1" x14ac:dyDescent="0.2">
      <c r="A700" s="2"/>
      <c r="B700" s="64"/>
      <c r="C700" s="2"/>
      <c r="D700" s="2"/>
    </row>
    <row r="701" spans="1:4" s="74" customFormat="1" x14ac:dyDescent="0.2">
      <c r="A701" s="2"/>
      <c r="B701" s="64"/>
      <c r="C701" s="2"/>
      <c r="D701" s="2"/>
    </row>
    <row r="702" spans="1:4" s="74" customFormat="1" x14ac:dyDescent="0.2">
      <c r="A702" s="2"/>
      <c r="B702" s="64"/>
      <c r="C702" s="2"/>
      <c r="D702" s="2"/>
    </row>
    <row r="703" spans="1:4" s="74" customFormat="1" x14ac:dyDescent="0.2">
      <c r="A703" s="2"/>
      <c r="B703" s="64"/>
      <c r="C703" s="2"/>
      <c r="D703" s="2"/>
    </row>
    <row r="704" spans="1:4" s="74" customFormat="1" x14ac:dyDescent="0.2">
      <c r="A704" s="2"/>
      <c r="B704" s="64"/>
      <c r="C704" s="2"/>
      <c r="D704" s="2"/>
    </row>
    <row r="705" spans="1:4" s="74" customFormat="1" x14ac:dyDescent="0.2">
      <c r="A705" s="2"/>
      <c r="B705" s="64"/>
      <c r="C705" s="2"/>
      <c r="D705" s="2"/>
    </row>
    <row r="706" spans="1:4" s="74" customFormat="1" x14ac:dyDescent="0.2">
      <c r="A706" s="2"/>
      <c r="B706" s="64"/>
      <c r="C706" s="2"/>
      <c r="D706" s="2"/>
    </row>
    <row r="707" spans="1:4" s="74" customFormat="1" x14ac:dyDescent="0.2">
      <c r="A707" s="2"/>
      <c r="B707" s="64"/>
      <c r="C707" s="2"/>
      <c r="D707" s="2"/>
    </row>
    <row r="708" spans="1:4" s="74" customFormat="1" x14ac:dyDescent="0.2">
      <c r="A708" s="2"/>
      <c r="B708" s="64"/>
      <c r="C708" s="2"/>
      <c r="D708" s="2"/>
    </row>
    <row r="709" spans="1:4" s="74" customFormat="1" x14ac:dyDescent="0.2">
      <c r="A709" s="2"/>
      <c r="B709" s="64"/>
      <c r="C709" s="2"/>
      <c r="D709" s="2"/>
    </row>
    <row r="710" spans="1:4" s="74" customFormat="1" x14ac:dyDescent="0.2">
      <c r="A710" s="2"/>
      <c r="B710" s="64"/>
      <c r="C710" s="2"/>
      <c r="D710" s="2"/>
    </row>
    <row r="711" spans="1:4" s="74" customFormat="1" x14ac:dyDescent="0.2">
      <c r="A711" s="2"/>
      <c r="B711" s="64"/>
      <c r="C711" s="2"/>
      <c r="D711" s="2"/>
    </row>
    <row r="712" spans="1:4" s="74" customFormat="1" x14ac:dyDescent="0.2">
      <c r="A712" s="2"/>
      <c r="B712" s="64"/>
      <c r="C712" s="2"/>
      <c r="D712" s="2"/>
    </row>
    <row r="713" spans="1:4" s="74" customFormat="1" x14ac:dyDescent="0.2">
      <c r="A713" s="2"/>
      <c r="B713" s="64"/>
      <c r="C713" s="2"/>
      <c r="D713" s="2"/>
    </row>
    <row r="714" spans="1:4" s="74" customFormat="1" x14ac:dyDescent="0.2">
      <c r="A714" s="2"/>
      <c r="B714" s="64"/>
      <c r="C714" s="2"/>
      <c r="D714" s="2"/>
    </row>
    <row r="715" spans="1:4" s="74" customFormat="1" x14ac:dyDescent="0.2">
      <c r="A715" s="2"/>
      <c r="B715" s="64"/>
      <c r="C715" s="2"/>
      <c r="D715" s="2"/>
    </row>
    <row r="716" spans="1:4" s="74" customFormat="1" x14ac:dyDescent="0.2">
      <c r="A716" s="2"/>
      <c r="B716" s="64"/>
      <c r="C716" s="2"/>
      <c r="D716" s="2"/>
    </row>
    <row r="717" spans="1:4" s="74" customFormat="1" x14ac:dyDescent="0.2">
      <c r="A717" s="2"/>
      <c r="B717" s="64"/>
      <c r="C717" s="2"/>
      <c r="D717" s="2"/>
    </row>
    <row r="718" spans="1:4" s="74" customFormat="1" x14ac:dyDescent="0.2">
      <c r="A718" s="2"/>
      <c r="B718" s="64"/>
      <c r="C718" s="2"/>
      <c r="D718" s="2"/>
    </row>
    <row r="719" spans="1:4" s="74" customFormat="1" x14ac:dyDescent="0.2">
      <c r="A719" s="2"/>
      <c r="B719" s="64"/>
      <c r="C719" s="2"/>
      <c r="D719" s="2"/>
    </row>
    <row r="720" spans="1:4" s="74" customFormat="1" x14ac:dyDescent="0.2">
      <c r="A720" s="2"/>
      <c r="B720" s="64"/>
      <c r="C720" s="2"/>
      <c r="D720" s="2"/>
    </row>
    <row r="721" spans="1:4" s="74" customFormat="1" x14ac:dyDescent="0.2">
      <c r="A721" s="2"/>
      <c r="B721" s="64"/>
      <c r="C721" s="2"/>
      <c r="D721" s="2"/>
    </row>
    <row r="722" spans="1:4" s="74" customFormat="1" x14ac:dyDescent="0.2">
      <c r="A722" s="2"/>
      <c r="B722" s="64"/>
      <c r="C722" s="2"/>
      <c r="D722" s="2"/>
    </row>
    <row r="723" spans="1:4" s="74" customFormat="1" x14ac:dyDescent="0.2">
      <c r="A723" s="2"/>
      <c r="B723" s="64"/>
      <c r="C723" s="2"/>
      <c r="D723" s="2"/>
    </row>
    <row r="724" spans="1:4" s="74" customFormat="1" x14ac:dyDescent="0.2">
      <c r="A724" s="2"/>
      <c r="B724" s="64"/>
      <c r="C724" s="2"/>
      <c r="D724" s="2"/>
    </row>
    <row r="725" spans="1:4" s="74" customFormat="1" x14ac:dyDescent="0.2">
      <c r="A725" s="2"/>
      <c r="B725" s="64"/>
      <c r="C725" s="2"/>
      <c r="D725" s="2"/>
    </row>
    <row r="726" spans="1:4" s="74" customFormat="1" x14ac:dyDescent="0.2">
      <c r="A726" s="2"/>
      <c r="B726" s="64"/>
      <c r="C726" s="2"/>
      <c r="D726" s="2"/>
    </row>
    <row r="727" spans="1:4" s="74" customFormat="1" x14ac:dyDescent="0.2">
      <c r="A727" s="2"/>
      <c r="B727" s="64"/>
      <c r="C727" s="2"/>
      <c r="D727" s="2"/>
    </row>
    <row r="728" spans="1:4" s="74" customFormat="1" x14ac:dyDescent="0.2">
      <c r="A728" s="2"/>
      <c r="B728" s="64"/>
      <c r="C728" s="2"/>
      <c r="D728" s="2"/>
    </row>
    <row r="729" spans="1:4" s="74" customFormat="1" x14ac:dyDescent="0.2">
      <c r="A729" s="2"/>
      <c r="B729" s="64"/>
      <c r="C729" s="2"/>
      <c r="D729" s="2"/>
    </row>
    <row r="730" spans="1:4" s="74" customFormat="1" x14ac:dyDescent="0.2">
      <c r="A730" s="2"/>
      <c r="B730" s="64"/>
      <c r="C730" s="2"/>
      <c r="D730" s="2"/>
    </row>
    <row r="731" spans="1:4" s="74" customFormat="1" x14ac:dyDescent="0.2">
      <c r="A731" s="2"/>
      <c r="B731" s="64"/>
      <c r="C731" s="2"/>
      <c r="D731" s="2"/>
    </row>
    <row r="732" spans="1:4" s="74" customFormat="1" x14ac:dyDescent="0.2">
      <c r="A732" s="2"/>
      <c r="B732" s="64"/>
      <c r="C732" s="2"/>
      <c r="D732" s="2"/>
    </row>
    <row r="733" spans="1:4" s="74" customFormat="1" x14ac:dyDescent="0.2">
      <c r="A733" s="2"/>
      <c r="B733" s="64"/>
      <c r="C733" s="2"/>
      <c r="D733" s="2"/>
    </row>
    <row r="734" spans="1:4" s="74" customFormat="1" x14ac:dyDescent="0.2">
      <c r="A734" s="2"/>
      <c r="B734" s="64"/>
      <c r="C734" s="2"/>
      <c r="D734" s="2"/>
    </row>
    <row r="735" spans="1:4" s="74" customFormat="1" x14ac:dyDescent="0.2">
      <c r="A735" s="2"/>
      <c r="B735" s="64"/>
      <c r="C735" s="2"/>
      <c r="D735" s="2"/>
    </row>
    <row r="736" spans="1:4" s="74" customFormat="1" x14ac:dyDescent="0.2">
      <c r="A736" s="2"/>
      <c r="B736" s="64"/>
      <c r="C736" s="2"/>
      <c r="D736" s="2"/>
    </row>
    <row r="737" spans="1:4" s="74" customFormat="1" x14ac:dyDescent="0.2">
      <c r="A737" s="2"/>
      <c r="B737" s="64"/>
      <c r="C737" s="2"/>
      <c r="D737" s="2"/>
    </row>
    <row r="738" spans="1:4" s="74" customFormat="1" x14ac:dyDescent="0.2">
      <c r="A738" s="2"/>
      <c r="B738" s="64"/>
      <c r="C738" s="2"/>
      <c r="D738" s="2"/>
    </row>
    <row r="739" spans="1:4" s="74" customFormat="1" x14ac:dyDescent="0.2">
      <c r="A739" s="2"/>
      <c r="B739" s="64"/>
      <c r="C739" s="2"/>
      <c r="D739" s="2"/>
    </row>
    <row r="740" spans="1:4" s="74" customFormat="1" x14ac:dyDescent="0.2">
      <c r="A740" s="2"/>
      <c r="B740" s="64"/>
      <c r="C740" s="2"/>
      <c r="D740" s="2"/>
    </row>
    <row r="741" spans="1:4" s="74" customFormat="1" x14ac:dyDescent="0.2">
      <c r="A741" s="2"/>
      <c r="B741" s="64"/>
      <c r="C741" s="2"/>
      <c r="D741" s="2"/>
    </row>
    <row r="742" spans="1:4" s="74" customFormat="1" x14ac:dyDescent="0.2">
      <c r="A742" s="2"/>
      <c r="B742" s="64"/>
      <c r="C742" s="2"/>
      <c r="D742" s="2"/>
    </row>
    <row r="743" spans="1:4" s="74" customFormat="1" x14ac:dyDescent="0.2">
      <c r="A743" s="2"/>
      <c r="B743" s="64"/>
      <c r="C743" s="2"/>
      <c r="D743" s="2"/>
    </row>
    <row r="744" spans="1:4" s="74" customFormat="1" x14ac:dyDescent="0.2">
      <c r="A744" s="2"/>
      <c r="B744" s="64"/>
      <c r="C744" s="2"/>
      <c r="D744" s="2"/>
    </row>
    <row r="745" spans="1:4" s="74" customFormat="1" x14ac:dyDescent="0.2">
      <c r="A745" s="2"/>
      <c r="B745" s="64"/>
      <c r="C745" s="2"/>
      <c r="D745" s="2"/>
    </row>
    <row r="746" spans="1:4" s="74" customFormat="1" x14ac:dyDescent="0.2">
      <c r="A746" s="2"/>
      <c r="B746" s="64"/>
      <c r="C746" s="2"/>
      <c r="D746" s="2"/>
    </row>
    <row r="747" spans="1:4" s="74" customFormat="1" x14ac:dyDescent="0.2">
      <c r="A747" s="2"/>
      <c r="B747" s="64"/>
      <c r="C747" s="2"/>
      <c r="D747" s="2"/>
    </row>
    <row r="748" spans="1:4" s="74" customFormat="1" x14ac:dyDescent="0.2">
      <c r="A748" s="2"/>
      <c r="B748" s="64"/>
      <c r="C748" s="2"/>
      <c r="D748" s="2"/>
    </row>
    <row r="749" spans="1:4" s="74" customFormat="1" x14ac:dyDescent="0.2">
      <c r="A749" s="2"/>
      <c r="B749" s="64"/>
      <c r="C749" s="2"/>
      <c r="D749" s="2"/>
    </row>
    <row r="750" spans="1:4" s="74" customFormat="1" x14ac:dyDescent="0.2">
      <c r="A750" s="2"/>
      <c r="B750" s="64"/>
      <c r="C750" s="2"/>
      <c r="D750" s="2"/>
    </row>
    <row r="751" spans="1:4" s="74" customFormat="1" x14ac:dyDescent="0.2">
      <c r="A751" s="2"/>
      <c r="B751" s="64"/>
      <c r="C751" s="2"/>
      <c r="D751" s="2"/>
    </row>
    <row r="752" spans="1:4" s="74" customFormat="1" x14ac:dyDescent="0.2">
      <c r="A752" s="2"/>
      <c r="B752" s="64"/>
      <c r="C752" s="2"/>
      <c r="D752" s="2"/>
    </row>
    <row r="753" spans="1:4" s="74" customFormat="1" x14ac:dyDescent="0.2">
      <c r="A753" s="2"/>
      <c r="B753" s="64"/>
      <c r="C753" s="2"/>
      <c r="D753" s="2"/>
    </row>
    <row r="754" spans="1:4" s="74" customFormat="1" x14ac:dyDescent="0.2">
      <c r="A754" s="2"/>
      <c r="B754" s="64"/>
      <c r="C754" s="2"/>
      <c r="D754" s="2"/>
    </row>
    <row r="755" spans="1:4" s="74" customFormat="1" x14ac:dyDescent="0.2">
      <c r="A755" s="2"/>
      <c r="B755" s="64"/>
      <c r="C755" s="2"/>
      <c r="D755" s="2"/>
    </row>
    <row r="756" spans="1:4" s="74" customFormat="1" x14ac:dyDescent="0.2">
      <c r="A756" s="2"/>
      <c r="B756" s="64"/>
      <c r="C756" s="2"/>
      <c r="D756" s="2"/>
    </row>
    <row r="757" spans="1:4" s="74" customFormat="1" x14ac:dyDescent="0.2">
      <c r="A757" s="2"/>
      <c r="B757" s="64"/>
      <c r="C757" s="2"/>
      <c r="D757" s="2"/>
    </row>
    <row r="758" spans="1:4" s="74" customFormat="1" x14ac:dyDescent="0.2">
      <c r="A758" s="2"/>
      <c r="B758" s="64"/>
      <c r="C758" s="2"/>
      <c r="D758" s="2"/>
    </row>
    <row r="759" spans="1:4" s="74" customFormat="1" x14ac:dyDescent="0.2">
      <c r="A759" s="2"/>
      <c r="B759" s="64"/>
      <c r="C759" s="2"/>
      <c r="D759" s="2"/>
    </row>
    <row r="760" spans="1:4" s="74" customFormat="1" x14ac:dyDescent="0.2">
      <c r="A760" s="2"/>
      <c r="B760" s="64"/>
      <c r="C760" s="2"/>
      <c r="D760" s="2"/>
    </row>
    <row r="761" spans="1:4" s="74" customFormat="1" x14ac:dyDescent="0.2">
      <c r="A761" s="2"/>
      <c r="B761" s="64"/>
      <c r="C761" s="2"/>
      <c r="D761" s="2"/>
    </row>
    <row r="762" spans="1:4" s="74" customFormat="1" x14ac:dyDescent="0.2">
      <c r="A762" s="2"/>
      <c r="B762" s="64"/>
      <c r="C762" s="2"/>
      <c r="D762" s="2"/>
    </row>
    <row r="763" spans="1:4" s="74" customFormat="1" x14ac:dyDescent="0.2">
      <c r="A763" s="2"/>
      <c r="B763" s="64"/>
      <c r="C763" s="2"/>
      <c r="D763" s="2"/>
    </row>
    <row r="764" spans="1:4" s="74" customFormat="1" x14ac:dyDescent="0.2">
      <c r="A764" s="2"/>
      <c r="B764" s="64"/>
      <c r="C764" s="2"/>
      <c r="D764" s="2"/>
    </row>
    <row r="765" spans="1:4" s="74" customFormat="1" x14ac:dyDescent="0.2">
      <c r="A765" s="2"/>
      <c r="B765" s="64"/>
      <c r="C765" s="2"/>
      <c r="D765" s="2"/>
    </row>
    <row r="766" spans="1:4" s="74" customFormat="1" x14ac:dyDescent="0.2">
      <c r="A766" s="2"/>
      <c r="B766" s="64"/>
      <c r="C766" s="2"/>
      <c r="D766" s="2"/>
    </row>
    <row r="767" spans="1:4" s="74" customFormat="1" x14ac:dyDescent="0.2">
      <c r="A767" s="2"/>
      <c r="B767" s="64"/>
      <c r="C767" s="2"/>
      <c r="D767" s="2"/>
    </row>
    <row r="768" spans="1:4" s="74" customFormat="1" x14ac:dyDescent="0.2">
      <c r="A768" s="2"/>
      <c r="B768" s="64"/>
      <c r="C768" s="2"/>
      <c r="D768" s="2"/>
    </row>
    <row r="769" spans="1:4" s="74" customFormat="1" x14ac:dyDescent="0.2">
      <c r="A769" s="2"/>
      <c r="B769" s="64"/>
      <c r="C769" s="2"/>
      <c r="D769" s="2"/>
    </row>
    <row r="770" spans="1:4" s="74" customFormat="1" x14ac:dyDescent="0.2">
      <c r="A770" s="2"/>
      <c r="B770" s="64"/>
      <c r="C770" s="2"/>
      <c r="D770" s="2"/>
    </row>
    <row r="771" spans="1:4" s="74" customFormat="1" x14ac:dyDescent="0.2">
      <c r="A771" s="2"/>
      <c r="B771" s="64"/>
      <c r="C771" s="2"/>
      <c r="D771" s="2"/>
    </row>
    <row r="772" spans="1:4" s="74" customFormat="1" x14ac:dyDescent="0.2">
      <c r="A772" s="2"/>
      <c r="B772" s="64"/>
      <c r="C772" s="2"/>
      <c r="D772" s="2"/>
    </row>
    <row r="773" spans="1:4" s="74" customFormat="1" x14ac:dyDescent="0.2">
      <c r="A773" s="2"/>
      <c r="B773" s="64"/>
      <c r="C773" s="2"/>
      <c r="D773" s="2"/>
    </row>
    <row r="774" spans="1:4" s="74" customFormat="1" x14ac:dyDescent="0.2">
      <c r="A774" s="2"/>
      <c r="B774" s="64"/>
      <c r="C774" s="2"/>
      <c r="D774" s="2"/>
    </row>
    <row r="775" spans="1:4" s="74" customFormat="1" x14ac:dyDescent="0.2">
      <c r="A775" s="2"/>
      <c r="B775" s="64"/>
      <c r="C775" s="2"/>
      <c r="D775" s="2"/>
    </row>
    <row r="776" spans="1:4" s="74" customFormat="1" x14ac:dyDescent="0.2">
      <c r="A776" s="2"/>
      <c r="B776" s="64"/>
      <c r="C776" s="2"/>
      <c r="D776" s="2"/>
    </row>
    <row r="777" spans="1:4" s="74" customFormat="1" x14ac:dyDescent="0.2">
      <c r="A777" s="2"/>
      <c r="B777" s="64"/>
      <c r="C777" s="2"/>
      <c r="D777" s="2"/>
    </row>
    <row r="778" spans="1:4" s="74" customFormat="1" x14ac:dyDescent="0.2">
      <c r="A778" s="2"/>
      <c r="B778" s="64"/>
      <c r="C778" s="2"/>
      <c r="D778" s="2"/>
    </row>
    <row r="779" spans="1:4" s="74" customFormat="1" x14ac:dyDescent="0.2">
      <c r="A779" s="2"/>
      <c r="B779" s="64"/>
      <c r="C779" s="2"/>
      <c r="D779" s="2"/>
    </row>
    <row r="780" spans="1:4" s="74" customFormat="1" x14ac:dyDescent="0.2">
      <c r="A780" s="2"/>
      <c r="B780" s="64"/>
      <c r="C780" s="2"/>
      <c r="D780" s="2"/>
    </row>
    <row r="781" spans="1:4" s="74" customFormat="1" x14ac:dyDescent="0.2">
      <c r="A781" s="2"/>
      <c r="B781" s="64"/>
      <c r="C781" s="2"/>
      <c r="D781" s="2"/>
    </row>
    <row r="782" spans="1:4" s="74" customFormat="1" x14ac:dyDescent="0.2">
      <c r="A782" s="2"/>
      <c r="B782" s="64"/>
      <c r="C782" s="2"/>
      <c r="D782" s="2"/>
    </row>
    <row r="783" spans="1:4" s="74" customFormat="1" x14ac:dyDescent="0.2">
      <c r="A783" s="2"/>
      <c r="B783" s="64"/>
      <c r="C783" s="2"/>
      <c r="D783" s="2"/>
    </row>
    <row r="784" spans="1:4" s="74" customFormat="1" x14ac:dyDescent="0.2">
      <c r="A784" s="2"/>
      <c r="B784" s="64"/>
      <c r="C784" s="2"/>
      <c r="D784" s="2"/>
    </row>
    <row r="785" spans="1:4" s="74" customFormat="1" x14ac:dyDescent="0.2">
      <c r="A785" s="2"/>
      <c r="B785" s="64"/>
      <c r="C785" s="2"/>
      <c r="D785" s="2"/>
    </row>
    <row r="786" spans="1:4" s="74" customFormat="1" x14ac:dyDescent="0.2">
      <c r="A786" s="2"/>
      <c r="B786" s="64"/>
      <c r="C786" s="2"/>
      <c r="D786" s="2"/>
    </row>
    <row r="787" spans="1:4" s="74" customFormat="1" x14ac:dyDescent="0.2">
      <c r="A787" s="2"/>
      <c r="B787" s="64"/>
      <c r="C787" s="2"/>
      <c r="D787" s="2"/>
    </row>
    <row r="788" spans="1:4" s="74" customFormat="1" x14ac:dyDescent="0.2">
      <c r="A788" s="2"/>
      <c r="B788" s="64"/>
      <c r="C788" s="2"/>
      <c r="D788" s="2"/>
    </row>
    <row r="789" spans="1:4" s="74" customFormat="1" x14ac:dyDescent="0.2">
      <c r="A789" s="2"/>
      <c r="B789" s="64"/>
      <c r="C789" s="2"/>
      <c r="D789" s="2"/>
    </row>
    <row r="790" spans="1:4" s="74" customFormat="1" x14ac:dyDescent="0.2">
      <c r="A790" s="2"/>
      <c r="B790" s="64"/>
      <c r="C790" s="2"/>
      <c r="D790" s="2"/>
    </row>
    <row r="791" spans="1:4" s="74" customFormat="1" x14ac:dyDescent="0.2">
      <c r="A791" s="2"/>
      <c r="B791" s="64"/>
      <c r="C791" s="2"/>
      <c r="D791" s="2"/>
    </row>
    <row r="792" spans="1:4" s="74" customFormat="1" x14ac:dyDescent="0.2">
      <c r="A792" s="2"/>
      <c r="B792" s="64"/>
      <c r="C792" s="2"/>
      <c r="D792" s="2"/>
    </row>
    <row r="793" spans="1:4" s="74" customFormat="1" x14ac:dyDescent="0.2">
      <c r="A793" s="2"/>
      <c r="B793" s="64"/>
      <c r="C793" s="2"/>
      <c r="D793" s="2"/>
    </row>
    <row r="794" spans="1:4" s="74" customFormat="1" x14ac:dyDescent="0.2">
      <c r="A794" s="2"/>
      <c r="B794" s="64"/>
      <c r="C794" s="2"/>
      <c r="D794" s="2"/>
    </row>
    <row r="795" spans="1:4" s="74" customFormat="1" x14ac:dyDescent="0.2">
      <c r="A795" s="2"/>
      <c r="B795" s="64"/>
      <c r="C795" s="2"/>
      <c r="D795" s="2"/>
    </row>
    <row r="796" spans="1:4" s="74" customFormat="1" x14ac:dyDescent="0.2">
      <c r="A796" s="2"/>
      <c r="B796" s="64"/>
      <c r="C796" s="2"/>
      <c r="D796" s="2"/>
    </row>
    <row r="797" spans="1:4" s="74" customFormat="1" x14ac:dyDescent="0.2">
      <c r="A797" s="2"/>
      <c r="B797" s="64"/>
      <c r="C797" s="2"/>
      <c r="D797" s="2"/>
    </row>
    <row r="798" spans="1:4" s="74" customFormat="1" x14ac:dyDescent="0.2">
      <c r="A798" s="2"/>
      <c r="B798" s="64"/>
      <c r="C798" s="2"/>
      <c r="D798" s="2"/>
    </row>
    <row r="799" spans="1:4" s="74" customFormat="1" x14ac:dyDescent="0.2">
      <c r="A799" s="2"/>
      <c r="B799" s="64"/>
      <c r="C799" s="2"/>
      <c r="D799" s="2"/>
    </row>
    <row r="800" spans="1:4" s="74" customFormat="1" x14ac:dyDescent="0.2">
      <c r="A800" s="2"/>
      <c r="B800" s="64"/>
      <c r="C800" s="2"/>
      <c r="D800" s="2"/>
    </row>
    <row r="801" spans="1:4" s="74" customFormat="1" x14ac:dyDescent="0.2">
      <c r="A801" s="2"/>
      <c r="B801" s="64"/>
      <c r="C801" s="2"/>
      <c r="D801" s="2"/>
    </row>
    <row r="802" spans="1:4" s="74" customFormat="1" x14ac:dyDescent="0.2">
      <c r="A802" s="2"/>
      <c r="B802" s="64"/>
      <c r="C802" s="2"/>
      <c r="D802" s="2"/>
    </row>
    <row r="803" spans="1:4" s="74" customFormat="1" x14ac:dyDescent="0.2">
      <c r="A803" s="2"/>
      <c r="B803" s="64"/>
      <c r="C803" s="2"/>
      <c r="D803" s="2"/>
    </row>
    <row r="804" spans="1:4" s="74" customFormat="1" x14ac:dyDescent="0.2">
      <c r="A804" s="2"/>
      <c r="B804" s="64"/>
      <c r="C804" s="2"/>
      <c r="D804" s="2"/>
    </row>
    <row r="805" spans="1:4" s="74" customFormat="1" x14ac:dyDescent="0.2">
      <c r="A805" s="2"/>
      <c r="B805" s="64"/>
      <c r="C805" s="2"/>
      <c r="D805" s="2"/>
    </row>
    <row r="806" spans="1:4" s="74" customFormat="1" x14ac:dyDescent="0.2">
      <c r="A806" s="2"/>
      <c r="B806" s="64"/>
      <c r="C806" s="2"/>
      <c r="D806" s="2"/>
    </row>
    <row r="807" spans="1:4" s="74" customFormat="1" x14ac:dyDescent="0.2">
      <c r="A807" s="2"/>
      <c r="B807" s="64"/>
      <c r="C807" s="2"/>
      <c r="D807" s="2"/>
    </row>
    <row r="808" spans="1:4" s="74" customFormat="1" x14ac:dyDescent="0.2">
      <c r="A808" s="2"/>
      <c r="B808" s="64"/>
      <c r="C808" s="2"/>
      <c r="D808" s="2"/>
    </row>
    <row r="809" spans="1:4" s="74" customFormat="1" x14ac:dyDescent="0.2">
      <c r="A809" s="2"/>
      <c r="B809" s="64"/>
      <c r="C809" s="2"/>
      <c r="D809" s="2"/>
    </row>
    <row r="810" spans="1:4" s="74" customFormat="1" x14ac:dyDescent="0.2">
      <c r="A810" s="2"/>
      <c r="B810" s="64"/>
      <c r="C810" s="2"/>
      <c r="D810" s="2"/>
    </row>
    <row r="811" spans="1:4" s="74" customFormat="1" x14ac:dyDescent="0.2">
      <c r="A811" s="2"/>
      <c r="B811" s="64"/>
      <c r="C811" s="2"/>
      <c r="D811" s="2"/>
    </row>
    <row r="812" spans="1:4" s="74" customFormat="1" x14ac:dyDescent="0.2">
      <c r="A812" s="2"/>
      <c r="B812" s="64"/>
      <c r="C812" s="2"/>
      <c r="D812" s="2"/>
    </row>
    <row r="813" spans="1:4" s="74" customFormat="1" x14ac:dyDescent="0.2">
      <c r="A813" s="2"/>
      <c r="B813" s="64"/>
      <c r="C813" s="2"/>
      <c r="D813" s="2"/>
    </row>
    <row r="814" spans="1:4" s="74" customFormat="1" x14ac:dyDescent="0.2">
      <c r="A814" s="2"/>
      <c r="B814" s="64"/>
      <c r="C814" s="2"/>
      <c r="D814" s="2"/>
    </row>
    <row r="815" spans="1:4" s="74" customFormat="1" x14ac:dyDescent="0.2">
      <c r="A815" s="2"/>
      <c r="B815" s="64"/>
      <c r="C815" s="2"/>
      <c r="D815" s="2"/>
    </row>
    <row r="816" spans="1:4" s="74" customFormat="1" x14ac:dyDescent="0.2">
      <c r="A816" s="2"/>
      <c r="B816" s="64"/>
      <c r="C816" s="2"/>
      <c r="D816" s="2"/>
    </row>
    <row r="817" spans="1:4" s="74" customFormat="1" x14ac:dyDescent="0.2">
      <c r="A817" s="2"/>
      <c r="B817" s="64"/>
      <c r="C817" s="2"/>
      <c r="D817" s="2"/>
    </row>
    <row r="818" spans="1:4" s="74" customFormat="1" x14ac:dyDescent="0.2">
      <c r="A818" s="2"/>
      <c r="B818" s="64"/>
      <c r="C818" s="2"/>
      <c r="D818" s="2"/>
    </row>
    <row r="819" spans="1:4" s="74" customFormat="1" x14ac:dyDescent="0.2">
      <c r="A819" s="2"/>
      <c r="B819" s="64"/>
      <c r="C819" s="2"/>
      <c r="D819" s="2"/>
    </row>
    <row r="820" spans="1:4" s="74" customFormat="1" x14ac:dyDescent="0.2">
      <c r="A820" s="2"/>
      <c r="B820" s="64"/>
      <c r="C820" s="2"/>
      <c r="D820" s="2"/>
    </row>
    <row r="821" spans="1:4" s="74" customFormat="1" x14ac:dyDescent="0.2">
      <c r="A821" s="2"/>
      <c r="B821" s="64"/>
      <c r="C821" s="2"/>
      <c r="D821" s="2"/>
    </row>
    <row r="822" spans="1:4" s="74" customFormat="1" x14ac:dyDescent="0.2">
      <c r="A822" s="2"/>
      <c r="B822" s="64"/>
      <c r="C822" s="2"/>
      <c r="D822" s="2"/>
    </row>
    <row r="823" spans="1:4" s="74" customFormat="1" x14ac:dyDescent="0.2">
      <c r="A823" s="2"/>
      <c r="B823" s="64"/>
      <c r="C823" s="2"/>
      <c r="D823" s="2"/>
    </row>
    <row r="824" spans="1:4" s="74" customFormat="1" x14ac:dyDescent="0.2">
      <c r="A824" s="2"/>
      <c r="B824" s="64"/>
      <c r="C824" s="2"/>
      <c r="D824" s="2"/>
    </row>
    <row r="825" spans="1:4" s="74" customFormat="1" x14ac:dyDescent="0.2">
      <c r="A825" s="2"/>
      <c r="B825" s="64"/>
      <c r="C825" s="2"/>
      <c r="D825" s="2"/>
    </row>
    <row r="826" spans="1:4" s="74" customFormat="1" x14ac:dyDescent="0.2">
      <c r="A826" s="2"/>
      <c r="B826" s="64"/>
      <c r="C826" s="2"/>
      <c r="D826" s="2"/>
    </row>
    <row r="827" spans="1:4" s="74" customFormat="1" x14ac:dyDescent="0.2">
      <c r="A827" s="2"/>
      <c r="B827" s="64"/>
      <c r="C827" s="2"/>
      <c r="D827" s="2"/>
    </row>
    <row r="828" spans="1:4" s="74" customFormat="1" x14ac:dyDescent="0.2">
      <c r="A828" s="2"/>
      <c r="B828" s="64"/>
      <c r="C828" s="2"/>
      <c r="D828" s="2"/>
    </row>
    <row r="829" spans="1:4" s="74" customFormat="1" x14ac:dyDescent="0.2">
      <c r="A829" s="2"/>
      <c r="B829" s="64"/>
      <c r="C829" s="2"/>
      <c r="D829" s="2"/>
    </row>
    <row r="830" spans="1:4" s="74" customFormat="1" x14ac:dyDescent="0.2">
      <c r="A830" s="2"/>
      <c r="B830" s="64"/>
      <c r="C830" s="2"/>
      <c r="D830" s="2"/>
    </row>
    <row r="831" spans="1:4" s="74" customFormat="1" x14ac:dyDescent="0.2">
      <c r="A831" s="2"/>
      <c r="B831" s="64"/>
      <c r="C831" s="2"/>
      <c r="D831" s="2"/>
    </row>
    <row r="832" spans="1:4" s="74" customFormat="1" x14ac:dyDescent="0.2">
      <c r="A832" s="2"/>
      <c r="B832" s="64"/>
      <c r="C832" s="2"/>
      <c r="D832" s="2"/>
    </row>
    <row r="833" spans="1:4" s="74" customFormat="1" x14ac:dyDescent="0.2">
      <c r="A833" s="2"/>
      <c r="B833" s="64"/>
      <c r="C833" s="2"/>
      <c r="D833" s="2"/>
    </row>
    <row r="834" spans="1:4" s="74" customFormat="1" x14ac:dyDescent="0.2">
      <c r="A834" s="2"/>
      <c r="B834" s="64"/>
      <c r="C834" s="2"/>
      <c r="D834" s="2"/>
    </row>
    <row r="835" spans="1:4" s="74" customFormat="1" x14ac:dyDescent="0.2">
      <c r="A835" s="2"/>
      <c r="B835" s="64"/>
      <c r="C835" s="2"/>
      <c r="D835" s="2"/>
    </row>
    <row r="836" spans="1:4" s="74" customFormat="1" x14ac:dyDescent="0.2">
      <c r="A836" s="2"/>
      <c r="B836" s="64"/>
      <c r="C836" s="2"/>
      <c r="D836" s="2"/>
    </row>
    <row r="837" spans="1:4" s="74" customFormat="1" x14ac:dyDescent="0.2">
      <c r="A837" s="2"/>
      <c r="B837" s="64"/>
      <c r="C837" s="2"/>
      <c r="D837" s="2"/>
    </row>
    <row r="838" spans="1:4" s="74" customFormat="1" x14ac:dyDescent="0.2">
      <c r="A838" s="2"/>
      <c r="B838" s="64"/>
      <c r="C838" s="2"/>
      <c r="D838" s="2"/>
    </row>
    <row r="839" spans="1:4" s="74" customFormat="1" x14ac:dyDescent="0.2">
      <c r="A839" s="2"/>
      <c r="B839" s="64"/>
      <c r="C839" s="2"/>
      <c r="D839" s="2"/>
    </row>
    <row r="840" spans="1:4" s="74" customFormat="1" x14ac:dyDescent="0.2">
      <c r="A840" s="2"/>
      <c r="B840" s="64"/>
      <c r="C840" s="2"/>
      <c r="D840" s="2"/>
    </row>
    <row r="841" spans="1:4" s="74" customFormat="1" x14ac:dyDescent="0.2">
      <c r="A841" s="2"/>
      <c r="B841" s="64"/>
      <c r="C841" s="2"/>
      <c r="D841" s="2"/>
    </row>
    <row r="842" spans="1:4" s="74" customFormat="1" x14ac:dyDescent="0.2">
      <c r="A842" s="2"/>
      <c r="B842" s="64"/>
      <c r="C842" s="2"/>
      <c r="D842" s="2"/>
    </row>
    <row r="843" spans="1:4" s="74" customFormat="1" x14ac:dyDescent="0.2">
      <c r="A843" s="2"/>
      <c r="B843" s="64"/>
      <c r="C843" s="2"/>
      <c r="D843" s="2"/>
    </row>
    <row r="844" spans="1:4" s="74" customFormat="1" x14ac:dyDescent="0.2">
      <c r="A844" s="2"/>
      <c r="B844" s="64"/>
      <c r="C844" s="2"/>
      <c r="D844" s="2"/>
    </row>
    <row r="845" spans="1:4" s="74" customFormat="1" x14ac:dyDescent="0.2">
      <c r="A845" s="2"/>
      <c r="B845" s="64"/>
      <c r="C845" s="2"/>
      <c r="D845" s="2"/>
    </row>
    <row r="846" spans="1:4" s="74" customFormat="1" x14ac:dyDescent="0.2">
      <c r="A846" s="2"/>
      <c r="B846" s="64"/>
      <c r="C846" s="2"/>
      <c r="D846" s="2"/>
    </row>
    <row r="847" spans="1:4" s="74" customFormat="1" x14ac:dyDescent="0.2">
      <c r="A847" s="2"/>
      <c r="B847" s="64"/>
      <c r="C847" s="2"/>
      <c r="D847" s="2"/>
    </row>
    <row r="848" spans="1:4" s="74" customFormat="1" x14ac:dyDescent="0.2">
      <c r="A848" s="2"/>
      <c r="B848" s="64"/>
      <c r="C848" s="2"/>
      <c r="D848" s="2"/>
    </row>
    <row r="849" spans="1:4" s="74" customFormat="1" x14ac:dyDescent="0.2">
      <c r="A849" s="2"/>
      <c r="B849" s="64"/>
      <c r="C849" s="2"/>
      <c r="D849" s="2"/>
    </row>
    <row r="850" spans="1:4" s="74" customFormat="1" x14ac:dyDescent="0.2">
      <c r="A850" s="2"/>
      <c r="B850" s="64"/>
      <c r="C850" s="2"/>
      <c r="D850" s="2"/>
    </row>
    <row r="851" spans="1:4" s="74" customFormat="1" x14ac:dyDescent="0.2">
      <c r="A851" s="2"/>
      <c r="B851" s="64"/>
      <c r="C851" s="2"/>
      <c r="D851" s="2"/>
    </row>
    <row r="852" spans="1:4" s="74" customFormat="1" x14ac:dyDescent="0.2">
      <c r="A852" s="2"/>
      <c r="B852" s="64"/>
      <c r="C852" s="2"/>
      <c r="D852" s="2"/>
    </row>
    <row r="853" spans="1:4" s="74" customFormat="1" x14ac:dyDescent="0.2">
      <c r="A853" s="2"/>
      <c r="B853" s="64"/>
      <c r="C853" s="2"/>
      <c r="D853" s="2"/>
    </row>
    <row r="854" spans="1:4" s="74" customFormat="1" x14ac:dyDescent="0.2">
      <c r="A854" s="2"/>
      <c r="B854" s="64"/>
      <c r="C854" s="2"/>
      <c r="D854" s="2"/>
    </row>
    <row r="855" spans="1:4" s="74" customFormat="1" x14ac:dyDescent="0.2">
      <c r="A855" s="2"/>
      <c r="B855" s="64"/>
      <c r="C855" s="2"/>
      <c r="D855" s="2"/>
    </row>
    <row r="856" spans="1:4" s="74" customFormat="1" x14ac:dyDescent="0.2">
      <c r="A856" s="2"/>
      <c r="B856" s="64"/>
      <c r="C856" s="2"/>
      <c r="D856" s="2"/>
    </row>
    <row r="857" spans="1:4" s="74" customFormat="1" x14ac:dyDescent="0.2">
      <c r="A857" s="2"/>
      <c r="B857" s="64"/>
      <c r="C857" s="2"/>
      <c r="D857" s="2"/>
    </row>
    <row r="858" spans="1:4" s="74" customFormat="1" x14ac:dyDescent="0.2">
      <c r="A858" s="2"/>
      <c r="B858" s="64"/>
      <c r="C858" s="2"/>
      <c r="D858" s="2"/>
    </row>
    <row r="859" spans="1:4" s="74" customFormat="1" x14ac:dyDescent="0.2">
      <c r="A859" s="2"/>
      <c r="B859" s="64"/>
      <c r="C859" s="2"/>
      <c r="D859" s="2"/>
    </row>
    <row r="860" spans="1:4" s="74" customFormat="1" x14ac:dyDescent="0.2">
      <c r="A860" s="2"/>
      <c r="B860" s="64"/>
      <c r="C860" s="2"/>
      <c r="D860" s="2"/>
    </row>
    <row r="861" spans="1:4" s="74" customFormat="1" x14ac:dyDescent="0.2">
      <c r="A861" s="2"/>
      <c r="B861" s="64"/>
      <c r="C861" s="2"/>
      <c r="D861" s="2"/>
    </row>
    <row r="862" spans="1:4" s="74" customFormat="1" x14ac:dyDescent="0.2">
      <c r="A862" s="2"/>
      <c r="B862" s="64"/>
      <c r="C862" s="2"/>
      <c r="D862" s="2"/>
    </row>
    <row r="863" spans="1:4" s="74" customFormat="1" x14ac:dyDescent="0.2">
      <c r="A863" s="2"/>
      <c r="B863" s="64"/>
      <c r="C863" s="2"/>
      <c r="D863" s="2"/>
    </row>
    <row r="864" spans="1:4" s="74" customFormat="1" x14ac:dyDescent="0.2">
      <c r="A864" s="2"/>
      <c r="B864" s="64"/>
      <c r="C864" s="2"/>
      <c r="D864" s="2"/>
    </row>
    <row r="865" spans="1:4" s="74" customFormat="1" x14ac:dyDescent="0.2">
      <c r="A865" s="2"/>
      <c r="B865" s="64"/>
      <c r="C865" s="2"/>
      <c r="D865" s="2"/>
    </row>
    <row r="866" spans="1:4" s="74" customFormat="1" x14ac:dyDescent="0.2">
      <c r="A866" s="2"/>
      <c r="B866" s="64"/>
      <c r="C866" s="2"/>
      <c r="D866" s="2"/>
    </row>
    <row r="867" spans="1:4" s="74" customFormat="1" x14ac:dyDescent="0.2">
      <c r="A867" s="2"/>
      <c r="B867" s="64"/>
      <c r="C867" s="2"/>
      <c r="D867" s="2"/>
    </row>
    <row r="868" spans="1:4" s="74" customFormat="1" x14ac:dyDescent="0.2">
      <c r="A868" s="2"/>
      <c r="B868" s="64"/>
      <c r="C868" s="2"/>
      <c r="D868" s="2"/>
    </row>
    <row r="869" spans="1:4" s="74" customFormat="1" x14ac:dyDescent="0.2">
      <c r="A869" s="2"/>
      <c r="B869" s="64"/>
      <c r="C869" s="2"/>
      <c r="D869" s="2"/>
    </row>
    <row r="870" spans="1:4" s="74" customFormat="1" x14ac:dyDescent="0.2">
      <c r="A870" s="2"/>
      <c r="B870" s="64"/>
      <c r="C870" s="2"/>
      <c r="D870" s="2"/>
    </row>
    <row r="871" spans="1:4" s="74" customFormat="1" x14ac:dyDescent="0.2">
      <c r="A871" s="2"/>
      <c r="B871" s="64"/>
      <c r="C871" s="2"/>
      <c r="D871" s="2"/>
    </row>
    <row r="872" spans="1:4" s="74" customFormat="1" x14ac:dyDescent="0.2">
      <c r="A872" s="2"/>
      <c r="B872" s="64"/>
      <c r="C872" s="2"/>
      <c r="D872" s="2"/>
    </row>
    <row r="873" spans="1:4" s="74" customFormat="1" x14ac:dyDescent="0.2">
      <c r="A873" s="2"/>
      <c r="B873" s="64"/>
      <c r="C873" s="2"/>
      <c r="D873" s="2"/>
    </row>
    <row r="874" spans="1:4" s="74" customFormat="1" x14ac:dyDescent="0.2">
      <c r="A874" s="2"/>
      <c r="B874" s="64"/>
      <c r="C874" s="2"/>
      <c r="D874" s="2"/>
    </row>
    <row r="875" spans="1:4" s="74" customFormat="1" x14ac:dyDescent="0.2">
      <c r="A875" s="2"/>
      <c r="B875" s="64"/>
      <c r="C875" s="2"/>
      <c r="D875" s="2"/>
    </row>
    <row r="876" spans="1:4" s="74" customFormat="1" x14ac:dyDescent="0.2">
      <c r="A876" s="2"/>
      <c r="B876" s="64"/>
      <c r="C876" s="2"/>
      <c r="D876" s="2"/>
    </row>
    <row r="877" spans="1:4" x14ac:dyDescent="0.2">
      <c r="A877" s="2"/>
      <c r="B877" s="64"/>
      <c r="C877" s="2"/>
      <c r="D877" s="2"/>
    </row>
    <row r="878" spans="1:4" x14ac:dyDescent="0.2">
      <c r="A878" s="2"/>
      <c r="B878" s="64"/>
      <c r="C878" s="2"/>
      <c r="D878" s="2"/>
    </row>
    <row r="879" spans="1:4" x14ac:dyDescent="0.2">
      <c r="A879" s="2"/>
      <c r="B879" s="64"/>
      <c r="C879" s="2"/>
      <c r="D879" s="2"/>
    </row>
    <row r="880" spans="1:4" x14ac:dyDescent="0.2">
      <c r="A880" s="2"/>
      <c r="B880" s="64"/>
      <c r="C880" s="2"/>
      <c r="D880" s="2"/>
    </row>
    <row r="881" spans="1:4" x14ac:dyDescent="0.2">
      <c r="A881" s="2"/>
      <c r="B881" s="64"/>
      <c r="C881" s="2"/>
      <c r="D881" s="2"/>
    </row>
    <row r="882" spans="1:4" x14ac:dyDescent="0.2">
      <c r="A882" s="2"/>
      <c r="B882" s="64"/>
      <c r="C882" s="2"/>
      <c r="D882" s="2"/>
    </row>
    <row r="883" spans="1:4" x14ac:dyDescent="0.2">
      <c r="A883" s="2"/>
      <c r="B883" s="64"/>
      <c r="C883" s="2"/>
      <c r="D883" s="2"/>
    </row>
    <row r="884" spans="1:4" x14ac:dyDescent="0.2">
      <c r="A884" s="2"/>
      <c r="B884" s="64"/>
      <c r="C884" s="2"/>
      <c r="D884" s="2"/>
    </row>
    <row r="885" spans="1:4" x14ac:dyDescent="0.2">
      <c r="A885" s="2"/>
      <c r="B885" s="64"/>
      <c r="C885" s="2"/>
      <c r="D885" s="2"/>
    </row>
    <row r="886" spans="1:4" x14ac:dyDescent="0.2">
      <c r="A886" s="2"/>
      <c r="B886" s="64"/>
      <c r="C886" s="2"/>
      <c r="D886" s="2"/>
    </row>
    <row r="887" spans="1:4" x14ac:dyDescent="0.2">
      <c r="A887" s="2"/>
      <c r="B887" s="64"/>
      <c r="C887" s="2"/>
      <c r="D887" s="2"/>
    </row>
    <row r="888" spans="1:4" x14ac:dyDescent="0.2">
      <c r="A888" s="2"/>
      <c r="B888" s="64"/>
      <c r="C888" s="2"/>
      <c r="D888" s="2"/>
    </row>
    <row r="889" spans="1:4" x14ac:dyDescent="0.2">
      <c r="A889" s="2"/>
      <c r="B889" s="64"/>
      <c r="C889" s="2"/>
      <c r="D889" s="2"/>
    </row>
    <row r="890" spans="1:4" x14ac:dyDescent="0.2">
      <c r="A890" s="2"/>
      <c r="B890" s="64"/>
      <c r="C890" s="2"/>
      <c r="D890" s="2"/>
    </row>
    <row r="891" spans="1:4" x14ac:dyDescent="0.2">
      <c r="A891" s="2"/>
      <c r="B891" s="64"/>
      <c r="C891" s="2"/>
      <c r="D891" s="2"/>
    </row>
    <row r="892" spans="1:4" x14ac:dyDescent="0.2">
      <c r="A892" s="2"/>
      <c r="B892" s="64"/>
      <c r="C892" s="2"/>
      <c r="D892" s="2"/>
    </row>
    <row r="893" spans="1:4" x14ac:dyDescent="0.2">
      <c r="A893" s="2"/>
      <c r="B893" s="64"/>
      <c r="C893" s="2"/>
      <c r="D893" s="2"/>
    </row>
    <row r="894" spans="1:4" x14ac:dyDescent="0.2">
      <c r="A894" s="2"/>
      <c r="B894" s="64"/>
      <c r="C894" s="2"/>
      <c r="D894" s="2"/>
    </row>
    <row r="895" spans="1:4" x14ac:dyDescent="0.2">
      <c r="A895" s="2"/>
      <c r="B895" s="64"/>
      <c r="C895" s="2"/>
      <c r="D895" s="2"/>
    </row>
    <row r="896" spans="1:4" x14ac:dyDescent="0.2">
      <c r="A896" s="2"/>
      <c r="B896" s="64"/>
      <c r="C896" s="2"/>
      <c r="D896" s="2"/>
    </row>
    <row r="897" spans="1:4" x14ac:dyDescent="0.2">
      <c r="A897" s="2"/>
      <c r="B897" s="64"/>
      <c r="C897" s="2"/>
      <c r="D897" s="2"/>
    </row>
    <row r="898" spans="1:4" x14ac:dyDescent="0.2">
      <c r="A898" s="2"/>
      <c r="B898" s="64"/>
      <c r="C898" s="2"/>
      <c r="D898" s="2"/>
    </row>
    <row r="899" spans="1:4" x14ac:dyDescent="0.2">
      <c r="A899" s="2"/>
      <c r="B899" s="64"/>
      <c r="C899" s="2"/>
      <c r="D899" s="2"/>
    </row>
    <row r="900" spans="1:4" x14ac:dyDescent="0.2">
      <c r="A900" s="2"/>
      <c r="B900" s="64"/>
      <c r="C900" s="2"/>
      <c r="D900" s="2"/>
    </row>
    <row r="901" spans="1:4" x14ac:dyDescent="0.2">
      <c r="A901" s="2"/>
      <c r="B901" s="64"/>
      <c r="C901" s="2"/>
      <c r="D901" s="2"/>
    </row>
    <row r="902" spans="1:4" x14ac:dyDescent="0.2">
      <c r="A902" s="2"/>
      <c r="B902" s="64"/>
      <c r="C902" s="2"/>
      <c r="D902" s="2"/>
    </row>
    <row r="903" spans="1:4" x14ac:dyDescent="0.2">
      <c r="A903" s="2"/>
      <c r="B903" s="64"/>
      <c r="C903" s="2"/>
      <c r="D903" s="2"/>
    </row>
    <row r="904" spans="1:4" x14ac:dyDescent="0.2">
      <c r="A904" s="2"/>
      <c r="B904" s="64"/>
      <c r="C904" s="2"/>
      <c r="D904" s="2"/>
    </row>
    <row r="905" spans="1:4" x14ac:dyDescent="0.2">
      <c r="A905" s="2"/>
      <c r="B905" s="64"/>
      <c r="C905" s="2"/>
      <c r="D905" s="2"/>
    </row>
    <row r="906" spans="1:4" x14ac:dyDescent="0.2">
      <c r="A906" s="2"/>
      <c r="B906" s="64"/>
      <c r="C906" s="2"/>
      <c r="D906" s="2"/>
    </row>
  </sheetData>
  <conditionalFormatting sqref="D521:D664">
    <cfRule type="colorScale" priority="35">
      <colorScale>
        <cfvo type="min"/>
        <cfvo type="percentile" val="50"/>
        <cfvo type="max"/>
        <color rgb="FFF8696B"/>
        <color rgb="FFFFEB84"/>
        <color rgb="FF63BE7B"/>
      </colorScale>
    </cfRule>
  </conditionalFormatting>
  <conditionalFormatting sqref="C521:C664">
    <cfRule type="colorScale" priority="36">
      <colorScale>
        <cfvo type="min"/>
        <cfvo type="percentile" val="50"/>
        <cfvo type="max"/>
        <color rgb="FFF8696B"/>
        <color rgb="FFFFEB84"/>
        <color rgb="FF63BE7B"/>
      </colorScale>
    </cfRule>
  </conditionalFormatting>
  <pageMargins left="0.7" right="0.7" top="0.75" bottom="0.75" header="0.3" footer="0.3"/>
  <pageSetup orientation="portrait"/>
  <drawing r:id="rId1"/>
  <tableParts count="1">
    <tablePart r:id="rId2"/>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
  <dimension ref="A1:EP1057"/>
  <sheetViews>
    <sheetView zoomScale="110" zoomScaleNormal="110" workbookViewId="0">
      <pane ySplit="4" topLeftCell="A616" activePane="bottomLeft" state="frozen"/>
      <selection pane="bottomLeft" activeCell="AB664" sqref="AB664"/>
    </sheetView>
  </sheetViews>
  <sheetFormatPr baseColWidth="10" defaultColWidth="8.83203125" defaultRowHeight="15" x14ac:dyDescent="0.2"/>
  <cols>
    <col min="1" max="1" width="8.6640625" style="1" customWidth="1"/>
    <col min="2" max="2" width="14.33203125" style="62" customWidth="1"/>
    <col min="3" max="3" width="20.1640625" style="1" customWidth="1"/>
    <col min="4" max="4" width="19.33203125" style="1" customWidth="1"/>
    <col min="5" max="146" width="9.1640625" style="74" customWidth="1"/>
  </cols>
  <sheetData>
    <row r="1" spans="1:4" s="74" customFormat="1" x14ac:dyDescent="0.2">
      <c r="A1" s="7" t="s">
        <v>16</v>
      </c>
      <c r="B1" s="70" t="s">
        <v>17</v>
      </c>
      <c r="C1" s="2"/>
      <c r="D1" s="2"/>
    </row>
    <row r="2" spans="1:4" s="74" customFormat="1" x14ac:dyDescent="0.2">
      <c r="A2" s="2"/>
      <c r="B2" s="64"/>
      <c r="C2" s="2"/>
      <c r="D2" s="2"/>
    </row>
    <row r="3" spans="1:4" s="74" customFormat="1" ht="16" customHeight="1" thickBot="1" x14ac:dyDescent="0.25">
      <c r="A3" s="2"/>
      <c r="B3" s="64"/>
      <c r="C3" s="2"/>
      <c r="D3" s="2"/>
    </row>
    <row r="4" spans="1:4" ht="17" customHeight="1" thickBot="1" x14ac:dyDescent="0.25">
      <c r="A4" s="19" t="s">
        <v>28</v>
      </c>
      <c r="B4" s="65" t="s">
        <v>36</v>
      </c>
      <c r="C4" s="20" t="s">
        <v>37</v>
      </c>
      <c r="D4" s="21" t="s">
        <v>38</v>
      </c>
    </row>
    <row r="5" spans="1:4" x14ac:dyDescent="0.2">
      <c r="A5" s="66">
        <v>24473</v>
      </c>
      <c r="B5" s="67">
        <f>VLOOKUP(Table4[[#This Row],[Date]],Database!A:E,3,)</f>
        <v>23.6</v>
      </c>
      <c r="C5" s="17"/>
      <c r="D5" s="18"/>
    </row>
    <row r="6" spans="1:4" x14ac:dyDescent="0.2">
      <c r="A6" s="61">
        <v>24504</v>
      </c>
      <c r="B6" s="68">
        <f>VLOOKUP(Table4[[#This Row],[Date]],Database!A:E,3,)</f>
        <v>23.7</v>
      </c>
      <c r="C6" s="14">
        <f t="shared" ref="C6:C69" si="0">(B6-B5)/B5</f>
        <v>4.2372881355931301E-3</v>
      </c>
      <c r="D6" s="16"/>
    </row>
    <row r="7" spans="1:4" x14ac:dyDescent="0.2">
      <c r="A7" s="61">
        <v>24532</v>
      </c>
      <c r="B7" s="68">
        <f>VLOOKUP(Table4[[#This Row],[Date]],Database!A:E,3,)</f>
        <v>23.6</v>
      </c>
      <c r="C7" s="14">
        <f t="shared" si="0"/>
        <v>-4.2194092827003322E-3</v>
      </c>
      <c r="D7" s="16"/>
    </row>
    <row r="8" spans="1:4" x14ac:dyDescent="0.2">
      <c r="A8" s="61">
        <v>24563</v>
      </c>
      <c r="B8" s="68">
        <f>VLOOKUP(Table4[[#This Row],[Date]],Database!A:E,3,)</f>
        <v>23.9</v>
      </c>
      <c r="C8" s="14">
        <f t="shared" si="0"/>
        <v>1.271186440677954E-2</v>
      </c>
      <c r="D8" s="16"/>
    </row>
    <row r="9" spans="1:4" x14ac:dyDescent="0.2">
      <c r="A9" s="61">
        <v>24593</v>
      </c>
      <c r="B9" s="68">
        <f>VLOOKUP(Table4[[#This Row],[Date]],Database!A:E,3,)</f>
        <v>23.9</v>
      </c>
      <c r="C9" s="14">
        <f t="shared" si="0"/>
        <v>0</v>
      </c>
      <c r="D9" s="16"/>
    </row>
    <row r="10" spans="1:4" x14ac:dyDescent="0.2">
      <c r="A10" s="61">
        <v>24624</v>
      </c>
      <c r="B10" s="68">
        <f>VLOOKUP(Table4[[#This Row],[Date]],Database!A:E,3,)</f>
        <v>23.8</v>
      </c>
      <c r="C10" s="14">
        <f t="shared" si="0"/>
        <v>-4.184100418409953E-3</v>
      </c>
      <c r="D10" s="16"/>
    </row>
    <row r="11" spans="1:4" x14ac:dyDescent="0.2">
      <c r="A11" s="61">
        <v>24654</v>
      </c>
      <c r="B11" s="68">
        <f>VLOOKUP(Table4[[#This Row],[Date]],Database!A:E,3,)</f>
        <v>23.8</v>
      </c>
      <c r="C11" s="14">
        <f t="shared" si="0"/>
        <v>0</v>
      </c>
      <c r="D11" s="16"/>
    </row>
    <row r="12" spans="1:4" x14ac:dyDescent="0.2">
      <c r="A12" s="61">
        <v>24685</v>
      </c>
      <c r="B12" s="68">
        <f>VLOOKUP(Table4[[#This Row],[Date]],Database!A:E,3,)</f>
        <v>23.9</v>
      </c>
      <c r="C12" s="14">
        <f t="shared" si="0"/>
        <v>4.201680672268818E-3</v>
      </c>
      <c r="D12" s="16"/>
    </row>
    <row r="13" spans="1:4" x14ac:dyDescent="0.2">
      <c r="A13" s="61">
        <v>24716</v>
      </c>
      <c r="B13" s="68">
        <f>VLOOKUP(Table4[[#This Row],[Date]],Database!A:E,3,)</f>
        <v>24</v>
      </c>
      <c r="C13" s="14">
        <f t="shared" si="0"/>
        <v>4.1841004184101013E-3</v>
      </c>
      <c r="D13" s="16"/>
    </row>
    <row r="14" spans="1:4" x14ac:dyDescent="0.2">
      <c r="A14" s="61">
        <v>24746</v>
      </c>
      <c r="B14" s="68">
        <f>VLOOKUP(Table4[[#This Row],[Date]],Database!A:E,3,)</f>
        <v>23.9</v>
      </c>
      <c r="C14" s="14">
        <f t="shared" si="0"/>
        <v>-4.1666666666667256E-3</v>
      </c>
      <c r="D14" s="16"/>
    </row>
    <row r="15" spans="1:4" x14ac:dyDescent="0.2">
      <c r="A15" s="61">
        <v>24777</v>
      </c>
      <c r="B15" s="68">
        <f>VLOOKUP(Table4[[#This Row],[Date]],Database!A:E,3,)</f>
        <v>24</v>
      </c>
      <c r="C15" s="14">
        <f t="shared" si="0"/>
        <v>4.1841004184101013E-3</v>
      </c>
      <c r="D15" s="16"/>
    </row>
    <row r="16" spans="1:4" x14ac:dyDescent="0.2">
      <c r="A16" s="61">
        <v>24807</v>
      </c>
      <c r="B16" s="68">
        <f>VLOOKUP(Table4[[#This Row],[Date]],Database!A:E,3,)</f>
        <v>23.9</v>
      </c>
      <c r="C16" s="14">
        <f t="shared" si="0"/>
        <v>-4.1666666666667256E-3</v>
      </c>
      <c r="D16" s="16"/>
    </row>
    <row r="17" spans="1:4" x14ac:dyDescent="0.2">
      <c r="A17" s="61">
        <v>24838</v>
      </c>
      <c r="B17" s="68">
        <f>VLOOKUP(Table4[[#This Row],[Date]],Database!A:E,3,)</f>
        <v>24</v>
      </c>
      <c r="C17" s="14">
        <f t="shared" si="0"/>
        <v>4.1841004184101013E-3</v>
      </c>
      <c r="D17" s="14">
        <f t="shared" ref="D17:D80" si="1">(B17-B5)/B5</f>
        <v>1.6949152542372819E-2</v>
      </c>
    </row>
    <row r="18" spans="1:4" x14ac:dyDescent="0.2">
      <c r="A18" s="61">
        <v>24869</v>
      </c>
      <c r="B18" s="68">
        <f>VLOOKUP(Table4[[#This Row],[Date]],Database!A:E,3,)</f>
        <v>24.1</v>
      </c>
      <c r="C18" s="14">
        <f t="shared" si="0"/>
        <v>4.1666666666667256E-3</v>
      </c>
      <c r="D18" s="14">
        <f t="shared" si="1"/>
        <v>1.6877637130801777E-2</v>
      </c>
    </row>
    <row r="19" spans="1:4" x14ac:dyDescent="0.2">
      <c r="A19" s="61">
        <v>24898</v>
      </c>
      <c r="B19" s="68">
        <f>VLOOKUP(Table4[[#This Row],[Date]],Database!A:E,3,)</f>
        <v>24.1</v>
      </c>
      <c r="C19" s="14">
        <f t="shared" si="0"/>
        <v>0</v>
      </c>
      <c r="D19" s="14">
        <f t="shared" si="1"/>
        <v>2.1186440677966101E-2</v>
      </c>
    </row>
    <row r="20" spans="1:4" x14ac:dyDescent="0.2">
      <c r="A20" s="61">
        <v>24929</v>
      </c>
      <c r="B20" s="68">
        <f>VLOOKUP(Table4[[#This Row],[Date]],Database!A:E,3,)</f>
        <v>24</v>
      </c>
      <c r="C20" s="14">
        <f t="shared" si="0"/>
        <v>-4.1493775933610548E-3</v>
      </c>
      <c r="D20" s="14">
        <f t="shared" si="1"/>
        <v>4.1841004184101013E-3</v>
      </c>
    </row>
    <row r="21" spans="1:4" x14ac:dyDescent="0.2">
      <c r="A21" s="61">
        <v>24959</v>
      </c>
      <c r="B21" s="68">
        <f>VLOOKUP(Table4[[#This Row],[Date]],Database!A:E,3,)</f>
        <v>24.1</v>
      </c>
      <c r="C21" s="14">
        <f t="shared" si="0"/>
        <v>4.1666666666667256E-3</v>
      </c>
      <c r="D21" s="14">
        <f t="shared" si="1"/>
        <v>8.3682008368202027E-3</v>
      </c>
    </row>
    <row r="22" spans="1:4" x14ac:dyDescent="0.2">
      <c r="A22" s="61">
        <v>24990</v>
      </c>
      <c r="B22" s="68">
        <f>VLOOKUP(Table4[[#This Row],[Date]],Database!A:E,3,)</f>
        <v>24.2</v>
      </c>
      <c r="C22" s="14">
        <f t="shared" si="0"/>
        <v>4.1493775933609074E-3</v>
      </c>
      <c r="D22" s="14">
        <f t="shared" si="1"/>
        <v>1.6806722689075571E-2</v>
      </c>
    </row>
    <row r="23" spans="1:4" x14ac:dyDescent="0.2">
      <c r="A23" s="61">
        <v>25020</v>
      </c>
      <c r="B23" s="68">
        <f>VLOOKUP(Table4[[#This Row],[Date]],Database!A:E,3,)</f>
        <v>24.2</v>
      </c>
      <c r="C23" s="14">
        <f t="shared" si="0"/>
        <v>0</v>
      </c>
      <c r="D23" s="14">
        <f t="shared" si="1"/>
        <v>1.6806722689075571E-2</v>
      </c>
    </row>
    <row r="24" spans="1:4" x14ac:dyDescent="0.2">
      <c r="A24" s="61">
        <v>25051</v>
      </c>
      <c r="B24" s="68">
        <f>VLOOKUP(Table4[[#This Row],[Date]],Database!A:E,3,)</f>
        <v>24.3</v>
      </c>
      <c r="C24" s="14">
        <f t="shared" si="0"/>
        <v>4.1322314049587368E-3</v>
      </c>
      <c r="D24" s="14">
        <f t="shared" si="1"/>
        <v>1.6736401673640256E-2</v>
      </c>
    </row>
    <row r="25" spans="1:4" x14ac:dyDescent="0.2">
      <c r="A25" s="61">
        <v>25082</v>
      </c>
      <c r="B25" s="68">
        <f>VLOOKUP(Table4[[#This Row],[Date]],Database!A:E,3,)</f>
        <v>24.3</v>
      </c>
      <c r="C25" s="14">
        <f t="shared" si="0"/>
        <v>0</v>
      </c>
      <c r="D25" s="14">
        <f t="shared" si="1"/>
        <v>1.250000000000003E-2</v>
      </c>
    </row>
    <row r="26" spans="1:4" x14ac:dyDescent="0.2">
      <c r="A26" s="61">
        <v>25112</v>
      </c>
      <c r="B26" s="68">
        <f>VLOOKUP(Table4[[#This Row],[Date]],Database!A:E,3,)</f>
        <v>24.3</v>
      </c>
      <c r="C26" s="14">
        <f t="shared" si="0"/>
        <v>0</v>
      </c>
      <c r="D26" s="14">
        <f t="shared" si="1"/>
        <v>1.6736401673640256E-2</v>
      </c>
    </row>
    <row r="27" spans="1:4" x14ac:dyDescent="0.2">
      <c r="A27" s="61">
        <v>25143</v>
      </c>
      <c r="B27" s="68">
        <f>VLOOKUP(Table4[[#This Row],[Date]],Database!A:E,3,)</f>
        <v>24.4</v>
      </c>
      <c r="C27" s="14">
        <f t="shared" si="0"/>
        <v>4.1152263374484715E-3</v>
      </c>
      <c r="D27" s="14">
        <f t="shared" si="1"/>
        <v>1.6666666666666607E-2</v>
      </c>
    </row>
    <row r="28" spans="1:4" x14ac:dyDescent="0.2">
      <c r="A28" s="61">
        <v>25173</v>
      </c>
      <c r="B28" s="68">
        <f>VLOOKUP(Table4[[#This Row],[Date]],Database!A:E,3,)</f>
        <v>24.3</v>
      </c>
      <c r="C28" s="14">
        <f t="shared" si="0"/>
        <v>-4.0983606557376175E-3</v>
      </c>
      <c r="D28" s="14">
        <f t="shared" si="1"/>
        <v>1.6736401673640256E-2</v>
      </c>
    </row>
    <row r="29" spans="1:4" x14ac:dyDescent="0.2">
      <c r="A29" s="61">
        <v>25204</v>
      </c>
      <c r="B29" s="68">
        <f>VLOOKUP(Table4[[#This Row],[Date]],Database!A:E,3,)</f>
        <v>24.4</v>
      </c>
      <c r="C29" s="14">
        <f t="shared" si="0"/>
        <v>4.1152263374484715E-3</v>
      </c>
      <c r="D29" s="14">
        <f t="shared" si="1"/>
        <v>1.6666666666666607E-2</v>
      </c>
    </row>
    <row r="30" spans="1:4" x14ac:dyDescent="0.2">
      <c r="A30" s="61">
        <v>25235</v>
      </c>
      <c r="B30" s="68">
        <f>VLOOKUP(Table4[[#This Row],[Date]],Database!A:E,3,)</f>
        <v>24.4</v>
      </c>
      <c r="C30" s="14">
        <f t="shared" si="0"/>
        <v>0</v>
      </c>
      <c r="D30" s="14">
        <f t="shared" si="1"/>
        <v>1.2448132780082869E-2</v>
      </c>
    </row>
    <row r="31" spans="1:4" x14ac:dyDescent="0.2">
      <c r="A31" s="61">
        <v>25263</v>
      </c>
      <c r="B31" s="68">
        <f>VLOOKUP(Table4[[#This Row],[Date]],Database!A:E,3,)</f>
        <v>24.7</v>
      </c>
      <c r="C31" s="14">
        <f t="shared" si="0"/>
        <v>1.2295081967213144E-2</v>
      </c>
      <c r="D31" s="14">
        <f t="shared" si="1"/>
        <v>2.4896265560165887E-2</v>
      </c>
    </row>
    <row r="32" spans="1:4" x14ac:dyDescent="0.2">
      <c r="A32" s="61">
        <v>25294</v>
      </c>
      <c r="B32" s="68">
        <f>VLOOKUP(Table4[[#This Row],[Date]],Database!A:E,3,)</f>
        <v>24.9</v>
      </c>
      <c r="C32" s="14">
        <f t="shared" si="0"/>
        <v>8.0971659919028063E-3</v>
      </c>
      <c r="D32" s="14">
        <f t="shared" si="1"/>
        <v>3.7499999999999943E-2</v>
      </c>
    </row>
    <row r="33" spans="1:4" x14ac:dyDescent="0.2">
      <c r="A33" s="61">
        <v>25324</v>
      </c>
      <c r="B33" s="68">
        <f>VLOOKUP(Table4[[#This Row],[Date]],Database!A:E,3,)</f>
        <v>24.8</v>
      </c>
      <c r="C33" s="14">
        <f t="shared" si="0"/>
        <v>-4.0160642570280271E-3</v>
      </c>
      <c r="D33" s="14">
        <f t="shared" si="1"/>
        <v>2.9045643153526941E-2</v>
      </c>
    </row>
    <row r="34" spans="1:4" x14ac:dyDescent="0.2">
      <c r="A34" s="61">
        <v>25355</v>
      </c>
      <c r="B34" s="68">
        <f>VLOOKUP(Table4[[#This Row],[Date]],Database!A:E,3,)</f>
        <v>25</v>
      </c>
      <c r="C34" s="14">
        <f t="shared" si="0"/>
        <v>8.0645161290322284E-3</v>
      </c>
      <c r="D34" s="14">
        <f t="shared" si="1"/>
        <v>3.305785123966945E-2</v>
      </c>
    </row>
    <row r="35" spans="1:4" x14ac:dyDescent="0.2">
      <c r="A35" s="61">
        <v>25385</v>
      </c>
      <c r="B35" s="68">
        <f>VLOOKUP(Table4[[#This Row],[Date]],Database!A:E,3,)</f>
        <v>24.9</v>
      </c>
      <c r="C35" s="14">
        <f t="shared" si="0"/>
        <v>-4.0000000000000565E-3</v>
      </c>
      <c r="D35" s="14">
        <f t="shared" si="1"/>
        <v>2.8925619834710717E-2</v>
      </c>
    </row>
    <row r="36" spans="1:4" x14ac:dyDescent="0.2">
      <c r="A36" s="61">
        <v>25416</v>
      </c>
      <c r="B36" s="68">
        <f>VLOOKUP(Table4[[#This Row],[Date]],Database!A:E,3,)</f>
        <v>24.9</v>
      </c>
      <c r="C36" s="14">
        <f t="shared" si="0"/>
        <v>0</v>
      </c>
      <c r="D36" s="14">
        <f t="shared" si="1"/>
        <v>2.469135802469127E-2</v>
      </c>
    </row>
    <row r="37" spans="1:4" x14ac:dyDescent="0.2">
      <c r="A37" s="61">
        <v>25447</v>
      </c>
      <c r="B37" s="68">
        <f>VLOOKUP(Table4[[#This Row],[Date]],Database!A:E,3,)</f>
        <v>25</v>
      </c>
      <c r="C37" s="14">
        <f t="shared" si="0"/>
        <v>4.0160642570281693E-3</v>
      </c>
      <c r="D37" s="14">
        <f t="shared" si="1"/>
        <v>2.8806584362139887E-2</v>
      </c>
    </row>
    <row r="38" spans="1:4" x14ac:dyDescent="0.2">
      <c r="A38" s="61">
        <v>25477</v>
      </c>
      <c r="B38" s="68">
        <f>VLOOKUP(Table4[[#This Row],[Date]],Database!A:E,3,)</f>
        <v>25</v>
      </c>
      <c r="C38" s="14">
        <f t="shared" si="0"/>
        <v>0</v>
      </c>
      <c r="D38" s="14">
        <f t="shared" si="1"/>
        <v>2.8806584362139887E-2</v>
      </c>
    </row>
    <row r="39" spans="1:4" x14ac:dyDescent="0.2">
      <c r="A39" s="61">
        <v>25508</v>
      </c>
      <c r="B39" s="68">
        <f>VLOOKUP(Table4[[#This Row],[Date]],Database!A:E,3,)</f>
        <v>25</v>
      </c>
      <c r="C39" s="14">
        <f t="shared" si="0"/>
        <v>0</v>
      </c>
      <c r="D39" s="14">
        <f t="shared" si="1"/>
        <v>2.4590163934426288E-2</v>
      </c>
    </row>
    <row r="40" spans="1:4" x14ac:dyDescent="0.2">
      <c r="A40" s="61">
        <v>25538</v>
      </c>
      <c r="B40" s="68">
        <f>VLOOKUP(Table4[[#This Row],[Date]],Database!A:E,3,)</f>
        <v>25.1</v>
      </c>
      <c r="C40" s="14">
        <f t="shared" si="0"/>
        <v>4.0000000000000565E-3</v>
      </c>
      <c r="D40" s="14">
        <f t="shared" si="1"/>
        <v>3.2921810699588508E-2</v>
      </c>
    </row>
    <row r="41" spans="1:4" x14ac:dyDescent="0.2">
      <c r="A41" s="61">
        <v>25569</v>
      </c>
      <c r="B41" s="68">
        <f>VLOOKUP(Table4[[#This Row],[Date]],Database!A:E,3,)</f>
        <v>25.1</v>
      </c>
      <c r="C41" s="14">
        <f t="shared" si="0"/>
        <v>0</v>
      </c>
      <c r="D41" s="14">
        <f t="shared" si="1"/>
        <v>2.8688524590164053E-2</v>
      </c>
    </row>
    <row r="42" spans="1:4" x14ac:dyDescent="0.2">
      <c r="A42" s="61">
        <v>25600</v>
      </c>
      <c r="B42" s="68">
        <f>VLOOKUP(Table4[[#This Row],[Date]],Database!A:E,3,)</f>
        <v>25.1</v>
      </c>
      <c r="C42" s="14">
        <f t="shared" si="0"/>
        <v>0</v>
      </c>
      <c r="D42" s="14">
        <f t="shared" si="1"/>
        <v>2.8688524590164053E-2</v>
      </c>
    </row>
    <row r="43" spans="1:4" x14ac:dyDescent="0.2">
      <c r="A43" s="61">
        <v>25628</v>
      </c>
      <c r="B43" s="68">
        <f>VLOOKUP(Table4[[#This Row],[Date]],Database!A:E,3,)</f>
        <v>25</v>
      </c>
      <c r="C43" s="14">
        <f t="shared" si="0"/>
        <v>-3.9840637450199766E-3</v>
      </c>
      <c r="D43" s="14">
        <f t="shared" si="1"/>
        <v>1.2145748987854281E-2</v>
      </c>
    </row>
    <row r="44" spans="1:4" x14ac:dyDescent="0.2">
      <c r="A44" s="61">
        <v>25659</v>
      </c>
      <c r="B44" s="68">
        <f>VLOOKUP(Table4[[#This Row],[Date]],Database!A:E,3,)</f>
        <v>25.5</v>
      </c>
      <c r="C44" s="14">
        <f t="shared" si="0"/>
        <v>0.02</v>
      </c>
      <c r="D44" s="14">
        <f t="shared" si="1"/>
        <v>2.4096385542168731E-2</v>
      </c>
    </row>
    <row r="45" spans="1:4" x14ac:dyDescent="0.2">
      <c r="A45" s="61">
        <v>25689</v>
      </c>
      <c r="B45" s="68">
        <f>VLOOKUP(Table4[[#This Row],[Date]],Database!A:E,3,)</f>
        <v>25.4</v>
      </c>
      <c r="C45" s="14">
        <f t="shared" si="0"/>
        <v>-3.9215686274510358E-3</v>
      </c>
      <c r="D45" s="14">
        <f t="shared" si="1"/>
        <v>2.4193548387096687E-2</v>
      </c>
    </row>
    <row r="46" spans="1:4" x14ac:dyDescent="0.2">
      <c r="A46" s="61">
        <v>25720</v>
      </c>
      <c r="B46" s="68">
        <f>VLOOKUP(Table4[[#This Row],[Date]],Database!A:E,3,)</f>
        <v>25.3</v>
      </c>
      <c r="C46" s="14">
        <f t="shared" si="0"/>
        <v>-3.9370078740156647E-3</v>
      </c>
      <c r="D46" s="14">
        <f t="shared" si="1"/>
        <v>1.2000000000000028E-2</v>
      </c>
    </row>
    <row r="47" spans="1:4" x14ac:dyDescent="0.2">
      <c r="A47" s="61">
        <v>25750</v>
      </c>
      <c r="B47" s="68">
        <f>VLOOKUP(Table4[[#This Row],[Date]],Database!A:E,3,)</f>
        <v>25.5</v>
      </c>
      <c r="C47" s="14">
        <f t="shared" si="0"/>
        <v>7.9051383399209203E-3</v>
      </c>
      <c r="D47" s="14">
        <f t="shared" si="1"/>
        <v>2.4096385542168731E-2</v>
      </c>
    </row>
    <row r="48" spans="1:4" x14ac:dyDescent="0.2">
      <c r="A48" s="61">
        <v>25781</v>
      </c>
      <c r="B48" s="68">
        <f>VLOOKUP(Table4[[#This Row],[Date]],Database!A:E,3,)</f>
        <v>25.4</v>
      </c>
      <c r="C48" s="14">
        <f t="shared" si="0"/>
        <v>-3.9215686274510358E-3</v>
      </c>
      <c r="D48" s="14">
        <f t="shared" si="1"/>
        <v>2.0080321285140562E-2</v>
      </c>
    </row>
    <row r="49" spans="1:4" x14ac:dyDescent="0.2">
      <c r="A49" s="61">
        <v>25812</v>
      </c>
      <c r="B49" s="68">
        <f>VLOOKUP(Table4[[#This Row],[Date]],Database!A:E,3,)</f>
        <v>25.6</v>
      </c>
      <c r="C49" s="14">
        <f t="shared" si="0"/>
        <v>7.8740157480316087E-3</v>
      </c>
      <c r="D49" s="14">
        <f t="shared" si="1"/>
        <v>2.4000000000000056E-2</v>
      </c>
    </row>
    <row r="50" spans="1:4" x14ac:dyDescent="0.2">
      <c r="A50" s="61">
        <v>25842</v>
      </c>
      <c r="B50" s="68">
        <f>VLOOKUP(Table4[[#This Row],[Date]],Database!A:E,3,)</f>
        <v>25.9</v>
      </c>
      <c r="C50" s="14">
        <f t="shared" si="0"/>
        <v>1.1718749999999889E-2</v>
      </c>
      <c r="D50" s="14">
        <f t="shared" si="1"/>
        <v>3.5999999999999942E-2</v>
      </c>
    </row>
    <row r="51" spans="1:4" x14ac:dyDescent="0.2">
      <c r="A51" s="61">
        <v>25873</v>
      </c>
      <c r="B51" s="68">
        <f>VLOOKUP(Table4[[#This Row],[Date]],Database!A:E,3,)</f>
        <v>26</v>
      </c>
      <c r="C51" s="14">
        <f t="shared" si="0"/>
        <v>3.8610038610039162E-3</v>
      </c>
      <c r="D51" s="14">
        <f t="shared" si="1"/>
        <v>0.04</v>
      </c>
    </row>
    <row r="52" spans="1:4" x14ac:dyDescent="0.2">
      <c r="A52" s="61">
        <v>25903</v>
      </c>
      <c r="B52" s="68">
        <f>VLOOKUP(Table4[[#This Row],[Date]],Database!A:E,3,)</f>
        <v>26.2</v>
      </c>
      <c r="C52" s="14">
        <f t="shared" si="0"/>
        <v>7.692307692307665E-3</v>
      </c>
      <c r="D52" s="14">
        <f t="shared" si="1"/>
        <v>4.3824701195219036E-2</v>
      </c>
    </row>
    <row r="53" spans="1:4" x14ac:dyDescent="0.2">
      <c r="A53" s="61">
        <v>25934</v>
      </c>
      <c r="B53" s="68">
        <f>VLOOKUP(Table4[[#This Row],[Date]],Database!A:E,3,)</f>
        <v>26.3</v>
      </c>
      <c r="C53" s="14">
        <f t="shared" si="0"/>
        <v>3.8167938931298255E-3</v>
      </c>
      <c r="D53" s="14">
        <f t="shared" si="1"/>
        <v>4.7808764940239015E-2</v>
      </c>
    </row>
    <row r="54" spans="1:4" x14ac:dyDescent="0.2">
      <c r="A54" s="61">
        <v>25965</v>
      </c>
      <c r="B54" s="68">
        <f>VLOOKUP(Table4[[#This Row],[Date]],Database!A:E,3,)</f>
        <v>26.2</v>
      </c>
      <c r="C54" s="14">
        <f t="shared" si="0"/>
        <v>-3.8022813688213465E-3</v>
      </c>
      <c r="D54" s="14">
        <f t="shared" si="1"/>
        <v>4.3824701195219036E-2</v>
      </c>
    </row>
    <row r="55" spans="1:4" x14ac:dyDescent="0.2">
      <c r="A55" s="61">
        <v>25993</v>
      </c>
      <c r="B55" s="68">
        <f>VLOOKUP(Table4[[#This Row],[Date]],Database!A:E,3,)</f>
        <v>26.2</v>
      </c>
      <c r="C55" s="14">
        <f t="shared" si="0"/>
        <v>0</v>
      </c>
      <c r="D55" s="14">
        <f t="shared" si="1"/>
        <v>4.7999999999999973E-2</v>
      </c>
    </row>
    <row r="56" spans="1:4" x14ac:dyDescent="0.2">
      <c r="A56" s="61">
        <v>26024</v>
      </c>
      <c r="B56" s="68">
        <f>VLOOKUP(Table4[[#This Row],[Date]],Database!A:E,3,)</f>
        <v>26.1</v>
      </c>
      <c r="C56" s="14">
        <f t="shared" si="0"/>
        <v>-3.8167938931296897E-3</v>
      </c>
      <c r="D56" s="14">
        <f t="shared" si="1"/>
        <v>2.3529411764705938E-2</v>
      </c>
    </row>
    <row r="57" spans="1:4" x14ac:dyDescent="0.2">
      <c r="A57" s="61">
        <v>26054</v>
      </c>
      <c r="B57" s="68">
        <f>VLOOKUP(Table4[[#This Row],[Date]],Database!A:E,3,)</f>
        <v>26.2</v>
      </c>
      <c r="C57" s="14">
        <f t="shared" si="0"/>
        <v>3.8314176245209911E-3</v>
      </c>
      <c r="D57" s="14">
        <f t="shared" si="1"/>
        <v>3.1496062992126012E-2</v>
      </c>
    </row>
    <row r="58" spans="1:4" x14ac:dyDescent="0.2">
      <c r="A58" s="61">
        <v>26085</v>
      </c>
      <c r="B58" s="68">
        <f>VLOOKUP(Table4[[#This Row],[Date]],Database!A:E,3,)</f>
        <v>26.3</v>
      </c>
      <c r="C58" s="14">
        <f t="shared" si="0"/>
        <v>3.8167938931298255E-3</v>
      </c>
      <c r="D58" s="14">
        <f t="shared" si="1"/>
        <v>3.9525691699604744E-2</v>
      </c>
    </row>
    <row r="59" spans="1:4" x14ac:dyDescent="0.2">
      <c r="A59" s="61">
        <v>26115</v>
      </c>
      <c r="B59" s="68">
        <f>VLOOKUP(Table4[[#This Row],[Date]],Database!A:E,3,)</f>
        <v>26.3</v>
      </c>
      <c r="C59" s="14">
        <f t="shared" si="0"/>
        <v>0</v>
      </c>
      <c r="D59" s="14">
        <f t="shared" si="1"/>
        <v>3.137254901960787E-2</v>
      </c>
    </row>
    <row r="60" spans="1:4" x14ac:dyDescent="0.2">
      <c r="A60" s="61">
        <v>26146</v>
      </c>
      <c r="B60" s="68">
        <f>VLOOKUP(Table4[[#This Row],[Date]],Database!A:E,3,)</f>
        <v>26.8</v>
      </c>
      <c r="C60" s="14">
        <f t="shared" si="0"/>
        <v>1.9011406844106463E-2</v>
      </c>
      <c r="D60" s="14">
        <f t="shared" si="1"/>
        <v>5.5118110236220562E-2</v>
      </c>
    </row>
    <row r="61" spans="1:4" x14ac:dyDescent="0.2">
      <c r="A61" s="61">
        <v>26177</v>
      </c>
      <c r="B61" s="68">
        <f>VLOOKUP(Table4[[#This Row],[Date]],Database!A:E,3,)</f>
        <v>26.9</v>
      </c>
      <c r="C61" s="14">
        <f t="shared" si="0"/>
        <v>3.7313432835820101E-3</v>
      </c>
      <c r="D61" s="14">
        <f t="shared" si="1"/>
        <v>5.0781249999999889E-2</v>
      </c>
    </row>
    <row r="62" spans="1:4" x14ac:dyDescent="0.2">
      <c r="A62" s="61">
        <v>26207</v>
      </c>
      <c r="B62" s="68">
        <f>VLOOKUP(Table4[[#This Row],[Date]],Database!A:E,3,)</f>
        <v>27</v>
      </c>
      <c r="C62" s="14">
        <f t="shared" si="0"/>
        <v>3.717472118959161E-3</v>
      </c>
      <c r="D62" s="14">
        <f t="shared" si="1"/>
        <v>4.2471042471042525E-2</v>
      </c>
    </row>
    <row r="63" spans="1:4" x14ac:dyDescent="0.2">
      <c r="A63" s="61">
        <v>26238</v>
      </c>
      <c r="B63" s="68">
        <f>VLOOKUP(Table4[[#This Row],[Date]],Database!A:E,3,)</f>
        <v>26.9</v>
      </c>
      <c r="C63" s="14">
        <f t="shared" si="0"/>
        <v>-3.7037037037037563E-3</v>
      </c>
      <c r="D63" s="14">
        <f t="shared" si="1"/>
        <v>3.4615384615384562E-2</v>
      </c>
    </row>
    <row r="64" spans="1:4" x14ac:dyDescent="0.2">
      <c r="A64" s="61">
        <v>26268</v>
      </c>
      <c r="B64" s="68">
        <f>VLOOKUP(Table4[[#This Row],[Date]],Database!A:E,3,)</f>
        <v>27</v>
      </c>
      <c r="C64" s="14">
        <f t="shared" si="0"/>
        <v>3.717472118959161E-3</v>
      </c>
      <c r="D64" s="14">
        <f t="shared" si="1"/>
        <v>3.0534351145038195E-2</v>
      </c>
    </row>
    <row r="65" spans="1:4" x14ac:dyDescent="0.2">
      <c r="A65" s="61">
        <v>26299</v>
      </c>
      <c r="B65" s="68">
        <f>VLOOKUP(Table4[[#This Row],[Date]],Database!A:E,3,)</f>
        <v>27</v>
      </c>
      <c r="C65" s="14">
        <f t="shared" si="0"/>
        <v>0</v>
      </c>
      <c r="D65" s="14">
        <f t="shared" si="1"/>
        <v>2.661596958174902E-2</v>
      </c>
    </row>
    <row r="66" spans="1:4" x14ac:dyDescent="0.2">
      <c r="A66" s="61">
        <v>26330</v>
      </c>
      <c r="B66" s="68">
        <f>VLOOKUP(Table4[[#This Row],[Date]],Database!A:E,3,)</f>
        <v>26.8</v>
      </c>
      <c r="C66" s="14">
        <f t="shared" si="0"/>
        <v>-7.4074074074073808E-3</v>
      </c>
      <c r="D66" s="14">
        <f t="shared" si="1"/>
        <v>2.2900763358778681E-2</v>
      </c>
    </row>
    <row r="67" spans="1:4" x14ac:dyDescent="0.2">
      <c r="A67" s="61">
        <v>26359</v>
      </c>
      <c r="B67" s="68">
        <f>VLOOKUP(Table4[[#This Row],[Date]],Database!A:E,3,)</f>
        <v>26.9</v>
      </c>
      <c r="C67" s="14">
        <f t="shared" si="0"/>
        <v>3.7313432835820101E-3</v>
      </c>
      <c r="D67" s="14">
        <f t="shared" si="1"/>
        <v>2.6717557251908372E-2</v>
      </c>
    </row>
    <row r="68" spans="1:4" x14ac:dyDescent="0.2">
      <c r="A68" s="61">
        <v>26390</v>
      </c>
      <c r="B68" s="68">
        <f>VLOOKUP(Table4[[#This Row],[Date]],Database!A:E,3,)</f>
        <v>26.9</v>
      </c>
      <c r="C68" s="14">
        <f t="shared" si="0"/>
        <v>0</v>
      </c>
      <c r="D68" s="14">
        <f t="shared" si="1"/>
        <v>3.0651340996168473E-2</v>
      </c>
    </row>
    <row r="69" spans="1:4" x14ac:dyDescent="0.2">
      <c r="A69" s="61">
        <v>26420</v>
      </c>
      <c r="B69" s="68">
        <f>VLOOKUP(Table4[[#This Row],[Date]],Database!A:E,3,)</f>
        <v>27</v>
      </c>
      <c r="C69" s="14">
        <f t="shared" si="0"/>
        <v>3.717472118959161E-3</v>
      </c>
      <c r="D69" s="14">
        <f t="shared" si="1"/>
        <v>3.0534351145038195E-2</v>
      </c>
    </row>
    <row r="70" spans="1:4" x14ac:dyDescent="0.2">
      <c r="A70" s="61">
        <v>26451</v>
      </c>
      <c r="B70" s="68">
        <f>VLOOKUP(Table4[[#This Row],[Date]],Database!A:E,3,)</f>
        <v>27</v>
      </c>
      <c r="C70" s="14">
        <f t="shared" ref="C70:C133" si="2">(B70-B69)/B69</f>
        <v>0</v>
      </c>
      <c r="D70" s="14">
        <f t="shared" si="1"/>
        <v>2.661596958174902E-2</v>
      </c>
    </row>
    <row r="71" spans="1:4" x14ac:dyDescent="0.2">
      <c r="A71" s="61">
        <v>26481</v>
      </c>
      <c r="B71" s="68">
        <f>VLOOKUP(Table4[[#This Row],[Date]],Database!A:E,3,)</f>
        <v>27.1</v>
      </c>
      <c r="C71" s="14">
        <f t="shared" si="2"/>
        <v>3.7037037037037563E-3</v>
      </c>
      <c r="D71" s="14">
        <f t="shared" si="1"/>
        <v>3.041825095057037E-2</v>
      </c>
    </row>
    <row r="72" spans="1:4" x14ac:dyDescent="0.2">
      <c r="A72" s="61">
        <v>26512</v>
      </c>
      <c r="B72" s="68">
        <f>VLOOKUP(Table4[[#This Row],[Date]],Database!A:E,3,)</f>
        <v>27.3</v>
      </c>
      <c r="C72" s="14">
        <f t="shared" si="2"/>
        <v>7.3800738007379811E-3</v>
      </c>
      <c r="D72" s="14">
        <f t="shared" si="1"/>
        <v>1.8656716417910446E-2</v>
      </c>
    </row>
    <row r="73" spans="1:4" x14ac:dyDescent="0.2">
      <c r="A73" s="61">
        <v>26543</v>
      </c>
      <c r="B73" s="68">
        <f>VLOOKUP(Table4[[#This Row],[Date]],Database!A:E,3,)</f>
        <v>27.6</v>
      </c>
      <c r="C73" s="14">
        <f t="shared" si="2"/>
        <v>1.0989010989011014E-2</v>
      </c>
      <c r="D73" s="14">
        <f t="shared" si="1"/>
        <v>2.6022304832713863E-2</v>
      </c>
    </row>
    <row r="74" spans="1:4" x14ac:dyDescent="0.2">
      <c r="A74" s="61">
        <v>26573</v>
      </c>
      <c r="B74" s="68">
        <f>VLOOKUP(Table4[[#This Row],[Date]],Database!A:E,3,)</f>
        <v>27.7</v>
      </c>
      <c r="C74" s="14">
        <f t="shared" si="2"/>
        <v>3.6231884057970239E-3</v>
      </c>
      <c r="D74" s="14">
        <f t="shared" si="1"/>
        <v>2.5925925925925901E-2</v>
      </c>
    </row>
    <row r="75" spans="1:4" x14ac:dyDescent="0.2">
      <c r="A75" s="61">
        <v>26604</v>
      </c>
      <c r="B75" s="68">
        <f>VLOOKUP(Table4[[#This Row],[Date]],Database!A:E,3,)</f>
        <v>27.9</v>
      </c>
      <c r="C75" s="14">
        <f t="shared" si="2"/>
        <v>7.2202166064981692E-3</v>
      </c>
      <c r="D75" s="14">
        <f t="shared" si="1"/>
        <v>3.717472118959108E-2</v>
      </c>
    </row>
    <row r="76" spans="1:4" x14ac:dyDescent="0.2">
      <c r="A76" s="61">
        <v>26634</v>
      </c>
      <c r="B76" s="68">
        <f>VLOOKUP(Table4[[#This Row],[Date]],Database!A:E,3,)</f>
        <v>27.8</v>
      </c>
      <c r="C76" s="14">
        <f t="shared" si="2"/>
        <v>-3.5842293906809273E-3</v>
      </c>
      <c r="D76" s="14">
        <f t="shared" si="1"/>
        <v>2.9629629629629655E-2</v>
      </c>
    </row>
    <row r="77" spans="1:4" x14ac:dyDescent="0.2">
      <c r="A77" s="61">
        <v>26665</v>
      </c>
      <c r="B77" s="68">
        <f>VLOOKUP(Table4[[#This Row],[Date]],Database!A:E,3,)</f>
        <v>27.9</v>
      </c>
      <c r="C77" s="14">
        <f t="shared" si="2"/>
        <v>3.5971223021581968E-3</v>
      </c>
      <c r="D77" s="14">
        <f t="shared" si="1"/>
        <v>3.3333333333333277E-2</v>
      </c>
    </row>
    <row r="78" spans="1:4" x14ac:dyDescent="0.2">
      <c r="A78" s="61">
        <v>26696</v>
      </c>
      <c r="B78" s="68">
        <f>VLOOKUP(Table4[[#This Row],[Date]],Database!A:E,3,)</f>
        <v>28.2</v>
      </c>
      <c r="C78" s="14">
        <f t="shared" si="2"/>
        <v>1.0752688172043038E-2</v>
      </c>
      <c r="D78" s="14">
        <f t="shared" si="1"/>
        <v>5.2238805970149196E-2</v>
      </c>
    </row>
    <row r="79" spans="1:4" x14ac:dyDescent="0.2">
      <c r="A79" s="61">
        <v>26724</v>
      </c>
      <c r="B79" s="68">
        <f>VLOOKUP(Table4[[#This Row],[Date]],Database!A:E,3,)</f>
        <v>28.3</v>
      </c>
      <c r="C79" s="14">
        <f t="shared" si="2"/>
        <v>3.5460992907801925E-3</v>
      </c>
      <c r="D79" s="14">
        <f t="shared" si="1"/>
        <v>5.2044609665427594E-2</v>
      </c>
    </row>
    <row r="80" spans="1:4" x14ac:dyDescent="0.2">
      <c r="A80" s="61">
        <v>26755</v>
      </c>
      <c r="B80" s="68">
        <f>VLOOKUP(Table4[[#This Row],[Date]],Database!A:E,3,)</f>
        <v>28.6</v>
      </c>
      <c r="C80" s="14">
        <f t="shared" si="2"/>
        <v>1.0600706713780944E-2</v>
      </c>
      <c r="D80" s="14">
        <f t="shared" si="1"/>
        <v>6.3197026022304939E-2</v>
      </c>
    </row>
    <row r="81" spans="1:4" x14ac:dyDescent="0.2">
      <c r="A81" s="61">
        <v>26785</v>
      </c>
      <c r="B81" s="68">
        <f>VLOOKUP(Table4[[#This Row],[Date]],Database!A:E,3,)</f>
        <v>28.8</v>
      </c>
      <c r="C81" s="14">
        <f t="shared" si="2"/>
        <v>6.9930069930069678E-3</v>
      </c>
      <c r="D81" s="14">
        <f t="shared" ref="D81:D144" si="3">(B81-B69)/B69</f>
        <v>6.6666666666666693E-2</v>
      </c>
    </row>
    <row r="82" spans="1:4" x14ac:dyDescent="0.2">
      <c r="A82" s="61">
        <v>26816</v>
      </c>
      <c r="B82" s="68">
        <f>VLOOKUP(Table4[[#This Row],[Date]],Database!A:E,3,)</f>
        <v>29.2</v>
      </c>
      <c r="C82" s="14">
        <f t="shared" si="2"/>
        <v>1.388888888888884E-2</v>
      </c>
      <c r="D82" s="14">
        <f t="shared" si="3"/>
        <v>8.148148148148146E-2</v>
      </c>
    </row>
    <row r="83" spans="1:4" x14ac:dyDescent="0.2">
      <c r="A83" s="61">
        <v>26846</v>
      </c>
      <c r="B83" s="68">
        <f>VLOOKUP(Table4[[#This Row],[Date]],Database!A:E,3,)</f>
        <v>29.2</v>
      </c>
      <c r="C83" s="14">
        <f t="shared" si="2"/>
        <v>0</v>
      </c>
      <c r="D83" s="14">
        <f t="shared" si="3"/>
        <v>7.7490774907748999E-2</v>
      </c>
    </row>
    <row r="84" spans="1:4" x14ac:dyDescent="0.2">
      <c r="A84" s="61">
        <v>26877</v>
      </c>
      <c r="B84" s="68">
        <f>VLOOKUP(Table4[[#This Row],[Date]],Database!A:E,3,)</f>
        <v>29.4</v>
      </c>
      <c r="C84" s="14">
        <f t="shared" si="2"/>
        <v>6.8493150684931269E-3</v>
      </c>
      <c r="D84" s="14">
        <f t="shared" si="3"/>
        <v>7.6923076923076844E-2</v>
      </c>
    </row>
    <row r="85" spans="1:4" x14ac:dyDescent="0.2">
      <c r="A85" s="61">
        <v>26908</v>
      </c>
      <c r="B85" s="68">
        <f>VLOOKUP(Table4[[#This Row],[Date]],Database!A:E,3,)</f>
        <v>29.4</v>
      </c>
      <c r="C85" s="14">
        <f t="shared" si="2"/>
        <v>0</v>
      </c>
      <c r="D85" s="14">
        <f t="shared" si="3"/>
        <v>6.5217391304347713E-2</v>
      </c>
    </row>
    <row r="86" spans="1:4" x14ac:dyDescent="0.2">
      <c r="A86" s="61">
        <v>26938</v>
      </c>
      <c r="B86" s="68">
        <f>VLOOKUP(Table4[[#This Row],[Date]],Database!A:E,3,)</f>
        <v>30.3</v>
      </c>
      <c r="C86" s="14">
        <f t="shared" si="2"/>
        <v>3.0612244897959259E-2</v>
      </c>
      <c r="D86" s="14">
        <f t="shared" si="3"/>
        <v>9.3862815884476591E-2</v>
      </c>
    </row>
    <row r="87" spans="1:4" x14ac:dyDescent="0.2">
      <c r="A87" s="61">
        <v>26969</v>
      </c>
      <c r="B87" s="68">
        <f>VLOOKUP(Table4[[#This Row],[Date]],Database!A:E,3,)</f>
        <v>31.5</v>
      </c>
      <c r="C87" s="14">
        <f t="shared" si="2"/>
        <v>3.9603960396039577E-2</v>
      </c>
      <c r="D87" s="14">
        <f t="shared" si="3"/>
        <v>0.12903225806451618</v>
      </c>
    </row>
    <row r="88" spans="1:4" x14ac:dyDescent="0.2">
      <c r="A88" s="61">
        <v>26999</v>
      </c>
      <c r="B88" s="68">
        <f>VLOOKUP(Table4[[#This Row],[Date]],Database!A:E,3,)</f>
        <v>32.5</v>
      </c>
      <c r="C88" s="14">
        <f t="shared" si="2"/>
        <v>3.1746031746031744E-2</v>
      </c>
      <c r="D88" s="14">
        <f t="shared" si="3"/>
        <v>0.16906474820143882</v>
      </c>
    </row>
    <row r="89" spans="1:4" x14ac:dyDescent="0.2">
      <c r="A89" s="61">
        <v>27030</v>
      </c>
      <c r="B89" s="68">
        <f>VLOOKUP(Table4[[#This Row],[Date]],Database!A:E,3,)</f>
        <v>34.1</v>
      </c>
      <c r="C89" s="14">
        <f t="shared" si="2"/>
        <v>4.9230769230769272E-2</v>
      </c>
      <c r="D89" s="14">
        <f t="shared" si="3"/>
        <v>0.22222222222222235</v>
      </c>
    </row>
    <row r="90" spans="1:4" x14ac:dyDescent="0.2">
      <c r="A90" s="61">
        <v>27061</v>
      </c>
      <c r="B90" s="68">
        <f>VLOOKUP(Table4[[#This Row],[Date]],Database!A:E,3,)</f>
        <v>35.4</v>
      </c>
      <c r="C90" s="14">
        <f t="shared" si="2"/>
        <v>3.8123167155425138E-2</v>
      </c>
      <c r="D90" s="14">
        <f t="shared" si="3"/>
        <v>0.25531914893617019</v>
      </c>
    </row>
    <row r="91" spans="1:4" x14ac:dyDescent="0.2">
      <c r="A91" s="61">
        <v>27089</v>
      </c>
      <c r="B91" s="68">
        <f>VLOOKUP(Table4[[#This Row],[Date]],Database!A:E,3,)</f>
        <v>36.9</v>
      </c>
      <c r="C91" s="14">
        <f t="shared" si="2"/>
        <v>4.2372881355932208E-2</v>
      </c>
      <c r="D91" s="14">
        <f t="shared" si="3"/>
        <v>0.30388692579505294</v>
      </c>
    </row>
    <row r="92" spans="1:4" x14ac:dyDescent="0.2">
      <c r="A92" s="61">
        <v>27120</v>
      </c>
      <c r="B92" s="68">
        <f>VLOOKUP(Table4[[#This Row],[Date]],Database!A:E,3,)</f>
        <v>37.6</v>
      </c>
      <c r="C92" s="14">
        <f t="shared" si="2"/>
        <v>1.8970189701897098E-2</v>
      </c>
      <c r="D92" s="14">
        <f t="shared" si="3"/>
        <v>0.31468531468531469</v>
      </c>
    </row>
    <row r="93" spans="1:4" x14ac:dyDescent="0.2">
      <c r="A93" s="61">
        <v>27150</v>
      </c>
      <c r="B93" s="68">
        <f>VLOOKUP(Table4[[#This Row],[Date]],Database!A:E,3,)</f>
        <v>38.299999999999997</v>
      </c>
      <c r="C93" s="14">
        <f t="shared" si="2"/>
        <v>1.8617021276595629E-2</v>
      </c>
      <c r="D93" s="14">
        <f t="shared" si="3"/>
        <v>0.32986111111111099</v>
      </c>
    </row>
    <row r="94" spans="1:4" x14ac:dyDescent="0.2">
      <c r="A94" s="61">
        <v>27181</v>
      </c>
      <c r="B94" s="68">
        <f>VLOOKUP(Table4[[#This Row],[Date]],Database!A:E,3,)</f>
        <v>38.6</v>
      </c>
      <c r="C94" s="14">
        <f t="shared" si="2"/>
        <v>7.8328981723238718E-3</v>
      </c>
      <c r="D94" s="14">
        <f t="shared" si="3"/>
        <v>0.32191780821917815</v>
      </c>
    </row>
    <row r="95" spans="1:4" x14ac:dyDescent="0.2">
      <c r="A95" s="61">
        <v>27211</v>
      </c>
      <c r="B95" s="68">
        <f>VLOOKUP(Table4[[#This Row],[Date]],Database!A:E,3,)</f>
        <v>38.9</v>
      </c>
      <c r="C95" s="14">
        <f t="shared" si="2"/>
        <v>7.7720207253885272E-3</v>
      </c>
      <c r="D95" s="14">
        <f t="shared" si="3"/>
        <v>0.3321917808219178</v>
      </c>
    </row>
    <row r="96" spans="1:4" x14ac:dyDescent="0.2">
      <c r="A96" s="61">
        <v>27242</v>
      </c>
      <c r="B96" s="68">
        <f>VLOOKUP(Table4[[#This Row],[Date]],Database!A:E,3,)</f>
        <v>39.200000000000003</v>
      </c>
      <c r="C96" s="14">
        <f t="shared" si="2"/>
        <v>7.7120822622109069E-3</v>
      </c>
      <c r="D96" s="14">
        <f t="shared" si="3"/>
        <v>0.33333333333333348</v>
      </c>
    </row>
    <row r="97" spans="1:4" x14ac:dyDescent="0.2">
      <c r="A97" s="61">
        <v>27273</v>
      </c>
      <c r="B97" s="68">
        <f>VLOOKUP(Table4[[#This Row],[Date]],Database!A:E,3,)</f>
        <v>39.299999999999997</v>
      </c>
      <c r="C97" s="14">
        <f t="shared" si="2"/>
        <v>2.5510204081631203E-3</v>
      </c>
      <c r="D97" s="14">
        <f t="shared" si="3"/>
        <v>0.33673469387755101</v>
      </c>
    </row>
    <row r="98" spans="1:4" x14ac:dyDescent="0.2">
      <c r="A98" s="61">
        <v>27303</v>
      </c>
      <c r="B98" s="68">
        <f>VLOOKUP(Table4[[#This Row],[Date]],Database!A:E,3,)</f>
        <v>39.200000000000003</v>
      </c>
      <c r="C98" s="14">
        <f t="shared" si="2"/>
        <v>-2.5445292620863693E-3</v>
      </c>
      <c r="D98" s="14">
        <f t="shared" si="3"/>
        <v>0.29372937293729379</v>
      </c>
    </row>
    <row r="99" spans="1:4" x14ac:dyDescent="0.2">
      <c r="A99" s="61">
        <v>27334</v>
      </c>
      <c r="B99" s="68">
        <f>VLOOKUP(Table4[[#This Row],[Date]],Database!A:E,3,)</f>
        <v>39.4</v>
      </c>
      <c r="C99" s="14">
        <f t="shared" si="2"/>
        <v>5.1020408163264218E-3</v>
      </c>
      <c r="D99" s="14">
        <f t="shared" si="3"/>
        <v>0.25079365079365074</v>
      </c>
    </row>
    <row r="100" spans="1:4" x14ac:dyDescent="0.2">
      <c r="A100" s="61">
        <v>27364</v>
      </c>
      <c r="B100" s="68">
        <f>VLOOKUP(Table4[[#This Row],[Date]],Database!A:E,3,)</f>
        <v>39.6</v>
      </c>
      <c r="C100" s="14">
        <f t="shared" si="2"/>
        <v>5.0761421319797679E-3</v>
      </c>
      <c r="D100" s="14">
        <f t="shared" si="3"/>
        <v>0.21846153846153851</v>
      </c>
    </row>
    <row r="101" spans="1:4" x14ac:dyDescent="0.2">
      <c r="A101" s="61">
        <v>27395</v>
      </c>
      <c r="B101" s="68">
        <f>VLOOKUP(Table4[[#This Row],[Date]],Database!A:E,3,)</f>
        <v>40</v>
      </c>
      <c r="C101" s="14">
        <f t="shared" si="2"/>
        <v>1.0101010101010065E-2</v>
      </c>
      <c r="D101" s="14">
        <f t="shared" si="3"/>
        <v>0.17302052785923749</v>
      </c>
    </row>
    <row r="102" spans="1:4" x14ac:dyDescent="0.2">
      <c r="A102" s="61">
        <v>27426</v>
      </c>
      <c r="B102" s="68">
        <f>VLOOKUP(Table4[[#This Row],[Date]],Database!A:E,3,)</f>
        <v>40.299999999999997</v>
      </c>
      <c r="C102" s="14">
        <f t="shared" si="2"/>
        <v>7.4999999999999286E-3</v>
      </c>
      <c r="D102" s="14">
        <f t="shared" si="3"/>
        <v>0.13841807909604517</v>
      </c>
    </row>
    <row r="103" spans="1:4" x14ac:dyDescent="0.2">
      <c r="A103" s="61">
        <v>27454</v>
      </c>
      <c r="B103" s="68">
        <f>VLOOKUP(Table4[[#This Row],[Date]],Database!A:E,3,)</f>
        <v>40.6</v>
      </c>
      <c r="C103" s="14">
        <f t="shared" si="2"/>
        <v>7.4441687344914218E-3</v>
      </c>
      <c r="D103" s="14">
        <f t="shared" si="3"/>
        <v>0.10027100271002719</v>
      </c>
    </row>
    <row r="104" spans="1:4" x14ac:dyDescent="0.2">
      <c r="A104" s="61">
        <v>27485</v>
      </c>
      <c r="B104" s="68">
        <f>VLOOKUP(Table4[[#This Row],[Date]],Database!A:E,3,)</f>
        <v>41</v>
      </c>
      <c r="C104" s="14">
        <f t="shared" si="2"/>
        <v>9.8522167487684383E-3</v>
      </c>
      <c r="D104" s="14">
        <f t="shared" si="3"/>
        <v>9.0425531914893581E-2</v>
      </c>
    </row>
    <row r="105" spans="1:4" x14ac:dyDescent="0.2">
      <c r="A105" s="61">
        <v>27515</v>
      </c>
      <c r="B105" s="68">
        <f>VLOOKUP(Table4[[#This Row],[Date]],Database!A:E,3,)</f>
        <v>41.3</v>
      </c>
      <c r="C105" s="14">
        <f t="shared" si="2"/>
        <v>7.3170731707316384E-3</v>
      </c>
      <c r="D105" s="14">
        <f t="shared" si="3"/>
        <v>7.8328981723237601E-2</v>
      </c>
    </row>
    <row r="106" spans="1:4" x14ac:dyDescent="0.2">
      <c r="A106" s="61">
        <v>27546</v>
      </c>
      <c r="B106" s="68">
        <f>VLOOKUP(Table4[[#This Row],[Date]],Database!A:E,3,)</f>
        <v>41.7</v>
      </c>
      <c r="C106" s="14">
        <f t="shared" si="2"/>
        <v>9.6852300242132126E-3</v>
      </c>
      <c r="D106" s="14">
        <f t="shared" si="3"/>
        <v>8.031088082901558E-2</v>
      </c>
    </row>
    <row r="107" spans="1:4" x14ac:dyDescent="0.2">
      <c r="A107" s="61">
        <v>27576</v>
      </c>
      <c r="B107" s="68">
        <f>VLOOKUP(Table4[[#This Row],[Date]],Database!A:E,3,)</f>
        <v>42.5</v>
      </c>
      <c r="C107" s="14">
        <f t="shared" si="2"/>
        <v>1.9184652278177387E-2</v>
      </c>
      <c r="D107" s="14">
        <f t="shared" si="3"/>
        <v>9.2544987146529603E-2</v>
      </c>
    </row>
    <row r="108" spans="1:4" x14ac:dyDescent="0.2">
      <c r="A108" s="61">
        <v>27607</v>
      </c>
      <c r="B108" s="68">
        <f>VLOOKUP(Table4[[#This Row],[Date]],Database!A:E,3,)</f>
        <v>42.8</v>
      </c>
      <c r="C108" s="14">
        <f t="shared" si="2"/>
        <v>7.0588235294116982E-3</v>
      </c>
      <c r="D108" s="14">
        <f t="shared" si="3"/>
        <v>9.1836734693877403E-2</v>
      </c>
    </row>
    <row r="109" spans="1:4" x14ac:dyDescent="0.2">
      <c r="A109" s="61">
        <v>27638</v>
      </c>
      <c r="B109" s="68">
        <f>VLOOKUP(Table4[[#This Row],[Date]],Database!A:E,3,)</f>
        <v>43.2</v>
      </c>
      <c r="C109" s="14">
        <f t="shared" si="2"/>
        <v>9.3457943925234974E-3</v>
      </c>
      <c r="D109" s="14">
        <f t="shared" si="3"/>
        <v>9.9236641221374197E-2</v>
      </c>
    </row>
    <row r="110" spans="1:4" x14ac:dyDescent="0.2">
      <c r="A110" s="61">
        <v>27668</v>
      </c>
      <c r="B110" s="68">
        <f>VLOOKUP(Table4[[#This Row],[Date]],Database!A:E,3,)</f>
        <v>43.5</v>
      </c>
      <c r="C110" s="14">
        <f t="shared" si="2"/>
        <v>6.9444444444443781E-3</v>
      </c>
      <c r="D110" s="14">
        <f t="shared" si="3"/>
        <v>0.10969387755102032</v>
      </c>
    </row>
    <row r="111" spans="1:4" x14ac:dyDescent="0.2">
      <c r="A111" s="61">
        <v>27699</v>
      </c>
      <c r="B111" s="68">
        <f>VLOOKUP(Table4[[#This Row],[Date]],Database!A:E,3,)</f>
        <v>43.9</v>
      </c>
      <c r="C111" s="14">
        <f t="shared" si="2"/>
        <v>9.1954022988505416E-3</v>
      </c>
      <c r="D111" s="14">
        <f t="shared" si="3"/>
        <v>0.11421319796954316</v>
      </c>
    </row>
    <row r="112" spans="1:4" x14ac:dyDescent="0.2">
      <c r="A112" s="61">
        <v>27729</v>
      </c>
      <c r="B112" s="68">
        <f>VLOOKUP(Table4[[#This Row],[Date]],Database!A:E,3,)</f>
        <v>44.1</v>
      </c>
      <c r="C112" s="14">
        <f t="shared" si="2"/>
        <v>4.5558086560365113E-3</v>
      </c>
      <c r="D112" s="14">
        <f t="shared" si="3"/>
        <v>0.11363636363636363</v>
      </c>
    </row>
    <row r="113" spans="1:4" x14ac:dyDescent="0.2">
      <c r="A113" s="61">
        <v>27760</v>
      </c>
      <c r="B113" s="68">
        <f>VLOOKUP(Table4[[#This Row],[Date]],Database!A:E,3,)</f>
        <v>44.5</v>
      </c>
      <c r="C113" s="14">
        <f t="shared" si="2"/>
        <v>9.0702947845804661E-3</v>
      </c>
      <c r="D113" s="14">
        <f t="shared" si="3"/>
        <v>0.1125</v>
      </c>
    </row>
    <row r="114" spans="1:4" x14ac:dyDescent="0.2">
      <c r="A114" s="61">
        <v>27791</v>
      </c>
      <c r="B114" s="68">
        <f>VLOOKUP(Table4[[#This Row],[Date]],Database!A:E,3,)</f>
        <v>44.4</v>
      </c>
      <c r="C114" s="14">
        <f t="shared" si="2"/>
        <v>-2.2471910112359869E-3</v>
      </c>
      <c r="D114" s="14">
        <f t="shared" si="3"/>
        <v>0.10173697270471468</v>
      </c>
    </row>
    <row r="115" spans="1:4" x14ac:dyDescent="0.2">
      <c r="A115" s="61">
        <v>27820</v>
      </c>
      <c r="B115" s="68">
        <f>VLOOKUP(Table4[[#This Row],[Date]],Database!A:E,3,)</f>
        <v>44.1</v>
      </c>
      <c r="C115" s="14">
        <f t="shared" si="2"/>
        <v>-6.7567567567566929E-3</v>
      </c>
      <c r="D115" s="14">
        <f t="shared" si="3"/>
        <v>8.620689655172413E-2</v>
      </c>
    </row>
    <row r="116" spans="1:4" x14ac:dyDescent="0.2">
      <c r="A116" s="61">
        <v>27851</v>
      </c>
      <c r="B116" s="68">
        <f>VLOOKUP(Table4[[#This Row],[Date]],Database!A:E,3,)</f>
        <v>43.9</v>
      </c>
      <c r="C116" s="14">
        <f t="shared" si="2"/>
        <v>-4.5351473922903137E-3</v>
      </c>
      <c r="D116" s="14">
        <f t="shared" si="3"/>
        <v>7.0731707317073136E-2</v>
      </c>
    </row>
    <row r="117" spans="1:4" x14ac:dyDescent="0.2">
      <c r="A117" s="61">
        <v>27881</v>
      </c>
      <c r="B117" s="68">
        <f>VLOOKUP(Table4[[#This Row],[Date]],Database!A:E,3,)</f>
        <v>44.1</v>
      </c>
      <c r="C117" s="14">
        <f t="shared" si="2"/>
        <v>4.5558086560365113E-3</v>
      </c>
      <c r="D117" s="14">
        <f t="shared" si="3"/>
        <v>6.7796610169491636E-2</v>
      </c>
    </row>
    <row r="118" spans="1:4" x14ac:dyDescent="0.2">
      <c r="A118" s="61">
        <v>27912</v>
      </c>
      <c r="B118" s="68">
        <f>VLOOKUP(Table4[[#This Row],[Date]],Database!A:E,3,)</f>
        <v>44.4</v>
      </c>
      <c r="C118" s="14">
        <f t="shared" si="2"/>
        <v>6.8027210884353097E-3</v>
      </c>
      <c r="D118" s="14">
        <f t="shared" si="3"/>
        <v>6.474820143884881E-2</v>
      </c>
    </row>
    <row r="119" spans="1:4" x14ac:dyDescent="0.2">
      <c r="A119" s="61">
        <v>27942</v>
      </c>
      <c r="B119" s="68">
        <f>VLOOKUP(Table4[[#This Row],[Date]],Database!A:E,3,)</f>
        <v>44.8</v>
      </c>
      <c r="C119" s="14">
        <f t="shared" si="2"/>
        <v>9.0090090090089777E-3</v>
      </c>
      <c r="D119" s="14">
        <f t="shared" si="3"/>
        <v>5.4117647058823465E-2</v>
      </c>
    </row>
    <row r="120" spans="1:4" x14ac:dyDescent="0.2">
      <c r="A120" s="61">
        <v>27973</v>
      </c>
      <c r="B120" s="68">
        <f>VLOOKUP(Table4[[#This Row],[Date]],Database!A:E,3,)</f>
        <v>45.2</v>
      </c>
      <c r="C120" s="14">
        <f t="shared" si="2"/>
        <v>8.9285714285715564E-3</v>
      </c>
      <c r="D120" s="14">
        <f t="shared" si="3"/>
        <v>5.6074766355140325E-2</v>
      </c>
    </row>
    <row r="121" spans="1:4" x14ac:dyDescent="0.2">
      <c r="A121" s="61">
        <v>28004</v>
      </c>
      <c r="B121" s="68">
        <f>VLOOKUP(Table4[[#This Row],[Date]],Database!A:E,3,)</f>
        <v>45.7</v>
      </c>
      <c r="C121" s="14">
        <f t="shared" si="2"/>
        <v>1.1061946902654867E-2</v>
      </c>
      <c r="D121" s="14">
        <f t="shared" si="3"/>
        <v>5.7870370370370364E-2</v>
      </c>
    </row>
    <row r="122" spans="1:4" x14ac:dyDescent="0.2">
      <c r="A122" s="61">
        <v>28034</v>
      </c>
      <c r="B122" s="68">
        <f>VLOOKUP(Table4[[#This Row],[Date]],Database!A:E,3,)</f>
        <v>46.1</v>
      </c>
      <c r="C122" s="14">
        <f t="shared" si="2"/>
        <v>8.7527352297592682E-3</v>
      </c>
      <c r="D122" s="14">
        <f t="shared" si="3"/>
        <v>5.9770114942528769E-2</v>
      </c>
    </row>
    <row r="123" spans="1:4" x14ac:dyDescent="0.2">
      <c r="A123" s="61">
        <v>28065</v>
      </c>
      <c r="B123" s="68">
        <f>VLOOKUP(Table4[[#This Row],[Date]],Database!A:E,3,)</f>
        <v>46.8</v>
      </c>
      <c r="C123" s="14">
        <f t="shared" si="2"/>
        <v>1.5184381778741773E-2</v>
      </c>
      <c r="D123" s="14">
        <f t="shared" si="3"/>
        <v>6.6059225512528449E-2</v>
      </c>
    </row>
    <row r="124" spans="1:4" x14ac:dyDescent="0.2">
      <c r="A124" s="61">
        <v>28095</v>
      </c>
      <c r="B124" s="68">
        <f>VLOOKUP(Table4[[#This Row],[Date]],Database!A:E,3,)</f>
        <v>47.5</v>
      </c>
      <c r="C124" s="14">
        <f t="shared" si="2"/>
        <v>1.4957264957265019E-2</v>
      </c>
      <c r="D124" s="14">
        <f t="shared" si="3"/>
        <v>7.709750566893421E-2</v>
      </c>
    </row>
    <row r="125" spans="1:4" x14ac:dyDescent="0.2">
      <c r="A125" s="61">
        <v>28126</v>
      </c>
      <c r="B125" s="68">
        <f>VLOOKUP(Table4[[#This Row],[Date]],Database!A:E,3,)</f>
        <v>48.1</v>
      </c>
      <c r="C125" s="14">
        <f t="shared" si="2"/>
        <v>1.263157894736845E-2</v>
      </c>
      <c r="D125" s="14">
        <f t="shared" si="3"/>
        <v>8.0898876404494419E-2</v>
      </c>
    </row>
    <row r="126" spans="1:4" x14ac:dyDescent="0.2">
      <c r="A126" s="61">
        <v>28157</v>
      </c>
      <c r="B126" s="68">
        <f>VLOOKUP(Table4[[#This Row],[Date]],Database!A:E,3,)</f>
        <v>48.1</v>
      </c>
      <c r="C126" s="14">
        <f t="shared" si="2"/>
        <v>0</v>
      </c>
      <c r="D126" s="14">
        <f t="shared" si="3"/>
        <v>8.3333333333333398E-2</v>
      </c>
    </row>
    <row r="127" spans="1:4" x14ac:dyDescent="0.2">
      <c r="A127" s="61">
        <v>28185</v>
      </c>
      <c r="B127" s="68">
        <f>VLOOKUP(Table4[[#This Row],[Date]],Database!A:E,3,)</f>
        <v>48.4</v>
      </c>
      <c r="C127" s="14">
        <f t="shared" si="2"/>
        <v>6.2370062370061775E-3</v>
      </c>
      <c r="D127" s="14">
        <f t="shared" si="3"/>
        <v>9.75056689342403E-2</v>
      </c>
    </row>
    <row r="128" spans="1:4" x14ac:dyDescent="0.2">
      <c r="A128" s="61">
        <v>28216</v>
      </c>
      <c r="B128" s="68">
        <f>VLOOKUP(Table4[[#This Row],[Date]],Database!A:E,3,)</f>
        <v>48.6</v>
      </c>
      <c r="C128" s="14">
        <f t="shared" si="2"/>
        <v>4.1322314049587368E-3</v>
      </c>
      <c r="D128" s="14">
        <f t="shared" si="3"/>
        <v>0.10706150341685657</v>
      </c>
    </row>
    <row r="129" spans="1:4" x14ac:dyDescent="0.2">
      <c r="A129" s="61">
        <v>28246</v>
      </c>
      <c r="B129" s="68">
        <f>VLOOKUP(Table4[[#This Row],[Date]],Database!A:E,3,)</f>
        <v>48.9</v>
      </c>
      <c r="C129" s="14">
        <f t="shared" si="2"/>
        <v>6.1728395061727811E-3</v>
      </c>
      <c r="D129" s="14">
        <f t="shared" si="3"/>
        <v>0.10884353741496591</v>
      </c>
    </row>
    <row r="130" spans="1:4" x14ac:dyDescent="0.2">
      <c r="A130" s="61">
        <v>28277</v>
      </c>
      <c r="B130" s="68">
        <f>VLOOKUP(Table4[[#This Row],[Date]],Database!A:E,3,)</f>
        <v>48.9</v>
      </c>
      <c r="C130" s="14">
        <f t="shared" si="2"/>
        <v>0</v>
      </c>
      <c r="D130" s="14">
        <f t="shared" si="3"/>
        <v>0.10135135135135136</v>
      </c>
    </row>
    <row r="131" spans="1:4" x14ac:dyDescent="0.2">
      <c r="A131" s="61">
        <v>28307</v>
      </c>
      <c r="B131" s="68">
        <f>VLOOKUP(Table4[[#This Row],[Date]],Database!A:E,3,)</f>
        <v>49.1</v>
      </c>
      <c r="C131" s="14">
        <f t="shared" si="2"/>
        <v>4.089979550102308E-3</v>
      </c>
      <c r="D131" s="14">
        <f t="shared" si="3"/>
        <v>9.598214285714296E-2</v>
      </c>
    </row>
    <row r="132" spans="1:4" x14ac:dyDescent="0.2">
      <c r="A132" s="61">
        <v>28338</v>
      </c>
      <c r="B132" s="68">
        <f>VLOOKUP(Table4[[#This Row],[Date]],Database!A:E,3,)</f>
        <v>49.5</v>
      </c>
      <c r="C132" s="14">
        <f t="shared" si="2"/>
        <v>8.1466395112016008E-3</v>
      </c>
      <c r="D132" s="14">
        <f t="shared" si="3"/>
        <v>9.5132743362831784E-2</v>
      </c>
    </row>
    <row r="133" spans="1:4" x14ac:dyDescent="0.2">
      <c r="A133" s="61">
        <v>28369</v>
      </c>
      <c r="B133" s="68">
        <f>VLOOKUP(Table4[[#This Row],[Date]],Database!A:E,3,)</f>
        <v>49.8</v>
      </c>
      <c r="C133" s="14">
        <f t="shared" si="2"/>
        <v>6.0606060606060034E-3</v>
      </c>
      <c r="D133" s="14">
        <f t="shared" si="3"/>
        <v>8.9715536105032689E-2</v>
      </c>
    </row>
    <row r="134" spans="1:4" x14ac:dyDescent="0.2">
      <c r="A134" s="61">
        <v>28399</v>
      </c>
      <c r="B134" s="68">
        <f>VLOOKUP(Table4[[#This Row],[Date]],Database!A:E,3,)</f>
        <v>50.5</v>
      </c>
      <c r="C134" s="14">
        <f t="shared" ref="C134:C197" si="4">(B134-B133)/B133</f>
        <v>1.4056224899598452E-2</v>
      </c>
      <c r="D134" s="14">
        <f t="shared" si="3"/>
        <v>9.544468546637741E-2</v>
      </c>
    </row>
    <row r="135" spans="1:4" x14ac:dyDescent="0.2">
      <c r="A135" s="61">
        <v>28430</v>
      </c>
      <c r="B135" s="68">
        <f>VLOOKUP(Table4[[#This Row],[Date]],Database!A:E,3,)</f>
        <v>51.3</v>
      </c>
      <c r="C135" s="14">
        <f t="shared" si="4"/>
        <v>1.5841584158415786E-2</v>
      </c>
      <c r="D135" s="14">
        <f t="shared" si="3"/>
        <v>9.6153846153846159E-2</v>
      </c>
    </row>
    <row r="136" spans="1:4" x14ac:dyDescent="0.2">
      <c r="A136" s="61">
        <v>28460</v>
      </c>
      <c r="B136" s="68">
        <f>VLOOKUP(Table4[[#This Row],[Date]],Database!A:E,3,)</f>
        <v>51.6</v>
      </c>
      <c r="C136" s="14">
        <f t="shared" si="4"/>
        <v>5.8479532163743528E-3</v>
      </c>
      <c r="D136" s="14">
        <f t="shared" si="3"/>
        <v>8.6315789473684235E-2</v>
      </c>
    </row>
    <row r="137" spans="1:4" x14ac:dyDescent="0.2">
      <c r="A137" s="61">
        <v>28491</v>
      </c>
      <c r="B137" s="68">
        <f>VLOOKUP(Table4[[#This Row],[Date]],Database!A:E,3,)</f>
        <v>51.1</v>
      </c>
      <c r="C137" s="14">
        <f t="shared" si="4"/>
        <v>-9.6899224806201549E-3</v>
      </c>
      <c r="D137" s="14">
        <f t="shared" si="3"/>
        <v>6.2370062370062367E-2</v>
      </c>
    </row>
    <row r="138" spans="1:4" x14ac:dyDescent="0.2">
      <c r="A138" s="61">
        <v>28522</v>
      </c>
      <c r="B138" s="68">
        <f>VLOOKUP(Table4[[#This Row],[Date]],Database!A:E,3,)</f>
        <v>50.6</v>
      </c>
      <c r="C138" s="14">
        <f t="shared" si="4"/>
        <v>-9.7847358121330719E-3</v>
      </c>
      <c r="D138" s="14">
        <f t="shared" si="3"/>
        <v>5.1975051975051971E-2</v>
      </c>
    </row>
    <row r="139" spans="1:4" x14ac:dyDescent="0.2">
      <c r="A139" s="61">
        <v>28550</v>
      </c>
      <c r="B139" s="68">
        <f>VLOOKUP(Table4[[#This Row],[Date]],Database!A:E,3,)</f>
        <v>51</v>
      </c>
      <c r="C139" s="14">
        <f t="shared" si="4"/>
        <v>7.9051383399209203E-3</v>
      </c>
      <c r="D139" s="14">
        <f t="shared" si="3"/>
        <v>5.3719008264462839E-2</v>
      </c>
    </row>
    <row r="140" spans="1:4" x14ac:dyDescent="0.2">
      <c r="A140" s="61">
        <v>28581</v>
      </c>
      <c r="B140" s="68">
        <f>VLOOKUP(Table4[[#This Row],[Date]],Database!A:E,3,)</f>
        <v>51.4</v>
      </c>
      <c r="C140" s="14">
        <f t="shared" si="4"/>
        <v>7.8431372549019329E-3</v>
      </c>
      <c r="D140" s="14">
        <f t="shared" si="3"/>
        <v>5.7613168724279774E-2</v>
      </c>
    </row>
    <row r="141" spans="1:4" x14ac:dyDescent="0.2">
      <c r="A141" s="61">
        <v>28611</v>
      </c>
      <c r="B141" s="68">
        <f>VLOOKUP(Table4[[#This Row],[Date]],Database!A:E,3,)</f>
        <v>51.7</v>
      </c>
      <c r="C141" s="14">
        <f t="shared" si="4"/>
        <v>5.8365758754864647E-3</v>
      </c>
      <c r="D141" s="14">
        <f t="shared" si="3"/>
        <v>5.7259713701431583E-2</v>
      </c>
    </row>
    <row r="142" spans="1:4" x14ac:dyDescent="0.2">
      <c r="A142" s="61">
        <v>28642</v>
      </c>
      <c r="B142" s="68">
        <f>VLOOKUP(Table4[[#This Row],[Date]],Database!A:E,3,)</f>
        <v>51.9</v>
      </c>
      <c r="C142" s="14">
        <f t="shared" si="4"/>
        <v>3.8684719535782537E-3</v>
      </c>
      <c r="D142" s="14">
        <f t="shared" si="3"/>
        <v>6.1349693251533742E-2</v>
      </c>
    </row>
    <row r="143" spans="1:4" x14ac:dyDescent="0.2">
      <c r="A143" s="61">
        <v>28672</v>
      </c>
      <c r="B143" s="68">
        <f>VLOOKUP(Table4[[#This Row],[Date]],Database!A:E,3,)</f>
        <v>52.1</v>
      </c>
      <c r="C143" s="14">
        <f t="shared" si="4"/>
        <v>3.8535645472062207E-3</v>
      </c>
      <c r="D143" s="14">
        <f t="shared" si="3"/>
        <v>6.1099796334012219E-2</v>
      </c>
    </row>
    <row r="144" spans="1:4" x14ac:dyDescent="0.2">
      <c r="A144" s="61">
        <v>28703</v>
      </c>
      <c r="B144" s="68">
        <f>VLOOKUP(Table4[[#This Row],[Date]],Database!A:E,3,)</f>
        <v>52.6</v>
      </c>
      <c r="C144" s="14">
        <f t="shared" si="4"/>
        <v>9.5969289827255271E-3</v>
      </c>
      <c r="D144" s="14">
        <f t="shared" si="3"/>
        <v>6.2626262626262655E-2</v>
      </c>
    </row>
    <row r="145" spans="1:4" x14ac:dyDescent="0.2">
      <c r="A145" s="61">
        <v>28734</v>
      </c>
      <c r="B145" s="68">
        <f>VLOOKUP(Table4[[#This Row],[Date]],Database!A:E,3,)</f>
        <v>53.2</v>
      </c>
      <c r="C145" s="14">
        <f t="shared" si="4"/>
        <v>1.1406844106463905E-2</v>
      </c>
      <c r="D145" s="14">
        <f t="shared" ref="D145:D208" si="5">(B145-B133)/B133</f>
        <v>6.8273092369478025E-2</v>
      </c>
    </row>
    <row r="146" spans="1:4" x14ac:dyDescent="0.2">
      <c r="A146" s="61">
        <v>28764</v>
      </c>
      <c r="B146" s="68">
        <f>VLOOKUP(Table4[[#This Row],[Date]],Database!A:E,3,)</f>
        <v>54.1</v>
      </c>
      <c r="C146" s="14">
        <f t="shared" si="4"/>
        <v>1.6917293233082678E-2</v>
      </c>
      <c r="D146" s="14">
        <f t="shared" si="5"/>
        <v>7.1287128712871309E-2</v>
      </c>
    </row>
    <row r="147" spans="1:4" x14ac:dyDescent="0.2">
      <c r="A147" s="61">
        <v>28795</v>
      </c>
      <c r="B147" s="68">
        <f>VLOOKUP(Table4[[#This Row],[Date]],Database!A:E,3,)</f>
        <v>54.9</v>
      </c>
      <c r="C147" s="14">
        <f t="shared" si="4"/>
        <v>1.4787430683918617E-2</v>
      </c>
      <c r="D147" s="14">
        <f t="shared" si="5"/>
        <v>7.0175438596491266E-2</v>
      </c>
    </row>
    <row r="148" spans="1:4" x14ac:dyDescent="0.2">
      <c r="A148" s="61">
        <v>28825</v>
      </c>
      <c r="B148" s="68">
        <f>VLOOKUP(Table4[[#This Row],[Date]],Database!A:E,3,)</f>
        <v>55.9</v>
      </c>
      <c r="C148" s="14">
        <f t="shared" si="4"/>
        <v>1.8214936247723135E-2</v>
      </c>
      <c r="D148" s="14">
        <f t="shared" si="5"/>
        <v>8.3333333333333273E-2</v>
      </c>
    </row>
    <row r="149" spans="1:4" x14ac:dyDescent="0.2">
      <c r="A149" s="61">
        <v>28856</v>
      </c>
      <c r="B149" s="68">
        <f>VLOOKUP(Table4[[#This Row],[Date]],Database!A:E,3,)</f>
        <v>55.8</v>
      </c>
      <c r="C149" s="14">
        <f t="shared" si="4"/>
        <v>-1.7889087656529771E-3</v>
      </c>
      <c r="D149" s="14">
        <f t="shared" si="5"/>
        <v>9.1976516634050792E-2</v>
      </c>
    </row>
    <row r="150" spans="1:4" x14ac:dyDescent="0.2">
      <c r="A150" s="61">
        <v>28887</v>
      </c>
      <c r="B150" s="68">
        <f>VLOOKUP(Table4[[#This Row],[Date]],Database!A:E,3,)</f>
        <v>55.9</v>
      </c>
      <c r="C150" s="14">
        <f t="shared" si="4"/>
        <v>1.7921146953405274E-3</v>
      </c>
      <c r="D150" s="14">
        <f t="shared" si="5"/>
        <v>0.10474308300395251</v>
      </c>
    </row>
    <row r="151" spans="1:4" x14ac:dyDescent="0.2">
      <c r="A151" s="61">
        <v>28915</v>
      </c>
      <c r="B151" s="68">
        <f>VLOOKUP(Table4[[#This Row],[Date]],Database!A:E,3,)</f>
        <v>57.4</v>
      </c>
      <c r="C151" s="14">
        <f t="shared" si="4"/>
        <v>2.6833631484794278E-2</v>
      </c>
      <c r="D151" s="14">
        <f t="shared" si="5"/>
        <v>0.12549019607843134</v>
      </c>
    </row>
    <row r="152" spans="1:4" x14ac:dyDescent="0.2">
      <c r="A152" s="61">
        <v>28946</v>
      </c>
      <c r="B152" s="68">
        <f>VLOOKUP(Table4[[#This Row],[Date]],Database!A:E,3,)</f>
        <v>59.5</v>
      </c>
      <c r="C152" s="14">
        <f t="shared" si="4"/>
        <v>3.6585365853658562E-2</v>
      </c>
      <c r="D152" s="14">
        <f t="shared" si="5"/>
        <v>0.15758754863813232</v>
      </c>
    </row>
    <row r="153" spans="1:4" x14ac:dyDescent="0.2">
      <c r="A153" s="61">
        <v>28976</v>
      </c>
      <c r="B153" s="68">
        <f>VLOOKUP(Table4[[#This Row],[Date]],Database!A:E,3,)</f>
        <v>62</v>
      </c>
      <c r="C153" s="14">
        <f t="shared" si="4"/>
        <v>4.2016806722689079E-2</v>
      </c>
      <c r="D153" s="14">
        <f t="shared" si="5"/>
        <v>0.19922630560928425</v>
      </c>
    </row>
    <row r="154" spans="1:4" x14ac:dyDescent="0.2">
      <c r="A154" s="61">
        <v>29007</v>
      </c>
      <c r="B154" s="68">
        <f>VLOOKUP(Table4[[#This Row],[Date]],Database!A:E,3,)</f>
        <v>64.7</v>
      </c>
      <c r="C154" s="14">
        <f t="shared" si="4"/>
        <v>4.3548387096774242E-2</v>
      </c>
      <c r="D154" s="14">
        <f t="shared" si="5"/>
        <v>0.24662813102119469</v>
      </c>
    </row>
    <row r="155" spans="1:4" x14ac:dyDescent="0.2">
      <c r="A155" s="61">
        <v>29037</v>
      </c>
      <c r="B155" s="68">
        <f>VLOOKUP(Table4[[#This Row],[Date]],Database!A:E,3,)</f>
        <v>67.3</v>
      </c>
      <c r="C155" s="14">
        <f t="shared" si="4"/>
        <v>4.018547140649141E-2</v>
      </c>
      <c r="D155" s="14">
        <f t="shared" si="5"/>
        <v>0.29174664107485598</v>
      </c>
    </row>
    <row r="156" spans="1:4" x14ac:dyDescent="0.2">
      <c r="A156" s="61">
        <v>29068</v>
      </c>
      <c r="B156" s="68">
        <f>VLOOKUP(Table4[[#This Row],[Date]],Database!A:E,3,)</f>
        <v>69.7</v>
      </c>
      <c r="C156" s="14">
        <f t="shared" si="4"/>
        <v>3.5661218424962941E-2</v>
      </c>
      <c r="D156" s="14">
        <f t="shared" si="5"/>
        <v>0.32509505703422054</v>
      </c>
    </row>
    <row r="157" spans="1:4" x14ac:dyDescent="0.2">
      <c r="A157" s="61">
        <v>29099</v>
      </c>
      <c r="B157" s="68">
        <f>VLOOKUP(Table4[[#This Row],[Date]],Database!A:E,3,)</f>
        <v>71.900000000000006</v>
      </c>
      <c r="C157" s="14">
        <f t="shared" si="4"/>
        <v>3.1563845050215249E-2</v>
      </c>
      <c r="D157" s="14">
        <f t="shared" si="5"/>
        <v>0.35150375939849626</v>
      </c>
    </row>
    <row r="158" spans="1:4" x14ac:dyDescent="0.2">
      <c r="A158" s="61">
        <v>29129</v>
      </c>
      <c r="B158" s="68">
        <f>VLOOKUP(Table4[[#This Row],[Date]],Database!A:E,3,)</f>
        <v>73.5</v>
      </c>
      <c r="C158" s="14">
        <f t="shared" si="4"/>
        <v>2.2253129346314245E-2</v>
      </c>
      <c r="D158" s="14">
        <f t="shared" si="5"/>
        <v>0.35859519408502771</v>
      </c>
    </row>
    <row r="159" spans="1:4" x14ac:dyDescent="0.2">
      <c r="A159" s="61">
        <v>29160</v>
      </c>
      <c r="B159" s="68">
        <f>VLOOKUP(Table4[[#This Row],[Date]],Database!A:E,3,)</f>
        <v>74.8</v>
      </c>
      <c r="C159" s="14">
        <f t="shared" si="4"/>
        <v>1.7687074829931933E-2</v>
      </c>
      <c r="D159" s="14">
        <f t="shared" si="5"/>
        <v>0.36247723132969034</v>
      </c>
    </row>
    <row r="160" spans="1:4" x14ac:dyDescent="0.2">
      <c r="A160" s="61">
        <v>29190</v>
      </c>
      <c r="B160" s="68">
        <f>VLOOKUP(Table4[[#This Row],[Date]],Database!A:E,3,)</f>
        <v>76.8</v>
      </c>
      <c r="C160" s="14">
        <f t="shared" si="4"/>
        <v>2.6737967914438502E-2</v>
      </c>
      <c r="D160" s="14">
        <f t="shared" si="5"/>
        <v>0.37388193202146691</v>
      </c>
    </row>
    <row r="161" spans="1:4" x14ac:dyDescent="0.2">
      <c r="A161" s="61">
        <v>29221</v>
      </c>
      <c r="B161" s="68">
        <f>VLOOKUP(Table4[[#This Row],[Date]],Database!A:E,3,)</f>
        <v>79.099999999999994</v>
      </c>
      <c r="C161" s="14">
        <f t="shared" si="4"/>
        <v>2.994791666666663E-2</v>
      </c>
      <c r="D161" s="14">
        <f t="shared" si="5"/>
        <v>0.41756272401433686</v>
      </c>
    </row>
    <row r="162" spans="1:4" x14ac:dyDescent="0.2">
      <c r="A162" s="61">
        <v>29252</v>
      </c>
      <c r="B162" s="68">
        <f>VLOOKUP(Table4[[#This Row],[Date]],Database!A:E,3,)</f>
        <v>81.900000000000006</v>
      </c>
      <c r="C162" s="14">
        <f t="shared" si="4"/>
        <v>3.539823008849572E-2</v>
      </c>
      <c r="D162" s="14">
        <f t="shared" si="5"/>
        <v>0.4651162790697676</v>
      </c>
    </row>
    <row r="163" spans="1:4" x14ac:dyDescent="0.2">
      <c r="A163" s="61">
        <v>29281</v>
      </c>
      <c r="B163" s="68">
        <f>VLOOKUP(Table4[[#This Row],[Date]],Database!A:E,3,)</f>
        <v>84.5</v>
      </c>
      <c r="C163" s="14">
        <f t="shared" si="4"/>
        <v>3.1746031746031675E-2</v>
      </c>
      <c r="D163" s="14">
        <f t="shared" si="5"/>
        <v>0.47212543554006975</v>
      </c>
    </row>
    <row r="164" spans="1:4" x14ac:dyDescent="0.2">
      <c r="A164" s="61">
        <v>29312</v>
      </c>
      <c r="B164" s="68">
        <f>VLOOKUP(Table4[[#This Row],[Date]],Database!A:E,3,)</f>
        <v>85.4</v>
      </c>
      <c r="C164" s="14">
        <f t="shared" si="4"/>
        <v>1.0650887573964565E-2</v>
      </c>
      <c r="D164" s="14">
        <f t="shared" si="5"/>
        <v>0.43529411764705894</v>
      </c>
    </row>
    <row r="165" spans="1:4" x14ac:dyDescent="0.2">
      <c r="A165" s="61">
        <v>29342</v>
      </c>
      <c r="B165" s="68">
        <f>VLOOKUP(Table4[[#This Row],[Date]],Database!A:E,3,)</f>
        <v>86.4</v>
      </c>
      <c r="C165" s="14">
        <f t="shared" si="4"/>
        <v>1.1709601873536299E-2</v>
      </c>
      <c r="D165" s="14">
        <f t="shared" si="5"/>
        <v>0.39354838709677431</v>
      </c>
    </row>
    <row r="166" spans="1:4" x14ac:dyDescent="0.2">
      <c r="A166" s="61">
        <v>29373</v>
      </c>
      <c r="B166" s="68">
        <f>VLOOKUP(Table4[[#This Row],[Date]],Database!A:E,3,)</f>
        <v>86.5</v>
      </c>
      <c r="C166" s="14">
        <f t="shared" si="4"/>
        <v>1.1574074074073416E-3</v>
      </c>
      <c r="D166" s="14">
        <f t="shared" si="5"/>
        <v>0.33693972179289022</v>
      </c>
    </row>
    <row r="167" spans="1:4" x14ac:dyDescent="0.2">
      <c r="A167" s="61">
        <v>29403</v>
      </c>
      <c r="B167" s="68">
        <f>VLOOKUP(Table4[[#This Row],[Date]],Database!A:E,3,)</f>
        <v>86.7</v>
      </c>
      <c r="C167" s="14">
        <f t="shared" si="4"/>
        <v>2.3121387283237321E-3</v>
      </c>
      <c r="D167" s="14">
        <f t="shared" si="5"/>
        <v>0.28826151560178315</v>
      </c>
    </row>
    <row r="168" spans="1:4" x14ac:dyDescent="0.2">
      <c r="A168" s="61">
        <v>29434</v>
      </c>
      <c r="B168" s="68">
        <f>VLOOKUP(Table4[[#This Row],[Date]],Database!A:E,3,)</f>
        <v>87.2</v>
      </c>
      <c r="C168" s="14">
        <f t="shared" si="4"/>
        <v>5.7670126874279125E-3</v>
      </c>
      <c r="D168" s="14">
        <f t="shared" si="5"/>
        <v>0.25107604017216639</v>
      </c>
    </row>
    <row r="169" spans="1:4" x14ac:dyDescent="0.2">
      <c r="A169" s="61">
        <v>29465</v>
      </c>
      <c r="B169" s="68">
        <f>VLOOKUP(Table4[[#This Row],[Date]],Database!A:E,3,)</f>
        <v>87.5</v>
      </c>
      <c r="C169" s="14">
        <f t="shared" si="4"/>
        <v>3.4403669724770315E-3</v>
      </c>
      <c r="D169" s="14">
        <f t="shared" si="5"/>
        <v>0.21696801112656458</v>
      </c>
    </row>
    <row r="170" spans="1:4" x14ac:dyDescent="0.2">
      <c r="A170" s="61">
        <v>29495</v>
      </c>
      <c r="B170" s="68">
        <f>VLOOKUP(Table4[[#This Row],[Date]],Database!A:E,3,)</f>
        <v>88</v>
      </c>
      <c r="C170" s="14">
        <f t="shared" si="4"/>
        <v>5.7142857142857143E-3</v>
      </c>
      <c r="D170" s="14">
        <f t="shared" si="5"/>
        <v>0.19727891156462585</v>
      </c>
    </row>
    <row r="171" spans="1:4" x14ac:dyDescent="0.2">
      <c r="A171" s="61">
        <v>29526</v>
      </c>
      <c r="B171" s="68">
        <f>VLOOKUP(Table4[[#This Row],[Date]],Database!A:E,3,)</f>
        <v>88.8</v>
      </c>
      <c r="C171" s="14">
        <f t="shared" si="4"/>
        <v>9.0909090909090592E-3</v>
      </c>
      <c r="D171" s="14">
        <f t="shared" si="5"/>
        <v>0.18716577540106952</v>
      </c>
    </row>
    <row r="172" spans="1:4" x14ac:dyDescent="0.2">
      <c r="A172" s="61">
        <v>29556</v>
      </c>
      <c r="B172" s="68">
        <f>VLOOKUP(Table4[[#This Row],[Date]],Database!A:E,3,)</f>
        <v>90.7</v>
      </c>
      <c r="C172" s="14">
        <f t="shared" si="4"/>
        <v>2.1396396396396462E-2</v>
      </c>
      <c r="D172" s="14">
        <f t="shared" si="5"/>
        <v>0.18098958333333343</v>
      </c>
    </row>
    <row r="173" spans="1:4" x14ac:dyDescent="0.2">
      <c r="A173" s="61">
        <v>29587</v>
      </c>
      <c r="B173" s="68">
        <f>VLOOKUP(Table4[[#This Row],[Date]],Database!A:E,3,)</f>
        <v>92.1</v>
      </c>
      <c r="C173" s="14">
        <f t="shared" si="4"/>
        <v>1.5435501653803654E-2</v>
      </c>
      <c r="D173" s="14">
        <f t="shared" si="5"/>
        <v>0.16434892541087232</v>
      </c>
    </row>
    <row r="174" spans="1:4" x14ac:dyDescent="0.2">
      <c r="A174" s="61">
        <v>29618</v>
      </c>
      <c r="B174" s="68">
        <f>VLOOKUP(Table4[[#This Row],[Date]],Database!A:E,3,)</f>
        <v>95.2</v>
      </c>
      <c r="C174" s="14">
        <f t="shared" si="4"/>
        <v>3.3659066232356226E-2</v>
      </c>
      <c r="D174" s="14">
        <f t="shared" si="5"/>
        <v>0.16239316239316234</v>
      </c>
    </row>
    <row r="175" spans="1:4" x14ac:dyDescent="0.2">
      <c r="A175" s="61">
        <v>29646</v>
      </c>
      <c r="B175" s="68">
        <f>VLOOKUP(Table4[[#This Row],[Date]],Database!A:E,3,)</f>
        <v>97.4</v>
      </c>
      <c r="C175" s="14">
        <f t="shared" si="4"/>
        <v>2.3109243697479021E-2</v>
      </c>
      <c r="D175" s="14">
        <f t="shared" si="5"/>
        <v>0.1526627218934912</v>
      </c>
    </row>
    <row r="176" spans="1:4" x14ac:dyDescent="0.2">
      <c r="A176" s="61">
        <v>29677</v>
      </c>
      <c r="B176" s="68">
        <f>VLOOKUP(Table4[[#This Row],[Date]],Database!A:E,3,)</f>
        <v>97.6</v>
      </c>
      <c r="C176" s="14">
        <f t="shared" si="4"/>
        <v>2.053388090348959E-3</v>
      </c>
      <c r="D176" s="14">
        <f t="shared" si="5"/>
        <v>0.14285714285714271</v>
      </c>
    </row>
    <row r="177" spans="1:4" x14ac:dyDescent="0.2">
      <c r="A177" s="61">
        <v>29707</v>
      </c>
      <c r="B177" s="68">
        <f>VLOOKUP(Table4[[#This Row],[Date]],Database!A:E,3,)</f>
        <v>97.9</v>
      </c>
      <c r="C177" s="14">
        <f t="shared" si="4"/>
        <v>3.0737704918033953E-3</v>
      </c>
      <c r="D177" s="14">
        <f t="shared" si="5"/>
        <v>0.13310185185185183</v>
      </c>
    </row>
    <row r="178" spans="1:4" x14ac:dyDescent="0.2">
      <c r="A178" s="61">
        <v>29738</v>
      </c>
      <c r="B178" s="68">
        <f>VLOOKUP(Table4[[#This Row],[Date]],Database!A:E,3,)</f>
        <v>97.3</v>
      </c>
      <c r="C178" s="14">
        <f t="shared" si="4"/>
        <v>-6.1287027579163275E-3</v>
      </c>
      <c r="D178" s="14">
        <f t="shared" si="5"/>
        <v>0.12485549132947973</v>
      </c>
    </row>
    <row r="179" spans="1:4" x14ac:dyDescent="0.2">
      <c r="A179" s="61">
        <v>29768</v>
      </c>
      <c r="B179" s="68">
        <f>VLOOKUP(Table4[[#This Row],[Date]],Database!A:E,3,)</f>
        <v>97.3</v>
      </c>
      <c r="C179" s="14">
        <f t="shared" si="4"/>
        <v>0</v>
      </c>
      <c r="D179" s="14">
        <f t="shared" si="5"/>
        <v>0.12226066897347167</v>
      </c>
    </row>
    <row r="180" spans="1:4" x14ac:dyDescent="0.2">
      <c r="A180" s="61">
        <v>29799</v>
      </c>
      <c r="B180" s="68">
        <f>VLOOKUP(Table4[[#This Row],[Date]],Database!A:E,3,)</f>
        <v>97.8</v>
      </c>
      <c r="C180" s="14">
        <f t="shared" si="4"/>
        <v>5.1387461459403904E-3</v>
      </c>
      <c r="D180" s="14">
        <f t="shared" si="5"/>
        <v>0.12155963302752287</v>
      </c>
    </row>
    <row r="181" spans="1:4" x14ac:dyDescent="0.2">
      <c r="A181" s="61">
        <v>29830</v>
      </c>
      <c r="B181" s="68">
        <f>VLOOKUP(Table4[[#This Row],[Date]],Database!A:E,3,)</f>
        <v>98.6</v>
      </c>
      <c r="C181" s="14">
        <f t="shared" si="4"/>
        <v>8.1799591002044703E-3</v>
      </c>
      <c r="D181" s="14">
        <f t="shared" si="5"/>
        <v>0.12685714285714278</v>
      </c>
    </row>
    <row r="182" spans="1:4" x14ac:dyDescent="0.2">
      <c r="A182" s="61">
        <v>29860</v>
      </c>
      <c r="B182" s="68">
        <f>VLOOKUP(Table4[[#This Row],[Date]],Database!A:E,3,)</f>
        <v>99.2</v>
      </c>
      <c r="C182" s="14">
        <f t="shared" si="4"/>
        <v>6.0851926977688493E-3</v>
      </c>
      <c r="D182" s="14">
        <f t="shared" si="5"/>
        <v>0.12727272727272732</v>
      </c>
    </row>
    <row r="183" spans="1:4" x14ac:dyDescent="0.2">
      <c r="A183" s="61">
        <v>29891</v>
      </c>
      <c r="B183" s="68">
        <f>VLOOKUP(Table4[[#This Row],[Date]],Database!A:E,3,)</f>
        <v>100.5</v>
      </c>
      <c r="C183" s="14">
        <f t="shared" si="4"/>
        <v>1.310483870967739E-2</v>
      </c>
      <c r="D183" s="14">
        <f t="shared" si="5"/>
        <v>0.1317567567567568</v>
      </c>
    </row>
    <row r="184" spans="1:4" x14ac:dyDescent="0.2">
      <c r="A184" s="61">
        <v>29921</v>
      </c>
      <c r="B184" s="68">
        <f>VLOOKUP(Table4[[#This Row],[Date]],Database!A:E,3,)</f>
        <v>101.5</v>
      </c>
      <c r="C184" s="14">
        <f t="shared" si="4"/>
        <v>9.9502487562189053E-3</v>
      </c>
      <c r="D184" s="14">
        <f t="shared" si="5"/>
        <v>0.11907386990077173</v>
      </c>
    </row>
    <row r="185" spans="1:4" x14ac:dyDescent="0.2">
      <c r="A185" s="61">
        <v>29952</v>
      </c>
      <c r="B185" s="68">
        <f>VLOOKUP(Table4[[#This Row],[Date]],Database!A:E,3,)</f>
        <v>100.6</v>
      </c>
      <c r="C185" s="14">
        <f t="shared" si="4"/>
        <v>-8.8669950738916817E-3</v>
      </c>
      <c r="D185" s="14">
        <f t="shared" si="5"/>
        <v>9.2290988056460369E-2</v>
      </c>
    </row>
    <row r="186" spans="1:4" x14ac:dyDescent="0.2">
      <c r="A186" s="61">
        <v>29983</v>
      </c>
      <c r="B186" s="68">
        <f>VLOOKUP(Table4[[#This Row],[Date]],Database!A:E,3,)</f>
        <v>98</v>
      </c>
      <c r="C186" s="14">
        <f t="shared" si="4"/>
        <v>-2.5844930417494975E-2</v>
      </c>
      <c r="D186" s="14">
        <f t="shared" si="5"/>
        <v>2.9411764705882321E-2</v>
      </c>
    </row>
    <row r="187" spans="1:4" x14ac:dyDescent="0.2">
      <c r="A187" s="61">
        <v>30011</v>
      </c>
      <c r="B187" s="68">
        <f>VLOOKUP(Table4[[#This Row],[Date]],Database!A:E,3,)</f>
        <v>96.6</v>
      </c>
      <c r="C187" s="14">
        <f t="shared" si="4"/>
        <v>-1.4285714285714344E-2</v>
      </c>
      <c r="D187" s="14">
        <f t="shared" si="5"/>
        <v>-8.2135523613964204E-3</v>
      </c>
    </row>
    <row r="188" spans="1:4" x14ac:dyDescent="0.2">
      <c r="A188" s="61">
        <v>30042</v>
      </c>
      <c r="B188" s="68">
        <f>VLOOKUP(Table4[[#This Row],[Date]],Database!A:E,3,)</f>
        <v>94.2</v>
      </c>
      <c r="C188" s="14">
        <f t="shared" si="4"/>
        <v>-2.4844720496894322E-2</v>
      </c>
      <c r="D188" s="14">
        <f t="shared" si="5"/>
        <v>-3.4836065573770406E-2</v>
      </c>
    </row>
    <row r="189" spans="1:4" x14ac:dyDescent="0.2">
      <c r="A189" s="61">
        <v>30072</v>
      </c>
      <c r="B189" s="68">
        <f>VLOOKUP(Table4[[#This Row],[Date]],Database!A:E,3,)</f>
        <v>95.7</v>
      </c>
      <c r="C189" s="14">
        <f t="shared" si="4"/>
        <v>1.5923566878980892E-2</v>
      </c>
      <c r="D189" s="14">
        <f t="shared" si="5"/>
        <v>-2.2471910112359578E-2</v>
      </c>
    </row>
    <row r="190" spans="1:4" x14ac:dyDescent="0.2">
      <c r="A190" s="61">
        <v>30103</v>
      </c>
      <c r="B190" s="68">
        <f>VLOOKUP(Table4[[#This Row],[Date]],Database!A:E,3,)</f>
        <v>98.4</v>
      </c>
      <c r="C190" s="14">
        <f t="shared" si="4"/>
        <v>2.8213166144200656E-2</v>
      </c>
      <c r="D190" s="14">
        <f t="shared" si="5"/>
        <v>1.1305241521068947E-2</v>
      </c>
    </row>
    <row r="191" spans="1:4" x14ac:dyDescent="0.2">
      <c r="A191" s="61">
        <v>30133</v>
      </c>
      <c r="B191" s="68">
        <f>VLOOKUP(Table4[[#This Row],[Date]],Database!A:E,3,)</f>
        <v>99.3</v>
      </c>
      <c r="C191" s="14">
        <f t="shared" si="4"/>
        <v>9.1463414634145469E-3</v>
      </c>
      <c r="D191" s="14">
        <f t="shared" si="5"/>
        <v>2.0554984583761562E-2</v>
      </c>
    </row>
    <row r="192" spans="1:4" x14ac:dyDescent="0.2">
      <c r="A192" s="61">
        <v>30164</v>
      </c>
      <c r="B192" s="68">
        <f>VLOOKUP(Table4[[#This Row],[Date]],Database!A:E,3,)</f>
        <v>99.8</v>
      </c>
      <c r="C192" s="14">
        <f t="shared" si="4"/>
        <v>5.0352467270896274E-3</v>
      </c>
      <c r="D192" s="14">
        <f t="shared" si="5"/>
        <v>2.0449897750511249E-2</v>
      </c>
    </row>
    <row r="193" spans="1:4" x14ac:dyDescent="0.2">
      <c r="A193" s="61">
        <v>30195</v>
      </c>
      <c r="B193" s="68">
        <f>VLOOKUP(Table4[[#This Row],[Date]],Database!A:E,3,)</f>
        <v>100.3</v>
      </c>
      <c r="C193" s="14">
        <f t="shared" si="4"/>
        <v>5.0100200400801601E-3</v>
      </c>
      <c r="D193" s="14">
        <f t="shared" si="5"/>
        <v>1.7241379310344859E-2</v>
      </c>
    </row>
    <row r="194" spans="1:4" x14ac:dyDescent="0.2">
      <c r="A194" s="61">
        <v>30225</v>
      </c>
      <c r="B194" s="68">
        <f>VLOOKUP(Table4[[#This Row],[Date]],Database!A:E,3,)</f>
        <v>101.7</v>
      </c>
      <c r="C194" s="14">
        <f t="shared" si="4"/>
        <v>1.3958125623130665E-2</v>
      </c>
      <c r="D194" s="14">
        <f t="shared" si="5"/>
        <v>2.5201612903225805E-2</v>
      </c>
    </row>
    <row r="195" spans="1:4" x14ac:dyDescent="0.2">
      <c r="A195" s="61">
        <v>30256</v>
      </c>
      <c r="B195" s="68">
        <f>VLOOKUP(Table4[[#This Row],[Date]],Database!A:E,3,)</f>
        <v>102.5</v>
      </c>
      <c r="C195" s="14">
        <f t="shared" si="4"/>
        <v>7.8662733529989877E-3</v>
      </c>
      <c r="D195" s="14">
        <f t="shared" si="5"/>
        <v>1.9900497512437811E-2</v>
      </c>
    </row>
    <row r="196" spans="1:4" x14ac:dyDescent="0.2">
      <c r="A196" s="61">
        <v>30286</v>
      </c>
      <c r="B196" s="68">
        <f>VLOOKUP(Table4[[#This Row],[Date]],Database!A:E,3,)</f>
        <v>102.8</v>
      </c>
      <c r="C196" s="14">
        <f t="shared" si="4"/>
        <v>2.9268292682926552E-3</v>
      </c>
      <c r="D196" s="14">
        <f t="shared" si="5"/>
        <v>1.2807881773398987E-2</v>
      </c>
    </row>
    <row r="197" spans="1:4" x14ac:dyDescent="0.2">
      <c r="A197" s="61">
        <v>30317</v>
      </c>
      <c r="B197" s="68">
        <f>VLOOKUP(Table4[[#This Row],[Date]],Database!A:E,3,)</f>
        <v>99.6</v>
      </c>
      <c r="C197" s="14">
        <f t="shared" si="4"/>
        <v>-3.1128404669260729E-2</v>
      </c>
      <c r="D197" s="14">
        <f t="shared" si="5"/>
        <v>-9.9403578528827041E-3</v>
      </c>
    </row>
    <row r="198" spans="1:4" x14ac:dyDescent="0.2">
      <c r="A198" s="61">
        <v>30348</v>
      </c>
      <c r="B198" s="68">
        <f>VLOOKUP(Table4[[#This Row],[Date]],Database!A:E,3,)</f>
        <v>97.7</v>
      </c>
      <c r="C198" s="14">
        <f t="shared" ref="C198:C261" si="6">(B198-B197)/B197</f>
        <v>-1.9076305220883449E-2</v>
      </c>
      <c r="D198" s="14">
        <f t="shared" si="5"/>
        <v>-3.0612244897958892E-3</v>
      </c>
    </row>
    <row r="199" spans="1:4" x14ac:dyDescent="0.2">
      <c r="A199" s="61">
        <v>30376</v>
      </c>
      <c r="B199" s="68">
        <f>VLOOKUP(Table4[[#This Row],[Date]],Database!A:E,3,)</f>
        <v>96.8</v>
      </c>
      <c r="C199" s="14">
        <f t="shared" si="6"/>
        <v>-9.2118730808598333E-3</v>
      </c>
      <c r="D199" s="14">
        <f t="shared" si="5"/>
        <v>2.0703933747412305E-3</v>
      </c>
    </row>
    <row r="200" spans="1:4" x14ac:dyDescent="0.2">
      <c r="A200" s="61">
        <v>30407</v>
      </c>
      <c r="B200" s="68">
        <f>VLOOKUP(Table4[[#This Row],[Date]],Database!A:E,3,)</f>
        <v>98.9</v>
      </c>
      <c r="C200" s="14">
        <f t="shared" si="6"/>
        <v>2.1694214876033145E-2</v>
      </c>
      <c r="D200" s="14">
        <f t="shared" si="5"/>
        <v>4.9893842887473491E-2</v>
      </c>
    </row>
    <row r="201" spans="1:4" x14ac:dyDescent="0.2">
      <c r="A201" s="61">
        <v>30437</v>
      </c>
      <c r="B201" s="68">
        <f>VLOOKUP(Table4[[#This Row],[Date]],Database!A:E,3,)</f>
        <v>100.4</v>
      </c>
      <c r="C201" s="14">
        <f t="shared" si="6"/>
        <v>1.5166835187057633E-2</v>
      </c>
      <c r="D201" s="14">
        <f t="shared" si="5"/>
        <v>4.9111807732497417E-2</v>
      </c>
    </row>
    <row r="202" spans="1:4" x14ac:dyDescent="0.2">
      <c r="A202" s="61">
        <v>30468</v>
      </c>
      <c r="B202" s="68">
        <f>VLOOKUP(Table4[[#This Row],[Date]],Database!A:E,3,)</f>
        <v>100.6</v>
      </c>
      <c r="C202" s="14">
        <f t="shared" si="6"/>
        <v>1.9920318725098469E-3</v>
      </c>
      <c r="D202" s="14">
        <f t="shared" si="5"/>
        <v>2.2357723577235655E-2</v>
      </c>
    </row>
    <row r="203" spans="1:4" x14ac:dyDescent="0.2">
      <c r="A203" s="61">
        <v>30498</v>
      </c>
      <c r="B203" s="68">
        <f>VLOOKUP(Table4[[#This Row],[Date]],Database!A:E,3,)</f>
        <v>100.9</v>
      </c>
      <c r="C203" s="14">
        <f t="shared" si="6"/>
        <v>2.9821073558649242E-3</v>
      </c>
      <c r="D203" s="14">
        <f t="shared" si="5"/>
        <v>1.6112789526686894E-2</v>
      </c>
    </row>
    <row r="204" spans="1:4" x14ac:dyDescent="0.2">
      <c r="A204" s="61">
        <v>30529</v>
      </c>
      <c r="B204" s="68">
        <f>VLOOKUP(Table4[[#This Row],[Date]],Database!A:E,3,)</f>
        <v>101.2</v>
      </c>
      <c r="C204" s="14">
        <f t="shared" si="6"/>
        <v>2.9732408325074049E-3</v>
      </c>
      <c r="D204" s="14">
        <f t="shared" si="5"/>
        <v>1.4028056112224506E-2</v>
      </c>
    </row>
    <row r="205" spans="1:4" x14ac:dyDescent="0.2">
      <c r="A205" s="61">
        <v>30560</v>
      </c>
      <c r="B205" s="68">
        <f>VLOOKUP(Table4[[#This Row],[Date]],Database!A:E,3,)</f>
        <v>101</v>
      </c>
      <c r="C205" s="14">
        <f t="shared" si="6"/>
        <v>-1.9762845849802652E-3</v>
      </c>
      <c r="D205" s="14">
        <f t="shared" si="5"/>
        <v>6.9790628115653326E-3</v>
      </c>
    </row>
    <row r="206" spans="1:4" x14ac:dyDescent="0.2">
      <c r="A206" s="61">
        <v>30590</v>
      </c>
      <c r="B206" s="68">
        <f>VLOOKUP(Table4[[#This Row],[Date]],Database!A:E,3,)</f>
        <v>100.8</v>
      </c>
      <c r="C206" s="14">
        <f t="shared" si="6"/>
        <v>-1.9801980198020084E-3</v>
      </c>
      <c r="D206" s="14">
        <f t="shared" si="5"/>
        <v>-8.8495575221239492E-3</v>
      </c>
    </row>
    <row r="207" spans="1:4" x14ac:dyDescent="0.2">
      <c r="A207" s="61">
        <v>30621</v>
      </c>
      <c r="B207" s="68">
        <f>VLOOKUP(Table4[[#This Row],[Date]],Database!A:E,3,)</f>
        <v>100.5</v>
      </c>
      <c r="C207" s="14">
        <f t="shared" si="6"/>
        <v>-2.9761904761904483E-3</v>
      </c>
      <c r="D207" s="14">
        <f t="shared" si="5"/>
        <v>-1.9512195121951219E-2</v>
      </c>
    </row>
    <row r="208" spans="1:4" x14ac:dyDescent="0.2">
      <c r="A208" s="61">
        <v>30651</v>
      </c>
      <c r="B208" s="68">
        <f>VLOOKUP(Table4[[#This Row],[Date]],Database!A:E,3,)</f>
        <v>100</v>
      </c>
      <c r="C208" s="14">
        <f t="shared" si="6"/>
        <v>-4.9751243781094526E-3</v>
      </c>
      <c r="D208" s="14">
        <f t="shared" si="5"/>
        <v>-2.7237354085603085E-2</v>
      </c>
    </row>
    <row r="209" spans="1:4" x14ac:dyDescent="0.2">
      <c r="A209" s="61">
        <v>30682</v>
      </c>
      <c r="B209" s="68">
        <f>VLOOKUP(Table4[[#This Row],[Date]],Database!A:E,3,)</f>
        <v>100.2</v>
      </c>
      <c r="C209" s="14">
        <f t="shared" si="6"/>
        <v>2.0000000000000282E-3</v>
      </c>
      <c r="D209" s="14">
        <f t="shared" ref="D209:D272" si="7">(B209-B197)/B197</f>
        <v>6.0240963855422549E-3</v>
      </c>
    </row>
    <row r="210" spans="1:4" x14ac:dyDescent="0.2">
      <c r="A210" s="61">
        <v>30713</v>
      </c>
      <c r="B210" s="68">
        <f>VLOOKUP(Table4[[#This Row],[Date]],Database!A:E,3,)</f>
        <v>101.4</v>
      </c>
      <c r="C210" s="14">
        <f t="shared" si="6"/>
        <v>1.1976047904191645E-2</v>
      </c>
      <c r="D210" s="14">
        <f t="shared" si="7"/>
        <v>3.7871033776867992E-2</v>
      </c>
    </row>
    <row r="211" spans="1:4" x14ac:dyDescent="0.2">
      <c r="A211" s="61">
        <v>30742</v>
      </c>
      <c r="B211" s="68">
        <f>VLOOKUP(Table4[[#This Row],[Date]],Database!A:E,3,)</f>
        <v>101.4</v>
      </c>
      <c r="C211" s="14">
        <f t="shared" si="6"/>
        <v>0</v>
      </c>
      <c r="D211" s="14">
        <f t="shared" si="7"/>
        <v>4.7520661157024885E-2</v>
      </c>
    </row>
    <row r="212" spans="1:4" x14ac:dyDescent="0.2">
      <c r="A212" s="61">
        <v>30773</v>
      </c>
      <c r="B212" s="68">
        <f>VLOOKUP(Table4[[#This Row],[Date]],Database!A:E,3,)</f>
        <v>101.7</v>
      </c>
      <c r="C212" s="14">
        <f t="shared" si="6"/>
        <v>2.9585798816567765E-3</v>
      </c>
      <c r="D212" s="14">
        <f t="shared" si="7"/>
        <v>2.8311425682507552E-2</v>
      </c>
    </row>
    <row r="213" spans="1:4" x14ac:dyDescent="0.2">
      <c r="A213" s="61">
        <v>30803</v>
      </c>
      <c r="B213" s="68">
        <f>VLOOKUP(Table4[[#This Row],[Date]],Database!A:E,3,)</f>
        <v>101.6</v>
      </c>
      <c r="C213" s="14">
        <f t="shared" si="6"/>
        <v>-9.8328416912496085E-4</v>
      </c>
      <c r="D213" s="14">
        <f t="shared" si="7"/>
        <v>1.1952191235059646E-2</v>
      </c>
    </row>
    <row r="214" spans="1:4" x14ac:dyDescent="0.2">
      <c r="A214" s="61">
        <v>30834</v>
      </c>
      <c r="B214" s="68">
        <f>VLOOKUP(Table4[[#This Row],[Date]],Database!A:E,3,)</f>
        <v>100.8</v>
      </c>
      <c r="C214" s="14">
        <f t="shared" si="6"/>
        <v>-7.8740157480314682E-3</v>
      </c>
      <c r="D214" s="14">
        <f t="shared" si="7"/>
        <v>1.9880715705765692E-3</v>
      </c>
    </row>
    <row r="215" spans="1:4" x14ac:dyDescent="0.2">
      <c r="A215" s="61">
        <v>30864</v>
      </c>
      <c r="B215" s="68">
        <f>VLOOKUP(Table4[[#This Row],[Date]],Database!A:E,3,)</f>
        <v>100.5</v>
      </c>
      <c r="C215" s="14">
        <f t="shared" si="6"/>
        <v>-2.9761904761904483E-3</v>
      </c>
      <c r="D215" s="14">
        <f t="shared" si="7"/>
        <v>-3.9643211100099671E-3</v>
      </c>
    </row>
    <row r="216" spans="1:4" x14ac:dyDescent="0.2">
      <c r="A216" s="61">
        <v>30895</v>
      </c>
      <c r="B216" s="68">
        <f>VLOOKUP(Table4[[#This Row],[Date]],Database!A:E,3,)</f>
        <v>100.1</v>
      </c>
      <c r="C216" s="14">
        <f t="shared" si="6"/>
        <v>-3.9800995024876183E-3</v>
      </c>
      <c r="D216" s="14">
        <f t="shared" si="7"/>
        <v>-1.0869565217391389E-2</v>
      </c>
    </row>
    <row r="217" spans="1:4" x14ac:dyDescent="0.2">
      <c r="A217" s="61">
        <v>30926</v>
      </c>
      <c r="B217" s="68">
        <f>VLOOKUP(Table4[[#This Row],[Date]],Database!A:E,3,)</f>
        <v>100.6</v>
      </c>
      <c r="C217" s="14">
        <f t="shared" si="6"/>
        <v>4.995004995004995E-3</v>
      </c>
      <c r="D217" s="14">
        <f t="shared" si="7"/>
        <v>-3.9603960396040168E-3</v>
      </c>
    </row>
    <row r="218" spans="1:4" x14ac:dyDescent="0.2">
      <c r="A218" s="61">
        <v>30956</v>
      </c>
      <c r="B218" s="68">
        <f>VLOOKUP(Table4[[#This Row],[Date]],Database!A:E,3,)</f>
        <v>101.1</v>
      </c>
      <c r="C218" s="14">
        <f t="shared" si="6"/>
        <v>4.970178926441352E-3</v>
      </c>
      <c r="D218" s="14">
        <f t="shared" si="7"/>
        <v>2.9761904761904483E-3</v>
      </c>
    </row>
    <row r="219" spans="1:4" x14ac:dyDescent="0.2">
      <c r="A219" s="61">
        <v>30987</v>
      </c>
      <c r="B219" s="68">
        <f>VLOOKUP(Table4[[#This Row],[Date]],Database!A:E,3,)</f>
        <v>100.8</v>
      </c>
      <c r="C219" s="14">
        <f t="shared" si="6"/>
        <v>-2.9673590504450758E-3</v>
      </c>
      <c r="D219" s="14">
        <f t="shared" si="7"/>
        <v>2.9850746268656435E-3</v>
      </c>
    </row>
    <row r="220" spans="1:4" x14ac:dyDescent="0.2">
      <c r="A220" s="61">
        <v>31017</v>
      </c>
      <c r="B220" s="68">
        <f>VLOOKUP(Table4[[#This Row],[Date]],Database!A:E,3,)</f>
        <v>100.1</v>
      </c>
      <c r="C220" s="14">
        <f t="shared" si="6"/>
        <v>-6.9444444444444727E-3</v>
      </c>
      <c r="D220" s="14">
        <f t="shared" si="7"/>
        <v>9.9999999999994321E-4</v>
      </c>
    </row>
    <row r="221" spans="1:4" x14ac:dyDescent="0.2">
      <c r="A221" s="61">
        <v>31048</v>
      </c>
      <c r="B221" s="68">
        <f>VLOOKUP(Table4[[#This Row],[Date]],Database!A:E,3,)</f>
        <v>100.3</v>
      </c>
      <c r="C221" s="14">
        <f t="shared" si="6"/>
        <v>1.9980019980020266E-3</v>
      </c>
      <c r="D221" s="14">
        <f t="shared" si="7"/>
        <v>9.9800399201591138E-4</v>
      </c>
    </row>
    <row r="222" spans="1:4" x14ac:dyDescent="0.2">
      <c r="A222" s="61">
        <v>31079</v>
      </c>
      <c r="B222" s="68">
        <f>VLOOKUP(Table4[[#This Row],[Date]],Database!A:E,3,)</f>
        <v>100.3</v>
      </c>
      <c r="C222" s="14">
        <f t="shared" si="6"/>
        <v>0</v>
      </c>
      <c r="D222" s="14">
        <f t="shared" si="7"/>
        <v>-1.0848126232741701E-2</v>
      </c>
    </row>
    <row r="223" spans="1:4" x14ac:dyDescent="0.2">
      <c r="A223" s="61">
        <v>31107</v>
      </c>
      <c r="B223" s="68">
        <f>VLOOKUP(Table4[[#This Row],[Date]],Database!A:E,3,)</f>
        <v>101.3</v>
      </c>
      <c r="C223" s="14">
        <f t="shared" si="6"/>
        <v>9.9700897308075773E-3</v>
      </c>
      <c r="D223" s="14">
        <f t="shared" si="7"/>
        <v>-9.8619329388568554E-4</v>
      </c>
    </row>
    <row r="224" spans="1:4" x14ac:dyDescent="0.2">
      <c r="A224" s="61">
        <v>31138</v>
      </c>
      <c r="B224" s="68">
        <f>VLOOKUP(Table4[[#This Row],[Date]],Database!A:E,3,)</f>
        <v>102.3</v>
      </c>
      <c r="C224" s="14">
        <f t="shared" si="6"/>
        <v>9.8716683119447184E-3</v>
      </c>
      <c r="D224" s="14">
        <f t="shared" si="7"/>
        <v>5.8997050147492061E-3</v>
      </c>
    </row>
    <row r="225" spans="1:4" x14ac:dyDescent="0.2">
      <c r="A225" s="61">
        <v>31168</v>
      </c>
      <c r="B225" s="68">
        <f>VLOOKUP(Table4[[#This Row],[Date]],Database!A:E,3,)</f>
        <v>102.2</v>
      </c>
      <c r="C225" s="14">
        <f t="shared" si="6"/>
        <v>-9.775171065493091E-4</v>
      </c>
      <c r="D225" s="14">
        <f t="shared" si="7"/>
        <v>5.9055118110237061E-3</v>
      </c>
    </row>
    <row r="226" spans="1:4" x14ac:dyDescent="0.2">
      <c r="A226" s="61">
        <v>31199</v>
      </c>
      <c r="B226" s="68">
        <f>VLOOKUP(Table4[[#This Row],[Date]],Database!A:E,3,)</f>
        <v>102.2</v>
      </c>
      <c r="C226" s="14">
        <f t="shared" si="6"/>
        <v>0</v>
      </c>
      <c r="D226" s="14">
        <f t="shared" si="7"/>
        <v>1.3888888888888945E-2</v>
      </c>
    </row>
    <row r="227" spans="1:4" x14ac:dyDescent="0.2">
      <c r="A227" s="61">
        <v>31229</v>
      </c>
      <c r="B227" s="68">
        <f>VLOOKUP(Table4[[#This Row],[Date]],Database!A:E,3,)</f>
        <v>102.2</v>
      </c>
      <c r="C227" s="14">
        <f t="shared" si="6"/>
        <v>0</v>
      </c>
      <c r="D227" s="14">
        <f t="shared" si="7"/>
        <v>1.6915422885572167E-2</v>
      </c>
    </row>
    <row r="228" spans="1:4" x14ac:dyDescent="0.2">
      <c r="A228" s="61">
        <v>31260</v>
      </c>
      <c r="B228" s="68">
        <f>VLOOKUP(Table4[[#This Row],[Date]],Database!A:E,3,)</f>
        <v>101.2</v>
      </c>
      <c r="C228" s="14">
        <f t="shared" si="6"/>
        <v>-9.7847358121330719E-3</v>
      </c>
      <c r="D228" s="14">
        <f t="shared" si="7"/>
        <v>1.0989010989011075E-2</v>
      </c>
    </row>
    <row r="229" spans="1:4" x14ac:dyDescent="0.2">
      <c r="A229" s="61">
        <v>31291</v>
      </c>
      <c r="B229" s="68">
        <f>VLOOKUP(Table4[[#This Row],[Date]],Database!A:E,3,)</f>
        <v>101.2</v>
      </c>
      <c r="C229" s="14">
        <f t="shared" si="6"/>
        <v>0</v>
      </c>
      <c r="D229" s="14">
        <f t="shared" si="7"/>
        <v>5.9642147117297071E-3</v>
      </c>
    </row>
    <row r="230" spans="1:4" x14ac:dyDescent="0.2">
      <c r="A230" s="61">
        <v>31321</v>
      </c>
      <c r="B230" s="68">
        <f>VLOOKUP(Table4[[#This Row],[Date]],Database!A:E,3,)</f>
        <v>101.2</v>
      </c>
      <c r="C230" s="14">
        <f t="shared" si="6"/>
        <v>0</v>
      </c>
      <c r="D230" s="14">
        <f t="shared" si="7"/>
        <v>9.891196834817856E-4</v>
      </c>
    </row>
    <row r="231" spans="1:4" x14ac:dyDescent="0.2">
      <c r="A231" s="61">
        <v>31352</v>
      </c>
      <c r="B231" s="68">
        <f>VLOOKUP(Table4[[#This Row],[Date]],Database!A:E,3,)</f>
        <v>101.8</v>
      </c>
      <c r="C231" s="14">
        <f t="shared" si="6"/>
        <v>5.9288537549406556E-3</v>
      </c>
      <c r="D231" s="14">
        <f t="shared" si="7"/>
        <v>9.9206349206349201E-3</v>
      </c>
    </row>
    <row r="232" spans="1:4" x14ac:dyDescent="0.2">
      <c r="A232" s="61">
        <v>31382</v>
      </c>
      <c r="B232" s="68">
        <f>VLOOKUP(Table4[[#This Row],[Date]],Database!A:E,3,)</f>
        <v>102.4</v>
      </c>
      <c r="C232" s="14">
        <f t="shared" si="6"/>
        <v>5.8939096267191411E-3</v>
      </c>
      <c r="D232" s="14">
        <f t="shared" si="7"/>
        <v>2.2977022977023091E-2</v>
      </c>
    </row>
    <row r="233" spans="1:4" x14ac:dyDescent="0.2">
      <c r="A233" s="61">
        <v>31413</v>
      </c>
      <c r="B233" s="68">
        <f>VLOOKUP(Table4[[#This Row],[Date]],Database!A:E,3,)</f>
        <v>102.6</v>
      </c>
      <c r="C233" s="14">
        <f t="shared" si="6"/>
        <v>1.953124999999889E-3</v>
      </c>
      <c r="D233" s="14">
        <f t="shared" si="7"/>
        <v>2.29312063808574E-2</v>
      </c>
    </row>
    <row r="234" spans="1:4" x14ac:dyDescent="0.2">
      <c r="A234" s="61">
        <v>31444</v>
      </c>
      <c r="B234" s="68">
        <f>VLOOKUP(Table4[[#This Row],[Date]],Database!A:E,3,)</f>
        <v>99.5</v>
      </c>
      <c r="C234" s="14">
        <f t="shared" si="6"/>
        <v>-3.0214424951267003E-2</v>
      </c>
      <c r="D234" s="14">
        <f t="shared" si="7"/>
        <v>-7.9760717846460334E-3</v>
      </c>
    </row>
    <row r="235" spans="1:4" x14ac:dyDescent="0.2">
      <c r="A235" s="61">
        <v>31472</v>
      </c>
      <c r="B235" s="68">
        <f>VLOOKUP(Table4[[#This Row],[Date]],Database!A:E,3,)</f>
        <v>92.6</v>
      </c>
      <c r="C235" s="14">
        <f t="shared" si="6"/>
        <v>-6.9346733668341765E-2</v>
      </c>
      <c r="D235" s="14">
        <f t="shared" si="7"/>
        <v>-8.5883514313919079E-2</v>
      </c>
    </row>
    <row r="236" spans="1:4" x14ac:dyDescent="0.2">
      <c r="A236" s="61">
        <v>31503</v>
      </c>
      <c r="B236" s="68">
        <f>VLOOKUP(Table4[[#This Row],[Date]],Database!A:E,3,)</f>
        <v>87.2</v>
      </c>
      <c r="C236" s="14">
        <f t="shared" si="6"/>
        <v>-5.8315334773218055E-2</v>
      </c>
      <c r="D236" s="14">
        <f t="shared" si="7"/>
        <v>-0.14760508308895401</v>
      </c>
    </row>
    <row r="237" spans="1:4" x14ac:dyDescent="0.2">
      <c r="A237" s="61">
        <v>31533</v>
      </c>
      <c r="B237" s="68">
        <f>VLOOKUP(Table4[[#This Row],[Date]],Database!A:E,3,)</f>
        <v>87.2</v>
      </c>
      <c r="C237" s="14">
        <f t="shared" si="6"/>
        <v>0</v>
      </c>
      <c r="D237" s="14">
        <f t="shared" si="7"/>
        <v>-0.14677103718199608</v>
      </c>
    </row>
    <row r="238" spans="1:4" x14ac:dyDescent="0.2">
      <c r="A238" s="61">
        <v>31564</v>
      </c>
      <c r="B238" s="68">
        <f>VLOOKUP(Table4[[#This Row],[Date]],Database!A:E,3,)</f>
        <v>88.8</v>
      </c>
      <c r="C238" s="14">
        <f t="shared" si="6"/>
        <v>1.8348623853210944E-2</v>
      </c>
      <c r="D238" s="14">
        <f t="shared" si="7"/>
        <v>-0.13111545988258322</v>
      </c>
    </row>
    <row r="239" spans="1:4" x14ac:dyDescent="0.2">
      <c r="A239" s="61">
        <v>31594</v>
      </c>
      <c r="B239" s="68">
        <f>VLOOKUP(Table4[[#This Row],[Date]],Database!A:E,3,)</f>
        <v>85.6</v>
      </c>
      <c r="C239" s="14">
        <f t="shared" si="6"/>
        <v>-3.603603603603607E-2</v>
      </c>
      <c r="D239" s="14">
        <f t="shared" si="7"/>
        <v>-0.16242661448140908</v>
      </c>
    </row>
    <row r="240" spans="1:4" x14ac:dyDescent="0.2">
      <c r="A240" s="61">
        <v>31625</v>
      </c>
      <c r="B240" s="68">
        <f>VLOOKUP(Table4[[#This Row],[Date]],Database!A:E,3,)</f>
        <v>83.6</v>
      </c>
      <c r="C240" s="14">
        <f t="shared" si="6"/>
        <v>-2.3364485981308414E-2</v>
      </c>
      <c r="D240" s="14">
        <f t="shared" si="7"/>
        <v>-0.17391304347826095</v>
      </c>
    </row>
    <row r="241" spans="1:4" x14ac:dyDescent="0.2">
      <c r="A241" s="61">
        <v>31656</v>
      </c>
      <c r="B241" s="68">
        <f>VLOOKUP(Table4[[#This Row],[Date]],Database!A:E,3,)</f>
        <v>84.4</v>
      </c>
      <c r="C241" s="14">
        <f t="shared" si="6"/>
        <v>9.5693779904307587E-3</v>
      </c>
      <c r="D241" s="14">
        <f t="shared" si="7"/>
        <v>-0.16600790513833988</v>
      </c>
    </row>
    <row r="242" spans="1:4" x14ac:dyDescent="0.2">
      <c r="A242" s="61">
        <v>31686</v>
      </c>
      <c r="B242" s="68">
        <f>VLOOKUP(Table4[[#This Row],[Date]],Database!A:E,3,)</f>
        <v>82.8</v>
      </c>
      <c r="C242" s="14">
        <f t="shared" si="6"/>
        <v>-1.895734597156408E-2</v>
      </c>
      <c r="D242" s="14">
        <f t="shared" si="7"/>
        <v>-0.18181818181818188</v>
      </c>
    </row>
    <row r="243" spans="1:4" x14ac:dyDescent="0.2">
      <c r="A243" s="61">
        <v>31717</v>
      </c>
      <c r="B243" s="68">
        <f>VLOOKUP(Table4[[#This Row],[Date]],Database!A:E,3,)</f>
        <v>82.1</v>
      </c>
      <c r="C243" s="14">
        <f t="shared" si="6"/>
        <v>-8.4541062801932708E-3</v>
      </c>
      <c r="D243" s="14">
        <f t="shared" si="7"/>
        <v>-0.19351669941060906</v>
      </c>
    </row>
    <row r="244" spans="1:4" x14ac:dyDescent="0.2">
      <c r="A244" s="61">
        <v>31747</v>
      </c>
      <c r="B244" s="68">
        <f>VLOOKUP(Table4[[#This Row],[Date]],Database!A:E,3,)</f>
        <v>82.5</v>
      </c>
      <c r="C244" s="14">
        <f t="shared" si="6"/>
        <v>4.8721071863581699E-3</v>
      </c>
      <c r="D244" s="14">
        <f t="shared" si="7"/>
        <v>-0.19433593750000006</v>
      </c>
    </row>
    <row r="245" spans="1:4" x14ac:dyDescent="0.2">
      <c r="A245" s="61">
        <v>31778</v>
      </c>
      <c r="B245" s="68">
        <f>VLOOKUP(Table4[[#This Row],[Date]],Database!A:E,3,)</f>
        <v>85.4</v>
      </c>
      <c r="C245" s="14">
        <f t="shared" si="6"/>
        <v>3.5151515151515218E-2</v>
      </c>
      <c r="D245" s="14">
        <f t="shared" si="7"/>
        <v>-0.16764132553606229</v>
      </c>
    </row>
    <row r="246" spans="1:4" x14ac:dyDescent="0.2">
      <c r="A246" s="61">
        <v>31809</v>
      </c>
      <c r="B246" s="68">
        <f>VLOOKUP(Table4[[#This Row],[Date]],Database!A:E,3,)</f>
        <v>87.4</v>
      </c>
      <c r="C246" s="14">
        <f t="shared" si="6"/>
        <v>2.3419203747072598E-2</v>
      </c>
      <c r="D246" s="14">
        <f t="shared" si="7"/>
        <v>-0.12160804020100496</v>
      </c>
    </row>
    <row r="247" spans="1:4" x14ac:dyDescent="0.2">
      <c r="A247" s="61">
        <v>31837</v>
      </c>
      <c r="B247" s="68">
        <f>VLOOKUP(Table4[[#This Row],[Date]],Database!A:E,3,)</f>
        <v>87.6</v>
      </c>
      <c r="C247" s="14">
        <f t="shared" si="6"/>
        <v>2.2883295194506708E-3</v>
      </c>
      <c r="D247" s="14">
        <f t="shared" si="7"/>
        <v>-5.399568034557236E-2</v>
      </c>
    </row>
    <row r="248" spans="1:4" x14ac:dyDescent="0.2">
      <c r="A248" s="61">
        <v>31868</v>
      </c>
      <c r="B248" s="68">
        <f>VLOOKUP(Table4[[#This Row],[Date]],Database!A:E,3,)</f>
        <v>87.6</v>
      </c>
      <c r="C248" s="14">
        <f t="shared" si="6"/>
        <v>0</v>
      </c>
      <c r="D248" s="14">
        <f t="shared" si="7"/>
        <v>4.5871559633026545E-3</v>
      </c>
    </row>
    <row r="249" spans="1:4" x14ac:dyDescent="0.2">
      <c r="A249" s="61">
        <v>31898</v>
      </c>
      <c r="B249" s="68">
        <f>VLOOKUP(Table4[[#This Row],[Date]],Database!A:E,3,)</f>
        <v>87.1</v>
      </c>
      <c r="C249" s="14">
        <f t="shared" si="6"/>
        <v>-5.7077625570776261E-3</v>
      </c>
      <c r="D249" s="14">
        <f t="shared" si="7"/>
        <v>-1.1467889908257857E-3</v>
      </c>
    </row>
    <row r="250" spans="1:4" x14ac:dyDescent="0.2">
      <c r="A250" s="61">
        <v>31929</v>
      </c>
      <c r="B250" s="68">
        <f>VLOOKUP(Table4[[#This Row],[Date]],Database!A:E,3,)</f>
        <v>88.5</v>
      </c>
      <c r="C250" s="14">
        <f t="shared" si="6"/>
        <v>1.607347876004599E-2</v>
      </c>
      <c r="D250" s="14">
        <f t="shared" si="7"/>
        <v>-3.3783783783783465E-3</v>
      </c>
    </row>
    <row r="251" spans="1:4" x14ac:dyDescent="0.2">
      <c r="A251" s="61">
        <v>31959</v>
      </c>
      <c r="B251" s="68">
        <f>VLOOKUP(Table4[[#This Row],[Date]],Database!A:E,3,)</f>
        <v>89.2</v>
      </c>
      <c r="C251" s="14">
        <f t="shared" si="6"/>
        <v>7.9096045197740439E-3</v>
      </c>
      <c r="D251" s="14">
        <f t="shared" si="7"/>
        <v>4.2056074766355242E-2</v>
      </c>
    </row>
    <row r="252" spans="1:4" x14ac:dyDescent="0.2">
      <c r="A252" s="61">
        <v>31990</v>
      </c>
      <c r="B252" s="68">
        <f>VLOOKUP(Table4[[#This Row],[Date]],Database!A:E,3,)</f>
        <v>90.5</v>
      </c>
      <c r="C252" s="14">
        <f t="shared" si="6"/>
        <v>1.4573991031390102E-2</v>
      </c>
      <c r="D252" s="14">
        <f t="shared" si="7"/>
        <v>8.2535885167464185E-2</v>
      </c>
    </row>
    <row r="253" spans="1:4" x14ac:dyDescent="0.2">
      <c r="A253" s="61">
        <v>32021</v>
      </c>
      <c r="B253" s="68">
        <f>VLOOKUP(Table4[[#This Row],[Date]],Database!A:E,3,)</f>
        <v>90.3</v>
      </c>
      <c r="C253" s="14">
        <f t="shared" si="6"/>
        <v>-2.2099447513812469E-3</v>
      </c>
      <c r="D253" s="14">
        <f t="shared" si="7"/>
        <v>6.9905213270142069E-2</v>
      </c>
    </row>
    <row r="254" spans="1:4" x14ac:dyDescent="0.2">
      <c r="A254" s="61">
        <v>32051</v>
      </c>
      <c r="B254" s="68">
        <f>VLOOKUP(Table4[[#This Row],[Date]],Database!A:E,3,)</f>
        <v>89.6</v>
      </c>
      <c r="C254" s="14">
        <f t="shared" si="6"/>
        <v>-7.751937984496156E-3</v>
      </c>
      <c r="D254" s="14">
        <f t="shared" si="7"/>
        <v>8.2125603864734262E-2</v>
      </c>
    </row>
    <row r="255" spans="1:4" x14ac:dyDescent="0.2">
      <c r="A255" s="61">
        <v>32082</v>
      </c>
      <c r="B255" s="68">
        <f>VLOOKUP(Table4[[#This Row],[Date]],Database!A:E,3,)</f>
        <v>90</v>
      </c>
      <c r="C255" s="14">
        <f t="shared" si="6"/>
        <v>4.4642857142857782E-3</v>
      </c>
      <c r="D255" s="14">
        <f t="shared" si="7"/>
        <v>9.6224116930572548E-2</v>
      </c>
    </row>
    <row r="256" spans="1:4" x14ac:dyDescent="0.2">
      <c r="A256" s="61">
        <v>32112</v>
      </c>
      <c r="B256" s="68">
        <f>VLOOKUP(Table4[[#This Row],[Date]],Database!A:E,3,)</f>
        <v>89.5</v>
      </c>
      <c r="C256" s="14">
        <f t="shared" si="6"/>
        <v>-5.5555555555555558E-3</v>
      </c>
      <c r="D256" s="14">
        <f t="shared" si="7"/>
        <v>8.4848484848484854E-2</v>
      </c>
    </row>
    <row r="257" spans="1:4" x14ac:dyDescent="0.2">
      <c r="A257" s="61">
        <v>32143</v>
      </c>
      <c r="B257" s="68">
        <f>VLOOKUP(Table4[[#This Row],[Date]],Database!A:E,3,)</f>
        <v>88.8</v>
      </c>
      <c r="C257" s="14">
        <f t="shared" si="6"/>
        <v>-7.8212290502793613E-3</v>
      </c>
      <c r="D257" s="14">
        <f t="shared" si="7"/>
        <v>3.9812646370023318E-2</v>
      </c>
    </row>
    <row r="258" spans="1:4" x14ac:dyDescent="0.2">
      <c r="A258" s="61">
        <v>32174</v>
      </c>
      <c r="B258" s="68">
        <f>VLOOKUP(Table4[[#This Row],[Date]],Database!A:E,3,)</f>
        <v>88.7</v>
      </c>
      <c r="C258" s="14">
        <f t="shared" si="6"/>
        <v>-1.1261261261260621E-3</v>
      </c>
      <c r="D258" s="14">
        <f t="shared" si="7"/>
        <v>1.4874141876430172E-2</v>
      </c>
    </row>
    <row r="259" spans="1:4" x14ac:dyDescent="0.2">
      <c r="A259" s="61">
        <v>32203</v>
      </c>
      <c r="B259" s="68">
        <f>VLOOKUP(Table4[[#This Row],[Date]],Database!A:E,3,)</f>
        <v>88.4</v>
      </c>
      <c r="C259" s="14">
        <f t="shared" si="6"/>
        <v>-3.3821871476888065E-3</v>
      </c>
      <c r="D259" s="14">
        <f t="shared" si="7"/>
        <v>9.1324200913243305E-3</v>
      </c>
    </row>
    <row r="260" spans="1:4" x14ac:dyDescent="0.2">
      <c r="A260" s="61">
        <v>32234</v>
      </c>
      <c r="B260" s="68">
        <f>VLOOKUP(Table4[[#This Row],[Date]],Database!A:E,3,)</f>
        <v>88.8</v>
      </c>
      <c r="C260" s="14">
        <f t="shared" si="6"/>
        <v>4.5248868778279576E-3</v>
      </c>
      <c r="D260" s="14">
        <f t="shared" si="7"/>
        <v>1.3698630136986335E-2</v>
      </c>
    </row>
    <row r="261" spans="1:4" x14ac:dyDescent="0.2">
      <c r="A261" s="61">
        <v>32264</v>
      </c>
      <c r="B261" s="68">
        <f>VLOOKUP(Table4[[#This Row],[Date]],Database!A:E,3,)</f>
        <v>88.5</v>
      </c>
      <c r="C261" s="14">
        <f t="shared" si="6"/>
        <v>-3.3783783783783465E-3</v>
      </c>
      <c r="D261" s="14">
        <f t="shared" si="7"/>
        <v>1.607347876004599E-2</v>
      </c>
    </row>
    <row r="262" spans="1:4" x14ac:dyDescent="0.2">
      <c r="A262" s="61">
        <v>32295</v>
      </c>
      <c r="B262" s="68">
        <f>VLOOKUP(Table4[[#This Row],[Date]],Database!A:E,3,)</f>
        <v>88.9</v>
      </c>
      <c r="C262" s="14">
        <f t="shared" ref="C262:C325" si="8">(B262-B261)/B261</f>
        <v>4.5197740112994994E-3</v>
      </c>
      <c r="D262" s="14">
        <f t="shared" si="7"/>
        <v>4.5197740112994994E-3</v>
      </c>
    </row>
    <row r="263" spans="1:4" x14ac:dyDescent="0.2">
      <c r="A263" s="61">
        <v>32325</v>
      </c>
      <c r="B263" s="68">
        <f>VLOOKUP(Table4[[#This Row],[Date]],Database!A:E,3,)</f>
        <v>89.4</v>
      </c>
      <c r="C263" s="14">
        <f t="shared" si="8"/>
        <v>5.6242969628796397E-3</v>
      </c>
      <c r="D263" s="14">
        <f t="shared" si="7"/>
        <v>2.2421524663677446E-3</v>
      </c>
    </row>
    <row r="264" spans="1:4" x14ac:dyDescent="0.2">
      <c r="A264" s="61">
        <v>32356</v>
      </c>
      <c r="B264" s="68">
        <f>VLOOKUP(Table4[[#This Row],[Date]],Database!A:E,3,)</f>
        <v>90.1</v>
      </c>
      <c r="C264" s="14">
        <f t="shared" si="8"/>
        <v>7.8299776286352187E-3</v>
      </c>
      <c r="D264" s="14">
        <f t="shared" si="7"/>
        <v>-4.4198895027624937E-3</v>
      </c>
    </row>
    <row r="265" spans="1:4" x14ac:dyDescent="0.2">
      <c r="A265" s="61">
        <v>32387</v>
      </c>
      <c r="B265" s="68">
        <f>VLOOKUP(Table4[[#This Row],[Date]],Database!A:E,3,)</f>
        <v>89.8</v>
      </c>
      <c r="C265" s="14">
        <f t="shared" si="8"/>
        <v>-3.3296337402885369E-3</v>
      </c>
      <c r="D265" s="14">
        <f t="shared" si="7"/>
        <v>-5.5370985603543747E-3</v>
      </c>
    </row>
    <row r="266" spans="1:4" x14ac:dyDescent="0.2">
      <c r="A266" s="61">
        <v>32417</v>
      </c>
      <c r="B266" s="68">
        <f>VLOOKUP(Table4[[#This Row],[Date]],Database!A:E,3,)</f>
        <v>89.8</v>
      </c>
      <c r="C266" s="14">
        <f t="shared" si="8"/>
        <v>0</v>
      </c>
      <c r="D266" s="14">
        <f t="shared" si="7"/>
        <v>2.2321428571428891E-3</v>
      </c>
    </row>
    <row r="267" spans="1:4" x14ac:dyDescent="0.2">
      <c r="A267" s="61">
        <v>32448</v>
      </c>
      <c r="B267" s="68">
        <f>VLOOKUP(Table4[[#This Row],[Date]],Database!A:E,3,)</f>
        <v>89.8</v>
      </c>
      <c r="C267" s="14">
        <f t="shared" si="8"/>
        <v>0</v>
      </c>
      <c r="D267" s="14">
        <f t="shared" si="7"/>
        <v>-2.2222222222222539E-3</v>
      </c>
    </row>
    <row r="268" spans="1:4" x14ac:dyDescent="0.2">
      <c r="A268" s="61">
        <v>32478</v>
      </c>
      <c r="B268" s="68">
        <f>VLOOKUP(Table4[[#This Row],[Date]],Database!A:E,3,)</f>
        <v>89.6</v>
      </c>
      <c r="C268" s="14">
        <f t="shared" si="8"/>
        <v>-2.2271714922049313E-3</v>
      </c>
      <c r="D268" s="14">
        <f t="shared" si="7"/>
        <v>1.1173184357541265E-3</v>
      </c>
    </row>
    <row r="269" spans="1:4" x14ac:dyDescent="0.2">
      <c r="A269" s="61">
        <v>32509</v>
      </c>
      <c r="B269" s="68">
        <f>VLOOKUP(Table4[[#This Row],[Date]],Database!A:E,3,)</f>
        <v>90.3</v>
      </c>
      <c r="C269" s="14">
        <f t="shared" si="8"/>
        <v>7.812500000000033E-3</v>
      </c>
      <c r="D269" s="14">
        <f t="shared" si="7"/>
        <v>1.6891891891891893E-2</v>
      </c>
    </row>
    <row r="270" spans="1:4" x14ac:dyDescent="0.2">
      <c r="A270" s="61">
        <v>32540</v>
      </c>
      <c r="B270" s="68">
        <f>VLOOKUP(Table4[[#This Row],[Date]],Database!A:E,3,)</f>
        <v>90.8</v>
      </c>
      <c r="C270" s="14">
        <f t="shared" si="8"/>
        <v>5.5370985603543747E-3</v>
      </c>
      <c r="D270" s="14">
        <f t="shared" si="7"/>
        <v>2.3675310033821808E-2</v>
      </c>
    </row>
    <row r="271" spans="1:4" x14ac:dyDescent="0.2">
      <c r="A271" s="61">
        <v>32568</v>
      </c>
      <c r="B271" s="68">
        <f>VLOOKUP(Table4[[#This Row],[Date]],Database!A:E,3,)</f>
        <v>91.8</v>
      </c>
      <c r="C271" s="14">
        <f t="shared" si="8"/>
        <v>1.1013215859030838E-2</v>
      </c>
      <c r="D271" s="14">
        <f t="shared" si="7"/>
        <v>3.846153846153836E-2</v>
      </c>
    </row>
    <row r="272" spans="1:4" x14ac:dyDescent="0.2">
      <c r="A272" s="61">
        <v>32599</v>
      </c>
      <c r="B272" s="68">
        <f>VLOOKUP(Table4[[#This Row],[Date]],Database!A:E,3,)</f>
        <v>96.6</v>
      </c>
      <c r="C272" s="14">
        <f t="shared" si="8"/>
        <v>5.2287581699346379E-2</v>
      </c>
      <c r="D272" s="14">
        <f t="shared" si="7"/>
        <v>8.7837837837837815E-2</v>
      </c>
    </row>
    <row r="273" spans="1:4" x14ac:dyDescent="0.2">
      <c r="A273" s="61">
        <v>32629</v>
      </c>
      <c r="B273" s="68">
        <f>VLOOKUP(Table4[[#This Row],[Date]],Database!A:E,3,)</f>
        <v>97.4</v>
      </c>
      <c r="C273" s="14">
        <f t="shared" si="8"/>
        <v>8.2815734989649219E-3</v>
      </c>
      <c r="D273" s="14">
        <f t="shared" ref="D273:D336" si="9">(B273-B261)/B261</f>
        <v>0.10056497175141249</v>
      </c>
    </row>
    <row r="274" spans="1:4" x14ac:dyDescent="0.2">
      <c r="A274" s="61">
        <v>32660</v>
      </c>
      <c r="B274" s="68">
        <f>VLOOKUP(Table4[[#This Row],[Date]],Database!A:E,3,)</f>
        <v>96.9</v>
      </c>
      <c r="C274" s="14">
        <f t="shared" si="8"/>
        <v>-5.1334702258726897E-3</v>
      </c>
      <c r="D274" s="14">
        <f t="shared" si="9"/>
        <v>8.9988751406074236E-2</v>
      </c>
    </row>
    <row r="275" spans="1:4" x14ac:dyDescent="0.2">
      <c r="A275" s="61">
        <v>32690</v>
      </c>
      <c r="B275" s="68">
        <f>VLOOKUP(Table4[[#This Row],[Date]],Database!A:E,3,)</f>
        <v>96.7</v>
      </c>
      <c r="C275" s="14">
        <f t="shared" si="8"/>
        <v>-2.0639834881321243E-3</v>
      </c>
      <c r="D275" s="14">
        <f t="shared" si="9"/>
        <v>8.1655480984340001E-2</v>
      </c>
    </row>
    <row r="276" spans="1:4" x14ac:dyDescent="0.2">
      <c r="A276" s="61">
        <v>32721</v>
      </c>
      <c r="B276" s="68">
        <f>VLOOKUP(Table4[[#This Row],[Date]],Database!A:E,3,)</f>
        <v>94.9</v>
      </c>
      <c r="C276" s="14">
        <f t="shared" si="8"/>
        <v>-1.8614270941054778E-2</v>
      </c>
      <c r="D276" s="14">
        <f t="shared" si="9"/>
        <v>5.3274139844617222E-2</v>
      </c>
    </row>
    <row r="277" spans="1:4" x14ac:dyDescent="0.2">
      <c r="A277" s="61">
        <v>32752</v>
      </c>
      <c r="B277" s="68">
        <f>VLOOKUP(Table4[[#This Row],[Date]],Database!A:E,3,)</f>
        <v>93.8</v>
      </c>
      <c r="C277" s="14">
        <f t="shared" si="8"/>
        <v>-1.1591148577450036E-2</v>
      </c>
      <c r="D277" s="14">
        <f t="shared" si="9"/>
        <v>4.4543429844097995E-2</v>
      </c>
    </row>
    <row r="278" spans="1:4" x14ac:dyDescent="0.2">
      <c r="A278" s="61">
        <v>32782</v>
      </c>
      <c r="B278" s="68">
        <f>VLOOKUP(Table4[[#This Row],[Date]],Database!A:E,3,)</f>
        <v>94.4</v>
      </c>
      <c r="C278" s="14">
        <f t="shared" si="8"/>
        <v>6.3965884861408159E-3</v>
      </c>
      <c r="D278" s="14">
        <f t="shared" si="9"/>
        <v>5.1224944320712791E-2</v>
      </c>
    </row>
    <row r="279" spans="1:4" x14ac:dyDescent="0.2">
      <c r="A279" s="61">
        <v>32813</v>
      </c>
      <c r="B279" s="68">
        <f>VLOOKUP(Table4[[#This Row],[Date]],Database!A:E,3,)</f>
        <v>93.9</v>
      </c>
      <c r="C279" s="14">
        <f t="shared" si="8"/>
        <v>-5.2966101694915252E-3</v>
      </c>
      <c r="D279" s="14">
        <f t="shared" si="9"/>
        <v>4.5657015590200543E-2</v>
      </c>
    </row>
    <row r="280" spans="1:4" x14ac:dyDescent="0.2">
      <c r="A280" s="61">
        <v>32843</v>
      </c>
      <c r="B280" s="68">
        <f>VLOOKUP(Table4[[#This Row],[Date]],Database!A:E,3,)</f>
        <v>94.2</v>
      </c>
      <c r="C280" s="14">
        <f t="shared" si="8"/>
        <v>3.1948881789137075E-3</v>
      </c>
      <c r="D280" s="14">
        <f t="shared" si="9"/>
        <v>5.1339285714285809E-2</v>
      </c>
    </row>
    <row r="281" spans="1:4" x14ac:dyDescent="0.2">
      <c r="A281" s="61">
        <v>32874</v>
      </c>
      <c r="B281" s="68">
        <f>VLOOKUP(Table4[[#This Row],[Date]],Database!A:E,3,)</f>
        <v>98.9</v>
      </c>
      <c r="C281" s="14">
        <f t="shared" si="8"/>
        <v>4.9893842887473491E-2</v>
      </c>
      <c r="D281" s="14">
        <f t="shared" si="9"/>
        <v>9.523809523809533E-2</v>
      </c>
    </row>
    <row r="282" spans="1:4" x14ac:dyDescent="0.2">
      <c r="A282" s="61">
        <v>32905</v>
      </c>
      <c r="B282" s="68">
        <f>VLOOKUP(Table4[[#This Row],[Date]],Database!A:E,3,)</f>
        <v>98.2</v>
      </c>
      <c r="C282" s="14">
        <f t="shared" si="8"/>
        <v>-7.0778564206269243E-3</v>
      </c>
      <c r="D282" s="14">
        <f t="shared" si="9"/>
        <v>8.1497797356828258E-2</v>
      </c>
    </row>
    <row r="283" spans="1:4" x14ac:dyDescent="0.2">
      <c r="A283" s="61">
        <v>32933</v>
      </c>
      <c r="B283" s="68">
        <f>VLOOKUP(Table4[[#This Row],[Date]],Database!A:E,3,)</f>
        <v>97.6</v>
      </c>
      <c r="C283" s="14">
        <f t="shared" si="8"/>
        <v>-6.1099796334013086E-3</v>
      </c>
      <c r="D283" s="14">
        <f t="shared" si="9"/>
        <v>6.3180827886710214E-2</v>
      </c>
    </row>
    <row r="284" spans="1:4" x14ac:dyDescent="0.2">
      <c r="A284" s="61">
        <v>32964</v>
      </c>
      <c r="B284" s="68">
        <f>VLOOKUP(Table4[[#This Row],[Date]],Database!A:E,3,)</f>
        <v>97.5</v>
      </c>
      <c r="C284" s="14">
        <f t="shared" si="8"/>
        <v>-1.024590163934368E-3</v>
      </c>
      <c r="D284" s="14">
        <f t="shared" si="9"/>
        <v>9.3167701863354629E-3</v>
      </c>
    </row>
    <row r="285" spans="1:4" x14ac:dyDescent="0.2">
      <c r="A285" s="61">
        <v>32994</v>
      </c>
      <c r="B285" s="68">
        <f>VLOOKUP(Table4[[#This Row],[Date]],Database!A:E,3,)</f>
        <v>96.7</v>
      </c>
      <c r="C285" s="14">
        <f t="shared" si="8"/>
        <v>-8.2051282051281756E-3</v>
      </c>
      <c r="D285" s="14">
        <f t="shared" si="9"/>
        <v>-7.1868583162217944E-3</v>
      </c>
    </row>
    <row r="286" spans="1:4" x14ac:dyDescent="0.2">
      <c r="A286" s="61">
        <v>33025</v>
      </c>
      <c r="B286" s="68">
        <f>VLOOKUP(Table4[[#This Row],[Date]],Database!A:E,3,)</f>
        <v>97.3</v>
      </c>
      <c r="C286" s="14">
        <f t="shared" si="8"/>
        <v>6.2047569803515435E-3</v>
      </c>
      <c r="D286" s="14">
        <f t="shared" si="9"/>
        <v>4.127966976264102E-3</v>
      </c>
    </row>
    <row r="287" spans="1:4" x14ac:dyDescent="0.2">
      <c r="A287" s="61">
        <v>33055</v>
      </c>
      <c r="B287" s="68">
        <f>VLOOKUP(Table4[[#This Row],[Date]],Database!A:E,3,)</f>
        <v>97.1</v>
      </c>
      <c r="C287" s="14">
        <f t="shared" si="8"/>
        <v>-2.0554984583761853E-3</v>
      </c>
      <c r="D287" s="14">
        <f t="shared" si="9"/>
        <v>4.1365046535676471E-3</v>
      </c>
    </row>
    <row r="288" spans="1:4" x14ac:dyDescent="0.2">
      <c r="A288" s="61">
        <v>33086</v>
      </c>
      <c r="B288" s="68">
        <f>VLOOKUP(Table4[[#This Row],[Date]],Database!A:E,3,)</f>
        <v>101.6</v>
      </c>
      <c r="C288" s="14">
        <f t="shared" si="8"/>
        <v>4.6343975283213185E-2</v>
      </c>
      <c r="D288" s="14">
        <f t="shared" si="9"/>
        <v>7.0600632244467734E-2</v>
      </c>
    </row>
    <row r="289" spans="1:4" x14ac:dyDescent="0.2">
      <c r="A289" s="61">
        <v>33117</v>
      </c>
      <c r="B289" s="68">
        <f>VLOOKUP(Table4[[#This Row],[Date]],Database!A:E,3,)</f>
        <v>106.5</v>
      </c>
      <c r="C289" s="14">
        <f t="shared" si="8"/>
        <v>4.8228346456692973E-2</v>
      </c>
      <c r="D289" s="14">
        <f t="shared" si="9"/>
        <v>0.1353944562899787</v>
      </c>
    </row>
    <row r="290" spans="1:4" x14ac:dyDescent="0.2">
      <c r="A290" s="61">
        <v>33147</v>
      </c>
      <c r="B290" s="68">
        <f>VLOOKUP(Table4[[#This Row],[Date]],Database!A:E,3,)</f>
        <v>110.8</v>
      </c>
      <c r="C290" s="14">
        <f t="shared" si="8"/>
        <v>4.037558685446007E-2</v>
      </c>
      <c r="D290" s="14">
        <f t="shared" si="9"/>
        <v>0.17372881355932193</v>
      </c>
    </row>
    <row r="291" spans="1:4" x14ac:dyDescent="0.2">
      <c r="A291" s="61">
        <v>33178</v>
      </c>
      <c r="B291" s="68">
        <f>VLOOKUP(Table4[[#This Row],[Date]],Database!A:E,3,)</f>
        <v>111.2</v>
      </c>
      <c r="C291" s="14">
        <f t="shared" si="8"/>
        <v>3.6101083032491488E-3</v>
      </c>
      <c r="D291" s="14">
        <f t="shared" si="9"/>
        <v>0.18423855165069219</v>
      </c>
    </row>
    <row r="292" spans="1:4" x14ac:dyDescent="0.2">
      <c r="A292" s="61">
        <v>33208</v>
      </c>
      <c r="B292" s="68">
        <f>VLOOKUP(Table4[[#This Row],[Date]],Database!A:E,3,)</f>
        <v>111</v>
      </c>
      <c r="C292" s="14">
        <f t="shared" si="8"/>
        <v>-1.7985611510791622E-3</v>
      </c>
      <c r="D292" s="14">
        <f t="shared" si="9"/>
        <v>0.17834394904458595</v>
      </c>
    </row>
    <row r="293" spans="1:4" x14ac:dyDescent="0.2">
      <c r="A293" s="61">
        <v>33239</v>
      </c>
      <c r="B293" s="68">
        <f>VLOOKUP(Table4[[#This Row],[Date]],Database!A:E,3,)</f>
        <v>108.5</v>
      </c>
      <c r="C293" s="14">
        <f t="shared" si="8"/>
        <v>-2.2522522522522521E-2</v>
      </c>
      <c r="D293" s="14">
        <f t="shared" si="9"/>
        <v>9.7067745197168792E-2</v>
      </c>
    </row>
    <row r="294" spans="1:4" x14ac:dyDescent="0.2">
      <c r="A294" s="61">
        <v>33270</v>
      </c>
      <c r="B294" s="68">
        <f>VLOOKUP(Table4[[#This Row],[Date]],Database!A:E,3,)</f>
        <v>104.5</v>
      </c>
      <c r="C294" s="14">
        <f t="shared" si="8"/>
        <v>-3.6866359447004608E-2</v>
      </c>
      <c r="D294" s="14">
        <f t="shared" si="9"/>
        <v>6.4154786150712795E-2</v>
      </c>
    </row>
    <row r="295" spans="1:4" x14ac:dyDescent="0.2">
      <c r="A295" s="61">
        <v>33298</v>
      </c>
      <c r="B295" s="68">
        <f>VLOOKUP(Table4[[#This Row],[Date]],Database!A:E,3,)</f>
        <v>101.9</v>
      </c>
      <c r="C295" s="14">
        <f t="shared" si="8"/>
        <v>-2.4880382775119562E-2</v>
      </c>
      <c r="D295" s="14">
        <f t="shared" si="9"/>
        <v>4.4057377049180446E-2</v>
      </c>
    </row>
    <row r="296" spans="1:4" x14ac:dyDescent="0.2">
      <c r="A296" s="61">
        <v>33329</v>
      </c>
      <c r="B296" s="68">
        <f>VLOOKUP(Table4[[#This Row],[Date]],Database!A:E,3,)</f>
        <v>101.2</v>
      </c>
      <c r="C296" s="14">
        <f t="shared" si="8"/>
        <v>-6.8694798822375152E-3</v>
      </c>
      <c r="D296" s="14">
        <f t="shared" si="9"/>
        <v>3.7948717948717979E-2</v>
      </c>
    </row>
    <row r="297" spans="1:4" x14ac:dyDescent="0.2">
      <c r="A297" s="61">
        <v>33359</v>
      </c>
      <c r="B297" s="68">
        <f>VLOOKUP(Table4[[#This Row],[Date]],Database!A:E,3,)</f>
        <v>102.1</v>
      </c>
      <c r="C297" s="14">
        <f t="shared" si="8"/>
        <v>8.8932806324109829E-3</v>
      </c>
      <c r="D297" s="14">
        <f t="shared" si="9"/>
        <v>5.5842812823164334E-2</v>
      </c>
    </row>
    <row r="298" spans="1:4" x14ac:dyDescent="0.2">
      <c r="A298" s="61">
        <v>33390</v>
      </c>
      <c r="B298" s="68">
        <f>VLOOKUP(Table4[[#This Row],[Date]],Database!A:E,3,)</f>
        <v>101.1</v>
      </c>
      <c r="C298" s="14">
        <f t="shared" si="8"/>
        <v>-9.7943192948090115E-3</v>
      </c>
      <c r="D298" s="14">
        <f t="shared" si="9"/>
        <v>3.9054470709146943E-2</v>
      </c>
    </row>
    <row r="299" spans="1:4" x14ac:dyDescent="0.2">
      <c r="A299" s="61">
        <v>33420</v>
      </c>
      <c r="B299" s="68">
        <f>VLOOKUP(Table4[[#This Row],[Date]],Database!A:E,3,)</f>
        <v>100.7</v>
      </c>
      <c r="C299" s="14">
        <f t="shared" si="8"/>
        <v>-3.9564787339267209E-3</v>
      </c>
      <c r="D299" s="14">
        <f t="shared" si="9"/>
        <v>3.7075180226570636E-2</v>
      </c>
    </row>
    <row r="300" spans="1:4" x14ac:dyDescent="0.2">
      <c r="A300" s="61">
        <v>33451</v>
      </c>
      <c r="B300" s="68">
        <f>VLOOKUP(Table4[[#This Row],[Date]],Database!A:E,3,)</f>
        <v>101.1</v>
      </c>
      <c r="C300" s="14">
        <f t="shared" si="8"/>
        <v>3.9721946375371542E-3</v>
      </c>
      <c r="D300" s="14">
        <f t="shared" si="9"/>
        <v>-4.921259842519685E-3</v>
      </c>
    </row>
    <row r="301" spans="1:4" x14ac:dyDescent="0.2">
      <c r="A301" s="61">
        <v>33482</v>
      </c>
      <c r="B301" s="68">
        <f>VLOOKUP(Table4[[#This Row],[Date]],Database!A:E,3,)</f>
        <v>101.5</v>
      </c>
      <c r="C301" s="14">
        <f t="shared" si="8"/>
        <v>3.9564787339268614E-3</v>
      </c>
      <c r="D301" s="14">
        <f t="shared" si="9"/>
        <v>-4.6948356807511735E-2</v>
      </c>
    </row>
    <row r="302" spans="1:4" x14ac:dyDescent="0.2">
      <c r="A302" s="61">
        <v>33512</v>
      </c>
      <c r="B302" s="68">
        <f>VLOOKUP(Table4[[#This Row],[Date]],Database!A:E,3,)</f>
        <v>101.6</v>
      </c>
      <c r="C302" s="14">
        <f t="shared" si="8"/>
        <v>9.8522167487679127E-4</v>
      </c>
      <c r="D302" s="14">
        <f t="shared" si="9"/>
        <v>-8.303249097472927E-2</v>
      </c>
    </row>
    <row r="303" spans="1:4" x14ac:dyDescent="0.2">
      <c r="A303" s="61">
        <v>33543</v>
      </c>
      <c r="B303" s="68">
        <f>VLOOKUP(Table4[[#This Row],[Date]],Database!A:E,3,)</f>
        <v>102.4</v>
      </c>
      <c r="C303" s="14">
        <f t="shared" si="8"/>
        <v>7.8740157480316087E-3</v>
      </c>
      <c r="D303" s="14">
        <f t="shared" si="9"/>
        <v>-7.913669064748198E-2</v>
      </c>
    </row>
    <row r="304" spans="1:4" x14ac:dyDescent="0.2">
      <c r="A304" s="61">
        <v>33573</v>
      </c>
      <c r="B304" s="68">
        <f>VLOOKUP(Table4[[#This Row],[Date]],Database!A:E,3,)</f>
        <v>103.1</v>
      </c>
      <c r="C304" s="14">
        <f t="shared" si="8"/>
        <v>6.835937499999889E-3</v>
      </c>
      <c r="D304" s="14">
        <f t="shared" si="9"/>
        <v>-7.1171171171171221E-2</v>
      </c>
    </row>
    <row r="305" spans="1:4" x14ac:dyDescent="0.2">
      <c r="A305" s="61">
        <v>33604</v>
      </c>
      <c r="B305" s="68">
        <f>VLOOKUP(Table4[[#This Row],[Date]],Database!A:E,3,)</f>
        <v>101.5</v>
      </c>
      <c r="C305" s="14">
        <f t="shared" si="8"/>
        <v>-1.5518913676042623E-2</v>
      </c>
      <c r="D305" s="14">
        <f t="shared" si="9"/>
        <v>-6.4516129032258063E-2</v>
      </c>
    </row>
    <row r="306" spans="1:4" x14ac:dyDescent="0.2">
      <c r="A306" s="61">
        <v>33635</v>
      </c>
      <c r="B306" s="68">
        <f>VLOOKUP(Table4[[#This Row],[Date]],Database!A:E,3,)</f>
        <v>101.2</v>
      </c>
      <c r="C306" s="14">
        <f t="shared" si="8"/>
        <v>-2.9556650246305139E-3</v>
      </c>
      <c r="D306" s="14">
        <f t="shared" si="9"/>
        <v>-3.1578947368421026E-2</v>
      </c>
    </row>
    <row r="307" spans="1:4" x14ac:dyDescent="0.2">
      <c r="A307" s="61">
        <v>33664</v>
      </c>
      <c r="B307" s="68">
        <f>VLOOKUP(Table4[[#This Row],[Date]],Database!A:E,3,)</f>
        <v>101.2</v>
      </c>
      <c r="C307" s="14">
        <f t="shared" si="8"/>
        <v>0</v>
      </c>
      <c r="D307" s="14">
        <f t="shared" si="9"/>
        <v>-6.8694798822375152E-3</v>
      </c>
    </row>
    <row r="308" spans="1:4" x14ac:dyDescent="0.2">
      <c r="A308" s="61">
        <v>33695</v>
      </c>
      <c r="B308" s="68">
        <f>VLOOKUP(Table4[[#This Row],[Date]],Database!A:E,3,)</f>
        <v>101.4</v>
      </c>
      <c r="C308" s="14">
        <f t="shared" si="8"/>
        <v>1.9762845849802652E-3</v>
      </c>
      <c r="D308" s="14">
        <f t="shared" si="9"/>
        <v>1.9762845849802652E-3</v>
      </c>
    </row>
    <row r="309" spans="1:4" x14ac:dyDescent="0.2">
      <c r="A309" s="61">
        <v>33725</v>
      </c>
      <c r="B309" s="68">
        <f>VLOOKUP(Table4[[#This Row],[Date]],Database!A:E,3,)</f>
        <v>102</v>
      </c>
      <c r="C309" s="14">
        <f t="shared" si="8"/>
        <v>5.917159763313553E-3</v>
      </c>
      <c r="D309" s="14">
        <f t="shared" si="9"/>
        <v>-9.7943192948084538E-4</v>
      </c>
    </row>
    <row r="310" spans="1:4" x14ac:dyDescent="0.2">
      <c r="A310" s="61">
        <v>33756</v>
      </c>
      <c r="B310" s="68">
        <f>VLOOKUP(Table4[[#This Row],[Date]],Database!A:E,3,)</f>
        <v>103.3</v>
      </c>
      <c r="C310" s="14">
        <f t="shared" si="8"/>
        <v>1.2745098039215658E-2</v>
      </c>
      <c r="D310" s="14">
        <f t="shared" si="9"/>
        <v>2.1760633036597459E-2</v>
      </c>
    </row>
    <row r="311" spans="1:4" x14ac:dyDescent="0.2">
      <c r="A311" s="61">
        <v>33786</v>
      </c>
      <c r="B311" s="68">
        <f>VLOOKUP(Table4[[#This Row],[Date]],Database!A:E,3,)</f>
        <v>103.7</v>
      </c>
      <c r="C311" s="14">
        <f t="shared" si="8"/>
        <v>3.8722168441433272E-3</v>
      </c>
      <c r="D311" s="14">
        <f t="shared" si="9"/>
        <v>2.9791459781529295E-2</v>
      </c>
    </row>
    <row r="312" spans="1:4" x14ac:dyDescent="0.2">
      <c r="A312" s="61">
        <v>33817</v>
      </c>
      <c r="B312" s="68">
        <f>VLOOKUP(Table4[[#This Row],[Date]],Database!A:E,3,)</f>
        <v>103.5</v>
      </c>
      <c r="C312" s="14">
        <f t="shared" si="8"/>
        <v>-1.9286403085824768E-3</v>
      </c>
      <c r="D312" s="14">
        <f t="shared" si="9"/>
        <v>2.3738872403560887E-2</v>
      </c>
    </row>
    <row r="313" spans="1:4" x14ac:dyDescent="0.2">
      <c r="A313" s="61">
        <v>33848</v>
      </c>
      <c r="B313" s="68">
        <f>VLOOKUP(Table4[[#This Row],[Date]],Database!A:E,3,)</f>
        <v>103.6</v>
      </c>
      <c r="C313" s="14">
        <f t="shared" si="8"/>
        <v>9.6618357487917217E-4</v>
      </c>
      <c r="D313" s="14">
        <f t="shared" si="9"/>
        <v>2.0689655172413737E-2</v>
      </c>
    </row>
    <row r="314" spans="1:4" x14ac:dyDescent="0.2">
      <c r="A314" s="61">
        <v>33878</v>
      </c>
      <c r="B314" s="68">
        <f>VLOOKUP(Table4[[#This Row],[Date]],Database!A:E,3,)</f>
        <v>104.3</v>
      </c>
      <c r="C314" s="14">
        <f t="shared" si="8"/>
        <v>6.7567567567567849E-3</v>
      </c>
      <c r="D314" s="14">
        <f t="shared" si="9"/>
        <v>2.6574803149606328E-2</v>
      </c>
    </row>
    <row r="315" spans="1:4" x14ac:dyDescent="0.2">
      <c r="A315" s="61">
        <v>33909</v>
      </c>
      <c r="B315" s="68">
        <f>VLOOKUP(Table4[[#This Row],[Date]],Database!A:E,3,)</f>
        <v>105.1</v>
      </c>
      <c r="C315" s="14">
        <f t="shared" si="8"/>
        <v>7.6701821668264348E-3</v>
      </c>
      <c r="D315" s="14">
        <f t="shared" si="9"/>
        <v>2.6367187499999889E-2</v>
      </c>
    </row>
    <row r="316" spans="1:4" x14ac:dyDescent="0.2">
      <c r="A316" s="61">
        <v>33939</v>
      </c>
      <c r="B316" s="68">
        <f>VLOOKUP(Table4[[#This Row],[Date]],Database!A:E,3,)</f>
        <v>105.3</v>
      </c>
      <c r="C316" s="14">
        <f t="shared" si="8"/>
        <v>1.9029495718363735E-3</v>
      </c>
      <c r="D316" s="14">
        <f t="shared" si="9"/>
        <v>2.1338506304558708E-2</v>
      </c>
    </row>
    <row r="317" spans="1:4" x14ac:dyDescent="0.2">
      <c r="A317" s="61">
        <v>33970</v>
      </c>
      <c r="B317" s="68">
        <f>VLOOKUP(Table4[[#This Row],[Date]],Database!A:E,3,)</f>
        <v>105</v>
      </c>
      <c r="C317" s="14">
        <f t="shared" si="8"/>
        <v>-2.8490028490028223E-3</v>
      </c>
      <c r="D317" s="14">
        <f t="shared" si="9"/>
        <v>3.4482758620689655E-2</v>
      </c>
    </row>
    <row r="318" spans="1:4" x14ac:dyDescent="0.2">
      <c r="A318" s="61">
        <v>34001</v>
      </c>
      <c r="B318" s="68">
        <f>VLOOKUP(Table4[[#This Row],[Date]],Database!A:E,3,)</f>
        <v>104.3</v>
      </c>
      <c r="C318" s="14">
        <f t="shared" si="8"/>
        <v>-6.666666666666694E-3</v>
      </c>
      <c r="D318" s="14">
        <f t="shared" si="9"/>
        <v>3.063241106719362E-2</v>
      </c>
    </row>
    <row r="319" spans="1:4" x14ac:dyDescent="0.2">
      <c r="A319" s="61">
        <v>34029</v>
      </c>
      <c r="B319" s="68">
        <f>VLOOKUP(Table4[[#This Row],[Date]],Database!A:E,3,)</f>
        <v>104.9</v>
      </c>
      <c r="C319" s="14">
        <f t="shared" si="8"/>
        <v>5.7526366251199283E-3</v>
      </c>
      <c r="D319" s="14">
        <f t="shared" si="9"/>
        <v>3.6561264822134412E-2</v>
      </c>
    </row>
    <row r="320" spans="1:4" x14ac:dyDescent="0.2">
      <c r="A320" s="61">
        <v>34060</v>
      </c>
      <c r="B320" s="68">
        <f>VLOOKUP(Table4[[#This Row],[Date]],Database!A:E,3,)</f>
        <v>104.9</v>
      </c>
      <c r="C320" s="14">
        <f t="shared" si="8"/>
        <v>0</v>
      </c>
      <c r="D320" s="14">
        <f t="shared" si="9"/>
        <v>3.4516765285996051E-2</v>
      </c>
    </row>
    <row r="321" spans="1:4" x14ac:dyDescent="0.2">
      <c r="A321" s="61">
        <v>34090</v>
      </c>
      <c r="B321" s="68">
        <f>VLOOKUP(Table4[[#This Row],[Date]],Database!A:E,3,)</f>
        <v>104.3</v>
      </c>
      <c r="C321" s="14">
        <f t="shared" si="8"/>
        <v>-5.7197330791230556E-3</v>
      </c>
      <c r="D321" s="14">
        <f t="shared" si="9"/>
        <v>2.2549019607843109E-2</v>
      </c>
    </row>
    <row r="322" spans="1:4" x14ac:dyDescent="0.2">
      <c r="A322" s="61">
        <v>34121</v>
      </c>
      <c r="B322" s="68">
        <f>VLOOKUP(Table4[[#This Row],[Date]],Database!A:E,3,)</f>
        <v>103.9</v>
      </c>
      <c r="C322" s="14">
        <f t="shared" si="8"/>
        <v>-3.8350910834131493E-3</v>
      </c>
      <c r="D322" s="14">
        <f t="shared" si="9"/>
        <v>5.8083252662149906E-3</v>
      </c>
    </row>
    <row r="323" spans="1:4" x14ac:dyDescent="0.2">
      <c r="A323" s="61">
        <v>34151</v>
      </c>
      <c r="B323" s="68">
        <f>VLOOKUP(Table4[[#This Row],[Date]],Database!A:E,3,)</f>
        <v>103.4</v>
      </c>
      <c r="C323" s="14">
        <f t="shared" si="8"/>
        <v>-4.8123195380173241E-3</v>
      </c>
      <c r="D323" s="14">
        <f t="shared" si="9"/>
        <v>-2.8929604628736465E-3</v>
      </c>
    </row>
    <row r="324" spans="1:4" x14ac:dyDescent="0.2">
      <c r="A324" s="61">
        <v>34182</v>
      </c>
      <c r="B324" s="68">
        <f>VLOOKUP(Table4[[#This Row],[Date]],Database!A:E,3,)</f>
        <v>103.4</v>
      </c>
      <c r="C324" s="14">
        <f t="shared" si="8"/>
        <v>0</v>
      </c>
      <c r="D324" s="14">
        <f t="shared" si="9"/>
        <v>-9.6618357487917217E-4</v>
      </c>
    </row>
    <row r="325" spans="1:4" x14ac:dyDescent="0.2">
      <c r="A325" s="61">
        <v>34213</v>
      </c>
      <c r="B325" s="68">
        <f>VLOOKUP(Table4[[#This Row],[Date]],Database!A:E,3,)</f>
        <v>103</v>
      </c>
      <c r="C325" s="14">
        <f t="shared" si="8"/>
        <v>-3.8684719535783912E-3</v>
      </c>
      <c r="D325" s="14">
        <f t="shared" si="9"/>
        <v>-5.7915057915057366E-3</v>
      </c>
    </row>
    <row r="326" spans="1:4" x14ac:dyDescent="0.2">
      <c r="A326" s="61">
        <v>34243</v>
      </c>
      <c r="B326" s="68">
        <f>VLOOKUP(Table4[[#This Row],[Date]],Database!A:E,3,)</f>
        <v>105.3</v>
      </c>
      <c r="C326" s="14">
        <f t="shared" ref="C326:C389" si="10">(B326-B325)/B325</f>
        <v>2.2330097087378615E-2</v>
      </c>
      <c r="D326" s="14">
        <f t="shared" si="9"/>
        <v>9.5877277085330784E-3</v>
      </c>
    </row>
    <row r="327" spans="1:4" x14ac:dyDescent="0.2">
      <c r="A327" s="61">
        <v>34274</v>
      </c>
      <c r="B327" s="68">
        <f>VLOOKUP(Table4[[#This Row],[Date]],Database!A:E,3,)</f>
        <v>104.4</v>
      </c>
      <c r="C327" s="14">
        <f t="shared" si="10"/>
        <v>-8.5470085470084663E-3</v>
      </c>
      <c r="D327" s="14">
        <f t="shared" si="9"/>
        <v>-6.6603235014271039E-3</v>
      </c>
    </row>
    <row r="328" spans="1:4" x14ac:dyDescent="0.2">
      <c r="A328" s="61">
        <v>34304</v>
      </c>
      <c r="B328" s="68">
        <f>VLOOKUP(Table4[[#This Row],[Date]],Database!A:E,3,)</f>
        <v>103.7</v>
      </c>
      <c r="C328" s="14">
        <f t="shared" si="10"/>
        <v>-6.7049808429119045E-3</v>
      </c>
      <c r="D328" s="14">
        <f t="shared" si="9"/>
        <v>-1.5194681861348475E-2</v>
      </c>
    </row>
    <row r="329" spans="1:4" x14ac:dyDescent="0.2">
      <c r="A329" s="61">
        <v>34335</v>
      </c>
      <c r="B329" s="68">
        <f>VLOOKUP(Table4[[#This Row],[Date]],Database!A:E,3,)</f>
        <v>102.8</v>
      </c>
      <c r="C329" s="14">
        <f t="shared" si="10"/>
        <v>-8.6788813886210774E-3</v>
      </c>
      <c r="D329" s="14">
        <f t="shared" si="9"/>
        <v>-2.0952380952380979E-2</v>
      </c>
    </row>
    <row r="330" spans="1:4" x14ac:dyDescent="0.2">
      <c r="A330" s="61">
        <v>34366</v>
      </c>
      <c r="B330" s="68">
        <f>VLOOKUP(Table4[[#This Row],[Date]],Database!A:E,3,)</f>
        <v>104.1</v>
      </c>
      <c r="C330" s="14">
        <f t="shared" si="10"/>
        <v>1.2645914396887132E-2</v>
      </c>
      <c r="D330" s="14">
        <f t="shared" si="9"/>
        <v>-1.9175455417066428E-3</v>
      </c>
    </row>
    <row r="331" spans="1:4" x14ac:dyDescent="0.2">
      <c r="A331" s="61">
        <v>34394</v>
      </c>
      <c r="B331" s="68">
        <f>VLOOKUP(Table4[[#This Row],[Date]],Database!A:E,3,)</f>
        <v>104.3</v>
      </c>
      <c r="C331" s="14">
        <f t="shared" si="10"/>
        <v>1.9212295869356663E-3</v>
      </c>
      <c r="D331" s="14">
        <f t="shared" si="9"/>
        <v>-5.7197330791230556E-3</v>
      </c>
    </row>
    <row r="332" spans="1:4" x14ac:dyDescent="0.2">
      <c r="A332" s="61">
        <v>34425</v>
      </c>
      <c r="B332" s="68">
        <f>VLOOKUP(Table4[[#This Row],[Date]],Database!A:E,3,)</f>
        <v>103.7</v>
      </c>
      <c r="C332" s="14">
        <f t="shared" si="10"/>
        <v>-5.7526366251197921E-3</v>
      </c>
      <c r="D332" s="14">
        <f t="shared" si="9"/>
        <v>-1.1439466158245974E-2</v>
      </c>
    </row>
    <row r="333" spans="1:4" x14ac:dyDescent="0.2">
      <c r="A333" s="61">
        <v>34455</v>
      </c>
      <c r="B333" s="68">
        <f>VLOOKUP(Table4[[#This Row],[Date]],Database!A:E,3,)</f>
        <v>102.8</v>
      </c>
      <c r="C333" s="14">
        <f t="shared" si="10"/>
        <v>-8.6788813886210774E-3</v>
      </c>
      <c r="D333" s="14">
        <f t="shared" si="9"/>
        <v>-1.4381591562799617E-2</v>
      </c>
    </row>
    <row r="334" spans="1:4" x14ac:dyDescent="0.2">
      <c r="A334" s="61">
        <v>34486</v>
      </c>
      <c r="B334" s="68">
        <f>VLOOKUP(Table4[[#This Row],[Date]],Database!A:E,3,)</f>
        <v>103.1</v>
      </c>
      <c r="C334" s="14">
        <f t="shared" si="10"/>
        <v>2.9182879377431629E-3</v>
      </c>
      <c r="D334" s="14">
        <f t="shared" si="9"/>
        <v>-7.6997112608278278E-3</v>
      </c>
    </row>
    <row r="335" spans="1:4" x14ac:dyDescent="0.2">
      <c r="A335" s="61">
        <v>34516</v>
      </c>
      <c r="B335" s="68">
        <f>VLOOKUP(Table4[[#This Row],[Date]],Database!A:E,3,)</f>
        <v>104.5</v>
      </c>
      <c r="C335" s="14">
        <f t="shared" si="10"/>
        <v>1.3579049466537398E-2</v>
      </c>
      <c r="D335" s="14">
        <f t="shared" si="9"/>
        <v>1.063829787234037E-2</v>
      </c>
    </row>
    <row r="336" spans="1:4" x14ac:dyDescent="0.2">
      <c r="A336" s="61">
        <v>34547</v>
      </c>
      <c r="B336" s="68">
        <f>VLOOKUP(Table4[[#This Row],[Date]],Database!A:E,3,)</f>
        <v>106.7</v>
      </c>
      <c r="C336" s="14">
        <f t="shared" si="10"/>
        <v>2.1052631578947396E-2</v>
      </c>
      <c r="D336" s="14">
        <f t="shared" si="9"/>
        <v>3.1914893617021246E-2</v>
      </c>
    </row>
    <row r="337" spans="1:4" x14ac:dyDescent="0.2">
      <c r="A337" s="61">
        <v>34578</v>
      </c>
      <c r="B337" s="68">
        <f>VLOOKUP(Table4[[#This Row],[Date]],Database!A:E,3,)</f>
        <v>106.1</v>
      </c>
      <c r="C337" s="14">
        <f t="shared" si="10"/>
        <v>-5.6232427366448784E-3</v>
      </c>
      <c r="D337" s="14">
        <f t="shared" ref="D337:D400" si="11">(B337-B325)/B325</f>
        <v>3.0097087378640721E-2</v>
      </c>
    </row>
    <row r="338" spans="1:4" x14ac:dyDescent="0.2">
      <c r="A338" s="61">
        <v>34608</v>
      </c>
      <c r="B338" s="68">
        <f>VLOOKUP(Table4[[#This Row],[Date]],Database!A:E,3,)</f>
        <v>105.7</v>
      </c>
      <c r="C338" s="14">
        <f t="shared" si="10"/>
        <v>-3.7700282752119838E-3</v>
      </c>
      <c r="D338" s="14">
        <f t="shared" si="11"/>
        <v>3.798670465337186E-3</v>
      </c>
    </row>
    <row r="339" spans="1:4" x14ac:dyDescent="0.2">
      <c r="A339" s="61">
        <v>34639</v>
      </c>
      <c r="B339" s="68">
        <f>VLOOKUP(Table4[[#This Row],[Date]],Database!A:E,3,)</f>
        <v>106.1</v>
      </c>
      <c r="C339" s="14">
        <f t="shared" si="10"/>
        <v>3.7842951750235712E-3</v>
      </c>
      <c r="D339" s="14">
        <f t="shared" si="11"/>
        <v>1.628352490421445E-2</v>
      </c>
    </row>
    <row r="340" spans="1:4" x14ac:dyDescent="0.2">
      <c r="A340" s="61">
        <v>34669</v>
      </c>
      <c r="B340" s="68">
        <f>VLOOKUP(Table4[[#This Row],[Date]],Database!A:E,3,)</f>
        <v>105.9</v>
      </c>
      <c r="C340" s="14">
        <f t="shared" si="10"/>
        <v>-1.8850141376059251E-3</v>
      </c>
      <c r="D340" s="14">
        <f t="shared" si="11"/>
        <v>2.1215043394406968E-2</v>
      </c>
    </row>
    <row r="341" spans="1:4" x14ac:dyDescent="0.2">
      <c r="A341" s="61">
        <v>34700</v>
      </c>
      <c r="B341" s="68">
        <f>VLOOKUP(Table4[[#This Row],[Date]],Database!A:E,3,)</f>
        <v>105.7</v>
      </c>
      <c r="C341" s="14">
        <f t="shared" si="10"/>
        <v>-1.8885741265344932E-3</v>
      </c>
      <c r="D341" s="14">
        <f t="shared" si="11"/>
        <v>2.8210116731517566E-2</v>
      </c>
    </row>
    <row r="342" spans="1:4" x14ac:dyDescent="0.2">
      <c r="A342" s="61">
        <v>34731</v>
      </c>
      <c r="B342" s="68">
        <f>VLOOKUP(Table4[[#This Row],[Date]],Database!A:E,3,)</f>
        <v>105.8</v>
      </c>
      <c r="C342" s="14">
        <f t="shared" si="10"/>
        <v>9.4607379375585918E-4</v>
      </c>
      <c r="D342" s="14">
        <f t="shared" si="11"/>
        <v>1.6330451488952957E-2</v>
      </c>
    </row>
    <row r="343" spans="1:4" x14ac:dyDescent="0.2">
      <c r="A343" s="61">
        <v>34759</v>
      </c>
      <c r="B343" s="68">
        <f>VLOOKUP(Table4[[#This Row],[Date]],Database!A:E,3,)</f>
        <v>105.5</v>
      </c>
      <c r="C343" s="14">
        <f t="shared" si="10"/>
        <v>-2.8355387523629223E-3</v>
      </c>
      <c r="D343" s="14">
        <f t="shared" si="11"/>
        <v>1.1505273250239721E-2</v>
      </c>
    </row>
    <row r="344" spans="1:4" x14ac:dyDescent="0.2">
      <c r="A344" s="61">
        <v>34790</v>
      </c>
      <c r="B344" s="68">
        <f>VLOOKUP(Table4[[#This Row],[Date]],Database!A:E,3,)</f>
        <v>105.6</v>
      </c>
      <c r="C344" s="14">
        <f t="shared" si="10"/>
        <v>9.478672985781452E-4</v>
      </c>
      <c r="D344" s="14">
        <f t="shared" si="11"/>
        <v>1.8322082931533187E-2</v>
      </c>
    </row>
    <row r="345" spans="1:4" x14ac:dyDescent="0.2">
      <c r="A345" s="61">
        <v>34820</v>
      </c>
      <c r="B345" s="68">
        <f>VLOOKUP(Table4[[#This Row],[Date]],Database!A:E,3,)</f>
        <v>105.8</v>
      </c>
      <c r="C345" s="14">
        <f t="shared" si="10"/>
        <v>1.8939393939394209E-3</v>
      </c>
      <c r="D345" s="14">
        <f t="shared" si="11"/>
        <v>2.9182879377431907E-2</v>
      </c>
    </row>
    <row r="346" spans="1:4" x14ac:dyDescent="0.2">
      <c r="A346" s="61">
        <v>34851</v>
      </c>
      <c r="B346" s="68">
        <f>VLOOKUP(Table4[[#This Row],[Date]],Database!A:E,3,)</f>
        <v>106.7</v>
      </c>
      <c r="C346" s="14">
        <f t="shared" si="10"/>
        <v>8.5066162570889003E-3</v>
      </c>
      <c r="D346" s="14">
        <f t="shared" si="11"/>
        <v>3.4917555771096107E-2</v>
      </c>
    </row>
    <row r="347" spans="1:4" x14ac:dyDescent="0.2">
      <c r="A347" s="61">
        <v>34881</v>
      </c>
      <c r="B347" s="68">
        <f>VLOOKUP(Table4[[#This Row],[Date]],Database!A:E,3,)</f>
        <v>105.8</v>
      </c>
      <c r="C347" s="14">
        <f t="shared" si="10"/>
        <v>-8.4348641049672504E-3</v>
      </c>
      <c r="D347" s="14">
        <f t="shared" si="11"/>
        <v>1.2440191387559781E-2</v>
      </c>
    </row>
    <row r="348" spans="1:4" x14ac:dyDescent="0.2">
      <c r="A348" s="61">
        <v>34912</v>
      </c>
      <c r="B348" s="68">
        <f>VLOOKUP(Table4[[#This Row],[Date]],Database!A:E,3,)</f>
        <v>105.6</v>
      </c>
      <c r="C348" s="14">
        <f t="shared" si="10"/>
        <v>-1.8903591682419929E-3</v>
      </c>
      <c r="D348" s="14">
        <f t="shared" si="11"/>
        <v>-1.0309278350515544E-2</v>
      </c>
    </row>
    <row r="349" spans="1:4" x14ac:dyDescent="0.2">
      <c r="A349" s="61">
        <v>34943</v>
      </c>
      <c r="B349" s="68">
        <f>VLOOKUP(Table4[[#This Row],[Date]],Database!A:E,3,)</f>
        <v>104.1</v>
      </c>
      <c r="C349" s="14">
        <f t="shared" si="10"/>
        <v>-1.4204545454545456E-2</v>
      </c>
      <c r="D349" s="14">
        <f t="shared" si="11"/>
        <v>-1.8850141376060323E-2</v>
      </c>
    </row>
    <row r="350" spans="1:4" x14ac:dyDescent="0.2">
      <c r="A350" s="61">
        <v>34973</v>
      </c>
      <c r="B350" s="68">
        <f>VLOOKUP(Table4[[#This Row],[Date]],Database!A:E,3,)</f>
        <v>104.4</v>
      </c>
      <c r="C350" s="14">
        <f t="shared" si="10"/>
        <v>2.8818443804035677E-3</v>
      </c>
      <c r="D350" s="14">
        <f t="shared" si="11"/>
        <v>-1.2298959318826842E-2</v>
      </c>
    </row>
    <row r="351" spans="1:4" x14ac:dyDescent="0.2">
      <c r="A351" s="61">
        <v>35004</v>
      </c>
      <c r="B351" s="68">
        <f>VLOOKUP(Table4[[#This Row],[Date]],Database!A:E,3,)</f>
        <v>103.4</v>
      </c>
      <c r="C351" s="14">
        <f t="shared" si="10"/>
        <v>-9.5785440613026813E-3</v>
      </c>
      <c r="D351" s="14">
        <f t="shared" si="11"/>
        <v>-2.5447690857681327E-2</v>
      </c>
    </row>
    <row r="352" spans="1:4" x14ac:dyDescent="0.2">
      <c r="A352" s="61">
        <v>35034</v>
      </c>
      <c r="B352" s="68">
        <f>VLOOKUP(Table4[[#This Row],[Date]],Database!A:E,3,)</f>
        <v>104.4</v>
      </c>
      <c r="C352" s="14">
        <f t="shared" si="10"/>
        <v>9.6711798839458404E-3</v>
      </c>
      <c r="D352" s="14">
        <f t="shared" si="11"/>
        <v>-1.4164305949008497E-2</v>
      </c>
    </row>
    <row r="353" spans="1:4" x14ac:dyDescent="0.2">
      <c r="A353" s="61">
        <v>35065</v>
      </c>
      <c r="B353" s="68">
        <f>VLOOKUP(Table4[[#This Row],[Date]],Database!A:E,3,)</f>
        <v>106.9</v>
      </c>
      <c r="C353" s="14">
        <f t="shared" si="10"/>
        <v>2.3946360153256702E-2</v>
      </c>
      <c r="D353" s="14">
        <f t="shared" si="11"/>
        <v>1.1352885525070982E-2</v>
      </c>
    </row>
    <row r="354" spans="1:4" x14ac:dyDescent="0.2">
      <c r="A354" s="61">
        <v>35096</v>
      </c>
      <c r="B354" s="68">
        <f>VLOOKUP(Table4[[#This Row],[Date]],Database!A:E,3,)</f>
        <v>107.1</v>
      </c>
      <c r="C354" s="14">
        <f t="shared" si="10"/>
        <v>1.8709073900840844E-3</v>
      </c>
      <c r="D354" s="14">
        <f t="shared" si="11"/>
        <v>1.2287334593572752E-2</v>
      </c>
    </row>
    <row r="355" spans="1:4" x14ac:dyDescent="0.2">
      <c r="A355" s="61">
        <v>35125</v>
      </c>
      <c r="B355" s="68">
        <f>VLOOKUP(Table4[[#This Row],[Date]],Database!A:E,3,)</f>
        <v>108.3</v>
      </c>
      <c r="C355" s="14">
        <f t="shared" si="10"/>
        <v>1.1204481792717115E-2</v>
      </c>
      <c r="D355" s="14">
        <f t="shared" si="11"/>
        <v>2.6540284360189546E-2</v>
      </c>
    </row>
    <row r="356" spans="1:4" x14ac:dyDescent="0.2">
      <c r="A356" s="61">
        <v>35156</v>
      </c>
      <c r="B356" s="68">
        <f>VLOOKUP(Table4[[#This Row],[Date]],Database!A:E,3,)</f>
        <v>111.2</v>
      </c>
      <c r="C356" s="14">
        <f t="shared" si="10"/>
        <v>2.6777469990766443E-2</v>
      </c>
      <c r="D356" s="14">
        <f t="shared" si="11"/>
        <v>5.3030303030303115E-2</v>
      </c>
    </row>
    <row r="357" spans="1:4" x14ac:dyDescent="0.2">
      <c r="A357" s="61">
        <v>35186</v>
      </c>
      <c r="B357" s="68">
        <f>VLOOKUP(Table4[[#This Row],[Date]],Database!A:E,3,)</f>
        <v>112</v>
      </c>
      <c r="C357" s="14">
        <f t="shared" si="10"/>
        <v>7.1942446043165211E-3</v>
      </c>
      <c r="D357" s="14">
        <f t="shared" si="11"/>
        <v>5.860113421550097E-2</v>
      </c>
    </row>
    <row r="358" spans="1:4" x14ac:dyDescent="0.2">
      <c r="A358" s="61">
        <v>35217</v>
      </c>
      <c r="B358" s="68">
        <f>VLOOKUP(Table4[[#This Row],[Date]],Database!A:E,3,)</f>
        <v>110.3</v>
      </c>
      <c r="C358" s="14">
        <f t="shared" si="10"/>
        <v>-1.5178571428571454E-2</v>
      </c>
      <c r="D358" s="14">
        <f t="shared" si="11"/>
        <v>3.3739456419868738E-2</v>
      </c>
    </row>
    <row r="359" spans="1:4" x14ac:dyDescent="0.2">
      <c r="A359" s="61">
        <v>35247</v>
      </c>
      <c r="B359" s="68">
        <f>VLOOKUP(Table4[[#This Row],[Date]],Database!A:E,3,)</f>
        <v>110.1</v>
      </c>
      <c r="C359" s="14">
        <f t="shared" si="10"/>
        <v>-1.8132366273798989E-3</v>
      </c>
      <c r="D359" s="14">
        <f t="shared" si="11"/>
        <v>4.064272211720224E-2</v>
      </c>
    </row>
    <row r="360" spans="1:4" x14ac:dyDescent="0.2">
      <c r="A360" s="61">
        <v>35278</v>
      </c>
      <c r="B360" s="68">
        <f>VLOOKUP(Table4[[#This Row],[Date]],Database!A:E,3,)</f>
        <v>109.7</v>
      </c>
      <c r="C360" s="14">
        <f t="shared" si="10"/>
        <v>-3.6330608537692233E-3</v>
      </c>
      <c r="D360" s="14">
        <f t="shared" si="11"/>
        <v>3.8825757575757659E-2</v>
      </c>
    </row>
    <row r="361" spans="1:4" x14ac:dyDescent="0.2">
      <c r="A361" s="61">
        <v>35309</v>
      </c>
      <c r="B361" s="68">
        <f>VLOOKUP(Table4[[#This Row],[Date]],Database!A:E,3,)</f>
        <v>109.8</v>
      </c>
      <c r="C361" s="14">
        <f t="shared" si="10"/>
        <v>9.1157702825883603E-4</v>
      </c>
      <c r="D361" s="14">
        <f t="shared" si="11"/>
        <v>5.4755043227665737E-2</v>
      </c>
    </row>
    <row r="362" spans="1:4" x14ac:dyDescent="0.2">
      <c r="A362" s="61">
        <v>35339</v>
      </c>
      <c r="B362" s="68">
        <f>VLOOKUP(Table4[[#This Row],[Date]],Database!A:E,3,)</f>
        <v>110.5</v>
      </c>
      <c r="C362" s="14">
        <f t="shared" si="10"/>
        <v>6.375227686703123E-3</v>
      </c>
      <c r="D362" s="14">
        <f t="shared" si="11"/>
        <v>5.8429118773946305E-2</v>
      </c>
    </row>
    <row r="363" spans="1:4" x14ac:dyDescent="0.2">
      <c r="A363" s="61">
        <v>35370</v>
      </c>
      <c r="B363" s="68">
        <f>VLOOKUP(Table4[[#This Row],[Date]],Database!A:E,3,)</f>
        <v>111.8</v>
      </c>
      <c r="C363" s="14">
        <f t="shared" si="10"/>
        <v>1.1764705882352915E-2</v>
      </c>
      <c r="D363" s="14">
        <f t="shared" si="11"/>
        <v>8.1237911025144979E-2</v>
      </c>
    </row>
    <row r="364" spans="1:4" x14ac:dyDescent="0.2">
      <c r="A364" s="61">
        <v>35400</v>
      </c>
      <c r="B364" s="68">
        <f>VLOOKUP(Table4[[#This Row],[Date]],Database!A:E,3,)</f>
        <v>113.9</v>
      </c>
      <c r="C364" s="14">
        <f t="shared" si="10"/>
        <v>1.8783542039356071E-2</v>
      </c>
      <c r="D364" s="14">
        <f t="shared" si="11"/>
        <v>9.099616858237547E-2</v>
      </c>
    </row>
    <row r="365" spans="1:4" x14ac:dyDescent="0.2">
      <c r="A365" s="61">
        <v>35431</v>
      </c>
      <c r="B365" s="68">
        <f>VLOOKUP(Table4[[#This Row],[Date]],Database!A:E,3,)</f>
        <v>115.2</v>
      </c>
      <c r="C365" s="14">
        <f t="shared" si="10"/>
        <v>1.1413520632133425E-2</v>
      </c>
      <c r="D365" s="14">
        <f t="shared" si="11"/>
        <v>7.7642656688493891E-2</v>
      </c>
    </row>
    <row r="366" spans="1:4" x14ac:dyDescent="0.2">
      <c r="A366" s="61">
        <v>35462</v>
      </c>
      <c r="B366" s="68">
        <f>VLOOKUP(Table4[[#This Row],[Date]],Database!A:E,3,)</f>
        <v>115</v>
      </c>
      <c r="C366" s="14">
        <f t="shared" si="10"/>
        <v>-1.7361111111111357E-3</v>
      </c>
      <c r="D366" s="14">
        <f t="shared" si="11"/>
        <v>7.3762838468720879E-2</v>
      </c>
    </row>
    <row r="367" spans="1:4" x14ac:dyDescent="0.2">
      <c r="A367" s="61">
        <v>35490</v>
      </c>
      <c r="B367" s="68">
        <f>VLOOKUP(Table4[[#This Row],[Date]],Database!A:E,3,)</f>
        <v>113</v>
      </c>
      <c r="C367" s="14">
        <f t="shared" si="10"/>
        <v>-1.7391304347826087E-2</v>
      </c>
      <c r="D367" s="14">
        <f t="shared" si="11"/>
        <v>4.3397968605724868E-2</v>
      </c>
    </row>
    <row r="368" spans="1:4" x14ac:dyDescent="0.2">
      <c r="A368" s="61">
        <v>35521</v>
      </c>
      <c r="B368" s="68">
        <f>VLOOKUP(Table4[[#This Row],[Date]],Database!A:E,3,)</f>
        <v>111</v>
      </c>
      <c r="C368" s="14">
        <f t="shared" si="10"/>
        <v>-1.7699115044247787E-2</v>
      </c>
      <c r="D368" s="14">
        <f t="shared" si="11"/>
        <v>-1.7985611510791622E-3</v>
      </c>
    </row>
    <row r="369" spans="1:4" x14ac:dyDescent="0.2">
      <c r="A369" s="61">
        <v>35551</v>
      </c>
      <c r="B369" s="68">
        <f>VLOOKUP(Table4[[#This Row],[Date]],Database!A:E,3,)</f>
        <v>108.8</v>
      </c>
      <c r="C369" s="14">
        <f t="shared" si="10"/>
        <v>-1.9819819819819846E-2</v>
      </c>
      <c r="D369" s="14">
        <f t="shared" si="11"/>
        <v>-2.8571428571428598E-2</v>
      </c>
    </row>
    <row r="370" spans="1:4" x14ac:dyDescent="0.2">
      <c r="A370" s="61">
        <v>35582</v>
      </c>
      <c r="B370" s="68">
        <f>VLOOKUP(Table4[[#This Row],[Date]],Database!A:E,3,)</f>
        <v>110</v>
      </c>
      <c r="C370" s="14">
        <f t="shared" si="10"/>
        <v>1.1029411764705909E-2</v>
      </c>
      <c r="D370" s="14">
        <f t="shared" si="11"/>
        <v>-2.719854941069784E-3</v>
      </c>
    </row>
    <row r="371" spans="1:4" x14ac:dyDescent="0.2">
      <c r="A371" s="61">
        <v>35612</v>
      </c>
      <c r="B371" s="68">
        <f>VLOOKUP(Table4[[#This Row],[Date]],Database!A:E,3,)</f>
        <v>109.1</v>
      </c>
      <c r="C371" s="14">
        <f t="shared" si="10"/>
        <v>-8.1818181818182328E-3</v>
      </c>
      <c r="D371" s="14">
        <f t="shared" si="11"/>
        <v>-9.0826521344232521E-3</v>
      </c>
    </row>
    <row r="372" spans="1:4" x14ac:dyDescent="0.2">
      <c r="A372" s="61">
        <v>35643</v>
      </c>
      <c r="B372" s="68">
        <f>VLOOKUP(Table4[[#This Row],[Date]],Database!A:E,3,)</f>
        <v>110.9</v>
      </c>
      <c r="C372" s="14">
        <f t="shared" si="10"/>
        <v>1.6498625114573891E-2</v>
      </c>
      <c r="D372" s="14">
        <f t="shared" si="11"/>
        <v>1.0938924339106679E-2</v>
      </c>
    </row>
    <row r="373" spans="1:4" x14ac:dyDescent="0.2">
      <c r="A373" s="61">
        <v>35674</v>
      </c>
      <c r="B373" s="68">
        <f>VLOOKUP(Table4[[#This Row],[Date]],Database!A:E,3,)</f>
        <v>112.4</v>
      </c>
      <c r="C373" s="14">
        <f t="shared" si="10"/>
        <v>1.3525698827772768E-2</v>
      </c>
      <c r="D373" s="14">
        <f t="shared" si="11"/>
        <v>2.367941712204015E-2</v>
      </c>
    </row>
    <row r="374" spans="1:4" x14ac:dyDescent="0.2">
      <c r="A374" s="61">
        <v>35704</v>
      </c>
      <c r="B374" s="68">
        <f>VLOOKUP(Table4[[#This Row],[Date]],Database!A:E,3,)</f>
        <v>111.8</v>
      </c>
      <c r="C374" s="14">
        <f t="shared" si="10"/>
        <v>-5.3380782918150222E-3</v>
      </c>
      <c r="D374" s="14">
        <f t="shared" si="11"/>
        <v>1.1764705882352915E-2</v>
      </c>
    </row>
    <row r="375" spans="1:4" x14ac:dyDescent="0.2">
      <c r="A375" s="61">
        <v>35735</v>
      </c>
      <c r="B375" s="68">
        <f>VLOOKUP(Table4[[#This Row],[Date]],Database!A:E,3,)</f>
        <v>111.4</v>
      </c>
      <c r="C375" s="14">
        <f t="shared" si="10"/>
        <v>-3.5778175313058271E-3</v>
      </c>
      <c r="D375" s="14">
        <f t="shared" si="11"/>
        <v>-3.5778175313058271E-3</v>
      </c>
    </row>
    <row r="376" spans="1:4" x14ac:dyDescent="0.2">
      <c r="A376" s="61">
        <v>35765</v>
      </c>
      <c r="B376" s="68">
        <f>VLOOKUP(Table4[[#This Row],[Date]],Database!A:E,3,)</f>
        <v>109.8</v>
      </c>
      <c r="C376" s="14">
        <f t="shared" si="10"/>
        <v>-1.4362657091562014E-2</v>
      </c>
      <c r="D376" s="14">
        <f t="shared" si="11"/>
        <v>-3.5996488147497875E-2</v>
      </c>
    </row>
    <row r="377" spans="1:4" x14ac:dyDescent="0.2">
      <c r="A377" s="61">
        <v>35796</v>
      </c>
      <c r="B377" s="68">
        <f>VLOOKUP(Table4[[#This Row],[Date]],Database!A:E,3,)</f>
        <v>107.5</v>
      </c>
      <c r="C377" s="14">
        <f t="shared" si="10"/>
        <v>-2.0947176684881576E-2</v>
      </c>
      <c r="D377" s="14">
        <f t="shared" si="11"/>
        <v>-6.6840277777777804E-2</v>
      </c>
    </row>
    <row r="378" spans="1:4" x14ac:dyDescent="0.2">
      <c r="A378" s="61">
        <v>35827</v>
      </c>
      <c r="B378" s="68">
        <f>VLOOKUP(Table4[[#This Row],[Date]],Database!A:E,3,)</f>
        <v>105.1</v>
      </c>
      <c r="C378" s="14">
        <f t="shared" si="10"/>
        <v>-2.232558139534889E-2</v>
      </c>
      <c r="D378" s="14">
        <f t="shared" si="11"/>
        <v>-8.6086956521739186E-2</v>
      </c>
    </row>
    <row r="379" spans="1:4" x14ac:dyDescent="0.2">
      <c r="A379" s="61">
        <v>35855</v>
      </c>
      <c r="B379" s="68">
        <f>VLOOKUP(Table4[[#This Row],[Date]],Database!A:E,3,)</f>
        <v>103.3</v>
      </c>
      <c r="C379" s="14">
        <f t="shared" si="10"/>
        <v>-1.7126546146527092E-2</v>
      </c>
      <c r="D379" s="14">
        <f t="shared" si="11"/>
        <v>-8.584070796460179E-2</v>
      </c>
    </row>
    <row r="380" spans="1:4" x14ac:dyDescent="0.2">
      <c r="A380" s="61">
        <v>35886</v>
      </c>
      <c r="B380" s="68">
        <f>VLOOKUP(Table4[[#This Row],[Date]],Database!A:E,3,)</f>
        <v>102.4</v>
      </c>
      <c r="C380" s="14">
        <f t="shared" si="10"/>
        <v>-8.7124878993222795E-3</v>
      </c>
      <c r="D380" s="14">
        <f t="shared" si="11"/>
        <v>-7.7477477477477422E-2</v>
      </c>
    </row>
    <row r="381" spans="1:4" x14ac:dyDescent="0.2">
      <c r="A381" s="61">
        <v>35916</v>
      </c>
      <c r="B381" s="68">
        <f>VLOOKUP(Table4[[#This Row],[Date]],Database!A:E,3,)</f>
        <v>103.2</v>
      </c>
      <c r="C381" s="14">
        <f t="shared" si="10"/>
        <v>7.8124999999999722E-3</v>
      </c>
      <c r="D381" s="14">
        <f t="shared" si="11"/>
        <v>-5.1470588235294067E-2</v>
      </c>
    </row>
    <row r="382" spans="1:4" x14ac:dyDescent="0.2">
      <c r="A382" s="61">
        <v>35947</v>
      </c>
      <c r="B382" s="68">
        <f>VLOOKUP(Table4[[#This Row],[Date]],Database!A:E,3,)</f>
        <v>103.6</v>
      </c>
      <c r="C382" s="14">
        <f t="shared" si="10"/>
        <v>3.8759689922479791E-3</v>
      </c>
      <c r="D382" s="14">
        <f t="shared" si="11"/>
        <v>-5.818181818181823E-2</v>
      </c>
    </row>
    <row r="383" spans="1:4" x14ac:dyDescent="0.2">
      <c r="A383" s="61">
        <v>35977</v>
      </c>
      <c r="B383" s="68">
        <f>VLOOKUP(Table4[[#This Row],[Date]],Database!A:E,3,)</f>
        <v>103.3</v>
      </c>
      <c r="C383" s="14">
        <f t="shared" si="10"/>
        <v>-2.8957528957528683E-3</v>
      </c>
      <c r="D383" s="14">
        <f t="shared" si="11"/>
        <v>-5.3162236480293286E-2</v>
      </c>
    </row>
    <row r="384" spans="1:4" x14ac:dyDescent="0.2">
      <c r="A384" s="61">
        <v>36008</v>
      </c>
      <c r="B384" s="68">
        <f>VLOOKUP(Table4[[#This Row],[Date]],Database!A:E,3,)</f>
        <v>102.1</v>
      </c>
      <c r="C384" s="14">
        <f t="shared" si="10"/>
        <v>-1.1616650532429844E-2</v>
      </c>
      <c r="D384" s="14">
        <f t="shared" si="11"/>
        <v>-7.9350766456267E-2</v>
      </c>
    </row>
    <row r="385" spans="1:4" x14ac:dyDescent="0.2">
      <c r="A385" s="61">
        <v>36039</v>
      </c>
      <c r="B385" s="68">
        <f>VLOOKUP(Table4[[#This Row],[Date]],Database!A:E,3,)</f>
        <v>101.3</v>
      </c>
      <c r="C385" s="14">
        <f t="shared" si="10"/>
        <v>-7.8354554358471811E-3</v>
      </c>
      <c r="D385" s="14">
        <f t="shared" si="11"/>
        <v>-9.8754448398576583E-2</v>
      </c>
    </row>
    <row r="386" spans="1:4" x14ac:dyDescent="0.2">
      <c r="A386" s="61">
        <v>36069</v>
      </c>
      <c r="B386" s="68">
        <f>VLOOKUP(Table4[[#This Row],[Date]],Database!A:E,3,)</f>
        <v>101.5</v>
      </c>
      <c r="C386" s="14">
        <f t="shared" si="10"/>
        <v>1.9743336623889718E-3</v>
      </c>
      <c r="D386" s="14">
        <f t="shared" si="11"/>
        <v>-9.2128801431126991E-2</v>
      </c>
    </row>
    <row r="387" spans="1:4" x14ac:dyDescent="0.2">
      <c r="A387" s="61">
        <v>36100</v>
      </c>
      <c r="B387" s="68">
        <f>VLOOKUP(Table4[[#This Row],[Date]],Database!A:E,3,)</f>
        <v>101.1</v>
      </c>
      <c r="C387" s="14">
        <f t="shared" si="10"/>
        <v>-3.9408866995074452E-3</v>
      </c>
      <c r="D387" s="14">
        <f t="shared" si="11"/>
        <v>-9.2459605026930083E-2</v>
      </c>
    </row>
    <row r="388" spans="1:4" x14ac:dyDescent="0.2">
      <c r="A388" s="61">
        <v>36130</v>
      </c>
      <c r="B388" s="68">
        <f>VLOOKUP(Table4[[#This Row],[Date]],Database!A:E,3,)</f>
        <v>100.1</v>
      </c>
      <c r="C388" s="14">
        <f t="shared" si="10"/>
        <v>-9.8911968348170138E-3</v>
      </c>
      <c r="D388" s="14">
        <f t="shared" si="11"/>
        <v>-8.8342440801457228E-2</v>
      </c>
    </row>
    <row r="389" spans="1:4" x14ac:dyDescent="0.2">
      <c r="A389" s="61">
        <v>36161</v>
      </c>
      <c r="B389" s="68">
        <f>VLOOKUP(Table4[[#This Row],[Date]],Database!A:E,3,)</f>
        <v>99.7</v>
      </c>
      <c r="C389" s="14">
        <f t="shared" si="10"/>
        <v>-3.996003996003911E-3</v>
      </c>
      <c r="D389" s="14">
        <f t="shared" si="11"/>
        <v>-7.25581395348837E-2</v>
      </c>
    </row>
    <row r="390" spans="1:4" x14ac:dyDescent="0.2">
      <c r="A390" s="61">
        <v>36192</v>
      </c>
      <c r="B390" s="68">
        <f>VLOOKUP(Table4[[#This Row],[Date]],Database!A:E,3,)</f>
        <v>99.2</v>
      </c>
      <c r="C390" s="14">
        <f t="shared" ref="C390:C453" si="12">(B390-B389)/B389</f>
        <v>-5.0150451354062184E-3</v>
      </c>
      <c r="D390" s="14">
        <f t="shared" si="11"/>
        <v>-5.6137012369172137E-2</v>
      </c>
    </row>
    <row r="391" spans="1:4" x14ac:dyDescent="0.2">
      <c r="A391" s="61">
        <v>36220</v>
      </c>
      <c r="B391" s="68">
        <f>VLOOKUP(Table4[[#This Row],[Date]],Database!A:E,3,)</f>
        <v>100.4</v>
      </c>
      <c r="C391" s="14">
        <f t="shared" si="12"/>
        <v>1.2096774193548416E-2</v>
      </c>
      <c r="D391" s="14">
        <f t="shared" si="11"/>
        <v>-2.807357212003864E-2</v>
      </c>
    </row>
    <row r="392" spans="1:4" x14ac:dyDescent="0.2">
      <c r="A392" s="61">
        <v>36251</v>
      </c>
      <c r="B392" s="68">
        <f>VLOOKUP(Table4[[#This Row],[Date]],Database!A:E,3,)</f>
        <v>105.5</v>
      </c>
      <c r="C392" s="14">
        <f t="shared" si="12"/>
        <v>5.0796812749003925E-2</v>
      </c>
      <c r="D392" s="14">
        <f t="shared" si="11"/>
        <v>3.0273437499999944E-2</v>
      </c>
    </row>
    <row r="393" spans="1:4" x14ac:dyDescent="0.2">
      <c r="A393" s="61">
        <v>36281</v>
      </c>
      <c r="B393" s="68">
        <f>VLOOKUP(Table4[[#This Row],[Date]],Database!A:E,3,)</f>
        <v>104.9</v>
      </c>
      <c r="C393" s="14">
        <f t="shared" si="12"/>
        <v>-5.6872037914691403E-3</v>
      </c>
      <c r="D393" s="14">
        <f t="shared" si="11"/>
        <v>1.6472868217054289E-2</v>
      </c>
    </row>
    <row r="394" spans="1:4" x14ac:dyDescent="0.2">
      <c r="A394" s="61">
        <v>36312</v>
      </c>
      <c r="B394" s="68">
        <f>VLOOKUP(Table4[[#This Row],[Date]],Database!A:E,3,)</f>
        <v>104.5</v>
      </c>
      <c r="C394" s="14">
        <f t="shared" si="12"/>
        <v>-3.8131553860820369E-3</v>
      </c>
      <c r="D394" s="14">
        <f t="shared" si="11"/>
        <v>8.6872586872587428E-3</v>
      </c>
    </row>
    <row r="395" spans="1:4" x14ac:dyDescent="0.2">
      <c r="A395" s="61">
        <v>36342</v>
      </c>
      <c r="B395" s="68">
        <f>VLOOKUP(Table4[[#This Row],[Date]],Database!A:E,3,)</f>
        <v>106.7</v>
      </c>
      <c r="C395" s="14">
        <f t="shared" si="12"/>
        <v>2.1052631578947396E-2</v>
      </c>
      <c r="D395" s="14">
        <f t="shared" si="11"/>
        <v>3.2913843175217866E-2</v>
      </c>
    </row>
    <row r="396" spans="1:4" x14ac:dyDescent="0.2">
      <c r="A396" s="61">
        <v>36373</v>
      </c>
      <c r="B396" s="68">
        <f>VLOOKUP(Table4[[#This Row],[Date]],Database!A:E,3,)</f>
        <v>109.5</v>
      </c>
      <c r="C396" s="14">
        <f t="shared" si="12"/>
        <v>2.6241799437675697E-2</v>
      </c>
      <c r="D396" s="14">
        <f t="shared" si="11"/>
        <v>7.2477962781586733E-2</v>
      </c>
    </row>
    <row r="397" spans="1:4" x14ac:dyDescent="0.2">
      <c r="A397" s="61">
        <v>36404</v>
      </c>
      <c r="B397" s="68">
        <f>VLOOKUP(Table4[[#This Row],[Date]],Database!A:E,3,)</f>
        <v>111.8</v>
      </c>
      <c r="C397" s="14">
        <f t="shared" si="12"/>
        <v>2.1004566210045636E-2</v>
      </c>
      <c r="D397" s="14">
        <f t="shared" si="11"/>
        <v>0.10365251727541955</v>
      </c>
    </row>
    <row r="398" spans="1:4" x14ac:dyDescent="0.2">
      <c r="A398" s="61">
        <v>36434</v>
      </c>
      <c r="B398" s="68">
        <f>VLOOKUP(Table4[[#This Row],[Date]],Database!A:E,3,)</f>
        <v>112</v>
      </c>
      <c r="C398" s="14">
        <f t="shared" si="12"/>
        <v>1.7889087656529771E-3</v>
      </c>
      <c r="D398" s="14">
        <f t="shared" si="11"/>
        <v>0.10344827586206896</v>
      </c>
    </row>
    <row r="399" spans="1:4" x14ac:dyDescent="0.2">
      <c r="A399" s="61">
        <v>36465</v>
      </c>
      <c r="B399" s="68">
        <f>VLOOKUP(Table4[[#This Row],[Date]],Database!A:E,3,)</f>
        <v>111.5</v>
      </c>
      <c r="C399" s="14">
        <f t="shared" si="12"/>
        <v>-4.464285714285714E-3</v>
      </c>
      <c r="D399" s="14">
        <f t="shared" si="11"/>
        <v>0.102868447082097</v>
      </c>
    </row>
    <row r="400" spans="1:4" x14ac:dyDescent="0.2">
      <c r="A400" s="61">
        <v>36495</v>
      </c>
      <c r="B400" s="68">
        <f>VLOOKUP(Table4[[#This Row],[Date]],Database!A:E,3,)</f>
        <v>113.8</v>
      </c>
      <c r="C400" s="14">
        <f t="shared" si="12"/>
        <v>2.0627802690582935E-2</v>
      </c>
      <c r="D400" s="14">
        <f t="shared" si="11"/>
        <v>0.13686313686313689</v>
      </c>
    </row>
    <row r="401" spans="1:4" x14ac:dyDescent="0.2">
      <c r="A401" s="61">
        <v>36526</v>
      </c>
      <c r="B401" s="68">
        <f>VLOOKUP(Table4[[#This Row],[Date]],Database!A:E,3,)</f>
        <v>115</v>
      </c>
      <c r="C401" s="14">
        <f t="shared" si="12"/>
        <v>1.0544815465729374E-2</v>
      </c>
      <c r="D401" s="14">
        <f t="shared" ref="D401:D464" si="13">(B401-B389)/B389</f>
        <v>0.15346038114343025</v>
      </c>
    </row>
    <row r="402" spans="1:4" x14ac:dyDescent="0.2">
      <c r="A402" s="61">
        <v>36557</v>
      </c>
      <c r="B402" s="68">
        <f>VLOOKUP(Table4[[#This Row],[Date]],Database!A:E,3,)</f>
        <v>118.8</v>
      </c>
      <c r="C402" s="14">
        <f t="shared" si="12"/>
        <v>3.3043478260869542E-2</v>
      </c>
      <c r="D402" s="14">
        <f t="shared" si="13"/>
        <v>0.19758064516129026</v>
      </c>
    </row>
    <row r="403" spans="1:4" x14ac:dyDescent="0.2">
      <c r="A403" s="61">
        <v>36586</v>
      </c>
      <c r="B403" s="68">
        <f>VLOOKUP(Table4[[#This Row],[Date]],Database!A:E,3,)</f>
        <v>124.3</v>
      </c>
      <c r="C403" s="14">
        <f t="shared" si="12"/>
        <v>4.6296296296296301E-2</v>
      </c>
      <c r="D403" s="14">
        <f t="shared" si="13"/>
        <v>0.23804780876494014</v>
      </c>
    </row>
    <row r="404" spans="1:4" x14ac:dyDescent="0.2">
      <c r="A404" s="61">
        <v>36617</v>
      </c>
      <c r="B404" s="68">
        <f>VLOOKUP(Table4[[#This Row],[Date]],Database!A:E,3,)</f>
        <v>120.9</v>
      </c>
      <c r="C404" s="14">
        <f t="shared" si="12"/>
        <v>-2.7353177795655603E-2</v>
      </c>
      <c r="D404" s="14">
        <f t="shared" si="13"/>
        <v>0.14597156398104272</v>
      </c>
    </row>
    <row r="405" spans="1:4" x14ac:dyDescent="0.2">
      <c r="A405" s="61">
        <v>36647</v>
      </c>
      <c r="B405" s="68">
        <f>VLOOKUP(Table4[[#This Row],[Date]],Database!A:E,3,)</f>
        <v>120</v>
      </c>
      <c r="C405" s="14">
        <f t="shared" si="12"/>
        <v>-7.444168734491362E-3</v>
      </c>
      <c r="D405" s="14">
        <f t="shared" si="13"/>
        <v>0.14394661582459478</v>
      </c>
    </row>
    <row r="406" spans="1:4" x14ac:dyDescent="0.2">
      <c r="A406" s="61">
        <v>36678</v>
      </c>
      <c r="B406" s="68">
        <f>VLOOKUP(Table4[[#This Row],[Date]],Database!A:E,3,)</f>
        <v>126.8</v>
      </c>
      <c r="C406" s="14">
        <f t="shared" si="12"/>
        <v>5.6666666666666643E-2</v>
      </c>
      <c r="D406" s="14">
        <f t="shared" si="13"/>
        <v>0.21339712918660284</v>
      </c>
    </row>
    <row r="407" spans="1:4" x14ac:dyDescent="0.2">
      <c r="A407" s="61">
        <v>36708</v>
      </c>
      <c r="B407" s="68">
        <f>VLOOKUP(Table4[[#This Row],[Date]],Database!A:E,3,)</f>
        <v>127.3</v>
      </c>
      <c r="C407" s="14">
        <f t="shared" si="12"/>
        <v>3.9432176656151417E-3</v>
      </c>
      <c r="D407" s="14">
        <f t="shared" si="13"/>
        <v>0.19306466729147137</v>
      </c>
    </row>
    <row r="408" spans="1:4" x14ac:dyDescent="0.2">
      <c r="A408" s="61">
        <v>36739</v>
      </c>
      <c r="B408" s="68">
        <f>VLOOKUP(Table4[[#This Row],[Date]],Database!A:E,3,)</f>
        <v>123.8</v>
      </c>
      <c r="C408" s="14">
        <f t="shared" si="12"/>
        <v>-2.7494108405341715E-2</v>
      </c>
      <c r="D408" s="14">
        <f t="shared" si="13"/>
        <v>0.13059360730593605</v>
      </c>
    </row>
    <row r="409" spans="1:4" x14ac:dyDescent="0.2">
      <c r="A409" s="61">
        <v>36770</v>
      </c>
      <c r="B409" s="68">
        <f>VLOOKUP(Table4[[#This Row],[Date]],Database!A:E,3,)</f>
        <v>129.19999999999999</v>
      </c>
      <c r="C409" s="14">
        <f t="shared" si="12"/>
        <v>4.3618739903069401E-2</v>
      </c>
      <c r="D409" s="14">
        <f t="shared" si="13"/>
        <v>0.15563506261180673</v>
      </c>
    </row>
    <row r="410" spans="1:4" x14ac:dyDescent="0.2">
      <c r="A410" s="61">
        <v>36800</v>
      </c>
      <c r="B410" s="68">
        <f>VLOOKUP(Table4[[#This Row],[Date]],Database!A:E,3,)</f>
        <v>129.6</v>
      </c>
      <c r="C410" s="14">
        <f t="shared" si="12"/>
        <v>3.0959752321981868E-3</v>
      </c>
      <c r="D410" s="14">
        <f t="shared" si="13"/>
        <v>0.15714285714285708</v>
      </c>
    </row>
    <row r="411" spans="1:4" x14ac:dyDescent="0.2">
      <c r="A411" s="61">
        <v>36831</v>
      </c>
      <c r="B411" s="68">
        <f>VLOOKUP(Table4[[#This Row],[Date]],Database!A:E,3,)</f>
        <v>129.19999999999999</v>
      </c>
      <c r="C411" s="14">
        <f t="shared" si="12"/>
        <v>-3.0864197530864638E-3</v>
      </c>
      <c r="D411" s="14">
        <f t="shared" si="13"/>
        <v>0.15874439461883397</v>
      </c>
    </row>
    <row r="412" spans="1:4" x14ac:dyDescent="0.2">
      <c r="A412" s="61">
        <v>36861</v>
      </c>
      <c r="B412" s="68">
        <f>VLOOKUP(Table4[[#This Row],[Date]],Database!A:E,3,)</f>
        <v>130.1</v>
      </c>
      <c r="C412" s="14">
        <f t="shared" si="12"/>
        <v>6.9659442724458653E-3</v>
      </c>
      <c r="D412" s="14">
        <f t="shared" si="13"/>
        <v>0.1432337434094903</v>
      </c>
    </row>
    <row r="413" spans="1:4" x14ac:dyDescent="0.2">
      <c r="A413" s="61">
        <v>36892</v>
      </c>
      <c r="B413" s="68">
        <f>VLOOKUP(Table4[[#This Row],[Date]],Database!A:E,3,)</f>
        <v>135</v>
      </c>
      <c r="C413" s="14">
        <f t="shared" si="12"/>
        <v>3.7663335895465069E-2</v>
      </c>
      <c r="D413" s="14">
        <f t="shared" si="13"/>
        <v>0.17391304347826086</v>
      </c>
    </row>
    <row r="414" spans="1:4" x14ac:dyDescent="0.2">
      <c r="A414" s="61">
        <v>36923</v>
      </c>
      <c r="B414" s="68">
        <f>VLOOKUP(Table4[[#This Row],[Date]],Database!A:E,3,)</f>
        <v>134.1</v>
      </c>
      <c r="C414" s="14">
        <f t="shared" si="12"/>
        <v>-6.6666666666667087E-3</v>
      </c>
      <c r="D414" s="14">
        <f t="shared" si="13"/>
        <v>0.12878787878787876</v>
      </c>
    </row>
    <row r="415" spans="1:4" x14ac:dyDescent="0.2">
      <c r="A415" s="61">
        <v>36951</v>
      </c>
      <c r="B415" s="68">
        <f>VLOOKUP(Table4[[#This Row],[Date]],Database!A:E,3,)</f>
        <v>131.69999999999999</v>
      </c>
      <c r="C415" s="14">
        <f t="shared" si="12"/>
        <v>-1.7897091722595123E-2</v>
      </c>
      <c r="D415" s="14">
        <f t="shared" si="13"/>
        <v>5.9533386967015219E-2</v>
      </c>
    </row>
    <row r="416" spans="1:4" x14ac:dyDescent="0.2">
      <c r="A416" s="61">
        <v>36982</v>
      </c>
      <c r="B416" s="68">
        <f>VLOOKUP(Table4[[#This Row],[Date]],Database!A:E,3,)</f>
        <v>132.30000000000001</v>
      </c>
      <c r="C416" s="14">
        <f t="shared" si="12"/>
        <v>4.5558086560366197E-3</v>
      </c>
      <c r="D416" s="14">
        <f t="shared" si="13"/>
        <v>9.4292803970223368E-2</v>
      </c>
    </row>
    <row r="417" spans="1:4" x14ac:dyDescent="0.2">
      <c r="A417" s="61">
        <v>37012</v>
      </c>
      <c r="B417" s="68">
        <f>VLOOKUP(Table4[[#This Row],[Date]],Database!A:E,3,)</f>
        <v>138.4</v>
      </c>
      <c r="C417" s="14">
        <f t="shared" si="12"/>
        <v>4.6107331821617491E-2</v>
      </c>
      <c r="D417" s="14">
        <f t="shared" si="13"/>
        <v>0.15333333333333338</v>
      </c>
    </row>
    <row r="418" spans="1:4" x14ac:dyDescent="0.2">
      <c r="A418" s="61">
        <v>37043</v>
      </c>
      <c r="B418" s="68">
        <f>VLOOKUP(Table4[[#This Row],[Date]],Database!A:E,3,)</f>
        <v>136.9</v>
      </c>
      <c r="C418" s="14">
        <f t="shared" si="12"/>
        <v>-1.0838150289017341E-2</v>
      </c>
      <c r="D418" s="14">
        <f t="shared" si="13"/>
        <v>7.9652996845425941E-2</v>
      </c>
    </row>
    <row r="419" spans="1:4" x14ac:dyDescent="0.2">
      <c r="A419" s="61">
        <v>37073</v>
      </c>
      <c r="B419" s="68">
        <f>VLOOKUP(Table4[[#This Row],[Date]],Database!A:E,3,)</f>
        <v>129.6</v>
      </c>
      <c r="C419" s="14">
        <f t="shared" si="12"/>
        <v>-5.3323593864134489E-2</v>
      </c>
      <c r="D419" s="14">
        <f t="shared" si="13"/>
        <v>1.8067556952081676E-2</v>
      </c>
    </row>
    <row r="420" spans="1:4" x14ac:dyDescent="0.2">
      <c r="A420" s="61">
        <v>37104</v>
      </c>
      <c r="B420" s="68">
        <f>VLOOKUP(Table4[[#This Row],[Date]],Database!A:E,3,)</f>
        <v>127.3</v>
      </c>
      <c r="C420" s="14">
        <f t="shared" si="12"/>
        <v>-1.7746913580246892E-2</v>
      </c>
      <c r="D420" s="14">
        <f t="shared" si="13"/>
        <v>2.827140549273021E-2</v>
      </c>
    </row>
    <row r="421" spans="1:4" x14ac:dyDescent="0.2">
      <c r="A421" s="61">
        <v>37135</v>
      </c>
      <c r="B421" s="68">
        <f>VLOOKUP(Table4[[#This Row],[Date]],Database!A:E,3,)</f>
        <v>130.9</v>
      </c>
      <c r="C421" s="14">
        <f t="shared" si="12"/>
        <v>2.8279654359780113E-2</v>
      </c>
      <c r="D421" s="14">
        <f t="shared" si="13"/>
        <v>1.3157894736842238E-2</v>
      </c>
    </row>
    <row r="422" spans="1:4" x14ac:dyDescent="0.2">
      <c r="A422" s="61">
        <v>37165</v>
      </c>
      <c r="B422" s="68">
        <f>VLOOKUP(Table4[[#This Row],[Date]],Database!A:E,3,)</f>
        <v>122.9</v>
      </c>
      <c r="C422" s="14">
        <f t="shared" si="12"/>
        <v>-6.1115355233002287E-2</v>
      </c>
      <c r="D422" s="14">
        <f t="shared" si="13"/>
        <v>-5.1697530864197448E-2</v>
      </c>
    </row>
    <row r="423" spans="1:4" x14ac:dyDescent="0.2">
      <c r="A423" s="61">
        <v>37196</v>
      </c>
      <c r="B423" s="68">
        <f>VLOOKUP(Table4[[#This Row],[Date]],Database!A:E,3,)</f>
        <v>116.9</v>
      </c>
      <c r="C423" s="14">
        <f t="shared" si="12"/>
        <v>-4.8820179007323022E-2</v>
      </c>
      <c r="D423" s="14">
        <f t="shared" si="13"/>
        <v>-9.5201238390092757E-2</v>
      </c>
    </row>
    <row r="424" spans="1:4" x14ac:dyDescent="0.2">
      <c r="A424" s="61">
        <v>37226</v>
      </c>
      <c r="B424" s="68">
        <f>VLOOKUP(Table4[[#This Row],[Date]],Database!A:E,3,)</f>
        <v>113.9</v>
      </c>
      <c r="C424" s="14">
        <f t="shared" si="12"/>
        <v>-2.5662959794696322E-2</v>
      </c>
      <c r="D424" s="14">
        <f t="shared" si="13"/>
        <v>-0.12451960030745572</v>
      </c>
    </row>
    <row r="425" spans="1:4" x14ac:dyDescent="0.2">
      <c r="A425" s="61">
        <v>37257</v>
      </c>
      <c r="B425" s="68">
        <f>VLOOKUP(Table4[[#This Row],[Date]],Database!A:E,3,)</f>
        <v>114.2</v>
      </c>
      <c r="C425" s="14">
        <f t="shared" si="12"/>
        <v>2.6338893766461556E-3</v>
      </c>
      <c r="D425" s="14">
        <f t="shared" si="13"/>
        <v>-0.15407407407407406</v>
      </c>
    </row>
    <row r="426" spans="1:4" x14ac:dyDescent="0.2">
      <c r="A426" s="61">
        <v>37288</v>
      </c>
      <c r="B426" s="68">
        <f>VLOOKUP(Table4[[#This Row],[Date]],Database!A:E,3,)</f>
        <v>113.5</v>
      </c>
      <c r="C426" s="14">
        <f t="shared" si="12"/>
        <v>-6.1295971978984481E-3</v>
      </c>
      <c r="D426" s="14">
        <f t="shared" si="13"/>
        <v>-0.15361670395227439</v>
      </c>
    </row>
    <row r="427" spans="1:4" x14ac:dyDescent="0.2">
      <c r="A427" s="61">
        <v>37316</v>
      </c>
      <c r="B427" s="68">
        <f>VLOOKUP(Table4[[#This Row],[Date]],Database!A:E,3,)</f>
        <v>117.6</v>
      </c>
      <c r="C427" s="14">
        <f t="shared" si="12"/>
        <v>3.6123348017621099E-2</v>
      </c>
      <c r="D427" s="14">
        <f t="shared" si="13"/>
        <v>-0.10706150341685645</v>
      </c>
    </row>
    <row r="428" spans="1:4" x14ac:dyDescent="0.2">
      <c r="A428" s="61">
        <v>37347</v>
      </c>
      <c r="B428" s="68">
        <f>VLOOKUP(Table4[[#This Row],[Date]],Database!A:E,3,)</f>
        <v>121.5</v>
      </c>
      <c r="C428" s="14">
        <f t="shared" si="12"/>
        <v>3.31632653061225E-2</v>
      </c>
      <c r="D428" s="14">
        <f t="shared" si="13"/>
        <v>-8.1632653061224567E-2</v>
      </c>
    </row>
    <row r="429" spans="1:4" x14ac:dyDescent="0.2">
      <c r="A429" s="61">
        <v>37377</v>
      </c>
      <c r="B429" s="68">
        <f>VLOOKUP(Table4[[#This Row],[Date]],Database!A:E,3,)</f>
        <v>121.9</v>
      </c>
      <c r="C429" s="14">
        <f t="shared" si="12"/>
        <v>3.2921810699588945E-3</v>
      </c>
      <c r="D429" s="14">
        <f t="shared" si="13"/>
        <v>-0.11921965317919074</v>
      </c>
    </row>
    <row r="430" spans="1:4" x14ac:dyDescent="0.2">
      <c r="A430" s="61">
        <v>37408</v>
      </c>
      <c r="B430" s="68">
        <f>VLOOKUP(Table4[[#This Row],[Date]],Database!A:E,3,)</f>
        <v>121.6</v>
      </c>
      <c r="C430" s="14">
        <f t="shared" si="12"/>
        <v>-2.4610336341264263E-3</v>
      </c>
      <c r="D430" s="14">
        <f t="shared" si="13"/>
        <v>-0.11176040905770643</v>
      </c>
    </row>
    <row r="431" spans="1:4" x14ac:dyDescent="0.2">
      <c r="A431" s="61">
        <v>37438</v>
      </c>
      <c r="B431" s="68">
        <f>VLOOKUP(Table4[[#This Row],[Date]],Database!A:E,3,)</f>
        <v>122.4</v>
      </c>
      <c r="C431" s="14">
        <f t="shared" si="12"/>
        <v>6.5789473684211468E-3</v>
      </c>
      <c r="D431" s="14">
        <f t="shared" si="13"/>
        <v>-5.5555555555555469E-2</v>
      </c>
    </row>
    <row r="432" spans="1:4" x14ac:dyDescent="0.2">
      <c r="A432" s="61">
        <v>37469</v>
      </c>
      <c r="B432" s="68">
        <f>VLOOKUP(Table4[[#This Row],[Date]],Database!A:E,3,)</f>
        <v>123.1</v>
      </c>
      <c r="C432" s="14">
        <f t="shared" si="12"/>
        <v>5.7189542483659199E-3</v>
      </c>
      <c r="D432" s="14">
        <f t="shared" si="13"/>
        <v>-3.2992930086410077E-2</v>
      </c>
    </row>
    <row r="433" spans="1:4" x14ac:dyDescent="0.2">
      <c r="A433" s="61">
        <v>37500</v>
      </c>
      <c r="B433" s="68">
        <f>VLOOKUP(Table4[[#This Row],[Date]],Database!A:E,3,)</f>
        <v>123.7</v>
      </c>
      <c r="C433" s="14">
        <f t="shared" si="12"/>
        <v>4.8740861088546594E-3</v>
      </c>
      <c r="D433" s="14">
        <f t="shared" si="13"/>
        <v>-5.5003819709702084E-2</v>
      </c>
    </row>
    <row r="434" spans="1:4" x14ac:dyDescent="0.2">
      <c r="A434" s="61">
        <v>37530</v>
      </c>
      <c r="B434" s="68">
        <f>VLOOKUP(Table4[[#This Row],[Date]],Database!A:E,3,)</f>
        <v>126.9</v>
      </c>
      <c r="C434" s="14">
        <f t="shared" si="12"/>
        <v>2.5869037995149578E-2</v>
      </c>
      <c r="D434" s="14">
        <f t="shared" si="13"/>
        <v>3.254678600488202E-2</v>
      </c>
    </row>
    <row r="435" spans="1:4" x14ac:dyDescent="0.2">
      <c r="A435" s="61">
        <v>37561</v>
      </c>
      <c r="B435" s="68">
        <f>VLOOKUP(Table4[[#This Row],[Date]],Database!A:E,3,)</f>
        <v>126.7</v>
      </c>
      <c r="C435" s="14">
        <f t="shared" si="12"/>
        <v>-1.5760441292356408E-3</v>
      </c>
      <c r="D435" s="14">
        <f t="shared" si="13"/>
        <v>8.3832335329341284E-2</v>
      </c>
    </row>
    <row r="436" spans="1:4" x14ac:dyDescent="0.2">
      <c r="A436" s="61">
        <v>37591</v>
      </c>
      <c r="B436" s="68">
        <f>VLOOKUP(Table4[[#This Row],[Date]],Database!A:E,3,)</f>
        <v>127.1</v>
      </c>
      <c r="C436" s="14">
        <f t="shared" si="12"/>
        <v>3.1570639305445263E-3</v>
      </c>
      <c r="D436" s="14">
        <f t="shared" si="13"/>
        <v>0.11589113257243185</v>
      </c>
    </row>
    <row r="437" spans="1:4" x14ac:dyDescent="0.2">
      <c r="A437" s="61">
        <v>37622</v>
      </c>
      <c r="B437" s="68">
        <f>VLOOKUP(Table4[[#This Row],[Date]],Database!A:E,3,)</f>
        <v>133.5</v>
      </c>
      <c r="C437" s="14">
        <f t="shared" si="12"/>
        <v>5.0354051927616099E-2</v>
      </c>
      <c r="D437" s="14">
        <f t="shared" si="13"/>
        <v>0.16900175131348508</v>
      </c>
    </row>
    <row r="438" spans="1:4" x14ac:dyDescent="0.2">
      <c r="A438" s="61">
        <v>37653</v>
      </c>
      <c r="B438" s="68">
        <f>VLOOKUP(Table4[[#This Row],[Date]],Database!A:E,3,)</f>
        <v>140.80000000000001</v>
      </c>
      <c r="C438" s="14">
        <f t="shared" si="12"/>
        <v>5.468164794007499E-2</v>
      </c>
      <c r="D438" s="14">
        <f t="shared" si="13"/>
        <v>0.24052863436123359</v>
      </c>
    </row>
    <row r="439" spans="1:4" x14ac:dyDescent="0.2">
      <c r="A439" s="61">
        <v>37681</v>
      </c>
      <c r="B439" s="68">
        <f>VLOOKUP(Table4[[#This Row],[Date]],Database!A:E,3,)</f>
        <v>143.9</v>
      </c>
      <c r="C439" s="14">
        <f t="shared" si="12"/>
        <v>2.2017045454545411E-2</v>
      </c>
      <c r="D439" s="14">
        <f t="shared" si="13"/>
        <v>0.22363945578231303</v>
      </c>
    </row>
    <row r="440" spans="1:4" x14ac:dyDescent="0.2">
      <c r="A440" s="61">
        <v>37712</v>
      </c>
      <c r="B440" s="68">
        <f>VLOOKUP(Table4[[#This Row],[Date]],Database!A:E,3,)</f>
        <v>136.5</v>
      </c>
      <c r="C440" s="14">
        <f t="shared" si="12"/>
        <v>-5.1424600416956255E-2</v>
      </c>
      <c r="D440" s="14">
        <f t="shared" si="13"/>
        <v>0.12345679012345678</v>
      </c>
    </row>
    <row r="441" spans="1:4" x14ac:dyDescent="0.2">
      <c r="A441" s="61">
        <v>37742</v>
      </c>
      <c r="B441" s="68">
        <f>VLOOKUP(Table4[[#This Row],[Date]],Database!A:E,3,)</f>
        <v>129.4</v>
      </c>
      <c r="C441" s="14">
        <f t="shared" si="12"/>
        <v>-5.2014652014651976E-2</v>
      </c>
      <c r="D441" s="14">
        <f t="shared" si="13"/>
        <v>6.1525840853158327E-2</v>
      </c>
    </row>
    <row r="442" spans="1:4" x14ac:dyDescent="0.2">
      <c r="A442" s="61">
        <v>37773</v>
      </c>
      <c r="B442" s="68">
        <f>VLOOKUP(Table4[[#This Row],[Date]],Database!A:E,3,)</f>
        <v>129.80000000000001</v>
      </c>
      <c r="C442" s="14">
        <f t="shared" si="12"/>
        <v>3.0911901081916975E-3</v>
      </c>
      <c r="D442" s="14">
        <f t="shared" si="13"/>
        <v>6.743421052631593E-2</v>
      </c>
    </row>
    <row r="443" spans="1:4" x14ac:dyDescent="0.2">
      <c r="A443" s="61">
        <v>37803</v>
      </c>
      <c r="B443" s="68">
        <f>VLOOKUP(Table4[[#This Row],[Date]],Database!A:E,3,)</f>
        <v>132.19999999999999</v>
      </c>
      <c r="C443" s="14">
        <f t="shared" si="12"/>
        <v>1.8489984591679332E-2</v>
      </c>
      <c r="D443" s="14">
        <f t="shared" si="13"/>
        <v>8.0065359477124037E-2</v>
      </c>
    </row>
    <row r="444" spans="1:4" x14ac:dyDescent="0.2">
      <c r="A444" s="61">
        <v>37834</v>
      </c>
      <c r="B444" s="68">
        <f>VLOOKUP(Table4[[#This Row],[Date]],Database!A:E,3,)</f>
        <v>137.80000000000001</v>
      </c>
      <c r="C444" s="14">
        <f t="shared" si="12"/>
        <v>4.2360060514372341E-2</v>
      </c>
      <c r="D444" s="14">
        <f t="shared" si="13"/>
        <v>0.11941510966693759</v>
      </c>
    </row>
    <row r="445" spans="1:4" x14ac:dyDescent="0.2">
      <c r="A445" s="61">
        <v>37865</v>
      </c>
      <c r="B445" s="68">
        <f>VLOOKUP(Table4[[#This Row],[Date]],Database!A:E,3,)</f>
        <v>142.9</v>
      </c>
      <c r="C445" s="14">
        <f t="shared" si="12"/>
        <v>3.7010159651669039E-2</v>
      </c>
      <c r="D445" s="14">
        <f t="shared" si="13"/>
        <v>0.15521422797089734</v>
      </c>
    </row>
    <row r="446" spans="1:4" x14ac:dyDescent="0.2">
      <c r="A446" s="61">
        <v>37895</v>
      </c>
      <c r="B446" s="68">
        <f>VLOOKUP(Table4[[#This Row],[Date]],Database!A:E,3,)</f>
        <v>137.80000000000001</v>
      </c>
      <c r="C446" s="14">
        <f t="shared" si="12"/>
        <v>-3.5689293212036351E-2</v>
      </c>
      <c r="D446" s="14">
        <f t="shared" si="13"/>
        <v>8.5894405043341254E-2</v>
      </c>
    </row>
    <row r="447" spans="1:4" x14ac:dyDescent="0.2">
      <c r="A447" s="61">
        <v>37926</v>
      </c>
      <c r="B447" s="68">
        <f>VLOOKUP(Table4[[#This Row],[Date]],Database!A:E,3,)</f>
        <v>136.9</v>
      </c>
      <c r="C447" s="14">
        <f t="shared" si="12"/>
        <v>-6.5312046444122324E-3</v>
      </c>
      <c r="D447" s="14">
        <f t="shared" si="13"/>
        <v>8.0505130228887153E-2</v>
      </c>
    </row>
    <row r="448" spans="1:4" x14ac:dyDescent="0.2">
      <c r="A448" s="61">
        <v>37956</v>
      </c>
      <c r="B448" s="68">
        <f>VLOOKUP(Table4[[#This Row],[Date]],Database!A:E,3,)</f>
        <v>138.80000000000001</v>
      </c>
      <c r="C448" s="14">
        <f t="shared" si="12"/>
        <v>1.387874360847338E-2</v>
      </c>
      <c r="D448" s="14">
        <f t="shared" si="13"/>
        <v>9.2053501180173233E-2</v>
      </c>
    </row>
    <row r="449" spans="1:4" x14ac:dyDescent="0.2">
      <c r="A449" s="61">
        <v>37987</v>
      </c>
      <c r="B449" s="68">
        <f>VLOOKUP(Table4[[#This Row],[Date]],Database!A:E,3,)</f>
        <v>143.9</v>
      </c>
      <c r="C449" s="14">
        <f t="shared" si="12"/>
        <v>3.674351585014405E-2</v>
      </c>
      <c r="D449" s="14">
        <f t="shared" si="13"/>
        <v>7.7902621722846482E-2</v>
      </c>
    </row>
    <row r="450" spans="1:4" x14ac:dyDescent="0.2">
      <c r="A450" s="61">
        <v>38018</v>
      </c>
      <c r="B450" s="68">
        <f>VLOOKUP(Table4[[#This Row],[Date]],Database!A:E,3,)</f>
        <v>145.80000000000001</v>
      </c>
      <c r="C450" s="14">
        <f t="shared" si="12"/>
        <v>1.320361362056988E-2</v>
      </c>
      <c r="D450" s="14">
        <f t="shared" si="13"/>
        <v>3.5511363636363633E-2</v>
      </c>
    </row>
    <row r="451" spans="1:4" x14ac:dyDescent="0.2">
      <c r="A451" s="61">
        <v>38047</v>
      </c>
      <c r="B451" s="68">
        <f>VLOOKUP(Table4[[#This Row],[Date]],Database!A:E,3,)</f>
        <v>145.1</v>
      </c>
      <c r="C451" s="14">
        <f t="shared" si="12"/>
        <v>-4.8010973936901029E-3</v>
      </c>
      <c r="D451" s="14">
        <f t="shared" si="13"/>
        <v>8.3391243919387677E-3</v>
      </c>
    </row>
    <row r="452" spans="1:4" x14ac:dyDescent="0.2">
      <c r="A452" s="61">
        <v>38078</v>
      </c>
      <c r="B452" s="68">
        <f>VLOOKUP(Table4[[#This Row],[Date]],Database!A:E,3,)</f>
        <v>143.4</v>
      </c>
      <c r="C452" s="14">
        <f t="shared" si="12"/>
        <v>-1.1716057891109502E-2</v>
      </c>
      <c r="D452" s="14">
        <f t="shared" si="13"/>
        <v>5.0549450549450592E-2</v>
      </c>
    </row>
    <row r="453" spans="1:4" x14ac:dyDescent="0.2">
      <c r="A453" s="61">
        <v>38108</v>
      </c>
      <c r="B453" s="68">
        <f>VLOOKUP(Table4[[#This Row],[Date]],Database!A:E,3,)</f>
        <v>147.6</v>
      </c>
      <c r="C453" s="14">
        <f t="shared" si="12"/>
        <v>2.9288702928870213E-2</v>
      </c>
      <c r="D453" s="14">
        <f t="shared" si="13"/>
        <v>0.14064914992272015</v>
      </c>
    </row>
    <row r="454" spans="1:4" x14ac:dyDescent="0.2">
      <c r="A454" s="61">
        <v>38139</v>
      </c>
      <c r="B454" s="68">
        <f>VLOOKUP(Table4[[#This Row],[Date]],Database!A:E,3,)</f>
        <v>151.5</v>
      </c>
      <c r="C454" s="14">
        <f t="shared" ref="C454:C517" si="14">(B454-B453)/B453</f>
        <v>2.6422764227642316E-2</v>
      </c>
      <c r="D454" s="14">
        <f t="shared" si="13"/>
        <v>0.16718027734976879</v>
      </c>
    </row>
    <row r="455" spans="1:4" x14ac:dyDescent="0.2">
      <c r="A455" s="61">
        <v>38169</v>
      </c>
      <c r="B455" s="68">
        <f>VLOOKUP(Table4[[#This Row],[Date]],Database!A:E,3,)</f>
        <v>151.1</v>
      </c>
      <c r="C455" s="14">
        <f t="shared" si="14"/>
        <v>-2.6402640264026776E-3</v>
      </c>
      <c r="D455" s="14">
        <f t="shared" si="13"/>
        <v>0.14296520423600612</v>
      </c>
    </row>
    <row r="456" spans="1:4" x14ac:dyDescent="0.2">
      <c r="A456" s="61">
        <v>38200</v>
      </c>
      <c r="B456" s="68">
        <f>VLOOKUP(Table4[[#This Row],[Date]],Database!A:E,3,)</f>
        <v>151.5</v>
      </c>
      <c r="C456" s="14">
        <f t="shared" si="14"/>
        <v>2.647253474520223E-3</v>
      </c>
      <c r="D456" s="14">
        <f t="shared" si="13"/>
        <v>9.9419448476052164E-2</v>
      </c>
    </row>
    <row r="457" spans="1:4" x14ac:dyDescent="0.2">
      <c r="A457" s="61">
        <v>38231</v>
      </c>
      <c r="B457" s="68">
        <f>VLOOKUP(Table4[[#This Row],[Date]],Database!A:E,3,)</f>
        <v>152.9</v>
      </c>
      <c r="C457" s="14">
        <f t="shared" si="14"/>
        <v>9.2409240924092792E-3</v>
      </c>
      <c r="D457" s="14">
        <f t="shared" si="13"/>
        <v>6.997900629811056E-2</v>
      </c>
    </row>
    <row r="458" spans="1:4" x14ac:dyDescent="0.2">
      <c r="A458" s="61">
        <v>38261</v>
      </c>
      <c r="B458" s="68">
        <f>VLOOKUP(Table4[[#This Row],[Date]],Database!A:E,3,)</f>
        <v>158.6</v>
      </c>
      <c r="C458" s="14">
        <f t="shared" si="14"/>
        <v>3.7279267495094755E-2</v>
      </c>
      <c r="D458" s="14">
        <f t="shared" si="13"/>
        <v>0.15094339622641495</v>
      </c>
    </row>
    <row r="459" spans="1:4" x14ac:dyDescent="0.2">
      <c r="A459" s="61">
        <v>38292</v>
      </c>
      <c r="B459" s="68">
        <f>VLOOKUP(Table4[[#This Row],[Date]],Database!A:E,3,)</f>
        <v>163.80000000000001</v>
      </c>
      <c r="C459" s="14">
        <f t="shared" si="14"/>
        <v>3.2786885245901745E-2</v>
      </c>
      <c r="D459" s="14">
        <f t="shared" si="13"/>
        <v>0.19649379108838572</v>
      </c>
    </row>
    <row r="460" spans="1:4" x14ac:dyDescent="0.2">
      <c r="A460" s="61">
        <v>38322</v>
      </c>
      <c r="B460" s="68">
        <f>VLOOKUP(Table4[[#This Row],[Date]],Database!A:E,3,)</f>
        <v>162.30000000000001</v>
      </c>
      <c r="C460" s="14">
        <f t="shared" si="14"/>
        <v>-9.1575091575091562E-3</v>
      </c>
      <c r="D460" s="14">
        <f t="shared" si="13"/>
        <v>0.16930835734870314</v>
      </c>
    </row>
    <row r="461" spans="1:4" x14ac:dyDescent="0.2">
      <c r="A461" s="61">
        <v>38353</v>
      </c>
      <c r="B461" s="68">
        <f>VLOOKUP(Table4[[#This Row],[Date]],Database!A:E,3,)</f>
        <v>157.19999999999999</v>
      </c>
      <c r="C461" s="14">
        <f t="shared" si="14"/>
        <v>-3.1423290203327313E-2</v>
      </c>
      <c r="D461" s="14">
        <f t="shared" si="13"/>
        <v>9.2425295343988759E-2</v>
      </c>
    </row>
    <row r="462" spans="1:4" x14ac:dyDescent="0.2">
      <c r="A462" s="61">
        <v>38384</v>
      </c>
      <c r="B462" s="68">
        <f>VLOOKUP(Table4[[#This Row],[Date]],Database!A:E,3,)</f>
        <v>161.80000000000001</v>
      </c>
      <c r="C462" s="14">
        <f t="shared" si="14"/>
        <v>2.9262086513995058E-2</v>
      </c>
      <c r="D462" s="14">
        <f t="shared" si="13"/>
        <v>0.10973936899862825</v>
      </c>
    </row>
    <row r="463" spans="1:4" x14ac:dyDescent="0.2">
      <c r="A463" s="61">
        <v>38412</v>
      </c>
      <c r="B463" s="68">
        <f>VLOOKUP(Table4[[#This Row],[Date]],Database!A:E,3,)</f>
        <v>163.5</v>
      </c>
      <c r="C463" s="14">
        <f t="shared" si="14"/>
        <v>1.0506798516687198E-2</v>
      </c>
      <c r="D463" s="14">
        <f t="shared" si="13"/>
        <v>0.12680909717436256</v>
      </c>
    </row>
    <row r="464" spans="1:4" x14ac:dyDescent="0.2">
      <c r="A464" s="61">
        <v>38443</v>
      </c>
      <c r="B464" s="68">
        <f>VLOOKUP(Table4[[#This Row],[Date]],Database!A:E,3,)</f>
        <v>166.7</v>
      </c>
      <c r="C464" s="14">
        <f t="shared" si="14"/>
        <v>1.9571865443425006E-2</v>
      </c>
      <c r="D464" s="14">
        <f t="shared" si="13"/>
        <v>0.16248256624825649</v>
      </c>
    </row>
    <row r="465" spans="1:4" x14ac:dyDescent="0.2">
      <c r="A465" s="61">
        <v>38473</v>
      </c>
      <c r="B465" s="68">
        <f>VLOOKUP(Table4[[#This Row],[Date]],Database!A:E,3,)</f>
        <v>163.30000000000001</v>
      </c>
      <c r="C465" s="14">
        <f t="shared" si="14"/>
        <v>-2.0395920815836698E-2</v>
      </c>
      <c r="D465" s="14">
        <f t="shared" ref="D465:D528" si="15">(B465-B453)/B453</f>
        <v>0.10636856368563698</v>
      </c>
    </row>
    <row r="466" spans="1:4" x14ac:dyDescent="0.2">
      <c r="A466" s="61">
        <v>38504</v>
      </c>
      <c r="B466" s="68">
        <f>VLOOKUP(Table4[[#This Row],[Date]],Database!A:E,3,)</f>
        <v>163.69999999999999</v>
      </c>
      <c r="C466" s="14">
        <f t="shared" si="14"/>
        <v>2.4494794856091688E-3</v>
      </c>
      <c r="D466" s="14">
        <f t="shared" si="15"/>
        <v>8.0528052805280456E-2</v>
      </c>
    </row>
    <row r="467" spans="1:4" x14ac:dyDescent="0.2">
      <c r="A467" s="61">
        <v>38534</v>
      </c>
      <c r="B467" s="68">
        <f>VLOOKUP(Table4[[#This Row],[Date]],Database!A:E,3,)</f>
        <v>172.8</v>
      </c>
      <c r="C467" s="14">
        <f t="shared" si="14"/>
        <v>5.558949297495433E-2</v>
      </c>
      <c r="D467" s="14">
        <f t="shared" si="15"/>
        <v>0.14361350099272016</v>
      </c>
    </row>
    <row r="468" spans="1:4" x14ac:dyDescent="0.2">
      <c r="A468" s="61">
        <v>38565</v>
      </c>
      <c r="B468" s="68">
        <f>VLOOKUP(Table4[[#This Row],[Date]],Database!A:E,3,)</f>
        <v>183.5</v>
      </c>
      <c r="C468" s="14">
        <f t="shared" si="14"/>
        <v>6.1921296296296224E-2</v>
      </c>
      <c r="D468" s="14">
        <f t="shared" si="15"/>
        <v>0.21122112211221122</v>
      </c>
    </row>
    <row r="469" spans="1:4" x14ac:dyDescent="0.2">
      <c r="A469" s="61">
        <v>38596</v>
      </c>
      <c r="B469" s="68">
        <f>VLOOKUP(Table4[[#This Row],[Date]],Database!A:E,3,)</f>
        <v>208.2</v>
      </c>
      <c r="C469" s="14">
        <f t="shared" si="14"/>
        <v>0.13460490463215252</v>
      </c>
      <c r="D469" s="14">
        <f t="shared" si="15"/>
        <v>0.36167429692609537</v>
      </c>
    </row>
    <row r="470" spans="1:4" x14ac:dyDescent="0.2">
      <c r="A470" s="61">
        <v>38626</v>
      </c>
      <c r="B470" s="68">
        <f>VLOOKUP(Table4[[#This Row],[Date]],Database!A:E,3,)</f>
        <v>205.9</v>
      </c>
      <c r="C470" s="14">
        <f t="shared" si="14"/>
        <v>-1.1047070124879842E-2</v>
      </c>
      <c r="D470" s="14">
        <f t="shared" si="15"/>
        <v>0.29823455233291307</v>
      </c>
    </row>
    <row r="471" spans="1:4" x14ac:dyDescent="0.2">
      <c r="A471" s="61">
        <v>38657</v>
      </c>
      <c r="B471" s="68">
        <f>VLOOKUP(Table4[[#This Row],[Date]],Database!A:E,3,)</f>
        <v>191</v>
      </c>
      <c r="C471" s="14">
        <f t="shared" si="14"/>
        <v>-7.236522583778536E-2</v>
      </c>
      <c r="D471" s="14">
        <f t="shared" si="15"/>
        <v>0.16605616605616597</v>
      </c>
    </row>
    <row r="472" spans="1:4" x14ac:dyDescent="0.2">
      <c r="A472" s="61">
        <v>38687</v>
      </c>
      <c r="B472" s="68">
        <f>VLOOKUP(Table4[[#This Row],[Date]],Database!A:E,3,)</f>
        <v>187.6</v>
      </c>
      <c r="C472" s="14">
        <f t="shared" si="14"/>
        <v>-1.7801047120418877E-2</v>
      </c>
      <c r="D472" s="14">
        <f t="shared" si="15"/>
        <v>0.15588416512630918</v>
      </c>
    </row>
    <row r="473" spans="1:4" x14ac:dyDescent="0.2">
      <c r="A473" s="61">
        <v>38718</v>
      </c>
      <c r="B473" s="68">
        <f>VLOOKUP(Table4[[#This Row],[Date]],Database!A:E,3,)</f>
        <v>196.6</v>
      </c>
      <c r="C473" s="14">
        <f t="shared" si="14"/>
        <v>4.7974413646055439E-2</v>
      </c>
      <c r="D473" s="14">
        <f t="shared" si="15"/>
        <v>0.25063613231552168</v>
      </c>
    </row>
    <row r="474" spans="1:4" x14ac:dyDescent="0.2">
      <c r="A474" s="61">
        <v>38749</v>
      </c>
      <c r="B474" s="68">
        <f>VLOOKUP(Table4[[#This Row],[Date]],Database!A:E,3,)</f>
        <v>194.1</v>
      </c>
      <c r="C474" s="14">
        <f t="shared" si="14"/>
        <v>-1.2716174974567651E-2</v>
      </c>
      <c r="D474" s="14">
        <f t="shared" si="15"/>
        <v>0.19962917181705797</v>
      </c>
    </row>
    <row r="475" spans="1:4" x14ac:dyDescent="0.2">
      <c r="A475" s="61">
        <v>38777</v>
      </c>
      <c r="B475" s="68">
        <f>VLOOKUP(Table4[[#This Row],[Date]],Database!A:E,3,)</f>
        <v>192</v>
      </c>
      <c r="C475" s="14">
        <f t="shared" si="14"/>
        <v>-1.081916537867076E-2</v>
      </c>
      <c r="D475" s="14">
        <f t="shared" si="15"/>
        <v>0.1743119266055046</v>
      </c>
    </row>
    <row r="476" spans="1:4" x14ac:dyDescent="0.2">
      <c r="A476" s="61">
        <v>38808</v>
      </c>
      <c r="B476" s="68">
        <f>VLOOKUP(Table4[[#This Row],[Date]],Database!A:E,3,)</f>
        <v>198.5</v>
      </c>
      <c r="C476" s="14">
        <f t="shared" si="14"/>
        <v>3.3854166666666664E-2</v>
      </c>
      <c r="D476" s="14">
        <f t="shared" si="15"/>
        <v>0.19076184763047399</v>
      </c>
    </row>
    <row r="477" spans="1:4" x14ac:dyDescent="0.2">
      <c r="A477" s="61">
        <v>38838</v>
      </c>
      <c r="B477" s="68">
        <f>VLOOKUP(Table4[[#This Row],[Date]],Database!A:E,3,)</f>
        <v>199.8</v>
      </c>
      <c r="C477" s="14">
        <f t="shared" si="14"/>
        <v>6.549118387909377E-3</v>
      </c>
      <c r="D477" s="14">
        <f t="shared" si="15"/>
        <v>0.22351500306184935</v>
      </c>
    </row>
    <row r="478" spans="1:4" x14ac:dyDescent="0.2">
      <c r="A478" s="61">
        <v>38869</v>
      </c>
      <c r="B478" s="68">
        <f>VLOOKUP(Table4[[#This Row],[Date]],Database!A:E,3,)</f>
        <v>199.8</v>
      </c>
      <c r="C478" s="14">
        <f t="shared" si="14"/>
        <v>0</v>
      </c>
      <c r="D478" s="14">
        <f t="shared" si="15"/>
        <v>0.22052535125229092</v>
      </c>
    </row>
    <row r="479" spans="1:4" x14ac:dyDescent="0.2">
      <c r="A479" s="61">
        <v>38899</v>
      </c>
      <c r="B479" s="68">
        <f>VLOOKUP(Table4[[#This Row],[Date]],Database!A:E,3,)</f>
        <v>207.9</v>
      </c>
      <c r="C479" s="14">
        <f t="shared" si="14"/>
        <v>4.0540540540540508E-2</v>
      </c>
      <c r="D479" s="14">
        <f t="shared" si="15"/>
        <v>0.20312499999999994</v>
      </c>
    </row>
    <row r="480" spans="1:4" x14ac:dyDescent="0.2">
      <c r="A480" s="61">
        <v>38930</v>
      </c>
      <c r="B480" s="68">
        <f>VLOOKUP(Table4[[#This Row],[Date]],Database!A:E,3,)</f>
        <v>211.9</v>
      </c>
      <c r="C480" s="14">
        <f t="shared" si="14"/>
        <v>1.9240019240019241E-2</v>
      </c>
      <c r="D480" s="14">
        <f t="shared" si="15"/>
        <v>0.15476839237057224</v>
      </c>
    </row>
    <row r="481" spans="1:4" x14ac:dyDescent="0.2">
      <c r="A481" s="61">
        <v>38961</v>
      </c>
      <c r="B481" s="68">
        <f>VLOOKUP(Table4[[#This Row],[Date]],Database!A:E,3,)</f>
        <v>198.1</v>
      </c>
      <c r="C481" s="14">
        <f t="shared" si="14"/>
        <v>-6.5125058990089718E-2</v>
      </c>
      <c r="D481" s="14">
        <f t="shared" si="15"/>
        <v>-4.8511047070124852E-2</v>
      </c>
    </row>
    <row r="482" spans="1:4" x14ac:dyDescent="0.2">
      <c r="A482" s="61">
        <v>38991</v>
      </c>
      <c r="B482" s="68">
        <f>VLOOKUP(Table4[[#This Row],[Date]],Database!A:E,3,)</f>
        <v>184.1</v>
      </c>
      <c r="C482" s="14">
        <f t="shared" si="14"/>
        <v>-7.0671378091872794E-2</v>
      </c>
      <c r="D482" s="14">
        <f t="shared" si="15"/>
        <v>-0.10587663914521618</v>
      </c>
    </row>
    <row r="483" spans="1:4" x14ac:dyDescent="0.2">
      <c r="A483" s="61">
        <v>39022</v>
      </c>
      <c r="B483" s="68">
        <f>VLOOKUP(Table4[[#This Row],[Date]],Database!A:E,3,)</f>
        <v>184.1</v>
      </c>
      <c r="C483" s="14">
        <f t="shared" si="14"/>
        <v>0</v>
      </c>
      <c r="D483" s="14">
        <f t="shared" si="15"/>
        <v>-3.6125654450261807E-2</v>
      </c>
    </row>
    <row r="484" spans="1:4" x14ac:dyDescent="0.2">
      <c r="A484" s="61">
        <v>39052</v>
      </c>
      <c r="B484" s="68">
        <f>VLOOKUP(Table4[[#This Row],[Date]],Database!A:E,3,)</f>
        <v>192.7</v>
      </c>
      <c r="C484" s="14">
        <f t="shared" si="14"/>
        <v>4.6713742531232998E-2</v>
      </c>
      <c r="D484" s="14">
        <f t="shared" si="15"/>
        <v>2.7185501066098051E-2</v>
      </c>
    </row>
    <row r="485" spans="1:4" x14ac:dyDescent="0.2">
      <c r="A485" s="61">
        <v>39083</v>
      </c>
      <c r="B485" s="68">
        <f>VLOOKUP(Table4[[#This Row],[Date]],Database!A:E,3,)</f>
        <v>190.28100000000001</v>
      </c>
      <c r="C485" s="14">
        <f t="shared" si="14"/>
        <v>-1.2553191489361614E-2</v>
      </c>
      <c r="D485" s="14">
        <f t="shared" si="15"/>
        <v>-3.2141403865717136E-2</v>
      </c>
    </row>
    <row r="486" spans="1:4" x14ac:dyDescent="0.2">
      <c r="A486" s="61">
        <v>39114</v>
      </c>
      <c r="B486" s="68">
        <f>VLOOKUP(Table4[[#This Row],[Date]],Database!A:E,3,)</f>
        <v>192.31</v>
      </c>
      <c r="C486" s="14">
        <f t="shared" si="14"/>
        <v>1.06631770907237E-2</v>
      </c>
      <c r="D486" s="14">
        <f t="shared" si="15"/>
        <v>-9.2220504894383933E-3</v>
      </c>
    </row>
    <row r="487" spans="1:4" x14ac:dyDescent="0.2">
      <c r="A487" s="61">
        <v>39142</v>
      </c>
      <c r="B487" s="68">
        <f>VLOOKUP(Table4[[#This Row],[Date]],Database!A:E,3,)</f>
        <v>200.20599999999999</v>
      </c>
      <c r="C487" s="14">
        <f t="shared" si="14"/>
        <v>4.1058707295512385E-2</v>
      </c>
      <c r="D487" s="14">
        <f t="shared" si="15"/>
        <v>4.2739583333333275E-2</v>
      </c>
    </row>
    <row r="488" spans="1:4" x14ac:dyDescent="0.2">
      <c r="A488" s="61">
        <v>39173</v>
      </c>
      <c r="B488" s="68">
        <f>VLOOKUP(Table4[[#This Row],[Date]],Database!A:E,3,)</f>
        <v>203.30699999999999</v>
      </c>
      <c r="C488" s="14">
        <f t="shared" si="14"/>
        <v>1.5489046282329198E-2</v>
      </c>
      <c r="D488" s="14">
        <f t="shared" si="15"/>
        <v>2.421662468513848E-2</v>
      </c>
    </row>
    <row r="489" spans="1:4" x14ac:dyDescent="0.2">
      <c r="A489" s="61">
        <v>39203</v>
      </c>
      <c r="B489" s="68">
        <f>VLOOKUP(Table4[[#This Row],[Date]],Database!A:E,3,)</f>
        <v>208.63499999999999</v>
      </c>
      <c r="C489" s="14">
        <f t="shared" si="14"/>
        <v>2.6206672667443833E-2</v>
      </c>
      <c r="D489" s="14">
        <f t="shared" si="15"/>
        <v>4.4219219219219112E-2</v>
      </c>
    </row>
    <row r="490" spans="1:4" x14ac:dyDescent="0.2">
      <c r="A490" s="61">
        <v>39234</v>
      </c>
      <c r="B490" s="68">
        <f>VLOOKUP(Table4[[#This Row],[Date]],Database!A:E,3,)</f>
        <v>209.79900000000001</v>
      </c>
      <c r="C490" s="14">
        <f t="shared" si="14"/>
        <v>5.5791214321662987E-3</v>
      </c>
      <c r="D490" s="14">
        <f t="shared" si="15"/>
        <v>5.004504504504502E-2</v>
      </c>
    </row>
    <row r="491" spans="1:4" x14ac:dyDescent="0.2">
      <c r="A491" s="61">
        <v>39264</v>
      </c>
      <c r="B491" s="68">
        <f>VLOOKUP(Table4[[#This Row],[Date]],Database!A:E,3,)</f>
        <v>209.63900000000001</v>
      </c>
      <c r="C491" s="14">
        <f t="shared" si="14"/>
        <v>-7.6263471227220616E-4</v>
      </c>
      <c r="D491" s="14">
        <f t="shared" si="15"/>
        <v>8.3645983645983853E-3</v>
      </c>
    </row>
    <row r="492" spans="1:4" x14ac:dyDescent="0.2">
      <c r="A492" s="61">
        <v>39295</v>
      </c>
      <c r="B492" s="68">
        <f>VLOOKUP(Table4[[#This Row],[Date]],Database!A:E,3,)</f>
        <v>206.41200000000001</v>
      </c>
      <c r="C492" s="14">
        <f t="shared" si="14"/>
        <v>-1.5393128187026288E-2</v>
      </c>
      <c r="D492" s="14">
        <f t="shared" si="15"/>
        <v>-2.5899008966493626E-2</v>
      </c>
    </row>
    <row r="493" spans="1:4" x14ac:dyDescent="0.2">
      <c r="A493" s="61">
        <v>39326</v>
      </c>
      <c r="B493" s="68">
        <f>VLOOKUP(Table4[[#This Row],[Date]],Database!A:E,3,)</f>
        <v>210.74199999999999</v>
      </c>
      <c r="C493" s="14">
        <f t="shared" si="14"/>
        <v>2.0977462550626824E-2</v>
      </c>
      <c r="D493" s="14">
        <f t="shared" si="15"/>
        <v>6.3816254416961107E-2</v>
      </c>
    </row>
    <row r="494" spans="1:4" x14ac:dyDescent="0.2">
      <c r="A494" s="61">
        <v>39356</v>
      </c>
      <c r="B494" s="68">
        <f>VLOOKUP(Table4[[#This Row],[Date]],Database!A:E,3,)</f>
        <v>212.386</v>
      </c>
      <c r="C494" s="14">
        <f t="shared" si="14"/>
        <v>7.8010078674398339E-3</v>
      </c>
      <c r="D494" s="14">
        <f t="shared" si="15"/>
        <v>0.15364475828354157</v>
      </c>
    </row>
    <row r="495" spans="1:4" x14ac:dyDescent="0.2">
      <c r="A495" s="61">
        <v>39387</v>
      </c>
      <c r="B495" s="68">
        <f>VLOOKUP(Table4[[#This Row],[Date]],Database!A:E,3,)</f>
        <v>223.81399999999999</v>
      </c>
      <c r="C495" s="14">
        <f t="shared" si="14"/>
        <v>5.3807689772395535E-2</v>
      </c>
      <c r="D495" s="14">
        <f t="shared" si="15"/>
        <v>0.21571971754481259</v>
      </c>
    </row>
    <row r="496" spans="1:4" x14ac:dyDescent="0.2">
      <c r="A496" s="61">
        <v>39417</v>
      </c>
      <c r="B496" s="68">
        <f>VLOOKUP(Table4[[#This Row],[Date]],Database!A:E,3,)</f>
        <v>225.649</v>
      </c>
      <c r="C496" s="14">
        <f t="shared" si="14"/>
        <v>8.1987721947689059E-3</v>
      </c>
      <c r="D496" s="14">
        <f t="shared" si="15"/>
        <v>0.17098598858329017</v>
      </c>
    </row>
    <row r="497" spans="1:4" x14ac:dyDescent="0.2">
      <c r="A497" s="61">
        <v>39448</v>
      </c>
      <c r="B497" s="68">
        <f>VLOOKUP(Table4[[#This Row],[Date]],Database!A:E,3,)</f>
        <v>226.77500000000001</v>
      </c>
      <c r="C497" s="14">
        <f t="shared" si="14"/>
        <v>4.9900509197913787E-3</v>
      </c>
      <c r="D497" s="14">
        <f t="shared" si="15"/>
        <v>0.19179003684025203</v>
      </c>
    </row>
    <row r="498" spans="1:4" x14ac:dyDescent="0.2">
      <c r="A498" s="61">
        <v>39479</v>
      </c>
      <c r="B498" s="68">
        <f>VLOOKUP(Table4[[#This Row],[Date]],Database!A:E,3,)</f>
        <v>229.73099999999999</v>
      </c>
      <c r="C498" s="14">
        <f t="shared" si="14"/>
        <v>1.3034946532907018E-2</v>
      </c>
      <c r="D498" s="14">
        <f t="shared" si="15"/>
        <v>0.19458686495762045</v>
      </c>
    </row>
    <row r="499" spans="1:4" x14ac:dyDescent="0.2">
      <c r="A499" s="61">
        <v>39508</v>
      </c>
      <c r="B499" s="68">
        <f>VLOOKUP(Table4[[#This Row],[Date]],Database!A:E,3,)</f>
        <v>233.34899999999999</v>
      </c>
      <c r="C499" s="14">
        <f t="shared" si="14"/>
        <v>1.5748854094571454E-2</v>
      </c>
      <c r="D499" s="14">
        <f t="shared" si="15"/>
        <v>0.16554448917614858</v>
      </c>
    </row>
    <row r="500" spans="1:4" x14ac:dyDescent="0.2">
      <c r="A500" s="61">
        <v>39539</v>
      </c>
      <c r="B500" s="68">
        <f>VLOOKUP(Table4[[#This Row],[Date]],Database!A:E,3,)</f>
        <v>234.77799999999999</v>
      </c>
      <c r="C500" s="14">
        <f t="shared" si="14"/>
        <v>6.1238745398523335E-3</v>
      </c>
      <c r="D500" s="14">
        <f t="shared" si="15"/>
        <v>0.15479545711657741</v>
      </c>
    </row>
    <row r="501" spans="1:4" x14ac:dyDescent="0.2">
      <c r="A501" s="61">
        <v>39569</v>
      </c>
      <c r="B501" s="68">
        <f>VLOOKUP(Table4[[#This Row],[Date]],Database!A:E,3,)</f>
        <v>243.92400000000001</v>
      </c>
      <c r="C501" s="14">
        <f t="shared" si="14"/>
        <v>3.8955949876053185E-2</v>
      </c>
      <c r="D501" s="14">
        <f t="shared" si="15"/>
        <v>0.16914228197569928</v>
      </c>
    </row>
    <row r="502" spans="1:4" x14ac:dyDescent="0.2">
      <c r="A502" s="61">
        <v>39600</v>
      </c>
      <c r="B502" s="68">
        <f>VLOOKUP(Table4[[#This Row],[Date]],Database!A:E,3,)</f>
        <v>262.08100000000002</v>
      </c>
      <c r="C502" s="14">
        <f t="shared" si="14"/>
        <v>7.4437119758613376E-2</v>
      </c>
      <c r="D502" s="14">
        <f t="shared" si="15"/>
        <v>0.24920042516885213</v>
      </c>
    </row>
    <row r="503" spans="1:4" x14ac:dyDescent="0.2">
      <c r="A503" s="61">
        <v>39630</v>
      </c>
      <c r="B503" s="68">
        <f>VLOOKUP(Table4[[#This Row],[Date]],Database!A:E,3,)</f>
        <v>271.149</v>
      </c>
      <c r="C503" s="14">
        <f t="shared" si="14"/>
        <v>3.459999007940287E-2</v>
      </c>
      <c r="D503" s="14">
        <f t="shared" si="15"/>
        <v>0.29340914619894193</v>
      </c>
    </row>
    <row r="504" spans="1:4" x14ac:dyDescent="0.2">
      <c r="A504" s="61">
        <v>39661</v>
      </c>
      <c r="B504" s="68">
        <f>VLOOKUP(Table4[[#This Row],[Date]],Database!A:E,3,)</f>
        <v>262.56599999999997</v>
      </c>
      <c r="C504" s="14">
        <f t="shared" si="14"/>
        <v>-3.1654182755606795E-2</v>
      </c>
      <c r="D504" s="14">
        <f t="shared" si="15"/>
        <v>0.27204813673623612</v>
      </c>
    </row>
    <row r="505" spans="1:4" x14ac:dyDescent="0.2">
      <c r="A505" s="61">
        <v>39692</v>
      </c>
      <c r="B505" s="68">
        <f>VLOOKUP(Table4[[#This Row],[Date]],Database!A:E,3,)</f>
        <v>260.125</v>
      </c>
      <c r="C505" s="14">
        <f t="shared" si="14"/>
        <v>-9.2967101604928826E-3</v>
      </c>
      <c r="D505" s="14">
        <f t="shared" si="15"/>
        <v>0.23432917975534071</v>
      </c>
    </row>
    <row r="506" spans="1:4" x14ac:dyDescent="0.2">
      <c r="A506" s="61">
        <v>39722</v>
      </c>
      <c r="B506" s="68">
        <f>VLOOKUP(Table4[[#This Row],[Date]],Database!A:E,3,)</f>
        <v>238.065</v>
      </c>
      <c r="C506" s="14">
        <f t="shared" si="14"/>
        <v>-8.4805382027871218E-2</v>
      </c>
      <c r="D506" s="14">
        <f t="shared" si="15"/>
        <v>0.12090721610652304</v>
      </c>
    </row>
    <row r="507" spans="1:4" x14ac:dyDescent="0.2">
      <c r="A507" s="61">
        <v>39753</v>
      </c>
      <c r="B507" s="68">
        <f>VLOOKUP(Table4[[#This Row],[Date]],Database!A:E,3,)</f>
        <v>195.155</v>
      </c>
      <c r="C507" s="14">
        <f t="shared" si="14"/>
        <v>-0.18024489110116984</v>
      </c>
      <c r="D507" s="14">
        <f t="shared" si="15"/>
        <v>-0.12804829009802779</v>
      </c>
    </row>
    <row r="508" spans="1:4" x14ac:dyDescent="0.2">
      <c r="A508" s="61">
        <v>39783</v>
      </c>
      <c r="B508" s="68">
        <f>VLOOKUP(Table4[[#This Row],[Date]],Database!A:E,3,)</f>
        <v>176.583</v>
      </c>
      <c r="C508" s="14">
        <f t="shared" si="14"/>
        <v>-9.5165381363531559E-2</v>
      </c>
      <c r="D508" s="14">
        <f t="shared" si="15"/>
        <v>-0.217443906243768</v>
      </c>
    </row>
    <row r="509" spans="1:4" x14ac:dyDescent="0.2">
      <c r="A509" s="61">
        <v>39814</v>
      </c>
      <c r="B509" s="68">
        <f>VLOOKUP(Table4[[#This Row],[Date]],Database!A:E,3,)</f>
        <v>178.661</v>
      </c>
      <c r="C509" s="14">
        <f t="shared" si="14"/>
        <v>1.1767837221023559E-2</v>
      </c>
      <c r="D509" s="14">
        <f t="shared" si="15"/>
        <v>-0.21216624407452322</v>
      </c>
    </row>
    <row r="510" spans="1:4" x14ac:dyDescent="0.2">
      <c r="A510" s="61">
        <v>39845</v>
      </c>
      <c r="B510" s="68">
        <f>VLOOKUP(Table4[[#This Row],[Date]],Database!A:E,3,)</f>
        <v>183.721</v>
      </c>
      <c r="C510" s="14">
        <f t="shared" si="14"/>
        <v>2.8321793788235832E-2</v>
      </c>
      <c r="D510" s="14">
        <f t="shared" si="15"/>
        <v>-0.20027771611145206</v>
      </c>
    </row>
    <row r="511" spans="1:4" x14ac:dyDescent="0.2">
      <c r="A511" s="61">
        <v>39873</v>
      </c>
      <c r="B511" s="68">
        <f>VLOOKUP(Table4[[#This Row],[Date]],Database!A:E,3,)</f>
        <v>178.41499999999999</v>
      </c>
      <c r="C511" s="14">
        <f t="shared" si="14"/>
        <v>-2.888074852629809E-2</v>
      </c>
      <c r="D511" s="14">
        <f t="shared" si="15"/>
        <v>-0.23541562209394512</v>
      </c>
    </row>
    <row r="512" spans="1:4" x14ac:dyDescent="0.2">
      <c r="A512" s="61">
        <v>39904</v>
      </c>
      <c r="B512" s="68">
        <f>VLOOKUP(Table4[[#This Row],[Date]],Database!A:E,3,)</f>
        <v>177.55199999999999</v>
      </c>
      <c r="C512" s="14">
        <f t="shared" si="14"/>
        <v>-4.8370372446262903E-3</v>
      </c>
      <c r="D512" s="14">
        <f t="shared" si="15"/>
        <v>-0.243745154997487</v>
      </c>
    </row>
    <row r="513" spans="1:4" x14ac:dyDescent="0.2">
      <c r="A513" s="61">
        <v>39934</v>
      </c>
      <c r="B513" s="68">
        <f>VLOOKUP(Table4[[#This Row],[Date]],Database!A:E,3,)</f>
        <v>179.83</v>
      </c>
      <c r="C513" s="14">
        <f t="shared" si="14"/>
        <v>1.2830044156078333E-2</v>
      </c>
      <c r="D513" s="14">
        <f t="shared" si="15"/>
        <v>-0.26276217182401074</v>
      </c>
    </row>
    <row r="514" spans="1:4" x14ac:dyDescent="0.2">
      <c r="A514" s="61">
        <v>39965</v>
      </c>
      <c r="B514" s="68">
        <f>VLOOKUP(Table4[[#This Row],[Date]],Database!A:E,3,)</f>
        <v>197.03299999999999</v>
      </c>
      <c r="C514" s="14">
        <f t="shared" si="14"/>
        <v>9.5662570205193642E-2</v>
      </c>
      <c r="D514" s="14">
        <f t="shared" si="15"/>
        <v>-0.24819807616729189</v>
      </c>
    </row>
    <row r="515" spans="1:4" x14ac:dyDescent="0.2">
      <c r="A515" s="61">
        <v>39995</v>
      </c>
      <c r="B515" s="68">
        <f>VLOOKUP(Table4[[#This Row],[Date]],Database!A:E,3,)</f>
        <v>195.77799999999999</v>
      </c>
      <c r="C515" s="14">
        <f t="shared" si="14"/>
        <v>-6.3694914049930492E-3</v>
      </c>
      <c r="D515" s="14">
        <f t="shared" si="15"/>
        <v>-0.27796893958672175</v>
      </c>
    </row>
    <row r="516" spans="1:4" x14ac:dyDescent="0.2">
      <c r="A516" s="61">
        <v>40026</v>
      </c>
      <c r="B516" s="68">
        <f>VLOOKUP(Table4[[#This Row],[Date]],Database!A:E,3,)</f>
        <v>201.583</v>
      </c>
      <c r="C516" s="14">
        <f t="shared" si="14"/>
        <v>2.9650931156718359E-2</v>
      </c>
      <c r="D516" s="14">
        <f t="shared" si="15"/>
        <v>-0.2322577942307838</v>
      </c>
    </row>
    <row r="517" spans="1:4" x14ac:dyDescent="0.2">
      <c r="A517" s="61">
        <v>40057</v>
      </c>
      <c r="B517" s="68">
        <f>VLOOKUP(Table4[[#This Row],[Date]],Database!A:E,3,)</f>
        <v>202.77699999999999</v>
      </c>
      <c r="C517" s="14">
        <f t="shared" si="14"/>
        <v>5.9231185169383747E-3</v>
      </c>
      <c r="D517" s="14">
        <f t="shared" si="15"/>
        <v>-0.22046323882748683</v>
      </c>
    </row>
    <row r="518" spans="1:4" x14ac:dyDescent="0.2">
      <c r="A518" s="61">
        <v>40087</v>
      </c>
      <c r="B518" s="68">
        <f>VLOOKUP(Table4[[#This Row],[Date]],Database!A:E,3,)</f>
        <v>204.71899999999999</v>
      </c>
      <c r="C518" s="14">
        <f t="shared" ref="C518:C569" si="16">(B518-B517)/B517</f>
        <v>9.5770230351568831E-3</v>
      </c>
      <c r="D518" s="14">
        <f t="shared" si="15"/>
        <v>-0.140070989015605</v>
      </c>
    </row>
    <row r="519" spans="1:4" x14ac:dyDescent="0.2">
      <c r="A519" s="61">
        <v>40118</v>
      </c>
      <c r="B519" s="68">
        <f>VLOOKUP(Table4[[#This Row],[Date]],Database!A:E,3,)</f>
        <v>210.93199999999999</v>
      </c>
      <c r="C519" s="14">
        <f t="shared" si="16"/>
        <v>3.0348917296391609E-2</v>
      </c>
      <c r="D519" s="14">
        <f t="shared" si="15"/>
        <v>8.0843432143680602E-2</v>
      </c>
    </row>
    <row r="520" spans="1:4" x14ac:dyDescent="0.2">
      <c r="A520" s="61">
        <v>40148</v>
      </c>
      <c r="B520" s="68">
        <f>VLOOKUP(Table4[[#This Row],[Date]],Database!A:E,3,)</f>
        <v>209.91499999999999</v>
      </c>
      <c r="C520" s="14">
        <f t="shared" si="16"/>
        <v>-4.8214590484136873E-3</v>
      </c>
      <c r="D520" s="14">
        <f t="shared" si="15"/>
        <v>0.18876109251739973</v>
      </c>
    </row>
    <row r="521" spans="1:4" x14ac:dyDescent="0.2">
      <c r="A521" s="61">
        <v>40179</v>
      </c>
      <c r="B521" s="68">
        <f>VLOOKUP(Table4[[#This Row],[Date]],Database!A:E,3,)</f>
        <v>212.80699999999999</v>
      </c>
      <c r="C521" s="14">
        <f t="shared" si="16"/>
        <v>1.3777004978205444E-2</v>
      </c>
      <c r="D521" s="14">
        <f t="shared" si="15"/>
        <v>0.19112173333855731</v>
      </c>
    </row>
    <row r="522" spans="1:4" x14ac:dyDescent="0.2">
      <c r="A522" s="61">
        <v>40210</v>
      </c>
      <c r="B522" s="68">
        <f>VLOOKUP(Table4[[#This Row],[Date]],Database!A:E,3,)</f>
        <v>209.624</v>
      </c>
      <c r="C522" s="14">
        <f t="shared" si="16"/>
        <v>-1.4957214753274059E-2</v>
      </c>
      <c r="D522" s="14">
        <f t="shared" si="15"/>
        <v>0.14099095911735726</v>
      </c>
    </row>
    <row r="523" spans="1:4" x14ac:dyDescent="0.2">
      <c r="A523" s="61">
        <v>40238</v>
      </c>
      <c r="B523" s="68">
        <f>VLOOKUP(Table4[[#This Row],[Date]],Database!A:E,3,)</f>
        <v>209.32599999999999</v>
      </c>
      <c r="C523" s="14">
        <f t="shared" si="16"/>
        <v>-1.4215929473724469E-3</v>
      </c>
      <c r="D523" s="14">
        <f t="shared" si="15"/>
        <v>0.17325336995207805</v>
      </c>
    </row>
    <row r="524" spans="1:4" x14ac:dyDescent="0.2">
      <c r="A524" s="61">
        <v>40269</v>
      </c>
      <c r="B524" s="68">
        <f>VLOOKUP(Table4[[#This Row],[Date]],Database!A:E,3,)</f>
        <v>209.21899999999999</v>
      </c>
      <c r="C524" s="14">
        <f t="shared" si="16"/>
        <v>-5.1116440384853918E-4</v>
      </c>
      <c r="D524" s="14">
        <f t="shared" si="15"/>
        <v>0.17835338379742274</v>
      </c>
    </row>
    <row r="525" spans="1:4" x14ac:dyDescent="0.2">
      <c r="A525" s="61">
        <v>40299</v>
      </c>
      <c r="B525" s="68">
        <f>VLOOKUP(Table4[[#This Row],[Date]],Database!A:E,3,)</f>
        <v>206.631</v>
      </c>
      <c r="C525" s="14">
        <f t="shared" si="16"/>
        <v>-1.2369813449065304E-2</v>
      </c>
      <c r="D525" s="14">
        <f t="shared" si="15"/>
        <v>0.14903519991102701</v>
      </c>
    </row>
    <row r="526" spans="1:4" x14ac:dyDescent="0.2">
      <c r="A526" s="61">
        <v>40330</v>
      </c>
      <c r="B526" s="68">
        <f>VLOOKUP(Table4[[#This Row],[Date]],Database!A:E,3,)</f>
        <v>203.76400000000001</v>
      </c>
      <c r="C526" s="14">
        <f t="shared" si="16"/>
        <v>-1.3874975197332395E-2</v>
      </c>
      <c r="D526" s="14">
        <f t="shared" si="15"/>
        <v>3.41617901569789E-2</v>
      </c>
    </row>
    <row r="527" spans="1:4" x14ac:dyDescent="0.2">
      <c r="A527" s="61">
        <v>40360</v>
      </c>
      <c r="B527" s="68">
        <f>VLOOKUP(Table4[[#This Row],[Date]],Database!A:E,3,)</f>
        <v>206.87700000000001</v>
      </c>
      <c r="C527" s="14">
        <f t="shared" si="16"/>
        <v>1.5277477866551498E-2</v>
      </c>
      <c r="D527" s="14">
        <f t="shared" si="15"/>
        <v>5.6691763119451719E-2</v>
      </c>
    </row>
    <row r="528" spans="1:4" x14ac:dyDescent="0.2">
      <c r="A528" s="61">
        <v>40391</v>
      </c>
      <c r="B528" s="68">
        <f>VLOOKUP(Table4[[#This Row],[Date]],Database!A:E,3,)</f>
        <v>208.77</v>
      </c>
      <c r="C528" s="14">
        <f t="shared" si="16"/>
        <v>9.1503647094650468E-3</v>
      </c>
      <c r="D528" s="14">
        <f t="shared" si="15"/>
        <v>3.5652808024486247E-2</v>
      </c>
    </row>
    <row r="529" spans="1:4" x14ac:dyDescent="0.2">
      <c r="A529" s="61">
        <v>40422</v>
      </c>
      <c r="B529" s="68">
        <f>VLOOKUP(Table4[[#This Row],[Date]],Database!A:E,3,)</f>
        <v>209.83199999999999</v>
      </c>
      <c r="C529" s="14">
        <f t="shared" si="16"/>
        <v>5.0869377784163597E-3</v>
      </c>
      <c r="D529" s="14">
        <f t="shared" ref="D529:D569" si="17">(B529-B517)/B517</f>
        <v>3.479191427035614E-2</v>
      </c>
    </row>
    <row r="530" spans="1:4" x14ac:dyDescent="0.2">
      <c r="A530" s="61">
        <v>40452</v>
      </c>
      <c r="B530" s="68">
        <f>VLOOKUP(Table4[[#This Row],[Date]],Database!A:E,3,)</f>
        <v>216.71</v>
      </c>
      <c r="C530" s="14">
        <f t="shared" si="16"/>
        <v>3.277860383544938E-2</v>
      </c>
      <c r="D530" s="14">
        <f t="shared" si="17"/>
        <v>5.8572970755035023E-2</v>
      </c>
    </row>
    <row r="531" spans="1:4" x14ac:dyDescent="0.2">
      <c r="A531" s="61">
        <v>40483</v>
      </c>
      <c r="B531" s="68">
        <f>VLOOKUP(Table4[[#This Row],[Date]],Database!A:E,3,)</f>
        <v>219.49600000000001</v>
      </c>
      <c r="C531" s="14">
        <f t="shared" si="16"/>
        <v>1.2855890360389467E-2</v>
      </c>
      <c r="D531" s="14">
        <f t="shared" si="17"/>
        <v>4.0600762330988291E-2</v>
      </c>
    </row>
    <row r="532" spans="1:4" x14ac:dyDescent="0.2">
      <c r="A532" s="61">
        <v>40513</v>
      </c>
      <c r="B532" s="68">
        <f>VLOOKUP(Table4[[#This Row],[Date]],Database!A:E,3,)</f>
        <v>227.13</v>
      </c>
      <c r="C532" s="14">
        <f t="shared" si="16"/>
        <v>3.4779677078397721E-2</v>
      </c>
      <c r="D532" s="14">
        <f t="shared" si="17"/>
        <v>8.2009384750970651E-2</v>
      </c>
    </row>
    <row r="533" spans="1:4" x14ac:dyDescent="0.2">
      <c r="A533" s="61">
        <v>40544</v>
      </c>
      <c r="B533" s="68">
        <f>VLOOKUP(Table4[[#This Row],[Date]],Database!A:E,3,)</f>
        <v>229.25800000000001</v>
      </c>
      <c r="C533" s="14">
        <f t="shared" si="16"/>
        <v>9.3690837846168024E-3</v>
      </c>
      <c r="D533" s="14">
        <f t="shared" si="17"/>
        <v>7.7304787906412958E-2</v>
      </c>
    </row>
    <row r="534" spans="1:4" x14ac:dyDescent="0.2">
      <c r="A534" s="61">
        <v>40575</v>
      </c>
      <c r="B534" s="68">
        <f>VLOOKUP(Table4[[#This Row],[Date]],Database!A:E,3,)</f>
        <v>232.06800000000001</v>
      </c>
      <c r="C534" s="14">
        <f t="shared" si="16"/>
        <v>1.2256933236790002E-2</v>
      </c>
      <c r="D534" s="14">
        <f t="shared" si="17"/>
        <v>0.10706789298935245</v>
      </c>
    </row>
    <row r="535" spans="1:4" x14ac:dyDescent="0.2">
      <c r="A535" s="61">
        <v>40603</v>
      </c>
      <c r="B535" s="68">
        <f>VLOOKUP(Table4[[#This Row],[Date]],Database!A:E,3,)</f>
        <v>240.07900000000001</v>
      </c>
      <c r="C535" s="14">
        <f t="shared" si="16"/>
        <v>3.4520054466794195E-2</v>
      </c>
      <c r="D535" s="14">
        <f t="shared" si="17"/>
        <v>0.14691438235097415</v>
      </c>
    </row>
    <row r="536" spans="1:4" x14ac:dyDescent="0.2">
      <c r="A536" s="61">
        <v>40634</v>
      </c>
      <c r="B536" s="68">
        <f>VLOOKUP(Table4[[#This Row],[Date]],Database!A:E,3,)</f>
        <v>247.977</v>
      </c>
      <c r="C536" s="14">
        <f t="shared" si="16"/>
        <v>3.2897504571411891E-2</v>
      </c>
      <c r="D536" s="14">
        <f t="shared" si="17"/>
        <v>0.18525086153743212</v>
      </c>
    </row>
    <row r="537" spans="1:4" x14ac:dyDescent="0.2">
      <c r="A537" s="61">
        <v>40664</v>
      </c>
      <c r="B537" s="68">
        <f>VLOOKUP(Table4[[#This Row],[Date]],Database!A:E,3,)</f>
        <v>250.744</v>
      </c>
      <c r="C537" s="14">
        <f t="shared" si="16"/>
        <v>1.1158292906196928E-2</v>
      </c>
      <c r="D537" s="14">
        <f t="shared" si="17"/>
        <v>0.21348684369721871</v>
      </c>
    </row>
    <row r="538" spans="1:4" x14ac:dyDescent="0.2">
      <c r="A538" s="61">
        <v>40695</v>
      </c>
      <c r="B538" s="68">
        <f>VLOOKUP(Table4[[#This Row],[Date]],Database!A:E,3,)</f>
        <v>245.53399999999999</v>
      </c>
      <c r="C538" s="14">
        <f t="shared" si="16"/>
        <v>-2.0778164183390263E-2</v>
      </c>
      <c r="D538" s="14">
        <f t="shared" si="17"/>
        <v>0.20499204962603787</v>
      </c>
    </row>
    <row r="539" spans="1:4" x14ac:dyDescent="0.2">
      <c r="A539" s="61">
        <v>40725</v>
      </c>
      <c r="B539" s="68">
        <f>VLOOKUP(Table4[[#This Row],[Date]],Database!A:E,3,)</f>
        <v>246.18700000000001</v>
      </c>
      <c r="C539" s="14">
        <f t="shared" si="16"/>
        <v>2.6595094773026141E-3</v>
      </c>
      <c r="D539" s="14">
        <f t="shared" si="17"/>
        <v>0.19001628987272631</v>
      </c>
    </row>
    <row r="540" spans="1:4" x14ac:dyDescent="0.2">
      <c r="A540" s="61">
        <v>40756</v>
      </c>
      <c r="B540" s="68">
        <f>VLOOKUP(Table4[[#This Row],[Date]],Database!A:E,3,)</f>
        <v>246.88</v>
      </c>
      <c r="C540" s="14">
        <f t="shared" si="16"/>
        <v>2.814933363662515E-3</v>
      </c>
      <c r="D540" s="14">
        <f t="shared" si="17"/>
        <v>0.18254538487330546</v>
      </c>
    </row>
    <row r="541" spans="1:4" x14ac:dyDescent="0.2">
      <c r="A541" s="61">
        <v>40787</v>
      </c>
      <c r="B541" s="68">
        <f>VLOOKUP(Table4[[#This Row],[Date]],Database!A:E,3,)</f>
        <v>248.55</v>
      </c>
      <c r="C541" s="14">
        <f t="shared" si="16"/>
        <v>6.7644199611147761E-3</v>
      </c>
      <c r="D541" s="14">
        <f t="shared" si="17"/>
        <v>0.18451904380647385</v>
      </c>
    </row>
    <row r="542" spans="1:4" x14ac:dyDescent="0.2">
      <c r="A542" s="61">
        <v>40817</v>
      </c>
      <c r="B542" s="68">
        <f>VLOOKUP(Table4[[#This Row],[Date]],Database!A:E,3,)</f>
        <v>246.655</v>
      </c>
      <c r="C542" s="14">
        <f t="shared" si="16"/>
        <v>-7.624220478776947E-3</v>
      </c>
      <c r="D542" s="14">
        <f t="shared" si="17"/>
        <v>0.13818005629643298</v>
      </c>
    </row>
    <row r="543" spans="1:4" x14ac:dyDescent="0.2">
      <c r="A543" s="61">
        <v>40848</v>
      </c>
      <c r="B543" s="68">
        <f>VLOOKUP(Table4[[#This Row],[Date]],Database!A:E,3,)</f>
        <v>247.64</v>
      </c>
      <c r="C543" s="14">
        <f t="shared" si="16"/>
        <v>3.9934321217894838E-3</v>
      </c>
      <c r="D543" s="14">
        <f t="shared" si="17"/>
        <v>0.12822101541713732</v>
      </c>
    </row>
    <row r="544" spans="1:4" x14ac:dyDescent="0.2">
      <c r="A544" s="61">
        <v>40878</v>
      </c>
      <c r="B544" s="68">
        <f>VLOOKUP(Table4[[#This Row],[Date]],Database!A:E,3,)</f>
        <v>243.35300000000001</v>
      </c>
      <c r="C544" s="14">
        <f t="shared" si="16"/>
        <v>-1.7311419802939661E-2</v>
      </c>
      <c r="D544" s="14">
        <f t="shared" si="17"/>
        <v>7.1426055562893553E-2</v>
      </c>
    </row>
    <row r="545" spans="1:4" x14ac:dyDescent="0.2">
      <c r="A545" s="61">
        <v>40909</v>
      </c>
      <c r="B545" s="68">
        <f>VLOOKUP(Table4[[#This Row],[Date]],Database!A:E,3,)</f>
        <v>244.876</v>
      </c>
      <c r="C545" s="14">
        <f t="shared" si="16"/>
        <v>6.258398293836509E-3</v>
      </c>
      <c r="D545" s="14">
        <f t="shared" si="17"/>
        <v>6.8124122168037732E-2</v>
      </c>
    </row>
    <row r="546" spans="1:4" x14ac:dyDescent="0.2">
      <c r="A546" s="61">
        <v>40940</v>
      </c>
      <c r="B546" s="68">
        <f>VLOOKUP(Table4[[#This Row],[Date]],Database!A:E,3,)</f>
        <v>248.898</v>
      </c>
      <c r="C546" s="14">
        <f t="shared" si="16"/>
        <v>1.6424639409333669E-2</v>
      </c>
      <c r="D546" s="14">
        <f t="shared" si="17"/>
        <v>7.2521847044831611E-2</v>
      </c>
    </row>
    <row r="547" spans="1:4" x14ac:dyDescent="0.2">
      <c r="A547" s="61">
        <v>40969</v>
      </c>
      <c r="B547" s="68">
        <f>VLOOKUP(Table4[[#This Row],[Date]],Database!A:E,3,)</f>
        <v>249.74199999999999</v>
      </c>
      <c r="C547" s="14">
        <f t="shared" si="16"/>
        <v>3.3909472956793309E-3</v>
      </c>
      <c r="D547" s="14">
        <f t="shared" si="17"/>
        <v>4.0249251288117585E-2</v>
      </c>
    </row>
    <row r="548" spans="1:4" x14ac:dyDescent="0.2">
      <c r="A548" s="61">
        <v>41000</v>
      </c>
      <c r="B548" s="68">
        <f>VLOOKUP(Table4[[#This Row],[Date]],Database!A:E,3,)</f>
        <v>249.67699999999999</v>
      </c>
      <c r="C548" s="14">
        <f t="shared" si="16"/>
        <v>-2.6026859719229336E-4</v>
      </c>
      <c r="D548" s="14">
        <f t="shared" si="17"/>
        <v>6.8554744996511315E-3</v>
      </c>
    </row>
    <row r="549" spans="1:4" x14ac:dyDescent="0.2">
      <c r="A549" s="61">
        <v>41030</v>
      </c>
      <c r="B549" s="68">
        <f>VLOOKUP(Table4[[#This Row],[Date]],Database!A:E,3,)</f>
        <v>241.80600000000001</v>
      </c>
      <c r="C549" s="14">
        <f t="shared" si="16"/>
        <v>-3.1524729951096744E-2</v>
      </c>
      <c r="D549" s="14">
        <f t="shared" si="17"/>
        <v>-3.5645917748779586E-2</v>
      </c>
    </row>
    <row r="550" spans="1:4" x14ac:dyDescent="0.2">
      <c r="A550" s="61">
        <v>41061</v>
      </c>
      <c r="B550" s="68">
        <f>VLOOKUP(Table4[[#This Row],[Date]],Database!A:E,3,)</f>
        <v>235.89699999999999</v>
      </c>
      <c r="C550" s="14">
        <f t="shared" si="16"/>
        <v>-2.4436945319801909E-2</v>
      </c>
      <c r="D550" s="14">
        <f t="shared" si="17"/>
        <v>-3.9249146757679182E-2</v>
      </c>
    </row>
    <row r="551" spans="1:4" x14ac:dyDescent="0.2">
      <c r="A551" s="61">
        <v>41091</v>
      </c>
      <c r="B551" s="68">
        <f>VLOOKUP(Table4[[#This Row],[Date]],Database!A:E,3,)</f>
        <v>233.56800000000001</v>
      </c>
      <c r="C551" s="14">
        <f t="shared" si="16"/>
        <v>-9.8729530261087647E-3</v>
      </c>
      <c r="D551" s="14">
        <f t="shared" si="17"/>
        <v>-5.1257783717255576E-2</v>
      </c>
    </row>
    <row r="552" spans="1:4" x14ac:dyDescent="0.2">
      <c r="A552" s="61">
        <v>41122</v>
      </c>
      <c r="B552" s="68">
        <f>VLOOKUP(Table4[[#This Row],[Date]],Database!A:E,3,)</f>
        <v>244.98699999999999</v>
      </c>
      <c r="C552" s="14">
        <f t="shared" si="16"/>
        <v>4.8889402657898269E-2</v>
      </c>
      <c r="D552" s="14">
        <f t="shared" si="17"/>
        <v>-7.6676928062216487E-3</v>
      </c>
    </row>
    <row r="553" spans="1:4" x14ac:dyDescent="0.2">
      <c r="A553" s="61">
        <v>41153</v>
      </c>
      <c r="B553" s="68">
        <f>VLOOKUP(Table4[[#This Row],[Date]],Database!A:E,3,)</f>
        <v>252.98699999999999</v>
      </c>
      <c r="C553" s="14">
        <f t="shared" si="16"/>
        <v>3.2654793927841069E-2</v>
      </c>
      <c r="D553" s="14">
        <f t="shared" si="17"/>
        <v>1.7851538925769395E-2</v>
      </c>
    </row>
    <row r="554" spans="1:4" x14ac:dyDescent="0.2">
      <c r="A554" s="61">
        <v>41183</v>
      </c>
      <c r="B554" s="68">
        <f>VLOOKUP(Table4[[#This Row],[Date]],Database!A:E,3,)</f>
        <v>256.017</v>
      </c>
      <c r="C554" s="14">
        <f t="shared" si="16"/>
        <v>1.1976899998814173E-2</v>
      </c>
      <c r="D554" s="14">
        <f t="shared" si="17"/>
        <v>3.7955849263140801E-2</v>
      </c>
    </row>
    <row r="555" spans="1:4" x14ac:dyDescent="0.2">
      <c r="A555" s="61">
        <v>41214</v>
      </c>
      <c r="B555" s="68">
        <f>VLOOKUP(Table4[[#This Row],[Date]],Database!A:E,3,)</f>
        <v>248.81899999999999</v>
      </c>
      <c r="C555" s="14">
        <f t="shared" si="16"/>
        <v>-2.8115320467000268E-2</v>
      </c>
      <c r="D555" s="14">
        <f t="shared" si="17"/>
        <v>4.7609433047972952E-3</v>
      </c>
    </row>
    <row r="556" spans="1:4" x14ac:dyDescent="0.2">
      <c r="A556" s="61">
        <v>41244</v>
      </c>
      <c r="B556" s="68">
        <f>VLOOKUP(Table4[[#This Row],[Date]],Database!A:E,3,)</f>
        <v>244.708</v>
      </c>
      <c r="C556" s="14">
        <f t="shared" si="16"/>
        <v>-1.6522050164979322E-2</v>
      </c>
      <c r="D556" s="14">
        <f t="shared" si="17"/>
        <v>5.5680431307606219E-3</v>
      </c>
    </row>
    <row r="557" spans="1:4" x14ac:dyDescent="0.2">
      <c r="A557" s="61">
        <v>41275</v>
      </c>
      <c r="B557" s="68">
        <f>VLOOKUP(Table4[[#This Row],[Date]],Database!A:E,3,)</f>
        <v>245.02500000000001</v>
      </c>
      <c r="C557" s="14">
        <f t="shared" si="16"/>
        <v>1.2954214819295129E-3</v>
      </c>
      <c r="D557" s="14">
        <f t="shared" si="17"/>
        <v>6.0847122625329103E-4</v>
      </c>
    </row>
    <row r="558" spans="1:4" x14ac:dyDescent="0.2">
      <c r="A558" s="61">
        <v>41306</v>
      </c>
      <c r="B558" s="68">
        <f>VLOOKUP(Table4[[#This Row],[Date]],Database!A:E,3,)</f>
        <v>255.696</v>
      </c>
      <c r="C558" s="14">
        <f t="shared" si="16"/>
        <v>4.355065809611261E-2</v>
      </c>
      <c r="D558" s="14">
        <f t="shared" si="17"/>
        <v>2.7312393028469502E-2</v>
      </c>
    </row>
    <row r="559" spans="1:4" x14ac:dyDescent="0.2">
      <c r="A559" s="61">
        <v>41334</v>
      </c>
      <c r="B559" s="68">
        <f>VLOOKUP(Table4[[#This Row],[Date]],Database!A:E,3,)</f>
        <v>246.595</v>
      </c>
      <c r="C559" s="14">
        <f t="shared" si="16"/>
        <v>-3.5593047994493456E-2</v>
      </c>
      <c r="D559" s="14">
        <f t="shared" si="17"/>
        <v>-1.2601004236371902E-2</v>
      </c>
    </row>
    <row r="560" spans="1:4" x14ac:dyDescent="0.2">
      <c r="A560" s="61">
        <v>41365</v>
      </c>
      <c r="B560" s="68">
        <f>VLOOKUP(Table4[[#This Row],[Date]],Database!A:E,3,)</f>
        <v>240.47300000000001</v>
      </c>
      <c r="C560" s="14">
        <f t="shared" si="16"/>
        <v>-2.482613191670547E-2</v>
      </c>
      <c r="D560" s="14">
        <f t="shared" si="17"/>
        <v>-3.686362780712673E-2</v>
      </c>
    </row>
    <row r="561" spans="1:4" x14ac:dyDescent="0.2">
      <c r="A561" s="61">
        <v>41395</v>
      </c>
      <c r="B561" s="68">
        <f>VLOOKUP(Table4[[#This Row],[Date]],Database!A:E,3,)</f>
        <v>240.46799999999999</v>
      </c>
      <c r="C561" s="14">
        <f t="shared" si="16"/>
        <v>-2.0792355066988286E-5</v>
      </c>
      <c r="D561" s="14">
        <f t="shared" si="17"/>
        <v>-5.5333614550508352E-3</v>
      </c>
    </row>
    <row r="562" spans="1:4" x14ac:dyDescent="0.2">
      <c r="A562" s="61">
        <v>41426</v>
      </c>
      <c r="B562" s="68">
        <f>VLOOKUP(Table4[[#This Row],[Date]],Database!A:E,3,)</f>
        <v>242.71100000000001</v>
      </c>
      <c r="C562" s="14">
        <f t="shared" si="16"/>
        <v>9.327644426701363E-3</v>
      </c>
      <c r="D562" s="14">
        <f t="shared" si="17"/>
        <v>2.8885488157967341E-2</v>
      </c>
    </row>
    <row r="563" spans="1:4" x14ac:dyDescent="0.2">
      <c r="A563" s="61">
        <v>41456</v>
      </c>
      <c r="B563" s="68">
        <f>VLOOKUP(Table4[[#This Row],[Date]],Database!A:E,3,)</f>
        <v>242.98599999999999</v>
      </c>
      <c r="C563" s="14">
        <f t="shared" si="16"/>
        <v>1.1330347615063892E-3</v>
      </c>
      <c r="D563" s="14">
        <f t="shared" si="17"/>
        <v>4.032230442526364E-2</v>
      </c>
    </row>
    <row r="564" spans="1:4" x14ac:dyDescent="0.2">
      <c r="A564" s="61">
        <v>41487</v>
      </c>
      <c r="B564" s="68">
        <f>VLOOKUP(Table4[[#This Row],[Date]],Database!A:E,3,)</f>
        <v>244.833</v>
      </c>
      <c r="C564" s="14">
        <f t="shared" si="16"/>
        <v>7.6012609779987673E-3</v>
      </c>
      <c r="D564" s="14">
        <f t="shared" si="17"/>
        <v>-6.2860478311092577E-4</v>
      </c>
    </row>
    <row r="565" spans="1:4" x14ac:dyDescent="0.2">
      <c r="A565" s="61">
        <v>41518</v>
      </c>
      <c r="B565" s="68">
        <f>VLOOKUP(Table4[[#This Row],[Date]],Database!A:E,3,)</f>
        <v>242.745</v>
      </c>
      <c r="C565" s="14">
        <f t="shared" si="16"/>
        <v>-8.5282621215277098E-3</v>
      </c>
      <c r="D565" s="14">
        <f t="shared" si="17"/>
        <v>-4.0484293659357955E-2</v>
      </c>
    </row>
    <row r="566" spans="1:4" x14ac:dyDescent="0.2">
      <c r="A566" s="61">
        <v>41548</v>
      </c>
      <c r="B566" s="68">
        <f>VLOOKUP(Table4[[#This Row],[Date]],Database!A:E,3,)</f>
        <v>241.95400000000001</v>
      </c>
      <c r="C566" s="14">
        <f t="shared" si="16"/>
        <v>-3.2585635131516478E-3</v>
      </c>
      <c r="D566" s="14">
        <f t="shared" si="17"/>
        <v>-5.4929946058269521E-2</v>
      </c>
    </row>
    <row r="567" spans="1:4" x14ac:dyDescent="0.2">
      <c r="A567" s="61">
        <v>41579</v>
      </c>
      <c r="B567" s="68">
        <f>VLOOKUP(Table4[[#This Row],[Date]],Database!A:E,3,)</f>
        <v>242.71799999999999</v>
      </c>
      <c r="C567" s="14">
        <f t="shared" si="16"/>
        <v>3.1576250030996866E-3</v>
      </c>
      <c r="D567" s="14">
        <f t="shared" si="17"/>
        <v>-2.4519831684879367E-2</v>
      </c>
    </row>
    <row r="568" spans="1:4" x14ac:dyDescent="0.2">
      <c r="A568" s="61">
        <v>41609</v>
      </c>
      <c r="B568" s="68">
        <f>VLOOKUP(Table4[[#This Row],[Date]],Database!A:E,3,)</f>
        <v>245.733</v>
      </c>
      <c r="C568" s="14">
        <f t="shared" si="16"/>
        <v>1.2421822856154117E-2</v>
      </c>
      <c r="D568" s="14">
        <f t="shared" si="17"/>
        <v>4.1886656750086048E-3</v>
      </c>
    </row>
    <row r="569" spans="1:4" x14ac:dyDescent="0.2">
      <c r="A569" s="61">
        <v>41640</v>
      </c>
      <c r="B569" s="68">
        <f>VLOOKUP(Table4[[#This Row],[Date]],Database!A:E,3,)</f>
        <v>250.34</v>
      </c>
      <c r="C569" s="14">
        <f t="shared" si="16"/>
        <v>1.8747990705359065E-2</v>
      </c>
      <c r="D569" s="14">
        <f t="shared" si="17"/>
        <v>2.169166411590653E-2</v>
      </c>
    </row>
    <row r="570" spans="1:4" x14ac:dyDescent="0.2">
      <c r="A570" s="61">
        <v>41671</v>
      </c>
      <c r="B570" s="68">
        <f>VLOOKUP(Table4[[#This Row],[Date]],Database!A:E,3,)</f>
        <v>249.92500000000001</v>
      </c>
      <c r="C570" s="14">
        <v>-5.0000000000000001E-3</v>
      </c>
      <c r="D570" s="14">
        <v>-2.5000000000000001E-2</v>
      </c>
    </row>
    <row r="571" spans="1:4" x14ac:dyDescent="0.2">
      <c r="A571" s="61">
        <v>41699</v>
      </c>
      <c r="B571" s="68">
        <f>VLOOKUP(Table4[[#This Row],[Date]],Database!A:E,3,)</f>
        <v>249.96100000000001</v>
      </c>
      <c r="C571" s="14">
        <f t="shared" ref="C571:C576" si="18">(B571-B570)/B570</f>
        <v>1.4404321296389462E-4</v>
      </c>
      <c r="D571" s="14">
        <f t="shared" ref="D571:D602" si="19">(B571-B559)/B559</f>
        <v>1.3649911798698327E-2</v>
      </c>
    </row>
    <row r="572" spans="1:4" x14ac:dyDescent="0.2">
      <c r="A572" s="61">
        <v>41730</v>
      </c>
      <c r="B572" s="68">
        <f>VLOOKUP(Table4[[#This Row],[Date]],Database!A:E,3,)</f>
        <v>249.864</v>
      </c>
      <c r="C572" s="14">
        <f t="shared" si="18"/>
        <v>-3.8806053744387485E-4</v>
      </c>
      <c r="D572" s="14">
        <f t="shared" si="19"/>
        <v>3.9052201286630894E-2</v>
      </c>
    </row>
    <row r="573" spans="1:4" x14ac:dyDescent="0.2">
      <c r="A573" s="61">
        <v>41760</v>
      </c>
      <c r="B573" s="68">
        <f>VLOOKUP(Table4[[#This Row],[Date]],Database!A:E,3,)</f>
        <v>249.21299999999999</v>
      </c>
      <c r="C573" s="14">
        <f t="shared" si="18"/>
        <v>-2.6054173470368299E-3</v>
      </c>
      <c r="D573" s="14">
        <f t="shared" si="19"/>
        <v>3.636658515894009E-2</v>
      </c>
    </row>
    <row r="574" spans="1:4" x14ac:dyDescent="0.2">
      <c r="A574" s="61">
        <v>41791</v>
      </c>
      <c r="B574" s="68">
        <f>VLOOKUP(Table4[[#This Row],[Date]],Database!A:E,3,)</f>
        <v>249.714</v>
      </c>
      <c r="C574" s="14">
        <f t="shared" si="18"/>
        <v>2.0103285141626031E-3</v>
      </c>
      <c r="D574" s="14">
        <f t="shared" si="19"/>
        <v>2.8853245217563214E-2</v>
      </c>
    </row>
    <row r="575" spans="1:4" x14ac:dyDescent="0.2">
      <c r="A575" s="61">
        <v>41821</v>
      </c>
      <c r="B575" s="68">
        <f>VLOOKUP(Table4[[#This Row],[Date]],Database!A:E,3,)</f>
        <v>248.744</v>
      </c>
      <c r="C575" s="14">
        <f t="shared" si="18"/>
        <v>-3.8844438037114412E-3</v>
      </c>
      <c r="D575" s="14">
        <f t="shared" si="19"/>
        <v>2.3696838500983638E-2</v>
      </c>
    </row>
    <row r="576" spans="1:4" x14ac:dyDescent="0.2">
      <c r="A576" s="61">
        <v>41852</v>
      </c>
      <c r="B576" s="68">
        <f>VLOOKUP(Table4[[#This Row],[Date]],Database!A:E,3,)</f>
        <v>245.69900000000001</v>
      </c>
      <c r="C576" s="14">
        <f t="shared" si="18"/>
        <v>-1.2241501302543931E-2</v>
      </c>
      <c r="D576" s="14">
        <f t="shared" si="19"/>
        <v>3.5371048837371348E-3</v>
      </c>
    </row>
    <row r="577" spans="1:4" x14ac:dyDescent="0.2">
      <c r="A577" s="61">
        <v>41883</v>
      </c>
      <c r="B577" s="68">
        <f>VLOOKUP(Table4[[#This Row],[Date]],Database!A:E,3,)</f>
        <v>241.61</v>
      </c>
      <c r="C577" s="14">
        <v>-1.4999999999999999E-2</v>
      </c>
      <c r="D577" s="14">
        <f t="shared" si="19"/>
        <v>-4.6756884796802858E-3</v>
      </c>
    </row>
    <row r="578" spans="1:4" x14ac:dyDescent="0.2">
      <c r="A578" s="61">
        <v>41913</v>
      </c>
      <c r="B578" s="68">
        <f>VLOOKUP(Table4[[#This Row],[Date]],Database!A:E,3,)</f>
        <v>237.06100000000001</v>
      </c>
      <c r="C578" s="14">
        <f t="shared" ref="C578:C609" si="20">(B578-B577)/B577</f>
        <v>-1.8827863085137231E-2</v>
      </c>
      <c r="D578" s="14">
        <f t="shared" si="19"/>
        <v>-2.0222852277705681E-2</v>
      </c>
    </row>
    <row r="579" spans="1:4" x14ac:dyDescent="0.2">
      <c r="A579" s="61">
        <v>41944</v>
      </c>
      <c r="B579" s="68">
        <f>VLOOKUP(Table4[[#This Row],[Date]],Database!A:E,3,)</f>
        <v>229.01599999999999</v>
      </c>
      <c r="C579" s="14">
        <f t="shared" si="20"/>
        <v>-3.393641299074928E-2</v>
      </c>
      <c r="D579" s="14">
        <f t="shared" si="19"/>
        <v>-5.6452343872312717E-2</v>
      </c>
    </row>
    <row r="580" spans="1:4" x14ac:dyDescent="0.2">
      <c r="A580" s="61">
        <v>41974</v>
      </c>
      <c r="B580" s="68">
        <f>VLOOKUP(Table4[[#This Row],[Date]],Database!A:E,3,)</f>
        <v>218.536</v>
      </c>
      <c r="C580" s="14">
        <f t="shared" si="20"/>
        <v>-4.5760994864987553E-2</v>
      </c>
      <c r="D580" s="14">
        <f t="shared" si="19"/>
        <v>-0.11067703564437825</v>
      </c>
    </row>
    <row r="581" spans="1:4" x14ac:dyDescent="0.2">
      <c r="A581" s="61">
        <v>42005</v>
      </c>
      <c r="B581" s="68">
        <f>VLOOKUP(Table4[[#This Row],[Date]],Database!A:E,3,)</f>
        <v>199.92599999999999</v>
      </c>
      <c r="C581" s="14">
        <f t="shared" si="20"/>
        <v>-8.5157594172127316E-2</v>
      </c>
      <c r="D581" s="14">
        <f t="shared" si="19"/>
        <v>-0.20138212031636979</v>
      </c>
    </row>
    <row r="582" spans="1:4" x14ac:dyDescent="0.2">
      <c r="A582" s="61">
        <v>42036</v>
      </c>
      <c r="B582" s="68">
        <f>VLOOKUP(Table4[[#This Row],[Date]],Database!A:E,3,)</f>
        <v>203.02099999999999</v>
      </c>
      <c r="C582" s="14">
        <f t="shared" si="20"/>
        <v>1.548072786931164E-2</v>
      </c>
      <c r="D582" s="14">
        <f t="shared" si="19"/>
        <v>-0.18767230169050725</v>
      </c>
    </row>
    <row r="583" spans="1:4" x14ac:dyDescent="0.2">
      <c r="A583" s="61">
        <v>42064</v>
      </c>
      <c r="B583" s="68">
        <f>VLOOKUP(Table4[[#This Row],[Date]],Database!A:E,3,)</f>
        <v>205.75700000000001</v>
      </c>
      <c r="C583" s="14">
        <f t="shared" si="20"/>
        <v>1.3476438397998329E-2</v>
      </c>
      <c r="D583" s="14">
        <f t="shared" si="19"/>
        <v>-0.17684358759966556</v>
      </c>
    </row>
    <row r="584" spans="1:4" x14ac:dyDescent="0.2">
      <c r="A584" s="61">
        <v>42095</v>
      </c>
      <c r="B584" s="68">
        <f>VLOOKUP(Table4[[#This Row],[Date]],Database!A:E,3,)</f>
        <v>203.577</v>
      </c>
      <c r="C584" s="14">
        <f t="shared" si="20"/>
        <v>-1.0595022283567542E-2</v>
      </c>
      <c r="D584" s="14">
        <f t="shared" si="19"/>
        <v>-0.18524877533378159</v>
      </c>
    </row>
    <row r="585" spans="1:4" x14ac:dyDescent="0.2">
      <c r="A585" s="61">
        <v>42125</v>
      </c>
      <c r="B585" s="68">
        <f>VLOOKUP(Table4[[#This Row],[Date]],Database!A:E,3,)</f>
        <v>208.97300000000001</v>
      </c>
      <c r="C585" s="14">
        <f t="shared" si="20"/>
        <v>2.6505941240906463E-2</v>
      </c>
      <c r="D585" s="14">
        <f t="shared" si="19"/>
        <v>-0.16146830221537392</v>
      </c>
    </row>
    <row r="586" spans="1:4" x14ac:dyDescent="0.2">
      <c r="A586" s="61">
        <v>42156</v>
      </c>
      <c r="B586" s="68">
        <f>VLOOKUP(Table4[[#This Row],[Date]],Database!A:E,3,)</f>
        <v>212.01499999999999</v>
      </c>
      <c r="C586" s="14">
        <f t="shared" si="20"/>
        <v>1.4556904480482996E-2</v>
      </c>
      <c r="D586" s="14">
        <f t="shared" si="19"/>
        <v>-0.15096870820218336</v>
      </c>
    </row>
    <row r="587" spans="1:4" x14ac:dyDescent="0.2">
      <c r="A587" s="61">
        <v>42186</v>
      </c>
      <c r="B587" s="68">
        <f>VLOOKUP(Table4[[#This Row],[Date]],Database!A:E,3,)</f>
        <v>211.62299999999999</v>
      </c>
      <c r="C587" s="14">
        <f t="shared" si="20"/>
        <v>-1.8489257835530312E-3</v>
      </c>
      <c r="D587" s="14">
        <f t="shared" si="19"/>
        <v>-0.1492337503618178</v>
      </c>
    </row>
    <row r="588" spans="1:4" x14ac:dyDescent="0.2">
      <c r="A588" s="61">
        <v>42217</v>
      </c>
      <c r="B588" s="68">
        <f>VLOOKUP(Table4[[#This Row],[Date]],Database!A:E,3,)</f>
        <v>208.57900000000001</v>
      </c>
      <c r="C588" s="14">
        <f t="shared" si="20"/>
        <v>-1.4384069784475142E-2</v>
      </c>
      <c r="D588" s="14">
        <f t="shared" si="19"/>
        <v>-0.1510791659713715</v>
      </c>
    </row>
    <row r="589" spans="1:4" x14ac:dyDescent="0.2">
      <c r="A589" s="61">
        <v>42248</v>
      </c>
      <c r="B589" s="68">
        <f>VLOOKUP(Table4[[#This Row],[Date]],Database!A:E,3,)</f>
        <v>197.24600000000001</v>
      </c>
      <c r="C589" s="14">
        <f t="shared" si="20"/>
        <v>-5.4334328959291196E-2</v>
      </c>
      <c r="D589" s="14">
        <f t="shared" si="19"/>
        <v>-0.1836182277223625</v>
      </c>
    </row>
    <row r="590" spans="1:4" x14ac:dyDescent="0.2">
      <c r="A590" s="61">
        <v>42278</v>
      </c>
      <c r="B590" s="68">
        <f>VLOOKUP(Table4[[#This Row],[Date]],Database!A:E,3,)</f>
        <v>195.61600000000001</v>
      </c>
      <c r="C590" s="14">
        <f t="shared" si="20"/>
        <v>-8.2637924216460434E-3</v>
      </c>
      <c r="D590" s="14">
        <f t="shared" si="19"/>
        <v>-0.17482841968944698</v>
      </c>
    </row>
    <row r="591" spans="1:4" x14ac:dyDescent="0.2">
      <c r="A591" s="61">
        <v>42309</v>
      </c>
      <c r="B591" s="68">
        <f>VLOOKUP(Table4[[#This Row],[Date]],Database!A:E,3,)</f>
        <v>195.114</v>
      </c>
      <c r="C591" s="14">
        <f t="shared" si="20"/>
        <v>-2.5662522493048088E-3</v>
      </c>
      <c r="D591" s="14">
        <f t="shared" si="19"/>
        <v>-0.14803332518251994</v>
      </c>
    </row>
    <row r="592" spans="1:4" x14ac:dyDescent="0.2">
      <c r="A592" s="61">
        <v>42339</v>
      </c>
      <c r="B592" s="68">
        <f>VLOOKUP(Table4[[#This Row],[Date]],Database!A:E,3,)</f>
        <v>190.143</v>
      </c>
      <c r="C592" s="14">
        <f t="shared" si="20"/>
        <v>-2.5477413204588104E-2</v>
      </c>
      <c r="D592" s="14">
        <f t="shared" si="19"/>
        <v>-0.12992367390269796</v>
      </c>
    </row>
    <row r="593" spans="1:4" x14ac:dyDescent="0.2">
      <c r="A593" s="61">
        <v>42370</v>
      </c>
      <c r="B593" s="68">
        <f>VLOOKUP(Table4[[#This Row],[Date]],Database!A:E,3,)</f>
        <v>185.23500000000001</v>
      </c>
      <c r="C593" s="14">
        <f t="shared" si="20"/>
        <v>-2.5812151906722768E-2</v>
      </c>
      <c r="D593" s="14">
        <f t="shared" si="19"/>
        <v>-7.3482188409711463E-2</v>
      </c>
    </row>
    <row r="594" spans="1:4" x14ac:dyDescent="0.2">
      <c r="A594" s="61">
        <v>42401</v>
      </c>
      <c r="B594" s="68">
        <f>VLOOKUP(Table4[[#This Row],[Date]],Database!A:E,3,)</f>
        <v>176.40100000000001</v>
      </c>
      <c r="C594" s="14">
        <f t="shared" si="20"/>
        <v>-4.7690771182551904E-2</v>
      </c>
      <c r="D594" s="14">
        <f t="shared" si="19"/>
        <v>-0.13111944084602076</v>
      </c>
    </row>
    <row r="595" spans="1:4" x14ac:dyDescent="0.2">
      <c r="A595" s="61">
        <v>42430</v>
      </c>
      <c r="B595" s="68">
        <f>VLOOKUP(Table4[[#This Row],[Date]],Database!A:E,3,)</f>
        <v>182.23400000000001</v>
      </c>
      <c r="C595" s="14">
        <f t="shared" si="20"/>
        <v>3.3066705971054572E-2</v>
      </c>
      <c r="D595" s="14">
        <f t="shared" si="19"/>
        <v>-0.11432417852126535</v>
      </c>
    </row>
    <row r="596" spans="1:4" x14ac:dyDescent="0.2">
      <c r="A596" s="61">
        <v>42461</v>
      </c>
      <c r="B596" s="68">
        <f>VLOOKUP(Table4[[#This Row],[Date]],Database!A:E,3,)</f>
        <v>186.71299999999999</v>
      </c>
      <c r="C596" s="14">
        <f t="shared" si="20"/>
        <v>2.4578289452023141E-2</v>
      </c>
      <c r="D596" s="14">
        <f t="shared" si="19"/>
        <v>-8.2838434597228588E-2</v>
      </c>
    </row>
    <row r="597" spans="1:4" x14ac:dyDescent="0.2">
      <c r="A597" s="61">
        <v>42491</v>
      </c>
      <c r="B597" s="68">
        <f>VLOOKUP(Table4[[#This Row],[Date]],Database!A:E,3,)</f>
        <v>188.596</v>
      </c>
      <c r="C597" s="14">
        <f t="shared" si="20"/>
        <v>1.0084996759732904E-2</v>
      </c>
      <c r="D597" s="14">
        <f t="shared" si="19"/>
        <v>-9.7510204667588682E-2</v>
      </c>
    </row>
    <row r="598" spans="1:4" x14ac:dyDescent="0.2">
      <c r="A598" s="61">
        <v>42522</v>
      </c>
      <c r="B598" s="68">
        <f>VLOOKUP(Table4[[#This Row],[Date]],Database!A:E,3,)</f>
        <v>192.899</v>
      </c>
      <c r="C598" s="14">
        <f t="shared" si="20"/>
        <v>2.2815966404377597E-2</v>
      </c>
      <c r="D598" s="14">
        <f t="shared" si="19"/>
        <v>-9.0163431832653282E-2</v>
      </c>
    </row>
    <row r="599" spans="1:4" x14ac:dyDescent="0.2">
      <c r="A599" s="61">
        <v>42552</v>
      </c>
      <c r="B599" s="68">
        <f>VLOOKUP(Table4[[#This Row],[Date]],Database!A:E,3,)</f>
        <v>189.04599999999999</v>
      </c>
      <c r="C599" s="14">
        <f t="shared" si="20"/>
        <v>-1.9974183380940331E-2</v>
      </c>
      <c r="D599" s="14">
        <f t="shared" si="19"/>
        <v>-0.10668500115771914</v>
      </c>
    </row>
    <row r="600" spans="1:4" x14ac:dyDescent="0.2">
      <c r="A600" s="61">
        <v>42583</v>
      </c>
      <c r="B600" s="68">
        <f>VLOOKUP(Table4[[#This Row],[Date]],Database!A:E,3,)</f>
        <v>188.77199999999999</v>
      </c>
      <c r="C600" s="14">
        <f t="shared" si="20"/>
        <v>-1.4493826899273242E-3</v>
      </c>
      <c r="D600" s="14">
        <f t="shared" si="19"/>
        <v>-9.496162125621474E-2</v>
      </c>
    </row>
    <row r="601" spans="1:4" x14ac:dyDescent="0.2">
      <c r="A601" s="61">
        <v>42614</v>
      </c>
      <c r="B601" s="68">
        <f>VLOOKUP(Table4[[#This Row],[Date]],Database!A:E,3,)</f>
        <v>192.24299999999999</v>
      </c>
      <c r="C601" s="14">
        <f t="shared" si="20"/>
        <v>1.8387260822579639E-2</v>
      </c>
      <c r="D601" s="14">
        <f t="shared" si="19"/>
        <v>-2.5364265942021711E-2</v>
      </c>
    </row>
    <row r="602" spans="1:4" x14ac:dyDescent="0.2">
      <c r="A602" s="61">
        <v>42644</v>
      </c>
      <c r="B602" s="68">
        <f>VLOOKUP(Table4[[#This Row],[Date]],Database!A:E,3,)</f>
        <v>195.97900000000001</v>
      </c>
      <c r="C602" s="14">
        <f t="shared" si="20"/>
        <v>1.9433737509298225E-2</v>
      </c>
      <c r="D602" s="14">
        <f t="shared" si="19"/>
        <v>1.8556764272861092E-3</v>
      </c>
    </row>
    <row r="603" spans="1:4" x14ac:dyDescent="0.2">
      <c r="A603" s="61">
        <v>42675</v>
      </c>
      <c r="B603" s="68">
        <f>VLOOKUP(Table4[[#This Row],[Date]],Database!A:E,3,)</f>
        <v>196.37200000000001</v>
      </c>
      <c r="C603" s="14">
        <f t="shared" si="20"/>
        <v>2.0053168961980655E-3</v>
      </c>
      <c r="D603" s="14">
        <f t="shared" ref="D603:D634" si="21">(B603-B591)/B591</f>
        <v>6.4475127361440475E-3</v>
      </c>
    </row>
    <row r="604" spans="1:4" x14ac:dyDescent="0.2">
      <c r="A604" s="61">
        <v>42705</v>
      </c>
      <c r="B604" s="68">
        <f>VLOOKUP(Table4[[#This Row],[Date]],Database!A:E,3,)</f>
        <v>199.51300000000001</v>
      </c>
      <c r="C604" s="14">
        <f t="shared" si="20"/>
        <v>1.5995152058338211E-2</v>
      </c>
      <c r="D604" s="14">
        <f t="shared" si="21"/>
        <v>4.9278700767317253E-2</v>
      </c>
    </row>
    <row r="605" spans="1:4" x14ac:dyDescent="0.2">
      <c r="A605" s="61">
        <v>42736</v>
      </c>
      <c r="B605" s="68">
        <f>VLOOKUP(Table4[[#This Row],[Date]],Database!A:E,3,)</f>
        <v>205.49600000000001</v>
      </c>
      <c r="C605" s="14">
        <f t="shared" si="20"/>
        <v>2.9988020830722831E-2</v>
      </c>
      <c r="D605" s="14">
        <f t="shared" si="21"/>
        <v>0.10937997678624446</v>
      </c>
    </row>
    <row r="606" spans="1:4" x14ac:dyDescent="0.2">
      <c r="A606" s="61">
        <v>42767</v>
      </c>
      <c r="B606" s="68">
        <f>VLOOKUP(Table4[[#This Row],[Date]],Database!A:E,3,)</f>
        <v>203.54400000000001</v>
      </c>
      <c r="C606" s="14">
        <f t="shared" si="20"/>
        <v>-9.4989683497488913E-3</v>
      </c>
      <c r="D606" s="14">
        <f t="shared" si="21"/>
        <v>0.15387100980153173</v>
      </c>
    </row>
    <row r="607" spans="1:4" x14ac:dyDescent="0.2">
      <c r="A607" s="61">
        <v>42795</v>
      </c>
      <c r="B607" s="68">
        <f>VLOOKUP(Table4[[#This Row],[Date]],Database!A:E,3,)</f>
        <v>202.18299999999999</v>
      </c>
      <c r="C607" s="14">
        <f t="shared" si="20"/>
        <v>-6.6865149549975352E-3</v>
      </c>
      <c r="D607" s="14">
        <f t="shared" si="21"/>
        <v>0.1094691440675175</v>
      </c>
    </row>
    <row r="608" spans="1:4" x14ac:dyDescent="0.2">
      <c r="A608" s="61">
        <v>42826</v>
      </c>
      <c r="B608" s="68">
        <f>VLOOKUP(Table4[[#This Row],[Date]],Database!A:E,3,)</f>
        <v>203.792</v>
      </c>
      <c r="C608" s="14">
        <f t="shared" si="20"/>
        <v>7.9581369353506921E-3</v>
      </c>
      <c r="D608" s="14">
        <f t="shared" si="21"/>
        <v>9.1471938215335877E-2</v>
      </c>
    </row>
    <row r="609" spans="1:4" x14ac:dyDescent="0.2">
      <c r="A609" s="61">
        <v>42856</v>
      </c>
      <c r="B609" s="68">
        <f>VLOOKUP(Table4[[#This Row],[Date]],Database!A:E,3,)</f>
        <v>198.72399999999999</v>
      </c>
      <c r="C609" s="14">
        <f t="shared" si="20"/>
        <v>-2.4868493365784779E-2</v>
      </c>
      <c r="D609" s="14">
        <f t="shared" si="21"/>
        <v>5.3702093363591941E-2</v>
      </c>
    </row>
    <row r="610" spans="1:4" x14ac:dyDescent="0.2">
      <c r="A610" s="61">
        <v>42887</v>
      </c>
      <c r="B610" s="68">
        <f>VLOOKUP(Table4[[#This Row],[Date]],Database!A:E,3,)</f>
        <v>197.744</v>
      </c>
      <c r="C610" s="14">
        <f t="shared" ref="C610:C641" si="22">(B610-B609)/B609</f>
        <v>-4.9314627322315863E-3</v>
      </c>
      <c r="D610" s="14">
        <f t="shared" si="21"/>
        <v>2.511677095267471E-2</v>
      </c>
    </row>
    <row r="611" spans="1:4" x14ac:dyDescent="0.2">
      <c r="A611" s="61">
        <v>42917</v>
      </c>
      <c r="B611" s="68">
        <f>VLOOKUP(Table4[[#This Row],[Date]],Database!A:E,3,)</f>
        <v>195.72900000000001</v>
      </c>
      <c r="C611" s="14">
        <f t="shared" si="22"/>
        <v>-1.0189942551986337E-2</v>
      </c>
      <c r="D611" s="14">
        <f t="shared" si="21"/>
        <v>3.535118436782593E-2</v>
      </c>
    </row>
    <row r="612" spans="1:4" x14ac:dyDescent="0.2">
      <c r="A612" s="61">
        <v>42948</v>
      </c>
      <c r="B612" s="68">
        <f>VLOOKUP(Table4[[#This Row],[Date]],Database!A:E,3,)</f>
        <v>201.12100000000001</v>
      </c>
      <c r="C612" s="14">
        <f t="shared" si="22"/>
        <v>2.754829381440663E-2</v>
      </c>
      <c r="D612" s="14">
        <f t="shared" si="21"/>
        <v>6.5417540736973798E-2</v>
      </c>
    </row>
    <row r="613" spans="1:4" x14ac:dyDescent="0.2">
      <c r="A613" s="61">
        <v>42979</v>
      </c>
      <c r="B613" s="68">
        <f>VLOOKUP(Table4[[#This Row],[Date]],Database!A:E,3,)</f>
        <v>211.929</v>
      </c>
      <c r="C613" s="14">
        <f t="shared" si="22"/>
        <v>5.3738794059297601E-2</v>
      </c>
      <c r="D613" s="14">
        <f t="shared" si="21"/>
        <v>0.10240164791435843</v>
      </c>
    </row>
    <row r="614" spans="1:4" x14ac:dyDescent="0.2">
      <c r="A614" s="61">
        <v>43009</v>
      </c>
      <c r="B614" s="68">
        <f>VLOOKUP(Table4[[#This Row],[Date]],Database!A:E,3,)</f>
        <v>208.42699999999999</v>
      </c>
      <c r="C614" s="14">
        <f t="shared" si="22"/>
        <v>-1.6524402040305995E-2</v>
      </c>
      <c r="D614" s="14">
        <f t="shared" si="21"/>
        <v>6.3517009475504912E-2</v>
      </c>
    </row>
    <row r="615" spans="1:4" x14ac:dyDescent="0.2">
      <c r="A615" s="61">
        <v>43040</v>
      </c>
      <c r="B615" s="68">
        <f>VLOOKUP(Table4[[#This Row],[Date]],Database!A:E,3,)</f>
        <v>214.655</v>
      </c>
      <c r="C615" s="14">
        <f t="shared" si="22"/>
        <v>2.9880965517903195E-2</v>
      </c>
      <c r="D615" s="14">
        <f t="shared" si="21"/>
        <v>9.3103904833682943E-2</v>
      </c>
    </row>
    <row r="616" spans="1:4" x14ac:dyDescent="0.2">
      <c r="A616" s="61">
        <v>43070</v>
      </c>
      <c r="B616" s="68">
        <f>VLOOKUP(Table4[[#This Row],[Date]],Database!A:E,3,)</f>
        <v>213.119</v>
      </c>
      <c r="C616" s="14">
        <f t="shared" si="22"/>
        <v>-7.1556683981272339E-3</v>
      </c>
      <c r="D616" s="14">
        <f t="shared" si="21"/>
        <v>6.8196057399768403E-2</v>
      </c>
    </row>
    <row r="617" spans="1:4" x14ac:dyDescent="0.2">
      <c r="A617" s="61">
        <v>43101</v>
      </c>
      <c r="B617" s="68">
        <f>VLOOKUP(Table4[[#This Row],[Date]],Database!A:E,3,)</f>
        <v>217.273</v>
      </c>
      <c r="C617" s="14">
        <f t="shared" si="22"/>
        <v>1.9491457824032565E-2</v>
      </c>
      <c r="D617" s="14">
        <f t="shared" si="21"/>
        <v>5.7310117958500342E-2</v>
      </c>
    </row>
    <row r="618" spans="1:4" x14ac:dyDescent="0.2">
      <c r="A618" s="61">
        <v>43132</v>
      </c>
      <c r="B618" s="68">
        <f>VLOOKUP(Table4[[#This Row],[Date]],Database!A:E,3,)</f>
        <v>219.76499999999999</v>
      </c>
      <c r="C618" s="14">
        <f t="shared" si="22"/>
        <v>1.1469441670156854E-2</v>
      </c>
      <c r="D618" s="14">
        <f t="shared" si="21"/>
        <v>7.9692842825138416E-2</v>
      </c>
    </row>
    <row r="619" spans="1:4" x14ac:dyDescent="0.2">
      <c r="A619" s="61">
        <v>43160</v>
      </c>
      <c r="B619" s="68">
        <f>VLOOKUP(Table4[[#This Row],[Date]],Database!A:E,3,)</f>
        <v>216.49199999999999</v>
      </c>
      <c r="C619" s="14">
        <f t="shared" si="22"/>
        <v>-1.4893181352808666E-2</v>
      </c>
      <c r="D619" s="14">
        <f t="shared" si="21"/>
        <v>7.0772517966396775E-2</v>
      </c>
    </row>
    <row r="620" spans="1:4" x14ac:dyDescent="0.2">
      <c r="A620" s="61">
        <v>43191</v>
      </c>
      <c r="B620" s="68">
        <f>VLOOKUP(Table4[[#This Row],[Date]],Database!A:E,3,)</f>
        <v>219.42400000000001</v>
      </c>
      <c r="C620" s="14">
        <f t="shared" si="22"/>
        <v>1.3543225615727216E-2</v>
      </c>
      <c r="D620" s="14">
        <f t="shared" si="21"/>
        <v>7.6705660673628037E-2</v>
      </c>
    </row>
    <row r="621" spans="1:4" x14ac:dyDescent="0.2">
      <c r="A621" s="61">
        <v>43221</v>
      </c>
      <c r="B621" s="68">
        <f>VLOOKUP(Table4[[#This Row],[Date]],Database!A:E,3,)</f>
        <v>220.77</v>
      </c>
      <c r="C621" s="14">
        <f t="shared" si="22"/>
        <v>6.134242380049601E-3</v>
      </c>
      <c r="D621" s="14">
        <f t="shared" si="21"/>
        <v>0.11093778305589673</v>
      </c>
    </row>
    <row r="622" spans="1:4" x14ac:dyDescent="0.2">
      <c r="A622" s="61">
        <v>43252</v>
      </c>
      <c r="B622" s="68">
        <f>VLOOKUP(Table4[[#This Row],[Date]],Database!A:E,3,)</f>
        <v>221.14500000000001</v>
      </c>
      <c r="C622" s="14">
        <f t="shared" si="22"/>
        <v>1.6986003533088735E-3</v>
      </c>
      <c r="D622" s="14">
        <f t="shared" si="21"/>
        <v>0.11833987377619554</v>
      </c>
    </row>
    <row r="623" spans="1:4" x14ac:dyDescent="0.2">
      <c r="A623" s="61">
        <v>43282</v>
      </c>
      <c r="B623" s="68">
        <f>VLOOKUP(Table4[[#This Row],[Date]],Database!A:E,3,)</f>
        <v>219.16800000000001</v>
      </c>
      <c r="C623" s="14">
        <f t="shared" si="22"/>
        <v>-8.9398358543037546E-3</v>
      </c>
      <c r="D623" s="14">
        <f t="shared" si="21"/>
        <v>0.11975231059270722</v>
      </c>
    </row>
    <row r="624" spans="1:4" x14ac:dyDescent="0.2">
      <c r="A624" s="61">
        <v>43313</v>
      </c>
      <c r="B624" s="68">
        <f>VLOOKUP(Table4[[#This Row],[Date]],Database!A:E,3,)</f>
        <v>221.76300000000001</v>
      </c>
      <c r="C624" s="14">
        <f t="shared" si="22"/>
        <v>1.1840232150678925E-2</v>
      </c>
      <c r="D624" s="14">
        <f t="shared" si="21"/>
        <v>0.10263473232531657</v>
      </c>
    </row>
    <row r="625" spans="1:4" x14ac:dyDescent="0.2">
      <c r="A625" s="61">
        <v>43344</v>
      </c>
      <c r="B625" s="68">
        <f>VLOOKUP(Table4[[#This Row],[Date]],Database!A:E,3,)</f>
        <v>222.392</v>
      </c>
      <c r="C625" s="14">
        <f t="shared" si="22"/>
        <v>2.8363613407105361E-3</v>
      </c>
      <c r="D625" s="14">
        <f t="shared" si="21"/>
        <v>4.9370307980502876E-2</v>
      </c>
    </row>
    <row r="626" spans="1:4" x14ac:dyDescent="0.2">
      <c r="A626" s="61">
        <v>43374</v>
      </c>
      <c r="B626" s="68">
        <f>VLOOKUP(Table4[[#This Row],[Date]],Database!A:E,3,)</f>
        <v>226.73500000000001</v>
      </c>
      <c r="C626" s="14">
        <f t="shared" si="22"/>
        <v>1.9528580164754207E-2</v>
      </c>
      <c r="D626" s="14">
        <f t="shared" si="21"/>
        <v>8.7838907627130952E-2</v>
      </c>
    </row>
    <row r="627" spans="1:4" x14ac:dyDescent="0.2">
      <c r="A627" s="61">
        <v>43405</v>
      </c>
      <c r="B627" s="68">
        <f>VLOOKUP(Table4[[#This Row],[Date]],Database!A:E,3,)</f>
        <v>221.303</v>
      </c>
      <c r="C627" s="14">
        <f t="shared" si="22"/>
        <v>-2.3957483405738045E-2</v>
      </c>
      <c r="D627" s="14">
        <f t="shared" si="21"/>
        <v>3.0970627285644387E-2</v>
      </c>
    </row>
    <row r="628" spans="1:4" x14ac:dyDescent="0.2">
      <c r="A628" s="61">
        <v>43435</v>
      </c>
      <c r="B628" s="68">
        <f>VLOOKUP(Table4[[#This Row],[Date]],Database!A:E,3,)</f>
        <v>212.43600000000001</v>
      </c>
      <c r="C628" s="14">
        <f t="shared" si="22"/>
        <v>-4.0067238130526879E-2</v>
      </c>
      <c r="D628" s="14">
        <f t="shared" si="21"/>
        <v>-3.2047823047217411E-3</v>
      </c>
    </row>
    <row r="629" spans="1:4" x14ac:dyDescent="0.2">
      <c r="A629" s="61">
        <v>43466</v>
      </c>
      <c r="B629" s="68">
        <f>VLOOKUP(Table4[[#This Row],[Date]],Database!A:E,3,)</f>
        <v>206.32400000000001</v>
      </c>
      <c r="C629" s="14">
        <f t="shared" si="22"/>
        <v>-2.8771018094861486E-2</v>
      </c>
      <c r="D629" s="14">
        <f t="shared" si="21"/>
        <v>-5.0392823774698114E-2</v>
      </c>
    </row>
    <row r="630" spans="1:4" x14ac:dyDescent="0.2">
      <c r="A630" s="61">
        <v>43497</v>
      </c>
      <c r="B630" s="68">
        <f>VLOOKUP(Table4[[#This Row],[Date]],Database!A:E,3,)</f>
        <v>208.33600000000001</v>
      </c>
      <c r="C630" s="14">
        <f t="shared" si="22"/>
        <v>9.7516527403501297E-3</v>
      </c>
      <c r="D630" s="14">
        <f t="shared" si="21"/>
        <v>-5.2005551384433253E-2</v>
      </c>
    </row>
    <row r="631" spans="1:4" x14ac:dyDescent="0.2">
      <c r="A631" s="61">
        <v>43525</v>
      </c>
      <c r="B631" s="68">
        <f>VLOOKUP(Table4[[#This Row],[Date]],Database!A:E,3,)</f>
        <v>215.56200000000001</v>
      </c>
      <c r="C631" s="14">
        <f t="shared" si="22"/>
        <v>3.4684356040242677E-2</v>
      </c>
      <c r="D631" s="14">
        <f t="shared" si="21"/>
        <v>-4.2957707444153982E-3</v>
      </c>
    </row>
    <row r="632" spans="1:4" x14ac:dyDescent="0.2">
      <c r="A632" s="61">
        <v>43556</v>
      </c>
      <c r="B632" s="68">
        <f>VLOOKUP(Table4[[#This Row],[Date]],Database!A:E,3,)</f>
        <v>222.97399999999999</v>
      </c>
      <c r="C632" s="14">
        <f t="shared" si="22"/>
        <v>3.4384539018936441E-2</v>
      </c>
      <c r="D632" s="14">
        <f t="shared" si="21"/>
        <v>1.6178722473384782E-2</v>
      </c>
    </row>
    <row r="633" spans="1:4" x14ac:dyDescent="0.2">
      <c r="A633" s="61">
        <v>43586</v>
      </c>
      <c r="B633" s="68">
        <f>VLOOKUP(Table4[[#This Row],[Date]],Database!A:E,3,)</f>
        <v>219.84800000000001</v>
      </c>
      <c r="C633" s="14">
        <f t="shared" si="22"/>
        <v>-1.4019571788638928E-2</v>
      </c>
      <c r="D633" s="14">
        <f t="shared" si="21"/>
        <v>-4.1762920686687363E-3</v>
      </c>
    </row>
    <row r="634" spans="1:4" x14ac:dyDescent="0.2">
      <c r="A634" s="61">
        <v>43617</v>
      </c>
      <c r="B634" s="68">
        <f>VLOOKUP(Table4[[#This Row],[Date]],Database!A:E,3,)</f>
        <v>213.97900000000001</v>
      </c>
      <c r="C634" s="14">
        <f t="shared" si="22"/>
        <v>-2.6695717040864594E-2</v>
      </c>
      <c r="D634" s="14">
        <f t="shared" si="21"/>
        <v>-3.2404078771846513E-2</v>
      </c>
    </row>
    <row r="635" spans="1:4" x14ac:dyDescent="0.2">
      <c r="A635" s="61">
        <v>43647</v>
      </c>
      <c r="B635" s="68">
        <f>VLOOKUP(Table4[[#This Row],[Date]],Database!A:E,3,)</f>
        <v>214.95</v>
      </c>
      <c r="C635" s="14">
        <f t="shared" si="22"/>
        <v>4.5378284784954375E-3</v>
      </c>
      <c r="D635" s="14">
        <f t="shared" ref="D635:D663" si="23">(B635-B623)/B623</f>
        <v>-1.9245510293473579E-2</v>
      </c>
    </row>
    <row r="636" spans="1:4" s="74" customFormat="1" x14ac:dyDescent="0.2">
      <c r="A636" s="61">
        <v>43678</v>
      </c>
      <c r="B636" s="68">
        <f>VLOOKUP(Table4[[#This Row],[Date]],Database!A:E,3,)</f>
        <v>212.267</v>
      </c>
      <c r="C636" s="14">
        <f t="shared" si="22"/>
        <v>-1.2481972551756189E-2</v>
      </c>
      <c r="D636" s="14">
        <f t="shared" si="23"/>
        <v>-4.2820488539567055E-2</v>
      </c>
    </row>
    <row r="637" spans="1:4" s="74" customFormat="1" x14ac:dyDescent="0.2">
      <c r="A637" s="61">
        <v>43709</v>
      </c>
      <c r="B637" s="68">
        <f>VLOOKUP(Table4[[#This Row],[Date]],Database!A:E,3,)</f>
        <v>212.05199999999999</v>
      </c>
      <c r="C637" s="14">
        <f t="shared" si="22"/>
        <v>-1.0128752938516276E-3</v>
      </c>
      <c r="D637" s="14">
        <f t="shared" si="23"/>
        <v>-4.6494478218640972E-2</v>
      </c>
    </row>
    <row r="638" spans="1:4" s="74" customFormat="1" x14ac:dyDescent="0.2">
      <c r="A638" s="61">
        <v>43739</v>
      </c>
      <c r="B638" s="68">
        <f>VLOOKUP(Table4[[#This Row],[Date]],Database!A:E,3,)</f>
        <v>217.18600000000001</v>
      </c>
      <c r="C638" s="14">
        <f t="shared" si="22"/>
        <v>2.4211042574462938E-2</v>
      </c>
      <c r="D638" s="14">
        <f t="shared" si="23"/>
        <v>-4.2115244668886609E-2</v>
      </c>
    </row>
    <row r="639" spans="1:4" s="74" customFormat="1" x14ac:dyDescent="0.2">
      <c r="A639" s="61">
        <v>43770</v>
      </c>
      <c r="B639" s="68">
        <f>VLOOKUP(Table4[[#This Row],[Date]],Database!A:E,3,)</f>
        <v>219.77</v>
      </c>
      <c r="C639" s="14">
        <f t="shared" si="22"/>
        <v>1.1897636127558881E-2</v>
      </c>
      <c r="D639" s="14">
        <f t="shared" si="23"/>
        <v>-6.9271541732375385E-3</v>
      </c>
    </row>
    <row r="640" spans="1:4" s="74" customFormat="1" x14ac:dyDescent="0.2">
      <c r="A640" s="61">
        <v>43800</v>
      </c>
      <c r="B640" s="68">
        <f>VLOOKUP(Table4[[#This Row],[Date]],Database!A:E,3,)</f>
        <v>219.71799999999999</v>
      </c>
      <c r="C640" s="14">
        <f t="shared" si="22"/>
        <v>-2.3661100241170732E-4</v>
      </c>
      <c r="D640" s="14">
        <f t="shared" si="23"/>
        <v>3.4278559189591135E-2</v>
      </c>
    </row>
    <row r="641" spans="1:4" s="74" customFormat="1" x14ac:dyDescent="0.2">
      <c r="A641" s="61">
        <v>43831</v>
      </c>
      <c r="B641" s="68">
        <f>VLOOKUP(Table4[[#This Row],[Date]],Database!A:E,3,)</f>
        <v>219.11699999999999</v>
      </c>
      <c r="C641" s="14">
        <f t="shared" si="22"/>
        <v>-2.7353243703292364E-3</v>
      </c>
      <c r="D641" s="14">
        <f t="shared" si="23"/>
        <v>6.2004420232255955E-2</v>
      </c>
    </row>
    <row r="642" spans="1:4" s="74" customFormat="1" x14ac:dyDescent="0.2">
      <c r="A642" s="61">
        <v>43862</v>
      </c>
      <c r="B642" s="68">
        <f>VLOOKUP(Table4[[#This Row],[Date]],Database!A:E,3,)</f>
        <v>213.96299999999999</v>
      </c>
      <c r="C642" s="14">
        <f t="shared" ref="C642:C664" si="24">(B642-B641)/B641</f>
        <v>-2.3521680198250235E-2</v>
      </c>
      <c r="D642" s="14">
        <f t="shared" si="23"/>
        <v>2.7009254281545103E-2</v>
      </c>
    </row>
    <row r="643" spans="1:4" s="74" customFormat="1" x14ac:dyDescent="0.2">
      <c r="A643" s="61">
        <v>43891</v>
      </c>
      <c r="B643" s="68">
        <f>VLOOKUP(Table4[[#This Row],[Date]],Database!A:E,3,)</f>
        <v>202.995</v>
      </c>
      <c r="C643" s="14">
        <f t="shared" si="24"/>
        <v>-5.126119936624552E-2</v>
      </c>
      <c r="D643" s="14">
        <f t="shared" si="23"/>
        <v>-5.8298772510924961E-2</v>
      </c>
    </row>
    <row r="644" spans="1:4" s="74" customFormat="1" x14ac:dyDescent="0.2">
      <c r="A644" s="61">
        <v>43922</v>
      </c>
      <c r="B644" s="68">
        <f>VLOOKUP(Table4[[#This Row],[Date]],Database!A:E,3,)</f>
        <v>183.78800000000001</v>
      </c>
      <c r="C644" s="14">
        <f t="shared" si="24"/>
        <v>-9.4618094041725137E-2</v>
      </c>
      <c r="D644" s="14">
        <f t="shared" si="23"/>
        <v>-0.17574246324683587</v>
      </c>
    </row>
    <row r="645" spans="1:4" s="74" customFormat="1" x14ac:dyDescent="0.2">
      <c r="A645" s="61">
        <v>43952</v>
      </c>
      <c r="B645" s="68">
        <f>VLOOKUP(Table4[[#This Row],[Date]],Database!A:E,3,)</f>
        <v>179.61</v>
      </c>
      <c r="C645" s="14">
        <f t="shared" si="24"/>
        <v>-2.2732713778919174E-2</v>
      </c>
      <c r="D645" s="14">
        <f t="shared" si="23"/>
        <v>-0.18302645464138859</v>
      </c>
    </row>
    <row r="646" spans="1:4" s="74" customFormat="1" x14ac:dyDescent="0.2">
      <c r="A646" s="61">
        <v>43983</v>
      </c>
      <c r="B646" s="68">
        <f>VLOOKUP(Table4[[#This Row],[Date]],Database!A:E,3,)</f>
        <v>187.59100000000001</v>
      </c>
      <c r="C646" s="14">
        <f t="shared" si="24"/>
        <v>4.4435165079895297E-2</v>
      </c>
      <c r="D646" s="14">
        <f t="shared" si="23"/>
        <v>-0.12332051276059802</v>
      </c>
    </row>
    <row r="647" spans="1:4" s="74" customFormat="1" x14ac:dyDescent="0.2">
      <c r="A647" s="61">
        <v>44013</v>
      </c>
      <c r="B647" s="68">
        <f>VLOOKUP(Table4[[#This Row],[Date]],Database!A:E,3,)</f>
        <v>191.566</v>
      </c>
      <c r="C647" s="14">
        <f t="shared" si="24"/>
        <v>2.1189715924537927E-2</v>
      </c>
      <c r="D647" s="14">
        <f t="shared" si="23"/>
        <v>-0.10878809025354728</v>
      </c>
    </row>
    <row r="648" spans="1:4" s="74" customFormat="1" x14ac:dyDescent="0.2">
      <c r="A648" s="61">
        <v>44044</v>
      </c>
      <c r="B648" s="68">
        <f>VLOOKUP(Table4[[#This Row],[Date]],Database!A:E,3,)</f>
        <v>193.36199999999999</v>
      </c>
      <c r="C648" s="14">
        <f t="shared" si="24"/>
        <v>9.3753588841443275E-3</v>
      </c>
      <c r="D648" s="14">
        <f t="shared" si="23"/>
        <v>-8.9062360140766114E-2</v>
      </c>
    </row>
    <row r="649" spans="1:4" s="74" customFormat="1" x14ac:dyDescent="0.2">
      <c r="A649" s="61">
        <v>44075</v>
      </c>
      <c r="B649" s="68">
        <f>VLOOKUP(Table4[[#This Row],[Date]],Database!A:E,3,)</f>
        <v>195.995</v>
      </c>
      <c r="C649" s="14">
        <f t="shared" si="24"/>
        <v>1.36169464527674E-2</v>
      </c>
      <c r="D649" s="14">
        <f t="shared" si="23"/>
        <v>-7.5721992718767034E-2</v>
      </c>
    </row>
    <row r="650" spans="1:4" s="74" customFormat="1" x14ac:dyDescent="0.2">
      <c r="A650" s="61">
        <v>44105</v>
      </c>
      <c r="B650" s="68">
        <f>VLOOKUP(Table4[[#This Row],[Date]],Database!A:E,3,)</f>
        <v>197.15700000000001</v>
      </c>
      <c r="C650" s="14">
        <f t="shared" si="24"/>
        <v>5.9287226714967532E-3</v>
      </c>
      <c r="D650" s="14">
        <f t="shared" si="23"/>
        <v>-9.2220493033620926E-2</v>
      </c>
    </row>
    <row r="651" spans="1:4" s="74" customFormat="1" x14ac:dyDescent="0.2">
      <c r="A651" s="61">
        <v>44136</v>
      </c>
      <c r="B651" s="68">
        <f>VLOOKUP(Table4[[#This Row],[Date]],Database!A:E,3,)</f>
        <v>198.57599999999999</v>
      </c>
      <c r="C651" s="14">
        <f t="shared" si="24"/>
        <v>7.1973097582129098E-3</v>
      </c>
      <c r="D651" s="14">
        <f t="shared" si="23"/>
        <v>-9.6437184329071376E-2</v>
      </c>
    </row>
    <row r="652" spans="1:4" s="74" customFormat="1" x14ac:dyDescent="0.2">
      <c r="A652" s="61">
        <v>44166</v>
      </c>
      <c r="B652" s="68">
        <f>VLOOKUP(Table4[[#This Row],[Date]],Database!A:E,3,)</f>
        <v>203.71600000000001</v>
      </c>
      <c r="C652" s="14">
        <f t="shared" si="24"/>
        <v>2.5884296188864793E-2</v>
      </c>
      <c r="D652" s="14">
        <f t="shared" si="23"/>
        <v>-7.2829718093192095E-2</v>
      </c>
    </row>
    <row r="653" spans="1:4" s="74" customFormat="1" x14ac:dyDescent="0.2">
      <c r="A653" s="61">
        <v>44197</v>
      </c>
      <c r="B653" s="68">
        <f>VLOOKUP(Table4[[#This Row],[Date]],Database!A:E,3,)</f>
        <v>210.822</v>
      </c>
      <c r="C653" s="14">
        <f t="shared" si="24"/>
        <v>3.4881894402010616E-2</v>
      </c>
      <c r="D653" s="14">
        <f t="shared" si="23"/>
        <v>-3.7856487629896303E-2</v>
      </c>
    </row>
    <row r="654" spans="1:4" s="74" customFormat="1" x14ac:dyDescent="0.2">
      <c r="A654" s="61">
        <v>44228</v>
      </c>
      <c r="B654" s="68">
        <f>VLOOKUP(Table4[[#This Row],[Date]],Database!A:E,3,)</f>
        <v>218.946</v>
      </c>
      <c r="C654" s="14">
        <f t="shared" si="24"/>
        <v>3.8534877764180187E-2</v>
      </c>
      <c r="D654" s="14">
        <f t="shared" si="23"/>
        <v>2.3289073344456773E-2</v>
      </c>
    </row>
    <row r="655" spans="1:4" s="74" customFormat="1" x14ac:dyDescent="0.2">
      <c r="A655" s="61">
        <v>44256</v>
      </c>
      <c r="B655" s="68">
        <f>VLOOKUP(Table4[[#This Row],[Date]],Database!A:E,3,)</f>
        <v>229.886</v>
      </c>
      <c r="C655" s="14">
        <f t="shared" si="24"/>
        <v>4.9966658445461429E-2</v>
      </c>
      <c r="D655" s="14">
        <f t="shared" si="23"/>
        <v>0.1324712431340673</v>
      </c>
    </row>
    <row r="656" spans="1:4" s="74" customFormat="1" x14ac:dyDescent="0.2">
      <c r="A656" s="61">
        <v>44287</v>
      </c>
      <c r="B656" s="68">
        <f>VLOOKUP(Table4[[#This Row],[Date]],Database!A:E,3,)</f>
        <v>229.65799999999999</v>
      </c>
      <c r="C656" s="14">
        <f t="shared" si="24"/>
        <v>-9.9179593363670979E-4</v>
      </c>
      <c r="D656" s="14">
        <f t="shared" si="23"/>
        <v>0.24958103902322226</v>
      </c>
    </row>
    <row r="657" spans="1:4" s="74" customFormat="1" x14ac:dyDescent="0.2">
      <c r="A657" s="61">
        <v>44317</v>
      </c>
      <c r="B657" s="68">
        <f>VLOOKUP(Table4[[#This Row],[Date]],Database!A:E,3,)</f>
        <v>229.63</v>
      </c>
      <c r="C657" s="14">
        <f t="shared" si="24"/>
        <v>-1.2192042079958716E-4</v>
      </c>
      <c r="D657" s="14">
        <f t="shared" si="23"/>
        <v>0.27849228884805954</v>
      </c>
    </row>
    <row r="658" spans="1:4" s="74" customFormat="1" x14ac:dyDescent="0.2">
      <c r="A658" s="61">
        <v>44348</v>
      </c>
      <c r="B658" s="68">
        <f>VLOOKUP(Table4[[#This Row],[Date]],Database!A:E,3,)</f>
        <v>232.995</v>
      </c>
      <c r="C658" s="14">
        <f t="shared" si="24"/>
        <v>1.4654008622566777E-2</v>
      </c>
      <c r="D658" s="14">
        <f t="shared" si="23"/>
        <v>0.24203719794659656</v>
      </c>
    </row>
    <row r="659" spans="1:4" s="74" customFormat="1" x14ac:dyDescent="0.2">
      <c r="A659" s="61">
        <v>44378</v>
      </c>
      <c r="B659" s="68">
        <f>VLOOKUP(Table4[[#This Row],[Date]],Database!A:E,3,)</f>
        <v>236.79599999999999</v>
      </c>
      <c r="C659" s="14">
        <f t="shared" si="24"/>
        <v>1.6313654799459162E-2</v>
      </c>
      <c r="D659" s="14">
        <f t="shared" si="23"/>
        <v>0.23610661599657554</v>
      </c>
    </row>
    <row r="660" spans="1:4" s="74" customFormat="1" x14ac:dyDescent="0.2">
      <c r="A660" s="61">
        <v>44409</v>
      </c>
      <c r="B660" s="68">
        <f>VLOOKUP(Table4[[#This Row],[Date]],Database!A:E,3,)</f>
        <v>241.47399999999999</v>
      </c>
      <c r="C660" s="14">
        <f t="shared" si="24"/>
        <v>1.9755401273670151E-2</v>
      </c>
      <c r="D660" s="14">
        <f t="shared" si="23"/>
        <v>0.24881827866902492</v>
      </c>
    </row>
    <row r="661" spans="1:4" s="74" customFormat="1" x14ac:dyDescent="0.2">
      <c r="A661" s="61">
        <v>44440</v>
      </c>
      <c r="B661" s="68">
        <f>VLOOKUP(Table4[[#This Row],[Date]],Database!A:E,3,)</f>
        <v>244.565</v>
      </c>
      <c r="C661" s="14">
        <f t="shared" si="24"/>
        <v>1.2800549955688845E-2</v>
      </c>
      <c r="D661" s="14">
        <f t="shared" si="23"/>
        <v>0.24781244419500492</v>
      </c>
    </row>
    <row r="662" spans="1:4" s="74" customFormat="1" x14ac:dyDescent="0.2">
      <c r="A662" s="61">
        <v>44470</v>
      </c>
      <c r="B662" s="68">
        <f>VLOOKUP(Table4[[#This Row],[Date]],Database!A:E,3,)</f>
        <v>256.22699999999998</v>
      </c>
      <c r="C662" s="14">
        <f t="shared" si="24"/>
        <v>4.7684664608590673E-2</v>
      </c>
      <c r="D662" s="14">
        <f t="shared" si="23"/>
        <v>0.29960894109770364</v>
      </c>
    </row>
    <row r="663" spans="1:4" s="74" customFormat="1" x14ac:dyDescent="0.2">
      <c r="A663" s="61">
        <v>44501</v>
      </c>
      <c r="B663" s="68">
        <f>VLOOKUP(Table4[[#This Row],[Date]],Database!A:E,3,)</f>
        <v>265.11700000000002</v>
      </c>
      <c r="C663" s="14">
        <f t="shared" si="24"/>
        <v>3.4695797086177663E-2</v>
      </c>
      <c r="D663" s="14">
        <f t="shared" si="23"/>
        <v>0.33509084682942564</v>
      </c>
    </row>
    <row r="664" spans="1:4" s="74" customFormat="1" x14ac:dyDescent="0.2">
      <c r="A664" s="61">
        <v>44531</v>
      </c>
      <c r="B664" s="68">
        <f>VLOOKUP(Table4[[#This Row],[Date]],Database!A:E,3,)</f>
        <v>264.08</v>
      </c>
      <c r="C664" s="14">
        <f t="shared" si="24"/>
        <v>-3.9114805915879949E-3</v>
      </c>
      <c r="D664" s="14">
        <f t="shared" ref="D664" si="25">(B664-B652)/B652</f>
        <v>0.29631447701702357</v>
      </c>
    </row>
    <row r="665" spans="1:4" s="74" customFormat="1" x14ac:dyDescent="0.2">
      <c r="A665" s="2"/>
      <c r="B665" s="64"/>
      <c r="C665" s="2"/>
      <c r="D665" s="2"/>
    </row>
    <row r="666" spans="1:4" s="74" customFormat="1" x14ac:dyDescent="0.2">
      <c r="A666" s="2"/>
      <c r="B666" s="64"/>
      <c r="C666" s="2"/>
      <c r="D666" s="2"/>
    </row>
    <row r="667" spans="1:4" s="74" customFormat="1" x14ac:dyDescent="0.2">
      <c r="A667" s="2"/>
      <c r="B667" s="64"/>
      <c r="C667" s="2"/>
      <c r="D667" s="2"/>
    </row>
    <row r="668" spans="1:4" s="74" customFormat="1" x14ac:dyDescent="0.2">
      <c r="A668" s="2"/>
      <c r="B668" s="64"/>
      <c r="C668" s="2"/>
      <c r="D668" s="2"/>
    </row>
    <row r="669" spans="1:4" s="74" customFormat="1" x14ac:dyDescent="0.2">
      <c r="A669" s="2"/>
      <c r="B669" s="64"/>
      <c r="C669" s="2"/>
      <c r="D669" s="2"/>
    </row>
    <row r="670" spans="1:4" s="74" customFormat="1" x14ac:dyDescent="0.2">
      <c r="A670" s="2"/>
      <c r="B670" s="64"/>
      <c r="C670" s="2"/>
      <c r="D670" s="2"/>
    </row>
    <row r="671" spans="1:4" s="74" customFormat="1" x14ac:dyDescent="0.2">
      <c r="A671" s="2"/>
      <c r="B671" s="64"/>
      <c r="C671" s="2"/>
      <c r="D671" s="2"/>
    </row>
    <row r="672" spans="1:4" s="74" customFormat="1" x14ac:dyDescent="0.2">
      <c r="A672" s="2"/>
      <c r="B672" s="64"/>
      <c r="C672" s="2"/>
      <c r="D672" s="2"/>
    </row>
    <row r="673" spans="1:4" s="74" customFormat="1" x14ac:dyDescent="0.2">
      <c r="A673" s="2"/>
      <c r="B673" s="64"/>
      <c r="C673" s="2"/>
      <c r="D673" s="2"/>
    </row>
    <row r="674" spans="1:4" s="74" customFormat="1" x14ac:dyDescent="0.2">
      <c r="A674" s="2"/>
      <c r="B674" s="64"/>
      <c r="C674" s="2"/>
      <c r="D674" s="2"/>
    </row>
    <row r="675" spans="1:4" s="74" customFormat="1" x14ac:dyDescent="0.2">
      <c r="A675" s="2"/>
      <c r="B675" s="64"/>
      <c r="C675" s="2"/>
      <c r="D675" s="2"/>
    </row>
    <row r="676" spans="1:4" s="74" customFormat="1" x14ac:dyDescent="0.2">
      <c r="A676" s="2"/>
      <c r="B676" s="64"/>
      <c r="C676" s="2"/>
      <c r="D676" s="2"/>
    </row>
    <row r="677" spans="1:4" s="74" customFormat="1" x14ac:dyDescent="0.2">
      <c r="A677" s="2"/>
      <c r="B677" s="64"/>
      <c r="C677" s="2"/>
      <c r="D677" s="2"/>
    </row>
    <row r="678" spans="1:4" s="74" customFormat="1" x14ac:dyDescent="0.2">
      <c r="A678" s="2"/>
      <c r="B678" s="64"/>
      <c r="C678" s="2"/>
      <c r="D678" s="2"/>
    </row>
    <row r="679" spans="1:4" s="74" customFormat="1" x14ac:dyDescent="0.2">
      <c r="A679" s="2"/>
      <c r="B679" s="64"/>
      <c r="C679" s="2"/>
      <c r="D679" s="2"/>
    </row>
    <row r="680" spans="1:4" s="74" customFormat="1" x14ac:dyDescent="0.2">
      <c r="A680" s="2"/>
      <c r="B680" s="64"/>
      <c r="C680" s="2"/>
      <c r="D680" s="2"/>
    </row>
    <row r="681" spans="1:4" s="74" customFormat="1" x14ac:dyDescent="0.2">
      <c r="A681" s="2"/>
      <c r="B681" s="64"/>
      <c r="C681" s="2"/>
      <c r="D681" s="2"/>
    </row>
    <row r="682" spans="1:4" s="74" customFormat="1" x14ac:dyDescent="0.2">
      <c r="A682" s="2"/>
      <c r="B682" s="64"/>
      <c r="C682" s="2"/>
      <c r="D682" s="2"/>
    </row>
    <row r="683" spans="1:4" s="74" customFormat="1" x14ac:dyDescent="0.2">
      <c r="A683" s="2"/>
      <c r="B683" s="64"/>
      <c r="C683" s="2"/>
      <c r="D683" s="2"/>
    </row>
    <row r="684" spans="1:4" s="74" customFormat="1" x14ac:dyDescent="0.2">
      <c r="A684" s="2"/>
      <c r="B684" s="64"/>
      <c r="C684" s="2"/>
      <c r="D684" s="2"/>
    </row>
    <row r="685" spans="1:4" s="74" customFormat="1" x14ac:dyDescent="0.2">
      <c r="A685" s="2"/>
      <c r="B685" s="64"/>
      <c r="C685" s="2"/>
      <c r="D685" s="2"/>
    </row>
    <row r="686" spans="1:4" s="74" customFormat="1" x14ac:dyDescent="0.2">
      <c r="A686" s="2"/>
      <c r="B686" s="64"/>
      <c r="C686" s="2"/>
      <c r="D686" s="2"/>
    </row>
    <row r="687" spans="1:4" s="74" customFormat="1" x14ac:dyDescent="0.2">
      <c r="A687" s="2"/>
      <c r="B687" s="64"/>
      <c r="C687" s="2"/>
      <c r="D687" s="2"/>
    </row>
    <row r="688" spans="1:4" s="74" customFormat="1" x14ac:dyDescent="0.2">
      <c r="A688" s="2"/>
      <c r="B688" s="64"/>
      <c r="C688" s="2"/>
      <c r="D688" s="2"/>
    </row>
    <row r="689" spans="1:4" s="74" customFormat="1" x14ac:dyDescent="0.2">
      <c r="A689" s="2"/>
      <c r="B689" s="64"/>
      <c r="C689" s="2"/>
      <c r="D689" s="2"/>
    </row>
    <row r="690" spans="1:4" s="74" customFormat="1" x14ac:dyDescent="0.2">
      <c r="A690" s="2"/>
      <c r="B690" s="64"/>
      <c r="C690" s="2"/>
      <c r="D690" s="2"/>
    </row>
    <row r="691" spans="1:4" s="74" customFormat="1" x14ac:dyDescent="0.2">
      <c r="A691" s="2"/>
      <c r="B691" s="64"/>
      <c r="C691" s="2"/>
      <c r="D691" s="2"/>
    </row>
    <row r="692" spans="1:4" s="74" customFormat="1" x14ac:dyDescent="0.2">
      <c r="A692" s="2"/>
      <c r="B692" s="64"/>
      <c r="C692" s="2"/>
      <c r="D692" s="2"/>
    </row>
    <row r="693" spans="1:4" s="74" customFormat="1" x14ac:dyDescent="0.2">
      <c r="A693" s="2"/>
      <c r="B693" s="64"/>
      <c r="C693" s="2"/>
      <c r="D693" s="2"/>
    </row>
    <row r="694" spans="1:4" s="74" customFormat="1" x14ac:dyDescent="0.2">
      <c r="A694" s="2"/>
      <c r="B694" s="64"/>
      <c r="C694" s="2"/>
      <c r="D694" s="2"/>
    </row>
    <row r="695" spans="1:4" s="74" customFormat="1" x14ac:dyDescent="0.2">
      <c r="A695" s="2"/>
      <c r="B695" s="64"/>
      <c r="C695" s="2"/>
      <c r="D695" s="2"/>
    </row>
    <row r="696" spans="1:4" s="74" customFormat="1" x14ac:dyDescent="0.2">
      <c r="A696" s="2"/>
      <c r="B696" s="64"/>
      <c r="C696" s="2"/>
      <c r="D696" s="2"/>
    </row>
    <row r="697" spans="1:4" s="74" customFormat="1" x14ac:dyDescent="0.2">
      <c r="A697" s="2"/>
      <c r="B697" s="64"/>
      <c r="C697" s="2"/>
      <c r="D697" s="2"/>
    </row>
    <row r="698" spans="1:4" s="74" customFormat="1" x14ac:dyDescent="0.2">
      <c r="A698" s="2"/>
      <c r="B698" s="64"/>
      <c r="C698" s="2"/>
      <c r="D698" s="2"/>
    </row>
    <row r="699" spans="1:4" s="74" customFormat="1" x14ac:dyDescent="0.2">
      <c r="A699" s="2"/>
      <c r="B699" s="64"/>
      <c r="C699" s="2"/>
      <c r="D699" s="2"/>
    </row>
    <row r="700" spans="1:4" s="74" customFormat="1" x14ac:dyDescent="0.2">
      <c r="A700" s="2"/>
      <c r="B700" s="64"/>
      <c r="C700" s="2"/>
      <c r="D700" s="2"/>
    </row>
    <row r="701" spans="1:4" s="74" customFormat="1" x14ac:dyDescent="0.2">
      <c r="A701" s="2"/>
      <c r="B701" s="64"/>
      <c r="C701" s="2"/>
      <c r="D701" s="2"/>
    </row>
    <row r="702" spans="1:4" s="74" customFormat="1" x14ac:dyDescent="0.2">
      <c r="A702" s="2"/>
      <c r="B702" s="64"/>
      <c r="C702" s="2"/>
      <c r="D702" s="2"/>
    </row>
    <row r="703" spans="1:4" s="74" customFormat="1" x14ac:dyDescent="0.2">
      <c r="A703" s="2"/>
      <c r="B703" s="64"/>
      <c r="C703" s="2"/>
      <c r="D703" s="2"/>
    </row>
    <row r="704" spans="1:4" s="74" customFormat="1" x14ac:dyDescent="0.2">
      <c r="A704" s="2"/>
      <c r="B704" s="64"/>
      <c r="C704" s="2"/>
      <c r="D704" s="2"/>
    </row>
    <row r="705" spans="1:4" s="74" customFormat="1" x14ac:dyDescent="0.2">
      <c r="A705" s="2"/>
      <c r="B705" s="64"/>
      <c r="C705" s="2"/>
      <c r="D705" s="2"/>
    </row>
    <row r="706" spans="1:4" s="74" customFormat="1" x14ac:dyDescent="0.2">
      <c r="A706" s="2"/>
      <c r="B706" s="64"/>
      <c r="C706" s="2"/>
      <c r="D706" s="2"/>
    </row>
    <row r="707" spans="1:4" s="74" customFormat="1" x14ac:dyDescent="0.2">
      <c r="A707" s="2"/>
      <c r="B707" s="64"/>
      <c r="C707" s="2"/>
      <c r="D707" s="2"/>
    </row>
    <row r="708" spans="1:4" s="74" customFormat="1" x14ac:dyDescent="0.2">
      <c r="A708" s="2"/>
      <c r="B708" s="64"/>
      <c r="C708" s="2"/>
      <c r="D708" s="2"/>
    </row>
    <row r="709" spans="1:4" s="74" customFormat="1" x14ac:dyDescent="0.2">
      <c r="A709" s="2"/>
      <c r="B709" s="64"/>
      <c r="C709" s="2"/>
      <c r="D709" s="2"/>
    </row>
    <row r="710" spans="1:4" s="74" customFormat="1" x14ac:dyDescent="0.2">
      <c r="A710" s="2"/>
      <c r="B710" s="64"/>
      <c r="C710" s="2"/>
      <c r="D710" s="2"/>
    </row>
    <row r="711" spans="1:4" s="74" customFormat="1" x14ac:dyDescent="0.2">
      <c r="A711" s="2"/>
      <c r="B711" s="64"/>
      <c r="C711" s="2"/>
      <c r="D711" s="2"/>
    </row>
    <row r="712" spans="1:4" s="74" customFormat="1" x14ac:dyDescent="0.2">
      <c r="A712" s="2"/>
      <c r="B712" s="64"/>
      <c r="C712" s="2"/>
      <c r="D712" s="2"/>
    </row>
    <row r="713" spans="1:4" s="74" customFormat="1" x14ac:dyDescent="0.2">
      <c r="A713" s="2"/>
      <c r="B713" s="64"/>
      <c r="C713" s="2"/>
      <c r="D713" s="2"/>
    </row>
    <row r="714" spans="1:4" s="74" customFormat="1" x14ac:dyDescent="0.2">
      <c r="A714" s="2"/>
      <c r="B714" s="64"/>
      <c r="C714" s="2"/>
      <c r="D714" s="2"/>
    </row>
    <row r="715" spans="1:4" s="74" customFormat="1" x14ac:dyDescent="0.2">
      <c r="A715" s="2"/>
      <c r="B715" s="64"/>
      <c r="C715" s="2"/>
      <c r="D715" s="2"/>
    </row>
    <row r="716" spans="1:4" s="74" customFormat="1" x14ac:dyDescent="0.2">
      <c r="A716" s="2"/>
      <c r="B716" s="64"/>
      <c r="C716" s="2"/>
      <c r="D716" s="2"/>
    </row>
    <row r="717" spans="1:4" s="74" customFormat="1" x14ac:dyDescent="0.2">
      <c r="A717" s="2"/>
      <c r="B717" s="64"/>
      <c r="C717" s="2"/>
      <c r="D717" s="2"/>
    </row>
    <row r="718" spans="1:4" s="74" customFormat="1" x14ac:dyDescent="0.2">
      <c r="A718" s="2"/>
      <c r="B718" s="64"/>
      <c r="C718" s="2"/>
      <c r="D718" s="2"/>
    </row>
    <row r="719" spans="1:4" s="74" customFormat="1" x14ac:dyDescent="0.2">
      <c r="A719" s="2"/>
      <c r="B719" s="64"/>
      <c r="C719" s="2"/>
      <c r="D719" s="2"/>
    </row>
    <row r="720" spans="1:4" s="74" customFormat="1" x14ac:dyDescent="0.2">
      <c r="A720" s="2"/>
      <c r="B720" s="64"/>
      <c r="C720" s="2"/>
      <c r="D720" s="2"/>
    </row>
    <row r="721" spans="1:4" s="74" customFormat="1" x14ac:dyDescent="0.2">
      <c r="A721" s="2"/>
      <c r="B721" s="64"/>
      <c r="C721" s="2"/>
      <c r="D721" s="2"/>
    </row>
    <row r="722" spans="1:4" s="74" customFormat="1" x14ac:dyDescent="0.2">
      <c r="A722" s="2"/>
      <c r="B722" s="64"/>
      <c r="C722" s="2"/>
      <c r="D722" s="2"/>
    </row>
    <row r="723" spans="1:4" s="74" customFormat="1" x14ac:dyDescent="0.2">
      <c r="A723" s="2"/>
      <c r="B723" s="64"/>
      <c r="C723" s="2"/>
      <c r="D723" s="2"/>
    </row>
    <row r="724" spans="1:4" s="74" customFormat="1" x14ac:dyDescent="0.2">
      <c r="A724" s="2"/>
      <c r="B724" s="64"/>
      <c r="C724" s="2"/>
      <c r="D724" s="2"/>
    </row>
    <row r="725" spans="1:4" s="74" customFormat="1" x14ac:dyDescent="0.2">
      <c r="A725" s="2"/>
      <c r="B725" s="64"/>
      <c r="C725" s="2"/>
      <c r="D725" s="2"/>
    </row>
    <row r="726" spans="1:4" s="74" customFormat="1" x14ac:dyDescent="0.2">
      <c r="A726" s="2"/>
      <c r="B726" s="64"/>
      <c r="C726" s="2"/>
      <c r="D726" s="2"/>
    </row>
    <row r="727" spans="1:4" s="74" customFormat="1" x14ac:dyDescent="0.2">
      <c r="A727" s="2"/>
      <c r="B727" s="64"/>
      <c r="C727" s="2"/>
      <c r="D727" s="2"/>
    </row>
    <row r="728" spans="1:4" s="74" customFormat="1" x14ac:dyDescent="0.2">
      <c r="A728" s="2"/>
      <c r="B728" s="64"/>
      <c r="C728" s="2"/>
      <c r="D728" s="2"/>
    </row>
    <row r="729" spans="1:4" s="74" customFormat="1" x14ac:dyDescent="0.2">
      <c r="A729" s="2"/>
      <c r="B729" s="64"/>
      <c r="C729" s="2"/>
      <c r="D729" s="2"/>
    </row>
    <row r="730" spans="1:4" s="74" customFormat="1" x14ac:dyDescent="0.2">
      <c r="A730" s="2"/>
      <c r="B730" s="64"/>
      <c r="C730" s="2"/>
      <c r="D730" s="2"/>
    </row>
    <row r="731" spans="1:4" s="74" customFormat="1" x14ac:dyDescent="0.2">
      <c r="A731" s="2"/>
      <c r="B731" s="64"/>
      <c r="C731" s="2"/>
      <c r="D731" s="2"/>
    </row>
    <row r="732" spans="1:4" s="74" customFormat="1" x14ac:dyDescent="0.2">
      <c r="A732" s="2"/>
      <c r="B732" s="64"/>
      <c r="C732" s="2"/>
      <c r="D732" s="2"/>
    </row>
    <row r="733" spans="1:4" s="74" customFormat="1" x14ac:dyDescent="0.2">
      <c r="A733" s="2"/>
      <c r="B733" s="64"/>
      <c r="C733" s="2"/>
      <c r="D733" s="2"/>
    </row>
    <row r="734" spans="1:4" s="74" customFormat="1" x14ac:dyDescent="0.2">
      <c r="A734" s="2"/>
      <c r="B734" s="64"/>
      <c r="C734" s="2"/>
      <c r="D734" s="2"/>
    </row>
    <row r="735" spans="1:4" s="74" customFormat="1" x14ac:dyDescent="0.2">
      <c r="A735" s="2"/>
      <c r="B735" s="64"/>
      <c r="C735" s="2"/>
      <c r="D735" s="2"/>
    </row>
    <row r="736" spans="1:4" s="74" customFormat="1" x14ac:dyDescent="0.2">
      <c r="A736" s="2"/>
      <c r="B736" s="64"/>
      <c r="C736" s="2"/>
      <c r="D736" s="2"/>
    </row>
    <row r="737" spans="1:4" s="74" customFormat="1" x14ac:dyDescent="0.2">
      <c r="A737" s="2"/>
      <c r="B737" s="64"/>
      <c r="C737" s="2"/>
      <c r="D737" s="2"/>
    </row>
    <row r="738" spans="1:4" s="74" customFormat="1" x14ac:dyDescent="0.2">
      <c r="A738" s="2"/>
      <c r="B738" s="64"/>
      <c r="C738" s="2"/>
      <c r="D738" s="2"/>
    </row>
    <row r="739" spans="1:4" s="74" customFormat="1" x14ac:dyDescent="0.2">
      <c r="A739" s="2"/>
      <c r="B739" s="64"/>
      <c r="C739" s="2"/>
      <c r="D739" s="2"/>
    </row>
    <row r="740" spans="1:4" s="74" customFormat="1" x14ac:dyDescent="0.2">
      <c r="A740" s="2"/>
      <c r="B740" s="64"/>
      <c r="C740" s="2"/>
      <c r="D740" s="2"/>
    </row>
    <row r="741" spans="1:4" s="74" customFormat="1" x14ac:dyDescent="0.2">
      <c r="A741" s="2"/>
      <c r="B741" s="64"/>
      <c r="C741" s="2"/>
      <c r="D741" s="2"/>
    </row>
    <row r="742" spans="1:4" s="74" customFormat="1" x14ac:dyDescent="0.2">
      <c r="A742" s="2"/>
      <c r="B742" s="64"/>
      <c r="C742" s="2"/>
      <c r="D742" s="2"/>
    </row>
    <row r="743" spans="1:4" s="74" customFormat="1" x14ac:dyDescent="0.2">
      <c r="A743" s="2"/>
      <c r="B743" s="64"/>
      <c r="C743" s="2"/>
      <c r="D743" s="2"/>
    </row>
    <row r="744" spans="1:4" s="74" customFormat="1" x14ac:dyDescent="0.2">
      <c r="A744" s="2"/>
      <c r="B744" s="64"/>
      <c r="C744" s="2"/>
      <c r="D744" s="2"/>
    </row>
    <row r="745" spans="1:4" s="74" customFormat="1" x14ac:dyDescent="0.2">
      <c r="A745" s="2"/>
      <c r="B745" s="64"/>
      <c r="C745" s="2"/>
      <c r="D745" s="2"/>
    </row>
    <row r="746" spans="1:4" s="74" customFormat="1" x14ac:dyDescent="0.2">
      <c r="A746" s="2"/>
      <c r="B746" s="64"/>
      <c r="C746" s="2"/>
      <c r="D746" s="2"/>
    </row>
    <row r="747" spans="1:4" s="74" customFormat="1" x14ac:dyDescent="0.2">
      <c r="A747" s="2"/>
      <c r="B747" s="64"/>
      <c r="C747" s="2"/>
      <c r="D747" s="2"/>
    </row>
    <row r="748" spans="1:4" s="74" customFormat="1" x14ac:dyDescent="0.2">
      <c r="A748" s="2"/>
      <c r="B748" s="64"/>
      <c r="C748" s="2"/>
      <c r="D748" s="2"/>
    </row>
    <row r="749" spans="1:4" s="74" customFormat="1" x14ac:dyDescent="0.2">
      <c r="A749" s="2"/>
      <c r="B749" s="64"/>
      <c r="C749" s="2"/>
      <c r="D749" s="2"/>
    </row>
    <row r="750" spans="1:4" s="74" customFormat="1" x14ac:dyDescent="0.2">
      <c r="A750" s="2"/>
      <c r="B750" s="64"/>
      <c r="C750" s="2"/>
      <c r="D750" s="2"/>
    </row>
    <row r="751" spans="1:4" s="74" customFormat="1" x14ac:dyDescent="0.2">
      <c r="A751" s="2"/>
      <c r="B751" s="64"/>
      <c r="C751" s="2"/>
      <c r="D751" s="2"/>
    </row>
    <row r="752" spans="1:4" s="74" customFormat="1" x14ac:dyDescent="0.2">
      <c r="A752" s="2"/>
      <c r="B752" s="64"/>
      <c r="C752" s="2"/>
      <c r="D752" s="2"/>
    </row>
    <row r="753" spans="1:4" s="74" customFormat="1" x14ac:dyDescent="0.2">
      <c r="A753" s="2"/>
      <c r="B753" s="64"/>
      <c r="C753" s="2"/>
      <c r="D753" s="2"/>
    </row>
    <row r="754" spans="1:4" s="74" customFormat="1" x14ac:dyDescent="0.2">
      <c r="A754" s="2"/>
      <c r="B754" s="64"/>
      <c r="C754" s="2"/>
      <c r="D754" s="2"/>
    </row>
    <row r="755" spans="1:4" s="74" customFormat="1" x14ac:dyDescent="0.2">
      <c r="A755" s="2"/>
      <c r="B755" s="64"/>
      <c r="C755" s="2"/>
      <c r="D755" s="2"/>
    </row>
    <row r="756" spans="1:4" s="74" customFormat="1" x14ac:dyDescent="0.2">
      <c r="A756" s="2"/>
      <c r="B756" s="64"/>
      <c r="C756" s="2"/>
      <c r="D756" s="2"/>
    </row>
    <row r="757" spans="1:4" s="74" customFormat="1" x14ac:dyDescent="0.2">
      <c r="A757" s="2"/>
      <c r="B757" s="64"/>
      <c r="C757" s="2"/>
      <c r="D757" s="2"/>
    </row>
    <row r="758" spans="1:4" s="74" customFormat="1" x14ac:dyDescent="0.2">
      <c r="A758" s="2"/>
      <c r="B758" s="64"/>
      <c r="C758" s="2"/>
      <c r="D758" s="2"/>
    </row>
    <row r="759" spans="1:4" s="74" customFormat="1" x14ac:dyDescent="0.2">
      <c r="A759" s="2"/>
      <c r="B759" s="64"/>
      <c r="C759" s="2"/>
      <c r="D759" s="2"/>
    </row>
    <row r="760" spans="1:4" s="74" customFormat="1" x14ac:dyDescent="0.2">
      <c r="A760" s="2"/>
      <c r="B760" s="64"/>
      <c r="C760" s="2"/>
      <c r="D760" s="2"/>
    </row>
    <row r="761" spans="1:4" s="74" customFormat="1" x14ac:dyDescent="0.2">
      <c r="A761" s="2"/>
      <c r="B761" s="64"/>
      <c r="C761" s="2"/>
      <c r="D761" s="2"/>
    </row>
    <row r="762" spans="1:4" s="74" customFormat="1" x14ac:dyDescent="0.2">
      <c r="A762" s="2"/>
      <c r="B762" s="64"/>
      <c r="C762" s="2"/>
      <c r="D762" s="2"/>
    </row>
    <row r="763" spans="1:4" s="74" customFormat="1" x14ac:dyDescent="0.2">
      <c r="A763" s="2"/>
      <c r="B763" s="64"/>
      <c r="C763" s="2"/>
      <c r="D763" s="2"/>
    </row>
    <row r="764" spans="1:4" s="74" customFormat="1" x14ac:dyDescent="0.2">
      <c r="A764" s="2"/>
      <c r="B764" s="64"/>
      <c r="C764" s="2"/>
      <c r="D764" s="2"/>
    </row>
    <row r="765" spans="1:4" s="74" customFormat="1" x14ac:dyDescent="0.2">
      <c r="A765" s="2"/>
      <c r="B765" s="64"/>
      <c r="C765" s="2"/>
      <c r="D765" s="2"/>
    </row>
    <row r="766" spans="1:4" s="74" customFormat="1" x14ac:dyDescent="0.2">
      <c r="A766" s="2"/>
      <c r="B766" s="64"/>
      <c r="C766" s="2"/>
      <c r="D766" s="2"/>
    </row>
    <row r="767" spans="1:4" s="74" customFormat="1" x14ac:dyDescent="0.2">
      <c r="A767" s="2"/>
      <c r="B767" s="64"/>
      <c r="C767" s="2"/>
      <c r="D767" s="2"/>
    </row>
    <row r="768" spans="1:4" s="74" customFormat="1" x14ac:dyDescent="0.2">
      <c r="A768" s="2"/>
      <c r="B768" s="64"/>
      <c r="C768" s="2"/>
      <c r="D768" s="2"/>
    </row>
    <row r="769" spans="1:4" s="74" customFormat="1" x14ac:dyDescent="0.2">
      <c r="A769" s="2"/>
      <c r="B769" s="64"/>
      <c r="C769" s="2"/>
      <c r="D769" s="2"/>
    </row>
    <row r="770" spans="1:4" s="74" customFormat="1" x14ac:dyDescent="0.2">
      <c r="A770" s="2"/>
      <c r="B770" s="64"/>
      <c r="C770" s="2"/>
      <c r="D770" s="2"/>
    </row>
    <row r="771" spans="1:4" s="74" customFormat="1" x14ac:dyDescent="0.2">
      <c r="A771" s="2"/>
      <c r="B771" s="64"/>
      <c r="C771" s="2"/>
      <c r="D771" s="2"/>
    </row>
    <row r="772" spans="1:4" s="74" customFormat="1" x14ac:dyDescent="0.2">
      <c r="A772" s="2"/>
      <c r="B772" s="64"/>
      <c r="C772" s="2"/>
      <c r="D772" s="2"/>
    </row>
    <row r="773" spans="1:4" s="74" customFormat="1" x14ac:dyDescent="0.2">
      <c r="A773" s="2"/>
      <c r="B773" s="64"/>
      <c r="C773" s="2"/>
      <c r="D773" s="2"/>
    </row>
    <row r="774" spans="1:4" s="74" customFormat="1" x14ac:dyDescent="0.2">
      <c r="A774" s="2"/>
      <c r="B774" s="64"/>
      <c r="C774" s="2"/>
      <c r="D774" s="2"/>
    </row>
    <row r="775" spans="1:4" s="74" customFormat="1" x14ac:dyDescent="0.2">
      <c r="A775" s="2"/>
      <c r="B775" s="64"/>
      <c r="C775" s="2"/>
      <c r="D775" s="2"/>
    </row>
    <row r="776" spans="1:4" s="74" customFormat="1" x14ac:dyDescent="0.2">
      <c r="A776" s="2"/>
      <c r="B776" s="64"/>
      <c r="C776" s="2"/>
      <c r="D776" s="2"/>
    </row>
    <row r="777" spans="1:4" s="74" customFormat="1" x14ac:dyDescent="0.2">
      <c r="A777" s="2"/>
      <c r="B777" s="64"/>
      <c r="C777" s="2"/>
      <c r="D777" s="2"/>
    </row>
    <row r="778" spans="1:4" s="74" customFormat="1" x14ac:dyDescent="0.2">
      <c r="A778" s="2"/>
      <c r="B778" s="64"/>
      <c r="C778" s="2"/>
      <c r="D778" s="2"/>
    </row>
    <row r="779" spans="1:4" s="74" customFormat="1" x14ac:dyDescent="0.2">
      <c r="A779" s="2"/>
      <c r="B779" s="64"/>
      <c r="C779" s="2"/>
      <c r="D779" s="2"/>
    </row>
    <row r="780" spans="1:4" s="74" customFormat="1" x14ac:dyDescent="0.2">
      <c r="A780" s="2"/>
      <c r="B780" s="64"/>
      <c r="C780" s="2"/>
      <c r="D780" s="2"/>
    </row>
    <row r="781" spans="1:4" s="74" customFormat="1" x14ac:dyDescent="0.2">
      <c r="A781" s="2"/>
      <c r="B781" s="64"/>
      <c r="C781" s="2"/>
      <c r="D781" s="2"/>
    </row>
    <row r="782" spans="1:4" s="74" customFormat="1" x14ac:dyDescent="0.2">
      <c r="A782" s="2"/>
      <c r="B782" s="64"/>
      <c r="C782" s="2"/>
      <c r="D782" s="2"/>
    </row>
    <row r="783" spans="1:4" s="74" customFormat="1" x14ac:dyDescent="0.2">
      <c r="A783" s="2"/>
      <c r="B783" s="64"/>
      <c r="C783" s="2"/>
      <c r="D783" s="2"/>
    </row>
    <row r="784" spans="1:4" s="74" customFormat="1" x14ac:dyDescent="0.2">
      <c r="A784" s="2"/>
      <c r="B784" s="64"/>
      <c r="C784" s="2"/>
      <c r="D784" s="2"/>
    </row>
    <row r="785" spans="1:4" s="74" customFormat="1" x14ac:dyDescent="0.2">
      <c r="A785" s="2"/>
      <c r="B785" s="64"/>
      <c r="C785" s="2"/>
      <c r="D785" s="2"/>
    </row>
    <row r="786" spans="1:4" s="74" customFormat="1" x14ac:dyDescent="0.2">
      <c r="A786" s="2"/>
      <c r="B786" s="64"/>
      <c r="C786" s="2"/>
      <c r="D786" s="2"/>
    </row>
    <row r="787" spans="1:4" s="74" customFormat="1" x14ac:dyDescent="0.2">
      <c r="A787" s="2"/>
      <c r="B787" s="64"/>
      <c r="C787" s="2"/>
      <c r="D787" s="2"/>
    </row>
    <row r="788" spans="1:4" s="74" customFormat="1" x14ac:dyDescent="0.2">
      <c r="A788" s="2"/>
      <c r="B788" s="64"/>
      <c r="C788" s="2"/>
      <c r="D788" s="2"/>
    </row>
    <row r="789" spans="1:4" s="74" customFormat="1" x14ac:dyDescent="0.2">
      <c r="A789" s="2"/>
      <c r="B789" s="64"/>
      <c r="C789" s="2"/>
      <c r="D789" s="2"/>
    </row>
    <row r="790" spans="1:4" s="74" customFormat="1" x14ac:dyDescent="0.2">
      <c r="A790" s="2"/>
      <c r="B790" s="64"/>
      <c r="C790" s="2"/>
      <c r="D790" s="2"/>
    </row>
    <row r="791" spans="1:4" s="74" customFormat="1" x14ac:dyDescent="0.2">
      <c r="A791" s="2"/>
      <c r="B791" s="64"/>
      <c r="C791" s="2"/>
      <c r="D791" s="2"/>
    </row>
    <row r="792" spans="1:4" s="74" customFormat="1" x14ac:dyDescent="0.2">
      <c r="A792" s="2"/>
      <c r="B792" s="64"/>
      <c r="C792" s="2"/>
      <c r="D792" s="2"/>
    </row>
    <row r="793" spans="1:4" s="74" customFormat="1" x14ac:dyDescent="0.2">
      <c r="A793" s="2"/>
      <c r="B793" s="64"/>
      <c r="C793" s="2"/>
      <c r="D793" s="2"/>
    </row>
    <row r="794" spans="1:4" s="74" customFormat="1" x14ac:dyDescent="0.2">
      <c r="A794" s="2"/>
      <c r="B794" s="64"/>
      <c r="C794" s="2"/>
      <c r="D794" s="2"/>
    </row>
    <row r="795" spans="1:4" s="74" customFormat="1" x14ac:dyDescent="0.2">
      <c r="A795" s="2"/>
      <c r="B795" s="64"/>
      <c r="C795" s="2"/>
      <c r="D795" s="2"/>
    </row>
    <row r="796" spans="1:4" s="74" customFormat="1" x14ac:dyDescent="0.2">
      <c r="A796" s="2"/>
      <c r="B796" s="64"/>
      <c r="C796" s="2"/>
      <c r="D796" s="2"/>
    </row>
    <row r="797" spans="1:4" s="74" customFormat="1" x14ac:dyDescent="0.2">
      <c r="A797" s="2"/>
      <c r="B797" s="64"/>
      <c r="C797" s="2"/>
      <c r="D797" s="2"/>
    </row>
    <row r="798" spans="1:4" s="74" customFormat="1" x14ac:dyDescent="0.2">
      <c r="A798" s="2"/>
      <c r="B798" s="64"/>
      <c r="C798" s="2"/>
      <c r="D798" s="2"/>
    </row>
    <row r="799" spans="1:4" s="74" customFormat="1" x14ac:dyDescent="0.2">
      <c r="A799" s="2"/>
      <c r="B799" s="64"/>
      <c r="C799" s="2"/>
      <c r="D799" s="2"/>
    </row>
    <row r="800" spans="1:4" s="74" customFormat="1" x14ac:dyDescent="0.2">
      <c r="A800" s="2"/>
      <c r="B800" s="64"/>
      <c r="C800" s="2"/>
      <c r="D800" s="2"/>
    </row>
    <row r="801" spans="1:4" s="74" customFormat="1" x14ac:dyDescent="0.2">
      <c r="A801" s="2"/>
      <c r="B801" s="64"/>
      <c r="C801" s="2"/>
      <c r="D801" s="2"/>
    </row>
    <row r="802" spans="1:4" s="74" customFormat="1" x14ac:dyDescent="0.2">
      <c r="A802" s="2"/>
      <c r="B802" s="64"/>
      <c r="C802" s="2"/>
      <c r="D802" s="2"/>
    </row>
    <row r="803" spans="1:4" s="74" customFormat="1" x14ac:dyDescent="0.2">
      <c r="A803" s="2"/>
      <c r="B803" s="64"/>
      <c r="C803" s="2"/>
      <c r="D803" s="2"/>
    </row>
    <row r="804" spans="1:4" s="74" customFormat="1" x14ac:dyDescent="0.2">
      <c r="A804" s="2"/>
      <c r="B804" s="64"/>
      <c r="C804" s="2"/>
      <c r="D804" s="2"/>
    </row>
    <row r="805" spans="1:4" s="74" customFormat="1" x14ac:dyDescent="0.2">
      <c r="A805" s="2"/>
      <c r="B805" s="64"/>
      <c r="C805" s="2"/>
      <c r="D805" s="2"/>
    </row>
    <row r="806" spans="1:4" s="74" customFormat="1" x14ac:dyDescent="0.2">
      <c r="A806" s="2"/>
      <c r="B806" s="64"/>
      <c r="C806" s="2"/>
      <c r="D806" s="2"/>
    </row>
    <row r="807" spans="1:4" s="74" customFormat="1" x14ac:dyDescent="0.2">
      <c r="A807" s="2"/>
      <c r="B807" s="64"/>
      <c r="C807" s="2"/>
      <c r="D807" s="2"/>
    </row>
    <row r="808" spans="1:4" s="74" customFormat="1" x14ac:dyDescent="0.2">
      <c r="A808" s="2"/>
      <c r="B808" s="64"/>
      <c r="C808" s="2"/>
      <c r="D808" s="2"/>
    </row>
    <row r="809" spans="1:4" s="74" customFormat="1" x14ac:dyDescent="0.2">
      <c r="A809" s="2"/>
      <c r="B809" s="64"/>
      <c r="C809" s="2"/>
      <c r="D809" s="2"/>
    </row>
    <row r="810" spans="1:4" s="74" customFormat="1" x14ac:dyDescent="0.2">
      <c r="A810" s="2"/>
      <c r="B810" s="64"/>
      <c r="C810" s="2"/>
      <c r="D810" s="2"/>
    </row>
    <row r="811" spans="1:4" s="74" customFormat="1" x14ac:dyDescent="0.2">
      <c r="A811" s="2"/>
      <c r="B811" s="64"/>
      <c r="C811" s="2"/>
      <c r="D811" s="2"/>
    </row>
    <row r="812" spans="1:4" s="74" customFormat="1" x14ac:dyDescent="0.2">
      <c r="A812" s="2"/>
      <c r="B812" s="64"/>
      <c r="C812" s="2"/>
      <c r="D812" s="2"/>
    </row>
    <row r="813" spans="1:4" s="74" customFormat="1" x14ac:dyDescent="0.2">
      <c r="A813" s="2"/>
      <c r="B813" s="64"/>
      <c r="C813" s="2"/>
      <c r="D813" s="2"/>
    </row>
    <row r="814" spans="1:4" s="74" customFormat="1" x14ac:dyDescent="0.2">
      <c r="A814" s="2"/>
      <c r="B814" s="64"/>
      <c r="C814" s="2"/>
      <c r="D814" s="2"/>
    </row>
    <row r="815" spans="1:4" s="74" customFormat="1" x14ac:dyDescent="0.2">
      <c r="A815" s="2"/>
      <c r="B815" s="64"/>
      <c r="C815" s="2"/>
      <c r="D815" s="2"/>
    </row>
    <row r="816" spans="1:4" s="74" customFormat="1" x14ac:dyDescent="0.2">
      <c r="A816" s="2"/>
      <c r="B816" s="64"/>
      <c r="C816" s="2"/>
      <c r="D816" s="2"/>
    </row>
    <row r="817" spans="1:4" s="74" customFormat="1" x14ac:dyDescent="0.2">
      <c r="A817" s="2"/>
      <c r="B817" s="64"/>
      <c r="C817" s="2"/>
      <c r="D817" s="2"/>
    </row>
    <row r="818" spans="1:4" s="74" customFormat="1" x14ac:dyDescent="0.2">
      <c r="A818" s="2"/>
      <c r="B818" s="64"/>
      <c r="C818" s="2"/>
      <c r="D818" s="2"/>
    </row>
    <row r="819" spans="1:4" s="74" customFormat="1" x14ac:dyDescent="0.2">
      <c r="A819" s="2"/>
      <c r="B819" s="64"/>
      <c r="C819" s="2"/>
      <c r="D819" s="2"/>
    </row>
    <row r="820" spans="1:4" s="74" customFormat="1" x14ac:dyDescent="0.2">
      <c r="A820" s="2"/>
      <c r="B820" s="64"/>
      <c r="C820" s="2"/>
      <c r="D820" s="2"/>
    </row>
    <row r="821" spans="1:4" s="74" customFormat="1" x14ac:dyDescent="0.2">
      <c r="A821" s="2"/>
      <c r="B821" s="64"/>
      <c r="C821" s="2"/>
      <c r="D821" s="2"/>
    </row>
    <row r="822" spans="1:4" s="74" customFormat="1" x14ac:dyDescent="0.2">
      <c r="A822" s="2"/>
      <c r="B822" s="64"/>
      <c r="C822" s="2"/>
      <c r="D822" s="2"/>
    </row>
    <row r="823" spans="1:4" s="74" customFormat="1" x14ac:dyDescent="0.2">
      <c r="A823" s="2"/>
      <c r="B823" s="64"/>
      <c r="C823" s="2"/>
      <c r="D823" s="2"/>
    </row>
    <row r="824" spans="1:4" s="74" customFormat="1" x14ac:dyDescent="0.2">
      <c r="A824" s="2"/>
      <c r="B824" s="64"/>
      <c r="C824" s="2"/>
      <c r="D824" s="2"/>
    </row>
    <row r="825" spans="1:4" s="74" customFormat="1" x14ac:dyDescent="0.2">
      <c r="A825" s="2"/>
      <c r="B825" s="64"/>
      <c r="C825" s="2"/>
      <c r="D825" s="2"/>
    </row>
    <row r="826" spans="1:4" s="74" customFormat="1" x14ac:dyDescent="0.2">
      <c r="A826" s="2"/>
      <c r="B826" s="64"/>
      <c r="C826" s="2"/>
      <c r="D826" s="2"/>
    </row>
    <row r="827" spans="1:4" s="74" customFormat="1" x14ac:dyDescent="0.2">
      <c r="A827" s="2"/>
      <c r="B827" s="64"/>
      <c r="C827" s="2"/>
      <c r="D827" s="2"/>
    </row>
    <row r="828" spans="1:4" s="74" customFormat="1" x14ac:dyDescent="0.2">
      <c r="A828" s="2"/>
      <c r="B828" s="64"/>
      <c r="C828" s="2"/>
      <c r="D828" s="2"/>
    </row>
    <row r="829" spans="1:4" s="74" customFormat="1" x14ac:dyDescent="0.2">
      <c r="A829" s="2"/>
      <c r="B829" s="64"/>
      <c r="C829" s="2"/>
      <c r="D829" s="2"/>
    </row>
    <row r="830" spans="1:4" s="74" customFormat="1" x14ac:dyDescent="0.2">
      <c r="A830" s="2"/>
      <c r="B830" s="64"/>
      <c r="C830" s="2"/>
      <c r="D830" s="2"/>
    </row>
    <row r="831" spans="1:4" s="74" customFormat="1" x14ac:dyDescent="0.2">
      <c r="A831" s="2"/>
      <c r="B831" s="64"/>
      <c r="C831" s="2"/>
      <c r="D831" s="2"/>
    </row>
    <row r="832" spans="1:4" s="74" customFormat="1" x14ac:dyDescent="0.2">
      <c r="A832" s="2"/>
      <c r="B832" s="64"/>
      <c r="C832" s="2"/>
      <c r="D832" s="2"/>
    </row>
    <row r="833" spans="1:4" s="74" customFormat="1" x14ac:dyDescent="0.2">
      <c r="A833" s="2"/>
      <c r="B833" s="64"/>
      <c r="C833" s="2"/>
      <c r="D833" s="2"/>
    </row>
    <row r="834" spans="1:4" s="74" customFormat="1" x14ac:dyDescent="0.2">
      <c r="A834" s="2"/>
      <c r="B834" s="64"/>
      <c r="C834" s="2"/>
      <c r="D834" s="2"/>
    </row>
    <row r="835" spans="1:4" s="74" customFormat="1" x14ac:dyDescent="0.2">
      <c r="A835" s="2"/>
      <c r="B835" s="64"/>
      <c r="C835" s="2"/>
      <c r="D835" s="2"/>
    </row>
    <row r="836" spans="1:4" s="74" customFormat="1" x14ac:dyDescent="0.2">
      <c r="A836" s="2"/>
      <c r="B836" s="64"/>
      <c r="C836" s="2"/>
      <c r="D836" s="2"/>
    </row>
    <row r="837" spans="1:4" s="74" customFormat="1" x14ac:dyDescent="0.2">
      <c r="A837" s="2"/>
      <c r="B837" s="64"/>
      <c r="C837" s="2"/>
      <c r="D837" s="2"/>
    </row>
    <row r="838" spans="1:4" s="74" customFormat="1" x14ac:dyDescent="0.2">
      <c r="A838" s="2"/>
      <c r="B838" s="64"/>
      <c r="C838" s="2"/>
      <c r="D838" s="2"/>
    </row>
    <row r="839" spans="1:4" s="74" customFormat="1" x14ac:dyDescent="0.2">
      <c r="A839" s="2"/>
      <c r="B839" s="64"/>
      <c r="C839" s="2"/>
      <c r="D839" s="2"/>
    </row>
    <row r="840" spans="1:4" s="74" customFormat="1" x14ac:dyDescent="0.2">
      <c r="A840" s="2"/>
      <c r="B840" s="64"/>
      <c r="C840" s="2"/>
      <c r="D840" s="2"/>
    </row>
    <row r="841" spans="1:4" s="74" customFormat="1" x14ac:dyDescent="0.2">
      <c r="A841" s="2"/>
      <c r="B841" s="64"/>
      <c r="C841" s="2"/>
      <c r="D841" s="2"/>
    </row>
    <row r="842" spans="1:4" s="74" customFormat="1" x14ac:dyDescent="0.2">
      <c r="A842" s="2"/>
      <c r="B842" s="64"/>
      <c r="C842" s="2"/>
      <c r="D842" s="2"/>
    </row>
    <row r="843" spans="1:4" s="74" customFormat="1" x14ac:dyDescent="0.2">
      <c r="A843" s="2"/>
      <c r="B843" s="64"/>
      <c r="C843" s="2"/>
      <c r="D843" s="2"/>
    </row>
    <row r="844" spans="1:4" s="74" customFormat="1" x14ac:dyDescent="0.2">
      <c r="A844" s="2"/>
      <c r="B844" s="64"/>
      <c r="C844" s="2"/>
      <c r="D844" s="2"/>
    </row>
    <row r="845" spans="1:4" s="74" customFormat="1" x14ac:dyDescent="0.2">
      <c r="A845" s="2"/>
      <c r="B845" s="64"/>
      <c r="C845" s="2"/>
      <c r="D845" s="2"/>
    </row>
    <row r="846" spans="1:4" s="74" customFormat="1" x14ac:dyDescent="0.2">
      <c r="A846" s="2"/>
      <c r="B846" s="64"/>
      <c r="C846" s="2"/>
      <c r="D846" s="2"/>
    </row>
    <row r="847" spans="1:4" s="74" customFormat="1" x14ac:dyDescent="0.2">
      <c r="A847" s="2"/>
      <c r="B847" s="64"/>
      <c r="C847" s="2"/>
      <c r="D847" s="2"/>
    </row>
    <row r="848" spans="1:4" s="74" customFormat="1" x14ac:dyDescent="0.2">
      <c r="A848" s="2"/>
      <c r="B848" s="64"/>
      <c r="C848" s="2"/>
      <c r="D848" s="2"/>
    </row>
    <row r="849" spans="1:4" s="74" customFormat="1" x14ac:dyDescent="0.2">
      <c r="A849" s="2"/>
      <c r="B849" s="64"/>
      <c r="C849" s="2"/>
      <c r="D849" s="2"/>
    </row>
    <row r="850" spans="1:4" s="74" customFormat="1" x14ac:dyDescent="0.2">
      <c r="A850" s="2"/>
      <c r="B850" s="64"/>
      <c r="C850" s="2"/>
      <c r="D850" s="2"/>
    </row>
    <row r="851" spans="1:4" s="74" customFormat="1" x14ac:dyDescent="0.2">
      <c r="A851" s="2"/>
      <c r="B851" s="64"/>
      <c r="C851" s="2"/>
      <c r="D851" s="2"/>
    </row>
    <row r="852" spans="1:4" s="74" customFormat="1" x14ac:dyDescent="0.2">
      <c r="A852" s="2"/>
      <c r="B852" s="64"/>
      <c r="C852" s="2"/>
      <c r="D852" s="2"/>
    </row>
    <row r="853" spans="1:4" s="74" customFormat="1" x14ac:dyDescent="0.2">
      <c r="A853" s="2"/>
      <c r="B853" s="64"/>
      <c r="C853" s="2"/>
      <c r="D853" s="2"/>
    </row>
    <row r="854" spans="1:4" s="74" customFormat="1" x14ac:dyDescent="0.2">
      <c r="A854" s="2"/>
      <c r="B854" s="64"/>
      <c r="C854" s="2"/>
      <c r="D854" s="2"/>
    </row>
    <row r="855" spans="1:4" s="74" customFormat="1" x14ac:dyDescent="0.2">
      <c r="A855" s="2"/>
      <c r="B855" s="64"/>
      <c r="C855" s="2"/>
      <c r="D855" s="2"/>
    </row>
    <row r="856" spans="1:4" s="74" customFormat="1" x14ac:dyDescent="0.2">
      <c r="A856" s="2"/>
      <c r="B856" s="64"/>
      <c r="C856" s="2"/>
      <c r="D856" s="2"/>
    </row>
    <row r="857" spans="1:4" s="74" customFormat="1" x14ac:dyDescent="0.2">
      <c r="A857" s="2"/>
      <c r="B857" s="64"/>
      <c r="C857" s="2"/>
      <c r="D857" s="2"/>
    </row>
    <row r="858" spans="1:4" s="74" customFormat="1" x14ac:dyDescent="0.2">
      <c r="A858" s="2"/>
      <c r="B858" s="64"/>
      <c r="C858" s="2"/>
      <c r="D858" s="2"/>
    </row>
    <row r="859" spans="1:4" s="74" customFormat="1" x14ac:dyDescent="0.2">
      <c r="A859" s="2"/>
      <c r="B859" s="64"/>
      <c r="C859" s="2"/>
      <c r="D859" s="2"/>
    </row>
    <row r="860" spans="1:4" s="74" customFormat="1" x14ac:dyDescent="0.2">
      <c r="A860" s="2"/>
      <c r="B860" s="64"/>
      <c r="C860" s="2"/>
      <c r="D860" s="2"/>
    </row>
    <row r="861" spans="1:4" s="74" customFormat="1" x14ac:dyDescent="0.2">
      <c r="A861" s="2"/>
      <c r="B861" s="64"/>
      <c r="C861" s="2"/>
      <c r="D861" s="2"/>
    </row>
    <row r="862" spans="1:4" s="74" customFormat="1" x14ac:dyDescent="0.2">
      <c r="A862" s="2"/>
      <c r="B862" s="64"/>
      <c r="C862" s="2"/>
      <c r="D862" s="2"/>
    </row>
    <row r="863" spans="1:4" s="74" customFormat="1" x14ac:dyDescent="0.2">
      <c r="A863" s="2"/>
      <c r="B863" s="64"/>
      <c r="C863" s="2"/>
      <c r="D863" s="2"/>
    </row>
    <row r="864" spans="1:4" s="74" customFormat="1" x14ac:dyDescent="0.2">
      <c r="A864" s="2"/>
      <c r="B864" s="64"/>
      <c r="C864" s="2"/>
      <c r="D864" s="2"/>
    </row>
    <row r="865" spans="1:4" s="74" customFormat="1" x14ac:dyDescent="0.2">
      <c r="A865" s="2"/>
      <c r="B865" s="64"/>
      <c r="C865" s="2"/>
      <c r="D865" s="2"/>
    </row>
    <row r="866" spans="1:4" s="74" customFormat="1" x14ac:dyDescent="0.2">
      <c r="A866" s="2"/>
      <c r="B866" s="64"/>
      <c r="C866" s="2"/>
      <c r="D866" s="2"/>
    </row>
    <row r="867" spans="1:4" s="74" customFormat="1" x14ac:dyDescent="0.2">
      <c r="A867" s="2"/>
      <c r="B867" s="64"/>
      <c r="C867" s="2"/>
      <c r="D867" s="2"/>
    </row>
    <row r="868" spans="1:4" s="74" customFormat="1" x14ac:dyDescent="0.2">
      <c r="A868" s="2"/>
      <c r="B868" s="64"/>
      <c r="C868" s="2"/>
      <c r="D868" s="2"/>
    </row>
    <row r="869" spans="1:4" s="74" customFormat="1" x14ac:dyDescent="0.2">
      <c r="A869" s="2"/>
      <c r="B869" s="64"/>
      <c r="C869" s="2"/>
      <c r="D869" s="2"/>
    </row>
    <row r="870" spans="1:4" s="74" customFormat="1" x14ac:dyDescent="0.2">
      <c r="A870" s="2"/>
      <c r="B870" s="64"/>
      <c r="C870" s="2"/>
      <c r="D870" s="2"/>
    </row>
    <row r="871" spans="1:4" s="74" customFormat="1" x14ac:dyDescent="0.2">
      <c r="A871" s="2"/>
      <c r="B871" s="64"/>
      <c r="C871" s="2"/>
      <c r="D871" s="2"/>
    </row>
    <row r="872" spans="1:4" s="74" customFormat="1" x14ac:dyDescent="0.2">
      <c r="A872" s="2"/>
      <c r="B872" s="64"/>
      <c r="C872" s="2"/>
      <c r="D872" s="2"/>
    </row>
    <row r="873" spans="1:4" s="74" customFormat="1" x14ac:dyDescent="0.2">
      <c r="A873" s="2"/>
      <c r="B873" s="64"/>
      <c r="C873" s="2"/>
      <c r="D873" s="2"/>
    </row>
    <row r="874" spans="1:4" s="74" customFormat="1" x14ac:dyDescent="0.2">
      <c r="A874" s="2"/>
      <c r="B874" s="64"/>
      <c r="C874" s="2"/>
      <c r="D874" s="2"/>
    </row>
    <row r="875" spans="1:4" s="74" customFormat="1" x14ac:dyDescent="0.2">
      <c r="A875" s="2"/>
      <c r="B875" s="64"/>
      <c r="C875" s="2"/>
      <c r="D875" s="2"/>
    </row>
    <row r="876" spans="1:4" s="74" customFormat="1" x14ac:dyDescent="0.2">
      <c r="A876" s="2"/>
      <c r="B876" s="64"/>
      <c r="C876" s="2"/>
      <c r="D876" s="2"/>
    </row>
    <row r="877" spans="1:4" s="74" customFormat="1" x14ac:dyDescent="0.2">
      <c r="A877" s="2"/>
      <c r="B877" s="64"/>
      <c r="C877" s="2"/>
      <c r="D877" s="2"/>
    </row>
    <row r="878" spans="1:4" s="74" customFormat="1" x14ac:dyDescent="0.2">
      <c r="A878" s="2"/>
      <c r="B878" s="64"/>
      <c r="C878" s="2"/>
      <c r="D878" s="2"/>
    </row>
    <row r="879" spans="1:4" s="74" customFormat="1" x14ac:dyDescent="0.2">
      <c r="A879" s="2"/>
      <c r="B879" s="64"/>
      <c r="C879" s="2"/>
      <c r="D879" s="2"/>
    </row>
    <row r="880" spans="1:4" s="74" customFormat="1" x14ac:dyDescent="0.2">
      <c r="A880" s="2"/>
      <c r="B880" s="64"/>
      <c r="C880" s="2"/>
      <c r="D880" s="2"/>
    </row>
    <row r="881" spans="1:4" s="74" customFormat="1" x14ac:dyDescent="0.2">
      <c r="A881" s="2"/>
      <c r="B881" s="64"/>
      <c r="C881" s="2"/>
      <c r="D881" s="2"/>
    </row>
    <row r="882" spans="1:4" s="74" customFormat="1" x14ac:dyDescent="0.2">
      <c r="A882" s="2"/>
      <c r="B882" s="64"/>
      <c r="C882" s="2"/>
      <c r="D882" s="2"/>
    </row>
    <row r="883" spans="1:4" s="74" customFormat="1" x14ac:dyDescent="0.2">
      <c r="A883" s="2"/>
      <c r="B883" s="64"/>
      <c r="C883" s="2"/>
      <c r="D883" s="2"/>
    </row>
    <row r="884" spans="1:4" s="74" customFormat="1" x14ac:dyDescent="0.2">
      <c r="A884" s="2"/>
      <c r="B884" s="64"/>
      <c r="C884" s="2"/>
      <c r="D884" s="2"/>
    </row>
    <row r="885" spans="1:4" s="74" customFormat="1" x14ac:dyDescent="0.2">
      <c r="A885" s="2"/>
      <c r="B885" s="64"/>
      <c r="C885" s="2"/>
      <c r="D885" s="2"/>
    </row>
    <row r="886" spans="1:4" s="74" customFormat="1" x14ac:dyDescent="0.2">
      <c r="A886" s="2"/>
      <c r="B886" s="64"/>
      <c r="C886" s="2"/>
      <c r="D886" s="2"/>
    </row>
    <row r="887" spans="1:4" s="74" customFormat="1" x14ac:dyDescent="0.2">
      <c r="A887" s="2"/>
      <c r="B887" s="64"/>
      <c r="C887" s="2"/>
      <c r="D887" s="2"/>
    </row>
    <row r="888" spans="1:4" s="74" customFormat="1" x14ac:dyDescent="0.2">
      <c r="A888" s="2"/>
      <c r="B888" s="64"/>
      <c r="C888" s="2"/>
      <c r="D888" s="2"/>
    </row>
    <row r="889" spans="1:4" s="74" customFormat="1" x14ac:dyDescent="0.2">
      <c r="A889" s="2"/>
      <c r="B889" s="64"/>
      <c r="C889" s="2"/>
      <c r="D889" s="2"/>
    </row>
    <row r="890" spans="1:4" s="74" customFormat="1" x14ac:dyDescent="0.2">
      <c r="A890" s="2"/>
      <c r="B890" s="64"/>
      <c r="C890" s="2"/>
      <c r="D890" s="2"/>
    </row>
    <row r="891" spans="1:4" s="74" customFormat="1" x14ac:dyDescent="0.2">
      <c r="A891" s="2"/>
      <c r="B891" s="64"/>
      <c r="C891" s="2"/>
      <c r="D891" s="2"/>
    </row>
    <row r="892" spans="1:4" s="74" customFormat="1" x14ac:dyDescent="0.2">
      <c r="A892" s="2"/>
      <c r="B892" s="64"/>
      <c r="C892" s="2"/>
      <c r="D892" s="2"/>
    </row>
    <row r="893" spans="1:4" s="74" customFormat="1" x14ac:dyDescent="0.2">
      <c r="A893" s="2"/>
      <c r="B893" s="64"/>
      <c r="C893" s="2"/>
      <c r="D893" s="2"/>
    </row>
    <row r="894" spans="1:4" s="74" customFormat="1" x14ac:dyDescent="0.2">
      <c r="A894" s="2"/>
      <c r="B894" s="64"/>
      <c r="C894" s="2"/>
      <c r="D894" s="2"/>
    </row>
    <row r="895" spans="1:4" s="74" customFormat="1" x14ac:dyDescent="0.2">
      <c r="A895" s="2"/>
      <c r="B895" s="64"/>
      <c r="C895" s="2"/>
      <c r="D895" s="2"/>
    </row>
    <row r="896" spans="1:4" s="74" customFormat="1" x14ac:dyDescent="0.2">
      <c r="A896" s="2"/>
      <c r="B896" s="64"/>
      <c r="C896" s="2"/>
      <c r="D896" s="2"/>
    </row>
    <row r="897" spans="1:4" s="74" customFormat="1" x14ac:dyDescent="0.2">
      <c r="A897" s="2"/>
      <c r="B897" s="64"/>
      <c r="C897" s="2"/>
      <c r="D897" s="2"/>
    </row>
    <row r="898" spans="1:4" s="74" customFormat="1" x14ac:dyDescent="0.2">
      <c r="A898" s="2"/>
      <c r="B898" s="64"/>
      <c r="C898" s="2"/>
      <c r="D898" s="2"/>
    </row>
    <row r="899" spans="1:4" s="74" customFormat="1" x14ac:dyDescent="0.2">
      <c r="A899" s="2"/>
      <c r="B899" s="64"/>
      <c r="C899" s="2"/>
      <c r="D899" s="2"/>
    </row>
    <row r="900" spans="1:4" s="74" customFormat="1" x14ac:dyDescent="0.2">
      <c r="A900" s="2"/>
      <c r="B900" s="64"/>
      <c r="C900" s="2"/>
      <c r="D900" s="2"/>
    </row>
    <row r="901" spans="1:4" s="74" customFormat="1" x14ac:dyDescent="0.2">
      <c r="A901" s="2"/>
      <c r="B901" s="64"/>
      <c r="C901" s="2"/>
      <c r="D901" s="2"/>
    </row>
    <row r="902" spans="1:4" s="74" customFormat="1" x14ac:dyDescent="0.2">
      <c r="A902" s="2"/>
      <c r="B902" s="64"/>
      <c r="C902" s="2"/>
      <c r="D902" s="2"/>
    </row>
    <row r="903" spans="1:4" s="74" customFormat="1" x14ac:dyDescent="0.2">
      <c r="A903" s="2"/>
      <c r="B903" s="64"/>
      <c r="C903" s="2"/>
      <c r="D903" s="2"/>
    </row>
    <row r="904" spans="1:4" s="74" customFormat="1" x14ac:dyDescent="0.2">
      <c r="A904" s="2"/>
      <c r="B904" s="64"/>
      <c r="C904" s="2"/>
      <c r="D904" s="2"/>
    </row>
    <row r="905" spans="1:4" s="74" customFormat="1" x14ac:dyDescent="0.2">
      <c r="A905" s="2"/>
      <c r="B905" s="64"/>
      <c r="C905" s="2"/>
      <c r="D905" s="2"/>
    </row>
    <row r="906" spans="1:4" s="74" customFormat="1" x14ac:dyDescent="0.2">
      <c r="A906" s="2"/>
      <c r="B906" s="64"/>
      <c r="C906" s="2"/>
      <c r="D906" s="2"/>
    </row>
    <row r="907" spans="1:4" s="74" customFormat="1" x14ac:dyDescent="0.2">
      <c r="A907" s="2"/>
      <c r="B907" s="64"/>
      <c r="C907" s="2"/>
      <c r="D907" s="2"/>
    </row>
    <row r="908" spans="1:4" s="74" customFormat="1" x14ac:dyDescent="0.2">
      <c r="A908" s="2"/>
      <c r="B908" s="64"/>
      <c r="C908" s="2"/>
      <c r="D908" s="2"/>
    </row>
    <row r="909" spans="1:4" s="74" customFormat="1" x14ac:dyDescent="0.2">
      <c r="A909" s="2"/>
      <c r="B909" s="64"/>
      <c r="C909" s="2"/>
      <c r="D909" s="2"/>
    </row>
    <row r="910" spans="1:4" s="74" customFormat="1" x14ac:dyDescent="0.2">
      <c r="A910" s="2"/>
      <c r="B910" s="64"/>
      <c r="C910" s="2"/>
      <c r="D910" s="2"/>
    </row>
    <row r="911" spans="1:4" s="74" customFormat="1" x14ac:dyDescent="0.2">
      <c r="A911" s="2"/>
      <c r="B911" s="64"/>
      <c r="C911" s="2"/>
      <c r="D911" s="2"/>
    </row>
    <row r="912" spans="1:4" s="74" customFormat="1" x14ac:dyDescent="0.2">
      <c r="A912" s="2"/>
      <c r="B912" s="64"/>
      <c r="C912" s="2"/>
      <c r="D912" s="2"/>
    </row>
    <row r="913" spans="1:4" s="74" customFormat="1" x14ac:dyDescent="0.2">
      <c r="A913" s="2"/>
      <c r="B913" s="64"/>
      <c r="C913" s="2"/>
      <c r="D913" s="2"/>
    </row>
    <row r="914" spans="1:4" s="74" customFormat="1" x14ac:dyDescent="0.2">
      <c r="A914" s="2"/>
      <c r="B914" s="64"/>
      <c r="C914" s="2"/>
      <c r="D914" s="2"/>
    </row>
    <row r="915" spans="1:4" s="74" customFormat="1" x14ac:dyDescent="0.2">
      <c r="A915" s="2"/>
      <c r="B915" s="64"/>
      <c r="C915" s="2"/>
      <c r="D915" s="2"/>
    </row>
    <row r="916" spans="1:4" s="74" customFormat="1" x14ac:dyDescent="0.2">
      <c r="A916" s="2"/>
      <c r="B916" s="64"/>
      <c r="C916" s="2"/>
      <c r="D916" s="2"/>
    </row>
    <row r="917" spans="1:4" s="74" customFormat="1" x14ac:dyDescent="0.2">
      <c r="A917" s="2"/>
      <c r="B917" s="64"/>
      <c r="C917" s="2"/>
      <c r="D917" s="2"/>
    </row>
    <row r="918" spans="1:4" s="74" customFormat="1" x14ac:dyDescent="0.2">
      <c r="A918" s="2"/>
      <c r="B918" s="64"/>
      <c r="C918" s="2"/>
      <c r="D918" s="2"/>
    </row>
    <row r="919" spans="1:4" s="74" customFormat="1" x14ac:dyDescent="0.2">
      <c r="A919" s="2"/>
      <c r="B919" s="64"/>
      <c r="C919" s="2"/>
      <c r="D919" s="2"/>
    </row>
    <row r="920" spans="1:4" s="74" customFormat="1" x14ac:dyDescent="0.2">
      <c r="A920" s="2"/>
      <c r="B920" s="64"/>
      <c r="C920" s="2"/>
      <c r="D920" s="2"/>
    </row>
    <row r="921" spans="1:4" s="74" customFormat="1" x14ac:dyDescent="0.2">
      <c r="A921" s="2"/>
      <c r="B921" s="64"/>
      <c r="C921" s="2"/>
      <c r="D921" s="2"/>
    </row>
    <row r="922" spans="1:4" s="74" customFormat="1" x14ac:dyDescent="0.2">
      <c r="A922" s="2"/>
      <c r="B922" s="64"/>
      <c r="C922" s="2"/>
      <c r="D922" s="2"/>
    </row>
    <row r="923" spans="1:4" s="74" customFormat="1" x14ac:dyDescent="0.2">
      <c r="A923" s="2"/>
      <c r="B923" s="64"/>
      <c r="C923" s="2"/>
      <c r="D923" s="2"/>
    </row>
    <row r="924" spans="1:4" s="74" customFormat="1" x14ac:dyDescent="0.2">
      <c r="A924" s="2"/>
      <c r="B924" s="64"/>
      <c r="C924" s="2"/>
      <c r="D924" s="2"/>
    </row>
    <row r="925" spans="1:4" s="74" customFormat="1" x14ac:dyDescent="0.2">
      <c r="A925" s="2"/>
      <c r="B925" s="64"/>
      <c r="C925" s="2"/>
      <c r="D925" s="2"/>
    </row>
    <row r="926" spans="1:4" s="74" customFormat="1" x14ac:dyDescent="0.2">
      <c r="A926" s="2"/>
      <c r="B926" s="64"/>
      <c r="C926" s="2"/>
      <c r="D926" s="2"/>
    </row>
    <row r="927" spans="1:4" s="74" customFormat="1" x14ac:dyDescent="0.2">
      <c r="A927" s="2"/>
      <c r="B927" s="64"/>
      <c r="C927" s="2"/>
      <c r="D927" s="2"/>
    </row>
    <row r="928" spans="1:4" s="74" customFormat="1" x14ac:dyDescent="0.2">
      <c r="A928" s="2"/>
      <c r="B928" s="64"/>
      <c r="C928" s="2"/>
      <c r="D928" s="2"/>
    </row>
    <row r="929" spans="1:4" s="74" customFormat="1" x14ac:dyDescent="0.2">
      <c r="A929" s="2"/>
      <c r="B929" s="64"/>
      <c r="C929" s="2"/>
      <c r="D929" s="2"/>
    </row>
    <row r="930" spans="1:4" s="74" customFormat="1" x14ac:dyDescent="0.2">
      <c r="A930" s="2"/>
      <c r="B930" s="64"/>
      <c r="C930" s="2"/>
      <c r="D930" s="2"/>
    </row>
    <row r="931" spans="1:4" s="74" customFormat="1" x14ac:dyDescent="0.2">
      <c r="A931" s="2"/>
      <c r="B931" s="64"/>
      <c r="C931" s="2"/>
      <c r="D931" s="2"/>
    </row>
    <row r="932" spans="1:4" s="74" customFormat="1" x14ac:dyDescent="0.2">
      <c r="A932" s="2"/>
      <c r="B932" s="64"/>
      <c r="C932" s="2"/>
      <c r="D932" s="2"/>
    </row>
    <row r="933" spans="1:4" s="74" customFormat="1" x14ac:dyDescent="0.2">
      <c r="A933" s="2"/>
      <c r="B933" s="64"/>
      <c r="C933" s="2"/>
      <c r="D933" s="2"/>
    </row>
    <row r="934" spans="1:4" s="74" customFormat="1" x14ac:dyDescent="0.2">
      <c r="A934" s="2"/>
      <c r="B934" s="64"/>
      <c r="C934" s="2"/>
      <c r="D934" s="2"/>
    </row>
    <row r="935" spans="1:4" s="74" customFormat="1" x14ac:dyDescent="0.2">
      <c r="A935" s="2"/>
      <c r="B935" s="64"/>
      <c r="C935" s="2"/>
      <c r="D935" s="2"/>
    </row>
    <row r="936" spans="1:4" s="74" customFormat="1" x14ac:dyDescent="0.2">
      <c r="A936" s="2"/>
      <c r="B936" s="64"/>
      <c r="C936" s="2"/>
      <c r="D936" s="2"/>
    </row>
    <row r="937" spans="1:4" s="74" customFormat="1" x14ac:dyDescent="0.2">
      <c r="A937" s="2"/>
      <c r="B937" s="64"/>
      <c r="C937" s="2"/>
      <c r="D937" s="2"/>
    </row>
    <row r="938" spans="1:4" s="74" customFormat="1" x14ac:dyDescent="0.2">
      <c r="A938" s="2"/>
      <c r="B938" s="64"/>
      <c r="C938" s="2"/>
      <c r="D938" s="2"/>
    </row>
    <row r="939" spans="1:4" s="74" customFormat="1" x14ac:dyDescent="0.2">
      <c r="A939" s="2"/>
      <c r="B939" s="64"/>
      <c r="C939" s="2"/>
      <c r="D939" s="2"/>
    </row>
    <row r="940" spans="1:4" s="74" customFormat="1" x14ac:dyDescent="0.2">
      <c r="A940" s="2"/>
      <c r="B940" s="64"/>
      <c r="C940" s="2"/>
      <c r="D940" s="2"/>
    </row>
    <row r="941" spans="1:4" s="74" customFormat="1" x14ac:dyDescent="0.2">
      <c r="A941" s="2"/>
      <c r="B941" s="64"/>
      <c r="C941" s="2"/>
      <c r="D941" s="2"/>
    </row>
    <row r="942" spans="1:4" s="74" customFormat="1" x14ac:dyDescent="0.2">
      <c r="A942" s="2"/>
      <c r="B942" s="64"/>
      <c r="C942" s="2"/>
      <c r="D942" s="2"/>
    </row>
    <row r="943" spans="1:4" s="74" customFormat="1" x14ac:dyDescent="0.2">
      <c r="A943" s="2"/>
      <c r="B943" s="64"/>
      <c r="C943" s="2"/>
      <c r="D943" s="2"/>
    </row>
    <row r="944" spans="1:4" s="74" customFormat="1" x14ac:dyDescent="0.2">
      <c r="A944" s="2"/>
      <c r="B944" s="64"/>
      <c r="C944" s="2"/>
      <c r="D944" s="2"/>
    </row>
    <row r="945" spans="1:4" s="74" customFormat="1" x14ac:dyDescent="0.2">
      <c r="A945" s="2"/>
      <c r="B945" s="64"/>
      <c r="C945" s="2"/>
      <c r="D945" s="2"/>
    </row>
    <row r="946" spans="1:4" s="74" customFormat="1" x14ac:dyDescent="0.2">
      <c r="A946" s="2"/>
      <c r="B946" s="64"/>
      <c r="C946" s="2"/>
      <c r="D946" s="2"/>
    </row>
    <row r="947" spans="1:4" s="74" customFormat="1" x14ac:dyDescent="0.2">
      <c r="A947" s="2"/>
      <c r="B947" s="64"/>
      <c r="C947" s="2"/>
      <c r="D947" s="2"/>
    </row>
    <row r="948" spans="1:4" s="74" customFormat="1" x14ac:dyDescent="0.2">
      <c r="A948" s="2"/>
      <c r="B948" s="64"/>
      <c r="C948" s="2"/>
      <c r="D948" s="2"/>
    </row>
    <row r="949" spans="1:4" s="74" customFormat="1" x14ac:dyDescent="0.2">
      <c r="A949" s="2"/>
      <c r="B949" s="64"/>
      <c r="C949" s="2"/>
      <c r="D949" s="2"/>
    </row>
    <row r="950" spans="1:4" s="74" customFormat="1" x14ac:dyDescent="0.2">
      <c r="A950" s="2"/>
      <c r="B950" s="64"/>
      <c r="C950" s="2"/>
      <c r="D950" s="2"/>
    </row>
    <row r="951" spans="1:4" s="74" customFormat="1" x14ac:dyDescent="0.2">
      <c r="A951" s="2"/>
      <c r="B951" s="64"/>
      <c r="C951" s="2"/>
      <c r="D951" s="2"/>
    </row>
    <row r="952" spans="1:4" s="74" customFormat="1" x14ac:dyDescent="0.2">
      <c r="A952" s="2"/>
      <c r="B952" s="64"/>
      <c r="C952" s="2"/>
      <c r="D952" s="2"/>
    </row>
    <row r="953" spans="1:4" s="74" customFormat="1" x14ac:dyDescent="0.2">
      <c r="A953" s="2"/>
      <c r="B953" s="64"/>
      <c r="C953" s="2"/>
      <c r="D953" s="2"/>
    </row>
    <row r="954" spans="1:4" s="74" customFormat="1" x14ac:dyDescent="0.2">
      <c r="A954" s="2"/>
      <c r="B954" s="64"/>
      <c r="C954" s="2"/>
      <c r="D954" s="2"/>
    </row>
    <row r="955" spans="1:4" s="74" customFormat="1" x14ac:dyDescent="0.2">
      <c r="A955" s="2"/>
      <c r="B955" s="64"/>
      <c r="C955" s="2"/>
      <c r="D955" s="2"/>
    </row>
    <row r="956" spans="1:4" s="74" customFormat="1" x14ac:dyDescent="0.2">
      <c r="A956" s="2"/>
      <c r="B956" s="64"/>
      <c r="C956" s="2"/>
      <c r="D956" s="2"/>
    </row>
    <row r="957" spans="1:4" s="74" customFormat="1" x14ac:dyDescent="0.2">
      <c r="A957" s="2"/>
      <c r="B957" s="64"/>
      <c r="C957" s="2"/>
      <c r="D957" s="2"/>
    </row>
    <row r="958" spans="1:4" s="74" customFormat="1" x14ac:dyDescent="0.2">
      <c r="A958" s="2"/>
      <c r="B958" s="64"/>
      <c r="C958" s="2"/>
      <c r="D958" s="2"/>
    </row>
    <row r="959" spans="1:4" s="74" customFormat="1" x14ac:dyDescent="0.2">
      <c r="A959" s="2"/>
      <c r="B959" s="64"/>
      <c r="C959" s="2"/>
      <c r="D959" s="2"/>
    </row>
    <row r="960" spans="1:4" s="74" customFormat="1" x14ac:dyDescent="0.2">
      <c r="A960" s="2"/>
      <c r="B960" s="64"/>
      <c r="C960" s="2"/>
      <c r="D960" s="2"/>
    </row>
    <row r="961" spans="1:4" s="74" customFormat="1" x14ac:dyDescent="0.2">
      <c r="A961" s="2"/>
      <c r="B961" s="64"/>
      <c r="C961" s="2"/>
      <c r="D961" s="2"/>
    </row>
    <row r="962" spans="1:4" s="74" customFormat="1" x14ac:dyDescent="0.2">
      <c r="A962" s="2"/>
      <c r="B962" s="64"/>
      <c r="C962" s="2"/>
      <c r="D962" s="2"/>
    </row>
    <row r="963" spans="1:4" s="74" customFormat="1" x14ac:dyDescent="0.2">
      <c r="A963" s="2"/>
      <c r="B963" s="64"/>
      <c r="C963" s="2"/>
      <c r="D963" s="2"/>
    </row>
    <row r="964" spans="1:4" s="74" customFormat="1" x14ac:dyDescent="0.2">
      <c r="A964" s="2"/>
      <c r="B964" s="64"/>
      <c r="C964" s="2"/>
      <c r="D964" s="2"/>
    </row>
    <row r="965" spans="1:4" s="74" customFormat="1" x14ac:dyDescent="0.2">
      <c r="A965" s="2"/>
      <c r="B965" s="64"/>
      <c r="C965" s="2"/>
      <c r="D965" s="2"/>
    </row>
    <row r="966" spans="1:4" s="74" customFormat="1" x14ac:dyDescent="0.2">
      <c r="A966" s="2"/>
      <c r="B966" s="64"/>
      <c r="C966" s="2"/>
      <c r="D966" s="2"/>
    </row>
    <row r="967" spans="1:4" s="74" customFormat="1" x14ac:dyDescent="0.2">
      <c r="A967" s="2"/>
      <c r="B967" s="64"/>
      <c r="C967" s="2"/>
      <c r="D967" s="2"/>
    </row>
    <row r="968" spans="1:4" s="74" customFormat="1" x14ac:dyDescent="0.2">
      <c r="A968" s="2"/>
      <c r="B968" s="64"/>
      <c r="C968" s="2"/>
      <c r="D968" s="2"/>
    </row>
    <row r="969" spans="1:4" s="74" customFormat="1" x14ac:dyDescent="0.2">
      <c r="A969" s="2"/>
      <c r="B969" s="64"/>
      <c r="C969" s="2"/>
      <c r="D969" s="2"/>
    </row>
    <row r="970" spans="1:4" s="74" customFormat="1" x14ac:dyDescent="0.2">
      <c r="A970" s="2"/>
      <c r="B970" s="64"/>
      <c r="C970" s="2"/>
      <c r="D970" s="2"/>
    </row>
    <row r="971" spans="1:4" s="74" customFormat="1" x14ac:dyDescent="0.2">
      <c r="A971" s="2"/>
      <c r="B971" s="64"/>
      <c r="C971" s="2"/>
      <c r="D971" s="2"/>
    </row>
    <row r="972" spans="1:4" s="74" customFormat="1" x14ac:dyDescent="0.2">
      <c r="A972" s="2"/>
      <c r="B972" s="64"/>
      <c r="C972" s="2"/>
      <c r="D972" s="2"/>
    </row>
    <row r="973" spans="1:4" s="74" customFormat="1" x14ac:dyDescent="0.2">
      <c r="A973" s="2"/>
      <c r="B973" s="64"/>
      <c r="C973" s="2"/>
      <c r="D973" s="2"/>
    </row>
    <row r="974" spans="1:4" s="74" customFormat="1" x14ac:dyDescent="0.2">
      <c r="A974" s="2"/>
      <c r="B974" s="64"/>
      <c r="C974" s="2"/>
      <c r="D974" s="2"/>
    </row>
    <row r="975" spans="1:4" s="74" customFormat="1" x14ac:dyDescent="0.2">
      <c r="A975" s="2"/>
      <c r="B975" s="64"/>
      <c r="C975" s="2"/>
      <c r="D975" s="2"/>
    </row>
    <row r="976" spans="1:4" s="74" customFormat="1" x14ac:dyDescent="0.2">
      <c r="A976" s="2"/>
      <c r="B976" s="64"/>
      <c r="C976" s="2"/>
      <c r="D976" s="2"/>
    </row>
    <row r="977" spans="1:4" s="74" customFormat="1" x14ac:dyDescent="0.2">
      <c r="A977" s="2"/>
      <c r="B977" s="64"/>
      <c r="C977" s="2"/>
      <c r="D977" s="2"/>
    </row>
    <row r="978" spans="1:4" s="74" customFormat="1" x14ac:dyDescent="0.2">
      <c r="A978" s="2"/>
      <c r="B978" s="64"/>
      <c r="C978" s="2"/>
      <c r="D978" s="2"/>
    </row>
    <row r="979" spans="1:4" s="74" customFormat="1" x14ac:dyDescent="0.2">
      <c r="A979" s="2"/>
      <c r="B979" s="64"/>
      <c r="C979" s="2"/>
      <c r="D979" s="2"/>
    </row>
    <row r="980" spans="1:4" s="74" customFormat="1" x14ac:dyDescent="0.2">
      <c r="A980" s="2"/>
      <c r="B980" s="64"/>
      <c r="C980" s="2"/>
      <c r="D980" s="2"/>
    </row>
    <row r="981" spans="1:4" s="74" customFormat="1" x14ac:dyDescent="0.2">
      <c r="A981" s="2"/>
      <c r="B981" s="64"/>
      <c r="C981" s="2"/>
      <c r="D981" s="2"/>
    </row>
    <row r="982" spans="1:4" s="74" customFormat="1" x14ac:dyDescent="0.2">
      <c r="A982" s="2"/>
      <c r="B982" s="64"/>
      <c r="C982" s="2"/>
      <c r="D982" s="2"/>
    </row>
    <row r="983" spans="1:4" s="74" customFormat="1" x14ac:dyDescent="0.2">
      <c r="A983" s="2"/>
      <c r="B983" s="64"/>
      <c r="C983" s="2"/>
      <c r="D983" s="2"/>
    </row>
    <row r="984" spans="1:4" s="74" customFormat="1" x14ac:dyDescent="0.2">
      <c r="A984" s="2"/>
      <c r="B984" s="64"/>
      <c r="C984" s="2"/>
      <c r="D984" s="2"/>
    </row>
    <row r="985" spans="1:4" s="74" customFormat="1" x14ac:dyDescent="0.2">
      <c r="A985" s="2"/>
      <c r="B985" s="64"/>
      <c r="C985" s="2"/>
      <c r="D985" s="2"/>
    </row>
    <row r="986" spans="1:4" s="74" customFormat="1" x14ac:dyDescent="0.2">
      <c r="A986" s="2"/>
      <c r="B986" s="64"/>
      <c r="C986" s="2"/>
      <c r="D986" s="2"/>
    </row>
    <row r="987" spans="1:4" s="74" customFormat="1" x14ac:dyDescent="0.2">
      <c r="A987" s="2"/>
      <c r="B987" s="64"/>
      <c r="C987" s="2"/>
      <c r="D987" s="2"/>
    </row>
    <row r="988" spans="1:4" s="74" customFormat="1" x14ac:dyDescent="0.2">
      <c r="A988" s="2"/>
      <c r="B988" s="64"/>
      <c r="C988" s="2"/>
      <c r="D988" s="2"/>
    </row>
    <row r="989" spans="1:4" s="74" customFormat="1" x14ac:dyDescent="0.2">
      <c r="A989" s="2"/>
      <c r="B989" s="64"/>
      <c r="C989" s="2"/>
      <c r="D989" s="2"/>
    </row>
    <row r="990" spans="1:4" s="74" customFormat="1" x14ac:dyDescent="0.2">
      <c r="A990" s="2"/>
      <c r="B990" s="64"/>
      <c r="C990" s="2"/>
      <c r="D990" s="2"/>
    </row>
    <row r="991" spans="1:4" s="74" customFormat="1" x14ac:dyDescent="0.2">
      <c r="A991" s="2"/>
      <c r="B991" s="64"/>
      <c r="C991" s="2"/>
      <c r="D991" s="2"/>
    </row>
    <row r="992" spans="1:4" s="74" customFormat="1" x14ac:dyDescent="0.2">
      <c r="A992" s="2"/>
      <c r="B992" s="64"/>
      <c r="C992" s="2"/>
      <c r="D992" s="2"/>
    </row>
    <row r="993" spans="1:4" s="74" customFormat="1" x14ac:dyDescent="0.2">
      <c r="A993" s="2"/>
      <c r="B993" s="64"/>
      <c r="C993" s="2"/>
      <c r="D993" s="2"/>
    </row>
    <row r="994" spans="1:4" s="74" customFormat="1" x14ac:dyDescent="0.2">
      <c r="A994" s="2"/>
      <c r="B994" s="64"/>
      <c r="C994" s="2"/>
      <c r="D994" s="2"/>
    </row>
    <row r="995" spans="1:4" s="74" customFormat="1" x14ac:dyDescent="0.2">
      <c r="A995" s="2"/>
      <c r="B995" s="64"/>
      <c r="C995" s="2"/>
      <c r="D995" s="2"/>
    </row>
    <row r="996" spans="1:4" s="74" customFormat="1" x14ac:dyDescent="0.2">
      <c r="A996" s="2"/>
      <c r="B996" s="64"/>
      <c r="C996" s="2"/>
      <c r="D996" s="2"/>
    </row>
    <row r="997" spans="1:4" s="74" customFormat="1" x14ac:dyDescent="0.2">
      <c r="A997" s="2"/>
      <c r="B997" s="64"/>
      <c r="C997" s="2"/>
      <c r="D997" s="2"/>
    </row>
    <row r="998" spans="1:4" s="74" customFormat="1" x14ac:dyDescent="0.2">
      <c r="A998" s="2"/>
      <c r="B998" s="64"/>
      <c r="C998" s="2"/>
      <c r="D998" s="2"/>
    </row>
    <row r="999" spans="1:4" s="74" customFormat="1" x14ac:dyDescent="0.2">
      <c r="A999" s="2"/>
      <c r="B999" s="64"/>
      <c r="C999" s="2"/>
      <c r="D999" s="2"/>
    </row>
    <row r="1000" spans="1:4" s="74" customFormat="1" x14ac:dyDescent="0.2">
      <c r="A1000" s="2"/>
      <c r="B1000" s="64"/>
      <c r="C1000" s="2"/>
      <c r="D1000" s="2"/>
    </row>
    <row r="1001" spans="1:4" s="74" customFormat="1" x14ac:dyDescent="0.2">
      <c r="A1001" s="2"/>
      <c r="B1001" s="64"/>
      <c r="C1001" s="2"/>
      <c r="D1001" s="2"/>
    </row>
    <row r="1002" spans="1:4" s="74" customFormat="1" x14ac:dyDescent="0.2">
      <c r="A1002" s="2"/>
      <c r="B1002" s="64"/>
      <c r="C1002" s="2"/>
      <c r="D1002" s="2"/>
    </row>
    <row r="1003" spans="1:4" s="74" customFormat="1" x14ac:dyDescent="0.2">
      <c r="A1003" s="2"/>
      <c r="B1003" s="64"/>
      <c r="C1003" s="2"/>
      <c r="D1003" s="2"/>
    </row>
    <row r="1004" spans="1:4" s="74" customFormat="1" x14ac:dyDescent="0.2">
      <c r="A1004" s="2"/>
      <c r="B1004" s="64"/>
      <c r="C1004" s="2"/>
      <c r="D1004" s="2"/>
    </row>
    <row r="1005" spans="1:4" s="74" customFormat="1" x14ac:dyDescent="0.2">
      <c r="A1005" s="2"/>
      <c r="B1005" s="64"/>
      <c r="C1005" s="2"/>
      <c r="D1005" s="2"/>
    </row>
    <row r="1006" spans="1:4" s="74" customFormat="1" x14ac:dyDescent="0.2">
      <c r="A1006" s="2"/>
      <c r="B1006" s="64"/>
      <c r="C1006" s="2"/>
      <c r="D1006" s="2"/>
    </row>
    <row r="1007" spans="1:4" s="74" customFormat="1" x14ac:dyDescent="0.2">
      <c r="A1007" s="2"/>
      <c r="B1007" s="64"/>
      <c r="C1007" s="2"/>
      <c r="D1007" s="2"/>
    </row>
    <row r="1008" spans="1:4" s="74" customFormat="1" x14ac:dyDescent="0.2">
      <c r="A1008" s="2"/>
      <c r="B1008" s="64"/>
      <c r="C1008" s="2"/>
      <c r="D1008" s="2"/>
    </row>
    <row r="1009" spans="1:4" s="74" customFormat="1" x14ac:dyDescent="0.2">
      <c r="A1009" s="2"/>
      <c r="B1009" s="64"/>
      <c r="C1009" s="2"/>
      <c r="D1009" s="2"/>
    </row>
    <row r="1010" spans="1:4" s="74" customFormat="1" x14ac:dyDescent="0.2">
      <c r="A1010" s="2"/>
      <c r="B1010" s="64"/>
      <c r="C1010" s="2"/>
      <c r="D1010" s="2"/>
    </row>
    <row r="1011" spans="1:4" s="74" customFormat="1" x14ac:dyDescent="0.2">
      <c r="A1011" s="2"/>
      <c r="B1011" s="64"/>
      <c r="C1011" s="2"/>
      <c r="D1011" s="2"/>
    </row>
    <row r="1012" spans="1:4" s="74" customFormat="1" x14ac:dyDescent="0.2">
      <c r="A1012" s="2"/>
      <c r="B1012" s="64"/>
      <c r="C1012" s="2"/>
      <c r="D1012" s="2"/>
    </row>
    <row r="1013" spans="1:4" s="74" customFormat="1" x14ac:dyDescent="0.2">
      <c r="A1013" s="2"/>
      <c r="B1013" s="64"/>
      <c r="C1013" s="2"/>
      <c r="D1013" s="2"/>
    </row>
    <row r="1014" spans="1:4" s="74" customFormat="1" x14ac:dyDescent="0.2">
      <c r="A1014" s="2"/>
      <c r="B1014" s="64"/>
      <c r="C1014" s="2"/>
      <c r="D1014" s="2"/>
    </row>
    <row r="1015" spans="1:4" s="74" customFormat="1" x14ac:dyDescent="0.2">
      <c r="A1015" s="2"/>
      <c r="B1015" s="64"/>
      <c r="C1015" s="2"/>
      <c r="D1015" s="2"/>
    </row>
    <row r="1016" spans="1:4" s="74" customFormat="1" x14ac:dyDescent="0.2">
      <c r="A1016" s="2"/>
      <c r="B1016" s="64"/>
      <c r="C1016" s="2"/>
      <c r="D1016" s="2"/>
    </row>
    <row r="1017" spans="1:4" s="74" customFormat="1" x14ac:dyDescent="0.2">
      <c r="A1017" s="2"/>
      <c r="B1017" s="64"/>
      <c r="C1017" s="2"/>
      <c r="D1017" s="2"/>
    </row>
    <row r="1018" spans="1:4" s="74" customFormat="1" x14ac:dyDescent="0.2">
      <c r="A1018" s="2"/>
      <c r="B1018" s="64"/>
      <c r="C1018" s="2"/>
      <c r="D1018" s="2"/>
    </row>
    <row r="1019" spans="1:4" s="74" customFormat="1" x14ac:dyDescent="0.2">
      <c r="A1019" s="2"/>
      <c r="B1019" s="64"/>
      <c r="C1019" s="2"/>
      <c r="D1019" s="2"/>
    </row>
    <row r="1020" spans="1:4" s="74" customFormat="1" x14ac:dyDescent="0.2">
      <c r="A1020" s="2"/>
      <c r="B1020" s="64"/>
      <c r="C1020" s="2"/>
      <c r="D1020" s="2"/>
    </row>
    <row r="1021" spans="1:4" s="74" customFormat="1" x14ac:dyDescent="0.2">
      <c r="A1021" s="2"/>
      <c r="B1021" s="64"/>
      <c r="C1021" s="2"/>
      <c r="D1021" s="2"/>
    </row>
    <row r="1022" spans="1:4" s="74" customFormat="1" x14ac:dyDescent="0.2">
      <c r="A1022" s="2"/>
      <c r="B1022" s="64"/>
      <c r="C1022" s="2"/>
      <c r="D1022" s="2"/>
    </row>
    <row r="1023" spans="1:4" s="74" customFormat="1" x14ac:dyDescent="0.2">
      <c r="A1023" s="2"/>
      <c r="B1023" s="64"/>
      <c r="C1023" s="2"/>
      <c r="D1023" s="2"/>
    </row>
    <row r="1024" spans="1:4" s="74" customFormat="1" x14ac:dyDescent="0.2">
      <c r="A1024" s="2"/>
      <c r="B1024" s="64"/>
      <c r="C1024" s="2"/>
      <c r="D1024" s="2"/>
    </row>
    <row r="1025" spans="1:4" s="74" customFormat="1" x14ac:dyDescent="0.2">
      <c r="A1025" s="2"/>
      <c r="B1025" s="64"/>
      <c r="C1025" s="2"/>
      <c r="D1025" s="2"/>
    </row>
    <row r="1026" spans="1:4" s="74" customFormat="1" x14ac:dyDescent="0.2">
      <c r="A1026" s="2"/>
      <c r="B1026" s="64"/>
      <c r="C1026" s="2"/>
      <c r="D1026" s="2"/>
    </row>
    <row r="1027" spans="1:4" s="74" customFormat="1" x14ac:dyDescent="0.2">
      <c r="A1027" s="2"/>
      <c r="B1027" s="64"/>
      <c r="C1027" s="2"/>
      <c r="D1027" s="2"/>
    </row>
    <row r="1028" spans="1:4" x14ac:dyDescent="0.2">
      <c r="A1028" s="2"/>
      <c r="B1028" s="64"/>
      <c r="C1028" s="2"/>
      <c r="D1028" s="2"/>
    </row>
    <row r="1029" spans="1:4" x14ac:dyDescent="0.2">
      <c r="A1029" s="2"/>
      <c r="B1029" s="64"/>
      <c r="C1029" s="2"/>
      <c r="D1029" s="2"/>
    </row>
    <row r="1030" spans="1:4" x14ac:dyDescent="0.2">
      <c r="A1030" s="2"/>
      <c r="B1030" s="64"/>
      <c r="C1030" s="2"/>
      <c r="D1030" s="2"/>
    </row>
    <row r="1031" spans="1:4" x14ac:dyDescent="0.2">
      <c r="A1031" s="2"/>
      <c r="B1031" s="64"/>
      <c r="C1031" s="2"/>
      <c r="D1031" s="2"/>
    </row>
    <row r="1032" spans="1:4" x14ac:dyDescent="0.2">
      <c r="A1032" s="2"/>
      <c r="B1032" s="64"/>
      <c r="C1032" s="2"/>
      <c r="D1032" s="2"/>
    </row>
    <row r="1033" spans="1:4" x14ac:dyDescent="0.2">
      <c r="A1033" s="2"/>
      <c r="B1033" s="64"/>
      <c r="C1033" s="2"/>
      <c r="D1033" s="2"/>
    </row>
    <row r="1034" spans="1:4" x14ac:dyDescent="0.2">
      <c r="A1034" s="2"/>
      <c r="B1034" s="64"/>
      <c r="C1034" s="2"/>
      <c r="D1034" s="2"/>
    </row>
    <row r="1035" spans="1:4" x14ac:dyDescent="0.2">
      <c r="A1035" s="2"/>
      <c r="B1035" s="64"/>
      <c r="C1035" s="2"/>
      <c r="D1035" s="2"/>
    </row>
    <row r="1036" spans="1:4" x14ac:dyDescent="0.2">
      <c r="A1036" s="2"/>
      <c r="B1036" s="64"/>
      <c r="C1036" s="2"/>
      <c r="D1036" s="2"/>
    </row>
    <row r="1037" spans="1:4" x14ac:dyDescent="0.2">
      <c r="A1037" s="2"/>
      <c r="B1037" s="64"/>
      <c r="C1037" s="2"/>
      <c r="D1037" s="2"/>
    </row>
    <row r="1038" spans="1:4" x14ac:dyDescent="0.2">
      <c r="A1038" s="2"/>
      <c r="B1038" s="64"/>
      <c r="C1038" s="2"/>
      <c r="D1038" s="2"/>
    </row>
    <row r="1039" spans="1:4" x14ac:dyDescent="0.2">
      <c r="A1039" s="2"/>
      <c r="B1039" s="64"/>
      <c r="C1039" s="2"/>
      <c r="D1039" s="2"/>
    </row>
    <row r="1040" spans="1:4" x14ac:dyDescent="0.2">
      <c r="A1040" s="2"/>
      <c r="B1040" s="64"/>
      <c r="C1040" s="2"/>
      <c r="D1040" s="2"/>
    </row>
    <row r="1041" spans="1:4" x14ac:dyDescent="0.2">
      <c r="A1041" s="2"/>
      <c r="B1041" s="64"/>
      <c r="C1041" s="2"/>
      <c r="D1041" s="2"/>
    </row>
    <row r="1042" spans="1:4" x14ac:dyDescent="0.2">
      <c r="A1042" s="2"/>
      <c r="B1042" s="64"/>
      <c r="C1042" s="2"/>
      <c r="D1042" s="2"/>
    </row>
    <row r="1043" spans="1:4" x14ac:dyDescent="0.2">
      <c r="A1043" s="2"/>
      <c r="B1043" s="64"/>
      <c r="C1043" s="2"/>
      <c r="D1043" s="2"/>
    </row>
    <row r="1044" spans="1:4" x14ac:dyDescent="0.2">
      <c r="A1044" s="2"/>
      <c r="B1044" s="64"/>
      <c r="C1044" s="2"/>
      <c r="D1044" s="2"/>
    </row>
    <row r="1045" spans="1:4" x14ac:dyDescent="0.2">
      <c r="A1045" s="2"/>
      <c r="B1045" s="64"/>
      <c r="C1045" s="2"/>
      <c r="D1045" s="2"/>
    </row>
    <row r="1046" spans="1:4" x14ac:dyDescent="0.2">
      <c r="A1046" s="2"/>
      <c r="B1046" s="64"/>
      <c r="C1046" s="2"/>
      <c r="D1046" s="2"/>
    </row>
    <row r="1047" spans="1:4" x14ac:dyDescent="0.2">
      <c r="A1047" s="2"/>
      <c r="B1047" s="64"/>
      <c r="C1047" s="2"/>
      <c r="D1047" s="2"/>
    </row>
    <row r="1048" spans="1:4" x14ac:dyDescent="0.2">
      <c r="A1048" s="2"/>
      <c r="B1048" s="64"/>
      <c r="C1048" s="2"/>
      <c r="D1048" s="2"/>
    </row>
    <row r="1049" spans="1:4" x14ac:dyDescent="0.2">
      <c r="A1049" s="2"/>
      <c r="B1049" s="64"/>
      <c r="C1049" s="2"/>
      <c r="D1049" s="2"/>
    </row>
    <row r="1050" spans="1:4" x14ac:dyDescent="0.2">
      <c r="A1050" s="2"/>
      <c r="B1050" s="64"/>
      <c r="C1050" s="2"/>
      <c r="D1050" s="2"/>
    </row>
    <row r="1051" spans="1:4" x14ac:dyDescent="0.2">
      <c r="A1051" s="2"/>
      <c r="B1051" s="64"/>
      <c r="C1051" s="2"/>
      <c r="D1051" s="2"/>
    </row>
    <row r="1052" spans="1:4" x14ac:dyDescent="0.2">
      <c r="A1052" s="2"/>
      <c r="B1052" s="64"/>
      <c r="C1052" s="2"/>
      <c r="D1052" s="2"/>
    </row>
    <row r="1053" spans="1:4" x14ac:dyDescent="0.2">
      <c r="A1053" s="2"/>
      <c r="B1053" s="64"/>
      <c r="C1053" s="2"/>
      <c r="D1053" s="2"/>
    </row>
    <row r="1054" spans="1:4" x14ac:dyDescent="0.2">
      <c r="A1054" s="2"/>
      <c r="B1054" s="64"/>
      <c r="C1054" s="2"/>
      <c r="D1054" s="2"/>
    </row>
    <row r="1055" spans="1:4" x14ac:dyDescent="0.2">
      <c r="A1055" s="2"/>
      <c r="B1055" s="64"/>
      <c r="C1055" s="2"/>
      <c r="D1055" s="2"/>
    </row>
    <row r="1056" spans="1:4" x14ac:dyDescent="0.2">
      <c r="A1056" s="2"/>
      <c r="B1056" s="64"/>
      <c r="C1056" s="2"/>
      <c r="D1056" s="2"/>
    </row>
    <row r="1057" spans="1:4" x14ac:dyDescent="0.2">
      <c r="A1057" s="2"/>
      <c r="B1057" s="64"/>
      <c r="C1057" s="2"/>
      <c r="D1057" s="2"/>
    </row>
  </sheetData>
  <conditionalFormatting sqref="C545:C664">
    <cfRule type="colorScale" priority="37">
      <colorScale>
        <cfvo type="min"/>
        <cfvo type="percentile" val="50"/>
        <cfvo type="max"/>
        <color rgb="FFF8696B"/>
        <color rgb="FFFFEB84"/>
        <color rgb="FF63BE7B"/>
      </colorScale>
    </cfRule>
  </conditionalFormatting>
  <conditionalFormatting sqref="D545:D664">
    <cfRule type="colorScale" priority="38">
      <colorScale>
        <cfvo type="min"/>
        <cfvo type="percentile" val="50"/>
        <cfvo type="max"/>
        <color rgb="FFF8696B"/>
        <color rgb="FFFFEB84"/>
        <color rgb="FF63BE7B"/>
      </colorScale>
    </cfRule>
  </conditionalFormatting>
  <conditionalFormatting sqref="D521:D664">
    <cfRule type="colorScale" priority="39">
      <colorScale>
        <cfvo type="min"/>
        <cfvo type="percentile" val="50"/>
        <cfvo type="max"/>
        <color rgb="FFF8696B"/>
        <color rgb="FFFFEB84"/>
        <color rgb="FF63BE7B"/>
      </colorScale>
    </cfRule>
  </conditionalFormatting>
  <conditionalFormatting sqref="C521:C664">
    <cfRule type="colorScale" priority="40">
      <colorScale>
        <cfvo type="min"/>
        <cfvo type="percentile" val="50"/>
        <cfvo type="max"/>
        <color rgb="FFF8696B"/>
        <color rgb="FFFFEB84"/>
        <color rgb="FF63BE7B"/>
      </colorScale>
    </cfRule>
  </conditionalFormatting>
  <pageMargins left="0.7" right="0.7" top="0.75" bottom="0.75" header="0.3" footer="0.3"/>
  <pageSetup orientation="portrait"/>
  <drawing r:id="rId1"/>
  <tableParts count="1">
    <tablePart r:id="rId2"/>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6">
    <tabColor rgb="FFFF0000"/>
  </sheetPr>
  <dimension ref="A1:GG1261"/>
  <sheetViews>
    <sheetView zoomScale="110" zoomScaleNormal="110" workbookViewId="0">
      <pane ySplit="4" topLeftCell="A613" activePane="bottomLeft" state="frozen"/>
      <selection pane="bottomLeft" activeCell="N666" sqref="N666"/>
    </sheetView>
  </sheetViews>
  <sheetFormatPr baseColWidth="10" defaultColWidth="8.83203125" defaultRowHeight="15" x14ac:dyDescent="0.2"/>
  <cols>
    <col min="1" max="1" width="10" style="1" customWidth="1"/>
    <col min="2" max="2" width="20.1640625" style="62" customWidth="1"/>
    <col min="3" max="3" width="20.6640625" style="1" customWidth="1"/>
    <col min="4" max="4" width="17.83203125" style="1" customWidth="1"/>
    <col min="5" max="5" width="12.6640625" style="12" customWidth="1"/>
    <col min="6" max="6" width="9.1640625" style="4" customWidth="1"/>
    <col min="7" max="189" width="9.1640625" style="74" customWidth="1"/>
  </cols>
  <sheetData>
    <row r="1" spans="1:6" s="74" customFormat="1" x14ac:dyDescent="0.2">
      <c r="A1" s="7" t="s">
        <v>22</v>
      </c>
      <c r="B1" s="63" t="s">
        <v>23</v>
      </c>
      <c r="C1" s="9"/>
      <c r="D1" s="2"/>
      <c r="E1" s="11"/>
      <c r="F1" s="5"/>
    </row>
    <row r="2" spans="1:6" s="74" customFormat="1" x14ac:dyDescent="0.2">
      <c r="A2" s="2"/>
      <c r="B2" s="64"/>
      <c r="C2" s="2"/>
      <c r="D2" s="2"/>
      <c r="E2" s="11"/>
      <c r="F2" s="5"/>
    </row>
    <row r="3" spans="1:6" s="74" customFormat="1" ht="16" customHeight="1" thickBot="1" x14ac:dyDescent="0.25">
      <c r="A3" s="2"/>
      <c r="B3" s="64"/>
      <c r="C3" s="2"/>
      <c r="D3" s="2"/>
      <c r="E3" s="11"/>
      <c r="F3" s="5"/>
    </row>
    <row r="4" spans="1:6" ht="41.25" customHeight="1" thickBot="1" x14ac:dyDescent="0.25">
      <c r="A4" s="19" t="s">
        <v>28</v>
      </c>
      <c r="B4" s="65" t="s">
        <v>39</v>
      </c>
      <c r="C4" s="20" t="s">
        <v>40</v>
      </c>
      <c r="D4" s="20" t="s">
        <v>41</v>
      </c>
      <c r="E4" s="24" t="s">
        <v>26</v>
      </c>
      <c r="F4" s="25" t="s">
        <v>42</v>
      </c>
    </row>
    <row r="5" spans="1:6" x14ac:dyDescent="0.2">
      <c r="A5" s="66">
        <v>24473</v>
      </c>
      <c r="B5" s="67">
        <f>VLOOKUP(Table5[[#This Row],[Date]],Database!A:E,5,)</f>
        <v>34.200000000000003</v>
      </c>
      <c r="C5" s="18"/>
      <c r="D5" s="18"/>
      <c r="E5" s="23">
        <f>VLOOKUP(Table5[[#This Row],[Date]],'Fed Fund New'!$A:$C,2,FALSE)</f>
        <v>0</v>
      </c>
      <c r="F5" s="26">
        <v>0.02</v>
      </c>
    </row>
    <row r="6" spans="1:6" x14ac:dyDescent="0.2">
      <c r="A6" s="61">
        <v>24504</v>
      </c>
      <c r="B6" s="68">
        <f>VLOOKUP(Table5[[#This Row],[Date]],Database!A:E,5,)</f>
        <v>34.200000000000003</v>
      </c>
      <c r="C6" s="14">
        <f t="shared" ref="C6:C69" si="0">(B6-B5)/B5</f>
        <v>0</v>
      </c>
      <c r="D6" s="16"/>
      <c r="E6" s="15">
        <f>VLOOKUP(Table5[[#This Row],[Date]],'Fed Fund New'!$A:$C,2,FALSE)</f>
        <v>0</v>
      </c>
      <c r="F6" s="27">
        <v>0.02</v>
      </c>
    </row>
    <row r="7" spans="1:6" x14ac:dyDescent="0.2">
      <c r="A7" s="61">
        <v>24532</v>
      </c>
      <c r="B7" s="68">
        <f>VLOOKUP(Table5[[#This Row],[Date]],Database!A:E,5,)</f>
        <v>34.299999999999997</v>
      </c>
      <c r="C7" s="14">
        <f t="shared" si="0"/>
        <v>2.9239766081869682E-3</v>
      </c>
      <c r="D7" s="16"/>
      <c r="E7" s="15">
        <f>VLOOKUP(Table5[[#This Row],[Date]],'Fed Fund New'!$A:$C,2,FALSE)</f>
        <v>0</v>
      </c>
      <c r="F7" s="27">
        <v>0.02</v>
      </c>
    </row>
    <row r="8" spans="1:6" x14ac:dyDescent="0.2">
      <c r="A8" s="61">
        <v>24563</v>
      </c>
      <c r="B8" s="68">
        <f>VLOOKUP(Table5[[#This Row],[Date]],Database!A:E,5,)</f>
        <v>34.4</v>
      </c>
      <c r="C8" s="14">
        <f t="shared" si="0"/>
        <v>2.9154518950437734E-3</v>
      </c>
      <c r="D8" s="16"/>
      <c r="E8" s="15">
        <f>VLOOKUP(Table5[[#This Row],[Date]],'Fed Fund New'!$A:$C,2,FALSE)</f>
        <v>0</v>
      </c>
      <c r="F8" s="27">
        <v>0.02</v>
      </c>
    </row>
    <row r="9" spans="1:6" x14ac:dyDescent="0.2">
      <c r="A9" s="61">
        <v>24593</v>
      </c>
      <c r="B9" s="68">
        <f>VLOOKUP(Table5[[#This Row],[Date]],Database!A:E,5,)</f>
        <v>34.5</v>
      </c>
      <c r="C9" s="14">
        <f t="shared" si="0"/>
        <v>2.9069767441860881E-3</v>
      </c>
      <c r="D9" s="16"/>
      <c r="E9" s="15">
        <f>VLOOKUP(Table5[[#This Row],[Date]],'Fed Fund New'!$A:$C,2,FALSE)</f>
        <v>0</v>
      </c>
      <c r="F9" s="27">
        <v>0.02</v>
      </c>
    </row>
    <row r="10" spans="1:6" x14ac:dyDescent="0.2">
      <c r="A10" s="61">
        <v>24624</v>
      </c>
      <c r="B10" s="68">
        <f>VLOOKUP(Table5[[#This Row],[Date]],Database!A:E,5,)</f>
        <v>34.6</v>
      </c>
      <c r="C10" s="14">
        <f t="shared" si="0"/>
        <v>2.8985507246377224E-3</v>
      </c>
      <c r="D10" s="16"/>
      <c r="E10" s="15">
        <f>VLOOKUP(Table5[[#This Row],[Date]],'Fed Fund New'!$A:$C,2,FALSE)</f>
        <v>0</v>
      </c>
      <c r="F10" s="27">
        <v>0.02</v>
      </c>
    </row>
    <row r="11" spans="1:6" x14ac:dyDescent="0.2">
      <c r="A11" s="61">
        <v>24654</v>
      </c>
      <c r="B11" s="68">
        <f>VLOOKUP(Table5[[#This Row],[Date]],Database!A:E,5,)</f>
        <v>34.700000000000003</v>
      </c>
      <c r="C11" s="14">
        <f t="shared" si="0"/>
        <v>2.8901734104046653E-3</v>
      </c>
      <c r="D11" s="16"/>
      <c r="E11" s="15">
        <f>VLOOKUP(Table5[[#This Row],[Date]],'Fed Fund New'!$A:$C,2,FALSE)</f>
        <v>0</v>
      </c>
      <c r="F11" s="27">
        <v>0.02</v>
      </c>
    </row>
    <row r="12" spans="1:6" x14ac:dyDescent="0.2">
      <c r="A12" s="61">
        <v>24685</v>
      </c>
      <c r="B12" s="68">
        <f>VLOOKUP(Table5[[#This Row],[Date]],Database!A:E,5,)</f>
        <v>34.9</v>
      </c>
      <c r="C12" s="14">
        <f t="shared" si="0"/>
        <v>5.7636887608067929E-3</v>
      </c>
      <c r="D12" s="16"/>
      <c r="E12" s="15">
        <f>VLOOKUP(Table5[[#This Row],[Date]],'Fed Fund New'!$A:$C,2,FALSE)</f>
        <v>0</v>
      </c>
      <c r="F12" s="27">
        <v>0.02</v>
      </c>
    </row>
    <row r="13" spans="1:6" x14ac:dyDescent="0.2">
      <c r="A13" s="61">
        <v>24716</v>
      </c>
      <c r="B13" s="68">
        <f>VLOOKUP(Table5[[#This Row],[Date]],Database!A:E,5,)</f>
        <v>35</v>
      </c>
      <c r="C13" s="14">
        <f t="shared" si="0"/>
        <v>2.8653295128940235E-3</v>
      </c>
      <c r="D13" s="16"/>
      <c r="E13" s="15">
        <f>VLOOKUP(Table5[[#This Row],[Date]],'Fed Fund New'!$A:$C,2,FALSE)</f>
        <v>0</v>
      </c>
      <c r="F13" s="27">
        <v>0.02</v>
      </c>
    </row>
    <row r="14" spans="1:6" x14ac:dyDescent="0.2">
      <c r="A14" s="61">
        <v>24746</v>
      </c>
      <c r="B14" s="68">
        <f>VLOOKUP(Table5[[#This Row],[Date]],Database!A:E,5,)</f>
        <v>35.1</v>
      </c>
      <c r="C14" s="14">
        <f t="shared" si="0"/>
        <v>2.8571428571428979E-3</v>
      </c>
      <c r="D14" s="16"/>
      <c r="E14" s="15">
        <f>VLOOKUP(Table5[[#This Row],[Date]],'Fed Fund New'!$A:$C,2,FALSE)</f>
        <v>0</v>
      </c>
      <c r="F14" s="27">
        <v>0.02</v>
      </c>
    </row>
    <row r="15" spans="1:6" x14ac:dyDescent="0.2">
      <c r="A15" s="61">
        <v>24777</v>
      </c>
      <c r="B15" s="68">
        <f>VLOOKUP(Table5[[#This Row],[Date]],Database!A:E,5,)</f>
        <v>35.200000000000003</v>
      </c>
      <c r="C15" s="14">
        <f t="shared" si="0"/>
        <v>2.8490028490028895E-3</v>
      </c>
      <c r="D15" s="16"/>
      <c r="E15" s="15">
        <f>VLOOKUP(Table5[[#This Row],[Date]],'Fed Fund New'!$A:$C,2,FALSE)</f>
        <v>0</v>
      </c>
      <c r="F15" s="27">
        <v>0.02</v>
      </c>
    </row>
    <row r="16" spans="1:6" x14ac:dyDescent="0.2">
      <c r="A16" s="61">
        <v>24807</v>
      </c>
      <c r="B16" s="68">
        <f>VLOOKUP(Table5[[#This Row],[Date]],Database!A:E,5,)</f>
        <v>35.4</v>
      </c>
      <c r="C16" s="14">
        <f t="shared" si="0"/>
        <v>5.6818181818180605E-3</v>
      </c>
      <c r="D16" s="16"/>
      <c r="E16" s="15">
        <f>VLOOKUP(Table5[[#This Row],[Date]],'Fed Fund New'!$A:$C,2,FALSE)</f>
        <v>0</v>
      </c>
      <c r="F16" s="27">
        <v>0.02</v>
      </c>
    </row>
    <row r="17" spans="1:6" x14ac:dyDescent="0.2">
      <c r="A17" s="61">
        <v>24838</v>
      </c>
      <c r="B17" s="68">
        <f>VLOOKUP(Table5[[#This Row],[Date]],Database!A:E,5,)</f>
        <v>35.5</v>
      </c>
      <c r="C17" s="14">
        <f t="shared" si="0"/>
        <v>2.8248587570621872E-3</v>
      </c>
      <c r="D17" s="14">
        <f t="shared" ref="D17:D80" si="1">(B17-B5)/B5</f>
        <v>3.8011695906432663E-2</v>
      </c>
      <c r="E17" s="15">
        <f>VLOOKUP(Table5[[#This Row],[Date]],'Fed Fund New'!$A:$C,2,FALSE)</f>
        <v>0</v>
      </c>
      <c r="F17" s="27">
        <v>0.02</v>
      </c>
    </row>
    <row r="18" spans="1:6" x14ac:dyDescent="0.2">
      <c r="A18" s="61">
        <v>24869</v>
      </c>
      <c r="B18" s="68">
        <f>VLOOKUP(Table5[[#This Row],[Date]],Database!A:E,5,)</f>
        <v>35.700000000000003</v>
      </c>
      <c r="C18" s="14">
        <f t="shared" si="0"/>
        <v>5.6338028169014885E-3</v>
      </c>
      <c r="D18" s="14">
        <f t="shared" si="1"/>
        <v>4.3859649122807015E-2</v>
      </c>
      <c r="E18" s="15">
        <f>VLOOKUP(Table5[[#This Row],[Date]],'Fed Fund New'!$A:$C,2,FALSE)</f>
        <v>0</v>
      </c>
      <c r="F18" s="27">
        <v>0.02</v>
      </c>
    </row>
    <row r="19" spans="1:6" x14ac:dyDescent="0.2">
      <c r="A19" s="61">
        <v>24898</v>
      </c>
      <c r="B19" s="68">
        <f>VLOOKUP(Table5[[#This Row],[Date]],Database!A:E,5,)</f>
        <v>35.799999999999997</v>
      </c>
      <c r="C19" s="14">
        <f t="shared" si="0"/>
        <v>2.8011204481791121E-3</v>
      </c>
      <c r="D19" s="14">
        <f t="shared" si="1"/>
        <v>4.3731778425655982E-2</v>
      </c>
      <c r="E19" s="15">
        <f>VLOOKUP(Table5[[#This Row],[Date]],'Fed Fund New'!$A:$C,2,FALSE)</f>
        <v>0</v>
      </c>
      <c r="F19" s="27">
        <v>0.02</v>
      </c>
    </row>
    <row r="20" spans="1:6" x14ac:dyDescent="0.2">
      <c r="A20" s="61">
        <v>24929</v>
      </c>
      <c r="B20" s="68">
        <f>VLOOKUP(Table5[[#This Row],[Date]],Database!A:E,5,)</f>
        <v>35.9</v>
      </c>
      <c r="C20" s="14">
        <f t="shared" si="0"/>
        <v>2.7932960893855148E-3</v>
      </c>
      <c r="D20" s="14">
        <f t="shared" si="1"/>
        <v>4.3604651162790699E-2</v>
      </c>
      <c r="E20" s="15">
        <f>VLOOKUP(Table5[[#This Row],[Date]],'Fed Fund New'!$A:$C,2,FALSE)</f>
        <v>0</v>
      </c>
      <c r="F20" s="27">
        <v>0.02</v>
      </c>
    </row>
    <row r="21" spans="1:6" x14ac:dyDescent="0.2">
      <c r="A21" s="61">
        <v>24959</v>
      </c>
      <c r="B21" s="68">
        <f>VLOOKUP(Table5[[#This Row],[Date]],Database!A:E,5,)</f>
        <v>36</v>
      </c>
      <c r="C21" s="14">
        <f t="shared" si="0"/>
        <v>2.7855153203343017E-3</v>
      </c>
      <c r="D21" s="14">
        <f t="shared" si="1"/>
        <v>4.3478260869565216E-2</v>
      </c>
      <c r="E21" s="15">
        <f>VLOOKUP(Table5[[#This Row],[Date]],'Fed Fund New'!$A:$C,2,FALSE)</f>
        <v>0</v>
      </c>
      <c r="F21" s="27">
        <v>0.02</v>
      </c>
    </row>
    <row r="22" spans="1:6" x14ac:dyDescent="0.2">
      <c r="A22" s="61">
        <v>24990</v>
      </c>
      <c r="B22" s="68">
        <f>VLOOKUP(Table5[[#This Row],[Date]],Database!A:E,5,)</f>
        <v>36.200000000000003</v>
      </c>
      <c r="C22" s="14">
        <f t="shared" si="0"/>
        <v>5.5555555555556347E-3</v>
      </c>
      <c r="D22" s="14">
        <f t="shared" si="1"/>
        <v>4.6242774566474028E-2</v>
      </c>
      <c r="E22" s="15">
        <f>VLOOKUP(Table5[[#This Row],[Date]],'Fed Fund New'!$A:$C,2,FALSE)</f>
        <v>0</v>
      </c>
      <c r="F22" s="27">
        <v>0.02</v>
      </c>
    </row>
    <row r="23" spans="1:6" x14ac:dyDescent="0.2">
      <c r="A23" s="61">
        <v>25020</v>
      </c>
      <c r="B23" s="68">
        <f>VLOOKUP(Table5[[#This Row],[Date]],Database!A:E,5,)</f>
        <v>36.4</v>
      </c>
      <c r="C23" s="14">
        <f t="shared" si="0"/>
        <v>5.5248618784529205E-3</v>
      </c>
      <c r="D23" s="14">
        <f t="shared" si="1"/>
        <v>4.8991354466858664E-2</v>
      </c>
      <c r="E23" s="15">
        <f>VLOOKUP(Table5[[#This Row],[Date]],'Fed Fund New'!$A:$C,2,FALSE)</f>
        <v>0</v>
      </c>
      <c r="F23" s="27">
        <v>0.02</v>
      </c>
    </row>
    <row r="24" spans="1:6" x14ac:dyDescent="0.2">
      <c r="A24" s="61">
        <v>25051</v>
      </c>
      <c r="B24" s="68">
        <f>VLOOKUP(Table5[[#This Row],[Date]],Database!A:E,5,)</f>
        <v>36.5</v>
      </c>
      <c r="C24" s="14">
        <f t="shared" si="0"/>
        <v>2.7472527472527865E-3</v>
      </c>
      <c r="D24" s="14">
        <f t="shared" si="1"/>
        <v>4.5845272206303765E-2</v>
      </c>
      <c r="E24" s="15">
        <f>VLOOKUP(Table5[[#This Row],[Date]],'Fed Fund New'!$A:$C,2,FALSE)</f>
        <v>0</v>
      </c>
      <c r="F24" s="27">
        <v>0.02</v>
      </c>
    </row>
    <row r="25" spans="1:6" x14ac:dyDescent="0.2">
      <c r="A25" s="61">
        <v>25082</v>
      </c>
      <c r="B25" s="68">
        <f>VLOOKUP(Table5[[#This Row],[Date]],Database!A:E,5,)</f>
        <v>36.700000000000003</v>
      </c>
      <c r="C25" s="14">
        <f t="shared" si="0"/>
        <v>5.4794520547945987E-3</v>
      </c>
      <c r="D25" s="14">
        <f t="shared" si="1"/>
        <v>4.8571428571428654E-2</v>
      </c>
      <c r="E25" s="15">
        <f>VLOOKUP(Table5[[#This Row],[Date]],'Fed Fund New'!$A:$C,2,FALSE)</f>
        <v>0</v>
      </c>
      <c r="F25" s="27">
        <v>0.02</v>
      </c>
    </row>
    <row r="26" spans="1:6" x14ac:dyDescent="0.2">
      <c r="A26" s="61">
        <v>25112</v>
      </c>
      <c r="B26" s="68">
        <f>VLOOKUP(Table5[[#This Row],[Date]],Database!A:E,5,)</f>
        <v>36.9</v>
      </c>
      <c r="C26" s="14">
        <f t="shared" si="0"/>
        <v>5.4495912806538345E-3</v>
      </c>
      <c r="D26" s="14">
        <f t="shared" si="1"/>
        <v>5.1282051282051197E-2</v>
      </c>
      <c r="E26" s="15">
        <f>VLOOKUP(Table5[[#This Row],[Date]],'Fed Fund New'!$A:$C,2,FALSE)</f>
        <v>0</v>
      </c>
      <c r="F26" s="27">
        <v>0.02</v>
      </c>
    </row>
    <row r="27" spans="1:6" x14ac:dyDescent="0.2">
      <c r="A27" s="61">
        <v>25143</v>
      </c>
      <c r="B27" s="68">
        <f>VLOOKUP(Table5[[#This Row],[Date]],Database!A:E,5,)</f>
        <v>37.1</v>
      </c>
      <c r="C27" s="14">
        <f t="shared" si="0"/>
        <v>5.4200542005420826E-3</v>
      </c>
      <c r="D27" s="14">
        <f t="shared" si="1"/>
        <v>5.3977272727272679E-2</v>
      </c>
      <c r="E27" s="15">
        <f>VLOOKUP(Table5[[#This Row],[Date]],'Fed Fund New'!$A:$C,2,FALSE)</f>
        <v>0</v>
      </c>
      <c r="F27" s="27">
        <v>0.02</v>
      </c>
    </row>
    <row r="28" spans="1:6" x14ac:dyDescent="0.2">
      <c r="A28" s="61">
        <v>25173</v>
      </c>
      <c r="B28" s="68">
        <f>VLOOKUP(Table5[[#This Row],[Date]],Database!A:E,5,)</f>
        <v>37.200000000000003</v>
      </c>
      <c r="C28" s="14">
        <f t="shared" si="0"/>
        <v>2.6954177897574507E-3</v>
      </c>
      <c r="D28" s="14">
        <f t="shared" si="1"/>
        <v>5.0847457627118765E-2</v>
      </c>
      <c r="E28" s="15">
        <f>VLOOKUP(Table5[[#This Row],[Date]],'Fed Fund New'!$A:$C,2,FALSE)</f>
        <v>0</v>
      </c>
      <c r="F28" s="27">
        <v>0.02</v>
      </c>
    </row>
    <row r="29" spans="1:6" x14ac:dyDescent="0.2">
      <c r="A29" s="61">
        <v>25204</v>
      </c>
      <c r="B29" s="68">
        <f>VLOOKUP(Table5[[#This Row],[Date]],Database!A:E,5,)</f>
        <v>37.299999999999997</v>
      </c>
      <c r="C29" s="14">
        <f t="shared" si="0"/>
        <v>2.6881720430105998E-3</v>
      </c>
      <c r="D29" s="14">
        <f t="shared" si="1"/>
        <v>5.0704225352112595E-2</v>
      </c>
      <c r="E29" s="15">
        <f>VLOOKUP(Table5[[#This Row],[Date]],'Fed Fund New'!$A:$C,2,FALSE)</f>
        <v>0</v>
      </c>
      <c r="F29" s="27">
        <v>0.02</v>
      </c>
    </row>
    <row r="30" spans="1:6" x14ac:dyDescent="0.2">
      <c r="A30" s="61">
        <v>25235</v>
      </c>
      <c r="B30" s="68">
        <f>VLOOKUP(Table5[[#This Row],[Date]],Database!A:E,5,)</f>
        <v>37.6</v>
      </c>
      <c r="C30" s="14">
        <f t="shared" si="0"/>
        <v>8.042895442359364E-3</v>
      </c>
      <c r="D30" s="14">
        <f t="shared" si="1"/>
        <v>5.3221288515406119E-2</v>
      </c>
      <c r="E30" s="15">
        <f>VLOOKUP(Table5[[#This Row],[Date]],'Fed Fund New'!$A:$C,2,FALSE)</f>
        <v>0</v>
      </c>
      <c r="F30" s="27">
        <v>0.02</v>
      </c>
    </row>
    <row r="31" spans="1:6" x14ac:dyDescent="0.2">
      <c r="A31" s="61">
        <v>25263</v>
      </c>
      <c r="B31" s="68">
        <f>VLOOKUP(Table5[[#This Row],[Date]],Database!A:E,5,)</f>
        <v>37.799999999999997</v>
      </c>
      <c r="C31" s="14">
        <f t="shared" si="0"/>
        <v>5.319148936170099E-3</v>
      </c>
      <c r="D31" s="14">
        <f t="shared" si="1"/>
        <v>5.5865921787709501E-2</v>
      </c>
      <c r="E31" s="15">
        <f>VLOOKUP(Table5[[#This Row],[Date]],'Fed Fund New'!$A:$C,2,FALSE)</f>
        <v>0</v>
      </c>
      <c r="F31" s="27">
        <v>0.02</v>
      </c>
    </row>
    <row r="32" spans="1:6" x14ac:dyDescent="0.2">
      <c r="A32" s="61">
        <v>25294</v>
      </c>
      <c r="B32" s="68">
        <f>VLOOKUP(Table5[[#This Row],[Date]],Database!A:E,5,)</f>
        <v>38.1</v>
      </c>
      <c r="C32" s="14">
        <f t="shared" si="0"/>
        <v>7.9365079365080506E-3</v>
      </c>
      <c r="D32" s="14">
        <f t="shared" si="1"/>
        <v>6.1281337047353841E-2</v>
      </c>
      <c r="E32" s="15">
        <f>VLOOKUP(Table5[[#This Row],[Date]],'Fed Fund New'!$A:$C,2,FALSE)</f>
        <v>0</v>
      </c>
      <c r="F32" s="27">
        <v>0.02</v>
      </c>
    </row>
    <row r="33" spans="1:6" x14ac:dyDescent="0.2">
      <c r="A33" s="61">
        <v>25324</v>
      </c>
      <c r="B33" s="68">
        <f>VLOOKUP(Table5[[#This Row],[Date]],Database!A:E,5,)</f>
        <v>38.1</v>
      </c>
      <c r="C33" s="14">
        <f t="shared" si="0"/>
        <v>0</v>
      </c>
      <c r="D33" s="14">
        <f t="shared" si="1"/>
        <v>5.8333333333333376E-2</v>
      </c>
      <c r="E33" s="15">
        <f>VLOOKUP(Table5[[#This Row],[Date]],'Fed Fund New'!$A:$C,2,FALSE)</f>
        <v>0</v>
      </c>
      <c r="F33" s="27">
        <v>0.02</v>
      </c>
    </row>
    <row r="34" spans="1:6" x14ac:dyDescent="0.2">
      <c r="A34" s="61">
        <v>25355</v>
      </c>
      <c r="B34" s="68">
        <f>VLOOKUP(Table5[[#This Row],[Date]],Database!A:E,5,)</f>
        <v>38.299999999999997</v>
      </c>
      <c r="C34" s="14">
        <f t="shared" si="0"/>
        <v>5.2493438320208854E-3</v>
      </c>
      <c r="D34" s="14">
        <f t="shared" si="1"/>
        <v>5.8011049723756744E-2</v>
      </c>
      <c r="E34" s="15">
        <f>VLOOKUP(Table5[[#This Row],[Date]],'Fed Fund New'!$A:$C,2,FALSE)</f>
        <v>0</v>
      </c>
      <c r="F34" s="27">
        <v>0.02</v>
      </c>
    </row>
    <row r="35" spans="1:6" x14ac:dyDescent="0.2">
      <c r="A35" s="61">
        <v>25385</v>
      </c>
      <c r="B35" s="68">
        <f>VLOOKUP(Table5[[#This Row],[Date]],Database!A:E,5,)</f>
        <v>38.5</v>
      </c>
      <c r="C35" s="14">
        <f t="shared" si="0"/>
        <v>5.2219321148825812E-3</v>
      </c>
      <c r="D35" s="14">
        <f t="shared" si="1"/>
        <v>5.769230769230773E-2</v>
      </c>
      <c r="E35" s="15">
        <f>VLOOKUP(Table5[[#This Row],[Date]],'Fed Fund New'!$A:$C,2,FALSE)</f>
        <v>0</v>
      </c>
      <c r="F35" s="27">
        <v>0.02</v>
      </c>
    </row>
    <row r="36" spans="1:6" x14ac:dyDescent="0.2">
      <c r="A36" s="61">
        <v>25416</v>
      </c>
      <c r="B36" s="68">
        <f>VLOOKUP(Table5[[#This Row],[Date]],Database!A:E,5,)</f>
        <v>38.700000000000003</v>
      </c>
      <c r="C36" s="14">
        <f t="shared" si="0"/>
        <v>5.1948051948052685E-3</v>
      </c>
      <c r="D36" s="14">
        <f t="shared" si="1"/>
        <v>6.0273972602739805E-2</v>
      </c>
      <c r="E36" s="15">
        <f>VLOOKUP(Table5[[#This Row],[Date]],'Fed Fund New'!$A:$C,2,FALSE)</f>
        <v>0</v>
      </c>
      <c r="F36" s="27">
        <v>0.02</v>
      </c>
    </row>
    <row r="37" spans="1:6" x14ac:dyDescent="0.2">
      <c r="A37" s="61">
        <v>25447</v>
      </c>
      <c r="B37" s="68">
        <f>VLOOKUP(Table5[[#This Row],[Date]],Database!A:E,5,)</f>
        <v>38.9</v>
      </c>
      <c r="C37" s="14">
        <f t="shared" si="0"/>
        <v>5.1679586563306385E-3</v>
      </c>
      <c r="D37" s="14">
        <f t="shared" si="1"/>
        <v>5.994550408719334E-2</v>
      </c>
      <c r="E37" s="15">
        <f>VLOOKUP(Table5[[#This Row],[Date]],'Fed Fund New'!$A:$C,2,FALSE)</f>
        <v>0</v>
      </c>
      <c r="F37" s="27">
        <v>0.02</v>
      </c>
    </row>
    <row r="38" spans="1:6" x14ac:dyDescent="0.2">
      <c r="A38" s="61">
        <v>25477</v>
      </c>
      <c r="B38" s="68">
        <f>VLOOKUP(Table5[[#This Row],[Date]],Database!A:E,5,)</f>
        <v>39.1</v>
      </c>
      <c r="C38" s="14">
        <f t="shared" si="0"/>
        <v>5.1413881748072713E-3</v>
      </c>
      <c r="D38" s="14">
        <f t="shared" si="1"/>
        <v>5.9620596205962141E-2</v>
      </c>
      <c r="E38" s="15">
        <f>VLOOKUP(Table5[[#This Row],[Date]],'Fed Fund New'!$A:$C,2,FALSE)</f>
        <v>0</v>
      </c>
      <c r="F38" s="27">
        <v>0.02</v>
      </c>
    </row>
    <row r="39" spans="1:6" x14ac:dyDescent="0.2">
      <c r="A39" s="61">
        <v>25508</v>
      </c>
      <c r="B39" s="68">
        <f>VLOOKUP(Table5[[#This Row],[Date]],Database!A:E,5,)</f>
        <v>39.200000000000003</v>
      </c>
      <c r="C39" s="14">
        <f t="shared" si="0"/>
        <v>2.5575447570332843E-3</v>
      </c>
      <c r="D39" s="14">
        <f t="shared" si="1"/>
        <v>5.6603773584905696E-2</v>
      </c>
      <c r="E39" s="15">
        <f>VLOOKUP(Table5[[#This Row],[Date]],'Fed Fund New'!$A:$C,2,FALSE)</f>
        <v>0</v>
      </c>
      <c r="F39" s="27">
        <v>0.02</v>
      </c>
    </row>
    <row r="40" spans="1:6" x14ac:dyDescent="0.2">
      <c r="A40" s="61">
        <v>25538</v>
      </c>
      <c r="B40" s="68">
        <f>VLOOKUP(Table5[[#This Row],[Date]],Database!A:E,5,)</f>
        <v>39.4</v>
      </c>
      <c r="C40" s="14">
        <f t="shared" si="0"/>
        <v>5.1020408163264218E-3</v>
      </c>
      <c r="D40" s="14">
        <f t="shared" si="1"/>
        <v>5.9139784946236437E-2</v>
      </c>
      <c r="E40" s="15">
        <f>VLOOKUP(Table5[[#This Row],[Date]],'Fed Fund New'!$A:$C,2,FALSE)</f>
        <v>0</v>
      </c>
      <c r="F40" s="27">
        <v>0.02</v>
      </c>
    </row>
    <row r="41" spans="1:6" x14ac:dyDescent="0.2">
      <c r="A41" s="61">
        <v>25569</v>
      </c>
      <c r="B41" s="68">
        <f>VLOOKUP(Table5[[#This Row],[Date]],Database!A:E,5,)</f>
        <v>39.6</v>
      </c>
      <c r="C41" s="14">
        <f t="shared" si="0"/>
        <v>5.0761421319797679E-3</v>
      </c>
      <c r="D41" s="14">
        <f t="shared" si="1"/>
        <v>6.1662198391421029E-2</v>
      </c>
      <c r="E41" s="15">
        <f>VLOOKUP(Table5[[#This Row],[Date]],'Fed Fund New'!$A:$C,2,FALSE)</f>
        <v>0</v>
      </c>
      <c r="F41" s="27">
        <v>0.02</v>
      </c>
    </row>
    <row r="42" spans="1:6" x14ac:dyDescent="0.2">
      <c r="A42" s="61">
        <v>25600</v>
      </c>
      <c r="B42" s="68">
        <f>VLOOKUP(Table5[[#This Row],[Date]],Database!A:E,5,)</f>
        <v>39.799999999999997</v>
      </c>
      <c r="C42" s="14">
        <f t="shared" si="0"/>
        <v>5.0505050505049425E-3</v>
      </c>
      <c r="D42" s="14">
        <f t="shared" si="1"/>
        <v>5.8510638297872224E-2</v>
      </c>
      <c r="E42" s="15">
        <f>VLOOKUP(Table5[[#This Row],[Date]],'Fed Fund New'!$A:$C,2,FALSE)</f>
        <v>0</v>
      </c>
      <c r="F42" s="27">
        <v>0.02</v>
      </c>
    </row>
    <row r="43" spans="1:6" x14ac:dyDescent="0.2">
      <c r="A43" s="61">
        <v>25628</v>
      </c>
      <c r="B43" s="68">
        <f>VLOOKUP(Table5[[#This Row],[Date]],Database!A:E,5,)</f>
        <v>40.1</v>
      </c>
      <c r="C43" s="14">
        <f t="shared" si="0"/>
        <v>7.5376884422111625E-3</v>
      </c>
      <c r="D43" s="14">
        <f t="shared" si="1"/>
        <v>6.0846560846560961E-2</v>
      </c>
      <c r="E43" s="15">
        <f>VLOOKUP(Table5[[#This Row],[Date]],'Fed Fund New'!$A:$C,2,FALSE)</f>
        <v>0</v>
      </c>
      <c r="F43" s="27">
        <v>0.02</v>
      </c>
    </row>
    <row r="44" spans="1:6" x14ac:dyDescent="0.2">
      <c r="A44" s="61">
        <v>25659</v>
      </c>
      <c r="B44" s="68">
        <f>VLOOKUP(Table5[[#This Row],[Date]],Database!A:E,5,)</f>
        <v>40.4</v>
      </c>
      <c r="C44" s="14">
        <f t="shared" si="0"/>
        <v>7.4812967581046668E-3</v>
      </c>
      <c r="D44" s="14">
        <f t="shared" si="1"/>
        <v>6.0367454068241393E-2</v>
      </c>
      <c r="E44" s="15">
        <f>VLOOKUP(Table5[[#This Row],[Date]],'Fed Fund New'!$A:$C,2,FALSE)</f>
        <v>0</v>
      </c>
      <c r="F44" s="27">
        <v>0.02</v>
      </c>
    </row>
    <row r="45" spans="1:6" x14ac:dyDescent="0.2">
      <c r="A45" s="61">
        <v>25689</v>
      </c>
      <c r="B45" s="68">
        <f>VLOOKUP(Table5[[#This Row],[Date]],Database!A:E,5,)</f>
        <v>40.5</v>
      </c>
      <c r="C45" s="14">
        <f t="shared" si="0"/>
        <v>2.4752475247525104E-3</v>
      </c>
      <c r="D45" s="14">
        <f t="shared" si="1"/>
        <v>6.2992125984251926E-2</v>
      </c>
      <c r="E45" s="15">
        <f>VLOOKUP(Table5[[#This Row],[Date]],'Fed Fund New'!$A:$C,2,FALSE)</f>
        <v>0</v>
      </c>
      <c r="F45" s="27">
        <v>0.02</v>
      </c>
    </row>
    <row r="46" spans="1:6" x14ac:dyDescent="0.2">
      <c r="A46" s="61">
        <v>25720</v>
      </c>
      <c r="B46" s="68">
        <f>VLOOKUP(Table5[[#This Row],[Date]],Database!A:E,5,)</f>
        <v>40.799999999999997</v>
      </c>
      <c r="C46" s="14">
        <f t="shared" si="0"/>
        <v>7.4074074074073374E-3</v>
      </c>
      <c r="D46" s="14">
        <f t="shared" si="1"/>
        <v>6.5274151436031339E-2</v>
      </c>
      <c r="E46" s="15">
        <f>VLOOKUP(Table5[[#This Row],[Date]],'Fed Fund New'!$A:$C,2,FALSE)</f>
        <v>0</v>
      </c>
      <c r="F46" s="27">
        <v>0.02</v>
      </c>
    </row>
    <row r="47" spans="1:6" x14ac:dyDescent="0.2">
      <c r="A47" s="61">
        <v>25750</v>
      </c>
      <c r="B47" s="68">
        <f>VLOOKUP(Table5[[#This Row],[Date]],Database!A:E,5,)</f>
        <v>40.9</v>
      </c>
      <c r="C47" s="14">
        <f t="shared" si="0"/>
        <v>2.4509803921568978E-3</v>
      </c>
      <c r="D47" s="14">
        <f t="shared" si="1"/>
        <v>6.2337662337662303E-2</v>
      </c>
      <c r="E47" s="15">
        <f>VLOOKUP(Table5[[#This Row],[Date]],'Fed Fund New'!$A:$C,2,FALSE)</f>
        <v>0</v>
      </c>
      <c r="F47" s="27">
        <v>0.02</v>
      </c>
    </row>
    <row r="48" spans="1:6" x14ac:dyDescent="0.2">
      <c r="A48" s="61">
        <v>25781</v>
      </c>
      <c r="B48" s="68">
        <f>VLOOKUP(Table5[[#This Row],[Date]],Database!A:E,5,)</f>
        <v>41.1</v>
      </c>
      <c r="C48" s="14">
        <f t="shared" si="0"/>
        <v>4.8899755501223188E-3</v>
      </c>
      <c r="D48" s="14">
        <f t="shared" si="1"/>
        <v>6.201550387596895E-2</v>
      </c>
      <c r="E48" s="15">
        <f>VLOOKUP(Table5[[#This Row],[Date]],'Fed Fund New'!$A:$C,2,FALSE)</f>
        <v>0</v>
      </c>
      <c r="F48" s="27">
        <v>0.02</v>
      </c>
    </row>
    <row r="49" spans="1:6" x14ac:dyDescent="0.2">
      <c r="A49" s="61">
        <v>25812</v>
      </c>
      <c r="B49" s="68">
        <f>VLOOKUP(Table5[[#This Row],[Date]],Database!A:E,5,)</f>
        <v>41.3</v>
      </c>
      <c r="C49" s="14">
        <f t="shared" si="0"/>
        <v>4.8661800486616965E-3</v>
      </c>
      <c r="D49" s="14">
        <f t="shared" si="1"/>
        <v>6.169665809768634E-2</v>
      </c>
      <c r="E49" s="15">
        <f>VLOOKUP(Table5[[#This Row],[Date]],'Fed Fund New'!$A:$C,2,FALSE)</f>
        <v>0</v>
      </c>
      <c r="F49" s="27">
        <v>0.02</v>
      </c>
    </row>
    <row r="50" spans="1:6" x14ac:dyDescent="0.2">
      <c r="A50" s="61">
        <v>25842</v>
      </c>
      <c r="B50" s="68">
        <f>VLOOKUP(Table5[[#This Row],[Date]],Database!A:E,5,)</f>
        <v>41.5</v>
      </c>
      <c r="C50" s="14">
        <f t="shared" si="0"/>
        <v>4.8426150121066063E-3</v>
      </c>
      <c r="D50" s="14">
        <f t="shared" si="1"/>
        <v>6.1381074168797914E-2</v>
      </c>
      <c r="E50" s="15">
        <f>VLOOKUP(Table5[[#This Row],[Date]],'Fed Fund New'!$A:$C,2,FALSE)</f>
        <v>0</v>
      </c>
      <c r="F50" s="27">
        <v>0.02</v>
      </c>
    </row>
    <row r="51" spans="1:6" x14ac:dyDescent="0.2">
      <c r="A51" s="61">
        <v>25873</v>
      </c>
      <c r="B51" s="68">
        <f>VLOOKUP(Table5[[#This Row],[Date]],Database!A:E,5,)</f>
        <v>41.8</v>
      </c>
      <c r="C51" s="14">
        <f t="shared" si="0"/>
        <v>7.2289156626505341E-3</v>
      </c>
      <c r="D51" s="14">
        <f t="shared" si="1"/>
        <v>6.632653061224475E-2</v>
      </c>
      <c r="E51" s="15">
        <f>VLOOKUP(Table5[[#This Row],[Date]],'Fed Fund New'!$A:$C,2,FALSE)</f>
        <v>0</v>
      </c>
      <c r="F51" s="27">
        <v>0.02</v>
      </c>
    </row>
    <row r="52" spans="1:6" x14ac:dyDescent="0.2">
      <c r="A52" s="61">
        <v>25903</v>
      </c>
      <c r="B52" s="68">
        <f>VLOOKUP(Table5[[#This Row],[Date]],Database!A:E,5,)</f>
        <v>42</v>
      </c>
      <c r="C52" s="14">
        <f t="shared" si="0"/>
        <v>4.7846889952153793E-3</v>
      </c>
      <c r="D52" s="14">
        <f t="shared" si="1"/>
        <v>6.5989847715736086E-2</v>
      </c>
      <c r="E52" s="15">
        <f>VLOOKUP(Table5[[#This Row],[Date]],'Fed Fund New'!$A:$C,2,FALSE)</f>
        <v>0</v>
      </c>
      <c r="F52" s="27">
        <v>0.02</v>
      </c>
    </row>
    <row r="53" spans="1:6" x14ac:dyDescent="0.2">
      <c r="A53" s="61">
        <v>25934</v>
      </c>
      <c r="B53" s="68">
        <f>VLOOKUP(Table5[[#This Row],[Date]],Database!A:E,5,)</f>
        <v>42.1</v>
      </c>
      <c r="C53" s="14">
        <f t="shared" si="0"/>
        <v>2.380952380952415E-3</v>
      </c>
      <c r="D53" s="14">
        <f t="shared" si="1"/>
        <v>6.3131313131313135E-2</v>
      </c>
      <c r="E53" s="15">
        <f>VLOOKUP(Table5[[#This Row],[Date]],'Fed Fund New'!$A:$C,2,FALSE)</f>
        <v>0</v>
      </c>
      <c r="F53" s="27">
        <v>0.02</v>
      </c>
    </row>
    <row r="54" spans="1:6" x14ac:dyDescent="0.2">
      <c r="A54" s="61">
        <v>25965</v>
      </c>
      <c r="B54" s="68">
        <f>VLOOKUP(Table5[[#This Row],[Date]],Database!A:E,5,)</f>
        <v>42.2</v>
      </c>
      <c r="C54" s="14">
        <f t="shared" si="0"/>
        <v>2.3752969121140478E-3</v>
      </c>
      <c r="D54" s="14">
        <f t="shared" si="1"/>
        <v>6.0301507537688592E-2</v>
      </c>
      <c r="E54" s="15">
        <f>VLOOKUP(Table5[[#This Row],[Date]],'Fed Fund New'!$A:$C,2,FALSE)</f>
        <v>0</v>
      </c>
      <c r="F54" s="27">
        <v>0.02</v>
      </c>
    </row>
    <row r="55" spans="1:6" x14ac:dyDescent="0.2">
      <c r="A55" s="61">
        <v>25993</v>
      </c>
      <c r="B55" s="68">
        <f>VLOOKUP(Table5[[#This Row],[Date]],Database!A:E,5,)</f>
        <v>42.2</v>
      </c>
      <c r="C55" s="14">
        <f t="shared" si="0"/>
        <v>0</v>
      </c>
      <c r="D55" s="14">
        <f t="shared" si="1"/>
        <v>5.2369077306733201E-2</v>
      </c>
      <c r="E55" s="15">
        <f>VLOOKUP(Table5[[#This Row],[Date]],'Fed Fund New'!$A:$C,2,FALSE)</f>
        <v>0</v>
      </c>
      <c r="F55" s="27">
        <v>0.02</v>
      </c>
    </row>
    <row r="56" spans="1:6" x14ac:dyDescent="0.2">
      <c r="A56" s="61">
        <v>26024</v>
      </c>
      <c r="B56" s="68">
        <f>VLOOKUP(Table5[[#This Row],[Date]],Database!A:E,5,)</f>
        <v>42.4</v>
      </c>
      <c r="C56" s="14">
        <f t="shared" si="0"/>
        <v>4.7393364928908941E-3</v>
      </c>
      <c r="D56" s="14">
        <f t="shared" si="1"/>
        <v>4.9504950495049507E-2</v>
      </c>
      <c r="E56" s="15">
        <f>VLOOKUP(Table5[[#This Row],[Date]],'Fed Fund New'!$A:$C,2,FALSE)</f>
        <v>0</v>
      </c>
      <c r="F56" s="27">
        <v>0.02</v>
      </c>
    </row>
    <row r="57" spans="1:6" x14ac:dyDescent="0.2">
      <c r="A57" s="61">
        <v>26054</v>
      </c>
      <c r="B57" s="68">
        <f>VLOOKUP(Table5[[#This Row],[Date]],Database!A:E,5,)</f>
        <v>42.6</v>
      </c>
      <c r="C57" s="14">
        <f t="shared" si="0"/>
        <v>4.7169811320755392E-3</v>
      </c>
      <c r="D57" s="14">
        <f t="shared" si="1"/>
        <v>5.1851851851851885E-2</v>
      </c>
      <c r="E57" s="15">
        <f>VLOOKUP(Table5[[#This Row],[Date]],'Fed Fund New'!$A:$C,2,FALSE)</f>
        <v>0</v>
      </c>
      <c r="F57" s="27">
        <v>0.02</v>
      </c>
    </row>
    <row r="58" spans="1:6" x14ac:dyDescent="0.2">
      <c r="A58" s="61">
        <v>26085</v>
      </c>
      <c r="B58" s="68">
        <f>VLOOKUP(Table5[[#This Row],[Date]],Database!A:E,5,)</f>
        <v>42.8</v>
      </c>
      <c r="C58" s="14">
        <f t="shared" si="0"/>
        <v>4.6948356807510732E-3</v>
      </c>
      <c r="D58" s="14">
        <f t="shared" si="1"/>
        <v>4.9019607843137261E-2</v>
      </c>
      <c r="E58" s="15">
        <f>VLOOKUP(Table5[[#This Row],[Date]],'Fed Fund New'!$A:$C,2,FALSE)</f>
        <v>0</v>
      </c>
      <c r="F58" s="27">
        <v>0.02</v>
      </c>
    </row>
    <row r="59" spans="1:6" x14ac:dyDescent="0.2">
      <c r="A59" s="61">
        <v>26115</v>
      </c>
      <c r="B59" s="68">
        <f>VLOOKUP(Table5[[#This Row],[Date]],Database!A:E,5,)</f>
        <v>42.9</v>
      </c>
      <c r="C59" s="14">
        <f t="shared" si="0"/>
        <v>2.3364485981308743E-3</v>
      </c>
      <c r="D59" s="14">
        <f t="shared" si="1"/>
        <v>4.8899755501222497E-2</v>
      </c>
      <c r="E59" s="15">
        <f>VLOOKUP(Table5[[#This Row],[Date]],'Fed Fund New'!$A:$C,2,FALSE)</f>
        <v>0</v>
      </c>
      <c r="F59" s="27">
        <v>0.02</v>
      </c>
    </row>
    <row r="60" spans="1:6" x14ac:dyDescent="0.2">
      <c r="A60" s="61">
        <v>26146</v>
      </c>
      <c r="B60" s="68">
        <f>VLOOKUP(Table5[[#This Row],[Date]],Database!A:E,5,)</f>
        <v>43</v>
      </c>
      <c r="C60" s="14">
        <f t="shared" si="0"/>
        <v>2.3310023310023644E-3</v>
      </c>
      <c r="D60" s="14">
        <f t="shared" si="1"/>
        <v>4.6228710462287069E-2</v>
      </c>
      <c r="E60" s="15">
        <f>VLOOKUP(Table5[[#This Row],[Date]],'Fed Fund New'!$A:$C,2,FALSE)</f>
        <v>0</v>
      </c>
      <c r="F60" s="27">
        <v>0.02</v>
      </c>
    </row>
    <row r="61" spans="1:6" x14ac:dyDescent="0.2">
      <c r="A61" s="61">
        <v>26177</v>
      </c>
      <c r="B61" s="68">
        <f>VLOOKUP(Table5[[#This Row],[Date]],Database!A:E,5,)</f>
        <v>43</v>
      </c>
      <c r="C61" s="14">
        <f t="shared" si="0"/>
        <v>0</v>
      </c>
      <c r="D61" s="14">
        <f t="shared" si="1"/>
        <v>4.1162227602905638E-2</v>
      </c>
      <c r="E61" s="15">
        <f>VLOOKUP(Table5[[#This Row],[Date]],'Fed Fund New'!$A:$C,2,FALSE)</f>
        <v>0</v>
      </c>
      <c r="F61" s="27">
        <v>0.02</v>
      </c>
    </row>
    <row r="62" spans="1:6" x14ac:dyDescent="0.2">
      <c r="A62" s="61">
        <v>26207</v>
      </c>
      <c r="B62" s="68">
        <f>VLOOKUP(Table5[[#This Row],[Date]],Database!A:E,5,)</f>
        <v>43.1</v>
      </c>
      <c r="C62" s="14">
        <f t="shared" si="0"/>
        <v>2.3255813953488701E-3</v>
      </c>
      <c r="D62" s="14">
        <f t="shared" si="1"/>
        <v>3.8554216867469911E-2</v>
      </c>
      <c r="E62" s="15">
        <f>VLOOKUP(Table5[[#This Row],[Date]],'Fed Fund New'!$A:$C,2,FALSE)</f>
        <v>0</v>
      </c>
      <c r="F62" s="27">
        <v>0.02</v>
      </c>
    </row>
    <row r="63" spans="1:6" x14ac:dyDescent="0.2">
      <c r="A63" s="61">
        <v>26238</v>
      </c>
      <c r="B63" s="68">
        <f>VLOOKUP(Table5[[#This Row],[Date]],Database!A:E,5,)</f>
        <v>43.2</v>
      </c>
      <c r="C63" s="14">
        <f t="shared" si="0"/>
        <v>2.3201856148492208E-3</v>
      </c>
      <c r="D63" s="14">
        <f t="shared" si="1"/>
        <v>3.3492822966507317E-2</v>
      </c>
      <c r="E63" s="15">
        <f>VLOOKUP(Table5[[#This Row],[Date]],'Fed Fund New'!$A:$C,2,FALSE)</f>
        <v>0</v>
      </c>
      <c r="F63" s="27">
        <v>0.02</v>
      </c>
    </row>
    <row r="64" spans="1:6" x14ac:dyDescent="0.2">
      <c r="A64" s="61">
        <v>26268</v>
      </c>
      <c r="B64" s="68">
        <f>VLOOKUP(Table5[[#This Row],[Date]],Database!A:E,5,)</f>
        <v>43.3</v>
      </c>
      <c r="C64" s="14">
        <f t="shared" si="0"/>
        <v>2.3148148148146833E-3</v>
      </c>
      <c r="D64" s="14">
        <f t="shared" si="1"/>
        <v>3.0952380952380884E-2</v>
      </c>
      <c r="E64" s="15">
        <f>VLOOKUP(Table5[[#This Row],[Date]],'Fed Fund New'!$A:$C,2,FALSE)</f>
        <v>0</v>
      </c>
      <c r="F64" s="27">
        <v>0.02</v>
      </c>
    </row>
    <row r="65" spans="1:6" x14ac:dyDescent="0.2">
      <c r="A65" s="61">
        <v>26299</v>
      </c>
      <c r="B65" s="68">
        <f>VLOOKUP(Table5[[#This Row],[Date]],Database!A:E,5,)</f>
        <v>43.5</v>
      </c>
      <c r="C65" s="14">
        <f t="shared" si="0"/>
        <v>4.6189376443418672E-3</v>
      </c>
      <c r="D65" s="14">
        <f t="shared" si="1"/>
        <v>3.3254156769596165E-2</v>
      </c>
      <c r="E65" s="15">
        <f>VLOOKUP(Table5[[#This Row],[Date]],'Fed Fund New'!$A:$C,2,FALSE)</f>
        <v>0</v>
      </c>
      <c r="F65" s="27">
        <v>0.02</v>
      </c>
    </row>
    <row r="66" spans="1:6" x14ac:dyDescent="0.2">
      <c r="A66" s="61">
        <v>26330</v>
      </c>
      <c r="B66" s="68">
        <f>VLOOKUP(Table5[[#This Row],[Date]],Database!A:E,5,)</f>
        <v>43.6</v>
      </c>
      <c r="C66" s="14">
        <f t="shared" si="0"/>
        <v>2.2988505747126762E-3</v>
      </c>
      <c r="D66" s="14">
        <f t="shared" si="1"/>
        <v>3.3175355450236928E-2</v>
      </c>
      <c r="E66" s="15">
        <f>VLOOKUP(Table5[[#This Row],[Date]],'Fed Fund New'!$A:$C,2,FALSE)</f>
        <v>0</v>
      </c>
      <c r="F66" s="27">
        <v>0.02</v>
      </c>
    </row>
    <row r="67" spans="1:6" x14ac:dyDescent="0.2">
      <c r="A67" s="61">
        <v>26359</v>
      </c>
      <c r="B67" s="68">
        <f>VLOOKUP(Table5[[#This Row],[Date]],Database!A:E,5,)</f>
        <v>43.6</v>
      </c>
      <c r="C67" s="14">
        <f t="shared" si="0"/>
        <v>0</v>
      </c>
      <c r="D67" s="14">
        <f t="shared" si="1"/>
        <v>3.3175355450236928E-2</v>
      </c>
      <c r="E67" s="15">
        <f>VLOOKUP(Table5[[#This Row],[Date]],'Fed Fund New'!$A:$C,2,FALSE)</f>
        <v>0</v>
      </c>
      <c r="F67" s="27">
        <v>0.02</v>
      </c>
    </row>
    <row r="68" spans="1:6" x14ac:dyDescent="0.2">
      <c r="A68" s="61">
        <v>26390</v>
      </c>
      <c r="B68" s="68">
        <f>VLOOKUP(Table5[[#This Row],[Date]],Database!A:E,5,)</f>
        <v>43.8</v>
      </c>
      <c r="C68" s="14">
        <f t="shared" si="0"/>
        <v>4.5871559633026545E-3</v>
      </c>
      <c r="D68" s="14">
        <f t="shared" si="1"/>
        <v>3.3018867924528267E-2</v>
      </c>
      <c r="E68" s="15">
        <f>VLOOKUP(Table5[[#This Row],[Date]],'Fed Fund New'!$A:$C,2,FALSE)</f>
        <v>0</v>
      </c>
      <c r="F68" s="27">
        <v>0.02</v>
      </c>
    </row>
    <row r="69" spans="1:6" x14ac:dyDescent="0.2">
      <c r="A69" s="61">
        <v>26420</v>
      </c>
      <c r="B69" s="68">
        <f>VLOOKUP(Table5[[#This Row],[Date]],Database!A:E,5,)</f>
        <v>43.9</v>
      </c>
      <c r="C69" s="14">
        <f t="shared" si="0"/>
        <v>2.2831050228310826E-3</v>
      </c>
      <c r="D69" s="14">
        <f t="shared" si="1"/>
        <v>3.0516431924882563E-2</v>
      </c>
      <c r="E69" s="15">
        <f>VLOOKUP(Table5[[#This Row],[Date]],'Fed Fund New'!$A:$C,2,FALSE)</f>
        <v>0</v>
      </c>
      <c r="F69" s="27">
        <v>0.02</v>
      </c>
    </row>
    <row r="70" spans="1:6" x14ac:dyDescent="0.2">
      <c r="A70" s="61">
        <v>26451</v>
      </c>
      <c r="B70" s="68">
        <f>VLOOKUP(Table5[[#This Row],[Date]],Database!A:E,5,)</f>
        <v>44</v>
      </c>
      <c r="C70" s="14">
        <f t="shared" ref="C70:C133" si="2">(B70-B69)/B69</f>
        <v>2.2779043280182557E-3</v>
      </c>
      <c r="D70" s="14">
        <f t="shared" si="1"/>
        <v>2.8037383177570162E-2</v>
      </c>
      <c r="E70" s="15">
        <f>VLOOKUP(Table5[[#This Row],[Date]],'Fed Fund New'!$A:$C,2,FALSE)</f>
        <v>0</v>
      </c>
      <c r="F70" s="27">
        <v>0.02</v>
      </c>
    </row>
    <row r="71" spans="1:6" x14ac:dyDescent="0.2">
      <c r="A71" s="61">
        <v>26481</v>
      </c>
      <c r="B71" s="68">
        <f>VLOOKUP(Table5[[#This Row],[Date]],Database!A:E,5,)</f>
        <v>44.1</v>
      </c>
      <c r="C71" s="14">
        <f t="shared" si="2"/>
        <v>2.2727272727273051E-3</v>
      </c>
      <c r="D71" s="14">
        <f t="shared" si="1"/>
        <v>2.7972027972028038E-2</v>
      </c>
      <c r="E71" s="15">
        <f>VLOOKUP(Table5[[#This Row],[Date]],'Fed Fund New'!$A:$C,2,FALSE)</f>
        <v>0</v>
      </c>
      <c r="F71" s="27">
        <v>0.02</v>
      </c>
    </row>
    <row r="72" spans="1:6" x14ac:dyDescent="0.2">
      <c r="A72" s="61">
        <v>26512</v>
      </c>
      <c r="B72" s="68">
        <f>VLOOKUP(Table5[[#This Row],[Date]],Database!A:E,5,)</f>
        <v>44.3</v>
      </c>
      <c r="C72" s="14">
        <f t="shared" si="2"/>
        <v>4.5351473922901524E-3</v>
      </c>
      <c r="D72" s="14">
        <f t="shared" si="1"/>
        <v>3.0232558139534817E-2</v>
      </c>
      <c r="E72" s="15">
        <f>VLOOKUP(Table5[[#This Row],[Date]],'Fed Fund New'!$A:$C,2,FALSE)</f>
        <v>0</v>
      </c>
      <c r="F72" s="27">
        <v>0.02</v>
      </c>
    </row>
    <row r="73" spans="1:6" x14ac:dyDescent="0.2">
      <c r="A73" s="61">
        <v>26543</v>
      </c>
      <c r="B73" s="68">
        <f>VLOOKUP(Table5[[#This Row],[Date]],Database!A:E,5,)</f>
        <v>44.3</v>
      </c>
      <c r="C73" s="14">
        <f t="shared" si="2"/>
        <v>0</v>
      </c>
      <c r="D73" s="14">
        <f t="shared" si="1"/>
        <v>3.0232558139534817E-2</v>
      </c>
      <c r="E73" s="15">
        <f>VLOOKUP(Table5[[#This Row],[Date]],'Fed Fund New'!$A:$C,2,FALSE)</f>
        <v>0</v>
      </c>
      <c r="F73" s="27">
        <v>0.02</v>
      </c>
    </row>
    <row r="74" spans="1:6" x14ac:dyDescent="0.2">
      <c r="A74" s="61">
        <v>26573</v>
      </c>
      <c r="B74" s="68">
        <f>VLOOKUP(Table5[[#This Row],[Date]],Database!A:E,5,)</f>
        <v>44.4</v>
      </c>
      <c r="C74" s="14">
        <f t="shared" si="2"/>
        <v>2.2573363431151565E-3</v>
      </c>
      <c r="D74" s="14">
        <f t="shared" si="1"/>
        <v>3.0162412993039376E-2</v>
      </c>
      <c r="E74" s="15">
        <f>VLOOKUP(Table5[[#This Row],[Date]],'Fed Fund New'!$A:$C,2,FALSE)</f>
        <v>0</v>
      </c>
      <c r="F74" s="27">
        <v>0.02</v>
      </c>
    </row>
    <row r="75" spans="1:6" x14ac:dyDescent="0.2">
      <c r="A75" s="61">
        <v>26604</v>
      </c>
      <c r="B75" s="68">
        <f>VLOOKUP(Table5[[#This Row],[Date]],Database!A:E,5,)</f>
        <v>44.4</v>
      </c>
      <c r="C75" s="14">
        <f t="shared" si="2"/>
        <v>0</v>
      </c>
      <c r="D75" s="14">
        <f t="shared" si="1"/>
        <v>2.7777777777777676E-2</v>
      </c>
      <c r="E75" s="15">
        <f>VLOOKUP(Table5[[#This Row],[Date]],'Fed Fund New'!$A:$C,2,FALSE)</f>
        <v>0</v>
      </c>
      <c r="F75" s="27">
        <v>0.02</v>
      </c>
    </row>
    <row r="76" spans="1:6" x14ac:dyDescent="0.2">
      <c r="A76" s="61">
        <v>26634</v>
      </c>
      <c r="B76" s="68">
        <f>VLOOKUP(Table5[[#This Row],[Date]],Database!A:E,5,)</f>
        <v>44.6</v>
      </c>
      <c r="C76" s="14">
        <f t="shared" si="2"/>
        <v>4.5045045045045687E-3</v>
      </c>
      <c r="D76" s="14">
        <f t="shared" si="1"/>
        <v>3.002309468822181E-2</v>
      </c>
      <c r="E76" s="15">
        <f>VLOOKUP(Table5[[#This Row],[Date]],'Fed Fund New'!$A:$C,2,FALSE)</f>
        <v>0</v>
      </c>
      <c r="F76" s="27">
        <v>0.02</v>
      </c>
    </row>
    <row r="77" spans="1:6" x14ac:dyDescent="0.2">
      <c r="A77" s="61">
        <v>26665</v>
      </c>
      <c r="B77" s="68">
        <f>VLOOKUP(Table5[[#This Row],[Date]],Database!A:E,5,)</f>
        <v>44.6</v>
      </c>
      <c r="C77" s="14">
        <f t="shared" si="2"/>
        <v>0</v>
      </c>
      <c r="D77" s="14">
        <f t="shared" si="1"/>
        <v>2.5287356321839115E-2</v>
      </c>
      <c r="E77" s="15">
        <f>VLOOKUP(Table5[[#This Row],[Date]],'Fed Fund New'!$A:$C,2,FALSE)</f>
        <v>0</v>
      </c>
      <c r="F77" s="27">
        <v>0.02</v>
      </c>
    </row>
    <row r="78" spans="1:6" x14ac:dyDescent="0.2">
      <c r="A78" s="61">
        <v>26696</v>
      </c>
      <c r="B78" s="68">
        <f>VLOOKUP(Table5[[#This Row],[Date]],Database!A:E,5,)</f>
        <v>44.8</v>
      </c>
      <c r="C78" s="14">
        <f t="shared" si="2"/>
        <v>4.4843049327353305E-3</v>
      </c>
      <c r="D78" s="14">
        <f t="shared" si="1"/>
        <v>2.7522935779816415E-2</v>
      </c>
      <c r="E78" s="15">
        <f>VLOOKUP(Table5[[#This Row],[Date]],'Fed Fund New'!$A:$C,2,FALSE)</f>
        <v>0</v>
      </c>
      <c r="F78" s="27">
        <v>0.02</v>
      </c>
    </row>
    <row r="79" spans="1:6" x14ac:dyDescent="0.2">
      <c r="A79" s="61">
        <v>26724</v>
      </c>
      <c r="B79" s="68">
        <f>VLOOKUP(Table5[[#This Row],[Date]],Database!A:E,5,)</f>
        <v>45</v>
      </c>
      <c r="C79" s="14">
        <f t="shared" si="2"/>
        <v>4.4642857142857782E-3</v>
      </c>
      <c r="D79" s="14">
        <f t="shared" si="1"/>
        <v>3.2110091743119233E-2</v>
      </c>
      <c r="E79" s="15">
        <f>VLOOKUP(Table5[[#This Row],[Date]],'Fed Fund New'!$A:$C,2,FALSE)</f>
        <v>0</v>
      </c>
      <c r="F79" s="27">
        <v>0.02</v>
      </c>
    </row>
    <row r="80" spans="1:6" x14ac:dyDescent="0.2">
      <c r="A80" s="61">
        <v>26755</v>
      </c>
      <c r="B80" s="68">
        <f>VLOOKUP(Table5[[#This Row],[Date]],Database!A:E,5,)</f>
        <v>45.1</v>
      </c>
      <c r="C80" s="14">
        <f t="shared" si="2"/>
        <v>2.2222222222222539E-3</v>
      </c>
      <c r="D80" s="14">
        <f t="shared" si="1"/>
        <v>2.9680365296803752E-2</v>
      </c>
      <c r="E80" s="15">
        <f>VLOOKUP(Table5[[#This Row],[Date]],'Fed Fund New'!$A:$C,2,FALSE)</f>
        <v>0</v>
      </c>
      <c r="F80" s="27">
        <v>0.02</v>
      </c>
    </row>
    <row r="81" spans="1:6" x14ac:dyDescent="0.2">
      <c r="A81" s="61">
        <v>26785</v>
      </c>
      <c r="B81" s="68">
        <f>VLOOKUP(Table5[[#This Row],[Date]],Database!A:E,5,)</f>
        <v>45.3</v>
      </c>
      <c r="C81" s="14">
        <f t="shared" si="2"/>
        <v>4.4345898004433644E-3</v>
      </c>
      <c r="D81" s="14">
        <f t="shared" ref="D81:D144" si="3">(B81-B69)/B69</f>
        <v>3.1890660592255093E-2</v>
      </c>
      <c r="E81" s="15">
        <f>VLOOKUP(Table5[[#This Row],[Date]],'Fed Fund New'!$A:$C,2,FALSE)</f>
        <v>0</v>
      </c>
      <c r="F81" s="27">
        <v>0.02</v>
      </c>
    </row>
    <row r="82" spans="1:6" x14ac:dyDescent="0.2">
      <c r="A82" s="61">
        <v>26816</v>
      </c>
      <c r="B82" s="68">
        <f>VLOOKUP(Table5[[#This Row],[Date]],Database!A:E,5,)</f>
        <v>45.4</v>
      </c>
      <c r="C82" s="14">
        <f t="shared" si="2"/>
        <v>2.2075055187638286E-3</v>
      </c>
      <c r="D82" s="14">
        <f t="shared" si="3"/>
        <v>3.1818181818181787E-2</v>
      </c>
      <c r="E82" s="15">
        <f>VLOOKUP(Table5[[#This Row],[Date]],'Fed Fund New'!$A:$C,2,FALSE)</f>
        <v>0</v>
      </c>
      <c r="F82" s="27">
        <v>0.02</v>
      </c>
    </row>
    <row r="83" spans="1:6" x14ac:dyDescent="0.2">
      <c r="A83" s="61">
        <v>26846</v>
      </c>
      <c r="B83" s="68">
        <f>VLOOKUP(Table5[[#This Row],[Date]],Database!A:E,5,)</f>
        <v>45.5</v>
      </c>
      <c r="C83" s="14">
        <f t="shared" si="2"/>
        <v>2.2026431718061988E-3</v>
      </c>
      <c r="D83" s="14">
        <f t="shared" si="3"/>
        <v>3.174603174603171E-2</v>
      </c>
      <c r="E83" s="15">
        <f>VLOOKUP(Table5[[#This Row],[Date]],'Fed Fund New'!$A:$C,2,FALSE)</f>
        <v>0</v>
      </c>
      <c r="F83" s="27">
        <v>0.02</v>
      </c>
    </row>
    <row r="84" spans="1:6" x14ac:dyDescent="0.2">
      <c r="A84" s="61">
        <v>26877</v>
      </c>
      <c r="B84" s="68">
        <f>VLOOKUP(Table5[[#This Row],[Date]],Database!A:E,5,)</f>
        <v>45.7</v>
      </c>
      <c r="C84" s="14">
        <f t="shared" si="2"/>
        <v>4.3956043956044581E-3</v>
      </c>
      <c r="D84" s="14">
        <f t="shared" si="3"/>
        <v>3.1602708803611872E-2</v>
      </c>
      <c r="E84" s="15">
        <f>VLOOKUP(Table5[[#This Row],[Date]],'Fed Fund New'!$A:$C,2,FALSE)</f>
        <v>0</v>
      </c>
      <c r="F84" s="27">
        <v>0.02</v>
      </c>
    </row>
    <row r="85" spans="1:6" x14ac:dyDescent="0.2">
      <c r="A85" s="61">
        <v>26908</v>
      </c>
      <c r="B85" s="68">
        <f>VLOOKUP(Table5[[#This Row],[Date]],Database!A:E,5,)</f>
        <v>46</v>
      </c>
      <c r="C85" s="14">
        <f t="shared" si="2"/>
        <v>6.5645514223194121E-3</v>
      </c>
      <c r="D85" s="14">
        <f t="shared" si="3"/>
        <v>3.8374717832957178E-2</v>
      </c>
      <c r="E85" s="15">
        <f>VLOOKUP(Table5[[#This Row],[Date]],'Fed Fund New'!$A:$C,2,FALSE)</f>
        <v>0</v>
      </c>
      <c r="F85" s="27">
        <v>0.02</v>
      </c>
    </row>
    <row r="86" spans="1:6" x14ac:dyDescent="0.2">
      <c r="A86" s="61">
        <v>26938</v>
      </c>
      <c r="B86" s="68">
        <f>VLOOKUP(Table5[[#This Row],[Date]],Database!A:E,5,)</f>
        <v>46.3</v>
      </c>
      <c r="C86" s="14">
        <f t="shared" si="2"/>
        <v>6.5217391304347207E-3</v>
      </c>
      <c r="D86" s="14">
        <f t="shared" si="3"/>
        <v>4.2792792792792765E-2</v>
      </c>
      <c r="E86" s="15">
        <f>VLOOKUP(Table5[[#This Row],[Date]],'Fed Fund New'!$A:$C,2,FALSE)</f>
        <v>0</v>
      </c>
      <c r="F86" s="27">
        <v>0.02</v>
      </c>
    </row>
    <row r="87" spans="1:6" x14ac:dyDescent="0.2">
      <c r="A87" s="61">
        <v>26969</v>
      </c>
      <c r="B87" s="68">
        <f>VLOOKUP(Table5[[#This Row],[Date]],Database!A:E,5,)</f>
        <v>46.5</v>
      </c>
      <c r="C87" s="14">
        <f t="shared" si="2"/>
        <v>4.3196544276458502E-3</v>
      </c>
      <c r="D87" s="14">
        <f t="shared" si="3"/>
        <v>4.7297297297297328E-2</v>
      </c>
      <c r="E87" s="15">
        <f>VLOOKUP(Table5[[#This Row],[Date]],'Fed Fund New'!$A:$C,2,FALSE)</f>
        <v>0</v>
      </c>
      <c r="F87" s="27">
        <v>0.02</v>
      </c>
    </row>
    <row r="88" spans="1:6" x14ac:dyDescent="0.2">
      <c r="A88" s="61">
        <v>26999</v>
      </c>
      <c r="B88" s="68">
        <f>VLOOKUP(Table5[[#This Row],[Date]],Database!A:E,5,)</f>
        <v>46.7</v>
      </c>
      <c r="C88" s="14">
        <f t="shared" si="2"/>
        <v>4.301075268817265E-3</v>
      </c>
      <c r="D88" s="14">
        <f t="shared" si="3"/>
        <v>4.7085201793722005E-2</v>
      </c>
      <c r="E88" s="15">
        <f>VLOOKUP(Table5[[#This Row],[Date]],'Fed Fund New'!$A:$C,2,FALSE)</f>
        <v>0</v>
      </c>
      <c r="F88" s="27">
        <v>0.02</v>
      </c>
    </row>
    <row r="89" spans="1:6" x14ac:dyDescent="0.2">
      <c r="A89" s="61">
        <v>27030</v>
      </c>
      <c r="B89" s="68">
        <f>VLOOKUP(Table5[[#This Row],[Date]],Database!A:E,5,)</f>
        <v>46.9</v>
      </c>
      <c r="C89" s="14">
        <f t="shared" si="2"/>
        <v>4.282655246252585E-3</v>
      </c>
      <c r="D89" s="14">
        <f t="shared" si="3"/>
        <v>5.1569506726457333E-2</v>
      </c>
      <c r="E89" s="15">
        <f>VLOOKUP(Table5[[#This Row],[Date]],'Fed Fund New'!$A:$C,2,FALSE)</f>
        <v>0</v>
      </c>
      <c r="F89" s="27">
        <v>0.02</v>
      </c>
    </row>
    <row r="90" spans="1:6" x14ac:dyDescent="0.2">
      <c r="A90" s="61">
        <v>27061</v>
      </c>
      <c r="B90" s="68">
        <f>VLOOKUP(Table5[[#This Row],[Date]],Database!A:E,5,)</f>
        <v>47.2</v>
      </c>
      <c r="C90" s="14">
        <f t="shared" si="2"/>
        <v>6.3965884861408159E-3</v>
      </c>
      <c r="D90" s="14">
        <f t="shared" si="3"/>
        <v>5.35714285714287E-2</v>
      </c>
      <c r="E90" s="15">
        <f>VLOOKUP(Table5[[#This Row],[Date]],'Fed Fund New'!$A:$C,2,FALSE)</f>
        <v>0</v>
      </c>
      <c r="F90" s="27">
        <v>0.02</v>
      </c>
    </row>
    <row r="91" spans="1:6" x14ac:dyDescent="0.2">
      <c r="A91" s="61">
        <v>27089</v>
      </c>
      <c r="B91" s="68">
        <f>VLOOKUP(Table5[[#This Row],[Date]],Database!A:E,5,)</f>
        <v>47.6</v>
      </c>
      <c r="C91" s="14">
        <f t="shared" si="2"/>
        <v>8.4745762711864094E-3</v>
      </c>
      <c r="D91" s="14">
        <f t="shared" si="3"/>
        <v>5.777777777777781E-2</v>
      </c>
      <c r="E91" s="15">
        <f>VLOOKUP(Table5[[#This Row],[Date]],'Fed Fund New'!$A:$C,2,FALSE)</f>
        <v>0</v>
      </c>
      <c r="F91" s="27">
        <v>0.02</v>
      </c>
    </row>
    <row r="92" spans="1:6" x14ac:dyDescent="0.2">
      <c r="A92" s="61">
        <v>27120</v>
      </c>
      <c r="B92" s="68">
        <f>VLOOKUP(Table5[[#This Row],[Date]],Database!A:E,5,)</f>
        <v>47.9</v>
      </c>
      <c r="C92" s="14">
        <f t="shared" si="2"/>
        <v>6.3025210084033017E-3</v>
      </c>
      <c r="D92" s="14">
        <f t="shared" si="3"/>
        <v>6.208425720620836E-2</v>
      </c>
      <c r="E92" s="15">
        <f>VLOOKUP(Table5[[#This Row],[Date]],'Fed Fund New'!$A:$C,2,FALSE)</f>
        <v>0</v>
      </c>
      <c r="F92" s="27">
        <v>0.02</v>
      </c>
    </row>
    <row r="93" spans="1:6" x14ac:dyDescent="0.2">
      <c r="A93" s="61">
        <v>27150</v>
      </c>
      <c r="B93" s="68">
        <f>VLOOKUP(Table5[[#This Row],[Date]],Database!A:E,5,)</f>
        <v>48.5</v>
      </c>
      <c r="C93" s="14">
        <f t="shared" si="2"/>
        <v>1.2526096033402953E-2</v>
      </c>
      <c r="D93" s="14">
        <f t="shared" si="3"/>
        <v>7.064017660044157E-2</v>
      </c>
      <c r="E93" s="15">
        <f>VLOOKUP(Table5[[#This Row],[Date]],'Fed Fund New'!$A:$C,2,FALSE)</f>
        <v>0</v>
      </c>
      <c r="F93" s="27">
        <v>0.02</v>
      </c>
    </row>
    <row r="94" spans="1:6" x14ac:dyDescent="0.2">
      <c r="A94" s="61">
        <v>27181</v>
      </c>
      <c r="B94" s="68">
        <f>VLOOKUP(Table5[[#This Row],[Date]],Database!A:E,5,)</f>
        <v>49</v>
      </c>
      <c r="C94" s="14">
        <f t="shared" si="2"/>
        <v>1.0309278350515464E-2</v>
      </c>
      <c r="D94" s="14">
        <f t="shared" si="3"/>
        <v>7.929515418502206E-2</v>
      </c>
      <c r="E94" s="15">
        <f>VLOOKUP(Table5[[#This Row],[Date]],'Fed Fund New'!$A:$C,2,FALSE)</f>
        <v>0</v>
      </c>
      <c r="F94" s="27">
        <v>0.02</v>
      </c>
    </row>
    <row r="95" spans="1:6" x14ac:dyDescent="0.2">
      <c r="A95" s="61">
        <v>27211</v>
      </c>
      <c r="B95" s="68">
        <f>VLOOKUP(Table5[[#This Row],[Date]],Database!A:E,5,)</f>
        <v>49.5</v>
      </c>
      <c r="C95" s="14">
        <f t="shared" si="2"/>
        <v>1.020408163265306E-2</v>
      </c>
      <c r="D95" s="14">
        <f t="shared" si="3"/>
        <v>8.7912087912087919E-2</v>
      </c>
      <c r="E95" s="15">
        <f>VLOOKUP(Table5[[#This Row],[Date]],'Fed Fund New'!$A:$C,2,FALSE)</f>
        <v>0</v>
      </c>
      <c r="F95" s="27">
        <v>0.02</v>
      </c>
    </row>
    <row r="96" spans="1:6" x14ac:dyDescent="0.2">
      <c r="A96" s="61">
        <v>27242</v>
      </c>
      <c r="B96" s="68">
        <f>VLOOKUP(Table5[[#This Row],[Date]],Database!A:E,5,)</f>
        <v>50.2</v>
      </c>
      <c r="C96" s="14">
        <f t="shared" si="2"/>
        <v>1.41414141414142E-2</v>
      </c>
      <c r="D96" s="14">
        <f t="shared" si="3"/>
        <v>9.8468271334792121E-2</v>
      </c>
      <c r="E96" s="15">
        <f>VLOOKUP(Table5[[#This Row],[Date]],'Fed Fund New'!$A:$C,2,FALSE)</f>
        <v>0</v>
      </c>
      <c r="F96" s="27">
        <v>0.02</v>
      </c>
    </row>
    <row r="97" spans="1:6" x14ac:dyDescent="0.2">
      <c r="A97" s="61">
        <v>27273</v>
      </c>
      <c r="B97" s="68">
        <f>VLOOKUP(Table5[[#This Row],[Date]],Database!A:E,5,)</f>
        <v>50.7</v>
      </c>
      <c r="C97" s="14">
        <f t="shared" si="2"/>
        <v>9.9601593625498006E-3</v>
      </c>
      <c r="D97" s="14">
        <f t="shared" si="3"/>
        <v>0.10217391304347832</v>
      </c>
      <c r="E97" s="15">
        <f>VLOOKUP(Table5[[#This Row],[Date]],'Fed Fund New'!$A:$C,2,FALSE)</f>
        <v>0</v>
      </c>
      <c r="F97" s="27">
        <v>0.02</v>
      </c>
    </row>
    <row r="98" spans="1:6" x14ac:dyDescent="0.2">
      <c r="A98" s="61">
        <v>27303</v>
      </c>
      <c r="B98" s="68">
        <f>VLOOKUP(Table5[[#This Row],[Date]],Database!A:E,5,)</f>
        <v>51.2</v>
      </c>
      <c r="C98" s="14">
        <f t="shared" si="2"/>
        <v>9.8619329388560158E-3</v>
      </c>
      <c r="D98" s="14">
        <f t="shared" si="3"/>
        <v>0.10583153347732194</v>
      </c>
      <c r="E98" s="15">
        <f>VLOOKUP(Table5[[#This Row],[Date]],'Fed Fund New'!$A:$C,2,FALSE)</f>
        <v>0</v>
      </c>
      <c r="F98" s="27">
        <v>0.02</v>
      </c>
    </row>
    <row r="99" spans="1:6" x14ac:dyDescent="0.2">
      <c r="A99" s="61">
        <v>27334</v>
      </c>
      <c r="B99" s="68">
        <f>VLOOKUP(Table5[[#This Row],[Date]],Database!A:E,5,)</f>
        <v>51.6</v>
      </c>
      <c r="C99" s="14">
        <f t="shared" si="2"/>
        <v>7.8124999999999722E-3</v>
      </c>
      <c r="D99" s="14">
        <f t="shared" si="3"/>
        <v>0.10967741935483874</v>
      </c>
      <c r="E99" s="15">
        <f>VLOOKUP(Table5[[#This Row],[Date]],'Fed Fund New'!$A:$C,2,FALSE)</f>
        <v>0</v>
      </c>
      <c r="F99" s="27">
        <v>0.02</v>
      </c>
    </row>
    <row r="100" spans="1:6" x14ac:dyDescent="0.2">
      <c r="A100" s="61">
        <v>27364</v>
      </c>
      <c r="B100" s="68">
        <f>VLOOKUP(Table5[[#This Row],[Date]],Database!A:E,5,)</f>
        <v>52</v>
      </c>
      <c r="C100" s="14">
        <f t="shared" si="2"/>
        <v>7.7519379844960962E-3</v>
      </c>
      <c r="D100" s="14">
        <f t="shared" si="3"/>
        <v>0.11349036402569586</v>
      </c>
      <c r="E100" s="15">
        <f>VLOOKUP(Table5[[#This Row],[Date]],'Fed Fund New'!$A:$C,2,FALSE)</f>
        <v>0</v>
      </c>
      <c r="F100" s="27">
        <v>0.02</v>
      </c>
    </row>
    <row r="101" spans="1:6" x14ac:dyDescent="0.2">
      <c r="A101" s="61">
        <v>27395</v>
      </c>
      <c r="B101" s="68">
        <f>VLOOKUP(Table5[[#This Row],[Date]],Database!A:E,5,)</f>
        <v>52.3</v>
      </c>
      <c r="C101" s="14">
        <f t="shared" si="2"/>
        <v>5.7692307692307149E-3</v>
      </c>
      <c r="D101" s="14">
        <f t="shared" si="3"/>
        <v>0.11513859275053302</v>
      </c>
      <c r="E101" s="15">
        <f>VLOOKUP(Table5[[#This Row],[Date]],'Fed Fund New'!$A:$C,2,FALSE)</f>
        <v>0</v>
      </c>
      <c r="F101" s="27">
        <v>0.02</v>
      </c>
    </row>
    <row r="102" spans="1:6" x14ac:dyDescent="0.2">
      <c r="A102" s="61">
        <v>27426</v>
      </c>
      <c r="B102" s="68">
        <f>VLOOKUP(Table5[[#This Row],[Date]],Database!A:E,5,)</f>
        <v>52.8</v>
      </c>
      <c r="C102" s="14">
        <f t="shared" si="2"/>
        <v>9.5602294455066923E-3</v>
      </c>
      <c r="D102" s="14">
        <f t="shared" si="3"/>
        <v>0.11864406779661005</v>
      </c>
      <c r="E102" s="15">
        <f>VLOOKUP(Table5[[#This Row],[Date]],'Fed Fund New'!$A:$C,2,FALSE)</f>
        <v>0</v>
      </c>
      <c r="F102" s="27">
        <v>0.02</v>
      </c>
    </row>
    <row r="103" spans="1:6" x14ac:dyDescent="0.2">
      <c r="A103" s="61">
        <v>27454</v>
      </c>
      <c r="B103" s="68">
        <f>VLOOKUP(Table5[[#This Row],[Date]],Database!A:E,5,)</f>
        <v>53</v>
      </c>
      <c r="C103" s="14">
        <f t="shared" si="2"/>
        <v>3.7878787878788418E-3</v>
      </c>
      <c r="D103" s="14">
        <f t="shared" si="3"/>
        <v>0.11344537815126048</v>
      </c>
      <c r="E103" s="15">
        <f>VLOOKUP(Table5[[#This Row],[Date]],'Fed Fund New'!$A:$C,2,FALSE)</f>
        <v>0</v>
      </c>
      <c r="F103" s="27">
        <v>0.02</v>
      </c>
    </row>
    <row r="104" spans="1:6" x14ac:dyDescent="0.2">
      <c r="A104" s="61">
        <v>27485</v>
      </c>
      <c r="B104" s="68">
        <f>VLOOKUP(Table5[[#This Row],[Date]],Database!A:E,5,)</f>
        <v>53.3</v>
      </c>
      <c r="C104" s="14">
        <f t="shared" si="2"/>
        <v>5.6603773584905127E-3</v>
      </c>
      <c r="D104" s="14">
        <f t="shared" si="3"/>
        <v>0.11273486430062628</v>
      </c>
      <c r="E104" s="15">
        <f>VLOOKUP(Table5[[#This Row],[Date]],'Fed Fund New'!$A:$C,2,FALSE)</f>
        <v>0</v>
      </c>
      <c r="F104" s="27">
        <v>0.02</v>
      </c>
    </row>
    <row r="105" spans="1:6" x14ac:dyDescent="0.2">
      <c r="A105" s="61">
        <v>27515</v>
      </c>
      <c r="B105" s="68">
        <f>VLOOKUP(Table5[[#This Row],[Date]],Database!A:E,5,)</f>
        <v>53.5</v>
      </c>
      <c r="C105" s="14">
        <f t="shared" si="2"/>
        <v>3.7523452157599032E-3</v>
      </c>
      <c r="D105" s="14">
        <f t="shared" si="3"/>
        <v>0.10309278350515463</v>
      </c>
      <c r="E105" s="15">
        <f>VLOOKUP(Table5[[#This Row],[Date]],'Fed Fund New'!$A:$C,2,FALSE)</f>
        <v>0</v>
      </c>
      <c r="F105" s="27">
        <v>0.02</v>
      </c>
    </row>
    <row r="106" spans="1:6" x14ac:dyDescent="0.2">
      <c r="A106" s="61">
        <v>27546</v>
      </c>
      <c r="B106" s="68">
        <f>VLOOKUP(Table5[[#This Row],[Date]],Database!A:E,5,)</f>
        <v>53.8</v>
      </c>
      <c r="C106" s="14">
        <f t="shared" si="2"/>
        <v>5.6074766355139654E-3</v>
      </c>
      <c r="D106" s="14">
        <f t="shared" si="3"/>
        <v>9.7959183673469327E-2</v>
      </c>
      <c r="E106" s="15">
        <f>VLOOKUP(Table5[[#This Row],[Date]],'Fed Fund New'!$A:$C,2,FALSE)</f>
        <v>0</v>
      </c>
      <c r="F106" s="27">
        <v>0.02</v>
      </c>
    </row>
    <row r="107" spans="1:6" x14ac:dyDescent="0.2">
      <c r="A107" s="61">
        <v>27576</v>
      </c>
      <c r="B107" s="68">
        <f>VLOOKUP(Table5[[#This Row],[Date]],Database!A:E,5,)</f>
        <v>54</v>
      </c>
      <c r="C107" s="14">
        <f t="shared" si="2"/>
        <v>3.717472118959161E-3</v>
      </c>
      <c r="D107" s="14">
        <f t="shared" si="3"/>
        <v>9.0909090909090912E-2</v>
      </c>
      <c r="E107" s="15">
        <f>VLOOKUP(Table5[[#This Row],[Date]],'Fed Fund New'!$A:$C,2,FALSE)</f>
        <v>0</v>
      </c>
      <c r="F107" s="27">
        <v>0.02</v>
      </c>
    </row>
    <row r="108" spans="1:6" x14ac:dyDescent="0.2">
      <c r="A108" s="61">
        <v>27607</v>
      </c>
      <c r="B108" s="68">
        <f>VLOOKUP(Table5[[#This Row],[Date]],Database!A:E,5,)</f>
        <v>54.2</v>
      </c>
      <c r="C108" s="14">
        <f t="shared" si="2"/>
        <v>3.7037037037037563E-3</v>
      </c>
      <c r="D108" s="14">
        <f t="shared" si="3"/>
        <v>7.9681274900398405E-2</v>
      </c>
      <c r="E108" s="15">
        <f>VLOOKUP(Table5[[#This Row],[Date]],'Fed Fund New'!$A:$C,2,FALSE)</f>
        <v>0</v>
      </c>
      <c r="F108" s="27">
        <v>0.02</v>
      </c>
    </row>
    <row r="109" spans="1:6" x14ac:dyDescent="0.2">
      <c r="A109" s="61">
        <v>27638</v>
      </c>
      <c r="B109" s="68">
        <f>VLOOKUP(Table5[[#This Row],[Date]],Database!A:E,5,)</f>
        <v>54.5</v>
      </c>
      <c r="C109" s="14">
        <f t="shared" si="2"/>
        <v>5.5350553505534531E-3</v>
      </c>
      <c r="D109" s="14">
        <f t="shared" si="3"/>
        <v>7.4950690335305659E-2</v>
      </c>
      <c r="E109" s="15">
        <f>VLOOKUP(Table5[[#This Row],[Date]],'Fed Fund New'!$A:$C,2,FALSE)</f>
        <v>0</v>
      </c>
      <c r="F109" s="27">
        <v>0.02</v>
      </c>
    </row>
    <row r="110" spans="1:6" x14ac:dyDescent="0.2">
      <c r="A110" s="61">
        <v>27668</v>
      </c>
      <c r="B110" s="68">
        <f>VLOOKUP(Table5[[#This Row],[Date]],Database!A:E,5,)</f>
        <v>54.8</v>
      </c>
      <c r="C110" s="14">
        <f t="shared" si="2"/>
        <v>5.504587155963251E-3</v>
      </c>
      <c r="D110" s="14">
        <f t="shared" si="3"/>
        <v>7.0312499999999889E-2</v>
      </c>
      <c r="E110" s="15">
        <f>VLOOKUP(Table5[[#This Row],[Date]],'Fed Fund New'!$A:$C,2,FALSE)</f>
        <v>0</v>
      </c>
      <c r="F110" s="27">
        <v>0.02</v>
      </c>
    </row>
    <row r="111" spans="1:6" x14ac:dyDescent="0.2">
      <c r="A111" s="61">
        <v>27699</v>
      </c>
      <c r="B111" s="68">
        <f>VLOOKUP(Table5[[#This Row],[Date]],Database!A:E,5,)</f>
        <v>55.2</v>
      </c>
      <c r="C111" s="14">
        <f t="shared" si="2"/>
        <v>7.2992700729928046E-3</v>
      </c>
      <c r="D111" s="14">
        <f t="shared" si="3"/>
        <v>6.9767441860465143E-2</v>
      </c>
      <c r="E111" s="15">
        <f>VLOOKUP(Table5[[#This Row],[Date]],'Fed Fund New'!$A:$C,2,FALSE)</f>
        <v>0</v>
      </c>
      <c r="F111" s="27">
        <v>0.02</v>
      </c>
    </row>
    <row r="112" spans="1:6" x14ac:dyDescent="0.2">
      <c r="A112" s="61">
        <v>27729</v>
      </c>
      <c r="B112" s="68">
        <f>VLOOKUP(Table5[[#This Row],[Date]],Database!A:E,5,)</f>
        <v>55.5</v>
      </c>
      <c r="C112" s="14">
        <f t="shared" si="2"/>
        <v>5.4347826086956E-3</v>
      </c>
      <c r="D112" s="14">
        <f t="shared" si="3"/>
        <v>6.7307692307692304E-2</v>
      </c>
      <c r="E112" s="15">
        <f>VLOOKUP(Table5[[#This Row],[Date]],'Fed Fund New'!$A:$C,2,FALSE)</f>
        <v>0</v>
      </c>
      <c r="F112" s="27">
        <v>0.02</v>
      </c>
    </row>
    <row r="113" spans="1:6" x14ac:dyDescent="0.2">
      <c r="A113" s="61">
        <v>27760</v>
      </c>
      <c r="B113" s="68">
        <f>VLOOKUP(Table5[[#This Row],[Date]],Database!A:E,5,)</f>
        <v>55.9</v>
      </c>
      <c r="C113" s="14">
        <f t="shared" si="2"/>
        <v>7.2072072072071813E-3</v>
      </c>
      <c r="D113" s="14">
        <f t="shared" si="3"/>
        <v>6.8833652007648211E-2</v>
      </c>
      <c r="E113" s="15">
        <f>VLOOKUP(Table5[[#This Row],[Date]],'Fed Fund New'!$A:$C,2,FALSE)</f>
        <v>0</v>
      </c>
      <c r="F113" s="27">
        <v>0.02</v>
      </c>
    </row>
    <row r="114" spans="1:6" x14ac:dyDescent="0.2">
      <c r="A114" s="61">
        <v>27791</v>
      </c>
      <c r="B114" s="68">
        <f>VLOOKUP(Table5[[#This Row],[Date]],Database!A:E,5,)</f>
        <v>56.2</v>
      </c>
      <c r="C114" s="14">
        <f t="shared" si="2"/>
        <v>5.3667262969589319E-3</v>
      </c>
      <c r="D114" s="14">
        <f t="shared" si="3"/>
        <v>6.4393939393939503E-2</v>
      </c>
      <c r="E114" s="15">
        <f>VLOOKUP(Table5[[#This Row],[Date]],'Fed Fund New'!$A:$C,2,FALSE)</f>
        <v>0</v>
      </c>
      <c r="F114" s="27">
        <v>0.02</v>
      </c>
    </row>
    <row r="115" spans="1:6" x14ac:dyDescent="0.2">
      <c r="A115" s="61">
        <v>27820</v>
      </c>
      <c r="B115" s="68">
        <f>VLOOKUP(Table5[[#This Row],[Date]],Database!A:E,5,)</f>
        <v>56.5</v>
      </c>
      <c r="C115" s="14">
        <f t="shared" si="2"/>
        <v>5.3380782918148956E-3</v>
      </c>
      <c r="D115" s="14">
        <f t="shared" si="3"/>
        <v>6.6037735849056603E-2</v>
      </c>
      <c r="E115" s="15">
        <f>VLOOKUP(Table5[[#This Row],[Date]],'Fed Fund New'!$A:$C,2,FALSE)</f>
        <v>0</v>
      </c>
      <c r="F115" s="27">
        <v>0.02</v>
      </c>
    </row>
    <row r="116" spans="1:6" x14ac:dyDescent="0.2">
      <c r="A116" s="61">
        <v>27851</v>
      </c>
      <c r="B116" s="68">
        <f>VLOOKUP(Table5[[#This Row],[Date]],Database!A:E,5,)</f>
        <v>56.7</v>
      </c>
      <c r="C116" s="14">
        <f t="shared" si="2"/>
        <v>3.5398230088496078E-3</v>
      </c>
      <c r="D116" s="14">
        <f t="shared" si="3"/>
        <v>6.3789868667917554E-2</v>
      </c>
      <c r="E116" s="15">
        <f>VLOOKUP(Table5[[#This Row],[Date]],'Fed Fund New'!$A:$C,2,FALSE)</f>
        <v>0</v>
      </c>
      <c r="F116" s="27">
        <v>0.02</v>
      </c>
    </row>
    <row r="117" spans="1:6" x14ac:dyDescent="0.2">
      <c r="A117" s="61">
        <v>27881</v>
      </c>
      <c r="B117" s="68">
        <f>VLOOKUP(Table5[[#This Row],[Date]],Database!A:E,5,)</f>
        <v>57</v>
      </c>
      <c r="C117" s="14">
        <f t="shared" si="2"/>
        <v>5.2910052910052404E-3</v>
      </c>
      <c r="D117" s="14">
        <f t="shared" si="3"/>
        <v>6.5420560747663545E-2</v>
      </c>
      <c r="E117" s="15">
        <f>VLOOKUP(Table5[[#This Row],[Date]],'Fed Fund New'!$A:$C,2,FALSE)</f>
        <v>0</v>
      </c>
      <c r="F117" s="27">
        <v>0.02</v>
      </c>
    </row>
    <row r="118" spans="1:6" x14ac:dyDescent="0.2">
      <c r="A118" s="61">
        <v>27912</v>
      </c>
      <c r="B118" s="68">
        <f>VLOOKUP(Table5[[#This Row],[Date]],Database!A:E,5,)</f>
        <v>57.2</v>
      </c>
      <c r="C118" s="14">
        <f t="shared" si="2"/>
        <v>3.5087719298246113E-3</v>
      </c>
      <c r="D118" s="14">
        <f t="shared" si="3"/>
        <v>6.3197026022304939E-2</v>
      </c>
      <c r="E118" s="15">
        <f>VLOOKUP(Table5[[#This Row],[Date]],'Fed Fund New'!$A:$C,2,FALSE)</f>
        <v>0</v>
      </c>
      <c r="F118" s="27">
        <v>0.02</v>
      </c>
    </row>
    <row r="119" spans="1:6" x14ac:dyDescent="0.2">
      <c r="A119" s="61">
        <v>27942</v>
      </c>
      <c r="B119" s="68">
        <f>VLOOKUP(Table5[[#This Row],[Date]],Database!A:E,5,)</f>
        <v>57.6</v>
      </c>
      <c r="C119" s="14">
        <f t="shared" si="2"/>
        <v>6.9930069930069678E-3</v>
      </c>
      <c r="D119" s="14">
        <f t="shared" si="3"/>
        <v>6.6666666666666693E-2</v>
      </c>
      <c r="E119" s="15">
        <f>VLOOKUP(Table5[[#This Row],[Date]],'Fed Fund New'!$A:$C,2,FALSE)</f>
        <v>0</v>
      </c>
      <c r="F119" s="27">
        <v>0.02</v>
      </c>
    </row>
    <row r="120" spans="1:6" x14ac:dyDescent="0.2">
      <c r="A120" s="61">
        <v>27973</v>
      </c>
      <c r="B120" s="68">
        <f>VLOOKUP(Table5[[#This Row],[Date]],Database!A:E,5,)</f>
        <v>57.9</v>
      </c>
      <c r="C120" s="14">
        <f t="shared" si="2"/>
        <v>5.2083333333332836E-3</v>
      </c>
      <c r="D120" s="14">
        <f t="shared" si="3"/>
        <v>6.826568265682649E-2</v>
      </c>
      <c r="E120" s="15">
        <f>VLOOKUP(Table5[[#This Row],[Date]],'Fed Fund New'!$A:$C,2,FALSE)</f>
        <v>0</v>
      </c>
      <c r="F120" s="27">
        <v>0.02</v>
      </c>
    </row>
    <row r="121" spans="1:6" x14ac:dyDescent="0.2">
      <c r="A121" s="61">
        <v>28004</v>
      </c>
      <c r="B121" s="68">
        <f>VLOOKUP(Table5[[#This Row],[Date]],Database!A:E,5,)</f>
        <v>58.2</v>
      </c>
      <c r="C121" s="14">
        <f t="shared" si="2"/>
        <v>5.1813471502591413E-3</v>
      </c>
      <c r="D121" s="14">
        <f t="shared" si="3"/>
        <v>6.7889908256880779E-2</v>
      </c>
      <c r="E121" s="15">
        <f>VLOOKUP(Table5[[#This Row],[Date]],'Fed Fund New'!$A:$C,2,FALSE)</f>
        <v>0</v>
      </c>
      <c r="F121" s="27">
        <v>0.02</v>
      </c>
    </row>
    <row r="122" spans="1:6" x14ac:dyDescent="0.2">
      <c r="A122" s="61">
        <v>28034</v>
      </c>
      <c r="B122" s="68">
        <f>VLOOKUP(Table5[[#This Row],[Date]],Database!A:E,5,)</f>
        <v>58.5</v>
      </c>
      <c r="C122" s="14">
        <f t="shared" si="2"/>
        <v>5.1546391752576833E-3</v>
      </c>
      <c r="D122" s="14">
        <f t="shared" si="3"/>
        <v>6.7518248175182538E-2</v>
      </c>
      <c r="E122" s="15">
        <f>VLOOKUP(Table5[[#This Row],[Date]],'Fed Fund New'!$A:$C,2,FALSE)</f>
        <v>0</v>
      </c>
      <c r="F122" s="27">
        <v>0.02</v>
      </c>
    </row>
    <row r="123" spans="1:6" x14ac:dyDescent="0.2">
      <c r="A123" s="61">
        <v>28065</v>
      </c>
      <c r="B123" s="68">
        <f>VLOOKUP(Table5[[#This Row],[Date]],Database!A:E,5,)</f>
        <v>58.7</v>
      </c>
      <c r="C123" s="14">
        <f t="shared" si="2"/>
        <v>3.4188034188034674E-3</v>
      </c>
      <c r="D123" s="14">
        <f t="shared" si="3"/>
        <v>6.3405797101449266E-2</v>
      </c>
      <c r="E123" s="15">
        <f>VLOOKUP(Table5[[#This Row],[Date]],'Fed Fund New'!$A:$C,2,FALSE)</f>
        <v>0</v>
      </c>
      <c r="F123" s="27">
        <v>0.02</v>
      </c>
    </row>
    <row r="124" spans="1:6" x14ac:dyDescent="0.2">
      <c r="A124" s="61">
        <v>28095</v>
      </c>
      <c r="B124" s="68">
        <f>VLOOKUP(Table5[[#This Row],[Date]],Database!A:E,5,)</f>
        <v>58.9</v>
      </c>
      <c r="C124" s="14">
        <f t="shared" si="2"/>
        <v>3.4071550255535899E-3</v>
      </c>
      <c r="D124" s="14">
        <f t="shared" si="3"/>
        <v>6.1261261261261232E-2</v>
      </c>
      <c r="E124" s="15">
        <f>VLOOKUP(Table5[[#This Row],[Date]],'Fed Fund New'!$A:$C,2,FALSE)</f>
        <v>0</v>
      </c>
      <c r="F124" s="27">
        <v>0.02</v>
      </c>
    </row>
    <row r="125" spans="1:6" x14ac:dyDescent="0.2">
      <c r="A125" s="61">
        <v>28126</v>
      </c>
      <c r="B125" s="68">
        <f>VLOOKUP(Table5[[#This Row],[Date]],Database!A:E,5,)</f>
        <v>59.3</v>
      </c>
      <c r="C125" s="14">
        <f t="shared" si="2"/>
        <v>6.7911714770797719E-3</v>
      </c>
      <c r="D125" s="14">
        <f t="shared" si="3"/>
        <v>6.0822898032200333E-2</v>
      </c>
      <c r="E125" s="15">
        <f>VLOOKUP(Table5[[#This Row],[Date]],'Fed Fund New'!$A:$C,2,FALSE)</f>
        <v>0</v>
      </c>
      <c r="F125" s="27">
        <v>0.02</v>
      </c>
    </row>
    <row r="126" spans="1:6" x14ac:dyDescent="0.2">
      <c r="A126" s="61">
        <v>28157</v>
      </c>
      <c r="B126" s="68">
        <f>VLOOKUP(Table5[[#This Row],[Date]],Database!A:E,5,)</f>
        <v>59.7</v>
      </c>
      <c r="C126" s="14">
        <f t="shared" si="2"/>
        <v>6.7453625632378699E-3</v>
      </c>
      <c r="D126" s="14">
        <f t="shared" si="3"/>
        <v>6.2277580071174371E-2</v>
      </c>
      <c r="E126" s="15">
        <f>VLOOKUP(Table5[[#This Row],[Date]],'Fed Fund New'!$A:$C,2,FALSE)</f>
        <v>0</v>
      </c>
      <c r="F126" s="27">
        <v>0.02</v>
      </c>
    </row>
    <row r="127" spans="1:6" x14ac:dyDescent="0.2">
      <c r="A127" s="61">
        <v>28185</v>
      </c>
      <c r="B127" s="68">
        <f>VLOOKUP(Table5[[#This Row],[Date]],Database!A:E,5,)</f>
        <v>60</v>
      </c>
      <c r="C127" s="14">
        <f t="shared" si="2"/>
        <v>5.0251256281406559E-3</v>
      </c>
      <c r="D127" s="14">
        <f t="shared" si="3"/>
        <v>6.1946902654867256E-2</v>
      </c>
      <c r="E127" s="15">
        <f>VLOOKUP(Table5[[#This Row],[Date]],'Fed Fund New'!$A:$C,2,FALSE)</f>
        <v>0</v>
      </c>
      <c r="F127" s="27">
        <v>0.02</v>
      </c>
    </row>
    <row r="128" spans="1:6" x14ac:dyDescent="0.2">
      <c r="A128" s="61">
        <v>28216</v>
      </c>
      <c r="B128" s="68">
        <f>VLOOKUP(Table5[[#This Row],[Date]],Database!A:E,5,)</f>
        <v>60.3</v>
      </c>
      <c r="C128" s="14">
        <f t="shared" si="2"/>
        <v>4.9999999999999524E-3</v>
      </c>
      <c r="D128" s="14">
        <f t="shared" si="3"/>
        <v>6.3492063492063391E-2</v>
      </c>
      <c r="E128" s="15">
        <f>VLOOKUP(Table5[[#This Row],[Date]],'Fed Fund New'!$A:$C,2,FALSE)</f>
        <v>0</v>
      </c>
      <c r="F128" s="27">
        <v>0.02</v>
      </c>
    </row>
    <row r="129" spans="1:6" x14ac:dyDescent="0.2">
      <c r="A129" s="61">
        <v>28246</v>
      </c>
      <c r="B129" s="68">
        <f>VLOOKUP(Table5[[#This Row],[Date]],Database!A:E,5,)</f>
        <v>60.6</v>
      </c>
      <c r="C129" s="14">
        <f t="shared" si="2"/>
        <v>4.9751243781095238E-3</v>
      </c>
      <c r="D129" s="14">
        <f t="shared" si="3"/>
        <v>6.3157894736842135E-2</v>
      </c>
      <c r="E129" s="15">
        <f>VLOOKUP(Table5[[#This Row],[Date]],'Fed Fund New'!$A:$C,2,FALSE)</f>
        <v>0</v>
      </c>
      <c r="F129" s="27">
        <v>0.02</v>
      </c>
    </row>
    <row r="130" spans="1:6" x14ac:dyDescent="0.2">
      <c r="A130" s="61">
        <v>28277</v>
      </c>
      <c r="B130" s="68">
        <f>VLOOKUP(Table5[[#This Row],[Date]],Database!A:E,5,)</f>
        <v>61</v>
      </c>
      <c r="C130" s="14">
        <f t="shared" si="2"/>
        <v>6.6006600660065773E-3</v>
      </c>
      <c r="D130" s="14">
        <f t="shared" si="3"/>
        <v>6.6433566433566377E-2</v>
      </c>
      <c r="E130" s="15">
        <f>VLOOKUP(Table5[[#This Row],[Date]],'Fed Fund New'!$A:$C,2,FALSE)</f>
        <v>0</v>
      </c>
      <c r="F130" s="27">
        <v>0.02</v>
      </c>
    </row>
    <row r="131" spans="1:6" x14ac:dyDescent="0.2">
      <c r="A131" s="61">
        <v>28307</v>
      </c>
      <c r="B131" s="68">
        <f>VLOOKUP(Table5[[#This Row],[Date]],Database!A:E,5,)</f>
        <v>61.2</v>
      </c>
      <c r="C131" s="14">
        <f t="shared" si="2"/>
        <v>3.2786885245902103E-3</v>
      </c>
      <c r="D131" s="14">
        <f t="shared" si="3"/>
        <v>6.2500000000000028E-2</v>
      </c>
      <c r="E131" s="15">
        <f>VLOOKUP(Table5[[#This Row],[Date]],'Fed Fund New'!$A:$C,2,FALSE)</f>
        <v>0</v>
      </c>
      <c r="F131" s="27">
        <v>0.02</v>
      </c>
    </row>
    <row r="132" spans="1:6" x14ac:dyDescent="0.2">
      <c r="A132" s="61">
        <v>28338</v>
      </c>
      <c r="B132" s="68">
        <f>VLOOKUP(Table5[[#This Row],[Date]],Database!A:E,5,)</f>
        <v>61.5</v>
      </c>
      <c r="C132" s="14">
        <f t="shared" si="2"/>
        <v>4.9019607843136786E-3</v>
      </c>
      <c r="D132" s="14">
        <f t="shared" si="3"/>
        <v>6.2176165803108835E-2</v>
      </c>
      <c r="E132" s="15">
        <f>VLOOKUP(Table5[[#This Row],[Date]],'Fed Fund New'!$A:$C,2,FALSE)</f>
        <v>0</v>
      </c>
      <c r="F132" s="27">
        <v>0.02</v>
      </c>
    </row>
    <row r="133" spans="1:6" x14ac:dyDescent="0.2">
      <c r="A133" s="61">
        <v>28369</v>
      </c>
      <c r="B133" s="68">
        <f>VLOOKUP(Table5[[#This Row],[Date]],Database!A:E,5,)</f>
        <v>61.8</v>
      </c>
      <c r="C133" s="14">
        <f t="shared" si="2"/>
        <v>4.8780487804877589E-3</v>
      </c>
      <c r="D133" s="14">
        <f t="shared" si="3"/>
        <v>6.1855670103092682E-2</v>
      </c>
      <c r="E133" s="15">
        <f>VLOOKUP(Table5[[#This Row],[Date]],'Fed Fund New'!$A:$C,2,FALSE)</f>
        <v>0</v>
      </c>
      <c r="F133" s="27">
        <v>0.02</v>
      </c>
    </row>
    <row r="134" spans="1:6" x14ac:dyDescent="0.2">
      <c r="A134" s="61">
        <v>28399</v>
      </c>
      <c r="B134" s="68">
        <f>VLOOKUP(Table5[[#This Row],[Date]],Database!A:E,5,)</f>
        <v>62</v>
      </c>
      <c r="C134" s="14">
        <f t="shared" ref="C134:C197" si="4">(B134-B133)/B133</f>
        <v>3.2362459546926028E-3</v>
      </c>
      <c r="D134" s="14">
        <f t="shared" si="3"/>
        <v>5.9829059829059832E-2</v>
      </c>
      <c r="E134" s="15">
        <f>VLOOKUP(Table5[[#This Row],[Date]],'Fed Fund New'!$A:$C,2,FALSE)</f>
        <v>0</v>
      </c>
      <c r="F134" s="27">
        <v>0.02</v>
      </c>
    </row>
    <row r="135" spans="1:6" x14ac:dyDescent="0.2">
      <c r="A135" s="61">
        <v>28430</v>
      </c>
      <c r="B135" s="68">
        <f>VLOOKUP(Table5[[#This Row],[Date]],Database!A:E,5,)</f>
        <v>62.3</v>
      </c>
      <c r="C135" s="14">
        <f t="shared" si="4"/>
        <v>4.8387096774193091E-3</v>
      </c>
      <c r="D135" s="14">
        <f t="shared" si="3"/>
        <v>6.132879045996583E-2</v>
      </c>
      <c r="E135" s="15">
        <f>VLOOKUP(Table5[[#This Row],[Date]],'Fed Fund New'!$A:$C,2,FALSE)</f>
        <v>0</v>
      </c>
      <c r="F135" s="27">
        <v>0.02</v>
      </c>
    </row>
    <row r="136" spans="1:6" x14ac:dyDescent="0.2">
      <c r="A136" s="61">
        <v>28460</v>
      </c>
      <c r="B136" s="68">
        <f>VLOOKUP(Table5[[#This Row],[Date]],Database!A:E,5,)</f>
        <v>62.7</v>
      </c>
      <c r="C136" s="14">
        <f t="shared" si="4"/>
        <v>6.4205457463885349E-3</v>
      </c>
      <c r="D136" s="14">
        <f t="shared" si="3"/>
        <v>6.4516129032258132E-2</v>
      </c>
      <c r="E136" s="15">
        <f>VLOOKUP(Table5[[#This Row],[Date]],'Fed Fund New'!$A:$C,2,FALSE)</f>
        <v>0</v>
      </c>
      <c r="F136" s="27">
        <v>0.02</v>
      </c>
    </row>
    <row r="137" spans="1:6" x14ac:dyDescent="0.2">
      <c r="A137" s="61">
        <v>28491</v>
      </c>
      <c r="B137" s="68">
        <f>VLOOKUP(Table5[[#This Row],[Date]],Database!A:E,5,)</f>
        <v>63.1</v>
      </c>
      <c r="C137" s="14">
        <f t="shared" si="4"/>
        <v>6.3795853269537246E-3</v>
      </c>
      <c r="D137" s="14">
        <f t="shared" si="3"/>
        <v>6.4080944350758923E-2</v>
      </c>
      <c r="E137" s="15">
        <f>VLOOKUP(Table5[[#This Row],[Date]],'Fed Fund New'!$A:$C,2,FALSE)</f>
        <v>0</v>
      </c>
      <c r="F137" s="27">
        <v>0.02</v>
      </c>
    </row>
    <row r="138" spans="1:6" x14ac:dyDescent="0.2">
      <c r="A138" s="61">
        <v>28522</v>
      </c>
      <c r="B138" s="68">
        <f>VLOOKUP(Table5[[#This Row],[Date]],Database!A:E,5,)</f>
        <v>63.4</v>
      </c>
      <c r="C138" s="14">
        <f t="shared" si="4"/>
        <v>4.7543581616481326E-3</v>
      </c>
      <c r="D138" s="14">
        <f t="shared" si="3"/>
        <v>6.1976549413735267E-2</v>
      </c>
      <c r="E138" s="15">
        <f>VLOOKUP(Table5[[#This Row],[Date]],'Fed Fund New'!$A:$C,2,FALSE)</f>
        <v>0</v>
      </c>
      <c r="F138" s="27">
        <v>0.02</v>
      </c>
    </row>
    <row r="139" spans="1:6" x14ac:dyDescent="0.2">
      <c r="A139" s="61">
        <v>28550</v>
      </c>
      <c r="B139" s="68">
        <f>VLOOKUP(Table5[[#This Row],[Date]],Database!A:E,5,)</f>
        <v>63.8</v>
      </c>
      <c r="C139" s="14">
        <f t="shared" si="4"/>
        <v>6.3091482649842053E-3</v>
      </c>
      <c r="D139" s="14">
        <f t="shared" si="3"/>
        <v>6.3333333333333283E-2</v>
      </c>
      <c r="E139" s="15">
        <f>VLOOKUP(Table5[[#This Row],[Date]],'Fed Fund New'!$A:$C,2,FALSE)</f>
        <v>0</v>
      </c>
      <c r="F139" s="27">
        <v>0.02</v>
      </c>
    </row>
    <row r="140" spans="1:6" x14ac:dyDescent="0.2">
      <c r="A140" s="61">
        <v>28581</v>
      </c>
      <c r="B140" s="68">
        <f>VLOOKUP(Table5[[#This Row],[Date]],Database!A:E,5,)</f>
        <v>64.3</v>
      </c>
      <c r="C140" s="14">
        <f t="shared" si="4"/>
        <v>7.8369905956112863E-3</v>
      </c>
      <c r="D140" s="14">
        <f t="shared" si="3"/>
        <v>6.633499170812604E-2</v>
      </c>
      <c r="E140" s="15">
        <f>VLOOKUP(Table5[[#This Row],[Date]],'Fed Fund New'!$A:$C,2,FALSE)</f>
        <v>0</v>
      </c>
      <c r="F140" s="27">
        <v>0.02</v>
      </c>
    </row>
    <row r="141" spans="1:6" x14ac:dyDescent="0.2">
      <c r="A141" s="61">
        <v>28611</v>
      </c>
      <c r="B141" s="68">
        <f>VLOOKUP(Table5[[#This Row],[Date]],Database!A:E,5,)</f>
        <v>64.7</v>
      </c>
      <c r="C141" s="14">
        <f t="shared" si="4"/>
        <v>6.2208398133748941E-3</v>
      </c>
      <c r="D141" s="14">
        <f t="shared" si="3"/>
        <v>6.7656765676567684E-2</v>
      </c>
      <c r="E141" s="15">
        <f>VLOOKUP(Table5[[#This Row],[Date]],'Fed Fund New'!$A:$C,2,FALSE)</f>
        <v>0</v>
      </c>
      <c r="F141" s="27">
        <v>0.02</v>
      </c>
    </row>
    <row r="142" spans="1:6" x14ac:dyDescent="0.2">
      <c r="A142" s="61">
        <v>28642</v>
      </c>
      <c r="B142" s="68">
        <f>VLOOKUP(Table5[[#This Row],[Date]],Database!A:E,5,)</f>
        <v>65.2</v>
      </c>
      <c r="C142" s="14">
        <f t="shared" si="4"/>
        <v>7.7279752704791345E-3</v>
      </c>
      <c r="D142" s="14">
        <f t="shared" si="3"/>
        <v>6.8852459016393489E-2</v>
      </c>
      <c r="E142" s="15">
        <f>VLOOKUP(Table5[[#This Row],[Date]],'Fed Fund New'!$A:$C,2,FALSE)</f>
        <v>0</v>
      </c>
      <c r="F142" s="27">
        <v>0.02</v>
      </c>
    </row>
    <row r="143" spans="1:6" x14ac:dyDescent="0.2">
      <c r="A143" s="61">
        <v>28672</v>
      </c>
      <c r="B143" s="68">
        <f>VLOOKUP(Table5[[#This Row],[Date]],Database!A:E,5,)</f>
        <v>65.599999999999994</v>
      </c>
      <c r="C143" s="14">
        <f t="shared" si="4"/>
        <v>6.1349693251532434E-3</v>
      </c>
      <c r="D143" s="14">
        <f t="shared" si="3"/>
        <v>7.1895424836601163E-2</v>
      </c>
      <c r="E143" s="15">
        <f>VLOOKUP(Table5[[#This Row],[Date]],'Fed Fund New'!$A:$C,2,FALSE)</f>
        <v>0</v>
      </c>
      <c r="F143" s="27">
        <v>0.02</v>
      </c>
    </row>
    <row r="144" spans="1:6" x14ac:dyDescent="0.2">
      <c r="A144" s="61">
        <v>28703</v>
      </c>
      <c r="B144" s="68">
        <f>VLOOKUP(Table5[[#This Row],[Date]],Database!A:E,5,)</f>
        <v>66.099999999999994</v>
      </c>
      <c r="C144" s="14">
        <f t="shared" si="4"/>
        <v>7.6219512195121958E-3</v>
      </c>
      <c r="D144" s="14">
        <f t="shared" si="3"/>
        <v>7.4796747967479579E-2</v>
      </c>
      <c r="E144" s="15">
        <f>VLOOKUP(Table5[[#This Row],[Date]],'Fed Fund New'!$A:$C,2,FALSE)</f>
        <v>0</v>
      </c>
      <c r="F144" s="27">
        <v>0.02</v>
      </c>
    </row>
    <row r="145" spans="1:6" x14ac:dyDescent="0.2">
      <c r="A145" s="61">
        <v>28734</v>
      </c>
      <c r="B145" s="68">
        <f>VLOOKUP(Table5[[#This Row],[Date]],Database!A:E,5,)</f>
        <v>66.7</v>
      </c>
      <c r="C145" s="14">
        <f t="shared" si="4"/>
        <v>9.077155824508451E-3</v>
      </c>
      <c r="D145" s="14">
        <f t="shared" ref="D145:D208" si="5">(B145-B133)/B133</f>
        <v>7.9288025889967736E-2</v>
      </c>
      <c r="E145" s="15">
        <f>VLOOKUP(Table5[[#This Row],[Date]],'Fed Fund New'!$A:$C,2,FALSE)</f>
        <v>0</v>
      </c>
      <c r="F145" s="27">
        <v>0.02</v>
      </c>
    </row>
    <row r="146" spans="1:6" x14ac:dyDescent="0.2">
      <c r="A146" s="61">
        <v>28764</v>
      </c>
      <c r="B146" s="68">
        <f>VLOOKUP(Table5[[#This Row],[Date]],Database!A:E,5,)</f>
        <v>67.2</v>
      </c>
      <c r="C146" s="14">
        <f t="shared" si="4"/>
        <v>7.4962518740629685E-3</v>
      </c>
      <c r="D146" s="14">
        <f t="shared" si="5"/>
        <v>8.3870967741935532E-2</v>
      </c>
      <c r="E146" s="15">
        <f>VLOOKUP(Table5[[#This Row],[Date]],'Fed Fund New'!$A:$C,2,FALSE)</f>
        <v>0</v>
      </c>
      <c r="F146" s="27">
        <v>0.02</v>
      </c>
    </row>
    <row r="147" spans="1:6" x14ac:dyDescent="0.2">
      <c r="A147" s="61">
        <v>28795</v>
      </c>
      <c r="B147" s="68">
        <f>VLOOKUP(Table5[[#This Row],[Date]],Database!A:E,5,)</f>
        <v>67.599999999999994</v>
      </c>
      <c r="C147" s="14">
        <f t="shared" si="4"/>
        <v>5.9523809523808254E-3</v>
      </c>
      <c r="D147" s="14">
        <f t="shared" si="5"/>
        <v>8.5072231139646834E-2</v>
      </c>
      <c r="E147" s="15">
        <f>VLOOKUP(Table5[[#This Row],[Date]],'Fed Fund New'!$A:$C,2,FALSE)</f>
        <v>0</v>
      </c>
      <c r="F147" s="27">
        <v>0.02</v>
      </c>
    </row>
    <row r="148" spans="1:6" x14ac:dyDescent="0.2">
      <c r="A148" s="61">
        <v>28825</v>
      </c>
      <c r="B148" s="68">
        <f>VLOOKUP(Table5[[#This Row],[Date]],Database!A:E,5,)</f>
        <v>68</v>
      </c>
      <c r="C148" s="14">
        <f t="shared" si="4"/>
        <v>5.9171597633136943E-3</v>
      </c>
      <c r="D148" s="14">
        <f t="shared" si="5"/>
        <v>8.4529505582137107E-2</v>
      </c>
      <c r="E148" s="15">
        <f>VLOOKUP(Table5[[#This Row],[Date]],'Fed Fund New'!$A:$C,2,FALSE)</f>
        <v>0</v>
      </c>
      <c r="F148" s="27">
        <v>0.02</v>
      </c>
    </row>
    <row r="149" spans="1:6" x14ac:dyDescent="0.2">
      <c r="A149" s="61">
        <v>28856</v>
      </c>
      <c r="B149" s="68">
        <f>VLOOKUP(Table5[[#This Row],[Date]],Database!A:E,5,)</f>
        <v>68.5</v>
      </c>
      <c r="C149" s="14">
        <f t="shared" si="4"/>
        <v>7.3529411764705881E-3</v>
      </c>
      <c r="D149" s="14">
        <f t="shared" si="5"/>
        <v>8.5578446909667177E-2</v>
      </c>
      <c r="E149" s="15">
        <f>VLOOKUP(Table5[[#This Row],[Date]],'Fed Fund New'!$A:$C,2,FALSE)</f>
        <v>0</v>
      </c>
      <c r="F149" s="27">
        <v>0.02</v>
      </c>
    </row>
    <row r="150" spans="1:6" x14ac:dyDescent="0.2">
      <c r="A150" s="61">
        <v>28887</v>
      </c>
      <c r="B150" s="68">
        <f>VLOOKUP(Table5[[#This Row],[Date]],Database!A:E,5,)</f>
        <v>69.2</v>
      </c>
      <c r="C150" s="14">
        <f t="shared" si="4"/>
        <v>1.0218978102189823E-2</v>
      </c>
      <c r="D150" s="14">
        <f t="shared" si="5"/>
        <v>9.1482649842271363E-2</v>
      </c>
      <c r="E150" s="15">
        <f>VLOOKUP(Table5[[#This Row],[Date]],'Fed Fund New'!$A:$C,2,FALSE)</f>
        <v>0</v>
      </c>
      <c r="F150" s="27">
        <v>0.02</v>
      </c>
    </row>
    <row r="151" spans="1:6" x14ac:dyDescent="0.2">
      <c r="A151" s="61">
        <v>28915</v>
      </c>
      <c r="B151" s="68">
        <f>VLOOKUP(Table5[[#This Row],[Date]],Database!A:E,5,)</f>
        <v>69.8</v>
      </c>
      <c r="C151" s="14">
        <f t="shared" si="4"/>
        <v>8.6705202312137904E-3</v>
      </c>
      <c r="D151" s="14">
        <f t="shared" si="5"/>
        <v>9.4043887147335428E-2</v>
      </c>
      <c r="E151" s="15">
        <f>VLOOKUP(Table5[[#This Row],[Date]],'Fed Fund New'!$A:$C,2,FALSE)</f>
        <v>0</v>
      </c>
      <c r="F151" s="27">
        <v>0.02</v>
      </c>
    </row>
    <row r="152" spans="1:6" x14ac:dyDescent="0.2">
      <c r="A152" s="61">
        <v>28946</v>
      </c>
      <c r="B152" s="68">
        <f>VLOOKUP(Table5[[#This Row],[Date]],Database!A:E,5,)</f>
        <v>70.3</v>
      </c>
      <c r="C152" s="14">
        <f t="shared" si="4"/>
        <v>7.1633237822349575E-3</v>
      </c>
      <c r="D152" s="14">
        <f t="shared" si="5"/>
        <v>9.3312597200622086E-2</v>
      </c>
      <c r="E152" s="15">
        <f>VLOOKUP(Table5[[#This Row],[Date]],'Fed Fund New'!$A:$C,2,FALSE)</f>
        <v>0</v>
      </c>
      <c r="F152" s="27">
        <v>0.02</v>
      </c>
    </row>
    <row r="153" spans="1:6" x14ac:dyDescent="0.2">
      <c r="A153" s="61">
        <v>28976</v>
      </c>
      <c r="B153" s="68">
        <f>VLOOKUP(Table5[[#This Row],[Date]],Database!A:E,5,)</f>
        <v>70.8</v>
      </c>
      <c r="C153" s="14">
        <f t="shared" si="4"/>
        <v>7.1123755334281651E-3</v>
      </c>
      <c r="D153" s="14">
        <f t="shared" si="5"/>
        <v>9.4281298299845342E-2</v>
      </c>
      <c r="E153" s="15">
        <f>VLOOKUP(Table5[[#This Row],[Date]],'Fed Fund New'!$A:$C,2,FALSE)</f>
        <v>0</v>
      </c>
      <c r="F153" s="27">
        <v>0.02</v>
      </c>
    </row>
    <row r="154" spans="1:6" x14ac:dyDescent="0.2">
      <c r="A154" s="61">
        <v>29007</v>
      </c>
      <c r="B154" s="68">
        <f>VLOOKUP(Table5[[#This Row],[Date]],Database!A:E,5,)</f>
        <v>71.3</v>
      </c>
      <c r="C154" s="14">
        <f t="shared" si="4"/>
        <v>7.0621468926553672E-3</v>
      </c>
      <c r="D154" s="14">
        <f t="shared" si="5"/>
        <v>9.3558282208588861E-2</v>
      </c>
      <c r="E154" s="15">
        <f>VLOOKUP(Table5[[#This Row],[Date]],'Fed Fund New'!$A:$C,2,FALSE)</f>
        <v>0</v>
      </c>
      <c r="F154" s="27">
        <v>0.02</v>
      </c>
    </row>
    <row r="155" spans="1:6" x14ac:dyDescent="0.2">
      <c r="A155" s="61">
        <v>29037</v>
      </c>
      <c r="B155" s="68">
        <f>VLOOKUP(Table5[[#This Row],[Date]],Database!A:E,5,)</f>
        <v>71.900000000000006</v>
      </c>
      <c r="C155" s="14">
        <f t="shared" si="4"/>
        <v>8.4151472650772583E-3</v>
      </c>
      <c r="D155" s="14">
        <f t="shared" si="5"/>
        <v>9.6036585365853841E-2</v>
      </c>
      <c r="E155" s="15">
        <f>VLOOKUP(Table5[[#This Row],[Date]],'Fed Fund New'!$A:$C,2,FALSE)</f>
        <v>0</v>
      </c>
      <c r="F155" s="27">
        <v>0.02</v>
      </c>
    </row>
    <row r="156" spans="1:6" x14ac:dyDescent="0.2">
      <c r="A156" s="61">
        <v>29068</v>
      </c>
      <c r="B156" s="68">
        <f>VLOOKUP(Table5[[#This Row],[Date]],Database!A:E,5,)</f>
        <v>72.7</v>
      </c>
      <c r="C156" s="14">
        <f t="shared" si="4"/>
        <v>1.1126564673157122E-2</v>
      </c>
      <c r="D156" s="14">
        <f t="shared" si="5"/>
        <v>9.9848714069591671E-2</v>
      </c>
      <c r="E156" s="15">
        <f>VLOOKUP(Table5[[#This Row],[Date]],'Fed Fund New'!$A:$C,2,FALSE)</f>
        <v>0</v>
      </c>
      <c r="F156" s="27">
        <v>0.02</v>
      </c>
    </row>
    <row r="157" spans="1:6" x14ac:dyDescent="0.2">
      <c r="A157" s="61">
        <v>29099</v>
      </c>
      <c r="B157" s="68">
        <f>VLOOKUP(Table5[[#This Row],[Date]],Database!A:E,5,)</f>
        <v>73.3</v>
      </c>
      <c r="C157" s="14">
        <f t="shared" si="4"/>
        <v>8.253094910591393E-3</v>
      </c>
      <c r="D157" s="14">
        <f t="shared" si="5"/>
        <v>9.8950524737631093E-2</v>
      </c>
      <c r="E157" s="15">
        <f>VLOOKUP(Table5[[#This Row],[Date]],'Fed Fund New'!$A:$C,2,FALSE)</f>
        <v>0</v>
      </c>
      <c r="F157" s="27">
        <v>0.02</v>
      </c>
    </row>
    <row r="158" spans="1:6" x14ac:dyDescent="0.2">
      <c r="A158" s="61">
        <v>29129</v>
      </c>
      <c r="B158" s="68">
        <f>VLOOKUP(Table5[[#This Row],[Date]],Database!A:E,5,)</f>
        <v>74</v>
      </c>
      <c r="C158" s="14">
        <f t="shared" si="4"/>
        <v>9.549795361528007E-3</v>
      </c>
      <c r="D158" s="14">
        <f t="shared" si="5"/>
        <v>0.10119047619047615</v>
      </c>
      <c r="E158" s="15">
        <f>VLOOKUP(Table5[[#This Row],[Date]],'Fed Fund New'!$A:$C,2,FALSE)</f>
        <v>0</v>
      </c>
      <c r="F158" s="27">
        <v>0.02</v>
      </c>
    </row>
    <row r="159" spans="1:6" x14ac:dyDescent="0.2">
      <c r="A159" s="61">
        <v>29160</v>
      </c>
      <c r="B159" s="68">
        <f>VLOOKUP(Table5[[#This Row],[Date]],Database!A:E,5,)</f>
        <v>74.8</v>
      </c>
      <c r="C159" s="14">
        <f t="shared" si="4"/>
        <v>1.0810810810810773E-2</v>
      </c>
      <c r="D159" s="14">
        <f t="shared" si="5"/>
        <v>0.10650887573964501</v>
      </c>
      <c r="E159" s="15">
        <f>VLOOKUP(Table5[[#This Row],[Date]],'Fed Fund New'!$A:$C,2,FALSE)</f>
        <v>0</v>
      </c>
      <c r="F159" s="27">
        <v>0.02</v>
      </c>
    </row>
    <row r="160" spans="1:6" x14ac:dyDescent="0.2">
      <c r="A160" s="61">
        <v>29190</v>
      </c>
      <c r="B160" s="68">
        <f>VLOOKUP(Table5[[#This Row],[Date]],Database!A:E,5,)</f>
        <v>75.7</v>
      </c>
      <c r="C160" s="14">
        <f t="shared" si="4"/>
        <v>1.2032085561497402E-2</v>
      </c>
      <c r="D160" s="14">
        <f t="shared" si="5"/>
        <v>0.1132352941176471</v>
      </c>
      <c r="E160" s="15">
        <f>VLOOKUP(Table5[[#This Row],[Date]],'Fed Fund New'!$A:$C,2,FALSE)</f>
        <v>0</v>
      </c>
      <c r="F160" s="27">
        <v>0.02</v>
      </c>
    </row>
    <row r="161" spans="1:6" x14ac:dyDescent="0.2">
      <c r="A161" s="61">
        <v>29221</v>
      </c>
      <c r="B161" s="68">
        <f>VLOOKUP(Table5[[#This Row],[Date]],Database!A:E,5,)</f>
        <v>76.7</v>
      </c>
      <c r="C161" s="14">
        <f t="shared" si="4"/>
        <v>1.3210039630118889E-2</v>
      </c>
      <c r="D161" s="14">
        <f t="shared" si="5"/>
        <v>0.11970802919708033</v>
      </c>
      <c r="E161" s="15">
        <f>VLOOKUP(Table5[[#This Row],[Date]],'Fed Fund New'!$A:$C,2,FALSE)</f>
        <v>0</v>
      </c>
      <c r="F161" s="27">
        <v>0.02</v>
      </c>
    </row>
    <row r="162" spans="1:6" x14ac:dyDescent="0.2">
      <c r="A162" s="61">
        <v>29252</v>
      </c>
      <c r="B162" s="68">
        <f>VLOOKUP(Table5[[#This Row],[Date]],Database!A:E,5,)</f>
        <v>77.5</v>
      </c>
      <c r="C162" s="14">
        <f t="shared" si="4"/>
        <v>1.0430247718383275E-2</v>
      </c>
      <c r="D162" s="14">
        <f t="shared" si="5"/>
        <v>0.11994219653179186</v>
      </c>
      <c r="E162" s="15">
        <f>VLOOKUP(Table5[[#This Row],[Date]],'Fed Fund New'!$A:$C,2,FALSE)</f>
        <v>0</v>
      </c>
      <c r="F162" s="27">
        <v>0.02</v>
      </c>
    </row>
    <row r="163" spans="1:6" x14ac:dyDescent="0.2">
      <c r="A163" s="61">
        <v>29281</v>
      </c>
      <c r="B163" s="68">
        <f>VLOOKUP(Table5[[#This Row],[Date]],Database!A:E,5,)</f>
        <v>78.599999999999994</v>
      </c>
      <c r="C163" s="14">
        <f t="shared" si="4"/>
        <v>1.41935483870967E-2</v>
      </c>
      <c r="D163" s="14">
        <f t="shared" si="5"/>
        <v>0.12607449856733521</v>
      </c>
      <c r="E163" s="15">
        <f>VLOOKUP(Table5[[#This Row],[Date]],'Fed Fund New'!$A:$C,2,FALSE)</f>
        <v>0</v>
      </c>
      <c r="F163" s="27">
        <v>0.02</v>
      </c>
    </row>
    <row r="164" spans="1:6" x14ac:dyDescent="0.2">
      <c r="A164" s="61">
        <v>29312</v>
      </c>
      <c r="B164" s="68">
        <f>VLOOKUP(Table5[[#This Row],[Date]],Database!A:E,5,)</f>
        <v>79.5</v>
      </c>
      <c r="C164" s="14">
        <f t="shared" si="4"/>
        <v>1.1450381679389386E-2</v>
      </c>
      <c r="D164" s="14">
        <f t="shared" si="5"/>
        <v>0.13086770981507828</v>
      </c>
      <c r="E164" s="15">
        <f>VLOOKUP(Table5[[#This Row],[Date]],'Fed Fund New'!$A:$C,2,FALSE)</f>
        <v>0</v>
      </c>
      <c r="F164" s="27">
        <v>0.02</v>
      </c>
    </row>
    <row r="165" spans="1:6" x14ac:dyDescent="0.2">
      <c r="A165" s="61">
        <v>29342</v>
      </c>
      <c r="B165" s="68">
        <f>VLOOKUP(Table5[[#This Row],[Date]],Database!A:E,5,)</f>
        <v>80.099999999999994</v>
      </c>
      <c r="C165" s="14">
        <f t="shared" si="4"/>
        <v>7.5471698113206828E-3</v>
      </c>
      <c r="D165" s="14">
        <f t="shared" si="5"/>
        <v>0.13135593220338979</v>
      </c>
      <c r="E165" s="15">
        <f>VLOOKUP(Table5[[#This Row],[Date]],'Fed Fund New'!$A:$C,2,FALSE)</f>
        <v>0</v>
      </c>
      <c r="F165" s="27">
        <v>0.02</v>
      </c>
    </row>
    <row r="166" spans="1:6" x14ac:dyDescent="0.2">
      <c r="A166" s="61">
        <v>29373</v>
      </c>
      <c r="B166" s="68">
        <f>VLOOKUP(Table5[[#This Row],[Date]],Database!A:E,5,)</f>
        <v>81</v>
      </c>
      <c r="C166" s="14">
        <f t="shared" si="4"/>
        <v>1.1235955056179848E-2</v>
      </c>
      <c r="D166" s="14">
        <f t="shared" si="5"/>
        <v>0.1360448807854138</v>
      </c>
      <c r="E166" s="15">
        <f>VLOOKUP(Table5[[#This Row],[Date]],'Fed Fund New'!$A:$C,2,FALSE)</f>
        <v>0</v>
      </c>
      <c r="F166" s="27">
        <v>0.02</v>
      </c>
    </row>
    <row r="167" spans="1:6" x14ac:dyDescent="0.2">
      <c r="A167" s="61">
        <v>29403</v>
      </c>
      <c r="B167" s="68">
        <f>VLOOKUP(Table5[[#This Row],[Date]],Database!A:E,5,)</f>
        <v>80.8</v>
      </c>
      <c r="C167" s="14">
        <f t="shared" si="4"/>
        <v>-2.4691358024691709E-3</v>
      </c>
      <c r="D167" s="14">
        <f t="shared" si="5"/>
        <v>0.1237830319888733</v>
      </c>
      <c r="E167" s="15">
        <f>VLOOKUP(Table5[[#This Row],[Date]],'Fed Fund New'!$A:$C,2,FALSE)</f>
        <v>0</v>
      </c>
      <c r="F167" s="27">
        <v>0.02</v>
      </c>
    </row>
    <row r="168" spans="1:6" x14ac:dyDescent="0.2">
      <c r="A168" s="61">
        <v>29434</v>
      </c>
      <c r="B168" s="68">
        <f>VLOOKUP(Table5[[#This Row],[Date]],Database!A:E,5,)</f>
        <v>81.3</v>
      </c>
      <c r="C168" s="14">
        <f t="shared" si="4"/>
        <v>6.1881188118811884E-3</v>
      </c>
      <c r="D168" s="14">
        <f t="shared" si="5"/>
        <v>0.11829436038514435</v>
      </c>
      <c r="E168" s="15">
        <f>VLOOKUP(Table5[[#This Row],[Date]],'Fed Fund New'!$A:$C,2,FALSE)</f>
        <v>0</v>
      </c>
      <c r="F168" s="27">
        <v>0.02</v>
      </c>
    </row>
    <row r="169" spans="1:6" x14ac:dyDescent="0.2">
      <c r="A169" s="61">
        <v>29465</v>
      </c>
      <c r="B169" s="68">
        <f>VLOOKUP(Table5[[#This Row],[Date]],Database!A:E,5,)</f>
        <v>82.1</v>
      </c>
      <c r="C169" s="14">
        <f t="shared" si="4"/>
        <v>9.8400984009839754E-3</v>
      </c>
      <c r="D169" s="14">
        <f t="shared" si="5"/>
        <v>0.1200545702592087</v>
      </c>
      <c r="E169" s="15">
        <f>VLOOKUP(Table5[[#This Row],[Date]],'Fed Fund New'!$A:$C,2,FALSE)</f>
        <v>0</v>
      </c>
      <c r="F169" s="27">
        <v>0.02</v>
      </c>
    </row>
    <row r="170" spans="1:6" x14ac:dyDescent="0.2">
      <c r="A170" s="61">
        <v>29495</v>
      </c>
      <c r="B170" s="68">
        <f>VLOOKUP(Table5[[#This Row],[Date]],Database!A:E,5,)</f>
        <v>83</v>
      </c>
      <c r="C170" s="14">
        <f t="shared" si="4"/>
        <v>1.0962241169305794E-2</v>
      </c>
      <c r="D170" s="14">
        <f t="shared" si="5"/>
        <v>0.12162162162162163</v>
      </c>
      <c r="E170" s="15">
        <f>VLOOKUP(Table5[[#This Row],[Date]],'Fed Fund New'!$A:$C,2,FALSE)</f>
        <v>0</v>
      </c>
      <c r="F170" s="27">
        <v>0.02</v>
      </c>
    </row>
    <row r="171" spans="1:6" x14ac:dyDescent="0.2">
      <c r="A171" s="61">
        <v>29526</v>
      </c>
      <c r="B171" s="68">
        <f>VLOOKUP(Table5[[#This Row],[Date]],Database!A:E,5,)</f>
        <v>83.9</v>
      </c>
      <c r="C171" s="14">
        <f t="shared" si="4"/>
        <v>1.0843373493975973E-2</v>
      </c>
      <c r="D171" s="14">
        <f t="shared" si="5"/>
        <v>0.12165775401069531</v>
      </c>
      <c r="E171" s="15">
        <f>VLOOKUP(Table5[[#This Row],[Date]],'Fed Fund New'!$A:$C,2,FALSE)</f>
        <v>0</v>
      </c>
      <c r="F171" s="27">
        <v>0.02</v>
      </c>
    </row>
    <row r="172" spans="1:6" x14ac:dyDescent="0.2">
      <c r="A172" s="61">
        <v>29556</v>
      </c>
      <c r="B172" s="68">
        <f>VLOOKUP(Table5[[#This Row],[Date]],Database!A:E,5,)</f>
        <v>84.9</v>
      </c>
      <c r="C172" s="14">
        <f t="shared" si="4"/>
        <v>1.1918951132300357E-2</v>
      </c>
      <c r="D172" s="14">
        <f t="shared" si="5"/>
        <v>0.12153236459709382</v>
      </c>
      <c r="E172" s="15">
        <f>VLOOKUP(Table5[[#This Row],[Date]],'Fed Fund New'!$A:$C,2,FALSE)</f>
        <v>0</v>
      </c>
      <c r="F172" s="27">
        <v>0.02</v>
      </c>
    </row>
    <row r="173" spans="1:6" x14ac:dyDescent="0.2">
      <c r="A173" s="61">
        <v>29587</v>
      </c>
      <c r="B173" s="68">
        <f>VLOOKUP(Table5[[#This Row],[Date]],Database!A:E,5,)</f>
        <v>85.4</v>
      </c>
      <c r="C173" s="14">
        <f t="shared" si="4"/>
        <v>5.8892815076560653E-3</v>
      </c>
      <c r="D173" s="14">
        <f t="shared" si="5"/>
        <v>0.11342894393741855</v>
      </c>
      <c r="E173" s="15">
        <f>VLOOKUP(Table5[[#This Row],[Date]],'Fed Fund New'!$A:$C,2,FALSE)</f>
        <v>0</v>
      </c>
      <c r="F173" s="27">
        <v>0.02</v>
      </c>
    </row>
    <row r="174" spans="1:6" x14ac:dyDescent="0.2">
      <c r="A174" s="61">
        <v>29618</v>
      </c>
      <c r="B174" s="68">
        <f>VLOOKUP(Table5[[#This Row],[Date]],Database!A:E,5,)</f>
        <v>85.9</v>
      </c>
      <c r="C174" s="14">
        <f t="shared" si="4"/>
        <v>5.8548009367681494E-3</v>
      </c>
      <c r="D174" s="14">
        <f t="shared" si="5"/>
        <v>0.10838709677419363</v>
      </c>
      <c r="E174" s="15">
        <f>VLOOKUP(Table5[[#This Row],[Date]],'Fed Fund New'!$A:$C,2,FALSE)</f>
        <v>0</v>
      </c>
      <c r="F174" s="27">
        <v>0.02</v>
      </c>
    </row>
    <row r="175" spans="1:6" x14ac:dyDescent="0.2">
      <c r="A175" s="61">
        <v>29646</v>
      </c>
      <c r="B175" s="68">
        <f>VLOOKUP(Table5[[#This Row],[Date]],Database!A:E,5,)</f>
        <v>86.4</v>
      </c>
      <c r="C175" s="14">
        <f t="shared" si="4"/>
        <v>5.8207217694994174E-3</v>
      </c>
      <c r="D175" s="14">
        <f t="shared" si="5"/>
        <v>9.9236641221374197E-2</v>
      </c>
      <c r="E175" s="15">
        <f>VLOOKUP(Table5[[#This Row],[Date]],'Fed Fund New'!$A:$C,2,FALSE)</f>
        <v>0</v>
      </c>
      <c r="F175" s="27">
        <v>0.02</v>
      </c>
    </row>
    <row r="176" spans="1:6" x14ac:dyDescent="0.2">
      <c r="A176" s="61">
        <v>29677</v>
      </c>
      <c r="B176" s="68">
        <f>VLOOKUP(Table5[[#This Row],[Date]],Database!A:E,5,)</f>
        <v>87</v>
      </c>
      <c r="C176" s="14">
        <f t="shared" si="4"/>
        <v>6.9444444444443781E-3</v>
      </c>
      <c r="D176" s="14">
        <f t="shared" si="5"/>
        <v>9.4339622641509441E-2</v>
      </c>
      <c r="E176" s="15">
        <f>VLOOKUP(Table5[[#This Row],[Date]],'Fed Fund New'!$A:$C,2,FALSE)</f>
        <v>0</v>
      </c>
      <c r="F176" s="27">
        <v>0.02</v>
      </c>
    </row>
    <row r="177" spans="1:6" x14ac:dyDescent="0.2">
      <c r="A177" s="61">
        <v>29707</v>
      </c>
      <c r="B177" s="68">
        <f>VLOOKUP(Table5[[#This Row],[Date]],Database!A:E,5,)</f>
        <v>87.8</v>
      </c>
      <c r="C177" s="14">
        <f t="shared" si="4"/>
        <v>9.1954022988505416E-3</v>
      </c>
      <c r="D177" s="14">
        <f t="shared" si="5"/>
        <v>9.6129837702871451E-2</v>
      </c>
      <c r="E177" s="15">
        <f>VLOOKUP(Table5[[#This Row],[Date]],'Fed Fund New'!$A:$C,2,FALSE)</f>
        <v>0</v>
      </c>
      <c r="F177" s="27">
        <v>0.02</v>
      </c>
    </row>
    <row r="178" spans="1:6" x14ac:dyDescent="0.2">
      <c r="A178" s="61">
        <v>29738</v>
      </c>
      <c r="B178" s="68">
        <f>VLOOKUP(Table5[[#This Row],[Date]],Database!A:E,5,)</f>
        <v>88.6</v>
      </c>
      <c r="C178" s="14">
        <f t="shared" si="4"/>
        <v>9.1116173120728613E-3</v>
      </c>
      <c r="D178" s="14">
        <f t="shared" si="5"/>
        <v>9.3827160493827097E-2</v>
      </c>
      <c r="E178" s="15">
        <f>VLOOKUP(Table5[[#This Row],[Date]],'Fed Fund New'!$A:$C,2,FALSE)</f>
        <v>0</v>
      </c>
      <c r="F178" s="27">
        <v>0.02</v>
      </c>
    </row>
    <row r="179" spans="1:6" x14ac:dyDescent="0.2">
      <c r="A179" s="61">
        <v>29768</v>
      </c>
      <c r="B179" s="68">
        <f>VLOOKUP(Table5[[#This Row],[Date]],Database!A:E,5,)</f>
        <v>89.8</v>
      </c>
      <c r="C179" s="14">
        <f t="shared" si="4"/>
        <v>1.3544018058690778E-2</v>
      </c>
      <c r="D179" s="14">
        <f t="shared" si="5"/>
        <v>0.11138613861386139</v>
      </c>
      <c r="E179" s="15">
        <f>VLOOKUP(Table5[[#This Row],[Date]],'Fed Fund New'!$A:$C,2,FALSE)</f>
        <v>0</v>
      </c>
      <c r="F179" s="27">
        <v>0.02</v>
      </c>
    </row>
    <row r="180" spans="1:6" x14ac:dyDescent="0.2">
      <c r="A180" s="61">
        <v>29799</v>
      </c>
      <c r="B180" s="68">
        <f>VLOOKUP(Table5[[#This Row],[Date]],Database!A:E,5,)</f>
        <v>90.7</v>
      </c>
      <c r="C180" s="14">
        <f t="shared" si="4"/>
        <v>1.0022271714922112E-2</v>
      </c>
      <c r="D180" s="14">
        <f t="shared" si="5"/>
        <v>0.11562115621156219</v>
      </c>
      <c r="E180" s="15">
        <f>VLOOKUP(Table5[[#This Row],[Date]],'Fed Fund New'!$A:$C,2,FALSE)</f>
        <v>0</v>
      </c>
      <c r="F180" s="27">
        <v>0.02</v>
      </c>
    </row>
    <row r="181" spans="1:6" x14ac:dyDescent="0.2">
      <c r="A181" s="61">
        <v>29830</v>
      </c>
      <c r="B181" s="68">
        <f>VLOOKUP(Table5[[#This Row],[Date]],Database!A:E,5,)</f>
        <v>91.8</v>
      </c>
      <c r="C181" s="14">
        <f t="shared" si="4"/>
        <v>1.2127894156560026E-2</v>
      </c>
      <c r="D181" s="14">
        <f t="shared" si="5"/>
        <v>0.11814859926918396</v>
      </c>
      <c r="E181" s="15">
        <f>VLOOKUP(Table5[[#This Row],[Date]],'Fed Fund New'!$A:$C,2,FALSE)</f>
        <v>0</v>
      </c>
      <c r="F181" s="27">
        <v>0.02</v>
      </c>
    </row>
    <row r="182" spans="1:6" x14ac:dyDescent="0.2">
      <c r="A182" s="61">
        <v>29860</v>
      </c>
      <c r="B182" s="68">
        <f>VLOOKUP(Table5[[#This Row],[Date]],Database!A:E,5,)</f>
        <v>92.1</v>
      </c>
      <c r="C182" s="14">
        <f t="shared" si="4"/>
        <v>3.2679738562091196E-3</v>
      </c>
      <c r="D182" s="14">
        <f t="shared" si="5"/>
        <v>0.1096385542168674</v>
      </c>
      <c r="E182" s="15">
        <f>VLOOKUP(Table5[[#This Row],[Date]],'Fed Fund New'!$A:$C,2,FALSE)</f>
        <v>0</v>
      </c>
      <c r="F182" s="27">
        <v>0.02</v>
      </c>
    </row>
    <row r="183" spans="1:6" x14ac:dyDescent="0.2">
      <c r="A183" s="61">
        <v>29891</v>
      </c>
      <c r="B183" s="68">
        <f>VLOOKUP(Table5[[#This Row],[Date]],Database!A:E,5,)</f>
        <v>92.5</v>
      </c>
      <c r="C183" s="14">
        <f t="shared" si="4"/>
        <v>4.3431053203040791E-3</v>
      </c>
      <c r="D183" s="14">
        <f t="shared" si="5"/>
        <v>0.102502979737783</v>
      </c>
      <c r="E183" s="15">
        <f>VLOOKUP(Table5[[#This Row],[Date]],'Fed Fund New'!$A:$C,2,FALSE)</f>
        <v>0</v>
      </c>
      <c r="F183" s="27">
        <v>0.02</v>
      </c>
    </row>
    <row r="184" spans="1:6" x14ac:dyDescent="0.2">
      <c r="A184" s="61">
        <v>29921</v>
      </c>
      <c r="B184" s="68">
        <f>VLOOKUP(Table5[[#This Row],[Date]],Database!A:E,5,)</f>
        <v>93</v>
      </c>
      <c r="C184" s="14">
        <f t="shared" si="4"/>
        <v>5.4054054054054057E-3</v>
      </c>
      <c r="D184" s="14">
        <f t="shared" si="5"/>
        <v>9.5406360424028197E-2</v>
      </c>
      <c r="E184" s="15">
        <f>VLOOKUP(Table5[[#This Row],[Date]],'Fed Fund New'!$A:$C,2,FALSE)</f>
        <v>0</v>
      </c>
      <c r="F184" s="27">
        <v>0.02</v>
      </c>
    </row>
    <row r="185" spans="1:6" x14ac:dyDescent="0.2">
      <c r="A185" s="61">
        <v>29952</v>
      </c>
      <c r="B185" s="68">
        <f>VLOOKUP(Table5[[#This Row],[Date]],Database!A:E,5,)</f>
        <v>93.3</v>
      </c>
      <c r="C185" s="14">
        <f t="shared" si="4"/>
        <v>3.2258064516128729E-3</v>
      </c>
      <c r="D185" s="14">
        <f t="shared" si="5"/>
        <v>9.2505854800936663E-2</v>
      </c>
      <c r="E185" s="15">
        <f>VLOOKUP(Table5[[#This Row],[Date]],'Fed Fund New'!$A:$C,2,FALSE)</f>
        <v>0</v>
      </c>
      <c r="F185" s="27">
        <v>0.02</v>
      </c>
    </row>
    <row r="186" spans="1:6" x14ac:dyDescent="0.2">
      <c r="A186" s="61">
        <v>29983</v>
      </c>
      <c r="B186" s="68">
        <f>VLOOKUP(Table5[[#This Row],[Date]],Database!A:E,5,)</f>
        <v>93.8</v>
      </c>
      <c r="C186" s="14">
        <f t="shared" si="4"/>
        <v>5.3590568060021436E-3</v>
      </c>
      <c r="D186" s="14">
        <f t="shared" si="5"/>
        <v>9.1967403958090693E-2</v>
      </c>
      <c r="E186" s="15">
        <f>VLOOKUP(Table5[[#This Row],[Date]],'Fed Fund New'!$A:$C,2,FALSE)</f>
        <v>0</v>
      </c>
      <c r="F186" s="27">
        <v>0.02</v>
      </c>
    </row>
    <row r="187" spans="1:6" x14ac:dyDescent="0.2">
      <c r="A187" s="61">
        <v>30011</v>
      </c>
      <c r="B187" s="68">
        <f>VLOOKUP(Table5[[#This Row],[Date]],Database!A:E,5,)</f>
        <v>93.9</v>
      </c>
      <c r="C187" s="14">
        <f t="shared" si="4"/>
        <v>1.066098081023545E-3</v>
      </c>
      <c r="D187" s="14">
        <f t="shared" si="5"/>
        <v>8.6805555555555552E-2</v>
      </c>
      <c r="E187" s="15">
        <f>VLOOKUP(Table5[[#This Row],[Date]],'Fed Fund New'!$A:$C,2,FALSE)</f>
        <v>0</v>
      </c>
      <c r="F187" s="27">
        <v>0.02</v>
      </c>
    </row>
    <row r="188" spans="1:6" x14ac:dyDescent="0.2">
      <c r="A188" s="61">
        <v>30042</v>
      </c>
      <c r="B188" s="68">
        <f>VLOOKUP(Table5[[#This Row],[Date]],Database!A:E,5,)</f>
        <v>94.7</v>
      </c>
      <c r="C188" s="14">
        <f t="shared" si="4"/>
        <v>8.5197018104366043E-3</v>
      </c>
      <c r="D188" s="14">
        <f t="shared" si="5"/>
        <v>8.8505747126436815E-2</v>
      </c>
      <c r="E188" s="15">
        <f>VLOOKUP(Table5[[#This Row],[Date]],'Fed Fund New'!$A:$C,2,FALSE)</f>
        <v>0</v>
      </c>
      <c r="F188" s="27">
        <v>0.02</v>
      </c>
    </row>
    <row r="189" spans="1:6" x14ac:dyDescent="0.2">
      <c r="A189" s="61">
        <v>30072</v>
      </c>
      <c r="B189" s="68">
        <f>VLOOKUP(Table5[[#This Row],[Date]],Database!A:E,5,)</f>
        <v>95.4</v>
      </c>
      <c r="C189" s="14">
        <f t="shared" si="4"/>
        <v>7.3917634635691952E-3</v>
      </c>
      <c r="D189" s="14">
        <f t="shared" si="5"/>
        <v>8.6560364464692577E-2</v>
      </c>
      <c r="E189" s="15">
        <f>VLOOKUP(Table5[[#This Row],[Date]],'Fed Fund New'!$A:$C,2,FALSE)</f>
        <v>0</v>
      </c>
      <c r="F189" s="27">
        <v>0.02</v>
      </c>
    </row>
    <row r="190" spans="1:6" x14ac:dyDescent="0.2">
      <c r="A190" s="61">
        <v>30103</v>
      </c>
      <c r="B190" s="68">
        <f>VLOOKUP(Table5[[#This Row],[Date]],Database!A:E,5,)</f>
        <v>96.1</v>
      </c>
      <c r="C190" s="14">
        <f t="shared" si="4"/>
        <v>7.3375262054506145E-3</v>
      </c>
      <c r="D190" s="14">
        <f t="shared" si="5"/>
        <v>8.4650112866817159E-2</v>
      </c>
      <c r="E190" s="15">
        <f>VLOOKUP(Table5[[#This Row],[Date]],'Fed Fund New'!$A:$C,2,FALSE)</f>
        <v>0</v>
      </c>
      <c r="F190" s="27">
        <v>0.02</v>
      </c>
    </row>
    <row r="191" spans="1:6" x14ac:dyDescent="0.2">
      <c r="A191" s="61">
        <v>30133</v>
      </c>
      <c r="B191" s="68">
        <f>VLOOKUP(Table5[[#This Row],[Date]],Database!A:E,5,)</f>
        <v>96.7</v>
      </c>
      <c r="C191" s="14">
        <f t="shared" si="4"/>
        <v>6.2434963579605469E-3</v>
      </c>
      <c r="D191" s="14">
        <f t="shared" si="5"/>
        <v>7.6837416481069107E-2</v>
      </c>
      <c r="E191" s="15">
        <f>VLOOKUP(Table5[[#This Row],[Date]],'Fed Fund New'!$A:$C,2,FALSE)</f>
        <v>0</v>
      </c>
      <c r="F191" s="27">
        <v>0.02</v>
      </c>
    </row>
    <row r="192" spans="1:6" x14ac:dyDescent="0.2">
      <c r="A192" s="61">
        <v>30164</v>
      </c>
      <c r="B192" s="68">
        <f>VLOOKUP(Table5[[#This Row],[Date]],Database!A:E,5,)</f>
        <v>97.1</v>
      </c>
      <c r="C192" s="14">
        <f t="shared" si="4"/>
        <v>4.1365046535676471E-3</v>
      </c>
      <c r="D192" s="14">
        <f t="shared" si="5"/>
        <v>7.0562293274531326E-2</v>
      </c>
      <c r="E192" s="15">
        <f>VLOOKUP(Table5[[#This Row],[Date]],'Fed Fund New'!$A:$C,2,FALSE)</f>
        <v>0</v>
      </c>
      <c r="F192" s="27">
        <v>0.02</v>
      </c>
    </row>
    <row r="193" spans="1:6" x14ac:dyDescent="0.2">
      <c r="A193" s="61">
        <v>30195</v>
      </c>
      <c r="B193" s="68">
        <f>VLOOKUP(Table5[[#This Row],[Date]],Database!A:E,5,)</f>
        <v>97.2</v>
      </c>
      <c r="C193" s="14">
        <f t="shared" si="4"/>
        <v>1.0298661174048252E-3</v>
      </c>
      <c r="D193" s="14">
        <f t="shared" si="5"/>
        <v>5.8823529411764768E-2</v>
      </c>
      <c r="E193" s="15">
        <f>VLOOKUP(Table5[[#This Row],[Date]],'Fed Fund New'!$A:$C,2,FALSE)</f>
        <v>0</v>
      </c>
      <c r="F193" s="27">
        <v>0.02</v>
      </c>
    </row>
    <row r="194" spans="1:6" x14ac:dyDescent="0.2">
      <c r="A194" s="61">
        <v>30225</v>
      </c>
      <c r="B194" s="68">
        <f>VLOOKUP(Table5[[#This Row],[Date]],Database!A:E,5,)</f>
        <v>97.5</v>
      </c>
      <c r="C194" s="14">
        <f t="shared" si="4"/>
        <v>3.0864197530863905E-3</v>
      </c>
      <c r="D194" s="14">
        <f t="shared" si="5"/>
        <v>5.8631921824104302E-2</v>
      </c>
      <c r="E194" s="15">
        <f>VLOOKUP(Table5[[#This Row],[Date]],'Fed Fund New'!$A:$C,2,FALSE)</f>
        <v>0</v>
      </c>
      <c r="F194" s="27">
        <v>0.02</v>
      </c>
    </row>
    <row r="195" spans="1:6" x14ac:dyDescent="0.2">
      <c r="A195" s="61">
        <v>30256</v>
      </c>
      <c r="B195" s="68">
        <f>VLOOKUP(Table5[[#This Row],[Date]],Database!A:E,5,)</f>
        <v>97.3</v>
      </c>
      <c r="C195" s="14">
        <f t="shared" si="4"/>
        <v>-2.0512820512820803E-3</v>
      </c>
      <c r="D195" s="14">
        <f t="shared" si="5"/>
        <v>5.1891891891891861E-2</v>
      </c>
      <c r="E195" s="15">
        <f>VLOOKUP(Table5[[#This Row],[Date]],'Fed Fund New'!$A:$C,2,FALSE)</f>
        <v>0</v>
      </c>
      <c r="F195" s="27">
        <v>0.02</v>
      </c>
    </row>
    <row r="196" spans="1:6" x14ac:dyDescent="0.2">
      <c r="A196" s="61">
        <v>30286</v>
      </c>
      <c r="B196" s="68">
        <f>VLOOKUP(Table5[[#This Row],[Date]],Database!A:E,5,)</f>
        <v>97.2</v>
      </c>
      <c r="C196" s="14">
        <f t="shared" si="4"/>
        <v>-1.0277492291880198E-3</v>
      </c>
      <c r="D196" s="14">
        <f t="shared" si="5"/>
        <v>4.5161290322580677E-2</v>
      </c>
      <c r="E196" s="15">
        <f>VLOOKUP(Table5[[#This Row],[Date]],'Fed Fund New'!$A:$C,2,FALSE)</f>
        <v>0</v>
      </c>
      <c r="F196" s="27">
        <v>0.02</v>
      </c>
    </row>
    <row r="197" spans="1:6" x14ac:dyDescent="0.2">
      <c r="A197" s="61">
        <v>30317</v>
      </c>
      <c r="B197" s="68">
        <f>VLOOKUP(Table5[[#This Row],[Date]],Database!A:E,5,)</f>
        <v>97.6</v>
      </c>
      <c r="C197" s="14">
        <f t="shared" si="4"/>
        <v>4.1152263374484715E-3</v>
      </c>
      <c r="D197" s="14">
        <f t="shared" si="5"/>
        <v>4.6087888531618409E-2</v>
      </c>
      <c r="E197" s="15">
        <f>VLOOKUP(Table5[[#This Row],[Date]],'Fed Fund New'!$A:$C,2,FALSE)</f>
        <v>0</v>
      </c>
      <c r="F197" s="27">
        <v>0.02</v>
      </c>
    </row>
    <row r="198" spans="1:6" x14ac:dyDescent="0.2">
      <c r="A198" s="61">
        <v>30348</v>
      </c>
      <c r="B198" s="68">
        <f>VLOOKUP(Table5[[#This Row],[Date]],Database!A:E,5,)</f>
        <v>98</v>
      </c>
      <c r="C198" s="14">
        <f t="shared" ref="C198:C261" si="6">(B198-B197)/B197</f>
        <v>4.0983606557377632E-3</v>
      </c>
      <c r="D198" s="14">
        <f t="shared" si="5"/>
        <v>4.4776119402985107E-2</v>
      </c>
      <c r="E198" s="15">
        <f>VLOOKUP(Table5[[#This Row],[Date]],'Fed Fund New'!$A:$C,2,FALSE)</f>
        <v>0</v>
      </c>
      <c r="F198" s="27">
        <v>0.02</v>
      </c>
    </row>
    <row r="199" spans="1:6" x14ac:dyDescent="0.2">
      <c r="A199" s="61">
        <v>30376</v>
      </c>
      <c r="B199" s="68">
        <f>VLOOKUP(Table5[[#This Row],[Date]],Database!A:E,5,)</f>
        <v>98.2</v>
      </c>
      <c r="C199" s="14">
        <f t="shared" si="6"/>
        <v>2.0408163265306411E-3</v>
      </c>
      <c r="D199" s="14">
        <f t="shared" si="5"/>
        <v>4.5793397231096877E-2</v>
      </c>
      <c r="E199" s="15">
        <f>VLOOKUP(Table5[[#This Row],[Date]],'Fed Fund New'!$A:$C,2,FALSE)</f>
        <v>0</v>
      </c>
      <c r="F199" s="27">
        <v>0.02</v>
      </c>
    </row>
    <row r="200" spans="1:6" x14ac:dyDescent="0.2">
      <c r="A200" s="61">
        <v>30407</v>
      </c>
      <c r="B200" s="68">
        <f>VLOOKUP(Table5[[#This Row],[Date]],Database!A:E,5,)</f>
        <v>98.6</v>
      </c>
      <c r="C200" s="14">
        <f t="shared" si="6"/>
        <v>4.0733197556007275E-3</v>
      </c>
      <c r="D200" s="14">
        <f t="shared" si="5"/>
        <v>4.1182682154170973E-2</v>
      </c>
      <c r="E200" s="15">
        <f>VLOOKUP(Table5[[#This Row],[Date]],'Fed Fund New'!$A:$C,2,FALSE)</f>
        <v>0</v>
      </c>
      <c r="F200" s="27">
        <v>0.02</v>
      </c>
    </row>
    <row r="201" spans="1:6" x14ac:dyDescent="0.2">
      <c r="A201" s="61">
        <v>30437</v>
      </c>
      <c r="B201" s="68">
        <f>VLOOKUP(Table5[[#This Row],[Date]],Database!A:E,5,)</f>
        <v>98.9</v>
      </c>
      <c r="C201" s="14">
        <f t="shared" si="6"/>
        <v>3.0425963488844967E-3</v>
      </c>
      <c r="D201" s="14">
        <f t="shared" si="5"/>
        <v>3.668763102725367E-2</v>
      </c>
      <c r="E201" s="15">
        <f>VLOOKUP(Table5[[#This Row],[Date]],'Fed Fund New'!$A:$C,2,FALSE)</f>
        <v>0</v>
      </c>
      <c r="F201" s="27">
        <v>0.02</v>
      </c>
    </row>
    <row r="202" spans="1:6" x14ac:dyDescent="0.2">
      <c r="A202" s="61">
        <v>30468</v>
      </c>
      <c r="B202" s="68">
        <f>VLOOKUP(Table5[[#This Row],[Date]],Database!A:E,5,)</f>
        <v>99.2</v>
      </c>
      <c r="C202" s="14">
        <f t="shared" si="6"/>
        <v>3.0333670374114979E-3</v>
      </c>
      <c r="D202" s="14">
        <f t="shared" si="5"/>
        <v>3.2258064516129122E-2</v>
      </c>
      <c r="E202" s="15">
        <f>VLOOKUP(Table5[[#This Row],[Date]],'Fed Fund New'!$A:$C,2,FALSE)</f>
        <v>0</v>
      </c>
      <c r="F202" s="27">
        <v>0.02</v>
      </c>
    </row>
    <row r="203" spans="1:6" x14ac:dyDescent="0.2">
      <c r="A203" s="61">
        <v>30498</v>
      </c>
      <c r="B203" s="68">
        <f>VLOOKUP(Table5[[#This Row],[Date]],Database!A:E,5,)</f>
        <v>99.8</v>
      </c>
      <c r="C203" s="14">
        <f t="shared" si="6"/>
        <v>6.0483870967741361E-3</v>
      </c>
      <c r="D203" s="14">
        <f t="shared" si="5"/>
        <v>3.2057911065149887E-2</v>
      </c>
      <c r="E203" s="15">
        <f>VLOOKUP(Table5[[#This Row],[Date]],'Fed Fund New'!$A:$C,2,FALSE)</f>
        <v>0</v>
      </c>
      <c r="F203" s="27">
        <v>0.02</v>
      </c>
    </row>
    <row r="204" spans="1:6" x14ac:dyDescent="0.2">
      <c r="A204" s="61">
        <v>30529</v>
      </c>
      <c r="B204" s="68">
        <f>VLOOKUP(Table5[[#This Row],[Date]],Database!A:E,5,)</f>
        <v>100.1</v>
      </c>
      <c r="C204" s="14">
        <f t="shared" si="6"/>
        <v>3.006012024048068E-3</v>
      </c>
      <c r="D204" s="14">
        <f t="shared" si="5"/>
        <v>3.0895983522142123E-2</v>
      </c>
      <c r="E204" s="15">
        <f>VLOOKUP(Table5[[#This Row],[Date]],'Fed Fund New'!$A:$C,2,FALSE)</f>
        <v>0</v>
      </c>
      <c r="F204" s="27">
        <v>0.02</v>
      </c>
    </row>
    <row r="205" spans="1:6" x14ac:dyDescent="0.2">
      <c r="A205" s="61">
        <v>30560</v>
      </c>
      <c r="B205" s="68">
        <f>VLOOKUP(Table5[[#This Row],[Date]],Database!A:E,5,)</f>
        <v>100.5</v>
      </c>
      <c r="C205" s="14">
        <f t="shared" si="6"/>
        <v>3.9960039960040532E-3</v>
      </c>
      <c r="D205" s="14">
        <f t="shared" si="5"/>
        <v>3.3950617283950588E-2</v>
      </c>
      <c r="E205" s="15">
        <f>VLOOKUP(Table5[[#This Row],[Date]],'Fed Fund New'!$A:$C,2,FALSE)</f>
        <v>0</v>
      </c>
      <c r="F205" s="27">
        <v>0.02</v>
      </c>
    </row>
    <row r="206" spans="1:6" x14ac:dyDescent="0.2">
      <c r="A206" s="61">
        <v>30590</v>
      </c>
      <c r="B206" s="68">
        <f>VLOOKUP(Table5[[#This Row],[Date]],Database!A:E,5,)</f>
        <v>101</v>
      </c>
      <c r="C206" s="14">
        <f t="shared" si="6"/>
        <v>4.9751243781094526E-3</v>
      </c>
      <c r="D206" s="14">
        <f t="shared" si="5"/>
        <v>3.5897435897435895E-2</v>
      </c>
      <c r="E206" s="15">
        <f>VLOOKUP(Table5[[#This Row],[Date]],'Fed Fund New'!$A:$C,2,FALSE)</f>
        <v>0</v>
      </c>
      <c r="F206" s="27">
        <v>0.02</v>
      </c>
    </row>
    <row r="207" spans="1:6" x14ac:dyDescent="0.2">
      <c r="A207" s="61">
        <v>30621</v>
      </c>
      <c r="B207" s="68">
        <f>VLOOKUP(Table5[[#This Row],[Date]],Database!A:E,5,)</f>
        <v>101.5</v>
      </c>
      <c r="C207" s="14">
        <f t="shared" si="6"/>
        <v>4.9504950495049506E-3</v>
      </c>
      <c r="D207" s="14">
        <f t="shared" si="5"/>
        <v>4.3165467625899311E-2</v>
      </c>
      <c r="E207" s="15">
        <f>VLOOKUP(Table5[[#This Row],[Date]],'Fed Fund New'!$A:$C,2,FALSE)</f>
        <v>0</v>
      </c>
      <c r="F207" s="27">
        <v>0.02</v>
      </c>
    </row>
    <row r="208" spans="1:6" x14ac:dyDescent="0.2">
      <c r="A208" s="61">
        <v>30651</v>
      </c>
      <c r="B208" s="68">
        <f>VLOOKUP(Table5[[#This Row],[Date]],Database!A:E,5,)</f>
        <v>101.8</v>
      </c>
      <c r="C208" s="14">
        <f t="shared" si="6"/>
        <v>2.9556650246305139E-3</v>
      </c>
      <c r="D208" s="14">
        <f t="shared" si="5"/>
        <v>4.7325102880658373E-2</v>
      </c>
      <c r="E208" s="15">
        <f>VLOOKUP(Table5[[#This Row],[Date]],'Fed Fund New'!$A:$C,2,FALSE)</f>
        <v>0</v>
      </c>
      <c r="F208" s="27">
        <v>0.02</v>
      </c>
    </row>
    <row r="209" spans="1:6" x14ac:dyDescent="0.2">
      <c r="A209" s="61">
        <v>30682</v>
      </c>
      <c r="B209" s="68">
        <f>VLOOKUP(Table5[[#This Row],[Date]],Database!A:E,5,)</f>
        <v>102.5</v>
      </c>
      <c r="C209" s="14">
        <f t="shared" si="6"/>
        <v>6.8762278978389277E-3</v>
      </c>
      <c r="D209" s="14">
        <f t="shared" ref="D209:D272" si="7">(B209-B197)/B197</f>
        <v>5.0204918032786948E-2</v>
      </c>
      <c r="E209" s="15">
        <f>VLOOKUP(Table5[[#This Row],[Date]],'Fed Fund New'!$A:$C,2,FALSE)</f>
        <v>0</v>
      </c>
      <c r="F209" s="27">
        <v>0.02</v>
      </c>
    </row>
    <row r="210" spans="1:6" x14ac:dyDescent="0.2">
      <c r="A210" s="61">
        <v>30713</v>
      </c>
      <c r="B210" s="68">
        <f>VLOOKUP(Table5[[#This Row],[Date]],Database!A:E,5,)</f>
        <v>102.8</v>
      </c>
      <c r="C210" s="14">
        <f t="shared" si="6"/>
        <v>2.9268292682926552E-3</v>
      </c>
      <c r="D210" s="14">
        <f t="shared" si="7"/>
        <v>4.8979591836734664E-2</v>
      </c>
      <c r="E210" s="15">
        <f>VLOOKUP(Table5[[#This Row],[Date]],'Fed Fund New'!$A:$C,2,FALSE)</f>
        <v>0</v>
      </c>
      <c r="F210" s="27">
        <v>0.02</v>
      </c>
    </row>
    <row r="211" spans="1:6" x14ac:dyDescent="0.2">
      <c r="A211" s="61">
        <v>30742</v>
      </c>
      <c r="B211" s="68">
        <f>VLOOKUP(Table5[[#This Row],[Date]],Database!A:E,5,)</f>
        <v>103.2</v>
      </c>
      <c r="C211" s="14">
        <f t="shared" si="6"/>
        <v>3.8910505836576431E-3</v>
      </c>
      <c r="D211" s="14">
        <f t="shared" si="7"/>
        <v>5.091649694501018E-2</v>
      </c>
      <c r="E211" s="15">
        <f>VLOOKUP(Table5[[#This Row],[Date]],'Fed Fund New'!$A:$C,2,FALSE)</f>
        <v>0</v>
      </c>
      <c r="F211" s="27">
        <v>0.02</v>
      </c>
    </row>
    <row r="212" spans="1:6" x14ac:dyDescent="0.2">
      <c r="A212" s="61">
        <v>30773</v>
      </c>
      <c r="B212" s="68">
        <f>VLOOKUP(Table5[[#This Row],[Date]],Database!A:E,5,)</f>
        <v>103.7</v>
      </c>
      <c r="C212" s="14">
        <f t="shared" si="6"/>
        <v>4.8449612403100775E-3</v>
      </c>
      <c r="D212" s="14">
        <f t="shared" si="7"/>
        <v>5.1724137931034572E-2</v>
      </c>
      <c r="E212" s="15">
        <f>VLOOKUP(Table5[[#This Row],[Date]],'Fed Fund New'!$A:$C,2,FALSE)</f>
        <v>0</v>
      </c>
      <c r="F212" s="27">
        <v>0.02</v>
      </c>
    </row>
    <row r="213" spans="1:6" x14ac:dyDescent="0.2">
      <c r="A213" s="61">
        <v>30803</v>
      </c>
      <c r="B213" s="68">
        <f>VLOOKUP(Table5[[#This Row],[Date]],Database!A:E,5,)</f>
        <v>104.1</v>
      </c>
      <c r="C213" s="14">
        <f t="shared" si="6"/>
        <v>3.8572806171648165E-3</v>
      </c>
      <c r="D213" s="14">
        <f t="shared" si="7"/>
        <v>5.257836198179968E-2</v>
      </c>
      <c r="E213" s="15">
        <f>VLOOKUP(Table5[[#This Row],[Date]],'Fed Fund New'!$A:$C,2,FALSE)</f>
        <v>0</v>
      </c>
      <c r="F213" s="27">
        <v>0.02</v>
      </c>
    </row>
    <row r="214" spans="1:6" x14ac:dyDescent="0.2">
      <c r="A214" s="61">
        <v>30834</v>
      </c>
      <c r="B214" s="68">
        <f>VLOOKUP(Table5[[#This Row],[Date]],Database!A:E,5,)</f>
        <v>104.5</v>
      </c>
      <c r="C214" s="14">
        <f t="shared" si="6"/>
        <v>3.8424591738713326E-3</v>
      </c>
      <c r="D214" s="14">
        <f t="shared" si="7"/>
        <v>5.3427419354838676E-2</v>
      </c>
      <c r="E214" s="15">
        <f>VLOOKUP(Table5[[#This Row],[Date]],'Fed Fund New'!$A:$C,2,FALSE)</f>
        <v>0</v>
      </c>
      <c r="F214" s="27">
        <v>0.02</v>
      </c>
    </row>
    <row r="215" spans="1:6" x14ac:dyDescent="0.2">
      <c r="A215" s="61">
        <v>30864</v>
      </c>
      <c r="B215" s="68">
        <f>VLOOKUP(Table5[[#This Row],[Date]],Database!A:E,5,)</f>
        <v>105</v>
      </c>
      <c r="C215" s="14">
        <f t="shared" si="6"/>
        <v>4.7846889952153108E-3</v>
      </c>
      <c r="D215" s="14">
        <f t="shared" si="7"/>
        <v>5.2104208416833699E-2</v>
      </c>
      <c r="E215" s="15">
        <f>VLOOKUP(Table5[[#This Row],[Date]],'Fed Fund New'!$A:$C,2,FALSE)</f>
        <v>0</v>
      </c>
      <c r="F215" s="27">
        <v>0.02</v>
      </c>
    </row>
    <row r="216" spans="1:6" x14ac:dyDescent="0.2">
      <c r="A216" s="61">
        <v>30895</v>
      </c>
      <c r="B216" s="68">
        <f>VLOOKUP(Table5[[#This Row],[Date]],Database!A:E,5,)</f>
        <v>105.4</v>
      </c>
      <c r="C216" s="14">
        <f t="shared" si="6"/>
        <v>3.8095238095238637E-3</v>
      </c>
      <c r="D216" s="14">
        <f t="shared" si="7"/>
        <v>5.2947052947053062E-2</v>
      </c>
      <c r="E216" s="15">
        <f>VLOOKUP(Table5[[#This Row],[Date]],'Fed Fund New'!$A:$C,2,FALSE)</f>
        <v>0</v>
      </c>
      <c r="F216" s="27">
        <v>0.02</v>
      </c>
    </row>
    <row r="217" spans="1:6" x14ac:dyDescent="0.2">
      <c r="A217" s="61">
        <v>30926</v>
      </c>
      <c r="B217" s="68">
        <f>VLOOKUP(Table5[[#This Row],[Date]],Database!A:E,5,)</f>
        <v>105.8</v>
      </c>
      <c r="C217" s="14">
        <f t="shared" si="6"/>
        <v>3.7950664136621581E-3</v>
      </c>
      <c r="D217" s="14">
        <f t="shared" si="7"/>
        <v>5.273631840796017E-2</v>
      </c>
      <c r="E217" s="15">
        <f>VLOOKUP(Table5[[#This Row],[Date]],'Fed Fund New'!$A:$C,2,FALSE)</f>
        <v>0</v>
      </c>
      <c r="F217" s="27">
        <v>0.02</v>
      </c>
    </row>
    <row r="218" spans="1:6" x14ac:dyDescent="0.2">
      <c r="A218" s="61">
        <v>30956</v>
      </c>
      <c r="B218" s="68">
        <f>VLOOKUP(Table5[[#This Row],[Date]],Database!A:E,5,)</f>
        <v>106.2</v>
      </c>
      <c r="C218" s="14">
        <f t="shared" si="6"/>
        <v>3.7807183364839858E-3</v>
      </c>
      <c r="D218" s="14">
        <f t="shared" si="7"/>
        <v>5.148514851485151E-2</v>
      </c>
      <c r="E218" s="15">
        <f>VLOOKUP(Table5[[#This Row],[Date]],'Fed Fund New'!$A:$C,2,FALSE)</f>
        <v>0</v>
      </c>
      <c r="F218" s="27">
        <v>0.02</v>
      </c>
    </row>
    <row r="219" spans="1:6" x14ac:dyDescent="0.2">
      <c r="A219" s="61">
        <v>30987</v>
      </c>
      <c r="B219" s="68">
        <f>VLOOKUP(Table5[[#This Row],[Date]],Database!A:E,5,)</f>
        <v>106.4</v>
      </c>
      <c r="C219" s="14">
        <f t="shared" si="6"/>
        <v>1.8832391713747914E-3</v>
      </c>
      <c r="D219" s="14">
        <f t="shared" si="7"/>
        <v>4.8275862068965572E-2</v>
      </c>
      <c r="E219" s="15">
        <f>VLOOKUP(Table5[[#This Row],[Date]],'Fed Fund New'!$A:$C,2,FALSE)</f>
        <v>0</v>
      </c>
      <c r="F219" s="27">
        <v>0.02</v>
      </c>
    </row>
    <row r="220" spans="1:6" x14ac:dyDescent="0.2">
      <c r="A220" s="61">
        <v>31017</v>
      </c>
      <c r="B220" s="68">
        <f>VLOOKUP(Table5[[#This Row],[Date]],Database!A:E,5,)</f>
        <v>106.8</v>
      </c>
      <c r="C220" s="14">
        <f t="shared" si="6"/>
        <v>3.7593984962405211E-3</v>
      </c>
      <c r="D220" s="14">
        <f t="shared" si="7"/>
        <v>4.9115913555992145E-2</v>
      </c>
      <c r="E220" s="15">
        <f>VLOOKUP(Table5[[#This Row],[Date]],'Fed Fund New'!$A:$C,2,FALSE)</f>
        <v>0</v>
      </c>
      <c r="F220" s="27">
        <v>0.02</v>
      </c>
    </row>
    <row r="221" spans="1:6" x14ac:dyDescent="0.2">
      <c r="A221" s="61">
        <v>31048</v>
      </c>
      <c r="B221" s="68">
        <f>VLOOKUP(Table5[[#This Row],[Date]],Database!A:E,5,)</f>
        <v>107.1</v>
      </c>
      <c r="C221" s="14">
        <f t="shared" si="6"/>
        <v>2.8089887640449173E-3</v>
      </c>
      <c r="D221" s="14">
        <f t="shared" si="7"/>
        <v>4.4878048780487748E-2</v>
      </c>
      <c r="E221" s="15">
        <f>VLOOKUP(Table5[[#This Row],[Date]],'Fed Fund New'!$A:$C,2,FALSE)</f>
        <v>0</v>
      </c>
      <c r="F221" s="27">
        <v>0.02</v>
      </c>
    </row>
    <row r="222" spans="1:6" x14ac:dyDescent="0.2">
      <c r="A222" s="61">
        <v>31079</v>
      </c>
      <c r="B222" s="68">
        <f>VLOOKUP(Table5[[#This Row],[Date]],Database!A:E,5,)</f>
        <v>107.7</v>
      </c>
      <c r="C222" s="14">
        <f t="shared" si="6"/>
        <v>5.6022408963586233E-3</v>
      </c>
      <c r="D222" s="14">
        <f t="shared" si="7"/>
        <v>4.7665369649805507E-2</v>
      </c>
      <c r="E222" s="15">
        <f>VLOOKUP(Table5[[#This Row],[Date]],'Fed Fund New'!$A:$C,2,FALSE)</f>
        <v>0</v>
      </c>
      <c r="F222" s="27">
        <v>0.02</v>
      </c>
    </row>
    <row r="223" spans="1:6" x14ac:dyDescent="0.2">
      <c r="A223" s="61">
        <v>31107</v>
      </c>
      <c r="B223" s="68">
        <f>VLOOKUP(Table5[[#This Row],[Date]],Database!A:E,5,)</f>
        <v>108.1</v>
      </c>
      <c r="C223" s="14">
        <f t="shared" si="6"/>
        <v>3.7140204271122698E-3</v>
      </c>
      <c r="D223" s="14">
        <f t="shared" si="7"/>
        <v>4.7480620155038677E-2</v>
      </c>
      <c r="E223" s="15">
        <f>VLOOKUP(Table5[[#This Row],[Date]],'Fed Fund New'!$A:$C,2,FALSE)</f>
        <v>0</v>
      </c>
      <c r="F223" s="27">
        <v>0.02</v>
      </c>
    </row>
    <row r="224" spans="1:6" x14ac:dyDescent="0.2">
      <c r="A224" s="61">
        <v>31138</v>
      </c>
      <c r="B224" s="68">
        <f>VLOOKUP(Table5[[#This Row],[Date]],Database!A:E,5,)</f>
        <v>108.4</v>
      </c>
      <c r="C224" s="14">
        <f t="shared" si="6"/>
        <v>2.7752081406106511E-3</v>
      </c>
      <c r="D224" s="14">
        <f t="shared" si="7"/>
        <v>4.5323047251687586E-2</v>
      </c>
      <c r="E224" s="15">
        <f>VLOOKUP(Table5[[#This Row],[Date]],'Fed Fund New'!$A:$C,2,FALSE)</f>
        <v>0</v>
      </c>
      <c r="F224" s="27">
        <v>0.02</v>
      </c>
    </row>
    <row r="225" spans="1:6" x14ac:dyDescent="0.2">
      <c r="A225" s="61">
        <v>31168</v>
      </c>
      <c r="B225" s="68">
        <f>VLOOKUP(Table5[[#This Row],[Date]],Database!A:E,5,)</f>
        <v>108.8</v>
      </c>
      <c r="C225" s="14">
        <f t="shared" si="6"/>
        <v>3.6900369003689247E-3</v>
      </c>
      <c r="D225" s="14">
        <f t="shared" si="7"/>
        <v>4.5148895292987538E-2</v>
      </c>
      <c r="E225" s="15">
        <f>VLOOKUP(Table5[[#This Row],[Date]],'Fed Fund New'!$A:$C,2,FALSE)</f>
        <v>0</v>
      </c>
      <c r="F225" s="27">
        <v>0.02</v>
      </c>
    </row>
    <row r="226" spans="1:6" x14ac:dyDescent="0.2">
      <c r="A226" s="61">
        <v>31199</v>
      </c>
      <c r="B226" s="68">
        <f>VLOOKUP(Table5[[#This Row],[Date]],Database!A:E,5,)</f>
        <v>109.1</v>
      </c>
      <c r="C226" s="14">
        <f t="shared" si="6"/>
        <v>2.7573529411764447E-3</v>
      </c>
      <c r="D226" s="14">
        <f t="shared" si="7"/>
        <v>4.4019138755980805E-2</v>
      </c>
      <c r="E226" s="15">
        <f>VLOOKUP(Table5[[#This Row],[Date]],'Fed Fund New'!$A:$C,2,FALSE)</f>
        <v>0</v>
      </c>
      <c r="F226" s="27">
        <v>0.02</v>
      </c>
    </row>
    <row r="227" spans="1:6" x14ac:dyDescent="0.2">
      <c r="A227" s="61">
        <v>31229</v>
      </c>
      <c r="B227" s="68">
        <f>VLOOKUP(Table5[[#This Row],[Date]],Database!A:E,5,)</f>
        <v>109.4</v>
      </c>
      <c r="C227" s="14">
        <f t="shared" si="6"/>
        <v>2.7497708524290686E-3</v>
      </c>
      <c r="D227" s="14">
        <f t="shared" si="7"/>
        <v>4.1904761904761959E-2</v>
      </c>
      <c r="E227" s="15">
        <f>VLOOKUP(Table5[[#This Row],[Date]],'Fed Fund New'!$A:$C,2,FALSE)</f>
        <v>0</v>
      </c>
      <c r="F227" s="27">
        <v>0.02</v>
      </c>
    </row>
    <row r="228" spans="1:6" x14ac:dyDescent="0.2">
      <c r="A228" s="61">
        <v>31260</v>
      </c>
      <c r="B228" s="68">
        <f>VLOOKUP(Table5[[#This Row],[Date]],Database!A:E,5,)</f>
        <v>109.8</v>
      </c>
      <c r="C228" s="14">
        <f t="shared" si="6"/>
        <v>3.656307129798825E-3</v>
      </c>
      <c r="D228" s="14">
        <f t="shared" si="7"/>
        <v>4.1745730550284549E-2</v>
      </c>
      <c r="E228" s="15">
        <f>VLOOKUP(Table5[[#This Row],[Date]],'Fed Fund New'!$A:$C,2,FALSE)</f>
        <v>0</v>
      </c>
      <c r="F228" s="27">
        <v>0.02</v>
      </c>
    </row>
    <row r="229" spans="1:6" x14ac:dyDescent="0.2">
      <c r="A229" s="61">
        <v>31291</v>
      </c>
      <c r="B229" s="68">
        <f>VLOOKUP(Table5[[#This Row],[Date]],Database!A:E,5,)</f>
        <v>110</v>
      </c>
      <c r="C229" s="14">
        <f t="shared" si="6"/>
        <v>1.8214936247723393E-3</v>
      </c>
      <c r="D229" s="14">
        <f t="shared" si="7"/>
        <v>3.9697542533081311E-2</v>
      </c>
      <c r="E229" s="15">
        <f>VLOOKUP(Table5[[#This Row],[Date]],'Fed Fund New'!$A:$C,2,FALSE)</f>
        <v>0</v>
      </c>
      <c r="F229" s="27">
        <v>0.02</v>
      </c>
    </row>
    <row r="230" spans="1:6" x14ac:dyDescent="0.2">
      <c r="A230" s="61">
        <v>31321</v>
      </c>
      <c r="B230" s="68">
        <f>VLOOKUP(Table5[[#This Row],[Date]],Database!A:E,5,)</f>
        <v>110.5</v>
      </c>
      <c r="C230" s="14">
        <f t="shared" si="6"/>
        <v>4.5454545454545452E-3</v>
      </c>
      <c r="D230" s="14">
        <f t="shared" si="7"/>
        <v>4.048964218455741E-2</v>
      </c>
      <c r="E230" s="15">
        <f>VLOOKUP(Table5[[#This Row],[Date]],'Fed Fund New'!$A:$C,2,FALSE)</f>
        <v>0</v>
      </c>
      <c r="F230" s="27">
        <v>0.02</v>
      </c>
    </row>
    <row r="231" spans="1:6" x14ac:dyDescent="0.2">
      <c r="A231" s="61">
        <v>31352</v>
      </c>
      <c r="B231" s="68">
        <f>VLOOKUP(Table5[[#This Row],[Date]],Database!A:E,5,)</f>
        <v>111.1</v>
      </c>
      <c r="C231" s="14">
        <f t="shared" si="6"/>
        <v>5.4298642533936138E-3</v>
      </c>
      <c r="D231" s="14">
        <f t="shared" si="7"/>
        <v>4.4172932330826961E-2</v>
      </c>
      <c r="E231" s="15">
        <f>VLOOKUP(Table5[[#This Row],[Date]],'Fed Fund New'!$A:$C,2,FALSE)</f>
        <v>0</v>
      </c>
      <c r="F231" s="27">
        <v>0.02</v>
      </c>
    </row>
    <row r="232" spans="1:6" x14ac:dyDescent="0.2">
      <c r="A232" s="61">
        <v>31382</v>
      </c>
      <c r="B232" s="68">
        <f>VLOOKUP(Table5[[#This Row],[Date]],Database!A:E,5,)</f>
        <v>111.4</v>
      </c>
      <c r="C232" s="14">
        <f t="shared" si="6"/>
        <v>2.7002700270028026E-3</v>
      </c>
      <c r="D232" s="14">
        <f t="shared" si="7"/>
        <v>4.3071161048689223E-2</v>
      </c>
      <c r="E232" s="15">
        <f>VLOOKUP(Table5[[#This Row],[Date]],'Fed Fund New'!$A:$C,2,FALSE)</f>
        <v>0</v>
      </c>
      <c r="F232" s="27">
        <v>0.02</v>
      </c>
    </row>
    <row r="233" spans="1:6" x14ac:dyDescent="0.2">
      <c r="A233" s="61">
        <v>31413</v>
      </c>
      <c r="B233" s="68">
        <f>VLOOKUP(Table5[[#This Row],[Date]],Database!A:E,5,)</f>
        <v>111.9</v>
      </c>
      <c r="C233" s="14">
        <f t="shared" si="6"/>
        <v>4.4883303411131061E-3</v>
      </c>
      <c r="D233" s="14">
        <f t="shared" si="7"/>
        <v>4.4817927170868459E-2</v>
      </c>
      <c r="E233" s="15">
        <f>VLOOKUP(Table5[[#This Row],[Date]],'Fed Fund New'!$A:$C,2,FALSE)</f>
        <v>0</v>
      </c>
      <c r="F233" s="27">
        <v>0.02</v>
      </c>
    </row>
    <row r="234" spans="1:6" x14ac:dyDescent="0.2">
      <c r="A234" s="61">
        <v>31444</v>
      </c>
      <c r="B234" s="68">
        <f>VLOOKUP(Table5[[#This Row],[Date]],Database!A:E,5,)</f>
        <v>112.2</v>
      </c>
      <c r="C234" s="14">
        <f t="shared" si="6"/>
        <v>2.6809651474530576E-3</v>
      </c>
      <c r="D234" s="14">
        <f t="shared" si="7"/>
        <v>4.1782729805013928E-2</v>
      </c>
      <c r="E234" s="15">
        <f>VLOOKUP(Table5[[#This Row],[Date]],'Fed Fund New'!$A:$C,2,FALSE)</f>
        <v>0</v>
      </c>
      <c r="F234" s="27">
        <v>0.02</v>
      </c>
    </row>
    <row r="235" spans="1:6" x14ac:dyDescent="0.2">
      <c r="A235" s="61">
        <v>31472</v>
      </c>
      <c r="B235" s="68">
        <f>VLOOKUP(Table5[[#This Row],[Date]],Database!A:E,5,)</f>
        <v>112.5</v>
      </c>
      <c r="C235" s="14">
        <f t="shared" si="6"/>
        <v>2.673796791443825E-3</v>
      </c>
      <c r="D235" s="14">
        <f t="shared" si="7"/>
        <v>4.0703052728954726E-2</v>
      </c>
      <c r="E235" s="15">
        <f>VLOOKUP(Table5[[#This Row],[Date]],'Fed Fund New'!$A:$C,2,FALSE)</f>
        <v>0</v>
      </c>
      <c r="F235" s="27">
        <v>0.02</v>
      </c>
    </row>
    <row r="236" spans="1:6" x14ac:dyDescent="0.2">
      <c r="A236" s="61">
        <v>31503</v>
      </c>
      <c r="B236" s="68">
        <f>VLOOKUP(Table5[[#This Row],[Date]],Database!A:E,5,)</f>
        <v>112.9</v>
      </c>
      <c r="C236" s="14">
        <f t="shared" si="6"/>
        <v>3.555555555555606E-3</v>
      </c>
      <c r="D236" s="14">
        <f t="shared" si="7"/>
        <v>4.1512915129151291E-2</v>
      </c>
      <c r="E236" s="15">
        <f>VLOOKUP(Table5[[#This Row],[Date]],'Fed Fund New'!$A:$C,2,FALSE)</f>
        <v>0</v>
      </c>
      <c r="F236" s="27">
        <v>0.02</v>
      </c>
    </row>
    <row r="237" spans="1:6" x14ac:dyDescent="0.2">
      <c r="A237" s="61">
        <v>31533</v>
      </c>
      <c r="B237" s="68">
        <f>VLOOKUP(Table5[[#This Row],[Date]],Database!A:E,5,)</f>
        <v>113.1</v>
      </c>
      <c r="C237" s="14">
        <f t="shared" si="6"/>
        <v>1.7714791851194741E-3</v>
      </c>
      <c r="D237" s="14">
        <f t="shared" si="7"/>
        <v>3.9522058823529389E-2</v>
      </c>
      <c r="E237" s="15">
        <f>VLOOKUP(Table5[[#This Row],[Date]],'Fed Fund New'!$A:$C,2,FALSE)</f>
        <v>0</v>
      </c>
      <c r="F237" s="27">
        <v>0.02</v>
      </c>
    </row>
    <row r="238" spans="1:6" x14ac:dyDescent="0.2">
      <c r="A238" s="61">
        <v>31564</v>
      </c>
      <c r="B238" s="68">
        <f>VLOOKUP(Table5[[#This Row],[Date]],Database!A:E,5,)</f>
        <v>113.4</v>
      </c>
      <c r="C238" s="14">
        <f t="shared" si="6"/>
        <v>2.6525198938993047E-3</v>
      </c>
      <c r="D238" s="14">
        <f t="shared" si="7"/>
        <v>3.9413382218148593E-2</v>
      </c>
      <c r="E238" s="15">
        <f>VLOOKUP(Table5[[#This Row],[Date]],'Fed Fund New'!$A:$C,2,FALSE)</f>
        <v>0</v>
      </c>
      <c r="F238" s="27">
        <v>0.02</v>
      </c>
    </row>
    <row r="239" spans="1:6" x14ac:dyDescent="0.2">
      <c r="A239" s="61">
        <v>31594</v>
      </c>
      <c r="B239" s="68">
        <f>VLOOKUP(Table5[[#This Row],[Date]],Database!A:E,5,)</f>
        <v>113.8</v>
      </c>
      <c r="C239" s="14">
        <f t="shared" si="6"/>
        <v>3.5273368606701188E-3</v>
      </c>
      <c r="D239" s="14">
        <f t="shared" si="7"/>
        <v>4.0219378427787854E-2</v>
      </c>
      <c r="E239" s="15">
        <f>VLOOKUP(Table5[[#This Row],[Date]],'Fed Fund New'!$A:$C,2,FALSE)</f>
        <v>0</v>
      </c>
      <c r="F239" s="27">
        <v>0.02</v>
      </c>
    </row>
    <row r="240" spans="1:6" x14ac:dyDescent="0.2">
      <c r="A240" s="61">
        <v>31625</v>
      </c>
      <c r="B240" s="68">
        <f>VLOOKUP(Table5[[#This Row],[Date]],Database!A:E,5,)</f>
        <v>114.2</v>
      </c>
      <c r="C240" s="14">
        <f t="shared" si="6"/>
        <v>3.5149384885765E-3</v>
      </c>
      <c r="D240" s="14">
        <f t="shared" si="7"/>
        <v>4.0072859744990946E-2</v>
      </c>
      <c r="E240" s="15">
        <f>VLOOKUP(Table5[[#This Row],[Date]],'Fed Fund New'!$A:$C,2,FALSE)</f>
        <v>0</v>
      </c>
      <c r="F240" s="27">
        <v>0.02</v>
      </c>
    </row>
    <row r="241" spans="1:6" x14ac:dyDescent="0.2">
      <c r="A241" s="61">
        <v>31656</v>
      </c>
      <c r="B241" s="68">
        <f>VLOOKUP(Table5[[#This Row],[Date]],Database!A:E,5,)</f>
        <v>114.6</v>
      </c>
      <c r="C241" s="14">
        <f t="shared" si="6"/>
        <v>3.5026269702275962E-3</v>
      </c>
      <c r="D241" s="14">
        <f t="shared" si="7"/>
        <v>4.1818181818181768E-2</v>
      </c>
      <c r="E241" s="15">
        <f>VLOOKUP(Table5[[#This Row],[Date]],'Fed Fund New'!$A:$C,2,FALSE)</f>
        <v>0</v>
      </c>
      <c r="F241" s="27">
        <v>0.02</v>
      </c>
    </row>
    <row r="242" spans="1:6" x14ac:dyDescent="0.2">
      <c r="A242" s="61">
        <v>31686</v>
      </c>
      <c r="B242" s="68">
        <f>VLOOKUP(Table5[[#This Row],[Date]],Database!A:E,5,)</f>
        <v>115</v>
      </c>
      <c r="C242" s="14">
        <f t="shared" si="6"/>
        <v>3.4904013961606084E-3</v>
      </c>
      <c r="D242" s="14">
        <f t="shared" si="7"/>
        <v>4.072398190045249E-2</v>
      </c>
      <c r="E242" s="15">
        <f>VLOOKUP(Table5[[#This Row],[Date]],'Fed Fund New'!$A:$C,2,FALSE)</f>
        <v>0</v>
      </c>
      <c r="F242" s="27">
        <v>0.02</v>
      </c>
    </row>
    <row r="243" spans="1:6" x14ac:dyDescent="0.2">
      <c r="A243" s="61">
        <v>31717</v>
      </c>
      <c r="B243" s="68">
        <f>VLOOKUP(Table5[[#This Row],[Date]],Database!A:E,5,)</f>
        <v>115.3</v>
      </c>
      <c r="C243" s="14">
        <f t="shared" si="6"/>
        <v>2.6086956521738885E-3</v>
      </c>
      <c r="D243" s="14">
        <f t="shared" si="7"/>
        <v>3.7803780378037832E-2</v>
      </c>
      <c r="E243" s="15">
        <f>VLOOKUP(Table5[[#This Row],[Date]],'Fed Fund New'!$A:$C,2,FALSE)</f>
        <v>0</v>
      </c>
      <c r="F243" s="27">
        <v>0.02</v>
      </c>
    </row>
    <row r="244" spans="1:6" x14ac:dyDescent="0.2">
      <c r="A244" s="61">
        <v>31747</v>
      </c>
      <c r="B244" s="68">
        <f>VLOOKUP(Table5[[#This Row],[Date]],Database!A:E,5,)</f>
        <v>115.6</v>
      </c>
      <c r="C244" s="14">
        <f t="shared" si="6"/>
        <v>2.6019080659149796E-3</v>
      </c>
      <c r="D244" s="14">
        <f t="shared" si="7"/>
        <v>3.7701974865349985E-2</v>
      </c>
      <c r="E244" s="15">
        <f>VLOOKUP(Table5[[#This Row],[Date]],'Fed Fund New'!$A:$C,2,FALSE)</f>
        <v>0</v>
      </c>
      <c r="F244" s="27">
        <v>0.02</v>
      </c>
    </row>
    <row r="245" spans="1:6" x14ac:dyDescent="0.2">
      <c r="A245" s="61">
        <v>31778</v>
      </c>
      <c r="B245" s="68">
        <f>VLOOKUP(Table5[[#This Row],[Date]],Database!A:E,5,)</f>
        <v>115.9</v>
      </c>
      <c r="C245" s="14">
        <f t="shared" si="6"/>
        <v>2.5951557093426589E-3</v>
      </c>
      <c r="D245" s="14">
        <f t="shared" si="7"/>
        <v>3.5746201966041107E-2</v>
      </c>
      <c r="E245" s="15">
        <f>VLOOKUP(Table5[[#This Row],[Date]],'Fed Fund New'!$A:$C,2,FALSE)</f>
        <v>0</v>
      </c>
      <c r="F245" s="27">
        <v>0.02</v>
      </c>
    </row>
    <row r="246" spans="1:6" x14ac:dyDescent="0.2">
      <c r="A246" s="61">
        <v>31809</v>
      </c>
      <c r="B246" s="68">
        <f>VLOOKUP(Table5[[#This Row],[Date]],Database!A:E,5,)</f>
        <v>116.2</v>
      </c>
      <c r="C246" s="14">
        <f t="shared" si="6"/>
        <v>2.588438308886947E-3</v>
      </c>
      <c r="D246" s="14">
        <f t="shared" si="7"/>
        <v>3.5650623885918005E-2</v>
      </c>
      <c r="E246" s="15">
        <f>VLOOKUP(Table5[[#This Row],[Date]],'Fed Fund New'!$A:$C,2,FALSE)</f>
        <v>0</v>
      </c>
      <c r="F246" s="27">
        <v>0.02</v>
      </c>
    </row>
    <row r="247" spans="1:6" x14ac:dyDescent="0.2">
      <c r="A247" s="61">
        <v>31837</v>
      </c>
      <c r="B247" s="68">
        <f>VLOOKUP(Table5[[#This Row],[Date]],Database!A:E,5,)</f>
        <v>116.6</v>
      </c>
      <c r="C247" s="14">
        <f t="shared" si="6"/>
        <v>3.4423407917383085E-3</v>
      </c>
      <c r="D247" s="14">
        <f t="shared" si="7"/>
        <v>3.644444444444439E-2</v>
      </c>
      <c r="E247" s="15">
        <f>VLOOKUP(Table5[[#This Row],[Date]],'Fed Fund New'!$A:$C,2,FALSE)</f>
        <v>0</v>
      </c>
      <c r="F247" s="27">
        <v>0.02</v>
      </c>
    </row>
    <row r="248" spans="1:6" x14ac:dyDescent="0.2">
      <c r="A248" s="61">
        <v>31868</v>
      </c>
      <c r="B248" s="68">
        <f>VLOOKUP(Table5[[#This Row],[Date]],Database!A:E,5,)</f>
        <v>117.3</v>
      </c>
      <c r="C248" s="14">
        <f t="shared" si="6"/>
        <v>6.0034305317324434E-3</v>
      </c>
      <c r="D248" s="14">
        <f t="shared" si="7"/>
        <v>3.8972542072630567E-2</v>
      </c>
      <c r="E248" s="15">
        <f>VLOOKUP(Table5[[#This Row],[Date]],'Fed Fund New'!$A:$C,2,FALSE)</f>
        <v>0</v>
      </c>
      <c r="F248" s="27">
        <v>0.02</v>
      </c>
    </row>
    <row r="249" spans="1:6" x14ac:dyDescent="0.2">
      <c r="A249" s="61">
        <v>31898</v>
      </c>
      <c r="B249" s="68">
        <f>VLOOKUP(Table5[[#This Row],[Date]],Database!A:E,5,)</f>
        <v>117.7</v>
      </c>
      <c r="C249" s="14">
        <f t="shared" si="6"/>
        <v>3.4100596760443793E-3</v>
      </c>
      <c r="D249" s="14">
        <f t="shared" si="7"/>
        <v>4.0671971706454542E-2</v>
      </c>
      <c r="E249" s="15">
        <f>VLOOKUP(Table5[[#This Row],[Date]],'Fed Fund New'!$A:$C,2,FALSE)</f>
        <v>0</v>
      </c>
      <c r="F249" s="27">
        <v>0.02</v>
      </c>
    </row>
    <row r="250" spans="1:6" x14ac:dyDescent="0.2">
      <c r="A250" s="61">
        <v>31929</v>
      </c>
      <c r="B250" s="68">
        <f>VLOOKUP(Table5[[#This Row],[Date]],Database!A:E,5,)</f>
        <v>117.9</v>
      </c>
      <c r="C250" s="14">
        <f t="shared" si="6"/>
        <v>1.6992353440951813E-3</v>
      </c>
      <c r="D250" s="14">
        <f t="shared" si="7"/>
        <v>3.968253968253968E-2</v>
      </c>
      <c r="E250" s="15">
        <f>VLOOKUP(Table5[[#This Row],[Date]],'Fed Fund New'!$A:$C,2,FALSE)</f>
        <v>0</v>
      </c>
      <c r="F250" s="27">
        <v>0.02</v>
      </c>
    </row>
    <row r="251" spans="1:6" x14ac:dyDescent="0.2">
      <c r="A251" s="61">
        <v>31959</v>
      </c>
      <c r="B251" s="68">
        <f>VLOOKUP(Table5[[#This Row],[Date]],Database!A:E,5,)</f>
        <v>118.3</v>
      </c>
      <c r="C251" s="14">
        <f t="shared" si="6"/>
        <v>3.3927056827819462E-3</v>
      </c>
      <c r="D251" s="14">
        <f t="shared" si="7"/>
        <v>3.9543057996485061E-2</v>
      </c>
      <c r="E251" s="15">
        <f>VLOOKUP(Table5[[#This Row],[Date]],'Fed Fund New'!$A:$C,2,FALSE)</f>
        <v>0</v>
      </c>
      <c r="F251" s="27">
        <v>0.02</v>
      </c>
    </row>
    <row r="252" spans="1:6" x14ac:dyDescent="0.2">
      <c r="A252" s="61">
        <v>31990</v>
      </c>
      <c r="B252" s="68">
        <f>VLOOKUP(Table5[[#This Row],[Date]],Database!A:E,5,)</f>
        <v>118.7</v>
      </c>
      <c r="C252" s="14">
        <f t="shared" si="6"/>
        <v>3.3812341504649676E-3</v>
      </c>
      <c r="D252" s="14">
        <f t="shared" si="7"/>
        <v>3.9404553415061293E-2</v>
      </c>
      <c r="E252" s="15">
        <f>VLOOKUP(Table5[[#This Row],[Date]],'Fed Fund New'!$A:$C,2,FALSE)</f>
        <v>0</v>
      </c>
      <c r="F252" s="27">
        <v>0.02</v>
      </c>
    </row>
    <row r="253" spans="1:6" x14ac:dyDescent="0.2">
      <c r="A253" s="61">
        <v>32021</v>
      </c>
      <c r="B253" s="68">
        <f>VLOOKUP(Table5[[#This Row],[Date]],Database!A:E,5,)</f>
        <v>119.2</v>
      </c>
      <c r="C253" s="14">
        <f t="shared" si="6"/>
        <v>4.2122999157540014E-3</v>
      </c>
      <c r="D253" s="14">
        <f t="shared" si="7"/>
        <v>4.0139616055846497E-2</v>
      </c>
      <c r="E253" s="15">
        <f>VLOOKUP(Table5[[#This Row],[Date]],'Fed Fund New'!$A:$C,2,FALSE)</f>
        <v>0</v>
      </c>
      <c r="F253" s="27">
        <v>0.02</v>
      </c>
    </row>
    <row r="254" spans="1:6" x14ac:dyDescent="0.2">
      <c r="A254" s="61">
        <v>32051</v>
      </c>
      <c r="B254" s="68">
        <f>VLOOKUP(Table5[[#This Row],[Date]],Database!A:E,5,)</f>
        <v>119.8</v>
      </c>
      <c r="C254" s="14">
        <f t="shared" si="6"/>
        <v>5.0335570469798177E-3</v>
      </c>
      <c r="D254" s="14">
        <f t="shared" si="7"/>
        <v>4.1739130434782584E-2</v>
      </c>
      <c r="E254" s="15">
        <f>VLOOKUP(Table5[[#This Row],[Date]],'Fed Fund New'!$A:$C,2,FALSE)</f>
        <v>0</v>
      </c>
      <c r="F254" s="27">
        <v>0.02</v>
      </c>
    </row>
    <row r="255" spans="1:6" x14ac:dyDescent="0.2">
      <c r="A255" s="61">
        <v>32082</v>
      </c>
      <c r="B255" s="68">
        <f>VLOOKUP(Table5[[#This Row],[Date]],Database!A:E,5,)</f>
        <v>120.1</v>
      </c>
      <c r="C255" s="14">
        <f t="shared" si="6"/>
        <v>2.5041736227044841E-3</v>
      </c>
      <c r="D255" s="14">
        <f t="shared" si="7"/>
        <v>4.1630529054640049E-2</v>
      </c>
      <c r="E255" s="15">
        <f>VLOOKUP(Table5[[#This Row],[Date]],'Fed Fund New'!$A:$C,2,FALSE)</f>
        <v>0</v>
      </c>
      <c r="F255" s="27">
        <v>0.02</v>
      </c>
    </row>
    <row r="256" spans="1:6" x14ac:dyDescent="0.2">
      <c r="A256" s="61">
        <v>32112</v>
      </c>
      <c r="B256" s="68">
        <f>VLOOKUP(Table5[[#This Row],[Date]],Database!A:E,5,)</f>
        <v>120.4</v>
      </c>
      <c r="C256" s="14">
        <f t="shared" si="6"/>
        <v>2.4979184013323181E-3</v>
      </c>
      <c r="D256" s="14">
        <f t="shared" si="7"/>
        <v>4.1522491349481071E-2</v>
      </c>
      <c r="E256" s="15">
        <f>VLOOKUP(Table5[[#This Row],[Date]],'Fed Fund New'!$A:$C,2,FALSE)</f>
        <v>0</v>
      </c>
      <c r="F256" s="27">
        <v>0.02</v>
      </c>
    </row>
    <row r="257" spans="1:6" x14ac:dyDescent="0.2">
      <c r="A257" s="61">
        <v>32143</v>
      </c>
      <c r="B257" s="68">
        <f>VLOOKUP(Table5[[#This Row],[Date]],Database!A:E,5,)</f>
        <v>120.9</v>
      </c>
      <c r="C257" s="14">
        <f t="shared" si="6"/>
        <v>4.1528239202657802E-3</v>
      </c>
      <c r="D257" s="14">
        <f t="shared" si="7"/>
        <v>4.3140638481449521E-2</v>
      </c>
      <c r="E257" s="15">
        <f>VLOOKUP(Table5[[#This Row],[Date]],'Fed Fund New'!$A:$C,2,FALSE)</f>
        <v>0</v>
      </c>
      <c r="F257" s="27">
        <v>0.02</v>
      </c>
    </row>
    <row r="258" spans="1:6" x14ac:dyDescent="0.2">
      <c r="A258" s="61">
        <v>32174</v>
      </c>
      <c r="B258" s="68">
        <f>VLOOKUP(Table5[[#This Row],[Date]],Database!A:E,5,)</f>
        <v>121.2</v>
      </c>
      <c r="C258" s="14">
        <f t="shared" si="6"/>
        <v>2.4813895781637483E-3</v>
      </c>
      <c r="D258" s="14">
        <f t="shared" si="7"/>
        <v>4.3029259896729774E-2</v>
      </c>
      <c r="E258" s="15">
        <f>VLOOKUP(Table5[[#This Row],[Date]],'Fed Fund New'!$A:$C,2,FALSE)</f>
        <v>0</v>
      </c>
      <c r="F258" s="27">
        <v>0.02</v>
      </c>
    </row>
    <row r="259" spans="1:6" x14ac:dyDescent="0.2">
      <c r="A259" s="61">
        <v>32203</v>
      </c>
      <c r="B259" s="68">
        <f>VLOOKUP(Table5[[#This Row],[Date]],Database!A:E,5,)</f>
        <v>121.7</v>
      </c>
      <c r="C259" s="14">
        <f t="shared" si="6"/>
        <v>4.125412541254125E-3</v>
      </c>
      <c r="D259" s="14">
        <f t="shared" si="7"/>
        <v>4.3739279588336268E-2</v>
      </c>
      <c r="E259" s="15">
        <f>VLOOKUP(Table5[[#This Row],[Date]],'Fed Fund New'!$A:$C,2,FALSE)</f>
        <v>0</v>
      </c>
      <c r="F259" s="27">
        <v>0.02</v>
      </c>
    </row>
    <row r="260" spans="1:6" x14ac:dyDescent="0.2">
      <c r="A260" s="61">
        <v>32234</v>
      </c>
      <c r="B260" s="68">
        <f>VLOOKUP(Table5[[#This Row],[Date]],Database!A:E,5,)</f>
        <v>122.3</v>
      </c>
      <c r="C260" s="14">
        <f t="shared" si="6"/>
        <v>4.9301561216104706E-3</v>
      </c>
      <c r="D260" s="14">
        <f t="shared" si="7"/>
        <v>4.2625745950554135E-2</v>
      </c>
      <c r="E260" s="15">
        <f>VLOOKUP(Table5[[#This Row],[Date]],'Fed Fund New'!$A:$C,2,FALSE)</f>
        <v>0</v>
      </c>
      <c r="F260" s="27">
        <v>0.02</v>
      </c>
    </row>
    <row r="261" spans="1:6" x14ac:dyDescent="0.2">
      <c r="A261" s="61">
        <v>32264</v>
      </c>
      <c r="B261" s="68">
        <f>VLOOKUP(Table5[[#This Row],[Date]],Database!A:E,5,)</f>
        <v>122.7</v>
      </c>
      <c r="C261" s="14">
        <f t="shared" si="6"/>
        <v>3.2706459525756802E-3</v>
      </c>
      <c r="D261" s="14">
        <f t="shared" si="7"/>
        <v>4.2480883602378929E-2</v>
      </c>
      <c r="E261" s="15">
        <f>VLOOKUP(Table5[[#This Row],[Date]],'Fed Fund New'!$A:$C,2,FALSE)</f>
        <v>0</v>
      </c>
      <c r="F261" s="27">
        <v>0.02</v>
      </c>
    </row>
    <row r="262" spans="1:6" x14ac:dyDescent="0.2">
      <c r="A262" s="61">
        <v>32295</v>
      </c>
      <c r="B262" s="68">
        <f>VLOOKUP(Table5[[#This Row],[Date]],Database!A:E,5,)</f>
        <v>123.2</v>
      </c>
      <c r="C262" s="14">
        <f t="shared" ref="C262:C325" si="8">(B262-B261)/B261</f>
        <v>4.0749796251018742E-3</v>
      </c>
      <c r="D262" s="14">
        <f t="shared" si="7"/>
        <v>4.4953350296861719E-2</v>
      </c>
      <c r="E262" s="15">
        <f>VLOOKUP(Table5[[#This Row],[Date]],'Fed Fund New'!$A:$C,2,FALSE)</f>
        <v>0</v>
      </c>
      <c r="F262" s="27">
        <v>0.02</v>
      </c>
    </row>
    <row r="263" spans="1:6" x14ac:dyDescent="0.2">
      <c r="A263" s="61">
        <v>32325</v>
      </c>
      <c r="B263" s="68">
        <f>VLOOKUP(Table5[[#This Row],[Date]],Database!A:E,5,)</f>
        <v>123.6</v>
      </c>
      <c r="C263" s="14">
        <f t="shared" si="8"/>
        <v>3.2467532467531776E-3</v>
      </c>
      <c r="D263" s="14">
        <f t="shared" si="7"/>
        <v>4.4801352493660164E-2</v>
      </c>
      <c r="E263" s="15">
        <f>VLOOKUP(Table5[[#This Row],[Date]],'Fed Fund New'!$A:$C,2,FALSE)</f>
        <v>0</v>
      </c>
      <c r="F263" s="27">
        <v>0.02</v>
      </c>
    </row>
    <row r="264" spans="1:6" x14ac:dyDescent="0.2">
      <c r="A264" s="61">
        <v>32356</v>
      </c>
      <c r="B264" s="68">
        <f>VLOOKUP(Table5[[#This Row],[Date]],Database!A:E,5,)</f>
        <v>124</v>
      </c>
      <c r="C264" s="14">
        <f t="shared" si="8"/>
        <v>3.2362459546926028E-3</v>
      </c>
      <c r="D264" s="14">
        <f t="shared" si="7"/>
        <v>4.4650379106992391E-2</v>
      </c>
      <c r="E264" s="15">
        <f>VLOOKUP(Table5[[#This Row],[Date]],'Fed Fund New'!$A:$C,2,FALSE)</f>
        <v>0</v>
      </c>
      <c r="F264" s="27">
        <v>0.02</v>
      </c>
    </row>
    <row r="265" spans="1:6" x14ac:dyDescent="0.2">
      <c r="A265" s="61">
        <v>32387</v>
      </c>
      <c r="B265" s="68">
        <f>VLOOKUP(Table5[[#This Row],[Date]],Database!A:E,5,)</f>
        <v>124.7</v>
      </c>
      <c r="C265" s="14">
        <f t="shared" si="8"/>
        <v>5.6451612903226037E-3</v>
      </c>
      <c r="D265" s="14">
        <f t="shared" si="7"/>
        <v>4.6140939597315432E-2</v>
      </c>
      <c r="E265" s="15">
        <f>VLOOKUP(Table5[[#This Row],[Date]],'Fed Fund New'!$A:$C,2,FALSE)</f>
        <v>0</v>
      </c>
      <c r="F265" s="27">
        <v>0.02</v>
      </c>
    </row>
    <row r="266" spans="1:6" x14ac:dyDescent="0.2">
      <c r="A266" s="61">
        <v>32417</v>
      </c>
      <c r="B266" s="68">
        <f>VLOOKUP(Table5[[#This Row],[Date]],Database!A:E,5,)</f>
        <v>125.2</v>
      </c>
      <c r="C266" s="14">
        <f t="shared" si="8"/>
        <v>4.0096230954290296E-3</v>
      </c>
      <c r="D266" s="14">
        <f t="shared" si="7"/>
        <v>4.5075125208681184E-2</v>
      </c>
      <c r="E266" s="15">
        <f>VLOOKUP(Table5[[#This Row],[Date]],'Fed Fund New'!$A:$C,2,FALSE)</f>
        <v>0</v>
      </c>
      <c r="F266" s="27">
        <v>0.02</v>
      </c>
    </row>
    <row r="267" spans="1:6" x14ac:dyDescent="0.2">
      <c r="A267" s="61">
        <v>32448</v>
      </c>
      <c r="B267" s="68">
        <f>VLOOKUP(Table5[[#This Row],[Date]],Database!A:E,5,)</f>
        <v>125.6</v>
      </c>
      <c r="C267" s="14">
        <f t="shared" si="8"/>
        <v>3.1948881789136698E-3</v>
      </c>
      <c r="D267" s="14">
        <f t="shared" si="7"/>
        <v>4.5795170691090757E-2</v>
      </c>
      <c r="E267" s="15">
        <f>VLOOKUP(Table5[[#This Row],[Date]],'Fed Fund New'!$A:$C,2,FALSE)</f>
        <v>0</v>
      </c>
      <c r="F267" s="27">
        <v>0.02</v>
      </c>
    </row>
    <row r="268" spans="1:6" x14ac:dyDescent="0.2">
      <c r="A268" s="61">
        <v>32478</v>
      </c>
      <c r="B268" s="68">
        <f>VLOOKUP(Table5[[#This Row],[Date]],Database!A:E,5,)</f>
        <v>126</v>
      </c>
      <c r="C268" s="14">
        <f t="shared" si="8"/>
        <v>3.1847133757962236E-3</v>
      </c>
      <c r="D268" s="14">
        <f t="shared" si="7"/>
        <v>4.6511627906976695E-2</v>
      </c>
      <c r="E268" s="15">
        <f>VLOOKUP(Table5[[#This Row],[Date]],'Fed Fund New'!$A:$C,2,FALSE)</f>
        <v>0</v>
      </c>
      <c r="F268" s="27">
        <v>0.02</v>
      </c>
    </row>
    <row r="269" spans="1:6" x14ac:dyDescent="0.2">
      <c r="A269" s="61">
        <v>32509</v>
      </c>
      <c r="B269" s="68">
        <f>VLOOKUP(Table5[[#This Row],[Date]],Database!A:E,5,)</f>
        <v>126.5</v>
      </c>
      <c r="C269" s="14">
        <f t="shared" si="8"/>
        <v>3.968253968253968E-3</v>
      </c>
      <c r="D269" s="14">
        <f t="shared" si="7"/>
        <v>4.631927212572369E-2</v>
      </c>
      <c r="E269" s="15">
        <f>VLOOKUP(Table5[[#This Row],[Date]],'Fed Fund New'!$A:$C,2,FALSE)</f>
        <v>0</v>
      </c>
      <c r="F269" s="27">
        <v>0.02</v>
      </c>
    </row>
    <row r="270" spans="1:6" x14ac:dyDescent="0.2">
      <c r="A270" s="61">
        <v>32540</v>
      </c>
      <c r="B270" s="68">
        <f>VLOOKUP(Table5[[#This Row],[Date]],Database!A:E,5,)</f>
        <v>126.9</v>
      </c>
      <c r="C270" s="14">
        <f t="shared" si="8"/>
        <v>3.1620553359684245E-3</v>
      </c>
      <c r="D270" s="14">
        <f t="shared" si="7"/>
        <v>4.7029702970297051E-2</v>
      </c>
      <c r="E270" s="15">
        <f>VLOOKUP(Table5[[#This Row],[Date]],'Fed Fund New'!$A:$C,2,FALSE)</f>
        <v>0</v>
      </c>
      <c r="F270" s="27">
        <v>0.02</v>
      </c>
    </row>
    <row r="271" spans="1:6" x14ac:dyDescent="0.2">
      <c r="A271" s="61">
        <v>32568</v>
      </c>
      <c r="B271" s="68">
        <f>VLOOKUP(Table5[[#This Row],[Date]],Database!A:E,5,)</f>
        <v>127.4</v>
      </c>
      <c r="C271" s="14">
        <f t="shared" si="8"/>
        <v>3.9401103230890461E-3</v>
      </c>
      <c r="D271" s="14">
        <f t="shared" si="7"/>
        <v>4.6836483155299938E-2</v>
      </c>
      <c r="E271" s="15">
        <f>VLOOKUP(Table5[[#This Row],[Date]],'Fed Fund New'!$A:$C,2,FALSE)</f>
        <v>0</v>
      </c>
      <c r="F271" s="27">
        <v>0.02</v>
      </c>
    </row>
    <row r="272" spans="1:6" x14ac:dyDescent="0.2">
      <c r="A272" s="61">
        <v>32599</v>
      </c>
      <c r="B272" s="68">
        <f>VLOOKUP(Table5[[#This Row],[Date]],Database!A:E,5,)</f>
        <v>127.8</v>
      </c>
      <c r="C272" s="14">
        <f t="shared" si="8"/>
        <v>3.1397174254316441E-3</v>
      </c>
      <c r="D272" s="14">
        <f t="shared" si="7"/>
        <v>4.4971381847914965E-2</v>
      </c>
      <c r="E272" s="15">
        <f>VLOOKUP(Table5[[#This Row],[Date]],'Fed Fund New'!$A:$C,2,FALSE)</f>
        <v>0</v>
      </c>
      <c r="F272" s="27">
        <v>0.02</v>
      </c>
    </row>
    <row r="273" spans="1:6" x14ac:dyDescent="0.2">
      <c r="A273" s="61">
        <v>32629</v>
      </c>
      <c r="B273" s="68">
        <f>VLOOKUP(Table5[[#This Row],[Date]],Database!A:E,5,)</f>
        <v>128.30000000000001</v>
      </c>
      <c r="C273" s="14">
        <f t="shared" si="8"/>
        <v>3.9123630672927559E-3</v>
      </c>
      <c r="D273" s="14">
        <f t="shared" ref="D273:D336" si="9">(B273-B261)/B261</f>
        <v>4.5639771801141066E-2</v>
      </c>
      <c r="E273" s="15">
        <f>VLOOKUP(Table5[[#This Row],[Date]],'Fed Fund New'!$A:$C,2,FALSE)</f>
        <v>0</v>
      </c>
      <c r="F273" s="27">
        <v>0.02</v>
      </c>
    </row>
    <row r="274" spans="1:6" x14ac:dyDescent="0.2">
      <c r="A274" s="61">
        <v>32660</v>
      </c>
      <c r="B274" s="68">
        <f>VLOOKUP(Table5[[#This Row],[Date]],Database!A:E,5,)</f>
        <v>128.80000000000001</v>
      </c>
      <c r="C274" s="14">
        <f t="shared" si="8"/>
        <v>3.8971161340607945E-3</v>
      </c>
      <c r="D274" s="14">
        <f t="shared" si="9"/>
        <v>4.5454545454545525E-2</v>
      </c>
      <c r="E274" s="15">
        <f>VLOOKUP(Table5[[#This Row],[Date]],'Fed Fund New'!$A:$C,2,FALSE)</f>
        <v>0</v>
      </c>
      <c r="F274" s="27">
        <v>0.02</v>
      </c>
    </row>
    <row r="275" spans="1:6" x14ac:dyDescent="0.2">
      <c r="A275" s="61">
        <v>32690</v>
      </c>
      <c r="B275" s="68">
        <f>VLOOKUP(Table5[[#This Row],[Date]],Database!A:E,5,)</f>
        <v>129.19999999999999</v>
      </c>
      <c r="C275" s="14">
        <f t="shared" si="8"/>
        <v>3.1055900621116245E-3</v>
      </c>
      <c r="D275" s="14">
        <f t="shared" si="9"/>
        <v>4.5307443365695747E-2</v>
      </c>
      <c r="E275" s="15">
        <f>VLOOKUP(Table5[[#This Row],[Date]],'Fed Fund New'!$A:$C,2,FALSE)</f>
        <v>0</v>
      </c>
      <c r="F275" s="27">
        <v>0.02</v>
      </c>
    </row>
    <row r="276" spans="1:6" x14ac:dyDescent="0.2">
      <c r="A276" s="61">
        <v>32721</v>
      </c>
      <c r="B276" s="68">
        <f>VLOOKUP(Table5[[#This Row],[Date]],Database!A:E,5,)</f>
        <v>129.5</v>
      </c>
      <c r="C276" s="14">
        <f t="shared" si="8"/>
        <v>2.3219814241486952E-3</v>
      </c>
      <c r="D276" s="14">
        <f t="shared" si="9"/>
        <v>4.4354838709677422E-2</v>
      </c>
      <c r="E276" s="15">
        <f>VLOOKUP(Table5[[#This Row],[Date]],'Fed Fund New'!$A:$C,2,FALSE)</f>
        <v>0</v>
      </c>
      <c r="F276" s="27">
        <v>0.02</v>
      </c>
    </row>
    <row r="277" spans="1:6" x14ac:dyDescent="0.2">
      <c r="A277" s="61">
        <v>32752</v>
      </c>
      <c r="B277" s="68">
        <f>VLOOKUP(Table5[[#This Row],[Date]],Database!A:E,5,)</f>
        <v>129.9</v>
      </c>
      <c r="C277" s="14">
        <f t="shared" si="8"/>
        <v>3.0888030888031326E-3</v>
      </c>
      <c r="D277" s="14">
        <f t="shared" si="9"/>
        <v>4.1700080192461929E-2</v>
      </c>
      <c r="E277" s="15">
        <f>VLOOKUP(Table5[[#This Row],[Date]],'Fed Fund New'!$A:$C,2,FALSE)</f>
        <v>0</v>
      </c>
      <c r="F277" s="27">
        <v>0.02</v>
      </c>
    </row>
    <row r="278" spans="1:6" x14ac:dyDescent="0.2">
      <c r="A278" s="61">
        <v>32782</v>
      </c>
      <c r="B278" s="68">
        <f>VLOOKUP(Table5[[#This Row],[Date]],Database!A:E,5,)</f>
        <v>130.6</v>
      </c>
      <c r="C278" s="14">
        <f t="shared" si="8"/>
        <v>5.3887605850653471E-3</v>
      </c>
      <c r="D278" s="14">
        <f t="shared" si="9"/>
        <v>4.3130990415335392E-2</v>
      </c>
      <c r="E278" s="15">
        <f>VLOOKUP(Table5[[#This Row],[Date]],'Fed Fund New'!$A:$C,2,FALSE)</f>
        <v>0</v>
      </c>
      <c r="F278" s="27">
        <v>0.02</v>
      </c>
    </row>
    <row r="279" spans="1:6" x14ac:dyDescent="0.2">
      <c r="A279" s="61">
        <v>32813</v>
      </c>
      <c r="B279" s="68">
        <f>VLOOKUP(Table5[[#This Row],[Date]],Database!A:E,5,)</f>
        <v>131.1</v>
      </c>
      <c r="C279" s="14">
        <f t="shared" si="8"/>
        <v>3.8284839203675345E-3</v>
      </c>
      <c r="D279" s="14">
        <f t="shared" si="9"/>
        <v>4.3789808917197456E-2</v>
      </c>
      <c r="E279" s="15">
        <f>VLOOKUP(Table5[[#This Row],[Date]],'Fed Fund New'!$A:$C,2,FALSE)</f>
        <v>0</v>
      </c>
      <c r="F279" s="27">
        <v>0.02</v>
      </c>
    </row>
    <row r="280" spans="1:6" x14ac:dyDescent="0.2">
      <c r="A280" s="61">
        <v>32843</v>
      </c>
      <c r="B280" s="68">
        <f>VLOOKUP(Table5[[#This Row],[Date]],Database!A:E,5,)</f>
        <v>131.6</v>
      </c>
      <c r="C280" s="14">
        <f t="shared" si="8"/>
        <v>3.8138825324180018E-3</v>
      </c>
      <c r="D280" s="14">
        <f t="shared" si="9"/>
        <v>4.4444444444444398E-2</v>
      </c>
      <c r="E280" s="15">
        <f>VLOOKUP(Table5[[#This Row],[Date]],'Fed Fund New'!$A:$C,2,FALSE)</f>
        <v>0</v>
      </c>
      <c r="F280" s="27">
        <v>0.02</v>
      </c>
    </row>
    <row r="281" spans="1:6" x14ac:dyDescent="0.2">
      <c r="A281" s="61">
        <v>32874</v>
      </c>
      <c r="B281" s="68">
        <f>VLOOKUP(Table5[[#This Row],[Date]],Database!A:E,5,)</f>
        <v>132.1</v>
      </c>
      <c r="C281" s="14">
        <f t="shared" si="8"/>
        <v>3.7993920972644378E-3</v>
      </c>
      <c r="D281" s="14">
        <f t="shared" si="9"/>
        <v>4.4268774703557265E-2</v>
      </c>
      <c r="E281" s="15">
        <f>VLOOKUP(Table5[[#This Row],[Date]],'Fed Fund New'!$A:$C,2,FALSE)</f>
        <v>0</v>
      </c>
      <c r="F281" s="27">
        <v>0.02</v>
      </c>
    </row>
    <row r="282" spans="1:6" x14ac:dyDescent="0.2">
      <c r="A282" s="61">
        <v>32905</v>
      </c>
      <c r="B282" s="68">
        <f>VLOOKUP(Table5[[#This Row],[Date]],Database!A:E,5,)</f>
        <v>132.69999999999999</v>
      </c>
      <c r="C282" s="14">
        <f t="shared" si="8"/>
        <v>4.5420136260408356E-3</v>
      </c>
      <c r="D282" s="14">
        <f t="shared" si="9"/>
        <v>4.5705279747832804E-2</v>
      </c>
      <c r="E282" s="15">
        <f>VLOOKUP(Table5[[#This Row],[Date]],'Fed Fund New'!$A:$C,2,FALSE)</f>
        <v>0</v>
      </c>
      <c r="F282" s="27">
        <v>0.02</v>
      </c>
    </row>
    <row r="283" spans="1:6" x14ac:dyDescent="0.2">
      <c r="A283" s="61">
        <v>32933</v>
      </c>
      <c r="B283" s="68">
        <f>VLOOKUP(Table5[[#This Row],[Date]],Database!A:E,5,)</f>
        <v>133.5</v>
      </c>
      <c r="C283" s="14">
        <f t="shared" si="8"/>
        <v>6.028636021100312E-3</v>
      </c>
      <c r="D283" s="14">
        <f t="shared" si="9"/>
        <v>4.7880690737833548E-2</v>
      </c>
      <c r="E283" s="15">
        <f>VLOOKUP(Table5[[#This Row],[Date]],'Fed Fund New'!$A:$C,2,FALSE)</f>
        <v>0</v>
      </c>
      <c r="F283" s="27">
        <v>0.02</v>
      </c>
    </row>
    <row r="284" spans="1:6" x14ac:dyDescent="0.2">
      <c r="A284" s="61">
        <v>32964</v>
      </c>
      <c r="B284" s="68">
        <f>VLOOKUP(Table5[[#This Row],[Date]],Database!A:E,5,)</f>
        <v>134</v>
      </c>
      <c r="C284" s="14">
        <f t="shared" si="8"/>
        <v>3.7453183520599251E-3</v>
      </c>
      <c r="D284" s="14">
        <f t="shared" si="9"/>
        <v>4.8513302034428815E-2</v>
      </c>
      <c r="E284" s="15">
        <f>VLOOKUP(Table5[[#This Row],[Date]],'Fed Fund New'!$A:$C,2,FALSE)</f>
        <v>0</v>
      </c>
      <c r="F284" s="27">
        <v>0.02</v>
      </c>
    </row>
    <row r="285" spans="1:6" x14ac:dyDescent="0.2">
      <c r="A285" s="61">
        <v>32994</v>
      </c>
      <c r="B285" s="68">
        <f>VLOOKUP(Table5[[#This Row],[Date]],Database!A:E,5,)</f>
        <v>134.4</v>
      </c>
      <c r="C285" s="14">
        <f t="shared" si="8"/>
        <v>2.9850746268657142E-3</v>
      </c>
      <c r="D285" s="14">
        <f t="shared" si="9"/>
        <v>4.7544816835541653E-2</v>
      </c>
      <c r="E285" s="15">
        <f>VLOOKUP(Table5[[#This Row],[Date]],'Fed Fund New'!$A:$C,2,FALSE)</f>
        <v>0</v>
      </c>
      <c r="F285" s="27">
        <v>0.02</v>
      </c>
    </row>
    <row r="286" spans="1:6" x14ac:dyDescent="0.2">
      <c r="A286" s="61">
        <v>33025</v>
      </c>
      <c r="B286" s="68">
        <f>VLOOKUP(Table5[[#This Row],[Date]],Database!A:E,5,)</f>
        <v>135.1</v>
      </c>
      <c r="C286" s="14">
        <f t="shared" si="8"/>
        <v>5.2083333333332489E-3</v>
      </c>
      <c r="D286" s="14">
        <f t="shared" si="9"/>
        <v>4.8913043478260733E-2</v>
      </c>
      <c r="E286" s="15">
        <f>VLOOKUP(Table5[[#This Row],[Date]],'Fed Fund New'!$A:$C,2,FALSE)</f>
        <v>0</v>
      </c>
      <c r="F286" s="27">
        <v>0.02</v>
      </c>
    </row>
    <row r="287" spans="1:6" x14ac:dyDescent="0.2">
      <c r="A287" s="61">
        <v>33055</v>
      </c>
      <c r="B287" s="68">
        <f>VLOOKUP(Table5[[#This Row],[Date]],Database!A:E,5,)</f>
        <v>135.80000000000001</v>
      </c>
      <c r="C287" s="14">
        <f t="shared" si="8"/>
        <v>5.1813471502591942E-3</v>
      </c>
      <c r="D287" s="14">
        <f t="shared" si="9"/>
        <v>5.108359133126953E-2</v>
      </c>
      <c r="E287" s="15">
        <f>VLOOKUP(Table5[[#This Row],[Date]],'Fed Fund New'!$A:$C,2,FALSE)</f>
        <v>0</v>
      </c>
      <c r="F287" s="27">
        <v>0.02</v>
      </c>
    </row>
    <row r="288" spans="1:6" x14ac:dyDescent="0.2">
      <c r="A288" s="61">
        <v>33086</v>
      </c>
      <c r="B288" s="68">
        <f>VLOOKUP(Table5[[#This Row],[Date]],Database!A:E,5,)</f>
        <v>136.6</v>
      </c>
      <c r="C288" s="14">
        <f t="shared" si="8"/>
        <v>5.8910162002944249E-3</v>
      </c>
      <c r="D288" s="14">
        <f t="shared" si="9"/>
        <v>5.4826254826254785E-2</v>
      </c>
      <c r="E288" s="15">
        <f>VLOOKUP(Table5[[#This Row],[Date]],'Fed Fund New'!$A:$C,2,FALSE)</f>
        <v>0</v>
      </c>
      <c r="F288" s="27">
        <v>0.02</v>
      </c>
    </row>
    <row r="289" spans="1:6" x14ac:dyDescent="0.2">
      <c r="A289" s="61">
        <v>33117</v>
      </c>
      <c r="B289" s="68">
        <f>VLOOKUP(Table5[[#This Row],[Date]],Database!A:E,5,)</f>
        <v>137.1</v>
      </c>
      <c r="C289" s="14">
        <f t="shared" si="8"/>
        <v>3.6603221083455345E-3</v>
      </c>
      <c r="D289" s="14">
        <f t="shared" si="9"/>
        <v>5.5427251732101529E-2</v>
      </c>
      <c r="E289" s="15">
        <f>VLOOKUP(Table5[[#This Row],[Date]],'Fed Fund New'!$A:$C,2,FALSE)</f>
        <v>0</v>
      </c>
      <c r="F289" s="27">
        <v>0.02</v>
      </c>
    </row>
    <row r="290" spans="1:6" x14ac:dyDescent="0.2">
      <c r="A290" s="61">
        <v>33147</v>
      </c>
      <c r="B290" s="68">
        <f>VLOOKUP(Table5[[#This Row],[Date]],Database!A:E,5,)</f>
        <v>137.6</v>
      </c>
      <c r="C290" s="14">
        <f t="shared" si="8"/>
        <v>3.6469730123997084E-3</v>
      </c>
      <c r="D290" s="14">
        <f t="shared" si="9"/>
        <v>5.3598774885145486E-2</v>
      </c>
      <c r="E290" s="15">
        <f>VLOOKUP(Table5[[#This Row],[Date]],'Fed Fund New'!$A:$C,2,FALSE)</f>
        <v>0</v>
      </c>
      <c r="F290" s="27">
        <v>0.02</v>
      </c>
    </row>
    <row r="291" spans="1:6" x14ac:dyDescent="0.2">
      <c r="A291" s="61">
        <v>33178</v>
      </c>
      <c r="B291" s="68">
        <f>VLOOKUP(Table5[[#This Row],[Date]],Database!A:E,5,)</f>
        <v>138</v>
      </c>
      <c r="C291" s="14">
        <f t="shared" si="8"/>
        <v>2.9069767441860881E-3</v>
      </c>
      <c r="D291" s="14">
        <f t="shared" si="9"/>
        <v>5.2631578947368467E-2</v>
      </c>
      <c r="E291" s="15">
        <f>VLOOKUP(Table5[[#This Row],[Date]],'Fed Fund New'!$A:$C,2,FALSE)</f>
        <v>0</v>
      </c>
      <c r="F291" s="27">
        <v>0.02</v>
      </c>
    </row>
    <row r="292" spans="1:6" x14ac:dyDescent="0.2">
      <c r="A292" s="61">
        <v>33208</v>
      </c>
      <c r="B292" s="68">
        <f>VLOOKUP(Table5[[#This Row],[Date]],Database!A:E,5,)</f>
        <v>138.6</v>
      </c>
      <c r="C292" s="14">
        <f t="shared" si="8"/>
        <v>4.3478260869564802E-3</v>
      </c>
      <c r="D292" s="14">
        <f t="shared" si="9"/>
        <v>5.3191489361702128E-2</v>
      </c>
      <c r="E292" s="15">
        <f>VLOOKUP(Table5[[#This Row],[Date]],'Fed Fund New'!$A:$C,2,FALSE)</f>
        <v>0</v>
      </c>
      <c r="F292" s="27">
        <v>0.02</v>
      </c>
    </row>
    <row r="293" spans="1:6" x14ac:dyDescent="0.2">
      <c r="A293" s="61">
        <v>33239</v>
      </c>
      <c r="B293" s="68">
        <f>VLOOKUP(Table5[[#This Row],[Date]],Database!A:E,5,)</f>
        <v>139.5</v>
      </c>
      <c r="C293" s="14">
        <f t="shared" si="8"/>
        <v>6.4935064935065347E-3</v>
      </c>
      <c r="D293" s="14">
        <f t="shared" si="9"/>
        <v>5.6018168054504207E-2</v>
      </c>
      <c r="E293" s="15">
        <f>VLOOKUP(Table5[[#This Row],[Date]],'Fed Fund New'!$A:$C,2,FALSE)</f>
        <v>0</v>
      </c>
      <c r="F293" s="27">
        <v>0.02</v>
      </c>
    </row>
    <row r="294" spans="1:6" x14ac:dyDescent="0.2">
      <c r="A294" s="61">
        <v>33270</v>
      </c>
      <c r="B294" s="68">
        <f>VLOOKUP(Table5[[#This Row],[Date]],Database!A:E,5,)</f>
        <v>140.19999999999999</v>
      </c>
      <c r="C294" s="14">
        <f t="shared" si="8"/>
        <v>5.0179211469533235E-3</v>
      </c>
      <c r="D294" s="14">
        <f t="shared" si="9"/>
        <v>5.6518462697814624E-2</v>
      </c>
      <c r="E294" s="15">
        <f>VLOOKUP(Table5[[#This Row],[Date]],'Fed Fund New'!$A:$C,2,FALSE)</f>
        <v>0</v>
      </c>
      <c r="F294" s="27">
        <v>0.02</v>
      </c>
    </row>
    <row r="295" spans="1:6" x14ac:dyDescent="0.2">
      <c r="A295" s="61">
        <v>33298</v>
      </c>
      <c r="B295" s="68">
        <f>VLOOKUP(Table5[[#This Row],[Date]],Database!A:E,5,)</f>
        <v>140.5</v>
      </c>
      <c r="C295" s="14">
        <f t="shared" si="8"/>
        <v>2.1398002853067859E-3</v>
      </c>
      <c r="D295" s="14">
        <f t="shared" si="9"/>
        <v>5.2434456928838954E-2</v>
      </c>
      <c r="E295" s="15">
        <f>VLOOKUP(Table5[[#This Row],[Date]],'Fed Fund New'!$A:$C,2,FALSE)</f>
        <v>0</v>
      </c>
      <c r="F295" s="27">
        <v>0.02</v>
      </c>
    </row>
    <row r="296" spans="1:6" x14ac:dyDescent="0.2">
      <c r="A296" s="61">
        <v>33329</v>
      </c>
      <c r="B296" s="68">
        <f>VLOOKUP(Table5[[#This Row],[Date]],Database!A:E,5,)</f>
        <v>140.9</v>
      </c>
      <c r="C296" s="14">
        <f t="shared" si="8"/>
        <v>2.8469750889680121E-3</v>
      </c>
      <c r="D296" s="14">
        <f t="shared" si="9"/>
        <v>5.1492537313432875E-2</v>
      </c>
      <c r="E296" s="15">
        <f>VLOOKUP(Table5[[#This Row],[Date]],'Fed Fund New'!$A:$C,2,FALSE)</f>
        <v>0</v>
      </c>
      <c r="F296" s="27">
        <v>0.02</v>
      </c>
    </row>
    <row r="297" spans="1:6" x14ac:dyDescent="0.2">
      <c r="A297" s="61">
        <v>33359</v>
      </c>
      <c r="B297" s="68">
        <f>VLOOKUP(Table5[[#This Row],[Date]],Database!A:E,5,)</f>
        <v>141.30000000000001</v>
      </c>
      <c r="C297" s="14">
        <f t="shared" si="8"/>
        <v>2.8388928317956402E-3</v>
      </c>
      <c r="D297" s="14">
        <f t="shared" si="9"/>
        <v>5.1339285714285754E-2</v>
      </c>
      <c r="E297" s="15">
        <f>VLOOKUP(Table5[[#This Row],[Date]],'Fed Fund New'!$A:$C,2,FALSE)</f>
        <v>0</v>
      </c>
      <c r="F297" s="27">
        <v>0.02</v>
      </c>
    </row>
    <row r="298" spans="1:6" x14ac:dyDescent="0.2">
      <c r="A298" s="61">
        <v>33390</v>
      </c>
      <c r="B298" s="68">
        <f>VLOOKUP(Table5[[#This Row],[Date]],Database!A:E,5,)</f>
        <v>141.80000000000001</v>
      </c>
      <c r="C298" s="14">
        <f t="shared" si="8"/>
        <v>3.5385704175513091E-3</v>
      </c>
      <c r="D298" s="14">
        <f t="shared" si="9"/>
        <v>4.959289415247977E-2</v>
      </c>
      <c r="E298" s="15">
        <f>VLOOKUP(Table5[[#This Row],[Date]],'Fed Fund New'!$A:$C,2,FALSE)</f>
        <v>0</v>
      </c>
      <c r="F298" s="27">
        <v>0.02</v>
      </c>
    </row>
    <row r="299" spans="1:6" x14ac:dyDescent="0.2">
      <c r="A299" s="61">
        <v>33420</v>
      </c>
      <c r="B299" s="68">
        <f>VLOOKUP(Table5[[#This Row],[Date]],Database!A:E,5,)</f>
        <v>142.30000000000001</v>
      </c>
      <c r="C299" s="14">
        <f t="shared" si="8"/>
        <v>3.5260930888575456E-3</v>
      </c>
      <c r="D299" s="14">
        <f t="shared" si="9"/>
        <v>4.7864506627393222E-2</v>
      </c>
      <c r="E299" s="15">
        <f>VLOOKUP(Table5[[#This Row],[Date]],'Fed Fund New'!$A:$C,2,FALSE)</f>
        <v>0</v>
      </c>
      <c r="F299" s="27">
        <v>0.02</v>
      </c>
    </row>
    <row r="300" spans="1:6" x14ac:dyDescent="0.2">
      <c r="A300" s="61">
        <v>33451</v>
      </c>
      <c r="B300" s="68">
        <f>VLOOKUP(Table5[[#This Row],[Date]],Database!A:E,5,)</f>
        <v>142.9</v>
      </c>
      <c r="C300" s="14">
        <f t="shared" si="8"/>
        <v>4.2164441321152091E-3</v>
      </c>
      <c r="D300" s="14">
        <f t="shared" si="9"/>
        <v>4.6120058565153818E-2</v>
      </c>
      <c r="E300" s="15">
        <f>VLOOKUP(Table5[[#This Row],[Date]],'Fed Fund New'!$A:$C,2,FALSE)</f>
        <v>0</v>
      </c>
      <c r="F300" s="27">
        <v>0.02</v>
      </c>
    </row>
    <row r="301" spans="1:6" x14ac:dyDescent="0.2">
      <c r="A301" s="61">
        <v>33482</v>
      </c>
      <c r="B301" s="68">
        <f>VLOOKUP(Table5[[#This Row],[Date]],Database!A:E,5,)</f>
        <v>143.4</v>
      </c>
      <c r="C301" s="14">
        <f t="shared" si="8"/>
        <v>3.4989503149055281E-3</v>
      </c>
      <c r="D301" s="14">
        <f t="shared" si="9"/>
        <v>4.5951859956236407E-2</v>
      </c>
      <c r="E301" s="15">
        <f>VLOOKUP(Table5[[#This Row],[Date]],'Fed Fund New'!$A:$C,2,FALSE)</f>
        <v>0</v>
      </c>
      <c r="F301" s="27">
        <v>0.02</v>
      </c>
    </row>
    <row r="302" spans="1:6" x14ac:dyDescent="0.2">
      <c r="A302" s="61">
        <v>33512</v>
      </c>
      <c r="B302" s="68">
        <f>VLOOKUP(Table5[[#This Row],[Date]],Database!A:E,5,)</f>
        <v>143.69999999999999</v>
      </c>
      <c r="C302" s="14">
        <f t="shared" si="8"/>
        <v>2.0920502092049019E-3</v>
      </c>
      <c r="D302" s="14">
        <f t="shared" si="9"/>
        <v>4.433139534883717E-2</v>
      </c>
      <c r="E302" s="15">
        <f>VLOOKUP(Table5[[#This Row],[Date]],'Fed Fund New'!$A:$C,2,FALSE)</f>
        <v>0</v>
      </c>
      <c r="F302" s="27">
        <v>0.02</v>
      </c>
    </row>
    <row r="303" spans="1:6" x14ac:dyDescent="0.2">
      <c r="A303" s="61">
        <v>33543</v>
      </c>
      <c r="B303" s="68">
        <f>VLOOKUP(Table5[[#This Row],[Date]],Database!A:E,5,)</f>
        <v>144.19999999999999</v>
      </c>
      <c r="C303" s="14">
        <f t="shared" si="8"/>
        <v>3.4794711203897009E-3</v>
      </c>
      <c r="D303" s="14">
        <f t="shared" si="9"/>
        <v>4.4927536231883974E-2</v>
      </c>
      <c r="E303" s="15">
        <f>VLOOKUP(Table5[[#This Row],[Date]],'Fed Fund New'!$A:$C,2,FALSE)</f>
        <v>0</v>
      </c>
      <c r="F303" s="27">
        <v>0.02</v>
      </c>
    </row>
    <row r="304" spans="1:6" x14ac:dyDescent="0.2">
      <c r="A304" s="61">
        <v>33573</v>
      </c>
      <c r="B304" s="68">
        <f>VLOOKUP(Table5[[#This Row],[Date]],Database!A:E,5,)</f>
        <v>144.69999999999999</v>
      </c>
      <c r="C304" s="14">
        <f t="shared" si="8"/>
        <v>3.4674063800277394E-3</v>
      </c>
      <c r="D304" s="14">
        <f t="shared" si="9"/>
        <v>4.4011544011543974E-2</v>
      </c>
      <c r="E304" s="15">
        <f>VLOOKUP(Table5[[#This Row],[Date]],'Fed Fund New'!$A:$C,2,FALSE)</f>
        <v>0</v>
      </c>
      <c r="F304" s="27">
        <v>0.02</v>
      </c>
    </row>
    <row r="305" spans="1:6" x14ac:dyDescent="0.2">
      <c r="A305" s="61">
        <v>33604</v>
      </c>
      <c r="B305" s="68">
        <f>VLOOKUP(Table5[[#This Row],[Date]],Database!A:E,5,)</f>
        <v>145.1</v>
      </c>
      <c r="C305" s="14">
        <f t="shared" si="8"/>
        <v>2.7643400138217394E-3</v>
      </c>
      <c r="D305" s="14">
        <f t="shared" si="9"/>
        <v>4.0143369175627198E-2</v>
      </c>
      <c r="E305" s="15">
        <f>VLOOKUP(Table5[[#This Row],[Date]],'Fed Fund New'!$A:$C,2,FALSE)</f>
        <v>0</v>
      </c>
      <c r="F305" s="27">
        <v>0.02</v>
      </c>
    </row>
    <row r="306" spans="1:6" x14ac:dyDescent="0.2">
      <c r="A306" s="61">
        <v>33635</v>
      </c>
      <c r="B306" s="68">
        <f>VLOOKUP(Table5[[#This Row],[Date]],Database!A:E,5,)</f>
        <v>145.4</v>
      </c>
      <c r="C306" s="14">
        <f t="shared" si="8"/>
        <v>2.0675396278429454E-3</v>
      </c>
      <c r="D306" s="14">
        <f t="shared" si="9"/>
        <v>3.7089871611983009E-2</v>
      </c>
      <c r="E306" s="15">
        <f>VLOOKUP(Table5[[#This Row],[Date]],'Fed Fund New'!$A:$C,2,FALSE)</f>
        <v>0</v>
      </c>
      <c r="F306" s="27">
        <v>0.02</v>
      </c>
    </row>
    <row r="307" spans="1:6" x14ac:dyDescent="0.2">
      <c r="A307" s="61">
        <v>33664</v>
      </c>
      <c r="B307" s="68">
        <f>VLOOKUP(Table5[[#This Row],[Date]],Database!A:E,5,)</f>
        <v>145.9</v>
      </c>
      <c r="C307" s="14">
        <f t="shared" si="8"/>
        <v>3.4387895460797797E-3</v>
      </c>
      <c r="D307" s="14">
        <f t="shared" si="9"/>
        <v>3.8434163701067656E-2</v>
      </c>
      <c r="E307" s="15">
        <f>VLOOKUP(Table5[[#This Row],[Date]],'Fed Fund New'!$A:$C,2,FALSE)</f>
        <v>0</v>
      </c>
      <c r="F307" s="27">
        <v>0.02</v>
      </c>
    </row>
    <row r="308" spans="1:6" x14ac:dyDescent="0.2">
      <c r="A308" s="61">
        <v>33695</v>
      </c>
      <c r="B308" s="68">
        <f>VLOOKUP(Table5[[#This Row],[Date]],Database!A:E,5,)</f>
        <v>146.30000000000001</v>
      </c>
      <c r="C308" s="14">
        <f t="shared" si="8"/>
        <v>2.7416038382454123E-3</v>
      </c>
      <c r="D308" s="14">
        <f t="shared" si="9"/>
        <v>3.8325053229240638E-2</v>
      </c>
      <c r="E308" s="15">
        <f>VLOOKUP(Table5[[#This Row],[Date]],'Fed Fund New'!$A:$C,2,FALSE)</f>
        <v>0</v>
      </c>
      <c r="F308" s="27">
        <v>0.02</v>
      </c>
    </row>
    <row r="309" spans="1:6" x14ac:dyDescent="0.2">
      <c r="A309" s="61">
        <v>33725</v>
      </c>
      <c r="B309" s="68">
        <f>VLOOKUP(Table5[[#This Row],[Date]],Database!A:E,5,)</f>
        <v>146.80000000000001</v>
      </c>
      <c r="C309" s="14">
        <f t="shared" si="8"/>
        <v>3.4176349965823649E-3</v>
      </c>
      <c r="D309" s="14">
        <f t="shared" si="9"/>
        <v>3.8924274593064398E-2</v>
      </c>
      <c r="E309" s="15">
        <f>VLOOKUP(Table5[[#This Row],[Date]],'Fed Fund New'!$A:$C,2,FALSE)</f>
        <v>0</v>
      </c>
      <c r="F309" s="27">
        <v>0.02</v>
      </c>
    </row>
    <row r="310" spans="1:6" x14ac:dyDescent="0.2">
      <c r="A310" s="61">
        <v>33756</v>
      </c>
      <c r="B310" s="68">
        <f>VLOOKUP(Table5[[#This Row],[Date]],Database!A:E,5,)</f>
        <v>147.1</v>
      </c>
      <c r="C310" s="14">
        <f t="shared" si="8"/>
        <v>2.0435967302451152E-3</v>
      </c>
      <c r="D310" s="14">
        <f t="shared" si="9"/>
        <v>3.7376586741889865E-2</v>
      </c>
      <c r="E310" s="15">
        <f>VLOOKUP(Table5[[#This Row],[Date]],'Fed Fund New'!$A:$C,2,FALSE)</f>
        <v>0</v>
      </c>
      <c r="F310" s="27">
        <v>0.02</v>
      </c>
    </row>
    <row r="311" spans="1:6" x14ac:dyDescent="0.2">
      <c r="A311" s="61">
        <v>33786</v>
      </c>
      <c r="B311" s="68">
        <f>VLOOKUP(Table5[[#This Row],[Date]],Database!A:E,5,)</f>
        <v>147.6</v>
      </c>
      <c r="C311" s="14">
        <f t="shared" si="8"/>
        <v>3.3990482664853841E-3</v>
      </c>
      <c r="D311" s="14">
        <f t="shared" si="9"/>
        <v>3.7245256500351251E-2</v>
      </c>
      <c r="E311" s="15">
        <f>VLOOKUP(Table5[[#This Row],[Date]],'Fed Fund New'!$A:$C,2,FALSE)</f>
        <v>0</v>
      </c>
      <c r="F311" s="27">
        <v>0.02</v>
      </c>
    </row>
    <row r="312" spans="1:6" x14ac:dyDescent="0.2">
      <c r="A312" s="61">
        <v>33817</v>
      </c>
      <c r="B312" s="68">
        <f>VLOOKUP(Table5[[#This Row],[Date]],Database!A:E,5,)</f>
        <v>147.9</v>
      </c>
      <c r="C312" s="14">
        <f t="shared" si="8"/>
        <v>2.032520325203329E-3</v>
      </c>
      <c r="D312" s="14">
        <f t="shared" si="9"/>
        <v>3.498950314905528E-2</v>
      </c>
      <c r="E312" s="15">
        <f>VLOOKUP(Table5[[#This Row],[Date]],'Fed Fund New'!$A:$C,2,FALSE)</f>
        <v>0</v>
      </c>
      <c r="F312" s="27">
        <v>0.02</v>
      </c>
    </row>
    <row r="313" spans="1:6" x14ac:dyDescent="0.2">
      <c r="A313" s="61">
        <v>33848</v>
      </c>
      <c r="B313" s="68">
        <f>VLOOKUP(Table5[[#This Row],[Date]],Database!A:E,5,)</f>
        <v>148.1</v>
      </c>
      <c r="C313" s="14">
        <f t="shared" si="8"/>
        <v>1.3522650439485369E-3</v>
      </c>
      <c r="D313" s="14">
        <f t="shared" si="9"/>
        <v>3.2775453277545247E-2</v>
      </c>
      <c r="E313" s="15">
        <f>VLOOKUP(Table5[[#This Row],[Date]],'Fed Fund New'!$A:$C,2,FALSE)</f>
        <v>0</v>
      </c>
      <c r="F313" s="27">
        <v>0.02</v>
      </c>
    </row>
    <row r="314" spans="1:6" x14ac:dyDescent="0.2">
      <c r="A314" s="61">
        <v>33878</v>
      </c>
      <c r="B314" s="68">
        <f>VLOOKUP(Table5[[#This Row],[Date]],Database!A:E,5,)</f>
        <v>148.80000000000001</v>
      </c>
      <c r="C314" s="14">
        <f t="shared" si="8"/>
        <v>4.7265361242404937E-3</v>
      </c>
      <c r="D314" s="14">
        <f t="shared" si="9"/>
        <v>3.5490605427975108E-2</v>
      </c>
      <c r="E314" s="15">
        <f>VLOOKUP(Table5[[#This Row],[Date]],'Fed Fund New'!$A:$C,2,FALSE)</f>
        <v>0</v>
      </c>
      <c r="F314" s="27">
        <v>0.02</v>
      </c>
    </row>
    <row r="315" spans="1:6" x14ac:dyDescent="0.2">
      <c r="A315" s="61">
        <v>33909</v>
      </c>
      <c r="B315" s="68">
        <f>VLOOKUP(Table5[[#This Row],[Date]],Database!A:E,5,)</f>
        <v>149.19999999999999</v>
      </c>
      <c r="C315" s="14">
        <f t="shared" si="8"/>
        <v>2.6881720430105998E-3</v>
      </c>
      <c r="D315" s="14">
        <f t="shared" si="9"/>
        <v>3.4674063800277398E-2</v>
      </c>
      <c r="E315" s="15">
        <f>VLOOKUP(Table5[[#This Row],[Date]],'Fed Fund New'!$A:$C,2,FALSE)</f>
        <v>0</v>
      </c>
      <c r="F315" s="27">
        <v>0.02</v>
      </c>
    </row>
    <row r="316" spans="1:6" x14ac:dyDescent="0.2">
      <c r="A316" s="61">
        <v>33939</v>
      </c>
      <c r="B316" s="68">
        <f>VLOOKUP(Table5[[#This Row],[Date]],Database!A:E,5,)</f>
        <v>149.6</v>
      </c>
      <c r="C316" s="14">
        <f t="shared" si="8"/>
        <v>2.6809651474531213E-3</v>
      </c>
      <c r="D316" s="14">
        <f t="shared" si="9"/>
        <v>3.3863165169315868E-2</v>
      </c>
      <c r="E316" s="15">
        <f>VLOOKUP(Table5[[#This Row],[Date]],'Fed Fund New'!$A:$C,2,FALSE)</f>
        <v>0</v>
      </c>
      <c r="F316" s="27">
        <v>0.02</v>
      </c>
    </row>
    <row r="317" spans="1:6" x14ac:dyDescent="0.2">
      <c r="A317" s="61">
        <v>33970</v>
      </c>
      <c r="B317" s="68">
        <f>VLOOKUP(Table5[[#This Row],[Date]],Database!A:E,5,)</f>
        <v>150.1</v>
      </c>
      <c r="C317" s="14">
        <f t="shared" si="8"/>
        <v>3.3422459893048127E-3</v>
      </c>
      <c r="D317" s="14">
        <f t="shared" si="9"/>
        <v>3.445899379738112E-2</v>
      </c>
      <c r="E317" s="15">
        <f>VLOOKUP(Table5[[#This Row],[Date]],'Fed Fund New'!$A:$C,2,FALSE)</f>
        <v>0</v>
      </c>
      <c r="F317" s="27">
        <v>0.02</v>
      </c>
    </row>
    <row r="318" spans="1:6" x14ac:dyDescent="0.2">
      <c r="A318" s="61">
        <v>34001</v>
      </c>
      <c r="B318" s="68">
        <f>VLOOKUP(Table5[[#This Row],[Date]],Database!A:E,5,)</f>
        <v>150.6</v>
      </c>
      <c r="C318" s="14">
        <f t="shared" si="8"/>
        <v>3.3311125916055963E-3</v>
      </c>
      <c r="D318" s="14">
        <f t="shared" si="9"/>
        <v>3.5763411279229634E-2</v>
      </c>
      <c r="E318" s="15">
        <f>VLOOKUP(Table5[[#This Row],[Date]],'Fed Fund New'!$A:$C,2,FALSE)</f>
        <v>0</v>
      </c>
      <c r="F318" s="27">
        <v>0.02</v>
      </c>
    </row>
    <row r="319" spans="1:6" x14ac:dyDescent="0.2">
      <c r="A319" s="61">
        <v>34029</v>
      </c>
      <c r="B319" s="68">
        <f>VLOOKUP(Table5[[#This Row],[Date]],Database!A:E,5,)</f>
        <v>150.80000000000001</v>
      </c>
      <c r="C319" s="14">
        <f t="shared" si="8"/>
        <v>1.3280212483400868E-3</v>
      </c>
      <c r="D319" s="14">
        <f t="shared" si="9"/>
        <v>3.3584647018505866E-2</v>
      </c>
      <c r="E319" s="15">
        <f>VLOOKUP(Table5[[#This Row],[Date]],'Fed Fund New'!$A:$C,2,FALSE)</f>
        <v>0</v>
      </c>
      <c r="F319" s="27">
        <v>0.02</v>
      </c>
    </row>
    <row r="320" spans="1:6" x14ac:dyDescent="0.2">
      <c r="A320" s="61">
        <v>34060</v>
      </c>
      <c r="B320" s="68">
        <f>VLOOKUP(Table5[[#This Row],[Date]],Database!A:E,5,)</f>
        <v>151.4</v>
      </c>
      <c r="C320" s="14">
        <f t="shared" si="8"/>
        <v>3.9787798408487682E-3</v>
      </c>
      <c r="D320" s="14">
        <f t="shared" si="9"/>
        <v>3.4859876965140084E-2</v>
      </c>
      <c r="E320" s="15">
        <f>VLOOKUP(Table5[[#This Row],[Date]],'Fed Fund New'!$A:$C,2,FALSE)</f>
        <v>0</v>
      </c>
      <c r="F320" s="27">
        <v>0.02</v>
      </c>
    </row>
    <row r="321" spans="1:6" x14ac:dyDescent="0.2">
      <c r="A321" s="61">
        <v>34090</v>
      </c>
      <c r="B321" s="68">
        <f>VLOOKUP(Table5[[#This Row],[Date]],Database!A:E,5,)</f>
        <v>151.80000000000001</v>
      </c>
      <c r="C321" s="14">
        <f t="shared" si="8"/>
        <v>2.6420079260238154E-3</v>
      </c>
      <c r="D321" s="14">
        <f t="shared" si="9"/>
        <v>3.405994550408719E-2</v>
      </c>
      <c r="E321" s="15">
        <f>VLOOKUP(Table5[[#This Row],[Date]],'Fed Fund New'!$A:$C,2,FALSE)</f>
        <v>0</v>
      </c>
      <c r="F321" s="27">
        <v>0.02</v>
      </c>
    </row>
    <row r="322" spans="1:6" x14ac:dyDescent="0.2">
      <c r="A322" s="61">
        <v>34121</v>
      </c>
      <c r="B322" s="68">
        <f>VLOOKUP(Table5[[#This Row],[Date]],Database!A:E,5,)</f>
        <v>152.1</v>
      </c>
      <c r="C322" s="14">
        <f t="shared" si="8"/>
        <v>1.9762845849801247E-3</v>
      </c>
      <c r="D322" s="14">
        <f t="shared" si="9"/>
        <v>3.3990482664853841E-2</v>
      </c>
      <c r="E322" s="15">
        <f>VLOOKUP(Table5[[#This Row],[Date]],'Fed Fund New'!$A:$C,2,FALSE)</f>
        <v>0</v>
      </c>
      <c r="F322" s="27">
        <v>0.02</v>
      </c>
    </row>
    <row r="323" spans="1:6" x14ac:dyDescent="0.2">
      <c r="A323" s="61">
        <v>34151</v>
      </c>
      <c r="B323" s="68">
        <f>VLOOKUP(Table5[[#This Row],[Date]],Database!A:E,5,)</f>
        <v>152.30000000000001</v>
      </c>
      <c r="C323" s="14">
        <f t="shared" si="8"/>
        <v>1.3149243918475809E-3</v>
      </c>
      <c r="D323" s="14">
        <f t="shared" si="9"/>
        <v>3.18428184281844E-2</v>
      </c>
      <c r="E323" s="15">
        <f>VLOOKUP(Table5[[#This Row],[Date]],'Fed Fund New'!$A:$C,2,FALSE)</f>
        <v>0</v>
      </c>
      <c r="F323" s="27">
        <v>0.02</v>
      </c>
    </row>
    <row r="324" spans="1:6" x14ac:dyDescent="0.2">
      <c r="A324" s="61">
        <v>34182</v>
      </c>
      <c r="B324" s="68">
        <f>VLOOKUP(Table5[[#This Row],[Date]],Database!A:E,5,)</f>
        <v>152.80000000000001</v>
      </c>
      <c r="C324" s="14">
        <f t="shared" si="8"/>
        <v>3.2829940906106366E-3</v>
      </c>
      <c r="D324" s="14">
        <f t="shared" si="9"/>
        <v>3.3130493576741075E-2</v>
      </c>
      <c r="E324" s="15">
        <f>VLOOKUP(Table5[[#This Row],[Date]],'Fed Fund New'!$A:$C,2,FALSE)</f>
        <v>0</v>
      </c>
      <c r="F324" s="27">
        <v>0.02</v>
      </c>
    </row>
    <row r="325" spans="1:6" x14ac:dyDescent="0.2">
      <c r="A325" s="61">
        <v>34213</v>
      </c>
      <c r="B325" s="68">
        <f>VLOOKUP(Table5[[#This Row],[Date]],Database!A:E,5,)</f>
        <v>152.9</v>
      </c>
      <c r="C325" s="14">
        <f t="shared" si="8"/>
        <v>6.5445026178006746E-4</v>
      </c>
      <c r="D325" s="14">
        <f t="shared" si="9"/>
        <v>3.241053342336267E-2</v>
      </c>
      <c r="E325" s="15">
        <f>VLOOKUP(Table5[[#This Row],[Date]],'Fed Fund New'!$A:$C,2,FALSE)</f>
        <v>0</v>
      </c>
      <c r="F325" s="27">
        <v>0.02</v>
      </c>
    </row>
    <row r="326" spans="1:6" x14ac:dyDescent="0.2">
      <c r="A326" s="61">
        <v>34243</v>
      </c>
      <c r="B326" s="68">
        <f>VLOOKUP(Table5[[#This Row],[Date]],Database!A:E,5,)</f>
        <v>153.4</v>
      </c>
      <c r="C326" s="14">
        <f t="shared" ref="C326:C389" si="10">(B326-B325)/B325</f>
        <v>3.2701111837802484E-3</v>
      </c>
      <c r="D326" s="14">
        <f t="shared" si="9"/>
        <v>3.0913978494623615E-2</v>
      </c>
      <c r="E326" s="15">
        <f>VLOOKUP(Table5[[#This Row],[Date]],'Fed Fund New'!$A:$C,2,FALSE)</f>
        <v>0</v>
      </c>
      <c r="F326" s="27">
        <v>0.02</v>
      </c>
    </row>
    <row r="327" spans="1:6" x14ac:dyDescent="0.2">
      <c r="A327" s="61">
        <v>34274</v>
      </c>
      <c r="B327" s="68">
        <f>VLOOKUP(Table5[[#This Row],[Date]],Database!A:E,5,)</f>
        <v>153.9</v>
      </c>
      <c r="C327" s="14">
        <f t="shared" si="10"/>
        <v>3.2594524119947846E-3</v>
      </c>
      <c r="D327" s="14">
        <f t="shared" si="9"/>
        <v>3.1501340482573845E-2</v>
      </c>
      <c r="E327" s="15">
        <f>VLOOKUP(Table5[[#This Row],[Date]],'Fed Fund New'!$A:$C,2,FALSE)</f>
        <v>0</v>
      </c>
      <c r="F327" s="27">
        <v>0.02</v>
      </c>
    </row>
    <row r="328" spans="1:6" x14ac:dyDescent="0.2">
      <c r="A328" s="61">
        <v>34304</v>
      </c>
      <c r="B328" s="68">
        <f>VLOOKUP(Table5[[#This Row],[Date]],Database!A:E,5,)</f>
        <v>154.30000000000001</v>
      </c>
      <c r="C328" s="14">
        <f t="shared" si="10"/>
        <v>2.5990903183886007E-3</v>
      </c>
      <c r="D328" s="14">
        <f t="shared" si="9"/>
        <v>3.1417112299465359E-2</v>
      </c>
      <c r="E328" s="15">
        <f>VLOOKUP(Table5[[#This Row],[Date]],'Fed Fund New'!$A:$C,2,FALSE)</f>
        <v>0</v>
      </c>
      <c r="F328" s="27">
        <v>0.02</v>
      </c>
    </row>
    <row r="329" spans="1:6" x14ac:dyDescent="0.2">
      <c r="A329" s="61">
        <v>34335</v>
      </c>
      <c r="B329" s="68">
        <f>VLOOKUP(Table5[[#This Row],[Date]],Database!A:E,5,)</f>
        <v>154.5</v>
      </c>
      <c r="C329" s="14">
        <f t="shared" si="10"/>
        <v>1.2961762799740028E-3</v>
      </c>
      <c r="D329" s="14">
        <f t="shared" si="9"/>
        <v>2.9313790806129288E-2</v>
      </c>
      <c r="E329" s="15">
        <f>VLOOKUP(Table5[[#This Row],[Date]],'Fed Fund New'!$A:$C,2,FALSE)</f>
        <v>0</v>
      </c>
      <c r="F329" s="27">
        <v>0.02</v>
      </c>
    </row>
    <row r="330" spans="1:6" x14ac:dyDescent="0.2">
      <c r="A330" s="61">
        <v>34366</v>
      </c>
      <c r="B330" s="68">
        <f>VLOOKUP(Table5[[#This Row],[Date]],Database!A:E,5,)</f>
        <v>154.80000000000001</v>
      </c>
      <c r="C330" s="14">
        <f t="shared" si="10"/>
        <v>1.9417475728156076E-3</v>
      </c>
      <c r="D330" s="14">
        <f t="shared" si="9"/>
        <v>2.7888446215139556E-2</v>
      </c>
      <c r="E330" s="15">
        <f>VLOOKUP(Table5[[#This Row],[Date]],'Fed Fund New'!$A:$C,2,FALSE)</f>
        <v>0</v>
      </c>
      <c r="F330" s="27">
        <v>0.02</v>
      </c>
    </row>
    <row r="331" spans="1:6" x14ac:dyDescent="0.2">
      <c r="A331" s="61">
        <v>34394</v>
      </c>
      <c r="B331" s="68">
        <f>VLOOKUP(Table5[[#This Row],[Date]],Database!A:E,5,)</f>
        <v>155.30000000000001</v>
      </c>
      <c r="C331" s="14">
        <f t="shared" si="10"/>
        <v>3.2299741602067182E-3</v>
      </c>
      <c r="D331" s="14">
        <f t="shared" si="9"/>
        <v>2.9840848806366047E-2</v>
      </c>
      <c r="E331" s="15">
        <f>VLOOKUP(Table5[[#This Row],[Date]],'Fed Fund New'!$A:$C,2,FALSE)</f>
        <v>0</v>
      </c>
      <c r="F331" s="27">
        <v>0.02</v>
      </c>
    </row>
    <row r="332" spans="1:6" x14ac:dyDescent="0.2">
      <c r="A332" s="61">
        <v>34425</v>
      </c>
      <c r="B332" s="68">
        <f>VLOOKUP(Table5[[#This Row],[Date]],Database!A:E,5,)</f>
        <v>155.5</v>
      </c>
      <c r="C332" s="14">
        <f t="shared" si="10"/>
        <v>1.2878300064390767E-3</v>
      </c>
      <c r="D332" s="14">
        <f t="shared" si="9"/>
        <v>2.7080581241743687E-2</v>
      </c>
      <c r="E332" s="15">
        <f>VLOOKUP(Table5[[#This Row],[Date]],'Fed Fund New'!$A:$C,2,FALSE)</f>
        <v>0</v>
      </c>
      <c r="F332" s="27">
        <v>0.02</v>
      </c>
    </row>
    <row r="333" spans="1:6" x14ac:dyDescent="0.2">
      <c r="A333" s="61">
        <v>34455</v>
      </c>
      <c r="B333" s="68">
        <f>VLOOKUP(Table5[[#This Row],[Date]],Database!A:E,5,)</f>
        <v>155.9</v>
      </c>
      <c r="C333" s="14">
        <f t="shared" si="10"/>
        <v>2.5723472668810654E-3</v>
      </c>
      <c r="D333" s="14">
        <f t="shared" si="9"/>
        <v>2.7009222661396534E-2</v>
      </c>
      <c r="E333" s="15">
        <f>VLOOKUP(Table5[[#This Row],[Date]],'Fed Fund New'!$A:$C,2,FALSE)</f>
        <v>0</v>
      </c>
      <c r="F333" s="27">
        <v>0.02</v>
      </c>
    </row>
    <row r="334" spans="1:6" x14ac:dyDescent="0.2">
      <c r="A334" s="61">
        <v>34486</v>
      </c>
      <c r="B334" s="68">
        <f>VLOOKUP(Table5[[#This Row],[Date]],Database!A:E,5,)</f>
        <v>156.4</v>
      </c>
      <c r="C334" s="14">
        <f t="shared" si="10"/>
        <v>3.2071840923669015E-3</v>
      </c>
      <c r="D334" s="14">
        <f t="shared" si="9"/>
        <v>2.8270874424720656E-2</v>
      </c>
      <c r="E334" s="15">
        <f>VLOOKUP(Table5[[#This Row],[Date]],'Fed Fund New'!$A:$C,2,FALSE)</f>
        <v>0</v>
      </c>
      <c r="F334" s="27">
        <v>0.02</v>
      </c>
    </row>
    <row r="335" spans="1:6" x14ac:dyDescent="0.2">
      <c r="A335" s="61">
        <v>34516</v>
      </c>
      <c r="B335" s="68">
        <f>VLOOKUP(Table5[[#This Row],[Date]],Database!A:E,5,)</f>
        <v>156.69999999999999</v>
      </c>
      <c r="C335" s="14">
        <f t="shared" si="10"/>
        <v>1.918158567774827E-3</v>
      </c>
      <c r="D335" s="14">
        <f t="shared" si="9"/>
        <v>2.8890347997373455E-2</v>
      </c>
      <c r="E335" s="15">
        <f>VLOOKUP(Table5[[#This Row],[Date]],'Fed Fund New'!$A:$C,2,FALSE)</f>
        <v>0</v>
      </c>
      <c r="F335" s="27">
        <v>0.02</v>
      </c>
    </row>
    <row r="336" spans="1:6" x14ac:dyDescent="0.2">
      <c r="A336" s="61">
        <v>34547</v>
      </c>
      <c r="B336" s="68">
        <f>VLOOKUP(Table5[[#This Row],[Date]],Database!A:E,5,)</f>
        <v>157.1</v>
      </c>
      <c r="C336" s="14">
        <f t="shared" si="10"/>
        <v>2.552648372686699E-3</v>
      </c>
      <c r="D336" s="14">
        <f t="shared" si="9"/>
        <v>2.814136125654439E-2</v>
      </c>
      <c r="E336" s="15">
        <f>VLOOKUP(Table5[[#This Row],[Date]],'Fed Fund New'!$A:$C,2,FALSE)</f>
        <v>0</v>
      </c>
      <c r="F336" s="27">
        <v>0.02</v>
      </c>
    </row>
    <row r="337" spans="1:6" x14ac:dyDescent="0.2">
      <c r="A337" s="61">
        <v>34578</v>
      </c>
      <c r="B337" s="68">
        <f>VLOOKUP(Table5[[#This Row],[Date]],Database!A:E,5,)</f>
        <v>157.5</v>
      </c>
      <c r="C337" s="14">
        <f t="shared" si="10"/>
        <v>2.5461489497135945E-3</v>
      </c>
      <c r="D337" s="14">
        <f t="shared" ref="D337:D400" si="11">(B337-B325)/B325</f>
        <v>3.0085022890778249E-2</v>
      </c>
      <c r="E337" s="15">
        <f>VLOOKUP(Table5[[#This Row],[Date]],'Fed Fund New'!$A:$C,2,FALSE)</f>
        <v>0</v>
      </c>
      <c r="F337" s="27">
        <v>0.02</v>
      </c>
    </row>
    <row r="338" spans="1:6" x14ac:dyDescent="0.2">
      <c r="A338" s="61">
        <v>34608</v>
      </c>
      <c r="B338" s="68">
        <f>VLOOKUP(Table5[[#This Row],[Date]],Database!A:E,5,)</f>
        <v>157.80000000000001</v>
      </c>
      <c r="C338" s="14">
        <f t="shared" si="10"/>
        <v>1.904761904761977E-3</v>
      </c>
      <c r="D338" s="14">
        <f t="shared" si="11"/>
        <v>2.8683181225554143E-2</v>
      </c>
      <c r="E338" s="15">
        <f>VLOOKUP(Table5[[#This Row],[Date]],'Fed Fund New'!$A:$C,2,FALSE)</f>
        <v>0</v>
      </c>
      <c r="F338" s="27">
        <v>0.02</v>
      </c>
    </row>
    <row r="339" spans="1:6" x14ac:dyDescent="0.2">
      <c r="A339" s="61">
        <v>34639</v>
      </c>
      <c r="B339" s="68">
        <f>VLOOKUP(Table5[[#This Row],[Date]],Database!A:E,5,)</f>
        <v>158.19999999999999</v>
      </c>
      <c r="C339" s="14">
        <f t="shared" si="10"/>
        <v>2.5348542458807177E-3</v>
      </c>
      <c r="D339" s="14">
        <f t="shared" si="11"/>
        <v>2.794022092267695E-2</v>
      </c>
      <c r="E339" s="15">
        <f>VLOOKUP(Table5[[#This Row],[Date]],'Fed Fund New'!$A:$C,2,FALSE)</f>
        <v>0</v>
      </c>
      <c r="F339" s="27">
        <v>0.02</v>
      </c>
    </row>
    <row r="340" spans="1:6" x14ac:dyDescent="0.2">
      <c r="A340" s="61">
        <v>34669</v>
      </c>
      <c r="B340" s="68">
        <f>VLOOKUP(Table5[[#This Row],[Date]],Database!A:E,5,)</f>
        <v>158.30000000000001</v>
      </c>
      <c r="C340" s="14">
        <f t="shared" si="10"/>
        <v>6.3211125158042195E-4</v>
      </c>
      <c r="D340" s="14">
        <f t="shared" si="11"/>
        <v>2.5923525599481526E-2</v>
      </c>
      <c r="E340" s="15">
        <f>VLOOKUP(Table5[[#This Row],[Date]],'Fed Fund New'!$A:$C,2,FALSE)</f>
        <v>0</v>
      </c>
      <c r="F340" s="27">
        <v>0.02</v>
      </c>
    </row>
    <row r="341" spans="1:6" x14ac:dyDescent="0.2">
      <c r="A341" s="61">
        <v>34700</v>
      </c>
      <c r="B341" s="68">
        <f>VLOOKUP(Table5[[#This Row],[Date]],Database!A:E,5,)</f>
        <v>159</v>
      </c>
      <c r="C341" s="14">
        <f t="shared" si="10"/>
        <v>4.421983575489505E-3</v>
      </c>
      <c r="D341" s="14">
        <f t="shared" si="11"/>
        <v>2.9126213592233011E-2</v>
      </c>
      <c r="E341" s="15">
        <f>VLOOKUP(Table5[[#This Row],[Date]],'Fed Fund New'!$A:$C,2,FALSE)</f>
        <v>0</v>
      </c>
      <c r="F341" s="27">
        <v>0.02</v>
      </c>
    </row>
    <row r="342" spans="1:6" x14ac:dyDescent="0.2">
      <c r="A342" s="61">
        <v>34731</v>
      </c>
      <c r="B342" s="68">
        <f>VLOOKUP(Table5[[#This Row],[Date]],Database!A:E,5,)</f>
        <v>159.4</v>
      </c>
      <c r="C342" s="14">
        <f t="shared" si="10"/>
        <v>2.5157232704402874E-3</v>
      </c>
      <c r="D342" s="14">
        <f t="shared" si="11"/>
        <v>2.9715762273901769E-2</v>
      </c>
      <c r="E342" s="15">
        <f>VLOOKUP(Table5[[#This Row],[Date]],'Fed Fund New'!$A:$C,2,FALSE)</f>
        <v>0</v>
      </c>
      <c r="F342" s="27">
        <v>0.02</v>
      </c>
    </row>
    <row r="343" spans="1:6" x14ac:dyDescent="0.2">
      <c r="A343" s="61">
        <v>34759</v>
      </c>
      <c r="B343" s="68">
        <f>VLOOKUP(Table5[[#This Row],[Date]],Database!A:E,5,)</f>
        <v>159.9</v>
      </c>
      <c r="C343" s="14">
        <f t="shared" si="10"/>
        <v>3.1367628607277291E-3</v>
      </c>
      <c r="D343" s="14">
        <f t="shared" si="11"/>
        <v>2.9620090148100412E-2</v>
      </c>
      <c r="E343" s="15">
        <f>VLOOKUP(Table5[[#This Row],[Date]],'Fed Fund New'!$A:$C,2,FALSE)</f>
        <v>0</v>
      </c>
      <c r="F343" s="27">
        <v>0.02</v>
      </c>
    </row>
    <row r="344" spans="1:6" x14ac:dyDescent="0.2">
      <c r="A344" s="61">
        <v>34790</v>
      </c>
      <c r="B344" s="68">
        <f>VLOOKUP(Table5[[#This Row],[Date]],Database!A:E,5,)</f>
        <v>160.4</v>
      </c>
      <c r="C344" s="14">
        <f t="shared" si="10"/>
        <v>3.1269543464665416E-3</v>
      </c>
      <c r="D344" s="14">
        <f t="shared" si="11"/>
        <v>3.1511254019292639E-2</v>
      </c>
      <c r="E344" s="15">
        <f>VLOOKUP(Table5[[#This Row],[Date]],'Fed Fund New'!$A:$C,2,FALSE)</f>
        <v>0</v>
      </c>
      <c r="F344" s="27">
        <v>0.02</v>
      </c>
    </row>
    <row r="345" spans="1:6" x14ac:dyDescent="0.2">
      <c r="A345" s="61">
        <v>34820</v>
      </c>
      <c r="B345" s="68">
        <f>VLOOKUP(Table5[[#This Row],[Date]],Database!A:E,5,)</f>
        <v>160.69999999999999</v>
      </c>
      <c r="C345" s="14">
        <f t="shared" si="10"/>
        <v>1.8703241895260782E-3</v>
      </c>
      <c r="D345" s="14">
        <f t="shared" si="11"/>
        <v>3.0788967286722146E-2</v>
      </c>
      <c r="E345" s="15">
        <f>VLOOKUP(Table5[[#This Row],[Date]],'Fed Fund New'!$A:$C,2,FALSE)</f>
        <v>0</v>
      </c>
      <c r="F345" s="27">
        <v>0.02</v>
      </c>
    </row>
    <row r="346" spans="1:6" x14ac:dyDescent="0.2">
      <c r="A346" s="61">
        <v>34851</v>
      </c>
      <c r="B346" s="68">
        <f>VLOOKUP(Table5[[#This Row],[Date]],Database!A:E,5,)</f>
        <v>161.1</v>
      </c>
      <c r="C346" s="14">
        <f t="shared" si="10"/>
        <v>2.4891101431238688E-3</v>
      </c>
      <c r="D346" s="14">
        <f t="shared" si="11"/>
        <v>3.0051150895140592E-2</v>
      </c>
      <c r="E346" s="15">
        <f>VLOOKUP(Table5[[#This Row],[Date]],'Fed Fund New'!$A:$C,2,FALSE)</f>
        <v>0</v>
      </c>
      <c r="F346" s="27">
        <v>0.02</v>
      </c>
    </row>
    <row r="347" spans="1:6" x14ac:dyDescent="0.2">
      <c r="A347" s="61">
        <v>34881</v>
      </c>
      <c r="B347" s="68">
        <f>VLOOKUP(Table5[[#This Row],[Date]],Database!A:E,5,)</f>
        <v>161.4</v>
      </c>
      <c r="C347" s="14">
        <f t="shared" si="10"/>
        <v>1.8621973929237206E-3</v>
      </c>
      <c r="D347" s="14">
        <f t="shared" si="11"/>
        <v>2.9993618379068394E-2</v>
      </c>
      <c r="E347" s="15">
        <f>VLOOKUP(Table5[[#This Row],[Date]],'Fed Fund New'!$A:$C,2,FALSE)</f>
        <v>0</v>
      </c>
      <c r="F347" s="27">
        <v>0.02</v>
      </c>
    </row>
    <row r="348" spans="1:6" x14ac:dyDescent="0.2">
      <c r="A348" s="61">
        <v>34912</v>
      </c>
      <c r="B348" s="68">
        <f>VLOOKUP(Table5[[#This Row],[Date]],Database!A:E,5,)</f>
        <v>161.80000000000001</v>
      </c>
      <c r="C348" s="14">
        <f t="shared" si="10"/>
        <v>2.4783147459727737E-3</v>
      </c>
      <c r="D348" s="14">
        <f t="shared" si="11"/>
        <v>2.991725015913442E-2</v>
      </c>
      <c r="E348" s="15">
        <f>VLOOKUP(Table5[[#This Row],[Date]],'Fed Fund New'!$A:$C,2,FALSE)</f>
        <v>0</v>
      </c>
      <c r="F348" s="27">
        <v>0.02</v>
      </c>
    </row>
    <row r="349" spans="1:6" x14ac:dyDescent="0.2">
      <c r="A349" s="61">
        <v>34943</v>
      </c>
      <c r="B349" s="68">
        <f>VLOOKUP(Table5[[#This Row],[Date]],Database!A:E,5,)</f>
        <v>162.19999999999999</v>
      </c>
      <c r="C349" s="14">
        <f t="shared" si="10"/>
        <v>2.4721878862792165E-3</v>
      </c>
      <c r="D349" s="14">
        <f t="shared" si="11"/>
        <v>2.9841269841269769E-2</v>
      </c>
      <c r="E349" s="15">
        <f>VLOOKUP(Table5[[#This Row],[Date]],'Fed Fund New'!$A:$C,2,FALSE)</f>
        <v>0</v>
      </c>
      <c r="F349" s="27">
        <v>0.02</v>
      </c>
    </row>
    <row r="350" spans="1:6" x14ac:dyDescent="0.2">
      <c r="A350" s="61">
        <v>34973</v>
      </c>
      <c r="B350" s="68">
        <f>VLOOKUP(Table5[[#This Row],[Date]],Database!A:E,5,)</f>
        <v>162.69999999999999</v>
      </c>
      <c r="C350" s="14">
        <f t="shared" si="10"/>
        <v>3.0826140567200987E-3</v>
      </c>
      <c r="D350" s="14">
        <f t="shared" si="11"/>
        <v>3.1051964512040411E-2</v>
      </c>
      <c r="E350" s="15">
        <f>VLOOKUP(Table5[[#This Row],[Date]],'Fed Fund New'!$A:$C,2,FALSE)</f>
        <v>0</v>
      </c>
      <c r="F350" s="27">
        <v>0.02</v>
      </c>
    </row>
    <row r="351" spans="1:6" x14ac:dyDescent="0.2">
      <c r="A351" s="61">
        <v>35004</v>
      </c>
      <c r="B351" s="68">
        <f>VLOOKUP(Table5[[#This Row],[Date]],Database!A:E,5,)</f>
        <v>163</v>
      </c>
      <c r="C351" s="14">
        <f t="shared" si="10"/>
        <v>1.8438844499078758E-3</v>
      </c>
      <c r="D351" s="14">
        <f t="shared" si="11"/>
        <v>3.0341340075853426E-2</v>
      </c>
      <c r="E351" s="15">
        <f>VLOOKUP(Table5[[#This Row],[Date]],'Fed Fund New'!$A:$C,2,FALSE)</f>
        <v>0</v>
      </c>
      <c r="F351" s="27">
        <v>0.02</v>
      </c>
    </row>
    <row r="352" spans="1:6" x14ac:dyDescent="0.2">
      <c r="A352" s="61">
        <v>35034</v>
      </c>
      <c r="B352" s="68">
        <f>VLOOKUP(Table5[[#This Row],[Date]],Database!A:E,5,)</f>
        <v>163.1</v>
      </c>
      <c r="C352" s="14">
        <f t="shared" si="10"/>
        <v>6.1349693251530255E-4</v>
      </c>
      <c r="D352" s="14">
        <f t="shared" si="11"/>
        <v>3.0322173089071272E-2</v>
      </c>
      <c r="E352" s="15">
        <f>VLOOKUP(Table5[[#This Row],[Date]],'Fed Fund New'!$A:$C,2,FALSE)</f>
        <v>0</v>
      </c>
      <c r="F352" s="27">
        <v>0.02</v>
      </c>
    </row>
    <row r="353" spans="1:6" x14ac:dyDescent="0.2">
      <c r="A353" s="61">
        <v>35065</v>
      </c>
      <c r="B353" s="68">
        <f>VLOOKUP(Table5[[#This Row],[Date]],Database!A:E,5,)</f>
        <v>163.69999999999999</v>
      </c>
      <c r="C353" s="14">
        <f t="shared" si="10"/>
        <v>3.6787247087675923E-3</v>
      </c>
      <c r="D353" s="14">
        <f t="shared" si="11"/>
        <v>2.9559748427672883E-2</v>
      </c>
      <c r="E353" s="15">
        <f>VLOOKUP(Table5[[#This Row],[Date]],'Fed Fund New'!$A:$C,2,FALSE)</f>
        <v>0</v>
      </c>
      <c r="F353" s="27">
        <v>0.02</v>
      </c>
    </row>
    <row r="354" spans="1:6" x14ac:dyDescent="0.2">
      <c r="A354" s="61">
        <v>35096</v>
      </c>
      <c r="B354" s="68">
        <f>VLOOKUP(Table5[[#This Row],[Date]],Database!A:E,5,)</f>
        <v>164</v>
      </c>
      <c r="C354" s="14">
        <f t="shared" si="10"/>
        <v>1.8326206475260318E-3</v>
      </c>
      <c r="D354" s="14">
        <f t="shared" si="11"/>
        <v>2.8858218318695068E-2</v>
      </c>
      <c r="E354" s="15">
        <f>VLOOKUP(Table5[[#This Row],[Date]],'Fed Fund New'!$A:$C,2,FALSE)</f>
        <v>0</v>
      </c>
      <c r="F354" s="27">
        <v>0.02</v>
      </c>
    </row>
    <row r="355" spans="1:6" x14ac:dyDescent="0.2">
      <c r="A355" s="61">
        <v>35125</v>
      </c>
      <c r="B355" s="68">
        <f>VLOOKUP(Table5[[#This Row],[Date]],Database!A:E,5,)</f>
        <v>164.4</v>
      </c>
      <c r="C355" s="14">
        <f t="shared" si="10"/>
        <v>2.4390243902439371E-3</v>
      </c>
      <c r="D355" s="14">
        <f t="shared" si="11"/>
        <v>2.8142589118198873E-2</v>
      </c>
      <c r="E355" s="15">
        <f>VLOOKUP(Table5[[#This Row],[Date]],'Fed Fund New'!$A:$C,2,FALSE)</f>
        <v>0</v>
      </c>
      <c r="F355" s="27">
        <v>0.02</v>
      </c>
    </row>
    <row r="356" spans="1:6" x14ac:dyDescent="0.2">
      <c r="A356" s="61">
        <v>35156</v>
      </c>
      <c r="B356" s="68">
        <f>VLOOKUP(Table5[[#This Row],[Date]],Database!A:E,5,)</f>
        <v>164.6</v>
      </c>
      <c r="C356" s="14">
        <f t="shared" si="10"/>
        <v>1.216545012165381E-3</v>
      </c>
      <c r="D356" s="14">
        <f t="shared" si="11"/>
        <v>2.618453865336651E-2</v>
      </c>
      <c r="E356" s="15">
        <f>VLOOKUP(Table5[[#This Row],[Date]],'Fed Fund New'!$A:$C,2,FALSE)</f>
        <v>0</v>
      </c>
      <c r="F356" s="27">
        <v>0.02</v>
      </c>
    </row>
    <row r="357" spans="1:6" x14ac:dyDescent="0.2">
      <c r="A357" s="61">
        <v>35186</v>
      </c>
      <c r="B357" s="68">
        <f>VLOOKUP(Table5[[#This Row],[Date]],Database!A:E,5,)</f>
        <v>165</v>
      </c>
      <c r="C357" s="14">
        <f t="shared" si="10"/>
        <v>2.4301336573511888E-3</v>
      </c>
      <c r="D357" s="14">
        <f t="shared" si="11"/>
        <v>2.6757934038581281E-2</v>
      </c>
      <c r="E357" s="15">
        <f>VLOOKUP(Table5[[#This Row],[Date]],'Fed Fund New'!$A:$C,2,FALSE)</f>
        <v>0</v>
      </c>
      <c r="F357" s="27">
        <v>0.02</v>
      </c>
    </row>
    <row r="358" spans="1:6" x14ac:dyDescent="0.2">
      <c r="A358" s="61">
        <v>35217</v>
      </c>
      <c r="B358" s="68">
        <f>VLOOKUP(Table5[[#This Row],[Date]],Database!A:E,5,)</f>
        <v>165.4</v>
      </c>
      <c r="C358" s="14">
        <f t="shared" si="10"/>
        <v>2.4242424242424585E-3</v>
      </c>
      <c r="D358" s="14">
        <f t="shared" si="11"/>
        <v>2.6691495965239054E-2</v>
      </c>
      <c r="E358" s="15">
        <f>VLOOKUP(Table5[[#This Row],[Date]],'Fed Fund New'!$A:$C,2,FALSE)</f>
        <v>0</v>
      </c>
      <c r="F358" s="27">
        <v>0.02</v>
      </c>
    </row>
    <row r="359" spans="1:6" x14ac:dyDescent="0.2">
      <c r="A359" s="61">
        <v>35247</v>
      </c>
      <c r="B359" s="68">
        <f>VLOOKUP(Table5[[#This Row],[Date]],Database!A:E,5,)</f>
        <v>165.7</v>
      </c>
      <c r="C359" s="14">
        <f t="shared" si="10"/>
        <v>1.8137847642078775E-3</v>
      </c>
      <c r="D359" s="14">
        <f t="shared" si="11"/>
        <v>2.6641883519206832E-2</v>
      </c>
      <c r="E359" s="15">
        <f>VLOOKUP(Table5[[#This Row],[Date]],'Fed Fund New'!$A:$C,2,FALSE)</f>
        <v>0</v>
      </c>
      <c r="F359" s="27">
        <v>0.02</v>
      </c>
    </row>
    <row r="360" spans="1:6" x14ac:dyDescent="0.2">
      <c r="A360" s="61">
        <v>35278</v>
      </c>
      <c r="B360" s="68">
        <f>VLOOKUP(Table5[[#This Row],[Date]],Database!A:E,5,)</f>
        <v>166</v>
      </c>
      <c r="C360" s="14">
        <f t="shared" si="10"/>
        <v>1.8105009052505213E-3</v>
      </c>
      <c r="D360" s="14">
        <f t="shared" si="11"/>
        <v>2.5957972805933177E-2</v>
      </c>
      <c r="E360" s="15">
        <f>VLOOKUP(Table5[[#This Row],[Date]],'Fed Fund New'!$A:$C,2,FALSE)</f>
        <v>0</v>
      </c>
      <c r="F360" s="27">
        <v>0.02</v>
      </c>
    </row>
    <row r="361" spans="1:6" x14ac:dyDescent="0.2">
      <c r="A361" s="61">
        <v>35309</v>
      </c>
      <c r="B361" s="68">
        <f>VLOOKUP(Table5[[#This Row],[Date]],Database!A:E,5,)</f>
        <v>166.5</v>
      </c>
      <c r="C361" s="14">
        <f t="shared" si="10"/>
        <v>3.0120481927710845E-3</v>
      </c>
      <c r="D361" s="14">
        <f t="shared" si="11"/>
        <v>2.6510480887792922E-2</v>
      </c>
      <c r="E361" s="15">
        <f>VLOOKUP(Table5[[#This Row],[Date]],'Fed Fund New'!$A:$C,2,FALSE)</f>
        <v>0</v>
      </c>
      <c r="F361" s="27">
        <v>0.02</v>
      </c>
    </row>
    <row r="362" spans="1:6" x14ac:dyDescent="0.2">
      <c r="A362" s="61">
        <v>35339</v>
      </c>
      <c r="B362" s="68">
        <f>VLOOKUP(Table5[[#This Row],[Date]],Database!A:E,5,)</f>
        <v>166.8</v>
      </c>
      <c r="C362" s="14">
        <f t="shared" si="10"/>
        <v>1.8018018018018701E-3</v>
      </c>
      <c r="D362" s="14">
        <f t="shared" si="11"/>
        <v>2.5199754148740153E-2</v>
      </c>
      <c r="E362" s="15">
        <f>VLOOKUP(Table5[[#This Row],[Date]],'Fed Fund New'!$A:$C,2,FALSE)</f>
        <v>0</v>
      </c>
      <c r="F362" s="27">
        <v>0.02</v>
      </c>
    </row>
    <row r="363" spans="1:6" x14ac:dyDescent="0.2">
      <c r="A363" s="61">
        <v>35370</v>
      </c>
      <c r="B363" s="68">
        <f>VLOOKUP(Table5[[#This Row],[Date]],Database!A:E,5,)</f>
        <v>167.2</v>
      </c>
      <c r="C363" s="14">
        <f t="shared" si="10"/>
        <v>2.3980815347720459E-3</v>
      </c>
      <c r="D363" s="14">
        <f t="shared" si="11"/>
        <v>2.5766871165644103E-2</v>
      </c>
      <c r="E363" s="15">
        <f>VLOOKUP(Table5[[#This Row],[Date]],'Fed Fund New'!$A:$C,2,FALSE)</f>
        <v>0</v>
      </c>
      <c r="F363" s="27">
        <v>0.02</v>
      </c>
    </row>
    <row r="364" spans="1:6" x14ac:dyDescent="0.2">
      <c r="A364" s="61">
        <v>35400</v>
      </c>
      <c r="B364" s="68">
        <f>VLOOKUP(Table5[[#This Row],[Date]],Database!A:E,5,)</f>
        <v>167.4</v>
      </c>
      <c r="C364" s="14">
        <f t="shared" si="10"/>
        <v>1.1961722488039298E-3</v>
      </c>
      <c r="D364" s="14">
        <f t="shared" si="11"/>
        <v>2.6364193746168066E-2</v>
      </c>
      <c r="E364" s="15">
        <f>VLOOKUP(Table5[[#This Row],[Date]],'Fed Fund New'!$A:$C,2,FALSE)</f>
        <v>0</v>
      </c>
      <c r="F364" s="27">
        <v>0.02</v>
      </c>
    </row>
    <row r="365" spans="1:6" x14ac:dyDescent="0.2">
      <c r="A365" s="61">
        <v>35431</v>
      </c>
      <c r="B365" s="68">
        <f>VLOOKUP(Table5[[#This Row],[Date]],Database!A:E,5,)</f>
        <v>167.8</v>
      </c>
      <c r="C365" s="14">
        <f t="shared" si="10"/>
        <v>2.3894862604540361E-3</v>
      </c>
      <c r="D365" s="14">
        <f t="shared" si="11"/>
        <v>2.5045815516188289E-2</v>
      </c>
      <c r="E365" s="15">
        <f>VLOOKUP(Table5[[#This Row],[Date]],'Fed Fund New'!$A:$C,2,FALSE)</f>
        <v>0</v>
      </c>
      <c r="F365" s="27">
        <v>0.02</v>
      </c>
    </row>
    <row r="366" spans="1:6" x14ac:dyDescent="0.2">
      <c r="A366" s="61">
        <v>35462</v>
      </c>
      <c r="B366" s="68">
        <f>VLOOKUP(Table5[[#This Row],[Date]],Database!A:E,5,)</f>
        <v>168.1</v>
      </c>
      <c r="C366" s="14">
        <f t="shared" si="10"/>
        <v>1.7878426698449518E-3</v>
      </c>
      <c r="D366" s="14">
        <f t="shared" si="11"/>
        <v>2.4999999999999967E-2</v>
      </c>
      <c r="E366" s="15">
        <f>VLOOKUP(Table5[[#This Row],[Date]],'Fed Fund New'!$A:$C,2,FALSE)</f>
        <v>0</v>
      </c>
      <c r="F366" s="27">
        <v>0.02</v>
      </c>
    </row>
    <row r="367" spans="1:6" x14ac:dyDescent="0.2">
      <c r="A367" s="61">
        <v>35490</v>
      </c>
      <c r="B367" s="68">
        <f>VLOOKUP(Table5[[#This Row],[Date]],Database!A:E,5,)</f>
        <v>168.4</v>
      </c>
      <c r="C367" s="14">
        <f t="shared" si="10"/>
        <v>1.7846519928614597E-3</v>
      </c>
      <c r="D367" s="14">
        <f t="shared" si="11"/>
        <v>2.4330900243309E-2</v>
      </c>
      <c r="E367" s="15">
        <f>VLOOKUP(Table5[[#This Row],[Date]],'Fed Fund New'!$A:$C,2,FALSE)</f>
        <v>0</v>
      </c>
      <c r="F367" s="27">
        <v>0.02</v>
      </c>
    </row>
    <row r="368" spans="1:6" x14ac:dyDescent="0.2">
      <c r="A368" s="61">
        <v>35521</v>
      </c>
      <c r="B368" s="68">
        <f>VLOOKUP(Table5[[#This Row],[Date]],Database!A:E,5,)</f>
        <v>168.9</v>
      </c>
      <c r="C368" s="14">
        <f t="shared" si="10"/>
        <v>2.9691211401425177E-3</v>
      </c>
      <c r="D368" s="14">
        <f t="shared" si="11"/>
        <v>2.612393681652498E-2</v>
      </c>
      <c r="E368" s="15">
        <f>VLOOKUP(Table5[[#This Row],[Date]],'Fed Fund New'!$A:$C,2,FALSE)</f>
        <v>0</v>
      </c>
      <c r="F368" s="27">
        <v>0.02</v>
      </c>
    </row>
    <row r="369" spans="1:6" x14ac:dyDescent="0.2">
      <c r="A369" s="61">
        <v>35551</v>
      </c>
      <c r="B369" s="68">
        <f>VLOOKUP(Table5[[#This Row],[Date]],Database!A:E,5,)</f>
        <v>169.2</v>
      </c>
      <c r="C369" s="14">
        <f t="shared" si="10"/>
        <v>1.7761989342805385E-3</v>
      </c>
      <c r="D369" s="14">
        <f t="shared" si="11"/>
        <v>2.5454545454545386E-2</v>
      </c>
      <c r="E369" s="15">
        <f>VLOOKUP(Table5[[#This Row],[Date]],'Fed Fund New'!$A:$C,2,FALSE)</f>
        <v>0</v>
      </c>
      <c r="F369" s="27">
        <v>0.02</v>
      </c>
    </row>
    <row r="370" spans="1:6" x14ac:dyDescent="0.2">
      <c r="A370" s="61">
        <v>35582</v>
      </c>
      <c r="B370" s="68">
        <f>VLOOKUP(Table5[[#This Row],[Date]],Database!A:E,5,)</f>
        <v>169.4</v>
      </c>
      <c r="C370" s="14">
        <f t="shared" si="10"/>
        <v>1.1820330969268148E-3</v>
      </c>
      <c r="D370" s="14">
        <f t="shared" si="11"/>
        <v>2.4183796856106408E-2</v>
      </c>
      <c r="E370" s="15">
        <f>VLOOKUP(Table5[[#This Row],[Date]],'Fed Fund New'!$A:$C,2,FALSE)</f>
        <v>0</v>
      </c>
      <c r="F370" s="27">
        <v>0.02</v>
      </c>
    </row>
    <row r="371" spans="1:6" x14ac:dyDescent="0.2">
      <c r="A371" s="61">
        <v>35612</v>
      </c>
      <c r="B371" s="68">
        <f>VLOOKUP(Table5[[#This Row],[Date]],Database!A:E,5,)</f>
        <v>169.7</v>
      </c>
      <c r="C371" s="14">
        <f t="shared" si="10"/>
        <v>1.7709563164107611E-3</v>
      </c>
      <c r="D371" s="14">
        <f t="shared" si="11"/>
        <v>2.4140012070006038E-2</v>
      </c>
      <c r="E371" s="15">
        <f>VLOOKUP(Table5[[#This Row],[Date]],'Fed Fund New'!$A:$C,2,FALSE)</f>
        <v>0</v>
      </c>
      <c r="F371" s="27">
        <v>0.02</v>
      </c>
    </row>
    <row r="372" spans="1:6" x14ac:dyDescent="0.2">
      <c r="A372" s="61">
        <v>35643</v>
      </c>
      <c r="B372" s="68">
        <f>VLOOKUP(Table5[[#This Row],[Date]],Database!A:E,5,)</f>
        <v>169.8</v>
      </c>
      <c r="C372" s="14">
        <f t="shared" si="10"/>
        <v>5.8927519151457124E-4</v>
      </c>
      <c r="D372" s="14">
        <f t="shared" si="11"/>
        <v>2.2891566265060309E-2</v>
      </c>
      <c r="E372" s="15">
        <f>VLOOKUP(Table5[[#This Row],[Date]],'Fed Fund New'!$A:$C,2,FALSE)</f>
        <v>0</v>
      </c>
      <c r="F372" s="27">
        <v>0.02</v>
      </c>
    </row>
    <row r="373" spans="1:6" x14ac:dyDescent="0.2">
      <c r="A373" s="61">
        <v>35674</v>
      </c>
      <c r="B373" s="68">
        <f>VLOOKUP(Table5[[#This Row],[Date]],Database!A:E,5,)</f>
        <v>170.2</v>
      </c>
      <c r="C373" s="14">
        <f t="shared" si="10"/>
        <v>2.3557126030622922E-3</v>
      </c>
      <c r="D373" s="14">
        <f t="shared" si="11"/>
        <v>2.2222222222222154E-2</v>
      </c>
      <c r="E373" s="15">
        <f>VLOOKUP(Table5[[#This Row],[Date]],'Fed Fund New'!$A:$C,2,FALSE)</f>
        <v>0</v>
      </c>
      <c r="F373" s="27">
        <v>0.02</v>
      </c>
    </row>
    <row r="374" spans="1:6" x14ac:dyDescent="0.2">
      <c r="A374" s="61">
        <v>35704</v>
      </c>
      <c r="B374" s="68">
        <f>VLOOKUP(Table5[[#This Row],[Date]],Database!A:E,5,)</f>
        <v>170.6</v>
      </c>
      <c r="C374" s="14">
        <f t="shared" si="10"/>
        <v>2.3501762632197752E-3</v>
      </c>
      <c r="D374" s="14">
        <f t="shared" si="11"/>
        <v>2.2781774580335628E-2</v>
      </c>
      <c r="E374" s="15">
        <f>VLOOKUP(Table5[[#This Row],[Date]],'Fed Fund New'!$A:$C,2,FALSE)</f>
        <v>0</v>
      </c>
      <c r="F374" s="27">
        <v>0.02</v>
      </c>
    </row>
    <row r="375" spans="1:6" x14ac:dyDescent="0.2">
      <c r="A375" s="61">
        <v>35735</v>
      </c>
      <c r="B375" s="68">
        <f>VLOOKUP(Table5[[#This Row],[Date]],Database!A:E,5,)</f>
        <v>170.8</v>
      </c>
      <c r="C375" s="14">
        <f t="shared" si="10"/>
        <v>1.1723329425557859E-3</v>
      </c>
      <c r="D375" s="14">
        <f t="shared" si="11"/>
        <v>2.1531100478469036E-2</v>
      </c>
      <c r="E375" s="15">
        <f>VLOOKUP(Table5[[#This Row],[Date]],'Fed Fund New'!$A:$C,2,FALSE)</f>
        <v>0</v>
      </c>
      <c r="F375" s="27">
        <v>0.02</v>
      </c>
    </row>
    <row r="376" spans="1:6" x14ac:dyDescent="0.2">
      <c r="A376" s="61">
        <v>35765</v>
      </c>
      <c r="B376" s="68">
        <f>VLOOKUP(Table5[[#This Row],[Date]],Database!A:E,5,)</f>
        <v>171.2</v>
      </c>
      <c r="C376" s="14">
        <f t="shared" si="10"/>
        <v>2.3419203747071268E-3</v>
      </c>
      <c r="D376" s="14">
        <f t="shared" si="11"/>
        <v>2.270011947431292E-2</v>
      </c>
      <c r="E376" s="15">
        <f>VLOOKUP(Table5[[#This Row],[Date]],'Fed Fund New'!$A:$C,2,FALSE)</f>
        <v>0</v>
      </c>
      <c r="F376" s="27">
        <v>0.02</v>
      </c>
    </row>
    <row r="377" spans="1:6" x14ac:dyDescent="0.2">
      <c r="A377" s="61">
        <v>35796</v>
      </c>
      <c r="B377" s="68">
        <f>VLOOKUP(Table5[[#This Row],[Date]],Database!A:E,5,)</f>
        <v>171.6</v>
      </c>
      <c r="C377" s="14">
        <f t="shared" si="10"/>
        <v>2.3364485981308743E-3</v>
      </c>
      <c r="D377" s="14">
        <f t="shared" si="11"/>
        <v>2.2646007151370575E-2</v>
      </c>
      <c r="E377" s="15">
        <f>VLOOKUP(Table5[[#This Row],[Date]],'Fed Fund New'!$A:$C,2,FALSE)</f>
        <v>0</v>
      </c>
      <c r="F377" s="27">
        <v>0.02</v>
      </c>
    </row>
    <row r="378" spans="1:6" x14ac:dyDescent="0.2">
      <c r="A378" s="61">
        <v>35827</v>
      </c>
      <c r="B378" s="68">
        <f>VLOOKUP(Table5[[#This Row],[Date]],Database!A:E,5,)</f>
        <v>171.9</v>
      </c>
      <c r="C378" s="14">
        <f t="shared" si="10"/>
        <v>1.7482517482518146E-3</v>
      </c>
      <c r="D378" s="14">
        <f t="shared" si="11"/>
        <v>2.2605591909577699E-2</v>
      </c>
      <c r="E378" s="15">
        <f>VLOOKUP(Table5[[#This Row],[Date]],'Fed Fund New'!$A:$C,2,FALSE)</f>
        <v>0</v>
      </c>
      <c r="F378" s="27">
        <v>0.02</v>
      </c>
    </row>
    <row r="379" spans="1:6" x14ac:dyDescent="0.2">
      <c r="A379" s="61">
        <v>35855</v>
      </c>
      <c r="B379" s="68">
        <f>VLOOKUP(Table5[[#This Row],[Date]],Database!A:E,5,)</f>
        <v>172.2</v>
      </c>
      <c r="C379" s="14">
        <f t="shared" si="10"/>
        <v>1.74520069808018E-3</v>
      </c>
      <c r="D379" s="14">
        <f t="shared" si="11"/>
        <v>2.2565320665083034E-2</v>
      </c>
      <c r="E379" s="15">
        <f>VLOOKUP(Table5[[#This Row],[Date]],'Fed Fund New'!$A:$C,2,FALSE)</f>
        <v>0</v>
      </c>
      <c r="F379" s="27">
        <v>0.02</v>
      </c>
    </row>
    <row r="380" spans="1:6" x14ac:dyDescent="0.2">
      <c r="A380" s="61">
        <v>35886</v>
      </c>
      <c r="B380" s="68">
        <f>VLOOKUP(Table5[[#This Row],[Date]],Database!A:E,5,)</f>
        <v>172.5</v>
      </c>
      <c r="C380" s="14">
        <f t="shared" si="10"/>
        <v>1.7421602787457107E-3</v>
      </c>
      <c r="D380" s="14">
        <f t="shared" si="11"/>
        <v>2.1314387211367639E-2</v>
      </c>
      <c r="E380" s="15">
        <f>VLOOKUP(Table5[[#This Row],[Date]],'Fed Fund New'!$A:$C,2,FALSE)</f>
        <v>0</v>
      </c>
      <c r="F380" s="27">
        <v>0.02</v>
      </c>
    </row>
    <row r="381" spans="1:6" x14ac:dyDescent="0.2">
      <c r="A381" s="61">
        <v>35916</v>
      </c>
      <c r="B381" s="68">
        <f>VLOOKUP(Table5[[#This Row],[Date]],Database!A:E,5,)</f>
        <v>172.9</v>
      </c>
      <c r="C381" s="14">
        <f t="shared" si="10"/>
        <v>2.3188405797101778E-3</v>
      </c>
      <c r="D381" s="14">
        <f t="shared" si="11"/>
        <v>2.1867612293144309E-2</v>
      </c>
      <c r="E381" s="15">
        <f>VLOOKUP(Table5[[#This Row],[Date]],'Fed Fund New'!$A:$C,2,FALSE)</f>
        <v>0</v>
      </c>
      <c r="F381" s="27">
        <v>0.02</v>
      </c>
    </row>
    <row r="382" spans="1:6" x14ac:dyDescent="0.2">
      <c r="A382" s="61">
        <v>35947</v>
      </c>
      <c r="B382" s="68">
        <f>VLOOKUP(Table5[[#This Row],[Date]],Database!A:E,5,)</f>
        <v>173.2</v>
      </c>
      <c r="C382" s="14">
        <f t="shared" si="10"/>
        <v>1.7351069982647943E-3</v>
      </c>
      <c r="D382" s="14">
        <f t="shared" si="11"/>
        <v>2.2432113341204148E-2</v>
      </c>
      <c r="E382" s="15">
        <f>VLOOKUP(Table5[[#This Row],[Date]],'Fed Fund New'!$A:$C,2,FALSE)</f>
        <v>0</v>
      </c>
      <c r="F382" s="27">
        <v>0.02</v>
      </c>
    </row>
    <row r="383" spans="1:6" x14ac:dyDescent="0.2">
      <c r="A383" s="61">
        <v>35977</v>
      </c>
      <c r="B383" s="68">
        <f>VLOOKUP(Table5[[#This Row],[Date]],Database!A:E,5,)</f>
        <v>173.5</v>
      </c>
      <c r="C383" s="14">
        <f t="shared" si="10"/>
        <v>1.7321016166282413E-3</v>
      </c>
      <c r="D383" s="14">
        <f t="shared" si="11"/>
        <v>2.2392457277548683E-2</v>
      </c>
      <c r="E383" s="15">
        <f>VLOOKUP(Table5[[#This Row],[Date]],'Fed Fund New'!$A:$C,2,FALSE)</f>
        <v>0</v>
      </c>
      <c r="F383" s="27">
        <v>0.02</v>
      </c>
    </row>
    <row r="384" spans="1:6" x14ac:dyDescent="0.2">
      <c r="A384" s="61">
        <v>36008</v>
      </c>
      <c r="B384" s="68">
        <f>VLOOKUP(Table5[[#This Row],[Date]],Database!A:E,5,)</f>
        <v>174</v>
      </c>
      <c r="C384" s="14">
        <f t="shared" si="10"/>
        <v>2.881844380403458E-3</v>
      </c>
      <c r="D384" s="14">
        <f t="shared" si="11"/>
        <v>2.473498233215541E-2</v>
      </c>
      <c r="E384" s="15">
        <f>VLOOKUP(Table5[[#This Row],[Date]],'Fed Fund New'!$A:$C,2,FALSE)</f>
        <v>0</v>
      </c>
      <c r="F384" s="27">
        <v>0.02</v>
      </c>
    </row>
    <row r="385" spans="1:6" x14ac:dyDescent="0.2">
      <c r="A385" s="61">
        <v>36039</v>
      </c>
      <c r="B385" s="68">
        <f>VLOOKUP(Table5[[#This Row],[Date]],Database!A:E,5,)</f>
        <v>174.2</v>
      </c>
      <c r="C385" s="14">
        <f t="shared" si="10"/>
        <v>1.1494252873562566E-3</v>
      </c>
      <c r="D385" s="14">
        <f t="shared" si="11"/>
        <v>2.3501762632197415E-2</v>
      </c>
      <c r="E385" s="15">
        <f>VLOOKUP(Table5[[#This Row],[Date]],'Fed Fund New'!$A:$C,2,FALSE)</f>
        <v>0</v>
      </c>
      <c r="F385" s="27">
        <v>0.02</v>
      </c>
    </row>
    <row r="386" spans="1:6" x14ac:dyDescent="0.2">
      <c r="A386" s="61">
        <v>36069</v>
      </c>
      <c r="B386" s="68">
        <f>VLOOKUP(Table5[[#This Row],[Date]],Database!A:E,5,)</f>
        <v>174.4</v>
      </c>
      <c r="C386" s="14">
        <f t="shared" si="10"/>
        <v>1.1481056257176641E-3</v>
      </c>
      <c r="D386" s="14">
        <f t="shared" si="11"/>
        <v>2.2274325908558098E-2</v>
      </c>
      <c r="E386" s="15">
        <f>VLOOKUP(Table5[[#This Row],[Date]],'Fed Fund New'!$A:$C,2,FALSE)</f>
        <v>0</v>
      </c>
      <c r="F386" s="27">
        <v>0.02</v>
      </c>
    </row>
    <row r="387" spans="1:6" x14ac:dyDescent="0.2">
      <c r="A387" s="61">
        <v>36100</v>
      </c>
      <c r="B387" s="68">
        <f>VLOOKUP(Table5[[#This Row],[Date]],Database!A:E,5,)</f>
        <v>174.8</v>
      </c>
      <c r="C387" s="14">
        <f t="shared" si="10"/>
        <v>2.2935779816514088E-3</v>
      </c>
      <c r="D387" s="14">
        <f t="shared" si="11"/>
        <v>2.3419203747072598E-2</v>
      </c>
      <c r="E387" s="15">
        <f>VLOOKUP(Table5[[#This Row],[Date]],'Fed Fund New'!$A:$C,2,FALSE)</f>
        <v>0</v>
      </c>
      <c r="F387" s="27">
        <v>0.02</v>
      </c>
    </row>
    <row r="388" spans="1:6" x14ac:dyDescent="0.2">
      <c r="A388" s="61">
        <v>36130</v>
      </c>
      <c r="B388" s="68">
        <f>VLOOKUP(Table5[[#This Row],[Date]],Database!A:E,5,)</f>
        <v>175.4</v>
      </c>
      <c r="C388" s="14">
        <f t="shared" si="10"/>
        <v>3.4324942791761686E-3</v>
      </c>
      <c r="D388" s="14">
        <f t="shared" si="11"/>
        <v>2.4532710280373932E-2</v>
      </c>
      <c r="E388" s="15">
        <f>VLOOKUP(Table5[[#This Row],[Date]],'Fed Fund New'!$A:$C,2,FALSE)</f>
        <v>0</v>
      </c>
      <c r="F388" s="27">
        <v>0.02</v>
      </c>
    </row>
    <row r="389" spans="1:6" x14ac:dyDescent="0.2">
      <c r="A389" s="61">
        <v>36161</v>
      </c>
      <c r="B389" s="68">
        <f>VLOOKUP(Table5[[#This Row],[Date]],Database!A:E,5,)</f>
        <v>175.6</v>
      </c>
      <c r="C389" s="14">
        <f t="shared" si="10"/>
        <v>1.1402508551880766E-3</v>
      </c>
      <c r="D389" s="14">
        <f t="shared" si="11"/>
        <v>2.3310023310023312E-2</v>
      </c>
      <c r="E389" s="15">
        <f>VLOOKUP(Table5[[#This Row],[Date]],'Fed Fund New'!$A:$C,2,FALSE)</f>
        <v>0</v>
      </c>
      <c r="F389" s="27">
        <v>0.02</v>
      </c>
    </row>
    <row r="390" spans="1:6" x14ac:dyDescent="0.2">
      <c r="A390" s="61">
        <v>36192</v>
      </c>
      <c r="B390" s="68">
        <f>VLOOKUP(Table5[[#This Row],[Date]],Database!A:E,5,)</f>
        <v>175.6</v>
      </c>
      <c r="C390" s="14">
        <f t="shared" ref="C390:C453" si="12">(B390-B389)/B389</f>
        <v>0</v>
      </c>
      <c r="D390" s="14">
        <f t="shared" si="11"/>
        <v>2.1524141942990044E-2</v>
      </c>
      <c r="E390" s="15">
        <f>VLOOKUP(Table5[[#This Row],[Date]],'Fed Fund New'!$A:$C,2,FALSE)</f>
        <v>0</v>
      </c>
      <c r="F390" s="27">
        <v>0.02</v>
      </c>
    </row>
    <row r="391" spans="1:6" x14ac:dyDescent="0.2">
      <c r="A391" s="61">
        <v>36220</v>
      </c>
      <c r="B391" s="68">
        <f>VLOOKUP(Table5[[#This Row],[Date]],Database!A:E,5,)</f>
        <v>175.7</v>
      </c>
      <c r="C391" s="14">
        <f t="shared" si="12"/>
        <v>5.6947608200452347E-4</v>
      </c>
      <c r="D391" s="14">
        <f t="shared" si="11"/>
        <v>2.0325203252032523E-2</v>
      </c>
      <c r="E391" s="15">
        <f>VLOOKUP(Table5[[#This Row],[Date]],'Fed Fund New'!$A:$C,2,FALSE)</f>
        <v>0</v>
      </c>
      <c r="F391" s="27">
        <v>0.02</v>
      </c>
    </row>
    <row r="392" spans="1:6" x14ac:dyDescent="0.2">
      <c r="A392" s="61">
        <v>36251</v>
      </c>
      <c r="B392" s="68">
        <f>VLOOKUP(Table5[[#This Row],[Date]],Database!A:E,5,)</f>
        <v>176.3</v>
      </c>
      <c r="C392" s="14">
        <f t="shared" si="12"/>
        <v>3.4149117814457758E-3</v>
      </c>
      <c r="D392" s="14">
        <f t="shared" si="11"/>
        <v>2.2028985507246444E-2</v>
      </c>
      <c r="E392" s="15">
        <f>VLOOKUP(Table5[[#This Row],[Date]],'Fed Fund New'!$A:$C,2,FALSE)</f>
        <v>0</v>
      </c>
      <c r="F392" s="27">
        <v>0.02</v>
      </c>
    </row>
    <row r="393" spans="1:6" x14ac:dyDescent="0.2">
      <c r="A393" s="61">
        <v>36281</v>
      </c>
      <c r="B393" s="68">
        <f>VLOOKUP(Table5[[#This Row],[Date]],Database!A:E,5,)</f>
        <v>176.5</v>
      </c>
      <c r="C393" s="14">
        <f t="shared" si="12"/>
        <v>1.1344299489505878E-3</v>
      </c>
      <c r="D393" s="14">
        <f t="shared" si="11"/>
        <v>2.0821283979178682E-2</v>
      </c>
      <c r="E393" s="15">
        <f>VLOOKUP(Table5[[#This Row],[Date]],'Fed Fund New'!$A:$C,2,FALSE)</f>
        <v>0</v>
      </c>
      <c r="F393" s="27">
        <v>0.02</v>
      </c>
    </row>
    <row r="394" spans="1:6" x14ac:dyDescent="0.2">
      <c r="A394" s="61">
        <v>36312</v>
      </c>
      <c r="B394" s="68">
        <f>VLOOKUP(Table5[[#This Row],[Date]],Database!A:E,5,)</f>
        <v>176.6</v>
      </c>
      <c r="C394" s="14">
        <f t="shared" si="12"/>
        <v>5.665722379603077E-4</v>
      </c>
      <c r="D394" s="14">
        <f t="shared" si="11"/>
        <v>1.9630484988452691E-2</v>
      </c>
      <c r="E394" s="15">
        <f>VLOOKUP(Table5[[#This Row],[Date]],'Fed Fund New'!$A:$C,2,FALSE)</f>
        <v>0</v>
      </c>
      <c r="F394" s="27">
        <v>0.02</v>
      </c>
    </row>
    <row r="395" spans="1:6" x14ac:dyDescent="0.2">
      <c r="A395" s="61">
        <v>36342</v>
      </c>
      <c r="B395" s="68">
        <f>VLOOKUP(Table5[[#This Row],[Date]],Database!A:E,5,)</f>
        <v>177.1</v>
      </c>
      <c r="C395" s="14">
        <f t="shared" si="12"/>
        <v>2.8312570781426957E-3</v>
      </c>
      <c r="D395" s="14">
        <f t="shared" si="11"/>
        <v>2.0749279538904868E-2</v>
      </c>
      <c r="E395" s="15">
        <f>VLOOKUP(Table5[[#This Row],[Date]],'Fed Fund New'!$A:$C,2,FALSE)</f>
        <v>0</v>
      </c>
      <c r="F395" s="27">
        <v>0.02</v>
      </c>
    </row>
    <row r="396" spans="1:6" x14ac:dyDescent="0.2">
      <c r="A396" s="61">
        <v>36373</v>
      </c>
      <c r="B396" s="68">
        <f>VLOOKUP(Table5[[#This Row],[Date]],Database!A:E,5,)</f>
        <v>177.3</v>
      </c>
      <c r="C396" s="14">
        <f t="shared" si="12"/>
        <v>1.1293054771316605E-3</v>
      </c>
      <c r="D396" s="14">
        <f t="shared" si="11"/>
        <v>1.8965517241379376E-2</v>
      </c>
      <c r="E396" s="15">
        <f>VLOOKUP(Table5[[#This Row],[Date]],'Fed Fund New'!$A:$C,2,FALSE)</f>
        <v>0</v>
      </c>
      <c r="F396" s="27">
        <v>0.02</v>
      </c>
    </row>
    <row r="397" spans="1:6" x14ac:dyDescent="0.2">
      <c r="A397" s="61">
        <v>36404</v>
      </c>
      <c r="B397" s="68">
        <f>VLOOKUP(Table5[[#This Row],[Date]],Database!A:E,5,)</f>
        <v>177.8</v>
      </c>
      <c r="C397" s="14">
        <f t="shared" si="12"/>
        <v>2.8200789622109417E-3</v>
      </c>
      <c r="D397" s="14">
        <f t="shared" si="11"/>
        <v>2.0665901262916321E-2</v>
      </c>
      <c r="E397" s="15">
        <f>VLOOKUP(Table5[[#This Row],[Date]],'Fed Fund New'!$A:$C,2,FALSE)</f>
        <v>0</v>
      </c>
      <c r="F397" s="27">
        <v>0.02</v>
      </c>
    </row>
    <row r="398" spans="1:6" x14ac:dyDescent="0.2">
      <c r="A398" s="61">
        <v>36434</v>
      </c>
      <c r="B398" s="68">
        <f>VLOOKUP(Table5[[#This Row],[Date]],Database!A:E,5,)</f>
        <v>178.1</v>
      </c>
      <c r="C398" s="14">
        <f t="shared" si="12"/>
        <v>1.6872890888637959E-3</v>
      </c>
      <c r="D398" s="14">
        <f t="shared" si="11"/>
        <v>2.1215596330275165E-2</v>
      </c>
      <c r="E398" s="15">
        <f>VLOOKUP(Table5[[#This Row],[Date]],'Fed Fund New'!$A:$C,2,FALSE)</f>
        <v>0</v>
      </c>
      <c r="F398" s="27">
        <v>0.02</v>
      </c>
    </row>
    <row r="399" spans="1:6" x14ac:dyDescent="0.2">
      <c r="A399" s="61">
        <v>36465</v>
      </c>
      <c r="B399" s="68">
        <f>VLOOKUP(Table5[[#This Row],[Date]],Database!A:E,5,)</f>
        <v>178.4</v>
      </c>
      <c r="C399" s="14">
        <f t="shared" si="12"/>
        <v>1.6844469399214565E-3</v>
      </c>
      <c r="D399" s="14">
        <f t="shared" si="11"/>
        <v>2.0594965675057173E-2</v>
      </c>
      <c r="E399" s="15">
        <f>VLOOKUP(Table5[[#This Row],[Date]],'Fed Fund New'!$A:$C,2,FALSE)</f>
        <v>0</v>
      </c>
      <c r="F399" s="27">
        <v>0.02</v>
      </c>
    </row>
    <row r="400" spans="1:6" x14ac:dyDescent="0.2">
      <c r="A400" s="61">
        <v>36495</v>
      </c>
      <c r="B400" s="68">
        <f>VLOOKUP(Table5[[#This Row],[Date]],Database!A:E,5,)</f>
        <v>178.7</v>
      </c>
      <c r="C400" s="14">
        <f t="shared" si="12"/>
        <v>1.6816143497756892E-3</v>
      </c>
      <c r="D400" s="14">
        <f t="shared" si="11"/>
        <v>1.8814139110604235E-2</v>
      </c>
      <c r="E400" s="15">
        <f>VLOOKUP(Table5[[#This Row],[Date]],'Fed Fund New'!$A:$C,2,FALSE)</f>
        <v>0</v>
      </c>
      <c r="F400" s="27">
        <v>0.02</v>
      </c>
    </row>
    <row r="401" spans="1:6" x14ac:dyDescent="0.2">
      <c r="A401" s="61">
        <v>36526</v>
      </c>
      <c r="B401" s="68">
        <f>VLOOKUP(Table5[[#This Row],[Date]],Database!A:E,5,)</f>
        <v>179.3</v>
      </c>
      <c r="C401" s="14">
        <f t="shared" si="12"/>
        <v>3.3575825405709166E-3</v>
      </c>
      <c r="D401" s="14">
        <f t="shared" ref="D401:D464" si="13">(B401-B389)/B389</f>
        <v>2.1070615034168662E-2</v>
      </c>
      <c r="E401" s="15">
        <f>VLOOKUP(Table5[[#This Row],[Date]],'Fed Fund New'!$A:$C,2,FALSE)</f>
        <v>0</v>
      </c>
      <c r="F401" s="27">
        <v>0.02</v>
      </c>
    </row>
    <row r="402" spans="1:6" x14ac:dyDescent="0.2">
      <c r="A402" s="61">
        <v>36557</v>
      </c>
      <c r="B402" s="68">
        <f>VLOOKUP(Table5[[#This Row],[Date]],Database!A:E,5,)</f>
        <v>179.4</v>
      </c>
      <c r="C402" s="14">
        <f t="shared" si="12"/>
        <v>5.5772448410482047E-4</v>
      </c>
      <c r="D402" s="14">
        <f t="shared" si="13"/>
        <v>2.1640091116173186E-2</v>
      </c>
      <c r="E402" s="15">
        <f>VLOOKUP(Table5[[#This Row],[Date]],'Fed Fund New'!$A:$C,2,FALSE)</f>
        <v>0</v>
      </c>
      <c r="F402" s="27">
        <v>0.02</v>
      </c>
    </row>
    <row r="403" spans="1:6" x14ac:dyDescent="0.2">
      <c r="A403" s="61">
        <v>36586</v>
      </c>
      <c r="B403" s="68">
        <f>VLOOKUP(Table5[[#This Row],[Date]],Database!A:E,5,)</f>
        <v>180</v>
      </c>
      <c r="C403" s="14">
        <f t="shared" si="12"/>
        <v>3.3444816053511389E-3</v>
      </c>
      <c r="D403" s="14">
        <f t="shared" si="13"/>
        <v>2.4473534433693864E-2</v>
      </c>
      <c r="E403" s="15">
        <f>VLOOKUP(Table5[[#This Row],[Date]],'Fed Fund New'!$A:$C,2,FALSE)</f>
        <v>0</v>
      </c>
      <c r="F403" s="27">
        <v>0.02</v>
      </c>
    </row>
    <row r="404" spans="1:6" x14ac:dyDescent="0.2">
      <c r="A404" s="61">
        <v>36617</v>
      </c>
      <c r="B404" s="68">
        <f>VLOOKUP(Table5[[#This Row],[Date]],Database!A:E,5,)</f>
        <v>180.3</v>
      </c>
      <c r="C404" s="14">
        <f t="shared" si="12"/>
        <v>1.6666666666667299E-3</v>
      </c>
      <c r="D404" s="14">
        <f t="shared" si="13"/>
        <v>2.2688598979013045E-2</v>
      </c>
      <c r="E404" s="15">
        <f>VLOOKUP(Table5[[#This Row],[Date]],'Fed Fund New'!$A:$C,2,FALSE)</f>
        <v>0</v>
      </c>
      <c r="F404" s="27">
        <v>0.02</v>
      </c>
    </row>
    <row r="405" spans="1:6" x14ac:dyDescent="0.2">
      <c r="A405" s="61">
        <v>36647</v>
      </c>
      <c r="B405" s="68">
        <f>VLOOKUP(Table5[[#This Row],[Date]],Database!A:E,5,)</f>
        <v>180.7</v>
      </c>
      <c r="C405" s="14">
        <f t="shared" si="12"/>
        <v>2.2185246810869507E-3</v>
      </c>
      <c r="D405" s="14">
        <f t="shared" si="13"/>
        <v>2.3796033994334213E-2</v>
      </c>
      <c r="E405" s="15">
        <f>VLOOKUP(Table5[[#This Row],[Date]],'Fed Fund New'!$A:$C,2,FALSE)</f>
        <v>0</v>
      </c>
      <c r="F405" s="27">
        <v>0.02</v>
      </c>
    </row>
    <row r="406" spans="1:6" x14ac:dyDescent="0.2">
      <c r="A406" s="61">
        <v>36678</v>
      </c>
      <c r="B406" s="68">
        <f>VLOOKUP(Table5[[#This Row],[Date]],Database!A:E,5,)</f>
        <v>181.1</v>
      </c>
      <c r="C406" s="14">
        <f t="shared" si="12"/>
        <v>2.2136137244051228E-3</v>
      </c>
      <c r="D406" s="14">
        <f t="shared" si="13"/>
        <v>2.5481313703284259E-2</v>
      </c>
      <c r="E406" s="15">
        <f>VLOOKUP(Table5[[#This Row],[Date]],'Fed Fund New'!$A:$C,2,FALSE)</f>
        <v>0</v>
      </c>
      <c r="F406" s="27">
        <v>0.02</v>
      </c>
    </row>
    <row r="407" spans="1:6" x14ac:dyDescent="0.2">
      <c r="A407" s="61">
        <v>36708</v>
      </c>
      <c r="B407" s="68">
        <f>VLOOKUP(Table5[[#This Row],[Date]],Database!A:E,5,)</f>
        <v>181.5</v>
      </c>
      <c r="C407" s="14">
        <f t="shared" si="12"/>
        <v>2.2087244616234439E-3</v>
      </c>
      <c r="D407" s="14">
        <f t="shared" si="13"/>
        <v>2.4844720496894443E-2</v>
      </c>
      <c r="E407" s="15">
        <f>VLOOKUP(Table5[[#This Row],[Date]],'Fed Fund New'!$A:$C,2,FALSE)</f>
        <v>6.5</v>
      </c>
      <c r="F407" s="27">
        <v>0.02</v>
      </c>
    </row>
    <row r="408" spans="1:6" x14ac:dyDescent="0.2">
      <c r="A408" s="61">
        <v>36739</v>
      </c>
      <c r="B408" s="68">
        <f>VLOOKUP(Table5[[#This Row],[Date]],Database!A:E,5,)</f>
        <v>181.9</v>
      </c>
      <c r="C408" s="14">
        <f t="shared" si="12"/>
        <v>2.2038567493113262E-3</v>
      </c>
      <c r="D408" s="14">
        <f t="shared" si="13"/>
        <v>2.5944726452340632E-2</v>
      </c>
      <c r="E408" s="15">
        <f>VLOOKUP(Table5[[#This Row],[Date]],'Fed Fund New'!$A:$C,2,FALSE)</f>
        <v>6.5</v>
      </c>
      <c r="F408" s="27">
        <v>0.02</v>
      </c>
    </row>
    <row r="409" spans="1:6" x14ac:dyDescent="0.2">
      <c r="A409" s="61">
        <v>36770</v>
      </c>
      <c r="B409" s="68">
        <f>VLOOKUP(Table5[[#This Row],[Date]],Database!A:E,5,)</f>
        <v>182.3</v>
      </c>
      <c r="C409" s="14">
        <f t="shared" si="12"/>
        <v>2.1990104452996465E-3</v>
      </c>
      <c r="D409" s="14">
        <f t="shared" si="13"/>
        <v>2.5309336332958378E-2</v>
      </c>
      <c r="E409" s="15">
        <f>VLOOKUP(Table5[[#This Row],[Date]],'Fed Fund New'!$A:$C,2,FALSE)</f>
        <v>6.5</v>
      </c>
      <c r="F409" s="27">
        <v>0.02</v>
      </c>
    </row>
    <row r="410" spans="1:6" x14ac:dyDescent="0.2">
      <c r="A410" s="61">
        <v>36800</v>
      </c>
      <c r="B410" s="68">
        <f>VLOOKUP(Table5[[#This Row],[Date]],Database!A:E,5,)</f>
        <v>182.6</v>
      </c>
      <c r="C410" s="14">
        <f t="shared" si="12"/>
        <v>1.6456390565001806E-3</v>
      </c>
      <c r="D410" s="14">
        <f t="shared" si="13"/>
        <v>2.5266704098820886E-2</v>
      </c>
      <c r="E410" s="15">
        <f>VLOOKUP(Table5[[#This Row],[Date]],'Fed Fund New'!$A:$C,2,FALSE)</f>
        <v>6.5</v>
      </c>
      <c r="F410" s="27">
        <v>0.02</v>
      </c>
    </row>
    <row r="411" spans="1:6" x14ac:dyDescent="0.2">
      <c r="A411" s="61">
        <v>36831</v>
      </c>
      <c r="B411" s="68">
        <f>VLOOKUP(Table5[[#This Row],[Date]],Database!A:E,5,)</f>
        <v>183.1</v>
      </c>
      <c r="C411" s="14">
        <f t="shared" si="12"/>
        <v>2.7382256297918948E-3</v>
      </c>
      <c r="D411" s="14">
        <f t="shared" si="13"/>
        <v>2.6345291479820562E-2</v>
      </c>
      <c r="E411" s="15">
        <f>VLOOKUP(Table5[[#This Row],[Date]],'Fed Fund New'!$A:$C,2,FALSE)</f>
        <v>6.5</v>
      </c>
      <c r="F411" s="27">
        <v>0.02</v>
      </c>
    </row>
    <row r="412" spans="1:6" x14ac:dyDescent="0.2">
      <c r="A412" s="61">
        <v>36861</v>
      </c>
      <c r="B412" s="68">
        <f>VLOOKUP(Table5[[#This Row],[Date]],Database!A:E,5,)</f>
        <v>183.3</v>
      </c>
      <c r="C412" s="14">
        <f t="shared" si="12"/>
        <v>1.0922992900055546E-3</v>
      </c>
      <c r="D412" s="14">
        <f t="shared" si="13"/>
        <v>2.5741466144376179E-2</v>
      </c>
      <c r="E412" s="15">
        <f>VLOOKUP(Table5[[#This Row],[Date]],'Fed Fund New'!$A:$C,2,FALSE)</f>
        <v>6.5</v>
      </c>
      <c r="F412" s="27">
        <v>0.02</v>
      </c>
    </row>
    <row r="413" spans="1:6" x14ac:dyDescent="0.2">
      <c r="A413" s="61">
        <v>36892</v>
      </c>
      <c r="B413" s="68">
        <f>VLOOKUP(Table5[[#This Row],[Date]],Database!A:E,5,)</f>
        <v>183.9</v>
      </c>
      <c r="C413" s="14">
        <f t="shared" si="12"/>
        <v>3.2733224222585614E-3</v>
      </c>
      <c r="D413" s="14">
        <f t="shared" si="13"/>
        <v>2.5655326268823168E-2</v>
      </c>
      <c r="E413" s="15">
        <f>VLOOKUP(Table5[[#This Row],[Date]],'Fed Fund New'!$A:$C,2,FALSE)</f>
        <v>5.5</v>
      </c>
      <c r="F413" s="27">
        <v>0.02</v>
      </c>
    </row>
    <row r="414" spans="1:6" x14ac:dyDescent="0.2">
      <c r="A414" s="61">
        <v>36923</v>
      </c>
      <c r="B414" s="68">
        <f>VLOOKUP(Table5[[#This Row],[Date]],Database!A:E,5,)</f>
        <v>184.4</v>
      </c>
      <c r="C414" s="14">
        <f t="shared" si="12"/>
        <v>2.7188689505165849E-3</v>
      </c>
      <c r="D414" s="14">
        <f t="shared" si="13"/>
        <v>2.7870680044593088E-2</v>
      </c>
      <c r="E414" s="15">
        <f>VLOOKUP(Table5[[#This Row],[Date]],'Fed Fund New'!$A:$C,2,FALSE)</f>
        <v>5.5</v>
      </c>
      <c r="F414" s="27">
        <v>0.02</v>
      </c>
    </row>
    <row r="415" spans="1:6" x14ac:dyDescent="0.2">
      <c r="A415" s="61">
        <v>36951</v>
      </c>
      <c r="B415" s="68">
        <f>VLOOKUP(Table5[[#This Row],[Date]],Database!A:E,5,)</f>
        <v>184.7</v>
      </c>
      <c r="C415" s="14">
        <f t="shared" si="12"/>
        <v>1.6268980477222503E-3</v>
      </c>
      <c r="D415" s="14">
        <f t="shared" si="13"/>
        <v>2.6111111111111047E-2</v>
      </c>
      <c r="E415" s="15">
        <f>VLOOKUP(Table5[[#This Row],[Date]],'Fed Fund New'!$A:$C,2,FALSE)</f>
        <v>5</v>
      </c>
      <c r="F415" s="27">
        <v>0.02</v>
      </c>
    </row>
    <row r="416" spans="1:6" x14ac:dyDescent="0.2">
      <c r="A416" s="61">
        <v>36982</v>
      </c>
      <c r="B416" s="68">
        <f>VLOOKUP(Table5[[#This Row],[Date]],Database!A:E,5,)</f>
        <v>185.1</v>
      </c>
      <c r="C416" s="14">
        <f t="shared" si="12"/>
        <v>2.1656740660530899E-3</v>
      </c>
      <c r="D416" s="14">
        <f t="shared" si="13"/>
        <v>2.6622296173044829E-2</v>
      </c>
      <c r="E416" s="15">
        <f>VLOOKUP(Table5[[#This Row],[Date]],'Fed Fund New'!$A:$C,2,FALSE)</f>
        <v>4.5</v>
      </c>
      <c r="F416" s="27">
        <v>0.02</v>
      </c>
    </row>
    <row r="417" spans="1:6" x14ac:dyDescent="0.2">
      <c r="A417" s="61">
        <v>37012</v>
      </c>
      <c r="B417" s="68">
        <f>VLOOKUP(Table5[[#This Row],[Date]],Database!A:E,5,)</f>
        <v>185.3</v>
      </c>
      <c r="C417" s="14">
        <f t="shared" si="12"/>
        <v>1.0804970286332634E-3</v>
      </c>
      <c r="D417" s="14">
        <f t="shared" si="13"/>
        <v>2.5456557830658678E-2</v>
      </c>
      <c r="E417" s="15">
        <f>VLOOKUP(Table5[[#This Row],[Date]],'Fed Fund New'!$A:$C,2,FALSE)</f>
        <v>4</v>
      </c>
      <c r="F417" s="27">
        <v>0.02</v>
      </c>
    </row>
    <row r="418" spans="1:6" x14ac:dyDescent="0.2">
      <c r="A418" s="61">
        <v>37043</v>
      </c>
      <c r="B418" s="68">
        <f>VLOOKUP(Table5[[#This Row],[Date]],Database!A:E,5,)</f>
        <v>186</v>
      </c>
      <c r="C418" s="14">
        <f t="shared" si="12"/>
        <v>3.7776578521316168E-3</v>
      </c>
      <c r="D418" s="14">
        <f t="shared" si="13"/>
        <v>2.7056874654886834E-2</v>
      </c>
      <c r="E418" s="15">
        <f>VLOOKUP(Table5[[#This Row],[Date]],'Fed Fund New'!$A:$C,2,FALSE)</f>
        <v>3.75</v>
      </c>
      <c r="F418" s="27">
        <v>0.02</v>
      </c>
    </row>
    <row r="419" spans="1:6" x14ac:dyDescent="0.2">
      <c r="A419" s="61">
        <v>37073</v>
      </c>
      <c r="B419" s="68">
        <f>VLOOKUP(Table5[[#This Row],[Date]],Database!A:E,5,)</f>
        <v>186.4</v>
      </c>
      <c r="C419" s="14">
        <f t="shared" si="12"/>
        <v>2.1505376344086325E-3</v>
      </c>
      <c r="D419" s="14">
        <f t="shared" si="13"/>
        <v>2.6997245179063392E-2</v>
      </c>
      <c r="E419" s="15">
        <f>VLOOKUP(Table5[[#This Row],[Date]],'Fed Fund New'!$A:$C,2,FALSE)</f>
        <v>3.75</v>
      </c>
      <c r="F419" s="27">
        <v>0.02</v>
      </c>
    </row>
    <row r="420" spans="1:6" x14ac:dyDescent="0.2">
      <c r="A420" s="61">
        <v>37104</v>
      </c>
      <c r="B420" s="68">
        <f>VLOOKUP(Table5[[#This Row],[Date]],Database!A:E,5,)</f>
        <v>186.7</v>
      </c>
      <c r="C420" s="14">
        <f t="shared" si="12"/>
        <v>1.6094420600857454E-3</v>
      </c>
      <c r="D420" s="14">
        <f t="shared" si="13"/>
        <v>2.6388125343595286E-2</v>
      </c>
      <c r="E420" s="15">
        <f>VLOOKUP(Table5[[#This Row],[Date]],'Fed Fund New'!$A:$C,2,FALSE)</f>
        <v>3.5</v>
      </c>
      <c r="F420" s="27">
        <v>0.02</v>
      </c>
    </row>
    <row r="421" spans="1:6" x14ac:dyDescent="0.2">
      <c r="A421" s="61">
        <v>37135</v>
      </c>
      <c r="B421" s="68">
        <f>VLOOKUP(Table5[[#This Row],[Date]],Database!A:E,5,)</f>
        <v>187.1</v>
      </c>
      <c r="C421" s="14">
        <f t="shared" si="12"/>
        <v>2.1424745581146531E-3</v>
      </c>
      <c r="D421" s="14">
        <f t="shared" si="13"/>
        <v>2.6330224904004294E-2</v>
      </c>
      <c r="E421" s="15">
        <f>VLOOKUP(Table5[[#This Row],[Date]],'Fed Fund New'!$A:$C,2,FALSE)</f>
        <v>3</v>
      </c>
      <c r="F421" s="27">
        <v>0.02</v>
      </c>
    </row>
    <row r="422" spans="1:6" x14ac:dyDescent="0.2">
      <c r="A422" s="61">
        <v>37165</v>
      </c>
      <c r="B422" s="68">
        <f>VLOOKUP(Table5[[#This Row],[Date]],Database!A:E,5,)</f>
        <v>187.4</v>
      </c>
      <c r="C422" s="14">
        <f t="shared" si="12"/>
        <v>1.6034206306788422E-3</v>
      </c>
      <c r="D422" s="14">
        <f t="shared" si="13"/>
        <v>2.6286966046002253E-2</v>
      </c>
      <c r="E422" s="15">
        <f>VLOOKUP(Table5[[#This Row],[Date]],'Fed Fund New'!$A:$C,2,FALSE)</f>
        <v>2.5</v>
      </c>
      <c r="F422" s="27">
        <v>0.02</v>
      </c>
    </row>
    <row r="423" spans="1:6" x14ac:dyDescent="0.2">
      <c r="A423" s="61">
        <v>37196</v>
      </c>
      <c r="B423" s="68">
        <f>VLOOKUP(Table5[[#This Row],[Date]],Database!A:E,5,)</f>
        <v>188.1</v>
      </c>
      <c r="C423" s="14">
        <f t="shared" si="12"/>
        <v>3.7353255069369723E-3</v>
      </c>
      <c r="D423" s="14">
        <f t="shared" si="13"/>
        <v>2.7307482250136537E-2</v>
      </c>
      <c r="E423" s="15">
        <f>VLOOKUP(Table5[[#This Row],[Date]],'Fed Fund New'!$A:$C,2,FALSE)</f>
        <v>2</v>
      </c>
      <c r="F423" s="27">
        <v>0.02</v>
      </c>
    </row>
    <row r="424" spans="1:6" x14ac:dyDescent="0.2">
      <c r="A424" s="61">
        <v>37226</v>
      </c>
      <c r="B424" s="68">
        <f>VLOOKUP(Table5[[#This Row],[Date]],Database!A:E,5,)</f>
        <v>188.4</v>
      </c>
      <c r="C424" s="14">
        <f t="shared" si="12"/>
        <v>1.5948963317384975E-3</v>
      </c>
      <c r="D424" s="14">
        <f t="shared" si="13"/>
        <v>2.7823240589198002E-2</v>
      </c>
      <c r="E424" s="15">
        <f>VLOOKUP(Table5[[#This Row],[Date]],'Fed Fund New'!$A:$C,2,FALSE)</f>
        <v>1.75</v>
      </c>
      <c r="F424" s="27">
        <v>0.02</v>
      </c>
    </row>
    <row r="425" spans="1:6" x14ac:dyDescent="0.2">
      <c r="A425" s="61">
        <v>37257</v>
      </c>
      <c r="B425" s="68">
        <f>VLOOKUP(Table5[[#This Row],[Date]],Database!A:E,5,)</f>
        <v>188.7</v>
      </c>
      <c r="C425" s="14">
        <f t="shared" si="12"/>
        <v>1.5923566878979986E-3</v>
      </c>
      <c r="D425" s="14">
        <f t="shared" si="13"/>
        <v>2.6101141924959124E-2</v>
      </c>
      <c r="E425" s="15">
        <f>VLOOKUP(Table5[[#This Row],[Date]],'Fed Fund New'!$A:$C,2,FALSE)</f>
        <v>1.75</v>
      </c>
      <c r="F425" s="27">
        <v>0.02</v>
      </c>
    </row>
    <row r="426" spans="1:6" x14ac:dyDescent="0.2">
      <c r="A426" s="61">
        <v>37288</v>
      </c>
      <c r="B426" s="68">
        <f>VLOOKUP(Table5[[#This Row],[Date]],Database!A:E,5,)</f>
        <v>189.1</v>
      </c>
      <c r="C426" s="14">
        <f t="shared" si="12"/>
        <v>2.1197668256492086E-3</v>
      </c>
      <c r="D426" s="14">
        <f t="shared" si="13"/>
        <v>2.5488069414316642E-2</v>
      </c>
      <c r="E426" s="15">
        <f>VLOOKUP(Table5[[#This Row],[Date]],'Fed Fund New'!$A:$C,2,FALSE)</f>
        <v>1.75</v>
      </c>
      <c r="F426" s="27">
        <v>0.02</v>
      </c>
    </row>
    <row r="427" spans="1:6" x14ac:dyDescent="0.2">
      <c r="A427" s="61">
        <v>37316</v>
      </c>
      <c r="B427" s="68">
        <f>VLOOKUP(Table5[[#This Row],[Date]],Database!A:E,5,)</f>
        <v>189.2</v>
      </c>
      <c r="C427" s="14">
        <f t="shared" si="12"/>
        <v>5.2882072977257705E-4</v>
      </c>
      <c r="D427" s="14">
        <f t="shared" si="13"/>
        <v>2.4363833243096916E-2</v>
      </c>
      <c r="E427" s="15">
        <f>VLOOKUP(Table5[[#This Row],[Date]],'Fed Fund New'!$A:$C,2,FALSE)</f>
        <v>1.75</v>
      </c>
      <c r="F427" s="27">
        <v>0.02</v>
      </c>
    </row>
    <row r="428" spans="1:6" x14ac:dyDescent="0.2">
      <c r="A428" s="61">
        <v>37347</v>
      </c>
      <c r="B428" s="68">
        <f>VLOOKUP(Table5[[#This Row],[Date]],Database!A:E,5,)</f>
        <v>189.7</v>
      </c>
      <c r="C428" s="14">
        <f t="shared" si="12"/>
        <v>2.6427061310782241E-3</v>
      </c>
      <c r="D428" s="14">
        <f t="shared" si="13"/>
        <v>2.4851431658562909E-2</v>
      </c>
      <c r="E428" s="15">
        <f>VLOOKUP(Table5[[#This Row],[Date]],'Fed Fund New'!$A:$C,2,FALSE)</f>
        <v>1.75</v>
      </c>
      <c r="F428" s="27">
        <v>0.02</v>
      </c>
    </row>
    <row r="429" spans="1:6" x14ac:dyDescent="0.2">
      <c r="A429" s="61">
        <v>37377</v>
      </c>
      <c r="B429" s="68">
        <f>VLOOKUP(Table5[[#This Row],[Date]],Database!A:E,5,)</f>
        <v>190</v>
      </c>
      <c r="C429" s="14">
        <f t="shared" si="12"/>
        <v>1.5814443858724902E-3</v>
      </c>
      <c r="D429" s="14">
        <f t="shared" si="13"/>
        <v>2.5364274150026921E-2</v>
      </c>
      <c r="E429" s="15">
        <f>VLOOKUP(Table5[[#This Row],[Date]],'Fed Fund New'!$A:$C,2,FALSE)</f>
        <v>1.75</v>
      </c>
      <c r="F429" s="27">
        <v>0.02</v>
      </c>
    </row>
    <row r="430" spans="1:6" x14ac:dyDescent="0.2">
      <c r="A430" s="61">
        <v>37408</v>
      </c>
      <c r="B430" s="68">
        <f>VLOOKUP(Table5[[#This Row],[Date]],Database!A:E,5,)</f>
        <v>190.2</v>
      </c>
      <c r="C430" s="14">
        <f t="shared" si="12"/>
        <v>1.0526315789473085E-3</v>
      </c>
      <c r="D430" s="14">
        <f t="shared" si="13"/>
        <v>2.2580645161290262E-2</v>
      </c>
      <c r="E430" s="15">
        <f>VLOOKUP(Table5[[#This Row],[Date]],'Fed Fund New'!$A:$C,2,FALSE)</f>
        <v>1.75</v>
      </c>
      <c r="F430" s="27">
        <v>0.02</v>
      </c>
    </row>
    <row r="431" spans="1:6" x14ac:dyDescent="0.2">
      <c r="A431" s="61">
        <v>37438</v>
      </c>
      <c r="B431" s="68">
        <f>VLOOKUP(Table5[[#This Row],[Date]],Database!A:E,5,)</f>
        <v>190.5</v>
      </c>
      <c r="C431" s="14">
        <f t="shared" si="12"/>
        <v>1.5772870662461166E-3</v>
      </c>
      <c r="D431" s="14">
        <f t="shared" si="13"/>
        <v>2.1995708154506407E-2</v>
      </c>
      <c r="E431" s="15">
        <f>VLOOKUP(Table5[[#This Row],[Date]],'Fed Fund New'!$A:$C,2,FALSE)</f>
        <v>1.75</v>
      </c>
      <c r="F431" s="27">
        <v>0.02</v>
      </c>
    </row>
    <row r="432" spans="1:6" x14ac:dyDescent="0.2">
      <c r="A432" s="61">
        <v>37469</v>
      </c>
      <c r="B432" s="68">
        <f>VLOOKUP(Table5[[#This Row],[Date]],Database!A:E,5,)</f>
        <v>191.1</v>
      </c>
      <c r="C432" s="14">
        <f t="shared" si="12"/>
        <v>3.1496062992125685E-3</v>
      </c>
      <c r="D432" s="14">
        <f t="shared" si="13"/>
        <v>2.3567220139260877E-2</v>
      </c>
      <c r="E432" s="15">
        <f>VLOOKUP(Table5[[#This Row],[Date]],'Fed Fund New'!$A:$C,2,FALSE)</f>
        <v>1.75</v>
      </c>
      <c r="F432" s="27">
        <v>0.02</v>
      </c>
    </row>
    <row r="433" spans="1:6" x14ac:dyDescent="0.2">
      <c r="A433" s="61">
        <v>37500</v>
      </c>
      <c r="B433" s="68">
        <f>VLOOKUP(Table5[[#This Row],[Date]],Database!A:E,5,)</f>
        <v>191.3</v>
      </c>
      <c r="C433" s="14">
        <f t="shared" si="12"/>
        <v>1.0465724751439929E-3</v>
      </c>
      <c r="D433" s="14">
        <f t="shared" si="13"/>
        <v>2.2447888829503031E-2</v>
      </c>
      <c r="E433" s="15">
        <f>VLOOKUP(Table5[[#This Row],[Date]],'Fed Fund New'!$A:$C,2,FALSE)</f>
        <v>1.75</v>
      </c>
      <c r="F433" s="27">
        <v>0.02</v>
      </c>
    </row>
    <row r="434" spans="1:6" x14ac:dyDescent="0.2">
      <c r="A434" s="61">
        <v>37530</v>
      </c>
      <c r="B434" s="68">
        <f>VLOOKUP(Table5[[#This Row],[Date]],Database!A:E,5,)</f>
        <v>191.5</v>
      </c>
      <c r="C434" s="14">
        <f t="shared" si="12"/>
        <v>1.0454783063250843E-3</v>
      </c>
      <c r="D434" s="14">
        <f t="shared" si="13"/>
        <v>2.1878335112059735E-2</v>
      </c>
      <c r="E434" s="15">
        <f>VLOOKUP(Table5[[#This Row],[Date]],'Fed Fund New'!$A:$C,2,FALSE)</f>
        <v>1.75</v>
      </c>
      <c r="F434" s="27">
        <v>0.02</v>
      </c>
    </row>
    <row r="435" spans="1:6" x14ac:dyDescent="0.2">
      <c r="A435" s="61">
        <v>37561</v>
      </c>
      <c r="B435" s="68">
        <f>VLOOKUP(Table5[[#This Row],[Date]],Database!A:E,5,)</f>
        <v>191.9</v>
      </c>
      <c r="C435" s="14">
        <f t="shared" si="12"/>
        <v>2.0887728459530325E-3</v>
      </c>
      <c r="D435" s="14">
        <f t="shared" si="13"/>
        <v>2.0202020202020263E-2</v>
      </c>
      <c r="E435" s="15">
        <f>VLOOKUP(Table5[[#This Row],[Date]],'Fed Fund New'!$A:$C,2,FALSE)</f>
        <v>1.25</v>
      </c>
      <c r="F435" s="27">
        <v>0.02</v>
      </c>
    </row>
    <row r="436" spans="1:6" x14ac:dyDescent="0.2">
      <c r="A436" s="61">
        <v>37591</v>
      </c>
      <c r="B436" s="68">
        <f>VLOOKUP(Table5[[#This Row],[Date]],Database!A:E,5,)</f>
        <v>192.1</v>
      </c>
      <c r="C436" s="14">
        <f t="shared" si="12"/>
        <v>1.0422094841062461E-3</v>
      </c>
      <c r="D436" s="14">
        <f t="shared" si="13"/>
        <v>1.9639065817409707E-2</v>
      </c>
      <c r="E436" s="15">
        <f>VLOOKUP(Table5[[#This Row],[Date]],'Fed Fund New'!$A:$C,2,FALSE)</f>
        <v>1.25</v>
      </c>
      <c r="F436" s="27">
        <v>0.02</v>
      </c>
    </row>
    <row r="437" spans="1:6" x14ac:dyDescent="0.2">
      <c r="A437" s="61">
        <v>37622</v>
      </c>
      <c r="B437" s="68">
        <f>VLOOKUP(Table5[[#This Row],[Date]],Database!A:E,5,)</f>
        <v>192.4</v>
      </c>
      <c r="C437" s="14">
        <f t="shared" si="12"/>
        <v>1.5616866215513346E-3</v>
      </c>
      <c r="D437" s="14">
        <f t="shared" si="13"/>
        <v>1.9607843137254992E-2</v>
      </c>
      <c r="E437" s="15">
        <f>VLOOKUP(Table5[[#This Row],[Date]],'Fed Fund New'!$A:$C,2,FALSE)</f>
        <v>1.25</v>
      </c>
      <c r="F437" s="27">
        <v>0.02</v>
      </c>
    </row>
    <row r="438" spans="1:6" x14ac:dyDescent="0.2">
      <c r="A438" s="61">
        <v>37653</v>
      </c>
      <c r="B438" s="68">
        <f>VLOOKUP(Table5[[#This Row],[Date]],Database!A:E,5,)</f>
        <v>192.5</v>
      </c>
      <c r="C438" s="14">
        <f t="shared" si="12"/>
        <v>5.1975051975049018E-4</v>
      </c>
      <c r="D438" s="14">
        <f t="shared" si="13"/>
        <v>1.797990481226867E-2</v>
      </c>
      <c r="E438" s="15">
        <f>VLOOKUP(Table5[[#This Row],[Date]],'Fed Fund New'!$A:$C,2,FALSE)</f>
        <v>1.25</v>
      </c>
      <c r="F438" s="27">
        <v>0.02</v>
      </c>
    </row>
    <row r="439" spans="1:6" x14ac:dyDescent="0.2">
      <c r="A439" s="61">
        <v>37681</v>
      </c>
      <c r="B439" s="68">
        <f>VLOOKUP(Table5[[#This Row],[Date]],Database!A:E,5,)</f>
        <v>192.5</v>
      </c>
      <c r="C439" s="14">
        <f t="shared" si="12"/>
        <v>0</v>
      </c>
      <c r="D439" s="14">
        <f t="shared" si="13"/>
        <v>1.7441860465116341E-2</v>
      </c>
      <c r="E439" s="15">
        <f>VLOOKUP(Table5[[#This Row],[Date]],'Fed Fund New'!$A:$C,2,FALSE)</f>
        <v>1.25</v>
      </c>
      <c r="F439" s="27">
        <v>0.02</v>
      </c>
    </row>
    <row r="440" spans="1:6" x14ac:dyDescent="0.2">
      <c r="A440" s="61">
        <v>37712</v>
      </c>
      <c r="B440" s="68">
        <f>VLOOKUP(Table5[[#This Row],[Date]],Database!A:E,5,)</f>
        <v>192.5</v>
      </c>
      <c r="C440" s="14">
        <f t="shared" si="12"/>
        <v>0</v>
      </c>
      <c r="D440" s="14">
        <f t="shared" si="13"/>
        <v>1.4760147601476075E-2</v>
      </c>
      <c r="E440" s="15">
        <f>VLOOKUP(Table5[[#This Row],[Date]],'Fed Fund New'!$A:$C,2,FALSE)</f>
        <v>1.25</v>
      </c>
      <c r="F440" s="27">
        <v>0.02</v>
      </c>
    </row>
    <row r="441" spans="1:6" x14ac:dyDescent="0.2">
      <c r="A441" s="61">
        <v>37742</v>
      </c>
      <c r="B441" s="68">
        <f>VLOOKUP(Table5[[#This Row],[Date]],Database!A:E,5,)</f>
        <v>192.9</v>
      </c>
      <c r="C441" s="14">
        <f t="shared" si="12"/>
        <v>2.0779220779221074E-3</v>
      </c>
      <c r="D441" s="14">
        <f t="shared" si="13"/>
        <v>1.5263157894736873E-2</v>
      </c>
      <c r="E441" s="15">
        <f>VLOOKUP(Table5[[#This Row],[Date]],'Fed Fund New'!$A:$C,2,FALSE)</f>
        <v>1.25</v>
      </c>
      <c r="F441" s="27">
        <v>0.02</v>
      </c>
    </row>
    <row r="442" spans="1:6" x14ac:dyDescent="0.2">
      <c r="A442" s="61">
        <v>37773</v>
      </c>
      <c r="B442" s="68">
        <f>VLOOKUP(Table5[[#This Row],[Date]],Database!A:E,5,)</f>
        <v>193</v>
      </c>
      <c r="C442" s="14">
        <f t="shared" si="12"/>
        <v>5.1840331778120431E-4</v>
      </c>
      <c r="D442" s="14">
        <f t="shared" si="13"/>
        <v>1.4721345951629924E-2</v>
      </c>
      <c r="E442" s="15">
        <f>VLOOKUP(Table5[[#This Row],[Date]],'Fed Fund New'!$A:$C,2,FALSE)</f>
        <v>1</v>
      </c>
      <c r="F442" s="27">
        <v>0.02</v>
      </c>
    </row>
    <row r="443" spans="1:6" x14ac:dyDescent="0.2">
      <c r="A443" s="61">
        <v>37803</v>
      </c>
      <c r="B443" s="68">
        <f>VLOOKUP(Table5[[#This Row],[Date]],Database!A:E,5,)</f>
        <v>193.4</v>
      </c>
      <c r="C443" s="14">
        <f t="shared" si="12"/>
        <v>2.0725388601036563E-3</v>
      </c>
      <c r="D443" s="14">
        <f t="shared" si="13"/>
        <v>1.5223097112860922E-2</v>
      </c>
      <c r="E443" s="15">
        <f>VLOOKUP(Table5[[#This Row],[Date]],'Fed Fund New'!$A:$C,2,FALSE)</f>
        <v>1</v>
      </c>
      <c r="F443" s="27">
        <v>0.02</v>
      </c>
    </row>
    <row r="444" spans="1:6" x14ac:dyDescent="0.2">
      <c r="A444" s="61">
        <v>37834</v>
      </c>
      <c r="B444" s="68">
        <f>VLOOKUP(Table5[[#This Row],[Date]],Database!A:E,5,)</f>
        <v>193.6</v>
      </c>
      <c r="C444" s="14">
        <f t="shared" si="12"/>
        <v>1.0341261633918749E-3</v>
      </c>
      <c r="D444" s="14">
        <f t="shared" si="13"/>
        <v>1.3082155939298797E-2</v>
      </c>
      <c r="E444" s="15">
        <f>VLOOKUP(Table5[[#This Row],[Date]],'Fed Fund New'!$A:$C,2,FALSE)</f>
        <v>1</v>
      </c>
      <c r="F444" s="27">
        <v>0.02</v>
      </c>
    </row>
    <row r="445" spans="1:6" x14ac:dyDescent="0.2">
      <c r="A445" s="61">
        <v>37865</v>
      </c>
      <c r="B445" s="68">
        <f>VLOOKUP(Table5[[#This Row],[Date]],Database!A:E,5,)</f>
        <v>193.7</v>
      </c>
      <c r="C445" s="14">
        <f t="shared" si="12"/>
        <v>5.1652892561980534E-4</v>
      </c>
      <c r="D445" s="14">
        <f t="shared" si="13"/>
        <v>1.2545739675901606E-2</v>
      </c>
      <c r="E445" s="15">
        <f>VLOOKUP(Table5[[#This Row],[Date]],'Fed Fund New'!$A:$C,2,FALSE)</f>
        <v>1</v>
      </c>
      <c r="F445" s="27">
        <v>0.02</v>
      </c>
    </row>
    <row r="446" spans="1:6" x14ac:dyDescent="0.2">
      <c r="A446" s="61">
        <v>37895</v>
      </c>
      <c r="B446" s="68">
        <f>VLOOKUP(Table5[[#This Row],[Date]],Database!A:E,5,)</f>
        <v>194</v>
      </c>
      <c r="C446" s="14">
        <f t="shared" si="12"/>
        <v>1.5487867836861714E-3</v>
      </c>
      <c r="D446" s="14">
        <f t="shared" si="13"/>
        <v>1.3054830287206266E-2</v>
      </c>
      <c r="E446" s="15">
        <f>VLOOKUP(Table5[[#This Row],[Date]],'Fed Fund New'!$A:$C,2,FALSE)</f>
        <v>1</v>
      </c>
      <c r="F446" s="27">
        <v>0.02</v>
      </c>
    </row>
    <row r="447" spans="1:6" x14ac:dyDescent="0.2">
      <c r="A447" s="61">
        <v>37926</v>
      </c>
      <c r="B447" s="68">
        <f>VLOOKUP(Table5[[#This Row],[Date]],Database!A:E,5,)</f>
        <v>194</v>
      </c>
      <c r="C447" s="14">
        <f t="shared" si="12"/>
        <v>0</v>
      </c>
      <c r="D447" s="14">
        <f t="shared" si="13"/>
        <v>1.0943199583116176E-2</v>
      </c>
      <c r="E447" s="15">
        <f>VLOOKUP(Table5[[#This Row],[Date]],'Fed Fund New'!$A:$C,2,FALSE)</f>
        <v>1</v>
      </c>
      <c r="F447" s="27">
        <v>0.02</v>
      </c>
    </row>
    <row r="448" spans="1:6" x14ac:dyDescent="0.2">
      <c r="A448" s="61">
        <v>37956</v>
      </c>
      <c r="B448" s="68">
        <f>VLOOKUP(Table5[[#This Row],[Date]],Database!A:E,5,)</f>
        <v>194.2</v>
      </c>
      <c r="C448" s="14">
        <f t="shared" si="12"/>
        <v>1.0309278350514879E-3</v>
      </c>
      <c r="D448" s="14">
        <f t="shared" si="13"/>
        <v>1.0931806350858898E-2</v>
      </c>
      <c r="E448" s="15">
        <f>VLOOKUP(Table5[[#This Row],[Date]],'Fed Fund New'!$A:$C,2,FALSE)</f>
        <v>1</v>
      </c>
      <c r="F448" s="27">
        <v>0.02</v>
      </c>
    </row>
    <row r="449" spans="1:6" x14ac:dyDescent="0.2">
      <c r="A449" s="61">
        <v>37987</v>
      </c>
      <c r="B449" s="68">
        <f>VLOOKUP(Table5[[#This Row],[Date]],Database!A:E,5,)</f>
        <v>194.6</v>
      </c>
      <c r="C449" s="14">
        <f t="shared" si="12"/>
        <v>2.0597322348095042E-3</v>
      </c>
      <c r="D449" s="14">
        <f t="shared" si="13"/>
        <v>1.1434511434511374E-2</v>
      </c>
      <c r="E449" s="15">
        <f>VLOOKUP(Table5[[#This Row],[Date]],'Fed Fund New'!$A:$C,2,FALSE)</f>
        <v>1</v>
      </c>
      <c r="F449" s="27">
        <v>0.02</v>
      </c>
    </row>
    <row r="450" spans="1:6" x14ac:dyDescent="0.2">
      <c r="A450" s="61">
        <v>38018</v>
      </c>
      <c r="B450" s="68">
        <f>VLOOKUP(Table5[[#This Row],[Date]],Database!A:E,5,)</f>
        <v>194.9</v>
      </c>
      <c r="C450" s="14">
        <f t="shared" si="12"/>
        <v>1.5416238437821756E-3</v>
      </c>
      <c r="D450" s="14">
        <f t="shared" si="13"/>
        <v>1.2467532467532497E-2</v>
      </c>
      <c r="E450" s="15">
        <f>VLOOKUP(Table5[[#This Row],[Date]],'Fed Fund New'!$A:$C,2,FALSE)</f>
        <v>1</v>
      </c>
      <c r="F450" s="27">
        <v>0.02</v>
      </c>
    </row>
    <row r="451" spans="1:6" x14ac:dyDescent="0.2">
      <c r="A451" s="61">
        <v>38047</v>
      </c>
      <c r="B451" s="68">
        <f>VLOOKUP(Table5[[#This Row],[Date]],Database!A:E,5,)</f>
        <v>195.5</v>
      </c>
      <c r="C451" s="14">
        <f t="shared" si="12"/>
        <v>3.0785017957926848E-3</v>
      </c>
      <c r="D451" s="14">
        <f t="shared" si="13"/>
        <v>1.5584415584415584E-2</v>
      </c>
      <c r="E451" s="15">
        <f>VLOOKUP(Table5[[#This Row],[Date]],'Fed Fund New'!$A:$C,2,FALSE)</f>
        <v>1</v>
      </c>
      <c r="F451" s="27">
        <v>0.02</v>
      </c>
    </row>
    <row r="452" spans="1:6" x14ac:dyDescent="0.2">
      <c r="A452" s="61">
        <v>38078</v>
      </c>
      <c r="B452" s="68">
        <f>VLOOKUP(Table5[[#This Row],[Date]],Database!A:E,5,)</f>
        <v>195.9</v>
      </c>
      <c r="C452" s="14">
        <f t="shared" si="12"/>
        <v>2.0460358056266273E-3</v>
      </c>
      <c r="D452" s="14">
        <f t="shared" si="13"/>
        <v>1.7662337662337692E-2</v>
      </c>
      <c r="E452" s="15">
        <f>VLOOKUP(Table5[[#This Row],[Date]],'Fed Fund New'!$A:$C,2,FALSE)</f>
        <v>1</v>
      </c>
      <c r="F452" s="27">
        <v>0.02</v>
      </c>
    </row>
    <row r="453" spans="1:6" x14ac:dyDescent="0.2">
      <c r="A453" s="61">
        <v>38108</v>
      </c>
      <c r="B453" s="68">
        <f>VLOOKUP(Table5[[#This Row],[Date]],Database!A:E,5,)</f>
        <v>196.2</v>
      </c>
      <c r="C453" s="14">
        <f t="shared" si="12"/>
        <v>1.5313935681469267E-3</v>
      </c>
      <c r="D453" s="14">
        <f t="shared" si="13"/>
        <v>1.7107309486780627E-2</v>
      </c>
      <c r="E453" s="15">
        <f>VLOOKUP(Table5[[#This Row],[Date]],'Fed Fund New'!$A:$C,2,FALSE)</f>
        <v>1</v>
      </c>
      <c r="F453" s="27">
        <v>0.02</v>
      </c>
    </row>
    <row r="454" spans="1:6" x14ac:dyDescent="0.2">
      <c r="A454" s="61">
        <v>38139</v>
      </c>
      <c r="B454" s="68">
        <f>VLOOKUP(Table5[[#This Row],[Date]],Database!A:E,5,)</f>
        <v>196.6</v>
      </c>
      <c r="C454" s="14">
        <f t="shared" ref="C454:C517" si="14">(B454-B453)/B453</f>
        <v>2.0387359836901413E-3</v>
      </c>
      <c r="D454" s="14">
        <f t="shared" si="13"/>
        <v>1.8652849740932613E-2</v>
      </c>
      <c r="E454" s="15">
        <f>VLOOKUP(Table5[[#This Row],[Date]],'Fed Fund New'!$A:$C,2,FALSE)</f>
        <v>1.25</v>
      </c>
      <c r="F454" s="27">
        <v>0.02</v>
      </c>
    </row>
    <row r="455" spans="1:6" x14ac:dyDescent="0.2">
      <c r="A455" s="61">
        <v>38169</v>
      </c>
      <c r="B455" s="68">
        <f>VLOOKUP(Table5[[#This Row],[Date]],Database!A:E,5,)</f>
        <v>196.8</v>
      </c>
      <c r="C455" s="14">
        <f t="shared" si="14"/>
        <v>1.0172939979654987E-3</v>
      </c>
      <c r="D455" s="14">
        <f t="shared" si="13"/>
        <v>1.7580144777662905E-2</v>
      </c>
      <c r="E455" s="15">
        <f>VLOOKUP(Table5[[#This Row],[Date]],'Fed Fund New'!$A:$C,2,FALSE)</f>
        <v>1.25</v>
      </c>
      <c r="F455" s="27">
        <v>0.02</v>
      </c>
    </row>
    <row r="456" spans="1:6" x14ac:dyDescent="0.2">
      <c r="A456" s="61">
        <v>38200</v>
      </c>
      <c r="B456" s="68">
        <f>VLOOKUP(Table5[[#This Row],[Date]],Database!A:E,5,)</f>
        <v>196.9</v>
      </c>
      <c r="C456" s="14">
        <f t="shared" si="14"/>
        <v>5.0813008130078411E-4</v>
      </c>
      <c r="D456" s="14">
        <f t="shared" si="13"/>
        <v>1.7045454545454603E-2</v>
      </c>
      <c r="E456" s="15">
        <f>VLOOKUP(Table5[[#This Row],[Date]],'Fed Fund New'!$A:$C,2,FALSE)</f>
        <v>1.5</v>
      </c>
      <c r="F456" s="27">
        <v>0.02</v>
      </c>
    </row>
    <row r="457" spans="1:6" x14ac:dyDescent="0.2">
      <c r="A457" s="61">
        <v>38231</v>
      </c>
      <c r="B457" s="68">
        <f>VLOOKUP(Table5[[#This Row],[Date]],Database!A:E,5,)</f>
        <v>197.5</v>
      </c>
      <c r="C457" s="14">
        <f t="shared" si="14"/>
        <v>3.0472320975113982E-3</v>
      </c>
      <c r="D457" s="14">
        <f t="shared" si="13"/>
        <v>1.9617965926690819E-2</v>
      </c>
      <c r="E457" s="15">
        <f>VLOOKUP(Table5[[#This Row],[Date]],'Fed Fund New'!$A:$C,2,FALSE)</f>
        <v>1.75</v>
      </c>
      <c r="F457" s="27">
        <v>0.02</v>
      </c>
    </row>
    <row r="458" spans="1:6" x14ac:dyDescent="0.2">
      <c r="A458" s="61">
        <v>38261</v>
      </c>
      <c r="B458" s="68">
        <f>VLOOKUP(Table5[[#This Row],[Date]],Database!A:E,5,)</f>
        <v>197.9</v>
      </c>
      <c r="C458" s="14">
        <f t="shared" si="14"/>
        <v>2.0253164556962313E-3</v>
      </c>
      <c r="D458" s="14">
        <f t="shared" si="13"/>
        <v>2.0103092783505184E-2</v>
      </c>
      <c r="E458" s="15">
        <f>VLOOKUP(Table5[[#This Row],[Date]],'Fed Fund New'!$A:$C,2,FALSE)</f>
        <v>1.75</v>
      </c>
      <c r="F458" s="27">
        <v>0.02</v>
      </c>
    </row>
    <row r="459" spans="1:6" x14ac:dyDescent="0.2">
      <c r="A459" s="61">
        <v>38292</v>
      </c>
      <c r="B459" s="68">
        <f>VLOOKUP(Table5[[#This Row],[Date]],Database!A:E,5,)</f>
        <v>198.3</v>
      </c>
      <c r="C459" s="14">
        <f t="shared" si="14"/>
        <v>2.0212228398181187E-3</v>
      </c>
      <c r="D459" s="14">
        <f t="shared" si="13"/>
        <v>2.2164948453608307E-2</v>
      </c>
      <c r="E459" s="15">
        <f>VLOOKUP(Table5[[#This Row],[Date]],'Fed Fund New'!$A:$C,2,FALSE)</f>
        <v>2</v>
      </c>
      <c r="F459" s="27">
        <v>0.02</v>
      </c>
    </row>
    <row r="460" spans="1:6" x14ac:dyDescent="0.2">
      <c r="A460" s="61">
        <v>38322</v>
      </c>
      <c r="B460" s="68">
        <f>VLOOKUP(Table5[[#This Row],[Date]],Database!A:E,5,)</f>
        <v>198.6</v>
      </c>
      <c r="C460" s="14">
        <f t="shared" si="14"/>
        <v>1.5128593040846341E-3</v>
      </c>
      <c r="D460" s="14">
        <f t="shared" si="13"/>
        <v>2.2657054582904252E-2</v>
      </c>
      <c r="E460" s="15">
        <f>VLOOKUP(Table5[[#This Row],[Date]],'Fed Fund New'!$A:$C,2,FALSE)</f>
        <v>2.25</v>
      </c>
      <c r="F460" s="27">
        <v>0.02</v>
      </c>
    </row>
    <row r="461" spans="1:6" x14ac:dyDescent="0.2">
      <c r="A461" s="61">
        <v>38353</v>
      </c>
      <c r="B461" s="68">
        <f>VLOOKUP(Table5[[#This Row],[Date]],Database!A:E,5,)</f>
        <v>199</v>
      </c>
      <c r="C461" s="14">
        <f t="shared" si="14"/>
        <v>2.0140986908358796E-3</v>
      </c>
      <c r="D461" s="14">
        <f t="shared" si="13"/>
        <v>2.2610483042137749E-2</v>
      </c>
      <c r="E461" s="15">
        <f>VLOOKUP(Table5[[#This Row],[Date]],'Fed Fund New'!$A:$C,2,FALSE)</f>
        <v>2.25</v>
      </c>
      <c r="F461" s="27">
        <v>0.02</v>
      </c>
    </row>
    <row r="462" spans="1:6" x14ac:dyDescent="0.2">
      <c r="A462" s="61">
        <v>38384</v>
      </c>
      <c r="B462" s="68">
        <f>VLOOKUP(Table5[[#This Row],[Date]],Database!A:E,5,)</f>
        <v>199.4</v>
      </c>
      <c r="C462" s="14">
        <f t="shared" si="14"/>
        <v>2.0100502512563098E-3</v>
      </c>
      <c r="D462" s="14">
        <f t="shared" si="13"/>
        <v>2.3088763468445357E-2</v>
      </c>
      <c r="E462" s="15">
        <f>VLOOKUP(Table5[[#This Row],[Date]],'Fed Fund New'!$A:$C,2,FALSE)</f>
        <v>2.5</v>
      </c>
      <c r="F462" s="27">
        <v>0.02</v>
      </c>
    </row>
    <row r="463" spans="1:6" x14ac:dyDescent="0.2">
      <c r="A463" s="61">
        <v>38412</v>
      </c>
      <c r="B463" s="68">
        <f>VLOOKUP(Table5[[#This Row],[Date]],Database!A:E,5,)</f>
        <v>200.1</v>
      </c>
      <c r="C463" s="14">
        <f t="shared" si="14"/>
        <v>3.5105315947842959E-3</v>
      </c>
      <c r="D463" s="14">
        <f t="shared" si="13"/>
        <v>2.3529411764705854E-2</v>
      </c>
      <c r="E463" s="15">
        <f>VLOOKUP(Table5[[#This Row],[Date]],'Fed Fund New'!$A:$C,2,FALSE)</f>
        <v>2.75</v>
      </c>
      <c r="F463" s="27">
        <v>0.02</v>
      </c>
    </row>
    <row r="464" spans="1:6" x14ac:dyDescent="0.2">
      <c r="A464" s="61">
        <v>38443</v>
      </c>
      <c r="B464" s="68">
        <f>VLOOKUP(Table5[[#This Row],[Date]],Database!A:E,5,)</f>
        <v>200.2</v>
      </c>
      <c r="C464" s="14">
        <f t="shared" si="14"/>
        <v>4.9975012493750281E-4</v>
      </c>
      <c r="D464" s="14">
        <f t="shared" si="13"/>
        <v>2.1949974476773777E-2</v>
      </c>
      <c r="E464" s="15">
        <f>VLOOKUP(Table5[[#This Row],[Date]],'Fed Fund New'!$A:$C,2,FALSE)</f>
        <v>2.75</v>
      </c>
      <c r="F464" s="27">
        <v>0.02</v>
      </c>
    </row>
    <row r="465" spans="1:6" x14ac:dyDescent="0.2">
      <c r="A465" s="61">
        <v>38473</v>
      </c>
      <c r="B465" s="68">
        <f>VLOOKUP(Table5[[#This Row],[Date]],Database!A:E,5,)</f>
        <v>200.5</v>
      </c>
      <c r="C465" s="14">
        <f t="shared" si="14"/>
        <v>1.4985014985015553E-3</v>
      </c>
      <c r="D465" s="14">
        <f t="shared" ref="D465:D528" si="15">(B465-B453)/B453</f>
        <v>2.1916411824668764E-2</v>
      </c>
      <c r="E465" s="15">
        <f>VLOOKUP(Table5[[#This Row],[Date]],'Fed Fund New'!$A:$C,2,FALSE)</f>
        <v>3</v>
      </c>
      <c r="F465" s="27">
        <v>0.02</v>
      </c>
    </row>
    <row r="466" spans="1:6" x14ac:dyDescent="0.2">
      <c r="A466" s="61">
        <v>38504</v>
      </c>
      <c r="B466" s="68">
        <f>VLOOKUP(Table5[[#This Row],[Date]],Database!A:E,5,)</f>
        <v>200.6</v>
      </c>
      <c r="C466" s="14">
        <f t="shared" si="14"/>
        <v>4.9875311720695421E-4</v>
      </c>
      <c r="D466" s="14">
        <f t="shared" si="15"/>
        <v>2.0345879959308241E-2</v>
      </c>
      <c r="E466" s="15">
        <f>VLOOKUP(Table5[[#This Row],[Date]],'Fed Fund New'!$A:$C,2,FALSE)</f>
        <v>3.25</v>
      </c>
      <c r="F466" s="27">
        <v>0.02</v>
      </c>
    </row>
    <row r="467" spans="1:6" x14ac:dyDescent="0.2">
      <c r="A467" s="61">
        <v>38534</v>
      </c>
      <c r="B467" s="68">
        <f>VLOOKUP(Table5[[#This Row],[Date]],Database!A:E,5,)</f>
        <v>200.9</v>
      </c>
      <c r="C467" s="14">
        <f t="shared" si="14"/>
        <v>1.4955134596211933E-3</v>
      </c>
      <c r="D467" s="14">
        <f t="shared" si="15"/>
        <v>2.0833333333333304E-2</v>
      </c>
      <c r="E467" s="15">
        <f>VLOOKUP(Table5[[#This Row],[Date]],'Fed Fund New'!$A:$C,2,FALSE)</f>
        <v>3.25</v>
      </c>
      <c r="F467" s="27">
        <v>0.02</v>
      </c>
    </row>
    <row r="468" spans="1:6" x14ac:dyDescent="0.2">
      <c r="A468" s="61">
        <v>38565</v>
      </c>
      <c r="B468" s="68">
        <f>VLOOKUP(Table5[[#This Row],[Date]],Database!A:E,5,)</f>
        <v>201.1</v>
      </c>
      <c r="C468" s="14">
        <f t="shared" si="14"/>
        <v>9.9552015928316886E-4</v>
      </c>
      <c r="D468" s="14">
        <f t="shared" si="15"/>
        <v>2.1330624682579933E-2</v>
      </c>
      <c r="E468" s="15">
        <f>VLOOKUP(Table5[[#This Row],[Date]],'Fed Fund New'!$A:$C,2,FALSE)</f>
        <v>3.5</v>
      </c>
      <c r="F468" s="27">
        <v>0.02</v>
      </c>
    </row>
    <row r="469" spans="1:6" x14ac:dyDescent="0.2">
      <c r="A469" s="61">
        <v>38596</v>
      </c>
      <c r="B469" s="68">
        <f>VLOOKUP(Table5[[#This Row],[Date]],Database!A:E,5,)</f>
        <v>201.3</v>
      </c>
      <c r="C469" s="14">
        <f t="shared" si="14"/>
        <v>9.945300845351421E-4</v>
      </c>
      <c r="D469" s="14">
        <f t="shared" si="15"/>
        <v>1.924050632911398E-2</v>
      </c>
      <c r="E469" s="15">
        <f>VLOOKUP(Table5[[#This Row],[Date]],'Fed Fund New'!$A:$C,2,FALSE)</f>
        <v>3.75</v>
      </c>
      <c r="F469" s="27">
        <v>0.02</v>
      </c>
    </row>
    <row r="470" spans="1:6" x14ac:dyDescent="0.2">
      <c r="A470" s="61">
        <v>38626</v>
      </c>
      <c r="B470" s="68">
        <f>VLOOKUP(Table5[[#This Row],[Date]],Database!A:E,5,)</f>
        <v>202</v>
      </c>
      <c r="C470" s="14">
        <f t="shared" si="14"/>
        <v>3.477396920019814E-3</v>
      </c>
      <c r="D470" s="14">
        <f t="shared" si="15"/>
        <v>2.0717534108135392E-2</v>
      </c>
      <c r="E470" s="15">
        <f>VLOOKUP(Table5[[#This Row],[Date]],'Fed Fund New'!$A:$C,2,FALSE)</f>
        <v>3.75</v>
      </c>
      <c r="F470" s="27">
        <v>0.02</v>
      </c>
    </row>
    <row r="471" spans="1:6" x14ac:dyDescent="0.2">
      <c r="A471" s="61">
        <v>38657</v>
      </c>
      <c r="B471" s="68">
        <f>VLOOKUP(Table5[[#This Row],[Date]],Database!A:E,5,)</f>
        <v>202.5</v>
      </c>
      <c r="C471" s="14">
        <f t="shared" si="14"/>
        <v>2.4752475247524753E-3</v>
      </c>
      <c r="D471" s="14">
        <f t="shared" si="15"/>
        <v>2.1180030257186021E-2</v>
      </c>
      <c r="E471" s="15">
        <f>VLOOKUP(Table5[[#This Row],[Date]],'Fed Fund New'!$A:$C,2,FALSE)</f>
        <v>4</v>
      </c>
      <c r="F471" s="27">
        <v>0.02</v>
      </c>
    </row>
    <row r="472" spans="1:6" x14ac:dyDescent="0.2">
      <c r="A472" s="61">
        <v>38687</v>
      </c>
      <c r="B472" s="68">
        <f>VLOOKUP(Table5[[#This Row],[Date]],Database!A:E,5,)</f>
        <v>202.8</v>
      </c>
      <c r="C472" s="14">
        <f t="shared" si="14"/>
        <v>1.4814814814815376E-3</v>
      </c>
      <c r="D472" s="14">
        <f t="shared" si="15"/>
        <v>2.1148036253776523E-2</v>
      </c>
      <c r="E472" s="15">
        <f>VLOOKUP(Table5[[#This Row],[Date]],'Fed Fund New'!$A:$C,2,FALSE)</f>
        <v>4.25</v>
      </c>
      <c r="F472" s="27">
        <v>0.02</v>
      </c>
    </row>
    <row r="473" spans="1:6" x14ac:dyDescent="0.2">
      <c r="A473" s="61">
        <v>38718</v>
      </c>
      <c r="B473" s="68">
        <f>VLOOKUP(Table5[[#This Row],[Date]],Database!A:E,5,)</f>
        <v>203.2</v>
      </c>
      <c r="C473" s="14">
        <f t="shared" si="14"/>
        <v>1.9723865877710909E-3</v>
      </c>
      <c r="D473" s="14">
        <f t="shared" si="15"/>
        <v>2.1105527638190898E-2</v>
      </c>
      <c r="E473" s="15">
        <f>VLOOKUP(Table5[[#This Row],[Date]],'Fed Fund New'!$A:$C,2,FALSE)</f>
        <v>4.5</v>
      </c>
      <c r="F473" s="27">
        <v>0.02</v>
      </c>
    </row>
    <row r="474" spans="1:6" x14ac:dyDescent="0.2">
      <c r="A474" s="61">
        <v>38749</v>
      </c>
      <c r="B474" s="68">
        <f>VLOOKUP(Table5[[#This Row],[Date]],Database!A:E,5,)</f>
        <v>203.6</v>
      </c>
      <c r="C474" s="14">
        <f t="shared" si="14"/>
        <v>1.9685039370079022E-3</v>
      </c>
      <c r="D474" s="14">
        <f t="shared" si="15"/>
        <v>2.1063189568706061E-2</v>
      </c>
      <c r="E474" s="15">
        <f>VLOOKUP(Table5[[#This Row],[Date]],'Fed Fund New'!$A:$C,2,FALSE)</f>
        <v>4.5</v>
      </c>
      <c r="F474" s="27">
        <v>0.02</v>
      </c>
    </row>
    <row r="475" spans="1:6" x14ac:dyDescent="0.2">
      <c r="A475" s="61">
        <v>38777</v>
      </c>
      <c r="B475" s="68">
        <f>VLOOKUP(Table5[[#This Row],[Date]],Database!A:E,5,)</f>
        <v>204.3</v>
      </c>
      <c r="C475" s="14">
        <f t="shared" si="14"/>
        <v>3.4381139489195337E-3</v>
      </c>
      <c r="D475" s="14">
        <f t="shared" si="15"/>
        <v>2.0989505247376399E-2</v>
      </c>
      <c r="E475" s="15">
        <f>VLOOKUP(Table5[[#This Row],[Date]],'Fed Fund New'!$A:$C,2,FALSE)</f>
        <v>4.75</v>
      </c>
      <c r="F475" s="27">
        <v>0.02</v>
      </c>
    </row>
    <row r="476" spans="1:6" x14ac:dyDescent="0.2">
      <c r="A476" s="61">
        <v>38808</v>
      </c>
      <c r="B476" s="68">
        <f>VLOOKUP(Table5[[#This Row],[Date]],Database!A:E,5,)</f>
        <v>204.8</v>
      </c>
      <c r="C476" s="14">
        <f t="shared" si="14"/>
        <v>2.4473813020068525E-3</v>
      </c>
      <c r="D476" s="14">
        <f t="shared" si="15"/>
        <v>2.2977022977023091E-2</v>
      </c>
      <c r="E476" s="15">
        <f>VLOOKUP(Table5[[#This Row],[Date]],'Fed Fund New'!$A:$C,2,FALSE)</f>
        <v>4.75</v>
      </c>
      <c r="F476" s="27">
        <v>0.02</v>
      </c>
    </row>
    <row r="477" spans="1:6" x14ac:dyDescent="0.2">
      <c r="A477" s="61">
        <v>38838</v>
      </c>
      <c r="B477" s="68">
        <f>VLOOKUP(Table5[[#This Row],[Date]],Database!A:E,5,)</f>
        <v>205.4</v>
      </c>
      <c r="C477" s="14">
        <f t="shared" si="14"/>
        <v>2.9296874999999722E-3</v>
      </c>
      <c r="D477" s="14">
        <f t="shared" si="15"/>
        <v>2.4438902743142171E-2</v>
      </c>
      <c r="E477" s="15">
        <f>VLOOKUP(Table5[[#This Row],[Date]],'Fed Fund New'!$A:$C,2,FALSE)</f>
        <v>5</v>
      </c>
      <c r="F477" s="27">
        <v>0.02</v>
      </c>
    </row>
    <row r="478" spans="1:6" x14ac:dyDescent="0.2">
      <c r="A478" s="61">
        <v>38869</v>
      </c>
      <c r="B478" s="68">
        <f>VLOOKUP(Table5[[#This Row],[Date]],Database!A:E,5,)</f>
        <v>205.9</v>
      </c>
      <c r="C478" s="14">
        <f t="shared" si="14"/>
        <v>2.4342745861733201E-3</v>
      </c>
      <c r="D478" s="14">
        <f t="shared" si="15"/>
        <v>2.6420737786640138E-2</v>
      </c>
      <c r="E478" s="15">
        <f>VLOOKUP(Table5[[#This Row],[Date]],'Fed Fund New'!$A:$C,2,FALSE)</f>
        <v>5.25</v>
      </c>
      <c r="F478" s="27">
        <v>0.02</v>
      </c>
    </row>
    <row r="479" spans="1:6" x14ac:dyDescent="0.2">
      <c r="A479" s="61">
        <v>38899</v>
      </c>
      <c r="B479" s="68">
        <f>VLOOKUP(Table5[[#This Row],[Date]],Database!A:E,5,)</f>
        <v>206.3</v>
      </c>
      <c r="C479" s="14">
        <f t="shared" si="14"/>
        <v>1.9426906265177545E-3</v>
      </c>
      <c r="D479" s="14">
        <f t="shared" si="15"/>
        <v>2.6879044300647116E-2</v>
      </c>
      <c r="E479" s="15">
        <f>VLOOKUP(Table5[[#This Row],[Date]],'Fed Fund New'!$A:$C,2,FALSE)</f>
        <v>5.25</v>
      </c>
      <c r="F479" s="27">
        <v>0.02</v>
      </c>
    </row>
    <row r="480" spans="1:6" x14ac:dyDescent="0.2">
      <c r="A480" s="61">
        <v>38930</v>
      </c>
      <c r="B480" s="68">
        <f>VLOOKUP(Table5[[#This Row],[Date]],Database!A:E,5,)</f>
        <v>206.8</v>
      </c>
      <c r="C480" s="14">
        <f t="shared" si="14"/>
        <v>2.4236548715462916E-3</v>
      </c>
      <c r="D480" s="14">
        <f t="shared" si="15"/>
        <v>2.8344107409249215E-2</v>
      </c>
      <c r="E480" s="15">
        <f>VLOOKUP(Table5[[#This Row],[Date]],'Fed Fund New'!$A:$C,2,FALSE)</f>
        <v>5.25</v>
      </c>
      <c r="F480" s="27">
        <v>0.02</v>
      </c>
    </row>
    <row r="481" spans="1:6" x14ac:dyDescent="0.2">
      <c r="A481" s="61">
        <v>38961</v>
      </c>
      <c r="B481" s="68">
        <f>VLOOKUP(Table5[[#This Row],[Date]],Database!A:E,5,)</f>
        <v>207.2</v>
      </c>
      <c r="C481" s="14">
        <f t="shared" si="14"/>
        <v>1.9342359767890581E-3</v>
      </c>
      <c r="D481" s="14">
        <f t="shared" si="15"/>
        <v>2.9309488325881653E-2</v>
      </c>
      <c r="E481" s="15">
        <f>VLOOKUP(Table5[[#This Row],[Date]],'Fed Fund New'!$A:$C,2,FALSE)</f>
        <v>5.25</v>
      </c>
      <c r="F481" s="27">
        <v>0.02</v>
      </c>
    </row>
    <row r="482" spans="1:6" x14ac:dyDescent="0.2">
      <c r="A482" s="61">
        <v>38991</v>
      </c>
      <c r="B482" s="68">
        <f>VLOOKUP(Table5[[#This Row],[Date]],Database!A:E,5,)</f>
        <v>207.6</v>
      </c>
      <c r="C482" s="14">
        <f t="shared" si="14"/>
        <v>1.9305019305019581E-3</v>
      </c>
      <c r="D482" s="14">
        <f t="shared" si="15"/>
        <v>2.7722772277227695E-2</v>
      </c>
      <c r="E482" s="15">
        <f>VLOOKUP(Table5[[#This Row],[Date]],'Fed Fund New'!$A:$C,2,FALSE)</f>
        <v>5.25</v>
      </c>
      <c r="F482" s="27">
        <v>0.02</v>
      </c>
    </row>
    <row r="483" spans="1:6" x14ac:dyDescent="0.2">
      <c r="A483" s="61">
        <v>39022</v>
      </c>
      <c r="B483" s="68">
        <f>VLOOKUP(Table5[[#This Row],[Date]],Database!A:E,5,)</f>
        <v>207.8</v>
      </c>
      <c r="C483" s="14">
        <f t="shared" si="14"/>
        <v>9.633911368016236E-4</v>
      </c>
      <c r="D483" s="14">
        <f t="shared" si="15"/>
        <v>2.6172839506172895E-2</v>
      </c>
      <c r="E483" s="15">
        <f>VLOOKUP(Table5[[#This Row],[Date]],'Fed Fund New'!$A:$C,2,FALSE)</f>
        <v>5.25</v>
      </c>
      <c r="F483" s="27">
        <v>0.02</v>
      </c>
    </row>
    <row r="484" spans="1:6" x14ac:dyDescent="0.2">
      <c r="A484" s="61">
        <v>39052</v>
      </c>
      <c r="B484" s="68">
        <f>VLOOKUP(Table5[[#This Row],[Date]],Database!A:E,5,)</f>
        <v>208.1</v>
      </c>
      <c r="C484" s="14">
        <f t="shared" si="14"/>
        <v>1.4436958614051153E-3</v>
      </c>
      <c r="D484" s="14">
        <f t="shared" si="15"/>
        <v>2.6134122287968357E-2</v>
      </c>
      <c r="E484" s="15">
        <f>VLOOKUP(Table5[[#This Row],[Date]],'Fed Fund New'!$A:$C,2,FALSE)</f>
        <v>5.25</v>
      </c>
      <c r="F484" s="27">
        <v>0.02</v>
      </c>
    </row>
    <row r="485" spans="1:6" x14ac:dyDescent="0.2">
      <c r="A485" s="61">
        <v>39083</v>
      </c>
      <c r="B485" s="68">
        <f>VLOOKUP(Table5[[#This Row],[Date]],Database!A:E,5,)</f>
        <v>208.6</v>
      </c>
      <c r="C485" s="14">
        <f t="shared" si="14"/>
        <v>2.4026910139356081E-3</v>
      </c>
      <c r="D485" s="14">
        <f t="shared" si="15"/>
        <v>2.6574803149606328E-2</v>
      </c>
      <c r="E485" s="15">
        <f>VLOOKUP(Table5[[#This Row],[Date]],'Fed Fund New'!$A:$C,2,FALSE)</f>
        <v>5.25</v>
      </c>
      <c r="F485" s="27">
        <v>0.02</v>
      </c>
    </row>
    <row r="486" spans="1:6" x14ac:dyDescent="0.2">
      <c r="A486" s="61">
        <v>39114</v>
      </c>
      <c r="B486" s="68">
        <f>VLOOKUP(Table5[[#This Row],[Date]],Database!A:E,5,)</f>
        <v>209.13499999999999</v>
      </c>
      <c r="C486" s="14">
        <f t="shared" si="14"/>
        <v>2.564717162032582E-3</v>
      </c>
      <c r="D486" s="14">
        <f t="shared" si="15"/>
        <v>2.7185658153241633E-2</v>
      </c>
      <c r="E486" s="15">
        <f>VLOOKUP(Table5[[#This Row],[Date]],'Fed Fund New'!$A:$C,2,FALSE)</f>
        <v>5.25</v>
      </c>
      <c r="F486" s="27">
        <v>0.02</v>
      </c>
    </row>
    <row r="487" spans="1:6" x14ac:dyDescent="0.2">
      <c r="A487" s="61">
        <v>39142</v>
      </c>
      <c r="B487" s="68">
        <f>VLOOKUP(Table5[[#This Row],[Date]],Database!A:E,5,)</f>
        <v>209.41800000000001</v>
      </c>
      <c r="C487" s="14">
        <f t="shared" si="14"/>
        <v>1.3531929136682786E-3</v>
      </c>
      <c r="D487" s="14">
        <f t="shared" si="15"/>
        <v>2.5051395007342117E-2</v>
      </c>
      <c r="E487" s="15">
        <f>VLOOKUP(Table5[[#This Row],[Date]],'Fed Fund New'!$A:$C,2,FALSE)</f>
        <v>5.25</v>
      </c>
      <c r="F487" s="27">
        <v>0.02</v>
      </c>
    </row>
    <row r="488" spans="1:6" x14ac:dyDescent="0.2">
      <c r="A488" s="61">
        <v>39173</v>
      </c>
      <c r="B488" s="68">
        <f>VLOOKUP(Table5[[#This Row],[Date]],Database!A:E,5,)</f>
        <v>209.74700000000001</v>
      </c>
      <c r="C488" s="14">
        <f t="shared" si="14"/>
        <v>1.5710206381495751E-3</v>
      </c>
      <c r="D488" s="14">
        <f t="shared" si="15"/>
        <v>2.4155273437500013E-2</v>
      </c>
      <c r="E488" s="15">
        <f>VLOOKUP(Table5[[#This Row],[Date]],'Fed Fund New'!$A:$C,2,FALSE)</f>
        <v>5.25</v>
      </c>
      <c r="F488" s="27">
        <v>0.02</v>
      </c>
    </row>
    <row r="489" spans="1:6" x14ac:dyDescent="0.2">
      <c r="A489" s="61">
        <v>39203</v>
      </c>
      <c r="B489" s="68">
        <f>VLOOKUP(Table5[[#This Row],[Date]],Database!A:E,5,)</f>
        <v>210.05799999999999</v>
      </c>
      <c r="C489" s="14">
        <f t="shared" si="14"/>
        <v>1.4827387280865929E-3</v>
      </c>
      <c r="D489" s="14">
        <f t="shared" si="15"/>
        <v>2.2677702044790589E-2</v>
      </c>
      <c r="E489" s="15">
        <f>VLOOKUP(Table5[[#This Row],[Date]],'Fed Fund New'!$A:$C,2,FALSE)</f>
        <v>5.25</v>
      </c>
      <c r="F489" s="27">
        <v>0.02</v>
      </c>
    </row>
    <row r="490" spans="1:6" x14ac:dyDescent="0.2">
      <c r="A490" s="61">
        <v>39234</v>
      </c>
      <c r="B490" s="68">
        <f>VLOOKUP(Table5[[#This Row],[Date]],Database!A:E,5,)</f>
        <v>210.392</v>
      </c>
      <c r="C490" s="14">
        <f t="shared" si="14"/>
        <v>1.5900370373896884E-3</v>
      </c>
      <c r="D490" s="14">
        <f t="shared" si="15"/>
        <v>2.1816415735794025E-2</v>
      </c>
      <c r="E490" s="15">
        <f>VLOOKUP(Table5[[#This Row],[Date]],'Fed Fund New'!$A:$C,2,FALSE)</f>
        <v>5.25</v>
      </c>
      <c r="F490" s="27">
        <v>0.02</v>
      </c>
    </row>
    <row r="491" spans="1:6" x14ac:dyDescent="0.2">
      <c r="A491" s="61">
        <v>39264</v>
      </c>
      <c r="B491" s="68">
        <f>VLOOKUP(Table5[[#This Row],[Date]],Database!A:E,5,)</f>
        <v>210.773</v>
      </c>
      <c r="C491" s="14">
        <f t="shared" si="14"/>
        <v>1.8109053576181615E-3</v>
      </c>
      <c r="D491" s="14">
        <f t="shared" si="15"/>
        <v>2.168201648085305E-2</v>
      </c>
      <c r="E491" s="15">
        <f>VLOOKUP(Table5[[#This Row],[Date]],'Fed Fund New'!$A:$C,2,FALSE)</f>
        <v>5.25</v>
      </c>
      <c r="F491" s="27">
        <v>0.02</v>
      </c>
    </row>
    <row r="492" spans="1:6" x14ac:dyDescent="0.2">
      <c r="A492" s="61">
        <v>39295</v>
      </c>
      <c r="B492" s="68">
        <f>VLOOKUP(Table5[[#This Row],[Date]],Database!A:E,5,)</f>
        <v>211.119</v>
      </c>
      <c r="C492" s="14">
        <f t="shared" si="14"/>
        <v>1.6415764827563475E-3</v>
      </c>
      <c r="D492" s="14">
        <f t="shared" si="15"/>
        <v>2.0884912959380986E-2</v>
      </c>
      <c r="E492" s="15">
        <f>VLOOKUP(Table5[[#This Row],[Date]],'Fed Fund New'!$A:$C,2,FALSE)</f>
        <v>5.25</v>
      </c>
      <c r="F492" s="27">
        <v>0.02</v>
      </c>
    </row>
    <row r="493" spans="1:6" x14ac:dyDescent="0.2">
      <c r="A493" s="61">
        <v>39326</v>
      </c>
      <c r="B493" s="68">
        <f>VLOOKUP(Table5[[#This Row],[Date]],Database!A:E,5,)</f>
        <v>211.554</v>
      </c>
      <c r="C493" s="14">
        <f t="shared" si="14"/>
        <v>2.0604493200517353E-3</v>
      </c>
      <c r="D493" s="14">
        <f t="shared" si="15"/>
        <v>2.101351351351358E-2</v>
      </c>
      <c r="E493" s="15">
        <f>VLOOKUP(Table5[[#This Row],[Date]],'Fed Fund New'!$A:$C,2,FALSE)</f>
        <v>4.75</v>
      </c>
      <c r="F493" s="27">
        <v>0.02</v>
      </c>
    </row>
    <row r="494" spans="1:6" x14ac:dyDescent="0.2">
      <c r="A494" s="61">
        <v>39356</v>
      </c>
      <c r="B494" s="68">
        <f>VLOOKUP(Table5[[#This Row],[Date]],Database!A:E,5,)</f>
        <v>212.077</v>
      </c>
      <c r="C494" s="14">
        <f t="shared" si="14"/>
        <v>2.4721820433553426E-3</v>
      </c>
      <c r="D494" s="14">
        <f t="shared" si="15"/>
        <v>2.1565510597302523E-2</v>
      </c>
      <c r="E494" s="15">
        <f>VLOOKUP(Table5[[#This Row],[Date]],'Fed Fund New'!$A:$C,2,FALSE)</f>
        <v>4.5</v>
      </c>
      <c r="F494" s="27">
        <v>0.02</v>
      </c>
    </row>
    <row r="495" spans="1:6" x14ac:dyDescent="0.2">
      <c r="A495" s="61">
        <v>39387</v>
      </c>
      <c r="B495" s="68">
        <f>VLOOKUP(Table5[[#This Row],[Date]],Database!A:E,5,)</f>
        <v>212.66</v>
      </c>
      <c r="C495" s="14">
        <f t="shared" si="14"/>
        <v>2.7490015418927954E-3</v>
      </c>
      <c r="D495" s="14">
        <f t="shared" si="15"/>
        <v>2.3387872954764122E-2</v>
      </c>
      <c r="E495" s="15">
        <f>VLOOKUP(Table5[[#This Row],[Date]],'Fed Fund New'!$A:$C,2,FALSE)</f>
        <v>4.5</v>
      </c>
      <c r="F495" s="27">
        <v>0.02</v>
      </c>
    </row>
    <row r="496" spans="1:6" x14ac:dyDescent="0.2">
      <c r="A496" s="61">
        <v>39417</v>
      </c>
      <c r="B496" s="68">
        <f>VLOOKUP(Table5[[#This Row],[Date]],Database!A:E,5,)</f>
        <v>213.16800000000001</v>
      </c>
      <c r="C496" s="14">
        <f t="shared" si="14"/>
        <v>2.3887896172294261E-3</v>
      </c>
      <c r="D496" s="14">
        <f t="shared" si="15"/>
        <v>2.435367611725138E-2</v>
      </c>
      <c r="E496" s="15">
        <f>VLOOKUP(Table5[[#This Row],[Date]],'Fed Fund New'!$A:$C,2,FALSE)</f>
        <v>4.25</v>
      </c>
      <c r="F496" s="27">
        <v>0.02</v>
      </c>
    </row>
    <row r="497" spans="1:6" x14ac:dyDescent="0.2">
      <c r="A497" s="61">
        <v>39448</v>
      </c>
      <c r="B497" s="68">
        <f>VLOOKUP(Table5[[#This Row],[Date]],Database!A:E,5,)</f>
        <v>213.77099999999999</v>
      </c>
      <c r="C497" s="14">
        <f t="shared" si="14"/>
        <v>2.82875478495825E-3</v>
      </c>
      <c r="D497" s="14">
        <f t="shared" si="15"/>
        <v>2.4789069990412235E-2</v>
      </c>
      <c r="E497" s="15">
        <f>VLOOKUP(Table5[[#This Row],[Date]],'Fed Fund New'!$A:$C,2,FALSE)</f>
        <v>3</v>
      </c>
      <c r="F497" s="27">
        <v>0.02</v>
      </c>
    </row>
    <row r="498" spans="1:6" x14ac:dyDescent="0.2">
      <c r="A498" s="61">
        <v>39479</v>
      </c>
      <c r="B498" s="68">
        <f>VLOOKUP(Table5[[#This Row],[Date]],Database!A:E,5,)</f>
        <v>213.93899999999999</v>
      </c>
      <c r="C498" s="14">
        <f t="shared" si="14"/>
        <v>7.8588770226086034E-4</v>
      </c>
      <c r="D498" s="14">
        <f t="shared" si="15"/>
        <v>2.2970808329547912E-2</v>
      </c>
      <c r="E498" s="15">
        <f>VLOOKUP(Table5[[#This Row],[Date]],'Fed Fund New'!$A:$C,2,FALSE)</f>
        <v>3</v>
      </c>
      <c r="F498" s="27">
        <v>0.02</v>
      </c>
    </row>
    <row r="499" spans="1:6" x14ac:dyDescent="0.2">
      <c r="A499" s="61">
        <v>39508</v>
      </c>
      <c r="B499" s="68">
        <f>VLOOKUP(Table5[[#This Row],[Date]],Database!A:E,5,)</f>
        <v>214.42</v>
      </c>
      <c r="C499" s="14">
        <f t="shared" si="14"/>
        <v>2.2483044232234168E-3</v>
      </c>
      <c r="D499" s="14">
        <f t="shared" si="15"/>
        <v>2.3885243866334227E-2</v>
      </c>
      <c r="E499" s="15">
        <f>VLOOKUP(Table5[[#This Row],[Date]],'Fed Fund New'!$A:$C,2,FALSE)</f>
        <v>2.25</v>
      </c>
      <c r="F499" s="27">
        <v>0.02</v>
      </c>
    </row>
    <row r="500" spans="1:6" x14ac:dyDescent="0.2">
      <c r="A500" s="61">
        <v>39539</v>
      </c>
      <c r="B500" s="68">
        <f>VLOOKUP(Table5[[#This Row],[Date]],Database!A:E,5,)</f>
        <v>214.56</v>
      </c>
      <c r="C500" s="14">
        <f t="shared" si="14"/>
        <v>6.529241675217554E-4</v>
      </c>
      <c r="D500" s="14">
        <f t="shared" si="15"/>
        <v>2.2946692920518472E-2</v>
      </c>
      <c r="E500" s="15">
        <f>VLOOKUP(Table5[[#This Row],[Date]],'Fed Fund New'!$A:$C,2,FALSE)</f>
        <v>2</v>
      </c>
      <c r="F500" s="27">
        <v>0.02</v>
      </c>
    </row>
    <row r="501" spans="1:6" x14ac:dyDescent="0.2">
      <c r="A501" s="61">
        <v>39569</v>
      </c>
      <c r="B501" s="68">
        <f>VLOOKUP(Table5[[#This Row],[Date]],Database!A:E,5,)</f>
        <v>214.93600000000001</v>
      </c>
      <c r="C501" s="14">
        <f t="shared" si="14"/>
        <v>1.7524235645041237E-3</v>
      </c>
      <c r="D501" s="14">
        <f t="shared" si="15"/>
        <v>2.3222157689780986E-2</v>
      </c>
      <c r="E501" s="15">
        <f>VLOOKUP(Table5[[#This Row],[Date]],'Fed Fund New'!$A:$C,2,FALSE)</f>
        <v>2</v>
      </c>
      <c r="F501" s="27">
        <v>0.02</v>
      </c>
    </row>
    <row r="502" spans="1:6" x14ac:dyDescent="0.2">
      <c r="A502" s="61">
        <v>39600</v>
      </c>
      <c r="B502" s="68">
        <f>VLOOKUP(Table5[[#This Row],[Date]],Database!A:E,5,)</f>
        <v>215.42400000000001</v>
      </c>
      <c r="C502" s="14">
        <f t="shared" si="14"/>
        <v>2.270443294748202E-3</v>
      </c>
      <c r="D502" s="14">
        <f t="shared" si="15"/>
        <v>2.3917259211376909E-2</v>
      </c>
      <c r="E502" s="15">
        <f>VLOOKUP(Table5[[#This Row],[Date]],'Fed Fund New'!$A:$C,2,FALSE)</f>
        <v>2</v>
      </c>
      <c r="F502" s="27">
        <v>0.02</v>
      </c>
    </row>
    <row r="503" spans="1:6" x14ac:dyDescent="0.2">
      <c r="A503" s="61">
        <v>39630</v>
      </c>
      <c r="B503" s="68">
        <f>VLOOKUP(Table5[[#This Row],[Date]],Database!A:E,5,)</f>
        <v>215.965</v>
      </c>
      <c r="C503" s="14">
        <f t="shared" si="14"/>
        <v>2.5113265002970737E-3</v>
      </c>
      <c r="D503" s="14">
        <f t="shared" si="15"/>
        <v>2.4633136122748204E-2</v>
      </c>
      <c r="E503" s="15">
        <f>VLOOKUP(Table5[[#This Row],[Date]],'Fed Fund New'!$A:$C,2,FALSE)</f>
        <v>2</v>
      </c>
      <c r="F503" s="27">
        <v>0.02</v>
      </c>
    </row>
    <row r="504" spans="1:6" x14ac:dyDescent="0.2">
      <c r="A504" s="61">
        <v>39661</v>
      </c>
      <c r="B504" s="68">
        <f>VLOOKUP(Table5[[#This Row],[Date]],Database!A:E,5,)</f>
        <v>216.393</v>
      </c>
      <c r="C504" s="14">
        <f t="shared" si="14"/>
        <v>1.9818026069038839E-3</v>
      </c>
      <c r="D504" s="14">
        <f t="shared" si="15"/>
        <v>2.4981171756213325E-2</v>
      </c>
      <c r="E504" s="15">
        <f>VLOOKUP(Table5[[#This Row],[Date]],'Fed Fund New'!$A:$C,2,FALSE)</f>
        <v>2</v>
      </c>
      <c r="F504" s="27">
        <v>0.02</v>
      </c>
    </row>
    <row r="505" spans="1:6" x14ac:dyDescent="0.2">
      <c r="A505" s="61">
        <v>39692</v>
      </c>
      <c r="B505" s="68">
        <f>VLOOKUP(Table5[[#This Row],[Date]],Database!A:E,5,)</f>
        <v>216.71299999999999</v>
      </c>
      <c r="C505" s="14">
        <f t="shared" si="14"/>
        <v>1.4787909035874228E-3</v>
      </c>
      <c r="D505" s="14">
        <f t="shared" si="15"/>
        <v>2.4386208722122917E-2</v>
      </c>
      <c r="E505" s="15">
        <f>VLOOKUP(Table5[[#This Row],[Date]],'Fed Fund New'!$A:$C,2,FALSE)</f>
        <v>2</v>
      </c>
      <c r="F505" s="27">
        <v>0.02</v>
      </c>
    </row>
    <row r="506" spans="1:6" x14ac:dyDescent="0.2">
      <c r="A506" s="61">
        <v>39722</v>
      </c>
      <c r="B506" s="68">
        <f>VLOOKUP(Table5[[#This Row],[Date]],Database!A:E,5,)</f>
        <v>216.78800000000001</v>
      </c>
      <c r="C506" s="14">
        <f t="shared" si="14"/>
        <v>3.4607983831157825E-4</v>
      </c>
      <c r="D506" s="14">
        <f t="shared" si="15"/>
        <v>2.2213629955157858E-2</v>
      </c>
      <c r="E506" s="15">
        <f>VLOOKUP(Table5[[#This Row],[Date]],'Fed Fund New'!$A:$C,2,FALSE)</f>
        <v>1</v>
      </c>
      <c r="F506" s="27">
        <v>0.02</v>
      </c>
    </row>
    <row r="507" spans="1:6" x14ac:dyDescent="0.2">
      <c r="A507" s="61">
        <v>39753</v>
      </c>
      <c r="B507" s="68">
        <f>VLOOKUP(Table5[[#This Row],[Date]],Database!A:E,5,)</f>
        <v>216.947</v>
      </c>
      <c r="C507" s="14">
        <f t="shared" si="14"/>
        <v>7.334354300053131E-4</v>
      </c>
      <c r="D507" s="14">
        <f t="shared" si="15"/>
        <v>2.0158939151697575E-2</v>
      </c>
      <c r="E507" s="15">
        <f>VLOOKUP(Table5[[#This Row],[Date]],'Fed Fund New'!$A:$C,2,FALSE)</f>
        <v>1</v>
      </c>
      <c r="F507" s="27">
        <v>0.02</v>
      </c>
    </row>
    <row r="508" spans="1:6" x14ac:dyDescent="0.2">
      <c r="A508" s="61">
        <v>39783</v>
      </c>
      <c r="B508" s="68">
        <f>VLOOKUP(Table5[[#This Row],[Date]],Database!A:E,5,)</f>
        <v>216.92500000000001</v>
      </c>
      <c r="C508" s="14">
        <f t="shared" si="14"/>
        <v>-1.0140725615007978E-4</v>
      </c>
      <c r="D508" s="14">
        <f t="shared" si="15"/>
        <v>1.7624596562335833E-2</v>
      </c>
      <c r="E508" s="15">
        <f>VLOOKUP(Table5[[#This Row],[Date]],'Fed Fund New'!$A:$C,2,FALSE)</f>
        <v>0.25</v>
      </c>
      <c r="F508" s="27">
        <v>0.02</v>
      </c>
    </row>
    <row r="509" spans="1:6" x14ac:dyDescent="0.2">
      <c r="A509" s="61">
        <v>39814</v>
      </c>
      <c r="B509" s="68">
        <f>VLOOKUP(Table5[[#This Row],[Date]],Database!A:E,5,)</f>
        <v>217.346</v>
      </c>
      <c r="C509" s="14">
        <f t="shared" si="14"/>
        <v>1.9407629364987542E-3</v>
      </c>
      <c r="D509" s="14">
        <f t="shared" si="15"/>
        <v>1.6723503187990967E-2</v>
      </c>
      <c r="E509" s="15">
        <f>VLOOKUP(Table5[[#This Row],[Date]],'Fed Fund New'!$A:$C,2,FALSE)</f>
        <v>0.25</v>
      </c>
      <c r="F509" s="27">
        <v>0.02</v>
      </c>
    </row>
    <row r="510" spans="1:6" x14ac:dyDescent="0.2">
      <c r="A510" s="61">
        <v>39845</v>
      </c>
      <c r="B510" s="68">
        <f>VLOOKUP(Table5[[#This Row],[Date]],Database!A:E,5,)</f>
        <v>217.792</v>
      </c>
      <c r="C510" s="14">
        <f t="shared" si="14"/>
        <v>2.0520276425607001E-3</v>
      </c>
      <c r="D510" s="14">
        <f t="shared" si="15"/>
        <v>1.8009806533638133E-2</v>
      </c>
      <c r="E510" s="15">
        <f>VLOOKUP(Table5[[#This Row],[Date]],'Fed Fund New'!$A:$C,2,FALSE)</f>
        <v>0.25</v>
      </c>
      <c r="F510" s="27">
        <v>0.02</v>
      </c>
    </row>
    <row r="511" spans="1:6" x14ac:dyDescent="0.2">
      <c r="A511" s="61">
        <v>39873</v>
      </c>
      <c r="B511" s="68">
        <f>VLOOKUP(Table5[[#This Row],[Date]],Database!A:E,5,)</f>
        <v>218.25299999999999</v>
      </c>
      <c r="C511" s="14">
        <f t="shared" si="14"/>
        <v>2.1166985013222907E-3</v>
      </c>
      <c r="D511" s="14">
        <f t="shared" si="15"/>
        <v>1.7876130957933022E-2</v>
      </c>
      <c r="E511" s="15">
        <f>VLOOKUP(Table5[[#This Row],[Date]],'Fed Fund New'!$A:$C,2,FALSE)</f>
        <v>0.25</v>
      </c>
      <c r="F511" s="27">
        <v>0.02</v>
      </c>
    </row>
    <row r="512" spans="1:6" x14ac:dyDescent="0.2">
      <c r="A512" s="61">
        <v>39904</v>
      </c>
      <c r="B512" s="68">
        <f>VLOOKUP(Table5[[#This Row],[Date]],Database!A:E,5,)</f>
        <v>218.70599999999999</v>
      </c>
      <c r="C512" s="14">
        <f t="shared" si="14"/>
        <v>2.0755728443595414E-3</v>
      </c>
      <c r="D512" s="14">
        <f t="shared" si="15"/>
        <v>1.9323266219239309E-2</v>
      </c>
      <c r="E512" s="15">
        <f>VLOOKUP(Table5[[#This Row],[Date]],'Fed Fund New'!$A:$C,2,FALSE)</f>
        <v>0.25</v>
      </c>
      <c r="F512" s="27">
        <v>0.02</v>
      </c>
    </row>
    <row r="513" spans="1:6" x14ac:dyDescent="0.2">
      <c r="A513" s="61">
        <v>39934</v>
      </c>
      <c r="B513" s="68">
        <f>VLOOKUP(Table5[[#This Row],[Date]],Database!A:E,5,)</f>
        <v>218.904</v>
      </c>
      <c r="C513" s="14">
        <f t="shared" si="14"/>
        <v>9.053249567913432E-4</v>
      </c>
      <c r="D513" s="14">
        <f t="shared" si="15"/>
        <v>1.8461309413034529E-2</v>
      </c>
      <c r="E513" s="15">
        <f>VLOOKUP(Table5[[#This Row],[Date]],'Fed Fund New'!$A:$C,2,FALSE)</f>
        <v>0.25</v>
      </c>
      <c r="F513" s="27">
        <v>0.02</v>
      </c>
    </row>
    <row r="514" spans="1:6" x14ac:dyDescent="0.2">
      <c r="A514" s="61">
        <v>39965</v>
      </c>
      <c r="B514" s="68">
        <f>VLOOKUP(Table5[[#This Row],[Date]],Database!A:E,5,)</f>
        <v>219.11199999999999</v>
      </c>
      <c r="C514" s="14">
        <f t="shared" si="14"/>
        <v>9.5018821035704421E-4</v>
      </c>
      <c r="D514" s="14">
        <f t="shared" si="15"/>
        <v>1.7119726678550152E-2</v>
      </c>
      <c r="E514" s="15">
        <f>VLOOKUP(Table5[[#This Row],[Date]],'Fed Fund New'!$A:$C,2,FALSE)</f>
        <v>0.25</v>
      </c>
      <c r="F514" s="27">
        <v>0.02</v>
      </c>
    </row>
    <row r="515" spans="1:6" x14ac:dyDescent="0.2">
      <c r="A515" s="61">
        <v>39995</v>
      </c>
      <c r="B515" s="68">
        <f>VLOOKUP(Table5[[#This Row],[Date]],Database!A:E,5,)</f>
        <v>219.26300000000001</v>
      </c>
      <c r="C515" s="14">
        <f t="shared" si="14"/>
        <v>6.8914527730115399E-4</v>
      </c>
      <c r="D515" s="14">
        <f t="shared" si="15"/>
        <v>1.5270992984974426E-2</v>
      </c>
      <c r="E515" s="15">
        <f>VLOOKUP(Table5[[#This Row],[Date]],'Fed Fund New'!$A:$C,2,FALSE)</f>
        <v>0.25</v>
      </c>
      <c r="F515" s="27">
        <v>0.02</v>
      </c>
    </row>
    <row r="516" spans="1:6" x14ac:dyDescent="0.2">
      <c r="A516" s="61">
        <v>40026</v>
      </c>
      <c r="B516" s="68">
        <f>VLOOKUP(Table5[[#This Row],[Date]],Database!A:E,5,)</f>
        <v>219.49600000000001</v>
      </c>
      <c r="C516" s="14">
        <f t="shared" si="14"/>
        <v>1.0626507892348644E-3</v>
      </c>
      <c r="D516" s="14">
        <f t="shared" si="15"/>
        <v>1.4339650543224636E-2</v>
      </c>
      <c r="E516" s="15">
        <f>VLOOKUP(Table5[[#This Row],[Date]],'Fed Fund New'!$A:$C,2,FALSE)</f>
        <v>0.25</v>
      </c>
      <c r="F516" s="27">
        <v>0.02</v>
      </c>
    </row>
    <row r="517" spans="1:6" x14ac:dyDescent="0.2">
      <c r="A517" s="61">
        <v>40057</v>
      </c>
      <c r="B517" s="68">
        <f>VLOOKUP(Table5[[#This Row],[Date]],Database!A:E,5,)</f>
        <v>219.92</v>
      </c>
      <c r="C517" s="14">
        <f t="shared" si="14"/>
        <v>1.931698071946542E-3</v>
      </c>
      <c r="D517" s="14">
        <f t="shared" si="15"/>
        <v>1.4798373886199692E-2</v>
      </c>
      <c r="E517" s="15">
        <f>VLOOKUP(Table5[[#This Row],[Date]],'Fed Fund New'!$A:$C,2,FALSE)</f>
        <v>0.25</v>
      </c>
      <c r="F517" s="27">
        <v>0.02</v>
      </c>
    </row>
    <row r="518" spans="1:6" x14ac:dyDescent="0.2">
      <c r="A518" s="61">
        <v>40087</v>
      </c>
      <c r="B518" s="68">
        <f>VLOOKUP(Table5[[#This Row],[Date]],Database!A:E,5,)</f>
        <v>220.501</v>
      </c>
      <c r="C518" s="14">
        <f t="shared" ref="C518:C576" si="16">(B518-B517)/B517</f>
        <v>2.6418697708258335E-3</v>
      </c>
      <c r="D518" s="14">
        <f t="shared" si="15"/>
        <v>1.7127331771131214E-2</v>
      </c>
      <c r="E518" s="15">
        <f>VLOOKUP(Table5[[#This Row],[Date]],'Fed Fund New'!$A:$C,2,FALSE)</f>
        <v>0.25</v>
      </c>
      <c r="F518" s="27">
        <v>0.02</v>
      </c>
    </row>
    <row r="519" spans="1:6" x14ac:dyDescent="0.2">
      <c r="A519" s="61">
        <v>40118</v>
      </c>
      <c r="B519" s="68">
        <f>VLOOKUP(Table5[[#This Row],[Date]],Database!A:E,5,)</f>
        <v>220.666</v>
      </c>
      <c r="C519" s="14">
        <f t="shared" si="16"/>
        <v>7.4829592609553712E-4</v>
      </c>
      <c r="D519" s="14">
        <f t="shared" si="15"/>
        <v>1.7142435710104285E-2</v>
      </c>
      <c r="E519" s="15">
        <f>VLOOKUP(Table5[[#This Row],[Date]],'Fed Fund New'!$A:$C,2,FALSE)</f>
        <v>0.25</v>
      </c>
      <c r="F519" s="27">
        <v>0.02</v>
      </c>
    </row>
    <row r="520" spans="1:6" x14ac:dyDescent="0.2">
      <c r="A520" s="61">
        <v>40148</v>
      </c>
      <c r="B520" s="68">
        <f>VLOOKUP(Table5[[#This Row],[Date]],Database!A:E,5,)</f>
        <v>220.881</v>
      </c>
      <c r="C520" s="14">
        <f t="shared" si="16"/>
        <v>9.7432318526643623E-4</v>
      </c>
      <c r="D520" s="14">
        <f t="shared" si="15"/>
        <v>1.8236717759594276E-2</v>
      </c>
      <c r="E520" s="15">
        <f>VLOOKUP(Table5[[#This Row],[Date]],'Fed Fund New'!$A:$C,2,FALSE)</f>
        <v>0.25</v>
      </c>
      <c r="F520" s="27">
        <v>0.02</v>
      </c>
    </row>
    <row r="521" spans="1:6" x14ac:dyDescent="0.2">
      <c r="A521" s="61">
        <v>40179</v>
      </c>
      <c r="B521" s="68">
        <f>VLOOKUP(Table5[[#This Row],[Date]],Database!A:E,5,)</f>
        <v>220.63300000000001</v>
      </c>
      <c r="C521" s="14">
        <f t="shared" si="16"/>
        <v>-1.1227765176723685E-3</v>
      </c>
      <c r="D521" s="14">
        <f t="shared" si="15"/>
        <v>1.5123351706495662E-2</v>
      </c>
      <c r="E521" s="15">
        <f>VLOOKUP(Table5[[#This Row],[Date]],'Fed Fund New'!$A:$C,2,FALSE)</f>
        <v>0.25</v>
      </c>
      <c r="F521" s="27">
        <v>0.02</v>
      </c>
    </row>
    <row r="522" spans="1:6" x14ac:dyDescent="0.2">
      <c r="A522" s="61">
        <v>40210</v>
      </c>
      <c r="B522" s="68">
        <f>VLOOKUP(Table5[[#This Row],[Date]],Database!A:E,5,)</f>
        <v>220.73099999999999</v>
      </c>
      <c r="C522" s="14">
        <f t="shared" si="16"/>
        <v>4.4417652844309219E-4</v>
      </c>
      <c r="D522" s="14">
        <f t="shared" si="15"/>
        <v>1.3494526888039933E-2</v>
      </c>
      <c r="E522" s="15">
        <f>VLOOKUP(Table5[[#This Row],[Date]],'Fed Fund New'!$A:$C,2,FALSE)</f>
        <v>0.25</v>
      </c>
      <c r="F522" s="27">
        <v>0.02</v>
      </c>
    </row>
    <row r="523" spans="1:6" x14ac:dyDescent="0.2">
      <c r="A523" s="61">
        <v>40238</v>
      </c>
      <c r="B523" s="68">
        <f>VLOOKUP(Table5[[#This Row],[Date]],Database!A:E,5,)</f>
        <v>220.78299999999999</v>
      </c>
      <c r="C523" s="14">
        <f t="shared" si="16"/>
        <v>2.3558086539721425E-4</v>
      </c>
      <c r="D523" s="14">
        <f t="shared" si="15"/>
        <v>1.1592051426555425E-2</v>
      </c>
      <c r="E523" s="15">
        <f>VLOOKUP(Table5[[#This Row],[Date]],'Fed Fund New'!$A:$C,2,FALSE)</f>
        <v>0.25</v>
      </c>
      <c r="F523" s="27">
        <v>0.02</v>
      </c>
    </row>
    <row r="524" spans="1:6" x14ac:dyDescent="0.2">
      <c r="A524" s="61">
        <v>40269</v>
      </c>
      <c r="B524" s="68">
        <f>VLOOKUP(Table5[[#This Row],[Date]],Database!A:E,5,)</f>
        <v>220.822</v>
      </c>
      <c r="C524" s="14">
        <f t="shared" si="16"/>
        <v>1.766440350933527E-4</v>
      </c>
      <c r="D524" s="14">
        <f t="shared" si="15"/>
        <v>9.6750889321738504E-3</v>
      </c>
      <c r="E524" s="15">
        <f>VLOOKUP(Table5[[#This Row],[Date]],'Fed Fund New'!$A:$C,2,FALSE)</f>
        <v>0.25</v>
      </c>
      <c r="F524" s="27">
        <v>0.02</v>
      </c>
    </row>
    <row r="525" spans="1:6" x14ac:dyDescent="0.2">
      <c r="A525" s="61">
        <v>40299</v>
      </c>
      <c r="B525" s="68">
        <f>VLOOKUP(Table5[[#This Row],[Date]],Database!A:E,5,)</f>
        <v>220.96199999999999</v>
      </c>
      <c r="C525" s="14">
        <f t="shared" si="16"/>
        <v>6.3399480124256798E-4</v>
      </c>
      <c r="D525" s="14">
        <f t="shared" si="15"/>
        <v>9.4013814274750244E-3</v>
      </c>
      <c r="E525" s="15">
        <f>VLOOKUP(Table5[[#This Row],[Date]],'Fed Fund New'!$A:$C,2,FALSE)</f>
        <v>0.25</v>
      </c>
      <c r="F525" s="27">
        <v>0.02</v>
      </c>
    </row>
    <row r="526" spans="1:6" x14ac:dyDescent="0.2">
      <c r="A526" s="61">
        <v>40330</v>
      </c>
      <c r="B526" s="68">
        <f>VLOOKUP(Table5[[#This Row],[Date]],Database!A:E,5,)</f>
        <v>221.19399999999999</v>
      </c>
      <c r="C526" s="14">
        <f t="shared" si="16"/>
        <v>1.0499542907830275E-3</v>
      </c>
      <c r="D526" s="14">
        <f t="shared" si="15"/>
        <v>9.5019898499397286E-3</v>
      </c>
      <c r="E526" s="15">
        <f>VLOOKUP(Table5[[#This Row],[Date]],'Fed Fund New'!$A:$C,2,FALSE)</f>
        <v>0.25</v>
      </c>
      <c r="F526" s="27">
        <v>0.02</v>
      </c>
    </row>
    <row r="527" spans="1:6" x14ac:dyDescent="0.2">
      <c r="A527" s="61">
        <v>40360</v>
      </c>
      <c r="B527" s="68">
        <f>VLOOKUP(Table5[[#This Row],[Date]],Database!A:E,5,)</f>
        <v>221.363</v>
      </c>
      <c r="C527" s="14">
        <f t="shared" si="16"/>
        <v>7.6403519082801142E-4</v>
      </c>
      <c r="D527" s="14">
        <f t="shared" si="15"/>
        <v>9.5775393021166107E-3</v>
      </c>
      <c r="E527" s="15">
        <f>VLOOKUP(Table5[[#This Row],[Date]],'Fed Fund New'!$A:$C,2,FALSE)</f>
        <v>0.25</v>
      </c>
      <c r="F527" s="27">
        <v>0.02</v>
      </c>
    </row>
    <row r="528" spans="1:6" x14ac:dyDescent="0.2">
      <c r="A528" s="61">
        <v>40391</v>
      </c>
      <c r="B528" s="68">
        <f>VLOOKUP(Table5[[#This Row],[Date]],Database!A:E,5,)</f>
        <v>221.50899999999999</v>
      </c>
      <c r="C528" s="14">
        <f t="shared" si="16"/>
        <v>6.5955015065745674E-4</v>
      </c>
      <c r="D528" s="14">
        <f t="shared" si="15"/>
        <v>9.1710099500673208E-3</v>
      </c>
      <c r="E528" s="15">
        <f>VLOOKUP(Table5[[#This Row],[Date]],'Fed Fund New'!$A:$C,2,FALSE)</f>
        <v>0.25</v>
      </c>
      <c r="F528" s="27">
        <v>0.02</v>
      </c>
    </row>
    <row r="529" spans="1:6" x14ac:dyDescent="0.2">
      <c r="A529" s="61">
        <v>40422</v>
      </c>
      <c r="B529" s="68">
        <f>VLOOKUP(Table5[[#This Row],[Date]],Database!A:E,5,)</f>
        <v>221.71100000000001</v>
      </c>
      <c r="C529" s="14">
        <f t="shared" si="16"/>
        <v>9.1192682915830329E-4</v>
      </c>
      <c r="D529" s="14">
        <f t="shared" ref="D529:D592" si="17">(B529-B517)/B517</f>
        <v>8.1438704983631555E-3</v>
      </c>
      <c r="E529" s="15">
        <f>VLOOKUP(Table5[[#This Row],[Date]],'Fed Fund New'!$A:$C,2,FALSE)</f>
        <v>0.25</v>
      </c>
      <c r="F529" s="27">
        <v>0.02</v>
      </c>
    </row>
    <row r="530" spans="1:6" x14ac:dyDescent="0.2">
      <c r="A530" s="61">
        <v>40452</v>
      </c>
      <c r="B530" s="68">
        <f>VLOOKUP(Table5[[#This Row],[Date]],Database!A:E,5,)</f>
        <v>221.83</v>
      </c>
      <c r="C530" s="14">
        <f t="shared" si="16"/>
        <v>5.3673475831149452E-4</v>
      </c>
      <c r="D530" s="14">
        <f t="shared" si="17"/>
        <v>6.027183550188016E-3</v>
      </c>
      <c r="E530" s="15">
        <f>VLOOKUP(Table5[[#This Row],[Date]],'Fed Fund New'!$A:$C,2,FALSE)</f>
        <v>0.25</v>
      </c>
      <c r="F530" s="27">
        <v>0.02</v>
      </c>
    </row>
    <row r="531" spans="1:6" x14ac:dyDescent="0.2">
      <c r="A531" s="61">
        <v>40483</v>
      </c>
      <c r="B531" s="68">
        <f>VLOOKUP(Table5[[#This Row],[Date]],Database!A:E,5,)</f>
        <v>222.149</v>
      </c>
      <c r="C531" s="14">
        <f t="shared" si="16"/>
        <v>1.4380381373123039E-3</v>
      </c>
      <c r="D531" s="14">
        <f t="shared" si="17"/>
        <v>6.7205641104656089E-3</v>
      </c>
      <c r="E531" s="15">
        <f>VLOOKUP(Table5[[#This Row],[Date]],'Fed Fund New'!$A:$C,2,FALSE)</f>
        <v>0.25</v>
      </c>
      <c r="F531" s="27">
        <v>0.02</v>
      </c>
    </row>
    <row r="532" spans="1:6" x14ac:dyDescent="0.2">
      <c r="A532" s="61">
        <v>40513</v>
      </c>
      <c r="B532" s="68">
        <f>VLOOKUP(Table5[[#This Row],[Date]],Database!A:E,5,)</f>
        <v>222.34299999999999</v>
      </c>
      <c r="C532" s="14">
        <f t="shared" si="16"/>
        <v>8.7328774831301696E-4</v>
      </c>
      <c r="D532" s="14">
        <f t="shared" si="17"/>
        <v>6.61894866466554E-3</v>
      </c>
      <c r="E532" s="15">
        <f>VLOOKUP(Table5[[#This Row],[Date]],'Fed Fund New'!$A:$C,2,FALSE)</f>
        <v>0.25</v>
      </c>
      <c r="F532" s="27">
        <v>0.02</v>
      </c>
    </row>
    <row r="533" spans="1:6" x14ac:dyDescent="0.2">
      <c r="A533" s="61">
        <v>40544</v>
      </c>
      <c r="B533" s="68">
        <f>VLOOKUP(Table5[[#This Row],[Date]],Database!A:E,5,)</f>
        <v>222.803</v>
      </c>
      <c r="C533" s="14">
        <f t="shared" si="16"/>
        <v>2.0688755661298444E-3</v>
      </c>
      <c r="D533" s="14">
        <f t="shared" si="17"/>
        <v>9.8353374155270845E-3</v>
      </c>
      <c r="E533" s="15">
        <f>VLOOKUP(Table5[[#This Row],[Date]],'Fed Fund New'!$A:$C,2,FALSE)</f>
        <v>0.25</v>
      </c>
      <c r="F533" s="27">
        <v>0.02</v>
      </c>
    </row>
    <row r="534" spans="1:6" x14ac:dyDescent="0.2">
      <c r="A534" s="61">
        <v>40575</v>
      </c>
      <c r="B534" s="68">
        <f>VLOOKUP(Table5[[#This Row],[Date]],Database!A:E,5,)</f>
        <v>223.21299999999999</v>
      </c>
      <c r="C534" s="14">
        <f t="shared" si="16"/>
        <v>1.840190661705617E-3</v>
      </c>
      <c r="D534" s="14">
        <f t="shared" si="17"/>
        <v>1.1244455921460962E-2</v>
      </c>
      <c r="E534" s="15">
        <f>VLOOKUP(Table5[[#This Row],[Date]],'Fed Fund New'!$A:$C,2,FALSE)</f>
        <v>0.25</v>
      </c>
      <c r="F534" s="27">
        <v>0.02</v>
      </c>
    </row>
    <row r="535" spans="1:6" x14ac:dyDescent="0.2">
      <c r="A535" s="61">
        <v>40603</v>
      </c>
      <c r="B535" s="68">
        <f>VLOOKUP(Table5[[#This Row],[Date]],Database!A:E,5,)</f>
        <v>223.45400000000001</v>
      </c>
      <c r="C535" s="14">
        <f t="shared" si="16"/>
        <v>1.0796862189926836E-3</v>
      </c>
      <c r="D535" s="14">
        <f t="shared" si="17"/>
        <v>1.2097851736773305E-2</v>
      </c>
      <c r="E535" s="15">
        <f>VLOOKUP(Table5[[#This Row],[Date]],'Fed Fund New'!$A:$C,2,FALSE)</f>
        <v>0.25</v>
      </c>
      <c r="F535" s="27">
        <v>0.02</v>
      </c>
    </row>
    <row r="536" spans="1:6" x14ac:dyDescent="0.2">
      <c r="A536" s="61">
        <v>40634</v>
      </c>
      <c r="B536" s="68">
        <f>VLOOKUP(Table5[[#This Row],[Date]],Database!A:E,5,)</f>
        <v>223.727</v>
      </c>
      <c r="C536" s="14">
        <f t="shared" si="16"/>
        <v>1.2217279619071313E-3</v>
      </c>
      <c r="D536" s="14">
        <f t="shared" si="17"/>
        <v>1.3155392125784574E-2</v>
      </c>
      <c r="E536" s="15">
        <f>VLOOKUP(Table5[[#This Row],[Date]],'Fed Fund New'!$A:$C,2,FALSE)</f>
        <v>0.25</v>
      </c>
      <c r="F536" s="27">
        <v>0.02</v>
      </c>
    </row>
    <row r="537" spans="1:6" x14ac:dyDescent="0.2">
      <c r="A537" s="61">
        <v>40664</v>
      </c>
      <c r="B537" s="68">
        <f>VLOOKUP(Table5[[#This Row],[Date]],Database!A:E,5,)</f>
        <v>224.17500000000001</v>
      </c>
      <c r="C537" s="14">
        <f t="shared" si="16"/>
        <v>2.0024404743281209E-3</v>
      </c>
      <c r="D537" s="14">
        <f t="shared" si="17"/>
        <v>1.4540961794335779E-2</v>
      </c>
      <c r="E537" s="15">
        <f>VLOOKUP(Table5[[#This Row],[Date]],'Fed Fund New'!$A:$C,2,FALSE)</f>
        <v>0.25</v>
      </c>
      <c r="F537" s="27">
        <v>0.02</v>
      </c>
    </row>
    <row r="538" spans="1:6" x14ac:dyDescent="0.2">
      <c r="A538" s="61">
        <v>40695</v>
      </c>
      <c r="B538" s="68">
        <f>VLOOKUP(Table5[[#This Row],[Date]],Database!A:E,5,)</f>
        <v>224.697</v>
      </c>
      <c r="C538" s="14">
        <f t="shared" si="16"/>
        <v>2.3285379725660371E-3</v>
      </c>
      <c r="D538" s="14">
        <f t="shared" si="17"/>
        <v>1.5836776766096794E-2</v>
      </c>
      <c r="E538" s="15">
        <f>VLOOKUP(Table5[[#This Row],[Date]],'Fed Fund New'!$A:$C,2,FALSE)</f>
        <v>0.25</v>
      </c>
      <c r="F538" s="27">
        <v>0.02</v>
      </c>
    </row>
    <row r="539" spans="1:6" x14ac:dyDescent="0.2">
      <c r="A539" s="61">
        <v>40725</v>
      </c>
      <c r="B539" s="68">
        <f>VLOOKUP(Table5[[#This Row],[Date]],Database!A:E,5,)</f>
        <v>225.21799999999999</v>
      </c>
      <c r="C539" s="14">
        <f t="shared" si="16"/>
        <v>2.3186780419853694E-3</v>
      </c>
      <c r="D539" s="14">
        <f t="shared" si="17"/>
        <v>1.7414834457429605E-2</v>
      </c>
      <c r="E539" s="15">
        <f>VLOOKUP(Table5[[#This Row],[Date]],'Fed Fund New'!$A:$C,2,FALSE)</f>
        <v>0.25</v>
      </c>
      <c r="F539" s="27">
        <v>0.02</v>
      </c>
    </row>
    <row r="540" spans="1:6" x14ac:dyDescent="0.2">
      <c r="A540" s="61">
        <v>40756</v>
      </c>
      <c r="B540" s="68">
        <f>VLOOKUP(Table5[[#This Row],[Date]],Database!A:E,5,)</f>
        <v>225.86199999999999</v>
      </c>
      <c r="C540" s="14">
        <f t="shared" si="16"/>
        <v>2.8594517312115616E-3</v>
      </c>
      <c r="D540" s="14">
        <f t="shared" si="17"/>
        <v>1.9651571719433561E-2</v>
      </c>
      <c r="E540" s="15">
        <f>VLOOKUP(Table5[[#This Row],[Date]],'Fed Fund New'!$A:$C,2,FALSE)</f>
        <v>0.25</v>
      </c>
      <c r="F540" s="27">
        <v>0.02</v>
      </c>
    </row>
    <row r="541" spans="1:6" x14ac:dyDescent="0.2">
      <c r="A541" s="61">
        <v>40787</v>
      </c>
      <c r="B541" s="68">
        <f>VLOOKUP(Table5[[#This Row],[Date]],Database!A:E,5,)</f>
        <v>226.11799999999999</v>
      </c>
      <c r="C541" s="14">
        <f t="shared" si="16"/>
        <v>1.1334354605909813E-3</v>
      </c>
      <c r="D541" s="14">
        <f t="shared" si="17"/>
        <v>1.9877227562006314E-2</v>
      </c>
      <c r="E541" s="15">
        <f>VLOOKUP(Table5[[#This Row],[Date]],'Fed Fund New'!$A:$C,2,FALSE)</f>
        <v>0.25</v>
      </c>
      <c r="F541" s="27">
        <v>0.02</v>
      </c>
    </row>
    <row r="542" spans="1:6" x14ac:dyDescent="0.2">
      <c r="A542" s="61">
        <v>40817</v>
      </c>
      <c r="B542" s="68">
        <f>VLOOKUP(Table5[[#This Row],[Date]],Database!A:E,5,)</f>
        <v>226.506</v>
      </c>
      <c r="C542" s="14">
        <f t="shared" si="16"/>
        <v>1.715918237380506E-3</v>
      </c>
      <c r="D542" s="14">
        <f t="shared" si="17"/>
        <v>2.1079204796465707E-2</v>
      </c>
      <c r="E542" s="15">
        <f>VLOOKUP(Table5[[#This Row],[Date]],'Fed Fund New'!$A:$C,2,FALSE)</f>
        <v>0.25</v>
      </c>
      <c r="F542" s="27">
        <v>0.02</v>
      </c>
    </row>
    <row r="543" spans="1:6" x14ac:dyDescent="0.2">
      <c r="A543" s="61">
        <v>40848</v>
      </c>
      <c r="B543" s="68">
        <f>VLOOKUP(Table5[[#This Row],[Date]],Database!A:E,5,)</f>
        <v>226.899</v>
      </c>
      <c r="C543" s="14">
        <f t="shared" si="16"/>
        <v>1.7350533760695111E-3</v>
      </c>
      <c r="D543" s="14">
        <f t="shared" si="17"/>
        <v>2.1382045383954013E-2</v>
      </c>
      <c r="E543" s="15">
        <f>VLOOKUP(Table5[[#This Row],[Date]],'Fed Fund New'!$A:$C,2,FALSE)</f>
        <v>0.25</v>
      </c>
      <c r="F543" s="27">
        <v>0.02</v>
      </c>
    </row>
    <row r="544" spans="1:6" x14ac:dyDescent="0.2">
      <c r="A544" s="61">
        <v>40878</v>
      </c>
      <c r="B544" s="68">
        <f>VLOOKUP(Table5[[#This Row],[Date]],Database!A:E,5,)</f>
        <v>227.405</v>
      </c>
      <c r="C544" s="14">
        <f t="shared" si="16"/>
        <v>2.230067122376036E-3</v>
      </c>
      <c r="D544" s="14">
        <f t="shared" si="17"/>
        <v>2.2766626338585033E-2</v>
      </c>
      <c r="E544" s="15">
        <f>VLOOKUP(Table5[[#This Row],[Date]],'Fed Fund New'!$A:$C,2,FALSE)</f>
        <v>0.25</v>
      </c>
      <c r="F544" s="27">
        <v>0.02</v>
      </c>
    </row>
    <row r="545" spans="1:6" x14ac:dyDescent="0.2">
      <c r="A545" s="61">
        <v>40909</v>
      </c>
      <c r="B545" s="68">
        <f>VLOOKUP(Table5[[#This Row],[Date]],Database!A:E,5,)</f>
        <v>227.87700000000001</v>
      </c>
      <c r="C545" s="14">
        <f t="shared" si="16"/>
        <v>2.0755920054528632E-3</v>
      </c>
      <c r="D545" s="14">
        <f t="shared" si="17"/>
        <v>2.2773481506083906E-2</v>
      </c>
      <c r="E545" s="15">
        <f>VLOOKUP(Table5[[#This Row],[Date]],'Fed Fund New'!$A:$C,2,FALSE)</f>
        <v>0.25</v>
      </c>
      <c r="F545" s="27">
        <v>0.02</v>
      </c>
    </row>
    <row r="546" spans="1:6" x14ac:dyDescent="0.2">
      <c r="A546" s="61">
        <v>40940</v>
      </c>
      <c r="B546" s="68">
        <f>VLOOKUP(Table5[[#This Row],[Date]],Database!A:E,5,)</f>
        <v>228.03399999999999</v>
      </c>
      <c r="C546" s="14">
        <f t="shared" si="16"/>
        <v>6.8896817142573524E-4</v>
      </c>
      <c r="D546" s="14">
        <f t="shared" si="17"/>
        <v>2.1598204405657368E-2</v>
      </c>
      <c r="E546" s="15">
        <f>VLOOKUP(Table5[[#This Row],[Date]],'Fed Fund New'!$A:$C,2,FALSE)</f>
        <v>0.25</v>
      </c>
      <c r="F546" s="27">
        <v>0.02</v>
      </c>
    </row>
    <row r="547" spans="1:6" x14ac:dyDescent="0.2">
      <c r="A547" s="61">
        <v>40969</v>
      </c>
      <c r="B547" s="68">
        <f>VLOOKUP(Table5[[#This Row],[Date]],Database!A:E,5,)</f>
        <v>228.47800000000001</v>
      </c>
      <c r="C547" s="14">
        <f t="shared" si="16"/>
        <v>1.9470780673058266E-3</v>
      </c>
      <c r="D547" s="14">
        <f t="shared" si="17"/>
        <v>2.2483374654291267E-2</v>
      </c>
      <c r="E547" s="15">
        <f>VLOOKUP(Table5[[#This Row],[Date]],'Fed Fund New'!$A:$C,2,FALSE)</f>
        <v>0.25</v>
      </c>
      <c r="F547" s="27">
        <v>0.02</v>
      </c>
    </row>
    <row r="548" spans="1:6" x14ac:dyDescent="0.2">
      <c r="A548" s="61">
        <v>41000</v>
      </c>
      <c r="B548" s="68">
        <f>VLOOKUP(Table5[[#This Row],[Date]],Database!A:E,5,)</f>
        <v>228.905</v>
      </c>
      <c r="C548" s="14">
        <f t="shared" si="16"/>
        <v>1.8688889083412516E-3</v>
      </c>
      <c r="D548" s="14">
        <f t="shared" si="17"/>
        <v>2.3144278518015246E-2</v>
      </c>
      <c r="E548" s="15">
        <f>VLOOKUP(Table5[[#This Row],[Date]],'Fed Fund New'!$A:$C,2,FALSE)</f>
        <v>0.25</v>
      </c>
      <c r="F548" s="27">
        <v>0.02</v>
      </c>
    </row>
    <row r="549" spans="1:6" x14ac:dyDescent="0.2">
      <c r="A549" s="61">
        <v>41030</v>
      </c>
      <c r="B549" s="68">
        <f>VLOOKUP(Table5[[#This Row],[Date]],Database!A:E,5,)</f>
        <v>229.22399999999999</v>
      </c>
      <c r="C549" s="14">
        <f t="shared" si="16"/>
        <v>1.3935912278018759E-3</v>
      </c>
      <c r="D549" s="14">
        <f t="shared" si="17"/>
        <v>2.2522582803613151E-2</v>
      </c>
      <c r="E549" s="15">
        <f>VLOOKUP(Table5[[#This Row],[Date]],'Fed Fund New'!$A:$C,2,FALSE)</f>
        <v>0.25</v>
      </c>
      <c r="F549" s="27">
        <v>0.02</v>
      </c>
    </row>
    <row r="550" spans="1:6" x14ac:dyDescent="0.2">
      <c r="A550" s="61">
        <v>41061</v>
      </c>
      <c r="B550" s="68">
        <f>VLOOKUP(Table5[[#This Row],[Date]],Database!A:E,5,)</f>
        <v>229.62299999999999</v>
      </c>
      <c r="C550" s="14">
        <f t="shared" si="16"/>
        <v>1.7406554287509202E-3</v>
      </c>
      <c r="D550" s="14">
        <f t="shared" si="17"/>
        <v>2.192285611289865E-2</v>
      </c>
      <c r="E550" s="15">
        <f>VLOOKUP(Table5[[#This Row],[Date]],'Fed Fund New'!$A:$C,2,FALSE)</f>
        <v>0.25</v>
      </c>
      <c r="F550" s="27">
        <v>0.02</v>
      </c>
    </row>
    <row r="551" spans="1:6" x14ac:dyDescent="0.2">
      <c r="A551" s="61">
        <v>41091</v>
      </c>
      <c r="B551" s="68">
        <f>VLOOKUP(Table5[[#This Row],[Date]],Database!A:E,5,)</f>
        <v>229.97</v>
      </c>
      <c r="C551" s="14">
        <f t="shared" si="16"/>
        <v>1.5111726612752573E-3</v>
      </c>
      <c r="D551" s="14">
        <f t="shared" si="17"/>
        <v>2.1099556873784554E-2</v>
      </c>
      <c r="E551" s="15">
        <f>VLOOKUP(Table5[[#This Row],[Date]],'Fed Fund New'!$A:$C,2,FALSE)</f>
        <v>0.25</v>
      </c>
      <c r="F551" s="27">
        <v>0.02</v>
      </c>
    </row>
    <row r="552" spans="1:6" x14ac:dyDescent="0.2">
      <c r="A552" s="61">
        <v>41122</v>
      </c>
      <c r="B552" s="68">
        <f>VLOOKUP(Table5[[#This Row],[Date]],Database!A:E,5,)</f>
        <v>230.233</v>
      </c>
      <c r="C552" s="14">
        <f t="shared" si="16"/>
        <v>1.1436274296647616E-3</v>
      </c>
      <c r="D552" s="14">
        <f t="shared" si="17"/>
        <v>1.9352524993137443E-2</v>
      </c>
      <c r="E552" s="15">
        <f>VLOOKUP(Table5[[#This Row],[Date]],'Fed Fund New'!$A:$C,2,FALSE)</f>
        <v>0.25</v>
      </c>
      <c r="F552" s="27">
        <v>0.02</v>
      </c>
    </row>
    <row r="553" spans="1:6" x14ac:dyDescent="0.2">
      <c r="A553" s="61">
        <v>41153</v>
      </c>
      <c r="B553" s="68">
        <f>VLOOKUP(Table5[[#This Row],[Date]],Database!A:E,5,)</f>
        <v>230.65899999999999</v>
      </c>
      <c r="C553" s="14">
        <f t="shared" si="16"/>
        <v>1.8502994792231684E-3</v>
      </c>
      <c r="D553" s="14">
        <f t="shared" si="17"/>
        <v>2.0082434834909194E-2</v>
      </c>
      <c r="E553" s="15">
        <f>VLOOKUP(Table5[[#This Row],[Date]],'Fed Fund New'!$A:$C,2,FALSE)</f>
        <v>0.25</v>
      </c>
      <c r="F553" s="27">
        <v>0.02</v>
      </c>
    </row>
    <row r="554" spans="1:6" x14ac:dyDescent="0.2">
      <c r="A554" s="61">
        <v>41183</v>
      </c>
      <c r="B554" s="68">
        <f>VLOOKUP(Table5[[#This Row],[Date]],Database!A:E,5,)</f>
        <v>231.024</v>
      </c>
      <c r="C554" s="14">
        <f t="shared" si="16"/>
        <v>1.5824225371652921E-3</v>
      </c>
      <c r="D554" s="14">
        <f t="shared" si="17"/>
        <v>1.994649148366931E-2</v>
      </c>
      <c r="E554" s="15">
        <f>VLOOKUP(Table5[[#This Row],[Date]],'Fed Fund New'!$A:$C,2,FALSE)</f>
        <v>0.25</v>
      </c>
      <c r="F554" s="27">
        <v>0.02</v>
      </c>
    </row>
    <row r="555" spans="1:6" x14ac:dyDescent="0.2">
      <c r="A555" s="61">
        <v>41214</v>
      </c>
      <c r="B555" s="68">
        <f>VLOOKUP(Table5[[#This Row],[Date]],Database!A:E,5,)</f>
        <v>231.33</v>
      </c>
      <c r="C555" s="14">
        <f t="shared" si="16"/>
        <v>1.3245377103678043E-3</v>
      </c>
      <c r="D555" s="14">
        <f t="shared" si="17"/>
        <v>1.9528512686261341E-2</v>
      </c>
      <c r="E555" s="15">
        <f>VLOOKUP(Table5[[#This Row],[Date]],'Fed Fund New'!$A:$C,2,FALSE)</f>
        <v>0.25</v>
      </c>
      <c r="F555" s="27">
        <v>0.02</v>
      </c>
    </row>
    <row r="556" spans="1:6" x14ac:dyDescent="0.2">
      <c r="A556" s="61">
        <v>41244</v>
      </c>
      <c r="B556" s="68">
        <f>VLOOKUP(Table5[[#This Row],[Date]],Database!A:E,5,)</f>
        <v>231.72499999999999</v>
      </c>
      <c r="C556" s="14">
        <f t="shared" si="16"/>
        <v>1.7075173993860795E-3</v>
      </c>
      <c r="D556" s="14">
        <f t="shared" si="17"/>
        <v>1.8996943778720753E-2</v>
      </c>
      <c r="E556" s="15">
        <f>VLOOKUP(Table5[[#This Row],[Date]],'Fed Fund New'!$A:$C,2,FALSE)</f>
        <v>0.25</v>
      </c>
      <c r="F556" s="27">
        <v>0.02</v>
      </c>
    </row>
    <row r="557" spans="1:6" x14ac:dyDescent="0.2">
      <c r="A557" s="61">
        <v>41275</v>
      </c>
      <c r="B557" s="68">
        <f>VLOOKUP(Table5[[#This Row],[Date]],Database!A:E,5,)</f>
        <v>232.22900000000001</v>
      </c>
      <c r="C557" s="14">
        <f t="shared" si="16"/>
        <v>2.1749919085123277E-3</v>
      </c>
      <c r="D557" s="14">
        <f t="shared" si="17"/>
        <v>1.909802217863147E-2</v>
      </c>
      <c r="E557" s="15">
        <f>VLOOKUP(Table5[[#This Row],[Date]],'Fed Fund New'!$A:$C,2,FALSE)</f>
        <v>0.25</v>
      </c>
      <c r="F557" s="27">
        <v>0.02</v>
      </c>
    </row>
    <row r="558" spans="1:6" x14ac:dyDescent="0.2">
      <c r="A558" s="61">
        <v>41306</v>
      </c>
      <c r="B558" s="68">
        <f>VLOOKUP(Table5[[#This Row],[Date]],Database!A:E,5,)</f>
        <v>232.56899999999999</v>
      </c>
      <c r="C558" s="14">
        <f t="shared" si="16"/>
        <v>1.4640721012447841E-3</v>
      </c>
      <c r="D558" s="14">
        <f t="shared" si="17"/>
        <v>1.9887385214485544E-2</v>
      </c>
      <c r="E558" s="15">
        <f>VLOOKUP(Table5[[#This Row],[Date]],'Fed Fund New'!$A:$C,2,FALSE)</f>
        <v>0.25</v>
      </c>
      <c r="F558" s="27">
        <v>0.02</v>
      </c>
    </row>
    <row r="559" spans="1:6" x14ac:dyDescent="0.2">
      <c r="A559" s="61">
        <v>41334</v>
      </c>
      <c r="B559" s="68">
        <f>VLOOKUP(Table5[[#This Row],[Date]],Database!A:E,5,)</f>
        <v>232.79400000000001</v>
      </c>
      <c r="C559" s="14">
        <f t="shared" si="16"/>
        <v>9.6745481986001036E-4</v>
      </c>
      <c r="D559" s="14">
        <f t="shared" si="17"/>
        <v>1.8890221377988264E-2</v>
      </c>
      <c r="E559" s="15">
        <f>VLOOKUP(Table5[[#This Row],[Date]],'Fed Fund New'!$A:$C,2,FALSE)</f>
        <v>0.25</v>
      </c>
      <c r="F559" s="27">
        <v>0.02</v>
      </c>
    </row>
    <row r="560" spans="1:6" x14ac:dyDescent="0.2">
      <c r="A560" s="61">
        <v>41365</v>
      </c>
      <c r="B560" s="68">
        <f>VLOOKUP(Table5[[#This Row],[Date]],Database!A:E,5,)</f>
        <v>232.83199999999999</v>
      </c>
      <c r="C560" s="14">
        <f t="shared" si="16"/>
        <v>1.6323444762314531E-4</v>
      </c>
      <c r="D560" s="14">
        <f t="shared" si="17"/>
        <v>1.7155588562940926E-2</v>
      </c>
      <c r="E560" s="15">
        <f>VLOOKUP(Table5[[#This Row],[Date]],'Fed Fund New'!$A:$C,2,FALSE)</f>
        <v>0.25</v>
      </c>
      <c r="F560" s="27">
        <v>0.02</v>
      </c>
    </row>
    <row r="561" spans="1:6" x14ac:dyDescent="0.2">
      <c r="A561" s="61">
        <v>41395</v>
      </c>
      <c r="B561" s="68">
        <f>VLOOKUP(Table5[[#This Row],[Date]],Database!A:E,5,)</f>
        <v>232.99600000000001</v>
      </c>
      <c r="C561" s="14">
        <f t="shared" si="16"/>
        <v>7.0437053326010042E-4</v>
      </c>
      <c r="D561" s="14">
        <f t="shared" si="17"/>
        <v>1.6455519491850853E-2</v>
      </c>
      <c r="E561" s="15">
        <f>VLOOKUP(Table5[[#This Row],[Date]],'Fed Fund New'!$A:$C,2,FALSE)</f>
        <v>0.25</v>
      </c>
      <c r="F561" s="27">
        <v>0.02</v>
      </c>
    </row>
    <row r="562" spans="1:6" x14ac:dyDescent="0.2">
      <c r="A562" s="61">
        <v>41426</v>
      </c>
      <c r="B562" s="68">
        <f>VLOOKUP(Table5[[#This Row],[Date]],Database!A:E,5,)</f>
        <v>233.35</v>
      </c>
      <c r="C562" s="14">
        <f t="shared" si="16"/>
        <v>1.5193393878005844E-3</v>
      </c>
      <c r="D562" s="14">
        <f t="shared" si="17"/>
        <v>1.6230952474273065E-2</v>
      </c>
      <c r="E562" s="15">
        <f>VLOOKUP(Table5[[#This Row],[Date]],'Fed Fund New'!$A:$C,2,FALSE)</f>
        <v>0.25</v>
      </c>
      <c r="F562" s="27">
        <v>0.02</v>
      </c>
    </row>
    <row r="563" spans="1:6" x14ac:dyDescent="0.2">
      <c r="A563" s="61">
        <v>41456</v>
      </c>
      <c r="B563" s="68">
        <f>VLOOKUP(Table5[[#This Row],[Date]],Database!A:E,5,)</f>
        <v>233.88</v>
      </c>
      <c r="C563" s="14">
        <f t="shared" si="16"/>
        <v>2.2712663381187106E-3</v>
      </c>
      <c r="D563" s="14">
        <f t="shared" si="17"/>
        <v>1.7002217680567016E-2</v>
      </c>
      <c r="E563" s="15">
        <f>VLOOKUP(Table5[[#This Row],[Date]],'Fed Fund New'!$A:$C,2,FALSE)</f>
        <v>0.25</v>
      </c>
      <c r="F563" s="27">
        <v>0.02</v>
      </c>
    </row>
    <row r="564" spans="1:6" x14ac:dyDescent="0.2">
      <c r="A564" s="61">
        <v>41487</v>
      </c>
      <c r="B564" s="68">
        <f>VLOOKUP(Table5[[#This Row],[Date]],Database!A:E,5,)</f>
        <v>234.33600000000001</v>
      </c>
      <c r="C564" s="14">
        <f t="shared" si="16"/>
        <v>1.9497178040021263E-3</v>
      </c>
      <c r="D564" s="14">
        <f t="shared" si="17"/>
        <v>1.7821076909044352E-2</v>
      </c>
      <c r="E564" s="15">
        <f>VLOOKUP(Table5[[#This Row],[Date]],'Fed Fund New'!$A:$C,2,FALSE)</f>
        <v>0.25</v>
      </c>
      <c r="F564" s="27">
        <v>0.02</v>
      </c>
    </row>
    <row r="565" spans="1:6" x14ac:dyDescent="0.2">
      <c r="A565" s="61">
        <v>41518</v>
      </c>
      <c r="B565" s="68">
        <f>VLOOKUP(Table5[[#This Row],[Date]],Database!A:E,5,)</f>
        <v>234.7</v>
      </c>
      <c r="C565" s="14">
        <f t="shared" si="16"/>
        <v>1.5533251399698546E-3</v>
      </c>
      <c r="D565" s="14">
        <f t="shared" si="17"/>
        <v>1.7519368418314467E-2</v>
      </c>
      <c r="E565" s="15">
        <f>VLOOKUP(Table5[[#This Row],[Date]],'Fed Fund New'!$A:$C,2,FALSE)</f>
        <v>0.25</v>
      </c>
      <c r="F565" s="27">
        <v>0.02</v>
      </c>
    </row>
    <row r="566" spans="1:6" x14ac:dyDescent="0.2">
      <c r="A566" s="61">
        <v>41548</v>
      </c>
      <c r="B566" s="68">
        <f>VLOOKUP(Table5[[#This Row],[Date]],Database!A:E,5,)</f>
        <v>234.92099999999999</v>
      </c>
      <c r="C566" s="14">
        <f t="shared" si="16"/>
        <v>9.416276097145447E-4</v>
      </c>
      <c r="D566" s="14">
        <f t="shared" si="17"/>
        <v>1.6868377311448125E-2</v>
      </c>
      <c r="E566" s="15">
        <f>VLOOKUP(Table5[[#This Row],[Date]],'Fed Fund New'!$A:$C,2,FALSE)</f>
        <v>0.25</v>
      </c>
      <c r="F566" s="27">
        <v>0.02</v>
      </c>
    </row>
    <row r="567" spans="1:6" x14ac:dyDescent="0.2">
      <c r="A567" s="61">
        <v>41579</v>
      </c>
      <c r="B567" s="68">
        <f>VLOOKUP(Table5[[#This Row],[Date]],Database!A:E,5,)</f>
        <v>235.35900000000001</v>
      </c>
      <c r="C567" s="14">
        <f t="shared" si="16"/>
        <v>1.8644565619932514E-3</v>
      </c>
      <c r="D567" s="14">
        <f t="shared" si="17"/>
        <v>1.7416677473738797E-2</v>
      </c>
      <c r="E567" s="15">
        <f>VLOOKUP(Table5[[#This Row],[Date]],'Fed Fund New'!$A:$C,2,FALSE)</f>
        <v>0.25</v>
      </c>
      <c r="F567" s="27">
        <v>0.02</v>
      </c>
    </row>
    <row r="568" spans="1:6" x14ac:dyDescent="0.2">
      <c r="A568" s="61">
        <v>41609</v>
      </c>
      <c r="B568" s="68">
        <f>VLOOKUP(Table5[[#This Row],[Date]],Database!A:E,5,)</f>
        <v>235.75899999999999</v>
      </c>
      <c r="C568" s="14">
        <f t="shared" si="16"/>
        <v>1.6995313542289747E-3</v>
      </c>
      <c r="D568" s="14">
        <f t="shared" si="17"/>
        <v>1.7408566188369799E-2</v>
      </c>
      <c r="E568" s="15">
        <f>VLOOKUP(Table5[[#This Row],[Date]],'Fed Fund New'!$A:$C,2,FALSE)</f>
        <v>0.25</v>
      </c>
      <c r="F568" s="27">
        <v>0.02</v>
      </c>
    </row>
    <row r="569" spans="1:6" x14ac:dyDescent="0.2">
      <c r="A569" s="61">
        <v>41640</v>
      </c>
      <c r="B569" s="68">
        <f>VLOOKUP(Table5[[#This Row],[Date]],Database!A:E,5,)</f>
        <v>235.96100000000001</v>
      </c>
      <c r="C569" s="14">
        <f t="shared" si="16"/>
        <v>8.5680716324732723E-4</v>
      </c>
      <c r="D569" s="14">
        <f t="shared" si="17"/>
        <v>1.6070344358370396E-2</v>
      </c>
      <c r="E569" s="15">
        <f>VLOOKUP(Table5[[#This Row],[Date]],'Fed Fund New'!$A:$C,2,FALSE)</f>
        <v>0.25</v>
      </c>
      <c r="F569" s="27">
        <v>0.02</v>
      </c>
    </row>
    <row r="570" spans="1:6" x14ac:dyDescent="0.2">
      <c r="A570" s="61">
        <v>41671</v>
      </c>
      <c r="B570" s="68">
        <f>VLOOKUP(Table5[[#This Row],[Date]],Database!A:E,5,)</f>
        <v>236.185</v>
      </c>
      <c r="C570" s="14">
        <f t="shared" si="16"/>
        <v>9.4930941977695263E-4</v>
      </c>
      <c r="D570" s="14">
        <f t="shared" si="17"/>
        <v>1.55480739049487E-2</v>
      </c>
      <c r="E570" s="15">
        <f>VLOOKUP(Table5[[#This Row],[Date]],'Fed Fund New'!$A:$C,2,FALSE)</f>
        <v>0.25</v>
      </c>
      <c r="F570" s="27">
        <v>0.02</v>
      </c>
    </row>
    <row r="571" spans="1:6" x14ac:dyDescent="0.2">
      <c r="A571" s="61">
        <v>41699</v>
      </c>
      <c r="B571" s="68">
        <f>VLOOKUP(Table5[[#This Row],[Date]],Database!A:E,5,)</f>
        <v>236.625</v>
      </c>
      <c r="C571" s="14">
        <f t="shared" si="16"/>
        <v>1.8629464191205949E-3</v>
      </c>
      <c r="D571" s="14">
        <f t="shared" si="17"/>
        <v>1.6456609706435685E-2</v>
      </c>
      <c r="E571" s="15">
        <f>VLOOKUP(Table5[[#This Row],[Date]],'Fed Fund New'!$A:$C,2,FALSE)</f>
        <v>0.25</v>
      </c>
      <c r="F571" s="27">
        <v>0.02</v>
      </c>
    </row>
    <row r="572" spans="1:6" x14ac:dyDescent="0.2">
      <c r="A572" s="61">
        <v>41730</v>
      </c>
      <c r="B572" s="68">
        <f>VLOOKUP(Table5[[#This Row],[Date]],Database!A:E,5,)</f>
        <v>237.072</v>
      </c>
      <c r="C572" s="14">
        <f t="shared" si="16"/>
        <v>1.8890649762282206E-3</v>
      </c>
      <c r="D572" s="14">
        <f t="shared" si="17"/>
        <v>1.8210555250137477E-2</v>
      </c>
      <c r="E572" s="15">
        <f>VLOOKUP(Table5[[#This Row],[Date]],'Fed Fund New'!$A:$C,2,FALSE)</f>
        <v>0.25</v>
      </c>
      <c r="F572" s="27">
        <v>0.02</v>
      </c>
    </row>
    <row r="573" spans="1:6" x14ac:dyDescent="0.2">
      <c r="A573" s="61">
        <v>41760</v>
      </c>
      <c r="B573" s="68">
        <f>VLOOKUP(Table5[[#This Row],[Date]],Database!A:E,5,)</f>
        <v>237.529</v>
      </c>
      <c r="C573" s="14">
        <f t="shared" si="16"/>
        <v>1.9276844165485323E-3</v>
      </c>
      <c r="D573" s="14">
        <f t="shared" si="17"/>
        <v>1.945526961836249E-2</v>
      </c>
      <c r="E573" s="15">
        <f>VLOOKUP(Table5[[#This Row],[Date]],'Fed Fund New'!$A:$C,2,FALSE)</f>
        <v>0.25</v>
      </c>
      <c r="F573" s="27">
        <v>0.02</v>
      </c>
    </row>
    <row r="574" spans="1:6" x14ac:dyDescent="0.2">
      <c r="A574" s="61">
        <v>41791</v>
      </c>
      <c r="B574" s="68">
        <f>VLOOKUP(Table5[[#This Row],[Date]],Database!A:E,5,)</f>
        <v>237.83699999999999</v>
      </c>
      <c r="C574" s="14">
        <f t="shared" si="16"/>
        <v>1.2966837733497498E-3</v>
      </c>
      <c r="D574" s="14">
        <f t="shared" si="17"/>
        <v>1.9228626526676645E-2</v>
      </c>
      <c r="E574" s="15">
        <f>VLOOKUP(Table5[[#This Row],[Date]],'Fed Fund New'!$A:$C,2,FALSE)</f>
        <v>0.25</v>
      </c>
      <c r="F574" s="27">
        <v>0.02</v>
      </c>
    </row>
    <row r="575" spans="1:6" x14ac:dyDescent="0.2">
      <c r="A575" s="61">
        <v>41821</v>
      </c>
      <c r="B575" s="68">
        <f>VLOOKUP(Table5[[#This Row],[Date]],Database!A:E,5,)</f>
        <v>238.19499999999999</v>
      </c>
      <c r="C575" s="14">
        <f t="shared" si="16"/>
        <v>1.5052325752511347E-3</v>
      </c>
      <c r="D575" s="14">
        <f t="shared" si="17"/>
        <v>1.8449632290063273E-2</v>
      </c>
      <c r="E575" s="15">
        <f>VLOOKUP(Table5[[#This Row],[Date]],'Fed Fund New'!$A:$C,2,FALSE)</f>
        <v>0.25</v>
      </c>
      <c r="F575" s="27">
        <v>0.02</v>
      </c>
    </row>
    <row r="576" spans="1:6" x14ac:dyDescent="0.2">
      <c r="A576" s="61">
        <v>41852</v>
      </c>
      <c r="B576" s="68">
        <f>VLOOKUP(Table5[[#This Row],[Date]],Database!A:E,5,)</f>
        <v>238.405</v>
      </c>
      <c r="C576" s="14">
        <f t="shared" si="16"/>
        <v>8.8163059677998264E-4</v>
      </c>
      <c r="D576" s="14">
        <f t="shared" si="17"/>
        <v>1.7363956028949832E-2</v>
      </c>
      <c r="E576" s="15">
        <f>VLOOKUP(Table5[[#This Row],[Date]],'Fed Fund New'!$A:$C,2,FALSE)</f>
        <v>0.25</v>
      </c>
      <c r="F576" s="27">
        <v>0.02</v>
      </c>
    </row>
    <row r="577" spans="1:6" x14ac:dyDescent="0.2">
      <c r="A577" s="61">
        <v>41883</v>
      </c>
      <c r="B577" s="68">
        <f>VLOOKUP(Table5[[#This Row],[Date]],Database!A:E,5,)</f>
        <v>238.786</v>
      </c>
      <c r="C577" s="14">
        <v>2E-3</v>
      </c>
      <c r="D577" s="14">
        <f t="shared" si="17"/>
        <v>1.740945888368135E-2</v>
      </c>
      <c r="E577" s="15">
        <f>VLOOKUP(Table5[[#This Row],[Date]],'Fed Fund New'!$A:$C,2,FALSE)</f>
        <v>0.25</v>
      </c>
      <c r="F577" s="27">
        <v>0.02</v>
      </c>
    </row>
    <row r="578" spans="1:6" x14ac:dyDescent="0.2">
      <c r="A578" s="61">
        <v>41913</v>
      </c>
      <c r="B578" s="68">
        <f>VLOOKUP(Table5[[#This Row],[Date]],Database!A:E,5,)</f>
        <v>239.191</v>
      </c>
      <c r="C578" s="14">
        <f t="shared" ref="C578:C609" si="18">(B578-B577)/B577</f>
        <v>1.6960793346343635E-3</v>
      </c>
      <c r="D578" s="14">
        <f t="shared" si="17"/>
        <v>1.8176323104362787E-2</v>
      </c>
      <c r="E578" s="15">
        <f>VLOOKUP(Table5[[#This Row],[Date]],'Fed Fund New'!$A:$C,2,FALSE)</f>
        <v>0.25</v>
      </c>
      <c r="F578" s="27">
        <v>0.02</v>
      </c>
    </row>
    <row r="579" spans="1:6" x14ac:dyDescent="0.2">
      <c r="A579" s="61">
        <v>41944</v>
      </c>
      <c r="B579" s="68">
        <f>VLOOKUP(Table5[[#This Row],[Date]],Database!A:E,5,)</f>
        <v>239.458</v>
      </c>
      <c r="C579" s="14">
        <f t="shared" si="18"/>
        <v>1.1162627356380295E-3</v>
      </c>
      <c r="D579" s="14">
        <f t="shared" si="17"/>
        <v>1.7415947552462365E-2</v>
      </c>
      <c r="E579" s="15">
        <f>VLOOKUP(Table5[[#This Row],[Date]],'Fed Fund New'!$A:$C,2,FALSE)</f>
        <v>0.25</v>
      </c>
      <c r="F579" s="27">
        <v>0.02</v>
      </c>
    </row>
    <row r="580" spans="1:6" x14ac:dyDescent="0.2">
      <c r="A580" s="61">
        <v>41974</v>
      </c>
      <c r="B580" s="68">
        <f>VLOOKUP(Table5[[#This Row],[Date]],Database!A:E,5,)</f>
        <v>239.584</v>
      </c>
      <c r="C580" s="14">
        <f t="shared" si="18"/>
        <v>5.261883085969346E-4</v>
      </c>
      <c r="D580" s="14">
        <f t="shared" si="17"/>
        <v>1.6224195046636681E-2</v>
      </c>
      <c r="E580" s="15">
        <f>VLOOKUP(Table5[[#This Row],[Date]],'Fed Fund New'!$A:$C,2,FALSE)</f>
        <v>0.25</v>
      </c>
      <c r="F580" s="27">
        <v>0.02</v>
      </c>
    </row>
    <row r="581" spans="1:6" x14ac:dyDescent="0.2">
      <c r="A581" s="61">
        <v>42005</v>
      </c>
      <c r="B581" s="68">
        <f>VLOOKUP(Table5[[#This Row],[Date]],Database!A:E,5,)</f>
        <v>239.81100000000001</v>
      </c>
      <c r="C581" s="14">
        <f t="shared" si="18"/>
        <v>9.4747562441566992E-4</v>
      </c>
      <c r="D581" s="14">
        <f t="shared" si="17"/>
        <v>1.6316255652417112E-2</v>
      </c>
      <c r="E581" s="15">
        <f>VLOOKUP(Table5[[#This Row],[Date]],'Fed Fund New'!$A:$C,2,FALSE)</f>
        <v>0.25</v>
      </c>
      <c r="F581" s="27">
        <v>0.02</v>
      </c>
    </row>
    <row r="582" spans="1:6" x14ac:dyDescent="0.2">
      <c r="A582" s="61">
        <v>42036</v>
      </c>
      <c r="B582" s="68">
        <f>VLOOKUP(Table5[[#This Row],[Date]],Database!A:E,5,)</f>
        <v>240.172</v>
      </c>
      <c r="C582" s="14">
        <f t="shared" si="18"/>
        <v>1.5053521314701576E-3</v>
      </c>
      <c r="D582" s="14">
        <f t="shared" si="17"/>
        <v>1.6880834938713275E-2</v>
      </c>
      <c r="E582" s="15">
        <f>VLOOKUP(Table5[[#This Row],[Date]],'Fed Fund New'!$A:$C,2,FALSE)</f>
        <v>0.25</v>
      </c>
      <c r="F582" s="27">
        <v>0.02</v>
      </c>
    </row>
    <row r="583" spans="1:6" x14ac:dyDescent="0.2">
      <c r="A583" s="61">
        <v>42064</v>
      </c>
      <c r="B583" s="68">
        <f>VLOOKUP(Table5[[#This Row],[Date]],Database!A:E,5,)</f>
        <v>240.755</v>
      </c>
      <c r="C583" s="14">
        <f t="shared" si="18"/>
        <v>2.4274270106423666E-3</v>
      </c>
      <c r="D583" s="14">
        <f t="shared" si="17"/>
        <v>1.7453777073428402E-2</v>
      </c>
      <c r="E583" s="15">
        <f>VLOOKUP(Table5[[#This Row],[Date]],'Fed Fund New'!$A:$C,2,FALSE)</f>
        <v>0.25</v>
      </c>
      <c r="F583" s="27">
        <v>0.02</v>
      </c>
    </row>
    <row r="584" spans="1:6" x14ac:dyDescent="0.2">
      <c r="A584" s="61">
        <v>42095</v>
      </c>
      <c r="B584" s="68">
        <f>VLOOKUP(Table5[[#This Row],[Date]],Database!A:E,5,)</f>
        <v>241.346</v>
      </c>
      <c r="C584" s="14">
        <f t="shared" si="18"/>
        <v>2.4547776785529196E-3</v>
      </c>
      <c r="D584" s="14">
        <f t="shared" si="17"/>
        <v>1.8028278328946483E-2</v>
      </c>
      <c r="E584" s="15">
        <f>VLOOKUP(Table5[[#This Row],[Date]],'Fed Fund New'!$A:$C,2,FALSE)</f>
        <v>0.25</v>
      </c>
      <c r="F584" s="27">
        <v>0.02</v>
      </c>
    </row>
    <row r="585" spans="1:6" x14ac:dyDescent="0.2">
      <c r="A585" s="61">
        <v>42125</v>
      </c>
      <c r="B585" s="68">
        <f>VLOOKUP(Table5[[#This Row],[Date]],Database!A:E,5,)</f>
        <v>241.68799999999999</v>
      </c>
      <c r="C585" s="14">
        <f t="shared" si="18"/>
        <v>1.4170526961291446E-3</v>
      </c>
      <c r="D585" s="14">
        <f t="shared" si="17"/>
        <v>1.7509440952473136E-2</v>
      </c>
      <c r="E585" s="15">
        <f>VLOOKUP(Table5[[#This Row],[Date]],'Fed Fund New'!$A:$C,2,FALSE)</f>
        <v>0.25</v>
      </c>
      <c r="F585" s="27">
        <v>0.02</v>
      </c>
    </row>
    <row r="586" spans="1:6" x14ac:dyDescent="0.2">
      <c r="A586" s="61">
        <v>42156</v>
      </c>
      <c r="B586" s="68">
        <f>VLOOKUP(Table5[[#This Row],[Date]],Database!A:E,5,)</f>
        <v>242.06399999999999</v>
      </c>
      <c r="C586" s="14">
        <f t="shared" si="18"/>
        <v>1.5557247360233227E-3</v>
      </c>
      <c r="D586" s="14">
        <f t="shared" si="17"/>
        <v>1.7772676244654971E-2</v>
      </c>
      <c r="E586" s="15">
        <f>VLOOKUP(Table5[[#This Row],[Date]],'Fed Fund New'!$A:$C,2,FALSE)</f>
        <v>0.25</v>
      </c>
      <c r="F586" s="27">
        <v>0.02</v>
      </c>
    </row>
    <row r="587" spans="1:6" x14ac:dyDescent="0.2">
      <c r="A587" s="61">
        <v>42186</v>
      </c>
      <c r="B587" s="68">
        <f>VLOOKUP(Table5[[#This Row],[Date]],Database!A:E,5,)</f>
        <v>242.565</v>
      </c>
      <c r="C587" s="14">
        <f t="shared" si="18"/>
        <v>2.0697005750545507E-3</v>
      </c>
      <c r="D587" s="14">
        <f t="shared" si="17"/>
        <v>1.8346312894897059E-2</v>
      </c>
      <c r="E587" s="15">
        <f>VLOOKUP(Table5[[#This Row],[Date]],'Fed Fund New'!$A:$C,2,FALSE)</f>
        <v>0.25</v>
      </c>
      <c r="F587" s="27">
        <v>0.02</v>
      </c>
    </row>
    <row r="588" spans="1:6" x14ac:dyDescent="0.2">
      <c r="A588" s="61">
        <v>42217</v>
      </c>
      <c r="B588" s="68">
        <f>VLOOKUP(Table5[[#This Row],[Date]],Database!A:E,5,)</f>
        <v>242.81700000000001</v>
      </c>
      <c r="C588" s="14">
        <f t="shared" si="18"/>
        <v>1.0388967905510258E-3</v>
      </c>
      <c r="D588" s="14">
        <f t="shared" si="17"/>
        <v>1.8506323273421305E-2</v>
      </c>
      <c r="E588" s="15">
        <f>VLOOKUP(Table5[[#This Row],[Date]],'Fed Fund New'!$A:$C,2,FALSE)</f>
        <v>0.25</v>
      </c>
      <c r="F588" s="27">
        <v>0.02</v>
      </c>
    </row>
    <row r="589" spans="1:6" x14ac:dyDescent="0.2">
      <c r="A589" s="61">
        <v>42248</v>
      </c>
      <c r="B589" s="68">
        <f>VLOOKUP(Table5[[#This Row],[Date]],Database!A:E,5,)</f>
        <v>243.316</v>
      </c>
      <c r="C589" s="14">
        <f t="shared" si="18"/>
        <v>2.0550455692970229E-3</v>
      </c>
      <c r="D589" s="14">
        <f t="shared" si="17"/>
        <v>1.8970961446650982E-2</v>
      </c>
      <c r="E589" s="15">
        <f>VLOOKUP(Table5[[#This Row],[Date]],'Fed Fund New'!$A:$C,2,FALSE)</f>
        <v>0.25</v>
      </c>
      <c r="F589" s="27">
        <v>0.02</v>
      </c>
    </row>
    <row r="590" spans="1:6" x14ac:dyDescent="0.2">
      <c r="A590" s="61">
        <v>42278</v>
      </c>
      <c r="B590" s="68">
        <f>VLOOKUP(Table5[[#This Row],[Date]],Database!A:E,5,)</f>
        <v>243.768</v>
      </c>
      <c r="C590" s="14">
        <f t="shared" si="18"/>
        <v>1.8576665735093383E-3</v>
      </c>
      <c r="D590" s="14">
        <f t="shared" si="17"/>
        <v>1.9135335359608003E-2</v>
      </c>
      <c r="E590" s="15">
        <f>VLOOKUP(Table5[[#This Row],[Date]],'Fed Fund New'!$A:$C,2,FALSE)</f>
        <v>0.25</v>
      </c>
      <c r="F590" s="27">
        <v>0.02</v>
      </c>
    </row>
    <row r="591" spans="1:6" x14ac:dyDescent="0.2">
      <c r="A591" s="61">
        <v>42309</v>
      </c>
      <c r="B591" s="68">
        <f>VLOOKUP(Table5[[#This Row],[Date]],Database!A:E,5,)</f>
        <v>244.24100000000001</v>
      </c>
      <c r="C591" s="14">
        <f t="shared" si="18"/>
        <v>1.9403695316859194E-3</v>
      </c>
      <c r="D591" s="14">
        <f t="shared" si="17"/>
        <v>1.9974275238246436E-2</v>
      </c>
      <c r="E591" s="15">
        <f>VLOOKUP(Table5[[#This Row],[Date]],'Fed Fund New'!$A:$C,2,FALSE)</f>
        <v>0.25</v>
      </c>
      <c r="F591" s="27">
        <v>0.02</v>
      </c>
    </row>
    <row r="592" spans="1:6" x14ac:dyDescent="0.2">
      <c r="A592" s="61">
        <v>42339</v>
      </c>
      <c r="B592" s="68">
        <f>VLOOKUP(Table5[[#This Row],[Date]],Database!A:E,5,)</f>
        <v>244.547</v>
      </c>
      <c r="C592" s="14">
        <f t="shared" si="18"/>
        <v>1.2528609037793948E-3</v>
      </c>
      <c r="D592" s="14">
        <f t="shared" si="17"/>
        <v>2.0715072792840898E-2</v>
      </c>
      <c r="E592" s="15">
        <f>VLOOKUP(Table5[[#This Row],[Date]],'Fed Fund New'!$A:$C,2,FALSE)</f>
        <v>0.5</v>
      </c>
      <c r="F592" s="27">
        <v>0.02</v>
      </c>
    </row>
    <row r="593" spans="1:6" x14ac:dyDescent="0.2">
      <c r="A593" s="61">
        <v>42370</v>
      </c>
      <c r="B593" s="68">
        <f>VLOOKUP(Table5[[#This Row],[Date]],Database!A:E,5,)</f>
        <v>244.95500000000001</v>
      </c>
      <c r="C593" s="14">
        <f t="shared" si="18"/>
        <v>1.6683909432543252E-3</v>
      </c>
      <c r="D593" s="14">
        <f t="shared" ref="D593:D656" si="19">(B593-B581)/B581</f>
        <v>2.1450225385824691E-2</v>
      </c>
      <c r="E593" s="15">
        <f>VLOOKUP(Table5[[#This Row],[Date]],'Fed Fund New'!$A:$C,2,FALSE)</f>
        <v>0.5</v>
      </c>
      <c r="F593" s="27">
        <v>0.02</v>
      </c>
    </row>
    <row r="594" spans="1:6" x14ac:dyDescent="0.2">
      <c r="A594" s="61">
        <v>42401</v>
      </c>
      <c r="B594" s="68">
        <f>VLOOKUP(Table5[[#This Row],[Date]],Database!A:E,5,)</f>
        <v>245.51</v>
      </c>
      <c r="C594" s="14">
        <f t="shared" si="18"/>
        <v>2.265722275519905E-3</v>
      </c>
      <c r="D594" s="14">
        <f t="shared" si="19"/>
        <v>2.2225738220941635E-2</v>
      </c>
      <c r="E594" s="15">
        <f>VLOOKUP(Table5[[#This Row],[Date]],'Fed Fund New'!$A:$C,2,FALSE)</f>
        <v>0.5</v>
      </c>
      <c r="F594" s="27">
        <v>0.02</v>
      </c>
    </row>
    <row r="595" spans="1:6" x14ac:dyDescent="0.2">
      <c r="A595" s="61">
        <v>42430</v>
      </c>
      <c r="B595" s="68">
        <f>VLOOKUP(Table5[[#This Row],[Date]],Database!A:E,5,)</f>
        <v>245.91300000000001</v>
      </c>
      <c r="C595" s="14">
        <f t="shared" si="18"/>
        <v>1.6414809987374038E-3</v>
      </c>
      <c r="D595" s="14">
        <f t="shared" si="19"/>
        <v>2.1424269485576689E-2</v>
      </c>
      <c r="E595" s="15">
        <f>VLOOKUP(Table5[[#This Row],[Date]],'Fed Fund New'!$A:$C,2,FALSE)</f>
        <v>0.5</v>
      </c>
      <c r="F595" s="27">
        <v>0.02</v>
      </c>
    </row>
    <row r="596" spans="1:6" x14ac:dyDescent="0.2">
      <c r="A596" s="61">
        <v>42461</v>
      </c>
      <c r="B596" s="68">
        <f>VLOOKUP(Table5[[#This Row],[Date]],Database!A:E,5,)</f>
        <v>246.55099999999999</v>
      </c>
      <c r="C596" s="14">
        <f t="shared" si="18"/>
        <v>2.5944134714308586E-3</v>
      </c>
      <c r="D596" s="14">
        <f t="shared" si="19"/>
        <v>2.1566547612141839E-2</v>
      </c>
      <c r="E596" s="15">
        <f>VLOOKUP(Table5[[#This Row],[Date]],'Fed Fund New'!$A:$C,2,FALSE)</f>
        <v>0.5</v>
      </c>
      <c r="F596" s="27">
        <v>0.02</v>
      </c>
    </row>
    <row r="597" spans="1:6" x14ac:dyDescent="0.2">
      <c r="A597" s="61">
        <v>42491</v>
      </c>
      <c r="B597" s="68">
        <f>VLOOKUP(Table5[[#This Row],[Date]],Database!A:E,5,)</f>
        <v>247.137</v>
      </c>
      <c r="C597" s="14">
        <f t="shared" si="18"/>
        <v>2.3767901975656671E-3</v>
      </c>
      <c r="D597" s="14">
        <f t="shared" si="19"/>
        <v>2.2545595974976053E-2</v>
      </c>
      <c r="E597" s="15">
        <f>VLOOKUP(Table5[[#This Row],[Date]],'Fed Fund New'!$A:$C,2,FALSE)</f>
        <v>0.5</v>
      </c>
      <c r="F597" s="27">
        <v>0.02</v>
      </c>
    </row>
    <row r="598" spans="1:6" x14ac:dyDescent="0.2">
      <c r="A598" s="61">
        <v>42522</v>
      </c>
      <c r="B598" s="68">
        <f>VLOOKUP(Table5[[#This Row],[Date]],Database!A:E,5,)</f>
        <v>247.54</v>
      </c>
      <c r="C598" s="14">
        <f t="shared" si="18"/>
        <v>1.6306744841929439E-3</v>
      </c>
      <c r="D598" s="14">
        <f t="shared" si="19"/>
        <v>2.2622116465067087E-2</v>
      </c>
      <c r="E598" s="15">
        <f>VLOOKUP(Table5[[#This Row],[Date]],'Fed Fund New'!$A:$C,2,FALSE)</f>
        <v>0.5</v>
      </c>
      <c r="F598" s="27">
        <v>0.02</v>
      </c>
    </row>
    <row r="599" spans="1:6" x14ac:dyDescent="0.2">
      <c r="A599" s="61">
        <v>42552</v>
      </c>
      <c r="B599" s="68">
        <f>VLOOKUP(Table5[[#This Row],[Date]],Database!A:E,5,)</f>
        <v>247.82900000000001</v>
      </c>
      <c r="C599" s="14">
        <f t="shared" si="18"/>
        <v>1.1674880827341669E-3</v>
      </c>
      <c r="D599" s="14">
        <f t="shared" si="19"/>
        <v>2.1701399624842868E-2</v>
      </c>
      <c r="E599" s="15">
        <f>VLOOKUP(Table5[[#This Row],[Date]],'Fed Fund New'!$A:$C,2,FALSE)</f>
        <v>0.5</v>
      </c>
      <c r="F599" s="27">
        <v>0.02</v>
      </c>
    </row>
    <row r="600" spans="1:6" x14ac:dyDescent="0.2">
      <c r="A600" s="61">
        <v>42583</v>
      </c>
      <c r="B600" s="68">
        <f>VLOOKUP(Table5[[#This Row],[Date]],Database!A:E,5,)</f>
        <v>248.423</v>
      </c>
      <c r="C600" s="14">
        <f t="shared" si="18"/>
        <v>2.396813932187089E-3</v>
      </c>
      <c r="D600" s="14">
        <f t="shared" si="19"/>
        <v>2.3087345614186794E-2</v>
      </c>
      <c r="E600" s="15">
        <f>VLOOKUP(Table5[[#This Row],[Date]],'Fed Fund New'!$A:$C,2,FALSE)</f>
        <v>0.5</v>
      </c>
      <c r="F600" s="27">
        <v>0.02</v>
      </c>
    </row>
    <row r="601" spans="1:6" x14ac:dyDescent="0.2">
      <c r="A601" s="61">
        <v>42614</v>
      </c>
      <c r="B601" s="68">
        <f>VLOOKUP(Table5[[#This Row],[Date]],Database!A:E,5,)</f>
        <v>248.84200000000001</v>
      </c>
      <c r="C601" s="14">
        <f t="shared" si="18"/>
        <v>1.6866393208358774E-3</v>
      </c>
      <c r="D601" s="14">
        <f t="shared" si="19"/>
        <v>2.2711206825691735E-2</v>
      </c>
      <c r="E601" s="15">
        <f>VLOOKUP(Table5[[#This Row],[Date]],'Fed Fund New'!$A:$C,2,FALSE)</f>
        <v>0.5</v>
      </c>
      <c r="F601" s="27">
        <v>0.02</v>
      </c>
    </row>
    <row r="602" spans="1:6" x14ac:dyDescent="0.2">
      <c r="A602" s="61">
        <v>42644</v>
      </c>
      <c r="B602" s="68">
        <f>VLOOKUP(Table5[[#This Row],[Date]],Database!A:E,5,)</f>
        <v>249.142</v>
      </c>
      <c r="C602" s="14">
        <f t="shared" si="18"/>
        <v>1.205584266321533E-3</v>
      </c>
      <c r="D602" s="14">
        <f t="shared" si="19"/>
        <v>2.2045551507991184E-2</v>
      </c>
      <c r="E602" s="15">
        <f>VLOOKUP(Table5[[#This Row],[Date]],'Fed Fund New'!$A:$C,2,FALSE)</f>
        <v>0.5</v>
      </c>
      <c r="F602" s="27">
        <v>0.02</v>
      </c>
    </row>
    <row r="603" spans="1:6" x14ac:dyDescent="0.2">
      <c r="A603" s="61">
        <v>42675</v>
      </c>
      <c r="B603" s="68">
        <f>VLOOKUP(Table5[[#This Row],[Date]],Database!A:E,5,)</f>
        <v>249.48099999999999</v>
      </c>
      <c r="C603" s="14">
        <f t="shared" si="18"/>
        <v>1.3606698188181785E-3</v>
      </c>
      <c r="D603" s="14">
        <f t="shared" si="19"/>
        <v>2.1454219398053483E-2</v>
      </c>
      <c r="E603" s="15">
        <f>VLOOKUP(Table5[[#This Row],[Date]],'Fed Fund New'!$A:$C,2,FALSE)</f>
        <v>0.5</v>
      </c>
      <c r="F603" s="27">
        <v>0.02</v>
      </c>
    </row>
    <row r="604" spans="1:6" x14ac:dyDescent="0.2">
      <c r="A604" s="61">
        <v>42705</v>
      </c>
      <c r="B604" s="68">
        <f>VLOOKUP(Table5[[#This Row],[Date]],Database!A:E,5,)</f>
        <v>249.92</v>
      </c>
      <c r="C604" s="14">
        <f t="shared" si="18"/>
        <v>1.7596530397104107E-3</v>
      </c>
      <c r="D604" s="14">
        <f t="shared" si="19"/>
        <v>2.1971236613002779E-2</v>
      </c>
      <c r="E604" s="15">
        <f>VLOOKUP(Table5[[#This Row],[Date]],'Fed Fund New'!$A:$C,2,FALSE)</f>
        <v>0.75</v>
      </c>
      <c r="F604" s="27">
        <v>0.02</v>
      </c>
    </row>
    <row r="605" spans="1:6" x14ac:dyDescent="0.2">
      <c r="A605" s="61">
        <v>42736</v>
      </c>
      <c r="B605" s="68">
        <f>VLOOKUP(Table5[[#This Row],[Date]],Database!A:E,5,)</f>
        <v>250.46199999999999</v>
      </c>
      <c r="C605" s="14">
        <f t="shared" si="18"/>
        <v>2.1686939820742702E-3</v>
      </c>
      <c r="D605" s="14">
        <f t="shared" si="19"/>
        <v>2.2481680308628019E-2</v>
      </c>
      <c r="E605" s="15">
        <f>VLOOKUP(Table5[[#This Row],[Date]],'Fed Fund New'!$A:$C,2,FALSE)</f>
        <v>0.75</v>
      </c>
      <c r="F605" s="27">
        <v>0.02</v>
      </c>
    </row>
    <row r="606" spans="1:6" x14ac:dyDescent="0.2">
      <c r="A606" s="61">
        <v>42767</v>
      </c>
      <c r="B606" s="68">
        <f>VLOOKUP(Table5[[#This Row],[Date]],Database!A:E,5,)</f>
        <v>250.90299999999999</v>
      </c>
      <c r="C606" s="14">
        <f t="shared" si="18"/>
        <v>1.7607461411311997E-3</v>
      </c>
      <c r="D606" s="14">
        <f t="shared" si="19"/>
        <v>2.1966518675410374E-2</v>
      </c>
      <c r="E606" s="15">
        <f>VLOOKUP(Table5[[#This Row],[Date]],'Fed Fund New'!$A:$C,2,FALSE)</f>
        <v>0.75</v>
      </c>
      <c r="F606" s="27">
        <v>0.02</v>
      </c>
    </row>
    <row r="607" spans="1:6" x14ac:dyDescent="0.2">
      <c r="A607" s="61">
        <v>42795</v>
      </c>
      <c r="B607" s="68">
        <f>VLOOKUP(Table5[[#This Row],[Date]],Database!A:E,5,)</f>
        <v>250.83600000000001</v>
      </c>
      <c r="C607" s="14">
        <f t="shared" si="18"/>
        <v>-2.6703546788989712E-4</v>
      </c>
      <c r="D607" s="14">
        <f t="shared" si="19"/>
        <v>2.0019275109489948E-2</v>
      </c>
      <c r="E607" s="15">
        <f>VLOOKUP(Table5[[#This Row],[Date]],'Fed Fund New'!$A:$C,2,FALSE)</f>
        <v>1</v>
      </c>
      <c r="F607" s="27">
        <v>0.02</v>
      </c>
    </row>
    <row r="608" spans="1:6" x14ac:dyDescent="0.2">
      <c r="A608" s="61">
        <v>42826</v>
      </c>
      <c r="B608" s="68">
        <f>VLOOKUP(Table5[[#This Row],[Date]],Database!A:E,5,)</f>
        <v>251.25200000000001</v>
      </c>
      <c r="C608" s="14">
        <f t="shared" si="18"/>
        <v>1.6584541293913028E-3</v>
      </c>
      <c r="D608" s="14">
        <f t="shared" si="19"/>
        <v>1.9067049008116059E-2</v>
      </c>
      <c r="E608" s="15">
        <f>VLOOKUP(Table5[[#This Row],[Date]],'Fed Fund New'!$A:$C,2,FALSE)</f>
        <v>1</v>
      </c>
      <c r="F608" s="27">
        <v>0.02</v>
      </c>
    </row>
    <row r="609" spans="1:6" x14ac:dyDescent="0.2">
      <c r="A609" s="61">
        <v>42856</v>
      </c>
      <c r="B609" s="68">
        <f>VLOOKUP(Table5[[#This Row],[Date]],Database!A:E,5,)</f>
        <v>251.488</v>
      </c>
      <c r="C609" s="14">
        <f t="shared" si="18"/>
        <v>9.3929600560389566E-4</v>
      </c>
      <c r="D609" s="14">
        <f t="shared" si="19"/>
        <v>1.7605619555145523E-2</v>
      </c>
      <c r="E609" s="15">
        <f>VLOOKUP(Table5[[#This Row],[Date]],'Fed Fund New'!$A:$C,2,FALSE)</f>
        <v>1</v>
      </c>
      <c r="F609" s="27">
        <v>0.02</v>
      </c>
    </row>
    <row r="610" spans="1:6" x14ac:dyDescent="0.2">
      <c r="A610" s="61">
        <v>42887</v>
      </c>
      <c r="B610" s="68">
        <f>VLOOKUP(Table5[[#This Row],[Date]],Database!A:E,5,)</f>
        <v>251.822</v>
      </c>
      <c r="C610" s="14">
        <f t="shared" ref="C610:C641" si="20">(B610-B609)/B609</f>
        <v>1.3280951775035117E-3</v>
      </c>
      <c r="D610" s="14">
        <f t="shared" si="19"/>
        <v>1.7298214429991157E-2</v>
      </c>
      <c r="E610" s="15">
        <f>VLOOKUP(Table5[[#This Row],[Date]],'Fed Fund New'!$A:$C,2,FALSE)</f>
        <v>1.25</v>
      </c>
      <c r="F610" s="27">
        <v>0.02</v>
      </c>
    </row>
    <row r="611" spans="1:6" x14ac:dyDescent="0.2">
      <c r="A611" s="61">
        <v>42917</v>
      </c>
      <c r="B611" s="68">
        <f>VLOOKUP(Table5[[#This Row],[Date]],Database!A:E,5,)</f>
        <v>252.047</v>
      </c>
      <c r="C611" s="14">
        <f t="shared" si="20"/>
        <v>8.9348825757874339E-4</v>
      </c>
      <c r="D611" s="14">
        <f t="shared" si="19"/>
        <v>1.7019799942702384E-2</v>
      </c>
      <c r="E611" s="15">
        <f>VLOOKUP(Table5[[#This Row],[Date]],'Fed Fund New'!$A:$C,2,FALSE)</f>
        <v>1.25</v>
      </c>
      <c r="F611" s="27">
        <v>0.02</v>
      </c>
    </row>
    <row r="612" spans="1:6" x14ac:dyDescent="0.2">
      <c r="A612" s="61">
        <v>42948</v>
      </c>
      <c r="B612" s="68">
        <f>VLOOKUP(Table5[[#This Row],[Date]],Database!A:E,5,)</f>
        <v>252.59700000000001</v>
      </c>
      <c r="C612" s="14">
        <f t="shared" si="20"/>
        <v>2.1821326974731355E-3</v>
      </c>
      <c r="D612" s="14">
        <f t="shared" si="19"/>
        <v>1.680198693357703E-2</v>
      </c>
      <c r="E612" s="15">
        <f>VLOOKUP(Table5[[#This Row],[Date]],'Fed Fund New'!$A:$C,2,FALSE)</f>
        <v>1.25</v>
      </c>
      <c r="F612" s="27">
        <v>0.02</v>
      </c>
    </row>
    <row r="613" spans="1:6" x14ac:dyDescent="0.2">
      <c r="A613" s="61">
        <v>42979</v>
      </c>
      <c r="B613" s="68">
        <f>VLOOKUP(Table5[[#This Row],[Date]],Database!A:E,5,)</f>
        <v>253.03899999999999</v>
      </c>
      <c r="C613" s="14">
        <f t="shared" si="20"/>
        <v>1.7498228403345203E-3</v>
      </c>
      <c r="D613" s="14">
        <f t="shared" si="19"/>
        <v>1.6866123885839104E-2</v>
      </c>
      <c r="E613" s="15">
        <f>VLOOKUP(Table5[[#This Row],[Date]],'Fed Fund New'!$A:$C,2,FALSE)</f>
        <v>1.25</v>
      </c>
      <c r="F613" s="27">
        <v>0.02</v>
      </c>
    </row>
    <row r="614" spans="1:6" x14ac:dyDescent="0.2">
      <c r="A614" s="61">
        <v>43009</v>
      </c>
      <c r="B614" s="68">
        <f>VLOOKUP(Table5[[#This Row],[Date]],Database!A:E,5,)</f>
        <v>253.535</v>
      </c>
      <c r="C614" s="14">
        <f t="shared" si="20"/>
        <v>1.9601721473765281E-3</v>
      </c>
      <c r="D614" s="14">
        <f t="shared" si="19"/>
        <v>1.7632514790761899E-2</v>
      </c>
      <c r="E614" s="15">
        <f>VLOOKUP(Table5[[#This Row],[Date]],'Fed Fund New'!$A:$C,2,FALSE)</f>
        <v>1.25</v>
      </c>
      <c r="F614" s="27">
        <v>0.02</v>
      </c>
    </row>
    <row r="615" spans="1:6" x14ac:dyDescent="0.2">
      <c r="A615" s="61">
        <v>43040</v>
      </c>
      <c r="B615" s="68">
        <f>VLOOKUP(Table5[[#This Row],[Date]],Database!A:E,5,)</f>
        <v>253.744</v>
      </c>
      <c r="C615" s="14">
        <f t="shared" si="20"/>
        <v>8.2434377896544136E-4</v>
      </c>
      <c r="D615" s="14">
        <f t="shared" si="19"/>
        <v>1.7087473595183623E-2</v>
      </c>
      <c r="E615" s="15">
        <f>VLOOKUP(Table5[[#This Row],[Date]],'Fed Fund New'!$A:$C,2,FALSE)</f>
        <v>1.25</v>
      </c>
      <c r="F615" s="27">
        <v>0.02</v>
      </c>
    </row>
    <row r="616" spans="1:6" x14ac:dyDescent="0.2">
      <c r="A616" s="61">
        <v>43070</v>
      </c>
      <c r="B616" s="68">
        <f>VLOOKUP(Table5[[#This Row],[Date]],Database!A:E,5,)</f>
        <v>254.30799999999999</v>
      </c>
      <c r="C616" s="14">
        <f t="shared" si="20"/>
        <v>2.2227126552745798E-3</v>
      </c>
      <c r="D616" s="14">
        <f t="shared" si="19"/>
        <v>1.7557618437900151E-2</v>
      </c>
      <c r="E616" s="15">
        <f>VLOOKUP(Table5[[#This Row],[Date]],'Fed Fund New'!$A:$C,2,FALSE)</f>
        <v>1.5</v>
      </c>
      <c r="F616" s="27">
        <v>0.02</v>
      </c>
    </row>
    <row r="617" spans="1:6" x14ac:dyDescent="0.2">
      <c r="A617" s="61">
        <v>43101</v>
      </c>
      <c r="B617" s="68">
        <f>VLOOKUP(Table5[[#This Row],[Date]],Database!A:E,5,)</f>
        <v>255.00700000000001</v>
      </c>
      <c r="C617" s="14">
        <f t="shared" si="20"/>
        <v>2.7486355128427432E-3</v>
      </c>
      <c r="D617" s="14">
        <f t="shared" si="19"/>
        <v>1.8146465332066406E-2</v>
      </c>
      <c r="E617" s="15">
        <f>VLOOKUP(Table5[[#This Row],[Date]],'Fed Fund New'!$A:$C,2,FALSE)</f>
        <v>1.5</v>
      </c>
      <c r="F617" s="27">
        <v>0.02</v>
      </c>
    </row>
    <row r="618" spans="1:6" x14ac:dyDescent="0.2">
      <c r="A618" s="61">
        <v>43132</v>
      </c>
      <c r="B618" s="68">
        <f>VLOOKUP(Table5[[#This Row],[Date]],Database!A:E,5,)</f>
        <v>255.47200000000001</v>
      </c>
      <c r="C618" s="14">
        <f t="shared" si="20"/>
        <v>1.8234793554686868E-3</v>
      </c>
      <c r="D618" s="14">
        <f t="shared" si="19"/>
        <v>1.8210224668497456E-2</v>
      </c>
      <c r="E618" s="15">
        <f>VLOOKUP(Table5[[#This Row],[Date]],'Fed Fund New'!$A:$C,2,FALSE)</f>
        <v>1.5</v>
      </c>
      <c r="F618" s="27">
        <v>0.02</v>
      </c>
    </row>
    <row r="619" spans="1:6" x14ac:dyDescent="0.2">
      <c r="A619" s="61">
        <v>43160</v>
      </c>
      <c r="B619" s="68">
        <f>VLOOKUP(Table5[[#This Row],[Date]],Database!A:E,5,)</f>
        <v>256.11700000000002</v>
      </c>
      <c r="C619" s="14">
        <f t="shared" si="20"/>
        <v>2.5247385232041483E-3</v>
      </c>
      <c r="D619" s="14">
        <f t="shared" si="19"/>
        <v>2.105359677239314E-2</v>
      </c>
      <c r="E619" s="15">
        <f>VLOOKUP(Table5[[#This Row],[Date]],'Fed Fund New'!$A:$C,2,FALSE)</f>
        <v>1.75</v>
      </c>
      <c r="F619" s="27">
        <v>0.02</v>
      </c>
    </row>
    <row r="620" spans="1:6" x14ac:dyDescent="0.2">
      <c r="A620" s="61">
        <v>43191</v>
      </c>
      <c r="B620" s="68">
        <f>VLOOKUP(Table5[[#This Row],[Date]],Database!A:E,5,)</f>
        <v>256.65600000000001</v>
      </c>
      <c r="C620" s="14">
        <f t="shared" si="20"/>
        <v>2.1045069245695805E-3</v>
      </c>
      <c r="D620" s="14">
        <f t="shared" si="19"/>
        <v>2.1508286501201967E-2</v>
      </c>
      <c r="E620" s="15">
        <f>VLOOKUP(Table5[[#This Row],[Date]],'Fed Fund New'!$A:$C,2,FALSE)</f>
        <v>1.75</v>
      </c>
      <c r="F620" s="27">
        <v>0.02</v>
      </c>
    </row>
    <row r="621" spans="1:6" x14ac:dyDescent="0.2">
      <c r="A621" s="61">
        <v>43221</v>
      </c>
      <c r="B621" s="68">
        <f>VLOOKUP(Table5[[#This Row],[Date]],Database!A:E,5,)</f>
        <v>257.15699999999998</v>
      </c>
      <c r="C621" s="14">
        <f t="shared" si="20"/>
        <v>1.9520291752383593E-3</v>
      </c>
      <c r="D621" s="14">
        <f t="shared" si="19"/>
        <v>2.2541831021758423E-2</v>
      </c>
      <c r="E621" s="15">
        <f>VLOOKUP(Table5[[#This Row],[Date]],'Fed Fund New'!$A:$C,2,FALSE)</f>
        <v>1.75</v>
      </c>
      <c r="F621" s="27">
        <v>0.02</v>
      </c>
    </row>
    <row r="622" spans="1:6" x14ac:dyDescent="0.2">
      <c r="A622" s="61">
        <v>43252</v>
      </c>
      <c r="B622" s="68">
        <f>VLOOKUP(Table5[[#This Row],[Date]],Database!A:E,5,)</f>
        <v>257.53399999999999</v>
      </c>
      <c r="C622" s="14">
        <f t="shared" si="20"/>
        <v>1.4660304794347795E-3</v>
      </c>
      <c r="D622" s="14">
        <f t="shared" si="19"/>
        <v>2.2682688565732894E-2</v>
      </c>
      <c r="E622" s="15">
        <f>VLOOKUP(Table5[[#This Row],[Date]],'Fed Fund New'!$A:$C,2,FALSE)</f>
        <v>2</v>
      </c>
      <c r="F622" s="27">
        <v>0.02</v>
      </c>
    </row>
    <row r="623" spans="1:6" x14ac:dyDescent="0.2">
      <c r="A623" s="61">
        <v>43282</v>
      </c>
      <c r="B623" s="68">
        <f>VLOOKUP(Table5[[#This Row],[Date]],Database!A:E,5,)</f>
        <v>257.93</v>
      </c>
      <c r="C623" s="14">
        <f t="shared" si="20"/>
        <v>1.5376610466968051E-3</v>
      </c>
      <c r="D623" s="14">
        <f t="shared" si="19"/>
        <v>2.3340884834971293E-2</v>
      </c>
      <c r="E623" s="15">
        <f>VLOOKUP(Table5[[#This Row],[Date]],'Fed Fund New'!$A:$C,2,FALSE)</f>
        <v>2</v>
      </c>
      <c r="F623" s="27">
        <v>0.02</v>
      </c>
    </row>
    <row r="624" spans="1:6" x14ac:dyDescent="0.2">
      <c r="A624" s="61">
        <v>43313</v>
      </c>
      <c r="B624" s="68">
        <f>VLOOKUP(Table5[[#This Row],[Date]],Database!A:E,5,)</f>
        <v>258.08</v>
      </c>
      <c r="C624" s="14">
        <f t="shared" si="20"/>
        <v>5.8155313457130718E-4</v>
      </c>
      <c r="D624" s="14">
        <f t="shared" si="19"/>
        <v>2.1706512745598622E-2</v>
      </c>
      <c r="E624" s="15">
        <f>VLOOKUP(Table5[[#This Row],[Date]],'Fed Fund New'!$A:$C,2,FALSE)</f>
        <v>2</v>
      </c>
      <c r="F624" s="27">
        <v>0.02</v>
      </c>
    </row>
    <row r="625" spans="1:22" x14ac:dyDescent="0.2">
      <c r="A625" s="61">
        <v>43344</v>
      </c>
      <c r="B625" s="68">
        <f>VLOOKUP(Table5[[#This Row],[Date]],Database!A:E,5,)</f>
        <v>258.53399999999999</v>
      </c>
      <c r="C625" s="14">
        <f t="shared" si="20"/>
        <v>1.75914445133295E-3</v>
      </c>
      <c r="D625" s="14">
        <f t="shared" si="19"/>
        <v>2.171602006014885E-2</v>
      </c>
      <c r="E625" s="15">
        <f>VLOOKUP(Table5[[#This Row],[Date]],'Fed Fund New'!$A:$C,2,FALSE)</f>
        <v>2.25</v>
      </c>
      <c r="F625" s="27">
        <v>0.02</v>
      </c>
    </row>
    <row r="626" spans="1:22" x14ac:dyDescent="0.2">
      <c r="A626" s="61">
        <v>43374</v>
      </c>
      <c r="B626" s="68">
        <f>VLOOKUP(Table5[[#This Row],[Date]],Database!A:E,5,)</f>
        <v>258.98899999999998</v>
      </c>
      <c r="C626" s="14">
        <f t="shared" si="20"/>
        <v>1.7599232596098931E-3</v>
      </c>
      <c r="D626" s="14">
        <f t="shared" si="19"/>
        <v>2.1511822825250871E-2</v>
      </c>
      <c r="E626" s="15">
        <f>VLOOKUP(Table5[[#This Row],[Date]],'Fed Fund New'!$A:$C,2,FALSE)</f>
        <v>2.25</v>
      </c>
      <c r="F626" s="27">
        <v>0.02</v>
      </c>
    </row>
    <row r="627" spans="1:22" x14ac:dyDescent="0.2">
      <c r="A627" s="61">
        <v>43405</v>
      </c>
      <c r="B627" s="68">
        <f>VLOOKUP(Table5[[#This Row],[Date]],Database!A:E,5,)</f>
        <v>259.41500000000002</v>
      </c>
      <c r="C627" s="14">
        <f t="shared" si="20"/>
        <v>1.6448575036007113E-3</v>
      </c>
      <c r="D627" s="14">
        <f t="shared" si="19"/>
        <v>2.2349296929188554E-2</v>
      </c>
      <c r="E627" s="15">
        <f>VLOOKUP(Table5[[#This Row],[Date]],'Fed Fund New'!$A:$C,2,FALSE)</f>
        <v>2.25</v>
      </c>
      <c r="F627" s="27">
        <v>0.02</v>
      </c>
    </row>
    <row r="628" spans="1:22" x14ac:dyDescent="0.2">
      <c r="A628" s="61">
        <v>43435</v>
      </c>
      <c r="B628" s="68">
        <f>VLOOKUP(Table5[[#This Row],[Date]],Database!A:E,5,)</f>
        <v>259.87299999999999</v>
      </c>
      <c r="C628" s="14">
        <f t="shared" si="20"/>
        <v>1.7655108609755409E-3</v>
      </c>
      <c r="D628" s="14">
        <f t="shared" si="19"/>
        <v>2.1882913632288399E-2</v>
      </c>
      <c r="E628" s="15">
        <f>VLOOKUP(Table5[[#This Row],[Date]],'Fed Fund New'!$A:$C,2,FALSE)</f>
        <v>2.5</v>
      </c>
      <c r="F628" s="27">
        <v>0.02</v>
      </c>
    </row>
    <row r="629" spans="1:22" x14ac:dyDescent="0.2">
      <c r="A629" s="61">
        <v>43466</v>
      </c>
      <c r="B629" s="68">
        <f>VLOOKUP(Table5[[#This Row],[Date]],Database!A:E,5,)</f>
        <v>260.41899999999998</v>
      </c>
      <c r="C629" s="14">
        <f t="shared" si="20"/>
        <v>2.1010262705244186E-3</v>
      </c>
      <c r="D629" s="14">
        <f t="shared" si="19"/>
        <v>2.1222946821067568E-2</v>
      </c>
      <c r="E629" s="15">
        <f>VLOOKUP(Table5[[#This Row],[Date]],'Fed Fund New'!$A:$C,2,FALSE)</f>
        <v>2.5</v>
      </c>
      <c r="F629" s="27">
        <v>0.02</v>
      </c>
    </row>
    <row r="630" spans="1:22" x14ac:dyDescent="0.2">
      <c r="A630" s="61">
        <v>43497</v>
      </c>
      <c r="B630" s="68">
        <f>VLOOKUP(Table5[[#This Row],[Date]],Database!A:E,5,)</f>
        <v>260.72199999999998</v>
      </c>
      <c r="C630" s="14">
        <f t="shared" si="20"/>
        <v>1.163509574954198E-3</v>
      </c>
      <c r="D630" s="14">
        <f t="shared" si="19"/>
        <v>2.0550197281893796E-2</v>
      </c>
      <c r="E630" s="15">
        <f>VLOOKUP(Table5[[#This Row],[Date]],'Fed Fund New'!$A:$C,2,FALSE)</f>
        <v>2.5</v>
      </c>
      <c r="F630" s="27">
        <v>0.02</v>
      </c>
    </row>
    <row r="631" spans="1:22" x14ac:dyDescent="0.2">
      <c r="A631" s="61">
        <v>43525</v>
      </c>
      <c r="B631" s="68">
        <f>VLOOKUP(Table5[[#This Row],[Date]],Database!A:E,5,)</f>
        <v>261.339</v>
      </c>
      <c r="C631" s="14">
        <f t="shared" si="20"/>
        <v>2.3665053198426629E-3</v>
      </c>
      <c r="D631" s="14">
        <f t="shared" si="19"/>
        <v>2.0389119035440755E-2</v>
      </c>
      <c r="E631" s="15">
        <f>VLOOKUP(Table5[[#This Row],[Date]],'Fed Fund New'!$A:$C,2,FALSE)</f>
        <v>2.5</v>
      </c>
      <c r="F631" s="27">
        <v>0.02</v>
      </c>
    </row>
    <row r="632" spans="1:22" x14ac:dyDescent="0.2">
      <c r="A632" s="61">
        <v>43556</v>
      </c>
      <c r="B632" s="68">
        <f>VLOOKUP(Table5[[#This Row],[Date]],Database!A:E,5,)</f>
        <v>262.05</v>
      </c>
      <c r="C632" s="14">
        <f t="shared" si="20"/>
        <v>2.7206042726114843E-3</v>
      </c>
      <c r="D632" s="14">
        <f t="shared" si="19"/>
        <v>2.1016457826818796E-2</v>
      </c>
      <c r="E632" s="15">
        <f>VLOOKUP(Table5[[#This Row],[Date]],'Fed Fund New'!$A:$C,2,FALSE)</f>
        <v>2.5</v>
      </c>
      <c r="F632" s="27">
        <v>0.02</v>
      </c>
    </row>
    <row r="633" spans="1:22" x14ac:dyDescent="0.2">
      <c r="A633" s="61">
        <v>43586</v>
      </c>
      <c r="B633" s="68">
        <f>VLOOKUP(Table5[[#This Row],[Date]],Database!A:E,5,)</f>
        <v>262.38400000000001</v>
      </c>
      <c r="C633" s="14">
        <f t="shared" si="20"/>
        <v>1.2745659225338797E-3</v>
      </c>
      <c r="D633" s="14">
        <f t="shared" si="19"/>
        <v>2.0326104286486592E-2</v>
      </c>
      <c r="E633" s="15">
        <f>VLOOKUP(Table5[[#This Row],[Date]],'Fed Fund New'!$A:$C,2,FALSE)</f>
        <v>2.5</v>
      </c>
      <c r="F633" s="27">
        <v>0.02</v>
      </c>
    </row>
    <row r="634" spans="1:22" x14ac:dyDescent="0.2">
      <c r="A634" s="61">
        <v>43617</v>
      </c>
      <c r="B634" s="68">
        <f>VLOOKUP(Table5[[#This Row],[Date]],Database!A:E,5,)</f>
        <v>263.11700000000002</v>
      </c>
      <c r="C634" s="14">
        <f t="shared" si="20"/>
        <v>2.7936154643575981E-3</v>
      </c>
      <c r="D634" s="14">
        <f t="shared" si="19"/>
        <v>2.1678690968959542E-2</v>
      </c>
      <c r="E634" s="15">
        <f>VLOOKUP(Table5[[#This Row],[Date]],'Fed Fund New'!$A:$C,2,FALSE)</f>
        <v>2.5</v>
      </c>
      <c r="F634" s="27">
        <v>0.02</v>
      </c>
    </row>
    <row r="635" spans="1:22" x14ac:dyDescent="0.2">
      <c r="A635" s="61">
        <v>43647</v>
      </c>
      <c r="B635" s="68">
        <f>VLOOKUP(Table5[[#This Row],[Date]],Database!A:E,5,)</f>
        <v>263.61599999999999</v>
      </c>
      <c r="C635" s="14">
        <f t="shared" si="20"/>
        <v>1.8964947152786281E-3</v>
      </c>
      <c r="D635" s="14">
        <f t="shared" si="19"/>
        <v>2.2044740821152941E-2</v>
      </c>
      <c r="E635" s="15">
        <f>VLOOKUP(Table5[[#This Row],[Date]],'Fed Fund New'!$A:$C,2,FALSE)</f>
        <v>2.5</v>
      </c>
      <c r="F635" s="27">
        <v>0.02</v>
      </c>
    </row>
    <row r="636" spans="1:22" s="74" customFormat="1" x14ac:dyDescent="0.2">
      <c r="A636" s="61">
        <v>43678</v>
      </c>
      <c r="B636" s="68">
        <f>VLOOKUP(Table5[[#This Row],[Date]],Database!A:E,5,)</f>
        <v>264.15100000000001</v>
      </c>
      <c r="C636" s="14">
        <f t="shared" si="20"/>
        <v>2.0294671036660333E-3</v>
      </c>
      <c r="D636" s="14">
        <f t="shared" si="19"/>
        <v>2.3523713577185471E-2</v>
      </c>
      <c r="E636" s="15">
        <f>VLOOKUP(Table5[[#This Row],[Date]],'Fed Fund New'!$A:$C,2,FALSE)</f>
        <v>2.25</v>
      </c>
      <c r="F636" s="27">
        <v>0.02</v>
      </c>
      <c r="V636" s="10"/>
    </row>
    <row r="637" spans="1:22" s="74" customFormat="1" x14ac:dyDescent="0.2">
      <c r="A637" s="61">
        <v>43709</v>
      </c>
      <c r="B637" s="68">
        <f>VLOOKUP(Table5[[#This Row],[Date]],Database!A:E,5,)</f>
        <v>264.60300000000001</v>
      </c>
      <c r="C637" s="14">
        <f t="shared" si="20"/>
        <v>1.7111424904694594E-3</v>
      </c>
      <c r="D637" s="14">
        <f t="shared" si="19"/>
        <v>2.3474668708951308E-2</v>
      </c>
      <c r="E637" s="15">
        <f>VLOOKUP(Table5[[#This Row],[Date]],'Fed Fund New'!$A:$C,2,FALSE)</f>
        <v>2</v>
      </c>
      <c r="F637" s="27">
        <v>0.02</v>
      </c>
    </row>
    <row r="638" spans="1:22" s="74" customFormat="1" x14ac:dyDescent="0.2">
      <c r="A638" s="61">
        <v>43739</v>
      </c>
      <c r="B638" s="68">
        <f>VLOOKUP(Table5[[#This Row],[Date]],Database!A:E,5,)</f>
        <v>265.02600000000001</v>
      </c>
      <c r="C638" s="14">
        <f t="shared" si="20"/>
        <v>1.5986213308239203E-3</v>
      </c>
      <c r="D638" s="14">
        <f t="shared" si="19"/>
        <v>2.3309870303372095E-2</v>
      </c>
      <c r="E638" s="15">
        <f>VLOOKUP(Table5[[#This Row],[Date]],'Fed Fund New'!$A:$C,2,FALSE)</f>
        <v>1.75</v>
      </c>
      <c r="F638" s="27">
        <v>0.02</v>
      </c>
    </row>
    <row r="639" spans="1:22" s="74" customFormat="1" x14ac:dyDescent="0.2">
      <c r="A639" s="61">
        <v>43770</v>
      </c>
      <c r="B639" s="68">
        <f>VLOOKUP(Table5[[#This Row],[Date]],Database!A:E,5,)</f>
        <v>265.42700000000002</v>
      </c>
      <c r="C639" s="14">
        <f t="shared" si="20"/>
        <v>1.5130590960887251E-3</v>
      </c>
      <c r="D639" s="14">
        <f t="shared" si="19"/>
        <v>2.3175221170711024E-2</v>
      </c>
      <c r="E639" s="15">
        <f>VLOOKUP(Table5[[#This Row],[Date]],'Fed Fund New'!$A:$C,2,FALSE)</f>
        <v>1.75</v>
      </c>
      <c r="F639" s="27">
        <v>0.02</v>
      </c>
    </row>
    <row r="640" spans="1:22" s="74" customFormat="1" x14ac:dyDescent="0.2">
      <c r="A640" s="61">
        <v>43800</v>
      </c>
      <c r="B640" s="68">
        <f>VLOOKUP(Table5[[#This Row],[Date]],Database!A:E,5,)</f>
        <v>265.65100000000001</v>
      </c>
      <c r="C640" s="14">
        <f t="shared" si="20"/>
        <v>8.4392318791980288E-4</v>
      </c>
      <c r="D640" s="14">
        <f t="shared" si="19"/>
        <v>2.2233937346319243E-2</v>
      </c>
      <c r="E640" s="15">
        <f>VLOOKUP(Table5[[#This Row],[Date]],'Fed Fund New'!$A:$C,2,FALSE)</f>
        <v>1.75</v>
      </c>
      <c r="F640" s="27">
        <v>0.02</v>
      </c>
    </row>
    <row r="641" spans="1:6" s="74" customFormat="1" x14ac:dyDescent="0.2">
      <c r="A641" s="61">
        <v>43831</v>
      </c>
      <c r="B641" s="68">
        <f>VLOOKUP(Table5[[#This Row],[Date]],Database!A:E,5,)</f>
        <v>266.30599999999998</v>
      </c>
      <c r="C641" s="14">
        <f t="shared" si="20"/>
        <v>2.4656410101974871E-3</v>
      </c>
      <c r="D641" s="14">
        <f t="shared" si="19"/>
        <v>2.260587745133804E-2</v>
      </c>
      <c r="E641" s="15">
        <f>VLOOKUP(Table5[[#This Row],[Date]],'Fed Fund New'!$A:$C,2,FALSE)</f>
        <v>1.75</v>
      </c>
      <c r="F641" s="27">
        <v>0.02</v>
      </c>
    </row>
    <row r="642" spans="1:6" s="74" customFormat="1" x14ac:dyDescent="0.2">
      <c r="A642" s="61">
        <v>43862</v>
      </c>
      <c r="B642" s="68">
        <f>VLOOKUP(Table5[[#This Row],[Date]],Database!A:E,5,)</f>
        <v>266.87599999999998</v>
      </c>
      <c r="C642" s="14">
        <f t="shared" ref="C642:C664" si="21">(B642-B641)/B641</f>
        <v>2.1403948840806935E-3</v>
      </c>
      <c r="D642" s="14">
        <f t="shared" si="19"/>
        <v>2.3603685151233868E-2</v>
      </c>
      <c r="E642" s="15">
        <f>VLOOKUP(Table5[[#This Row],[Date]],'Fed Fund New'!$A:$C,2,FALSE)</f>
        <v>1.75</v>
      </c>
      <c r="F642" s="27">
        <v>0.02</v>
      </c>
    </row>
    <row r="643" spans="1:6" s="74" customFormat="1" x14ac:dyDescent="0.2">
      <c r="A643" s="61">
        <v>43891</v>
      </c>
      <c r="B643" s="68">
        <f>VLOOKUP(Table5[[#This Row],[Date]],Database!A:E,5,)</f>
        <v>266.82</v>
      </c>
      <c r="C643" s="14">
        <f t="shared" si="21"/>
        <v>-2.0983527930568198E-4</v>
      </c>
      <c r="D643" s="14">
        <f t="shared" si="19"/>
        <v>2.0972759519245099E-2</v>
      </c>
      <c r="E643" s="15">
        <f>VLOOKUP(Table5[[#This Row],[Date]],'Fed Fund New'!$A:$C,2,FALSE)</f>
        <v>0.25</v>
      </c>
      <c r="F643" s="27">
        <v>0.02</v>
      </c>
    </row>
    <row r="644" spans="1:6" s="74" customFormat="1" x14ac:dyDescent="0.2">
      <c r="A644" s="61">
        <v>43922</v>
      </c>
      <c r="B644" s="68">
        <f>VLOOKUP(Table5[[#This Row],[Date]],Database!A:E,5,)</f>
        <v>265.83600000000001</v>
      </c>
      <c r="C644" s="14">
        <f t="shared" si="21"/>
        <v>-3.6878794693050764E-3</v>
      </c>
      <c r="D644" s="14">
        <f t="shared" si="19"/>
        <v>1.4447624499141391E-2</v>
      </c>
      <c r="E644" s="15">
        <f>VLOOKUP(Table5[[#This Row],[Date]],'Fed Fund New'!$A:$C,2,FALSE)</f>
        <v>0.25</v>
      </c>
      <c r="F644" s="27">
        <v>0.02</v>
      </c>
    </row>
    <row r="645" spans="1:6" s="74" customFormat="1" x14ac:dyDescent="0.2">
      <c r="A645" s="61">
        <v>43952</v>
      </c>
      <c r="B645" s="68">
        <f>VLOOKUP(Table5[[#This Row],[Date]],Database!A:E,5,)</f>
        <v>265.637</v>
      </c>
      <c r="C645" s="14">
        <f t="shared" si="21"/>
        <v>-7.4858183240799692E-4</v>
      </c>
      <c r="D645" s="14">
        <f t="shared" si="19"/>
        <v>1.2397859625586871E-2</v>
      </c>
      <c r="E645" s="15">
        <f>VLOOKUP(Table5[[#This Row],[Date]],'Fed Fund New'!$A:$C,2,FALSE)</f>
        <v>0.25</v>
      </c>
      <c r="F645" s="27">
        <v>0.02</v>
      </c>
    </row>
    <row r="646" spans="1:6" s="74" customFormat="1" x14ac:dyDescent="0.2">
      <c r="A646" s="61">
        <v>43983</v>
      </c>
      <c r="B646" s="68">
        <f>VLOOKUP(Table5[[#This Row],[Date]],Database!A:E,5,)</f>
        <v>266.28199999999998</v>
      </c>
      <c r="C646" s="14">
        <f t="shared" si="21"/>
        <v>2.4281255999728268E-3</v>
      </c>
      <c r="D646" s="14">
        <f t="shared" si="19"/>
        <v>1.202886928628695E-2</v>
      </c>
      <c r="E646" s="15">
        <f>VLOOKUP(Table5[[#This Row],[Date]],'Fed Fund New'!$A:$C,2,FALSE)</f>
        <v>0.25</v>
      </c>
      <c r="F646" s="27">
        <v>0.02</v>
      </c>
    </row>
    <row r="647" spans="1:6" s="74" customFormat="1" x14ac:dyDescent="0.2">
      <c r="A647" s="61">
        <v>44013</v>
      </c>
      <c r="B647" s="68">
        <f>VLOOKUP(Table5[[#This Row],[Date]],Database!A:E,5,)</f>
        <v>267.72199999999998</v>
      </c>
      <c r="C647" s="14">
        <f t="shared" si="21"/>
        <v>5.4078007525855962E-3</v>
      </c>
      <c r="D647" s="14">
        <f t="shared" si="19"/>
        <v>1.5575685846079126E-2</v>
      </c>
      <c r="E647" s="15">
        <f>VLOOKUP(Table5[[#This Row],[Date]],'Fed Fund New'!$A:$C,2,FALSE)</f>
        <v>0.25</v>
      </c>
      <c r="F647" s="27">
        <v>0.02</v>
      </c>
    </row>
    <row r="648" spans="1:6" s="74" customFormat="1" x14ac:dyDescent="0.2">
      <c r="A648" s="61">
        <v>44044</v>
      </c>
      <c r="B648" s="68">
        <f>VLOOKUP(Table5[[#This Row],[Date]],Database!A:E,5,)</f>
        <v>268.654</v>
      </c>
      <c r="C648" s="14">
        <f t="shared" si="21"/>
        <v>3.481223059741136E-3</v>
      </c>
      <c r="D648" s="14">
        <f t="shared" si="19"/>
        <v>1.7047067775628279E-2</v>
      </c>
      <c r="E648" s="15">
        <f>VLOOKUP(Table5[[#This Row],[Date]],'Fed Fund New'!$A:$C,2,FALSE)</f>
        <v>0.25</v>
      </c>
      <c r="F648" s="27">
        <v>0.02</v>
      </c>
    </row>
    <row r="649" spans="1:6" s="74" customFormat="1" x14ac:dyDescent="0.2">
      <c r="A649" s="61">
        <v>44075</v>
      </c>
      <c r="B649" s="68">
        <f>VLOOKUP(Table5[[#This Row],[Date]],Database!A:E,5,)</f>
        <v>269.15499999999997</v>
      </c>
      <c r="C649" s="14">
        <f t="shared" si="21"/>
        <v>1.8648521890609348E-3</v>
      </c>
      <c r="D649" s="14">
        <f t="shared" si="19"/>
        <v>1.7203130727920561E-2</v>
      </c>
      <c r="E649" s="15">
        <f>VLOOKUP(Table5[[#This Row],[Date]],'Fed Fund New'!$A:$C,2,FALSE)</f>
        <v>0.25</v>
      </c>
      <c r="F649" s="27">
        <v>0.02</v>
      </c>
    </row>
    <row r="650" spans="1:6" s="74" customFormat="1" x14ac:dyDescent="0.2">
      <c r="A650" s="61">
        <v>44105</v>
      </c>
      <c r="B650" s="68">
        <f>VLOOKUP(Table5[[#This Row],[Date]],Database!A:E,5,)</f>
        <v>269.35000000000002</v>
      </c>
      <c r="C650" s="14">
        <f t="shared" si="21"/>
        <v>7.2448960636083311E-4</v>
      </c>
      <c r="D650" s="14">
        <f t="shared" si="19"/>
        <v>1.6315380377774302E-2</v>
      </c>
      <c r="E650" s="15">
        <f>VLOOKUP(Table5[[#This Row],[Date]],'Fed Fund New'!$A:$C,2,FALSE)</f>
        <v>0.25</v>
      </c>
      <c r="F650" s="27">
        <v>0.02</v>
      </c>
    </row>
    <row r="651" spans="1:6" s="74" customFormat="1" x14ac:dyDescent="0.2">
      <c r="A651" s="61">
        <v>44136</v>
      </c>
      <c r="B651" s="68">
        <f>VLOOKUP(Table5[[#This Row],[Date]],Database!A:E,5,)</f>
        <v>269.81900000000002</v>
      </c>
      <c r="C651" s="14">
        <f t="shared" si="21"/>
        <v>1.7412288843511939E-3</v>
      </c>
      <c r="D651" s="14">
        <f t="shared" si="19"/>
        <v>1.6546922505999751E-2</v>
      </c>
      <c r="E651" s="15">
        <f>VLOOKUP(Table5[[#This Row],[Date]],'Fed Fund New'!$A:$C,2,FALSE)</f>
        <v>0.25</v>
      </c>
      <c r="F651" s="27">
        <v>0.02</v>
      </c>
    </row>
    <row r="652" spans="1:6" s="74" customFormat="1" x14ac:dyDescent="0.2">
      <c r="A652" s="61">
        <v>44166</v>
      </c>
      <c r="B652" s="68">
        <f>VLOOKUP(Table5[[#This Row],[Date]],Database!A:E,5,)</f>
        <v>269.94</v>
      </c>
      <c r="C652" s="14">
        <f t="shared" si="21"/>
        <v>4.4844877491941222E-4</v>
      </c>
      <c r="D652" s="14">
        <f t="shared" si="19"/>
        <v>1.614524319501898E-2</v>
      </c>
      <c r="E652" s="15">
        <f>VLOOKUP(Table5[[#This Row],[Date]],'Fed Fund New'!$A:$C,2,FALSE)</f>
        <v>0.25</v>
      </c>
      <c r="F652" s="27">
        <v>0.02</v>
      </c>
    </row>
    <row r="653" spans="1:6" s="74" customFormat="1" x14ac:dyDescent="0.2">
      <c r="A653" s="61">
        <v>44197</v>
      </c>
      <c r="B653" s="68">
        <f>VLOOKUP(Table5[[#This Row],[Date]],Database!A:E,5,)</f>
        <v>270.02499999999998</v>
      </c>
      <c r="C653" s="14">
        <f t="shared" si="21"/>
        <v>3.1488478921234178E-4</v>
      </c>
      <c r="D653" s="14">
        <f t="shared" si="19"/>
        <v>1.396513784894067E-2</v>
      </c>
      <c r="E653" s="15">
        <f>VLOOKUP(Table5[[#This Row],[Date]],'Fed Fund New'!$A:$C,2,FALSE)</f>
        <v>0.25</v>
      </c>
      <c r="F653" s="27">
        <v>0.02</v>
      </c>
    </row>
    <row r="654" spans="1:6" s="74" customFormat="1" x14ac:dyDescent="0.2">
      <c r="A654" s="61">
        <v>44228</v>
      </c>
      <c r="B654" s="68">
        <f>VLOOKUP(Table5[[#This Row],[Date]],Database!A:E,5,)</f>
        <v>270.29899999999998</v>
      </c>
      <c r="C654" s="14">
        <f t="shared" si="21"/>
        <v>1.0147208591797091E-3</v>
      </c>
      <c r="D654" s="14">
        <f t="shared" si="19"/>
        <v>1.2826181447563671E-2</v>
      </c>
      <c r="E654" s="15">
        <f>VLOOKUP(Table5[[#This Row],[Date]],'Fed Fund New'!$A:$C,2,FALSE)</f>
        <v>0.25</v>
      </c>
      <c r="F654" s="27">
        <v>0.02</v>
      </c>
    </row>
    <row r="655" spans="1:6" s="74" customFormat="1" x14ac:dyDescent="0.2">
      <c r="A655" s="61">
        <v>44256</v>
      </c>
      <c r="B655" s="68">
        <f>VLOOKUP(Table5[[#This Row],[Date]],Database!A:E,5,)</f>
        <v>271.214</v>
      </c>
      <c r="C655" s="14">
        <f t="shared" si="21"/>
        <v>3.3851401596011106E-3</v>
      </c>
      <c r="D655" s="14">
        <f t="shared" si="19"/>
        <v>1.6468030882242732E-2</v>
      </c>
      <c r="E655" s="15">
        <f>VLOOKUP(Table5[[#This Row],[Date]],'Fed Fund New'!$A:$C,2,FALSE)</f>
        <v>0.25</v>
      </c>
      <c r="F655" s="27">
        <v>0.02</v>
      </c>
    </row>
    <row r="656" spans="1:6" s="74" customFormat="1" x14ac:dyDescent="0.2">
      <c r="A656" s="61">
        <v>44287</v>
      </c>
      <c r="B656" s="68">
        <f>VLOOKUP(Table5[[#This Row],[Date]],Database!A:E,5,)</f>
        <v>273.7</v>
      </c>
      <c r="C656" s="14">
        <f t="shared" si="21"/>
        <v>9.1661934855869903E-3</v>
      </c>
      <c r="D656" s="14">
        <f t="shared" si="19"/>
        <v>2.9582148392241742E-2</v>
      </c>
      <c r="E656" s="15">
        <f>VLOOKUP(Table5[[#This Row],[Date]],'Fed Fund New'!$A:$C,2,FALSE)</f>
        <v>0.25</v>
      </c>
      <c r="F656" s="27">
        <v>0.02</v>
      </c>
    </row>
    <row r="657" spans="1:6" s="74" customFormat="1" x14ac:dyDescent="0.2">
      <c r="A657" s="61">
        <v>44317</v>
      </c>
      <c r="B657" s="68">
        <f>VLOOKUP(Table5[[#This Row],[Date]],Database!A:E,5,)</f>
        <v>275.71800000000002</v>
      </c>
      <c r="C657" s="14">
        <f t="shared" si="21"/>
        <v>7.3730361709902414E-3</v>
      </c>
      <c r="D657" s="14">
        <f t="shared" ref="D657:D663" si="22">(B657-B645)/B645</f>
        <v>3.7950285540041553E-2</v>
      </c>
      <c r="E657" s="15">
        <f>VLOOKUP(Table5[[#This Row],[Date]],'Fed Fund New'!$A:$C,2,FALSE)</f>
        <v>0.25</v>
      </c>
      <c r="F657" s="27">
        <v>0.02</v>
      </c>
    </row>
    <row r="658" spans="1:6" s="74" customFormat="1" x14ac:dyDescent="0.2">
      <c r="A658" s="61">
        <v>44348</v>
      </c>
      <c r="B658" s="68">
        <f>VLOOKUP(Table5[[#This Row],[Date]],Database!A:E,5,)</f>
        <v>278.14</v>
      </c>
      <c r="C658" s="14">
        <f t="shared" si="21"/>
        <v>8.7843376203220989E-3</v>
      </c>
      <c r="D658" s="14">
        <f t="shared" si="22"/>
        <v>4.4531737030666756E-2</v>
      </c>
      <c r="E658" s="15">
        <f>VLOOKUP(Table5[[#This Row],[Date]],'Fed Fund New'!$A:$C,2,FALSE)</f>
        <v>0.25</v>
      </c>
      <c r="F658" s="27">
        <v>0.02</v>
      </c>
    </row>
    <row r="659" spans="1:6" s="74" customFormat="1" x14ac:dyDescent="0.2">
      <c r="A659" s="61">
        <v>44378</v>
      </c>
      <c r="B659" s="68">
        <f>VLOOKUP(Table5[[#This Row],[Date]],Database!A:E,5,)</f>
        <v>279.05399999999997</v>
      </c>
      <c r="C659" s="14">
        <f t="shared" si="21"/>
        <v>3.2861149061623185E-3</v>
      </c>
      <c r="D659" s="14">
        <f t="shared" si="22"/>
        <v>4.2327488962431159E-2</v>
      </c>
      <c r="E659" s="15">
        <f>VLOOKUP(Table5[[#This Row],[Date]],'Fed Fund New'!$A:$C,2,FALSE)</f>
        <v>0.25</v>
      </c>
      <c r="F659" s="27">
        <v>0.02</v>
      </c>
    </row>
    <row r="660" spans="1:6" s="74" customFormat="1" x14ac:dyDescent="0.2">
      <c r="A660" s="61">
        <v>44409</v>
      </c>
      <c r="B660" s="68">
        <f>VLOOKUP(Table5[[#This Row],[Date]],Database!A:E,5,)</f>
        <v>279.33800000000002</v>
      </c>
      <c r="C660" s="14">
        <f t="shared" si="21"/>
        <v>1.0177241680823378E-3</v>
      </c>
      <c r="D660" s="14">
        <f t="shared" si="22"/>
        <v>3.9768624327201629E-2</v>
      </c>
      <c r="E660" s="15">
        <f>VLOOKUP(Table5[[#This Row],[Date]],'Fed Fund New'!$A:$C,2,FALSE)</f>
        <v>0.25</v>
      </c>
      <c r="F660" s="27">
        <v>0.02</v>
      </c>
    </row>
    <row r="661" spans="1:6" s="74" customFormat="1" x14ac:dyDescent="0.2">
      <c r="A661" s="61">
        <v>44440</v>
      </c>
      <c r="B661" s="68">
        <f>VLOOKUP(Table5[[#This Row],[Date]],Database!A:E,5,)</f>
        <v>280.017</v>
      </c>
      <c r="C661" s="14">
        <f t="shared" si="21"/>
        <v>2.4307469803606153E-3</v>
      </c>
      <c r="D661" s="14">
        <f t="shared" si="22"/>
        <v>4.0355928739945472E-2</v>
      </c>
      <c r="E661" s="15">
        <f>VLOOKUP(Table5[[#This Row],[Date]],'Fed Fund New'!$A:$C,2,FALSE)</f>
        <v>0.25</v>
      </c>
      <c r="F661" s="27">
        <v>0.02</v>
      </c>
    </row>
    <row r="662" spans="1:6" s="74" customFormat="1" x14ac:dyDescent="0.2">
      <c r="A662" s="61">
        <v>44470</v>
      </c>
      <c r="B662" s="68">
        <f>VLOOKUP(Table5[[#This Row],[Date]],Database!A:E,5,)</f>
        <v>281.69499999999999</v>
      </c>
      <c r="C662" s="14">
        <f t="shared" si="21"/>
        <v>5.9924933129059926E-3</v>
      </c>
      <c r="D662" s="14">
        <f t="shared" si="22"/>
        <v>4.5832559866344789E-2</v>
      </c>
      <c r="E662" s="15">
        <f>VLOOKUP(Table5[[#This Row],[Date]],'Fed Fund New'!$A:$C,2,FALSE)</f>
        <v>0.25</v>
      </c>
      <c r="F662" s="27">
        <v>0.02</v>
      </c>
    </row>
    <row r="663" spans="1:6" s="74" customFormat="1" x14ac:dyDescent="0.2">
      <c r="A663" s="61">
        <v>44501</v>
      </c>
      <c r="B663" s="68">
        <f>VLOOKUP(Table5[[#This Row],[Date]],Database!A:E,5,)</f>
        <v>283.20100000000002</v>
      </c>
      <c r="C663" s="14">
        <f t="shared" si="21"/>
        <v>5.3462077779159326E-3</v>
      </c>
      <c r="D663" s="14">
        <f t="shared" si="22"/>
        <v>4.9596210793161358E-2</v>
      </c>
      <c r="E663" s="15">
        <f>VLOOKUP(Table5[[#This Row],[Date]],'Fed Fund New'!$A:$C,2,FALSE)</f>
        <v>0.25</v>
      </c>
      <c r="F663" s="27">
        <v>0.02</v>
      </c>
    </row>
    <row r="664" spans="1:6" s="74" customFormat="1" x14ac:dyDescent="0.2">
      <c r="A664" s="61">
        <v>44531</v>
      </c>
      <c r="B664" s="68">
        <f>VLOOKUP(Table5[[#This Row],[Date]],Database!A:E,5,)</f>
        <v>284.75900000000001</v>
      </c>
      <c r="C664" s="14">
        <f t="shared" si="21"/>
        <v>5.5013930035557523E-3</v>
      </c>
      <c r="D664" s="14">
        <f t="shared" ref="D664" si="23">(B664-B652)/B652</f>
        <v>5.4897384603986132E-2</v>
      </c>
      <c r="E664" s="15">
        <f>VLOOKUP(Table5[[#This Row],[Date]],'Fed Fund New'!$A:$C,2,FALSE)</f>
        <v>0.25</v>
      </c>
      <c r="F664" s="27">
        <v>0.02</v>
      </c>
    </row>
    <row r="665" spans="1:6" s="74" customFormat="1" x14ac:dyDescent="0.2">
      <c r="A665" s="2"/>
      <c r="B665" s="64"/>
      <c r="C665" s="2"/>
      <c r="D665" s="2"/>
      <c r="E665" s="11"/>
      <c r="F665" s="5"/>
    </row>
    <row r="666" spans="1:6" s="74" customFormat="1" x14ac:dyDescent="0.2">
      <c r="A666" s="2"/>
      <c r="B666" s="64"/>
      <c r="C666" s="2"/>
      <c r="D666" s="2"/>
      <c r="E666" s="11"/>
      <c r="F666" s="5"/>
    </row>
    <row r="667" spans="1:6" s="74" customFormat="1" x14ac:dyDescent="0.2">
      <c r="A667" s="2"/>
      <c r="B667" s="64"/>
      <c r="C667" s="2"/>
      <c r="D667" s="2"/>
      <c r="E667" s="11"/>
      <c r="F667" s="5"/>
    </row>
    <row r="668" spans="1:6" s="74" customFormat="1" x14ac:dyDescent="0.2">
      <c r="A668" s="2"/>
      <c r="B668" s="64"/>
      <c r="C668" s="2"/>
      <c r="D668" s="2"/>
      <c r="E668" s="11"/>
      <c r="F668" s="5"/>
    </row>
    <row r="669" spans="1:6" s="74" customFormat="1" x14ac:dyDescent="0.2">
      <c r="A669" s="2"/>
      <c r="B669" s="64"/>
      <c r="C669" s="2"/>
      <c r="D669" s="2"/>
      <c r="E669" s="11"/>
      <c r="F669" s="5"/>
    </row>
    <row r="670" spans="1:6" s="74" customFormat="1" x14ac:dyDescent="0.2">
      <c r="A670" s="2"/>
      <c r="B670" s="64"/>
      <c r="C670" s="2"/>
      <c r="D670" s="2"/>
      <c r="E670" s="11"/>
      <c r="F670" s="5"/>
    </row>
    <row r="671" spans="1:6" s="74" customFormat="1" x14ac:dyDescent="0.2">
      <c r="A671" s="2"/>
      <c r="B671" s="64"/>
      <c r="C671" s="2"/>
      <c r="D671" s="2"/>
      <c r="E671" s="11"/>
      <c r="F671" s="5"/>
    </row>
    <row r="672" spans="1:6" s="74" customFormat="1" x14ac:dyDescent="0.2">
      <c r="A672" s="2"/>
      <c r="B672" s="64"/>
      <c r="C672" s="2"/>
      <c r="D672" s="2"/>
      <c r="E672" s="11"/>
      <c r="F672" s="5"/>
    </row>
    <row r="673" spans="1:6" s="74" customFormat="1" x14ac:dyDescent="0.2">
      <c r="A673" s="2"/>
      <c r="B673" s="64"/>
      <c r="C673" s="2"/>
      <c r="D673" s="2"/>
      <c r="E673" s="11"/>
      <c r="F673" s="5"/>
    </row>
    <row r="674" spans="1:6" s="74" customFormat="1" x14ac:dyDescent="0.2">
      <c r="A674" s="2"/>
      <c r="B674" s="64"/>
      <c r="C674" s="2"/>
      <c r="D674" s="2"/>
      <c r="E674" s="11"/>
      <c r="F674" s="5"/>
    </row>
    <row r="675" spans="1:6" s="74" customFormat="1" x14ac:dyDescent="0.2">
      <c r="A675" s="2"/>
      <c r="B675" s="64"/>
      <c r="C675" s="2"/>
      <c r="D675" s="2"/>
      <c r="E675" s="11"/>
      <c r="F675" s="5"/>
    </row>
    <row r="676" spans="1:6" s="74" customFormat="1" x14ac:dyDescent="0.2">
      <c r="A676" s="2"/>
      <c r="B676" s="64"/>
      <c r="C676" s="2"/>
      <c r="D676" s="2"/>
      <c r="E676" s="11"/>
      <c r="F676" s="5"/>
    </row>
    <row r="677" spans="1:6" s="74" customFormat="1" x14ac:dyDescent="0.2">
      <c r="A677" s="2"/>
      <c r="B677" s="64"/>
      <c r="C677" s="2"/>
      <c r="D677" s="2"/>
      <c r="E677" s="11"/>
      <c r="F677" s="5"/>
    </row>
    <row r="678" spans="1:6" s="74" customFormat="1" x14ac:dyDescent="0.2">
      <c r="A678" s="2"/>
      <c r="B678" s="64"/>
      <c r="C678" s="2"/>
      <c r="D678" s="2"/>
      <c r="E678" s="11"/>
      <c r="F678" s="5"/>
    </row>
    <row r="679" spans="1:6" s="74" customFormat="1" x14ac:dyDescent="0.2">
      <c r="A679" s="2"/>
      <c r="B679" s="64"/>
      <c r="C679" s="2"/>
      <c r="D679" s="2"/>
      <c r="E679" s="11"/>
      <c r="F679" s="5"/>
    </row>
    <row r="680" spans="1:6" s="74" customFormat="1" x14ac:dyDescent="0.2">
      <c r="A680" s="2"/>
      <c r="B680" s="64"/>
      <c r="C680" s="2"/>
      <c r="D680" s="2"/>
      <c r="E680" s="11"/>
      <c r="F680" s="5"/>
    </row>
    <row r="681" spans="1:6" s="74" customFormat="1" x14ac:dyDescent="0.2">
      <c r="A681" s="2"/>
      <c r="B681" s="64"/>
      <c r="C681" s="2"/>
      <c r="D681" s="2"/>
      <c r="E681" s="11"/>
      <c r="F681" s="5"/>
    </row>
    <row r="682" spans="1:6" s="74" customFormat="1" x14ac:dyDescent="0.2">
      <c r="A682" s="2"/>
      <c r="B682" s="64"/>
      <c r="C682" s="2"/>
      <c r="D682" s="2"/>
      <c r="E682" s="11"/>
      <c r="F682" s="5"/>
    </row>
    <row r="683" spans="1:6" s="74" customFormat="1" x14ac:dyDescent="0.2">
      <c r="A683" s="2"/>
      <c r="B683" s="64"/>
      <c r="C683" s="2"/>
      <c r="D683" s="2"/>
      <c r="E683" s="11"/>
      <c r="F683" s="5"/>
    </row>
    <row r="684" spans="1:6" s="74" customFormat="1" x14ac:dyDescent="0.2">
      <c r="A684" s="2"/>
      <c r="B684" s="64"/>
      <c r="C684" s="2"/>
      <c r="D684" s="2"/>
      <c r="E684" s="11"/>
      <c r="F684" s="5"/>
    </row>
    <row r="685" spans="1:6" s="74" customFormat="1" x14ac:dyDescent="0.2">
      <c r="A685" s="2"/>
      <c r="B685" s="64"/>
      <c r="C685" s="2"/>
      <c r="D685" s="2"/>
      <c r="E685" s="11"/>
      <c r="F685" s="5"/>
    </row>
    <row r="686" spans="1:6" s="74" customFormat="1" x14ac:dyDescent="0.2">
      <c r="A686" s="2"/>
      <c r="B686" s="64"/>
      <c r="C686" s="2"/>
      <c r="D686" s="2"/>
      <c r="E686" s="11"/>
      <c r="F686" s="5"/>
    </row>
    <row r="687" spans="1:6" s="74" customFormat="1" x14ac:dyDescent="0.2">
      <c r="A687" s="2"/>
      <c r="B687" s="64"/>
      <c r="C687" s="2"/>
      <c r="D687" s="2"/>
      <c r="E687" s="11"/>
      <c r="F687" s="5"/>
    </row>
    <row r="688" spans="1:6" s="74" customFormat="1" x14ac:dyDescent="0.2">
      <c r="A688" s="2"/>
      <c r="B688" s="64"/>
      <c r="C688" s="2"/>
      <c r="D688" s="2"/>
      <c r="E688" s="11"/>
      <c r="F688" s="5"/>
    </row>
    <row r="689" spans="1:6" s="74" customFormat="1" x14ac:dyDescent="0.2">
      <c r="A689" s="2"/>
      <c r="B689" s="64"/>
      <c r="C689" s="2"/>
      <c r="D689" s="2"/>
      <c r="E689" s="11"/>
      <c r="F689" s="5"/>
    </row>
    <row r="690" spans="1:6" s="74" customFormat="1" x14ac:dyDescent="0.2">
      <c r="A690" s="2"/>
      <c r="B690" s="64"/>
      <c r="C690" s="2"/>
      <c r="D690" s="2"/>
      <c r="E690" s="11"/>
      <c r="F690" s="5"/>
    </row>
    <row r="691" spans="1:6" s="74" customFormat="1" x14ac:dyDescent="0.2">
      <c r="A691" s="2"/>
      <c r="B691" s="64"/>
      <c r="C691" s="2"/>
      <c r="D691" s="2"/>
      <c r="E691" s="11"/>
      <c r="F691" s="5"/>
    </row>
    <row r="692" spans="1:6" s="74" customFormat="1" x14ac:dyDescent="0.2">
      <c r="A692" s="2"/>
      <c r="B692" s="64"/>
      <c r="C692" s="2"/>
      <c r="D692" s="2"/>
      <c r="E692" s="11"/>
      <c r="F692" s="5"/>
    </row>
    <row r="693" spans="1:6" s="74" customFormat="1" x14ac:dyDescent="0.2">
      <c r="A693" s="2"/>
      <c r="B693" s="64"/>
      <c r="C693" s="2"/>
      <c r="D693" s="2"/>
      <c r="E693" s="11"/>
      <c r="F693" s="5"/>
    </row>
    <row r="694" spans="1:6" s="74" customFormat="1" x14ac:dyDescent="0.2">
      <c r="A694" s="2"/>
      <c r="B694" s="64"/>
      <c r="C694" s="2"/>
      <c r="D694" s="2"/>
      <c r="E694" s="11"/>
      <c r="F694" s="5"/>
    </row>
    <row r="695" spans="1:6" s="74" customFormat="1" x14ac:dyDescent="0.2">
      <c r="A695" s="2"/>
      <c r="B695" s="64"/>
      <c r="C695" s="2"/>
      <c r="D695" s="2"/>
      <c r="E695" s="11"/>
      <c r="F695" s="5"/>
    </row>
    <row r="696" spans="1:6" s="74" customFormat="1" x14ac:dyDescent="0.2">
      <c r="A696" s="2"/>
      <c r="B696" s="64"/>
      <c r="C696" s="2"/>
      <c r="D696" s="2"/>
      <c r="E696" s="11"/>
      <c r="F696" s="5"/>
    </row>
    <row r="697" spans="1:6" s="74" customFormat="1" x14ac:dyDescent="0.2">
      <c r="A697" s="2"/>
      <c r="B697" s="64"/>
      <c r="C697" s="2"/>
      <c r="D697" s="2"/>
      <c r="E697" s="11"/>
      <c r="F697" s="5"/>
    </row>
    <row r="698" spans="1:6" s="74" customFormat="1" x14ac:dyDescent="0.2">
      <c r="A698" s="2"/>
      <c r="B698" s="64"/>
      <c r="C698" s="2"/>
      <c r="D698" s="2"/>
      <c r="E698" s="11"/>
      <c r="F698" s="5"/>
    </row>
    <row r="699" spans="1:6" s="74" customFormat="1" x14ac:dyDescent="0.2">
      <c r="A699" s="2"/>
      <c r="B699" s="64"/>
      <c r="C699" s="2"/>
      <c r="D699" s="2"/>
      <c r="E699" s="11"/>
      <c r="F699" s="5"/>
    </row>
    <row r="700" spans="1:6" s="74" customFormat="1" x14ac:dyDescent="0.2">
      <c r="A700" s="2"/>
      <c r="B700" s="64"/>
      <c r="C700" s="2"/>
      <c r="D700" s="2"/>
      <c r="E700" s="11"/>
      <c r="F700" s="5"/>
    </row>
    <row r="701" spans="1:6" s="74" customFormat="1" x14ac:dyDescent="0.2">
      <c r="A701" s="2"/>
      <c r="B701" s="64"/>
      <c r="C701" s="2"/>
      <c r="D701" s="2"/>
      <c r="E701" s="11"/>
      <c r="F701" s="5"/>
    </row>
    <row r="702" spans="1:6" s="74" customFormat="1" x14ac:dyDescent="0.2">
      <c r="A702" s="2"/>
      <c r="B702" s="64"/>
      <c r="C702" s="2"/>
      <c r="D702" s="2"/>
      <c r="E702" s="11"/>
      <c r="F702" s="5"/>
    </row>
    <row r="703" spans="1:6" s="74" customFormat="1" x14ac:dyDescent="0.2">
      <c r="A703" s="2"/>
      <c r="B703" s="64"/>
      <c r="C703" s="2"/>
      <c r="D703" s="2"/>
      <c r="E703" s="11"/>
      <c r="F703" s="5"/>
    </row>
    <row r="704" spans="1:6" s="74" customFormat="1" x14ac:dyDescent="0.2">
      <c r="A704" s="2"/>
      <c r="B704" s="64"/>
      <c r="C704" s="2"/>
      <c r="D704" s="2"/>
      <c r="E704" s="11"/>
      <c r="F704" s="5"/>
    </row>
    <row r="705" spans="1:6" s="74" customFormat="1" x14ac:dyDescent="0.2">
      <c r="A705" s="2"/>
      <c r="B705" s="64"/>
      <c r="C705" s="2"/>
      <c r="D705" s="2"/>
      <c r="E705" s="11"/>
      <c r="F705" s="5"/>
    </row>
    <row r="706" spans="1:6" s="74" customFormat="1" x14ac:dyDescent="0.2">
      <c r="A706" s="2"/>
      <c r="B706" s="64"/>
      <c r="C706" s="2"/>
      <c r="D706" s="2"/>
      <c r="E706" s="11"/>
      <c r="F706" s="5"/>
    </row>
    <row r="707" spans="1:6" s="74" customFormat="1" x14ac:dyDescent="0.2">
      <c r="A707" s="2"/>
      <c r="B707" s="64"/>
      <c r="C707" s="2"/>
      <c r="D707" s="2"/>
      <c r="E707" s="11"/>
      <c r="F707" s="5"/>
    </row>
    <row r="708" spans="1:6" s="74" customFormat="1" x14ac:dyDescent="0.2">
      <c r="A708" s="2"/>
      <c r="B708" s="64"/>
      <c r="C708" s="2"/>
      <c r="D708" s="2"/>
      <c r="E708" s="11"/>
      <c r="F708" s="5"/>
    </row>
    <row r="709" spans="1:6" s="74" customFormat="1" x14ac:dyDescent="0.2">
      <c r="A709" s="2"/>
      <c r="B709" s="64"/>
      <c r="C709" s="2"/>
      <c r="D709" s="2"/>
      <c r="E709" s="11"/>
      <c r="F709" s="5"/>
    </row>
    <row r="710" spans="1:6" s="74" customFormat="1" x14ac:dyDescent="0.2">
      <c r="A710" s="2"/>
      <c r="B710" s="64"/>
      <c r="C710" s="2"/>
      <c r="D710" s="2"/>
      <c r="E710" s="11"/>
      <c r="F710" s="5"/>
    </row>
    <row r="711" spans="1:6" s="74" customFormat="1" x14ac:dyDescent="0.2">
      <c r="A711" s="2"/>
      <c r="B711" s="64"/>
      <c r="C711" s="2"/>
      <c r="D711" s="2"/>
      <c r="E711" s="11"/>
      <c r="F711" s="5"/>
    </row>
    <row r="712" spans="1:6" s="74" customFormat="1" x14ac:dyDescent="0.2">
      <c r="A712" s="2"/>
      <c r="B712" s="64"/>
      <c r="C712" s="2"/>
      <c r="D712" s="2"/>
      <c r="E712" s="11"/>
      <c r="F712" s="5"/>
    </row>
    <row r="713" spans="1:6" s="74" customFormat="1" x14ac:dyDescent="0.2">
      <c r="A713" s="2"/>
      <c r="B713" s="64"/>
      <c r="C713" s="2"/>
      <c r="D713" s="2"/>
      <c r="E713" s="11"/>
      <c r="F713" s="5"/>
    </row>
    <row r="714" spans="1:6" s="74" customFormat="1" x14ac:dyDescent="0.2">
      <c r="A714" s="2"/>
      <c r="B714" s="64"/>
      <c r="C714" s="2"/>
      <c r="D714" s="2"/>
      <c r="E714" s="11"/>
      <c r="F714" s="5"/>
    </row>
    <row r="715" spans="1:6" s="74" customFormat="1" x14ac:dyDescent="0.2">
      <c r="A715" s="2"/>
      <c r="B715" s="64"/>
      <c r="C715" s="2"/>
      <c r="D715" s="2"/>
      <c r="E715" s="11"/>
      <c r="F715" s="5"/>
    </row>
    <row r="716" spans="1:6" s="74" customFormat="1" x14ac:dyDescent="0.2">
      <c r="A716" s="2"/>
      <c r="B716" s="64"/>
      <c r="C716" s="2"/>
      <c r="D716" s="2"/>
      <c r="E716" s="11"/>
      <c r="F716" s="5"/>
    </row>
    <row r="717" spans="1:6" s="74" customFormat="1" x14ac:dyDescent="0.2">
      <c r="A717" s="2"/>
      <c r="B717" s="64"/>
      <c r="C717" s="2"/>
      <c r="D717" s="2"/>
      <c r="E717" s="11"/>
      <c r="F717" s="5"/>
    </row>
    <row r="718" spans="1:6" s="74" customFormat="1" x14ac:dyDescent="0.2">
      <c r="A718" s="2"/>
      <c r="B718" s="64"/>
      <c r="C718" s="2"/>
      <c r="D718" s="2"/>
      <c r="E718" s="11"/>
      <c r="F718" s="5"/>
    </row>
    <row r="719" spans="1:6" s="74" customFormat="1" x14ac:dyDescent="0.2">
      <c r="A719" s="2"/>
      <c r="B719" s="64"/>
      <c r="C719" s="2"/>
      <c r="D719" s="2"/>
      <c r="E719" s="11"/>
      <c r="F719" s="5"/>
    </row>
    <row r="720" spans="1:6" s="74" customFormat="1" x14ac:dyDescent="0.2">
      <c r="A720" s="2"/>
      <c r="B720" s="64"/>
      <c r="C720" s="2"/>
      <c r="D720" s="2"/>
      <c r="E720" s="11"/>
      <c r="F720" s="5"/>
    </row>
    <row r="721" spans="1:6" s="74" customFormat="1" x14ac:dyDescent="0.2">
      <c r="A721" s="2"/>
      <c r="B721" s="64"/>
      <c r="C721" s="2"/>
      <c r="D721" s="2"/>
      <c r="E721" s="11"/>
      <c r="F721" s="5"/>
    </row>
    <row r="722" spans="1:6" s="74" customFormat="1" x14ac:dyDescent="0.2">
      <c r="A722" s="2"/>
      <c r="B722" s="64"/>
      <c r="C722" s="2"/>
      <c r="D722" s="2"/>
      <c r="E722" s="11"/>
      <c r="F722" s="5"/>
    </row>
    <row r="723" spans="1:6" s="74" customFormat="1" x14ac:dyDescent="0.2">
      <c r="A723" s="2"/>
      <c r="B723" s="64"/>
      <c r="C723" s="2"/>
      <c r="D723" s="2"/>
      <c r="E723" s="11"/>
      <c r="F723" s="5"/>
    </row>
    <row r="724" spans="1:6" s="74" customFormat="1" x14ac:dyDescent="0.2">
      <c r="A724" s="2"/>
      <c r="B724" s="64"/>
      <c r="C724" s="2"/>
      <c r="D724" s="2"/>
      <c r="E724" s="11"/>
      <c r="F724" s="5"/>
    </row>
    <row r="725" spans="1:6" s="74" customFormat="1" x14ac:dyDescent="0.2">
      <c r="A725" s="2"/>
      <c r="B725" s="64"/>
      <c r="C725" s="2"/>
      <c r="D725" s="2"/>
      <c r="E725" s="11"/>
      <c r="F725" s="5"/>
    </row>
    <row r="726" spans="1:6" s="74" customFormat="1" x14ac:dyDescent="0.2">
      <c r="A726" s="2"/>
      <c r="B726" s="64"/>
      <c r="C726" s="2"/>
      <c r="D726" s="2"/>
      <c r="E726" s="11"/>
      <c r="F726" s="5"/>
    </row>
    <row r="727" spans="1:6" s="74" customFormat="1" x14ac:dyDescent="0.2">
      <c r="A727" s="2"/>
      <c r="B727" s="64"/>
      <c r="C727" s="2"/>
      <c r="D727" s="2"/>
      <c r="E727" s="11"/>
      <c r="F727" s="5"/>
    </row>
    <row r="728" spans="1:6" s="74" customFormat="1" x14ac:dyDescent="0.2">
      <c r="A728" s="2"/>
      <c r="B728" s="64"/>
      <c r="C728" s="2"/>
      <c r="D728" s="2"/>
      <c r="E728" s="11"/>
      <c r="F728" s="5"/>
    </row>
    <row r="729" spans="1:6" s="74" customFormat="1" x14ac:dyDescent="0.2">
      <c r="A729" s="2"/>
      <c r="B729" s="64"/>
      <c r="C729" s="2"/>
      <c r="D729" s="2"/>
      <c r="E729" s="11"/>
      <c r="F729" s="5"/>
    </row>
    <row r="730" spans="1:6" s="74" customFormat="1" x14ac:dyDescent="0.2">
      <c r="A730" s="2"/>
      <c r="B730" s="64"/>
      <c r="C730" s="2"/>
      <c r="D730" s="2"/>
      <c r="E730" s="11"/>
      <c r="F730" s="5"/>
    </row>
    <row r="731" spans="1:6" s="74" customFormat="1" x14ac:dyDescent="0.2">
      <c r="A731" s="2"/>
      <c r="B731" s="64"/>
      <c r="C731" s="2"/>
      <c r="D731" s="2"/>
      <c r="E731" s="11"/>
      <c r="F731" s="5"/>
    </row>
    <row r="732" spans="1:6" s="74" customFormat="1" x14ac:dyDescent="0.2">
      <c r="A732" s="2"/>
      <c r="B732" s="64"/>
      <c r="C732" s="2"/>
      <c r="D732" s="2"/>
      <c r="E732" s="11"/>
      <c r="F732" s="5"/>
    </row>
    <row r="733" spans="1:6" s="74" customFormat="1" x14ac:dyDescent="0.2">
      <c r="A733" s="2"/>
      <c r="B733" s="64"/>
      <c r="C733" s="2"/>
      <c r="D733" s="2"/>
      <c r="E733" s="11"/>
      <c r="F733" s="5"/>
    </row>
    <row r="734" spans="1:6" s="74" customFormat="1" x14ac:dyDescent="0.2">
      <c r="A734" s="2"/>
      <c r="B734" s="64"/>
      <c r="C734" s="2"/>
      <c r="D734" s="2"/>
      <c r="E734" s="11"/>
      <c r="F734" s="5"/>
    </row>
    <row r="735" spans="1:6" s="74" customFormat="1" x14ac:dyDescent="0.2">
      <c r="A735" s="2"/>
      <c r="B735" s="64"/>
      <c r="C735" s="2"/>
      <c r="D735" s="2"/>
      <c r="E735" s="11"/>
      <c r="F735" s="5"/>
    </row>
    <row r="736" spans="1:6" s="74" customFormat="1" x14ac:dyDescent="0.2">
      <c r="A736" s="2"/>
      <c r="B736" s="64"/>
      <c r="C736" s="2"/>
      <c r="D736" s="2"/>
      <c r="E736" s="11"/>
      <c r="F736" s="5"/>
    </row>
    <row r="737" spans="1:6" s="74" customFormat="1" x14ac:dyDescent="0.2">
      <c r="A737" s="2"/>
      <c r="B737" s="64"/>
      <c r="C737" s="2"/>
      <c r="D737" s="2"/>
      <c r="E737" s="11"/>
      <c r="F737" s="5"/>
    </row>
    <row r="738" spans="1:6" s="74" customFormat="1" x14ac:dyDescent="0.2">
      <c r="A738" s="2"/>
      <c r="B738" s="64"/>
      <c r="C738" s="2"/>
      <c r="D738" s="2"/>
      <c r="E738" s="11"/>
      <c r="F738" s="5"/>
    </row>
    <row r="739" spans="1:6" s="74" customFormat="1" x14ac:dyDescent="0.2">
      <c r="A739" s="2"/>
      <c r="B739" s="64"/>
      <c r="C739" s="2"/>
      <c r="D739" s="2"/>
      <c r="E739" s="11"/>
      <c r="F739" s="5"/>
    </row>
    <row r="740" spans="1:6" s="74" customFormat="1" x14ac:dyDescent="0.2">
      <c r="A740" s="2"/>
      <c r="B740" s="64"/>
      <c r="C740" s="2"/>
      <c r="D740" s="2"/>
      <c r="E740" s="11"/>
      <c r="F740" s="5"/>
    </row>
    <row r="741" spans="1:6" s="74" customFormat="1" x14ac:dyDescent="0.2">
      <c r="A741" s="2"/>
      <c r="B741" s="64"/>
      <c r="C741" s="2"/>
      <c r="D741" s="2"/>
      <c r="E741" s="11"/>
      <c r="F741" s="5"/>
    </row>
    <row r="742" spans="1:6" s="74" customFormat="1" x14ac:dyDescent="0.2">
      <c r="A742" s="2"/>
      <c r="B742" s="64"/>
      <c r="C742" s="2"/>
      <c r="D742" s="2"/>
      <c r="E742" s="11"/>
      <c r="F742" s="5"/>
    </row>
    <row r="743" spans="1:6" s="74" customFormat="1" x14ac:dyDescent="0.2">
      <c r="A743" s="2"/>
      <c r="B743" s="64"/>
      <c r="C743" s="2"/>
      <c r="D743" s="2"/>
      <c r="E743" s="11"/>
      <c r="F743" s="5"/>
    </row>
    <row r="744" spans="1:6" s="74" customFormat="1" x14ac:dyDescent="0.2">
      <c r="A744" s="2"/>
      <c r="B744" s="64"/>
      <c r="C744" s="2"/>
      <c r="D744" s="2"/>
      <c r="E744" s="11"/>
      <c r="F744" s="5"/>
    </row>
    <row r="745" spans="1:6" s="74" customFormat="1" x14ac:dyDescent="0.2">
      <c r="A745" s="2"/>
      <c r="B745" s="64"/>
      <c r="C745" s="2"/>
      <c r="D745" s="2"/>
      <c r="E745" s="11"/>
      <c r="F745" s="5"/>
    </row>
    <row r="746" spans="1:6" s="74" customFormat="1" x14ac:dyDescent="0.2">
      <c r="A746" s="2"/>
      <c r="B746" s="64"/>
      <c r="C746" s="2"/>
      <c r="D746" s="2"/>
      <c r="E746" s="11"/>
      <c r="F746" s="5"/>
    </row>
    <row r="747" spans="1:6" s="74" customFormat="1" x14ac:dyDescent="0.2">
      <c r="A747" s="2"/>
      <c r="B747" s="64"/>
      <c r="C747" s="2"/>
      <c r="D747" s="2"/>
      <c r="E747" s="11"/>
      <c r="F747" s="5"/>
    </row>
    <row r="748" spans="1:6" s="74" customFormat="1" x14ac:dyDescent="0.2">
      <c r="A748" s="2"/>
      <c r="B748" s="64"/>
      <c r="C748" s="2"/>
      <c r="D748" s="2"/>
      <c r="E748" s="11"/>
      <c r="F748" s="5"/>
    </row>
    <row r="749" spans="1:6" s="74" customFormat="1" x14ac:dyDescent="0.2">
      <c r="A749" s="2"/>
      <c r="B749" s="64"/>
      <c r="C749" s="2"/>
      <c r="D749" s="2"/>
      <c r="E749" s="11"/>
      <c r="F749" s="5"/>
    </row>
    <row r="750" spans="1:6" s="74" customFormat="1" x14ac:dyDescent="0.2">
      <c r="A750" s="2"/>
      <c r="B750" s="64"/>
      <c r="C750" s="2"/>
      <c r="D750" s="2"/>
      <c r="E750" s="11"/>
      <c r="F750" s="5"/>
    </row>
    <row r="751" spans="1:6" s="74" customFormat="1" x14ac:dyDescent="0.2">
      <c r="A751" s="2"/>
      <c r="B751" s="64"/>
      <c r="C751" s="2"/>
      <c r="D751" s="2"/>
      <c r="E751" s="11"/>
      <c r="F751" s="5"/>
    </row>
    <row r="752" spans="1:6" s="74" customFormat="1" x14ac:dyDescent="0.2">
      <c r="A752" s="2"/>
      <c r="B752" s="64"/>
      <c r="C752" s="2"/>
      <c r="D752" s="2"/>
      <c r="E752" s="11"/>
      <c r="F752" s="5"/>
    </row>
    <row r="753" spans="1:6" s="74" customFormat="1" x14ac:dyDescent="0.2">
      <c r="A753" s="2"/>
      <c r="B753" s="64"/>
      <c r="C753" s="2"/>
      <c r="D753" s="2"/>
      <c r="E753" s="11"/>
      <c r="F753" s="5"/>
    </row>
    <row r="754" spans="1:6" s="74" customFormat="1" x14ac:dyDescent="0.2">
      <c r="A754" s="2"/>
      <c r="B754" s="64"/>
      <c r="C754" s="2"/>
      <c r="D754" s="2"/>
      <c r="E754" s="11"/>
      <c r="F754" s="5"/>
    </row>
    <row r="755" spans="1:6" s="74" customFormat="1" x14ac:dyDescent="0.2">
      <c r="A755" s="2"/>
      <c r="B755" s="64"/>
      <c r="C755" s="2"/>
      <c r="D755" s="2"/>
      <c r="E755" s="11"/>
      <c r="F755" s="5"/>
    </row>
    <row r="756" spans="1:6" s="74" customFormat="1" x14ac:dyDescent="0.2">
      <c r="A756" s="2"/>
      <c r="B756" s="64"/>
      <c r="C756" s="2"/>
      <c r="D756" s="2"/>
      <c r="E756" s="11"/>
      <c r="F756" s="5"/>
    </row>
    <row r="757" spans="1:6" s="74" customFormat="1" x14ac:dyDescent="0.2">
      <c r="A757" s="2"/>
      <c r="B757" s="64"/>
      <c r="C757" s="2"/>
      <c r="D757" s="2"/>
      <c r="E757" s="11"/>
      <c r="F757" s="5"/>
    </row>
    <row r="758" spans="1:6" s="74" customFormat="1" x14ac:dyDescent="0.2">
      <c r="A758" s="2"/>
      <c r="B758" s="64"/>
      <c r="C758" s="2"/>
      <c r="D758" s="2"/>
      <c r="E758" s="11"/>
      <c r="F758" s="5"/>
    </row>
    <row r="759" spans="1:6" s="74" customFormat="1" x14ac:dyDescent="0.2">
      <c r="A759" s="2"/>
      <c r="B759" s="64"/>
      <c r="C759" s="2"/>
      <c r="D759" s="2"/>
      <c r="E759" s="11"/>
      <c r="F759" s="5"/>
    </row>
    <row r="760" spans="1:6" s="74" customFormat="1" x14ac:dyDescent="0.2">
      <c r="A760" s="2"/>
      <c r="B760" s="64"/>
      <c r="C760" s="2"/>
      <c r="D760" s="2"/>
      <c r="E760" s="11"/>
      <c r="F760" s="5"/>
    </row>
    <row r="761" spans="1:6" s="74" customFormat="1" x14ac:dyDescent="0.2">
      <c r="A761" s="2"/>
      <c r="B761" s="64"/>
      <c r="C761" s="2"/>
      <c r="D761" s="2"/>
      <c r="E761" s="11"/>
      <c r="F761" s="5"/>
    </row>
    <row r="762" spans="1:6" s="74" customFormat="1" x14ac:dyDescent="0.2">
      <c r="A762" s="2"/>
      <c r="B762" s="64"/>
      <c r="C762" s="2"/>
      <c r="D762" s="2"/>
      <c r="E762" s="11"/>
      <c r="F762" s="5"/>
    </row>
    <row r="763" spans="1:6" s="74" customFormat="1" x14ac:dyDescent="0.2">
      <c r="A763" s="2"/>
      <c r="B763" s="64"/>
      <c r="C763" s="2"/>
      <c r="D763" s="2"/>
      <c r="E763" s="11"/>
      <c r="F763" s="5"/>
    </row>
    <row r="764" spans="1:6" s="74" customFormat="1" x14ac:dyDescent="0.2">
      <c r="A764" s="2"/>
      <c r="B764" s="64"/>
      <c r="C764" s="2"/>
      <c r="D764" s="2"/>
      <c r="E764" s="11"/>
      <c r="F764" s="5"/>
    </row>
    <row r="765" spans="1:6" s="74" customFormat="1" x14ac:dyDescent="0.2">
      <c r="A765" s="2"/>
      <c r="B765" s="64"/>
      <c r="C765" s="2"/>
      <c r="D765" s="2"/>
      <c r="E765" s="11"/>
      <c r="F765" s="5"/>
    </row>
    <row r="766" spans="1:6" s="74" customFormat="1" x14ac:dyDescent="0.2">
      <c r="A766" s="2"/>
      <c r="B766" s="64"/>
      <c r="C766" s="2"/>
      <c r="D766" s="2"/>
      <c r="E766" s="11"/>
      <c r="F766" s="5"/>
    </row>
    <row r="767" spans="1:6" s="74" customFormat="1" x14ac:dyDescent="0.2">
      <c r="A767" s="2"/>
      <c r="B767" s="64"/>
      <c r="C767" s="2"/>
      <c r="D767" s="2"/>
      <c r="E767" s="11"/>
      <c r="F767" s="5"/>
    </row>
    <row r="768" spans="1:6" s="74" customFormat="1" x14ac:dyDescent="0.2">
      <c r="A768" s="2"/>
      <c r="B768" s="64"/>
      <c r="C768" s="2"/>
      <c r="D768" s="2"/>
      <c r="E768" s="11"/>
      <c r="F768" s="5"/>
    </row>
    <row r="769" spans="1:6" s="74" customFormat="1" x14ac:dyDescent="0.2">
      <c r="A769" s="2"/>
      <c r="B769" s="64"/>
      <c r="C769" s="2"/>
      <c r="D769" s="2"/>
      <c r="E769" s="11"/>
      <c r="F769" s="5"/>
    </row>
    <row r="770" spans="1:6" s="74" customFormat="1" x14ac:dyDescent="0.2">
      <c r="A770" s="2"/>
      <c r="B770" s="64"/>
      <c r="C770" s="2"/>
      <c r="D770" s="2"/>
      <c r="E770" s="11"/>
      <c r="F770" s="5"/>
    </row>
    <row r="771" spans="1:6" s="74" customFormat="1" x14ac:dyDescent="0.2">
      <c r="A771" s="2"/>
      <c r="B771" s="64"/>
      <c r="C771" s="2"/>
      <c r="D771" s="2"/>
      <c r="E771" s="11"/>
      <c r="F771" s="5"/>
    </row>
    <row r="772" spans="1:6" s="74" customFormat="1" x14ac:dyDescent="0.2">
      <c r="A772" s="2"/>
      <c r="B772" s="64"/>
      <c r="C772" s="2"/>
      <c r="D772" s="2"/>
      <c r="E772" s="11"/>
      <c r="F772" s="5"/>
    </row>
    <row r="773" spans="1:6" s="74" customFormat="1" x14ac:dyDescent="0.2">
      <c r="A773" s="2"/>
      <c r="B773" s="64"/>
      <c r="C773" s="2"/>
      <c r="D773" s="2"/>
      <c r="E773" s="11"/>
      <c r="F773" s="5"/>
    </row>
    <row r="774" spans="1:6" s="74" customFormat="1" x14ac:dyDescent="0.2">
      <c r="A774" s="2"/>
      <c r="B774" s="64"/>
      <c r="C774" s="2"/>
      <c r="D774" s="2"/>
      <c r="E774" s="11"/>
      <c r="F774" s="5"/>
    </row>
    <row r="775" spans="1:6" s="74" customFormat="1" x14ac:dyDescent="0.2">
      <c r="A775" s="2"/>
      <c r="B775" s="64"/>
      <c r="C775" s="2"/>
      <c r="D775" s="2"/>
      <c r="E775" s="11"/>
      <c r="F775" s="5"/>
    </row>
    <row r="776" spans="1:6" s="74" customFormat="1" x14ac:dyDescent="0.2">
      <c r="A776" s="2"/>
      <c r="B776" s="64"/>
      <c r="C776" s="2"/>
      <c r="D776" s="2"/>
      <c r="E776" s="11"/>
      <c r="F776" s="5"/>
    </row>
    <row r="777" spans="1:6" s="74" customFormat="1" x14ac:dyDescent="0.2">
      <c r="A777" s="2"/>
      <c r="B777" s="64"/>
      <c r="C777" s="2"/>
      <c r="D777" s="2"/>
      <c r="E777" s="11"/>
      <c r="F777" s="5"/>
    </row>
    <row r="778" spans="1:6" s="74" customFormat="1" x14ac:dyDescent="0.2">
      <c r="A778" s="2"/>
      <c r="B778" s="64"/>
      <c r="C778" s="2"/>
      <c r="D778" s="2"/>
      <c r="E778" s="11"/>
      <c r="F778" s="5"/>
    </row>
    <row r="779" spans="1:6" s="74" customFormat="1" x14ac:dyDescent="0.2">
      <c r="A779" s="2"/>
      <c r="B779" s="64"/>
      <c r="C779" s="2"/>
      <c r="D779" s="2"/>
      <c r="E779" s="11"/>
      <c r="F779" s="5"/>
    </row>
    <row r="780" spans="1:6" s="74" customFormat="1" x14ac:dyDescent="0.2">
      <c r="A780" s="2"/>
      <c r="B780" s="64"/>
      <c r="C780" s="2"/>
      <c r="D780" s="2"/>
      <c r="E780" s="11"/>
      <c r="F780" s="5"/>
    </row>
    <row r="781" spans="1:6" s="74" customFormat="1" x14ac:dyDescent="0.2">
      <c r="A781" s="2"/>
      <c r="B781" s="64"/>
      <c r="C781" s="2"/>
      <c r="D781" s="2"/>
      <c r="E781" s="11"/>
      <c r="F781" s="5"/>
    </row>
    <row r="782" spans="1:6" s="74" customFormat="1" x14ac:dyDescent="0.2">
      <c r="A782" s="2"/>
      <c r="B782" s="64"/>
      <c r="C782" s="2"/>
      <c r="D782" s="2"/>
      <c r="E782" s="11"/>
      <c r="F782" s="5"/>
    </row>
    <row r="783" spans="1:6" s="74" customFormat="1" x14ac:dyDescent="0.2">
      <c r="A783" s="2"/>
      <c r="B783" s="64"/>
      <c r="C783" s="2"/>
      <c r="D783" s="2"/>
      <c r="E783" s="11"/>
      <c r="F783" s="5"/>
    </row>
    <row r="784" spans="1:6" s="74" customFormat="1" x14ac:dyDescent="0.2">
      <c r="A784" s="2"/>
      <c r="B784" s="64"/>
      <c r="C784" s="2"/>
      <c r="D784" s="2"/>
      <c r="E784" s="11"/>
      <c r="F784" s="5"/>
    </row>
    <row r="785" spans="1:6" s="74" customFormat="1" x14ac:dyDescent="0.2">
      <c r="A785" s="2"/>
      <c r="B785" s="64"/>
      <c r="C785" s="2"/>
      <c r="D785" s="2"/>
      <c r="E785" s="11"/>
      <c r="F785" s="5"/>
    </row>
    <row r="786" spans="1:6" s="74" customFormat="1" x14ac:dyDescent="0.2">
      <c r="A786" s="2"/>
      <c r="B786" s="64"/>
      <c r="C786" s="2"/>
      <c r="D786" s="2"/>
      <c r="E786" s="11"/>
      <c r="F786" s="5"/>
    </row>
    <row r="787" spans="1:6" s="74" customFormat="1" x14ac:dyDescent="0.2">
      <c r="A787" s="2"/>
      <c r="B787" s="64"/>
      <c r="C787" s="2"/>
      <c r="D787" s="2"/>
      <c r="E787" s="11"/>
      <c r="F787" s="5"/>
    </row>
    <row r="788" spans="1:6" s="74" customFormat="1" x14ac:dyDescent="0.2">
      <c r="A788" s="2"/>
      <c r="B788" s="64"/>
      <c r="C788" s="2"/>
      <c r="D788" s="2"/>
      <c r="E788" s="11"/>
      <c r="F788" s="5"/>
    </row>
    <row r="789" spans="1:6" s="74" customFormat="1" x14ac:dyDescent="0.2">
      <c r="A789" s="2"/>
      <c r="B789" s="64"/>
      <c r="C789" s="2"/>
      <c r="D789" s="2"/>
      <c r="E789" s="11"/>
      <c r="F789" s="5"/>
    </row>
    <row r="790" spans="1:6" s="74" customFormat="1" x14ac:dyDescent="0.2">
      <c r="A790" s="2"/>
      <c r="B790" s="64"/>
      <c r="C790" s="2"/>
      <c r="D790" s="2"/>
      <c r="E790" s="11"/>
      <c r="F790" s="5"/>
    </row>
    <row r="791" spans="1:6" s="74" customFormat="1" x14ac:dyDescent="0.2">
      <c r="A791" s="2"/>
      <c r="B791" s="64"/>
      <c r="C791" s="2"/>
      <c r="D791" s="2"/>
      <c r="E791" s="11"/>
      <c r="F791" s="5"/>
    </row>
    <row r="792" spans="1:6" s="74" customFormat="1" x14ac:dyDescent="0.2">
      <c r="A792" s="2"/>
      <c r="B792" s="64"/>
      <c r="C792" s="2"/>
      <c r="D792" s="2"/>
      <c r="E792" s="11"/>
      <c r="F792" s="5"/>
    </row>
    <row r="793" spans="1:6" s="74" customFormat="1" x14ac:dyDescent="0.2">
      <c r="A793" s="2"/>
      <c r="B793" s="64"/>
      <c r="C793" s="2"/>
      <c r="D793" s="2"/>
      <c r="E793" s="11"/>
      <c r="F793" s="5"/>
    </row>
    <row r="794" spans="1:6" s="74" customFormat="1" x14ac:dyDescent="0.2">
      <c r="A794" s="2"/>
      <c r="B794" s="64"/>
      <c r="C794" s="2"/>
      <c r="D794" s="2"/>
      <c r="E794" s="11"/>
      <c r="F794" s="5"/>
    </row>
    <row r="795" spans="1:6" s="74" customFormat="1" x14ac:dyDescent="0.2">
      <c r="A795" s="2"/>
      <c r="B795" s="64"/>
      <c r="C795" s="2"/>
      <c r="D795" s="2"/>
      <c r="E795" s="11"/>
      <c r="F795" s="5"/>
    </row>
    <row r="796" spans="1:6" s="74" customFormat="1" x14ac:dyDescent="0.2">
      <c r="A796" s="2"/>
      <c r="B796" s="64"/>
      <c r="C796" s="2"/>
      <c r="D796" s="2"/>
      <c r="E796" s="11"/>
      <c r="F796" s="5"/>
    </row>
    <row r="797" spans="1:6" s="74" customFormat="1" x14ac:dyDescent="0.2">
      <c r="A797" s="2"/>
      <c r="B797" s="64"/>
      <c r="C797" s="2"/>
      <c r="D797" s="2"/>
      <c r="E797" s="11"/>
      <c r="F797" s="5"/>
    </row>
    <row r="798" spans="1:6" s="74" customFormat="1" x14ac:dyDescent="0.2">
      <c r="A798" s="2"/>
      <c r="B798" s="64"/>
      <c r="C798" s="2"/>
      <c r="D798" s="2"/>
      <c r="E798" s="11"/>
      <c r="F798" s="5"/>
    </row>
    <row r="799" spans="1:6" s="74" customFormat="1" x14ac:dyDescent="0.2">
      <c r="A799" s="2"/>
      <c r="B799" s="64"/>
      <c r="C799" s="2"/>
      <c r="D799" s="2"/>
      <c r="E799" s="11"/>
      <c r="F799" s="5"/>
    </row>
    <row r="800" spans="1:6" s="74" customFormat="1" x14ac:dyDescent="0.2">
      <c r="A800" s="2"/>
      <c r="B800" s="64"/>
      <c r="C800" s="2"/>
      <c r="D800" s="2"/>
      <c r="E800" s="11"/>
      <c r="F800" s="5"/>
    </row>
    <row r="801" spans="1:6" s="74" customFormat="1" x14ac:dyDescent="0.2">
      <c r="A801" s="2"/>
      <c r="B801" s="64"/>
      <c r="C801" s="2"/>
      <c r="D801" s="2"/>
      <c r="E801" s="11"/>
      <c r="F801" s="5"/>
    </row>
    <row r="802" spans="1:6" s="74" customFormat="1" x14ac:dyDescent="0.2">
      <c r="A802" s="2"/>
      <c r="B802" s="64"/>
      <c r="C802" s="2"/>
      <c r="D802" s="2"/>
      <c r="E802" s="11"/>
      <c r="F802" s="5"/>
    </row>
    <row r="803" spans="1:6" s="74" customFormat="1" x14ac:dyDescent="0.2">
      <c r="A803" s="2"/>
      <c r="B803" s="64"/>
      <c r="C803" s="2"/>
      <c r="D803" s="2"/>
      <c r="E803" s="11"/>
      <c r="F803" s="5"/>
    </row>
    <row r="804" spans="1:6" s="74" customFormat="1" x14ac:dyDescent="0.2">
      <c r="A804" s="2"/>
      <c r="B804" s="64"/>
      <c r="C804" s="2"/>
      <c r="D804" s="2"/>
      <c r="E804" s="11"/>
      <c r="F804" s="5"/>
    </row>
    <row r="805" spans="1:6" s="74" customFormat="1" x14ac:dyDescent="0.2">
      <c r="A805" s="2"/>
      <c r="B805" s="64"/>
      <c r="C805" s="2"/>
      <c r="D805" s="2"/>
      <c r="E805" s="11"/>
      <c r="F805" s="5"/>
    </row>
    <row r="806" spans="1:6" s="74" customFormat="1" x14ac:dyDescent="0.2">
      <c r="A806" s="2"/>
      <c r="B806" s="64"/>
      <c r="C806" s="2"/>
      <c r="D806" s="2"/>
      <c r="E806" s="11"/>
      <c r="F806" s="5"/>
    </row>
    <row r="807" spans="1:6" s="74" customFormat="1" x14ac:dyDescent="0.2">
      <c r="A807" s="2"/>
      <c r="B807" s="64"/>
      <c r="C807" s="2"/>
      <c r="D807" s="2"/>
      <c r="E807" s="11"/>
      <c r="F807" s="5"/>
    </row>
    <row r="808" spans="1:6" s="74" customFormat="1" x14ac:dyDescent="0.2">
      <c r="A808" s="2"/>
      <c r="B808" s="64"/>
      <c r="C808" s="2"/>
      <c r="D808" s="2"/>
      <c r="E808" s="11"/>
      <c r="F808" s="5"/>
    </row>
    <row r="809" spans="1:6" s="74" customFormat="1" x14ac:dyDescent="0.2">
      <c r="A809" s="2"/>
      <c r="B809" s="64"/>
      <c r="C809" s="2"/>
      <c r="D809" s="2"/>
      <c r="E809" s="11"/>
      <c r="F809" s="5"/>
    </row>
    <row r="810" spans="1:6" s="74" customFormat="1" x14ac:dyDescent="0.2">
      <c r="A810" s="2"/>
      <c r="B810" s="64"/>
      <c r="C810" s="2"/>
      <c r="D810" s="2"/>
      <c r="E810" s="11"/>
      <c r="F810" s="5"/>
    </row>
    <row r="811" spans="1:6" s="74" customFormat="1" x14ac:dyDescent="0.2">
      <c r="A811" s="2"/>
      <c r="B811" s="64"/>
      <c r="C811" s="2"/>
      <c r="D811" s="2"/>
      <c r="E811" s="11"/>
      <c r="F811" s="5"/>
    </row>
    <row r="812" spans="1:6" s="74" customFormat="1" x14ac:dyDescent="0.2">
      <c r="A812" s="2"/>
      <c r="B812" s="64"/>
      <c r="C812" s="2"/>
      <c r="D812" s="2"/>
      <c r="E812" s="11"/>
      <c r="F812" s="5"/>
    </row>
    <row r="813" spans="1:6" s="74" customFormat="1" x14ac:dyDescent="0.2">
      <c r="A813" s="2"/>
      <c r="B813" s="64"/>
      <c r="C813" s="2"/>
      <c r="D813" s="2"/>
      <c r="E813" s="11"/>
      <c r="F813" s="5"/>
    </row>
    <row r="814" spans="1:6" s="74" customFormat="1" x14ac:dyDescent="0.2">
      <c r="A814" s="2"/>
      <c r="B814" s="64"/>
      <c r="C814" s="2"/>
      <c r="D814" s="2"/>
      <c r="E814" s="11"/>
      <c r="F814" s="5"/>
    </row>
    <row r="815" spans="1:6" s="74" customFormat="1" x14ac:dyDescent="0.2">
      <c r="A815" s="2"/>
      <c r="B815" s="64"/>
      <c r="C815" s="2"/>
      <c r="D815" s="2"/>
      <c r="E815" s="11"/>
      <c r="F815" s="5"/>
    </row>
    <row r="816" spans="1:6" s="74" customFormat="1" x14ac:dyDescent="0.2">
      <c r="A816" s="2"/>
      <c r="B816" s="64"/>
      <c r="C816" s="2"/>
      <c r="D816" s="2"/>
      <c r="E816" s="11"/>
      <c r="F816" s="5"/>
    </row>
    <row r="817" spans="1:6" s="74" customFormat="1" x14ac:dyDescent="0.2">
      <c r="A817" s="2"/>
      <c r="B817" s="64"/>
      <c r="C817" s="2"/>
      <c r="D817" s="2"/>
      <c r="E817" s="11"/>
      <c r="F817" s="5"/>
    </row>
    <row r="818" spans="1:6" s="74" customFormat="1" x14ac:dyDescent="0.2">
      <c r="A818" s="2"/>
      <c r="B818" s="64"/>
      <c r="C818" s="2"/>
      <c r="D818" s="2"/>
      <c r="E818" s="11"/>
      <c r="F818" s="5"/>
    </row>
    <row r="819" spans="1:6" s="74" customFormat="1" x14ac:dyDescent="0.2">
      <c r="A819" s="2"/>
      <c r="B819" s="64"/>
      <c r="C819" s="2"/>
      <c r="D819" s="2"/>
      <c r="E819" s="11"/>
      <c r="F819" s="5"/>
    </row>
    <row r="820" spans="1:6" s="74" customFormat="1" x14ac:dyDescent="0.2">
      <c r="A820" s="2"/>
      <c r="B820" s="64"/>
      <c r="C820" s="2"/>
      <c r="D820" s="2"/>
      <c r="E820" s="11"/>
      <c r="F820" s="5"/>
    </row>
    <row r="821" spans="1:6" s="74" customFormat="1" x14ac:dyDescent="0.2">
      <c r="A821" s="2"/>
      <c r="B821" s="64"/>
      <c r="C821" s="2"/>
      <c r="D821" s="2"/>
      <c r="E821" s="11"/>
      <c r="F821" s="5"/>
    </row>
    <row r="822" spans="1:6" s="74" customFormat="1" x14ac:dyDescent="0.2">
      <c r="A822" s="2"/>
      <c r="B822" s="64"/>
      <c r="C822" s="2"/>
      <c r="D822" s="2"/>
      <c r="E822" s="11"/>
      <c r="F822" s="5"/>
    </row>
    <row r="823" spans="1:6" s="74" customFormat="1" x14ac:dyDescent="0.2">
      <c r="A823" s="2"/>
      <c r="B823" s="64"/>
      <c r="C823" s="2"/>
      <c r="D823" s="2"/>
      <c r="E823" s="11"/>
      <c r="F823" s="5"/>
    </row>
    <row r="824" spans="1:6" s="74" customFormat="1" x14ac:dyDescent="0.2">
      <c r="A824" s="2"/>
      <c r="B824" s="64"/>
      <c r="C824" s="2"/>
      <c r="D824" s="2"/>
      <c r="E824" s="11"/>
      <c r="F824" s="5"/>
    </row>
    <row r="825" spans="1:6" s="74" customFormat="1" x14ac:dyDescent="0.2">
      <c r="A825" s="2"/>
      <c r="B825" s="64"/>
      <c r="C825" s="2"/>
      <c r="D825" s="2"/>
      <c r="E825" s="11"/>
      <c r="F825" s="5"/>
    </row>
    <row r="826" spans="1:6" s="74" customFormat="1" x14ac:dyDescent="0.2">
      <c r="A826" s="2"/>
      <c r="B826" s="64"/>
      <c r="C826" s="2"/>
      <c r="D826" s="2"/>
      <c r="E826" s="11"/>
      <c r="F826" s="5"/>
    </row>
    <row r="827" spans="1:6" s="74" customFormat="1" x14ac:dyDescent="0.2">
      <c r="A827" s="2"/>
      <c r="B827" s="64"/>
      <c r="C827" s="2"/>
      <c r="D827" s="2"/>
      <c r="E827" s="11"/>
      <c r="F827" s="5"/>
    </row>
    <row r="828" spans="1:6" s="74" customFormat="1" x14ac:dyDescent="0.2">
      <c r="A828" s="2"/>
      <c r="B828" s="64"/>
      <c r="C828" s="2"/>
      <c r="D828" s="2"/>
      <c r="E828" s="11"/>
      <c r="F828" s="5"/>
    </row>
    <row r="829" spans="1:6" s="74" customFormat="1" x14ac:dyDescent="0.2">
      <c r="A829" s="2"/>
      <c r="B829" s="64"/>
      <c r="C829" s="2"/>
      <c r="D829" s="2"/>
      <c r="E829" s="11"/>
      <c r="F829" s="5"/>
    </row>
    <row r="830" spans="1:6" s="74" customFormat="1" x14ac:dyDescent="0.2">
      <c r="A830" s="2"/>
      <c r="B830" s="64"/>
      <c r="C830" s="2"/>
      <c r="D830" s="2"/>
      <c r="E830" s="11"/>
      <c r="F830" s="5"/>
    </row>
    <row r="831" spans="1:6" s="74" customFormat="1" x14ac:dyDescent="0.2">
      <c r="A831" s="2"/>
      <c r="B831" s="64"/>
      <c r="C831" s="2"/>
      <c r="D831" s="2"/>
      <c r="E831" s="11"/>
      <c r="F831" s="5"/>
    </row>
    <row r="832" spans="1:6" s="74" customFormat="1" x14ac:dyDescent="0.2">
      <c r="A832" s="2"/>
      <c r="B832" s="64"/>
      <c r="C832" s="2"/>
      <c r="D832" s="2"/>
      <c r="E832" s="11"/>
      <c r="F832" s="5"/>
    </row>
    <row r="833" spans="1:6" s="74" customFormat="1" x14ac:dyDescent="0.2">
      <c r="A833" s="2"/>
      <c r="B833" s="64"/>
      <c r="C833" s="2"/>
      <c r="D833" s="2"/>
      <c r="E833" s="11"/>
      <c r="F833" s="5"/>
    </row>
    <row r="834" spans="1:6" s="74" customFormat="1" x14ac:dyDescent="0.2">
      <c r="A834" s="2"/>
      <c r="B834" s="64"/>
      <c r="C834" s="2"/>
      <c r="D834" s="2"/>
      <c r="E834" s="11"/>
      <c r="F834" s="5"/>
    </row>
    <row r="835" spans="1:6" s="74" customFormat="1" x14ac:dyDescent="0.2">
      <c r="A835" s="2"/>
      <c r="B835" s="64"/>
      <c r="C835" s="2"/>
      <c r="D835" s="2"/>
      <c r="E835" s="11"/>
      <c r="F835" s="5"/>
    </row>
    <row r="836" spans="1:6" s="74" customFormat="1" x14ac:dyDescent="0.2">
      <c r="A836" s="2"/>
      <c r="B836" s="64"/>
      <c r="C836" s="2"/>
      <c r="D836" s="2"/>
      <c r="E836" s="11"/>
      <c r="F836" s="5"/>
    </row>
    <row r="837" spans="1:6" s="74" customFormat="1" x14ac:dyDescent="0.2">
      <c r="A837" s="2"/>
      <c r="B837" s="64"/>
      <c r="C837" s="2"/>
      <c r="D837" s="2"/>
      <c r="E837" s="11"/>
      <c r="F837" s="5"/>
    </row>
    <row r="838" spans="1:6" s="74" customFormat="1" x14ac:dyDescent="0.2">
      <c r="A838" s="2"/>
      <c r="B838" s="64"/>
      <c r="C838" s="2"/>
      <c r="D838" s="2"/>
      <c r="E838" s="11"/>
      <c r="F838" s="5"/>
    </row>
    <row r="839" spans="1:6" s="74" customFormat="1" x14ac:dyDescent="0.2">
      <c r="A839" s="2"/>
      <c r="B839" s="64"/>
      <c r="C839" s="2"/>
      <c r="D839" s="2"/>
      <c r="E839" s="11"/>
      <c r="F839" s="5"/>
    </row>
    <row r="840" spans="1:6" s="74" customFormat="1" x14ac:dyDescent="0.2">
      <c r="A840" s="2"/>
      <c r="B840" s="64"/>
      <c r="C840" s="2"/>
      <c r="D840" s="2"/>
      <c r="E840" s="11"/>
      <c r="F840" s="5"/>
    </row>
    <row r="841" spans="1:6" s="74" customFormat="1" x14ac:dyDescent="0.2">
      <c r="A841" s="2"/>
      <c r="B841" s="64"/>
      <c r="C841" s="2"/>
      <c r="D841" s="2"/>
      <c r="E841" s="11"/>
      <c r="F841" s="5"/>
    </row>
    <row r="842" spans="1:6" s="74" customFormat="1" x14ac:dyDescent="0.2">
      <c r="A842" s="2"/>
      <c r="B842" s="64"/>
      <c r="C842" s="2"/>
      <c r="D842" s="2"/>
      <c r="E842" s="11"/>
      <c r="F842" s="5"/>
    </row>
    <row r="843" spans="1:6" s="74" customFormat="1" x14ac:dyDescent="0.2">
      <c r="A843" s="2"/>
      <c r="B843" s="64"/>
      <c r="C843" s="2"/>
      <c r="D843" s="2"/>
      <c r="E843" s="11"/>
      <c r="F843" s="5"/>
    </row>
    <row r="844" spans="1:6" s="74" customFormat="1" x14ac:dyDescent="0.2">
      <c r="A844" s="2"/>
      <c r="B844" s="64"/>
      <c r="C844" s="2"/>
      <c r="D844" s="2"/>
      <c r="E844" s="11"/>
      <c r="F844" s="5"/>
    </row>
    <row r="845" spans="1:6" s="74" customFormat="1" x14ac:dyDescent="0.2">
      <c r="A845" s="2"/>
      <c r="B845" s="64"/>
      <c r="C845" s="2"/>
      <c r="D845" s="2"/>
      <c r="E845" s="11"/>
      <c r="F845" s="5"/>
    </row>
    <row r="846" spans="1:6" s="74" customFormat="1" x14ac:dyDescent="0.2">
      <c r="A846" s="2"/>
      <c r="B846" s="64"/>
      <c r="C846" s="2"/>
      <c r="D846" s="2"/>
      <c r="E846" s="11"/>
      <c r="F846" s="5"/>
    </row>
    <row r="847" spans="1:6" s="74" customFormat="1" x14ac:dyDescent="0.2">
      <c r="A847" s="2"/>
      <c r="B847" s="64"/>
      <c r="C847" s="2"/>
      <c r="D847" s="2"/>
      <c r="E847" s="11"/>
      <c r="F847" s="5"/>
    </row>
    <row r="848" spans="1:6" s="74" customFormat="1" x14ac:dyDescent="0.2">
      <c r="A848" s="2"/>
      <c r="B848" s="64"/>
      <c r="C848" s="2"/>
      <c r="D848" s="2"/>
      <c r="E848" s="11"/>
      <c r="F848" s="5"/>
    </row>
    <row r="849" spans="1:6" s="74" customFormat="1" x14ac:dyDescent="0.2">
      <c r="A849" s="2"/>
      <c r="B849" s="64"/>
      <c r="C849" s="2"/>
      <c r="D849" s="2"/>
      <c r="E849" s="11"/>
      <c r="F849" s="5"/>
    </row>
    <row r="850" spans="1:6" s="74" customFormat="1" x14ac:dyDescent="0.2">
      <c r="A850" s="2"/>
      <c r="B850" s="64"/>
      <c r="C850" s="2"/>
      <c r="D850" s="2"/>
      <c r="E850" s="11"/>
      <c r="F850" s="5"/>
    </row>
    <row r="851" spans="1:6" s="74" customFormat="1" x14ac:dyDescent="0.2">
      <c r="A851" s="2"/>
      <c r="B851" s="64"/>
      <c r="C851" s="2"/>
      <c r="D851" s="2"/>
      <c r="E851" s="11"/>
      <c r="F851" s="5"/>
    </row>
    <row r="852" spans="1:6" s="74" customFormat="1" x14ac:dyDescent="0.2">
      <c r="A852" s="2"/>
      <c r="B852" s="64"/>
      <c r="C852" s="2"/>
      <c r="D852" s="2"/>
      <c r="E852" s="11"/>
      <c r="F852" s="5"/>
    </row>
    <row r="853" spans="1:6" s="74" customFormat="1" x14ac:dyDescent="0.2">
      <c r="A853" s="2"/>
      <c r="B853" s="64"/>
      <c r="C853" s="2"/>
      <c r="D853" s="2"/>
      <c r="E853" s="11"/>
      <c r="F853" s="5"/>
    </row>
    <row r="854" spans="1:6" s="74" customFormat="1" x14ac:dyDescent="0.2">
      <c r="A854" s="2"/>
      <c r="B854" s="64"/>
      <c r="C854" s="2"/>
      <c r="D854" s="2"/>
      <c r="E854" s="11"/>
      <c r="F854" s="5"/>
    </row>
    <row r="855" spans="1:6" s="74" customFormat="1" x14ac:dyDescent="0.2">
      <c r="A855" s="2"/>
      <c r="B855" s="64"/>
      <c r="C855" s="2"/>
      <c r="D855" s="2"/>
      <c r="E855" s="11"/>
      <c r="F855" s="5"/>
    </row>
    <row r="856" spans="1:6" s="74" customFormat="1" x14ac:dyDescent="0.2">
      <c r="A856" s="2"/>
      <c r="B856" s="64"/>
      <c r="C856" s="2"/>
      <c r="D856" s="2"/>
      <c r="E856" s="11"/>
      <c r="F856" s="5"/>
    </row>
    <row r="857" spans="1:6" s="74" customFormat="1" x14ac:dyDescent="0.2">
      <c r="A857" s="2"/>
      <c r="B857" s="64"/>
      <c r="C857" s="2"/>
      <c r="D857" s="2"/>
      <c r="E857" s="11"/>
      <c r="F857" s="5"/>
    </row>
    <row r="858" spans="1:6" s="74" customFormat="1" x14ac:dyDescent="0.2">
      <c r="A858" s="2"/>
      <c r="B858" s="64"/>
      <c r="C858" s="2"/>
      <c r="D858" s="2"/>
      <c r="E858" s="11"/>
      <c r="F858" s="5"/>
    </row>
    <row r="859" spans="1:6" s="74" customFormat="1" x14ac:dyDescent="0.2">
      <c r="A859" s="2"/>
      <c r="B859" s="64"/>
      <c r="C859" s="2"/>
      <c r="D859" s="2"/>
      <c r="E859" s="11"/>
      <c r="F859" s="5"/>
    </row>
    <row r="860" spans="1:6" s="74" customFormat="1" x14ac:dyDescent="0.2">
      <c r="A860" s="2"/>
      <c r="B860" s="64"/>
      <c r="C860" s="2"/>
      <c r="D860" s="2"/>
      <c r="E860" s="11"/>
      <c r="F860" s="5"/>
    </row>
    <row r="861" spans="1:6" s="74" customFormat="1" x14ac:dyDescent="0.2">
      <c r="A861" s="2"/>
      <c r="B861" s="64"/>
      <c r="C861" s="2"/>
      <c r="D861" s="2"/>
      <c r="E861" s="11"/>
      <c r="F861" s="5"/>
    </row>
    <row r="862" spans="1:6" s="74" customFormat="1" x14ac:dyDescent="0.2">
      <c r="A862" s="2"/>
      <c r="B862" s="64"/>
      <c r="C862" s="2"/>
      <c r="D862" s="2"/>
      <c r="E862" s="11"/>
      <c r="F862" s="5"/>
    </row>
    <row r="863" spans="1:6" s="74" customFormat="1" x14ac:dyDescent="0.2">
      <c r="A863" s="2"/>
      <c r="B863" s="64"/>
      <c r="C863" s="2"/>
      <c r="D863" s="2"/>
      <c r="E863" s="11"/>
      <c r="F863" s="5"/>
    </row>
    <row r="864" spans="1:6" s="74" customFormat="1" x14ac:dyDescent="0.2">
      <c r="A864" s="2"/>
      <c r="B864" s="64"/>
      <c r="C864" s="2"/>
      <c r="D864" s="2"/>
      <c r="E864" s="11"/>
      <c r="F864" s="5"/>
    </row>
    <row r="865" spans="1:6" s="74" customFormat="1" x14ac:dyDescent="0.2">
      <c r="A865" s="2"/>
      <c r="B865" s="64"/>
      <c r="C865" s="2"/>
      <c r="D865" s="2"/>
      <c r="E865" s="11"/>
      <c r="F865" s="5"/>
    </row>
    <row r="866" spans="1:6" s="74" customFormat="1" x14ac:dyDescent="0.2">
      <c r="A866" s="2"/>
      <c r="B866" s="64"/>
      <c r="C866" s="2"/>
      <c r="D866" s="2"/>
      <c r="E866" s="11"/>
      <c r="F866" s="5"/>
    </row>
    <row r="867" spans="1:6" s="74" customFormat="1" x14ac:dyDescent="0.2">
      <c r="A867" s="2"/>
      <c r="B867" s="64"/>
      <c r="C867" s="2"/>
      <c r="D867" s="2"/>
      <c r="E867" s="11"/>
      <c r="F867" s="5"/>
    </row>
    <row r="868" spans="1:6" s="74" customFormat="1" x14ac:dyDescent="0.2">
      <c r="A868" s="2"/>
      <c r="B868" s="64"/>
      <c r="C868" s="2"/>
      <c r="D868" s="2"/>
      <c r="E868" s="11"/>
      <c r="F868" s="5"/>
    </row>
    <row r="869" spans="1:6" s="74" customFormat="1" x14ac:dyDescent="0.2">
      <c r="A869" s="2"/>
      <c r="B869" s="64"/>
      <c r="C869" s="2"/>
      <c r="D869" s="2"/>
      <c r="E869" s="11"/>
      <c r="F869" s="5"/>
    </row>
    <row r="870" spans="1:6" s="74" customFormat="1" x14ac:dyDescent="0.2">
      <c r="A870" s="2"/>
      <c r="B870" s="64"/>
      <c r="C870" s="2"/>
      <c r="D870" s="2"/>
      <c r="E870" s="11"/>
      <c r="F870" s="5"/>
    </row>
    <row r="871" spans="1:6" s="74" customFormat="1" x14ac:dyDescent="0.2">
      <c r="A871" s="2"/>
      <c r="B871" s="64"/>
      <c r="C871" s="2"/>
      <c r="D871" s="2"/>
      <c r="E871" s="11"/>
      <c r="F871" s="5"/>
    </row>
    <row r="872" spans="1:6" s="74" customFormat="1" x14ac:dyDescent="0.2">
      <c r="A872" s="2"/>
      <c r="B872" s="64"/>
      <c r="C872" s="2"/>
      <c r="D872" s="2"/>
      <c r="E872" s="11"/>
      <c r="F872" s="5"/>
    </row>
    <row r="873" spans="1:6" s="74" customFormat="1" x14ac:dyDescent="0.2">
      <c r="A873" s="2"/>
      <c r="B873" s="64"/>
      <c r="C873" s="2"/>
      <c r="D873" s="2"/>
      <c r="E873" s="11"/>
      <c r="F873" s="5"/>
    </row>
    <row r="874" spans="1:6" s="74" customFormat="1" x14ac:dyDescent="0.2">
      <c r="A874" s="2"/>
      <c r="B874" s="64"/>
      <c r="C874" s="2"/>
      <c r="D874" s="2"/>
      <c r="E874" s="11"/>
      <c r="F874" s="5"/>
    </row>
    <row r="875" spans="1:6" s="74" customFormat="1" x14ac:dyDescent="0.2">
      <c r="A875" s="2"/>
      <c r="B875" s="64"/>
      <c r="C875" s="2"/>
      <c r="D875" s="2"/>
      <c r="E875" s="11"/>
      <c r="F875" s="5"/>
    </row>
    <row r="876" spans="1:6" s="74" customFormat="1" x14ac:dyDescent="0.2">
      <c r="A876" s="2"/>
      <c r="B876" s="64"/>
      <c r="C876" s="2"/>
      <c r="D876" s="2"/>
      <c r="E876" s="11"/>
      <c r="F876" s="5"/>
    </row>
    <row r="877" spans="1:6" s="74" customFormat="1" x14ac:dyDescent="0.2">
      <c r="A877" s="2"/>
      <c r="B877" s="64"/>
      <c r="C877" s="2"/>
      <c r="D877" s="2"/>
      <c r="E877" s="11"/>
      <c r="F877" s="5"/>
    </row>
    <row r="878" spans="1:6" s="74" customFormat="1" x14ac:dyDescent="0.2">
      <c r="A878" s="2"/>
      <c r="B878" s="64"/>
      <c r="C878" s="2"/>
      <c r="D878" s="2"/>
      <c r="E878" s="11"/>
      <c r="F878" s="5"/>
    </row>
    <row r="879" spans="1:6" s="74" customFormat="1" x14ac:dyDescent="0.2">
      <c r="A879" s="2"/>
      <c r="B879" s="64"/>
      <c r="C879" s="2"/>
      <c r="D879" s="2"/>
      <c r="E879" s="11"/>
      <c r="F879" s="5"/>
    </row>
    <row r="880" spans="1:6" s="74" customFormat="1" x14ac:dyDescent="0.2">
      <c r="A880" s="2"/>
      <c r="B880" s="64"/>
      <c r="C880" s="2"/>
      <c r="D880" s="2"/>
      <c r="E880" s="11"/>
      <c r="F880" s="5"/>
    </row>
    <row r="881" spans="1:6" s="74" customFormat="1" x14ac:dyDescent="0.2">
      <c r="A881" s="2"/>
      <c r="B881" s="64"/>
      <c r="C881" s="2"/>
      <c r="D881" s="2"/>
      <c r="E881" s="11"/>
      <c r="F881" s="5"/>
    </row>
    <row r="882" spans="1:6" s="74" customFormat="1" x14ac:dyDescent="0.2">
      <c r="A882" s="2"/>
      <c r="B882" s="64"/>
      <c r="C882" s="2"/>
      <c r="D882" s="2"/>
      <c r="E882" s="11"/>
      <c r="F882" s="5"/>
    </row>
    <row r="883" spans="1:6" s="74" customFormat="1" x14ac:dyDescent="0.2">
      <c r="A883" s="2"/>
      <c r="B883" s="64"/>
      <c r="C883" s="2"/>
      <c r="D883" s="2"/>
      <c r="E883" s="11"/>
      <c r="F883" s="5"/>
    </row>
    <row r="884" spans="1:6" s="74" customFormat="1" x14ac:dyDescent="0.2">
      <c r="A884" s="2"/>
      <c r="B884" s="64"/>
      <c r="C884" s="2"/>
      <c r="D884" s="2"/>
      <c r="E884" s="11"/>
      <c r="F884" s="5"/>
    </row>
    <row r="885" spans="1:6" s="74" customFormat="1" x14ac:dyDescent="0.2">
      <c r="A885" s="2"/>
      <c r="B885" s="64"/>
      <c r="C885" s="2"/>
      <c r="D885" s="2"/>
      <c r="E885" s="11"/>
      <c r="F885" s="5"/>
    </row>
    <row r="886" spans="1:6" s="74" customFormat="1" x14ac:dyDescent="0.2">
      <c r="A886" s="2"/>
      <c r="B886" s="64"/>
      <c r="C886" s="2"/>
      <c r="D886" s="2"/>
      <c r="E886" s="11"/>
      <c r="F886" s="5"/>
    </row>
    <row r="887" spans="1:6" s="74" customFormat="1" x14ac:dyDescent="0.2">
      <c r="A887" s="2"/>
      <c r="B887" s="64"/>
      <c r="C887" s="2"/>
      <c r="D887" s="2"/>
      <c r="E887" s="11"/>
      <c r="F887" s="5"/>
    </row>
    <row r="888" spans="1:6" s="74" customFormat="1" x14ac:dyDescent="0.2">
      <c r="A888" s="2"/>
      <c r="B888" s="64"/>
      <c r="C888" s="2"/>
      <c r="D888" s="2"/>
      <c r="E888" s="11"/>
      <c r="F888" s="5"/>
    </row>
    <row r="889" spans="1:6" s="74" customFormat="1" x14ac:dyDescent="0.2">
      <c r="A889" s="2"/>
      <c r="B889" s="64"/>
      <c r="C889" s="2"/>
      <c r="D889" s="2"/>
      <c r="E889" s="11"/>
      <c r="F889" s="5"/>
    </row>
    <row r="890" spans="1:6" s="74" customFormat="1" x14ac:dyDescent="0.2">
      <c r="A890" s="2"/>
      <c r="B890" s="64"/>
      <c r="C890" s="2"/>
      <c r="D890" s="2"/>
      <c r="E890" s="11"/>
      <c r="F890" s="5"/>
    </row>
    <row r="891" spans="1:6" s="74" customFormat="1" x14ac:dyDescent="0.2">
      <c r="A891" s="2"/>
      <c r="B891" s="64"/>
      <c r="C891" s="2"/>
      <c r="D891" s="2"/>
      <c r="E891" s="11"/>
      <c r="F891" s="5"/>
    </row>
    <row r="892" spans="1:6" s="74" customFormat="1" x14ac:dyDescent="0.2">
      <c r="A892" s="2"/>
      <c r="B892" s="64"/>
      <c r="C892" s="2"/>
      <c r="D892" s="2"/>
      <c r="E892" s="11"/>
      <c r="F892" s="5"/>
    </row>
    <row r="893" spans="1:6" s="74" customFormat="1" x14ac:dyDescent="0.2">
      <c r="A893" s="2"/>
      <c r="B893" s="64"/>
      <c r="C893" s="2"/>
      <c r="D893" s="2"/>
      <c r="E893" s="11"/>
      <c r="F893" s="5"/>
    </row>
    <row r="894" spans="1:6" s="74" customFormat="1" x14ac:dyDescent="0.2">
      <c r="A894" s="2"/>
      <c r="B894" s="64"/>
      <c r="C894" s="2"/>
      <c r="D894" s="2"/>
      <c r="E894" s="11"/>
      <c r="F894" s="5"/>
    </row>
    <row r="895" spans="1:6" s="74" customFormat="1" x14ac:dyDescent="0.2">
      <c r="A895" s="2"/>
      <c r="B895" s="64"/>
      <c r="C895" s="2"/>
      <c r="D895" s="2"/>
      <c r="E895" s="11"/>
      <c r="F895" s="5"/>
    </row>
    <row r="896" spans="1:6" s="74" customFormat="1" x14ac:dyDescent="0.2">
      <c r="A896" s="2"/>
      <c r="B896" s="64"/>
      <c r="C896" s="2"/>
      <c r="D896" s="2"/>
      <c r="E896" s="11"/>
      <c r="F896" s="5"/>
    </row>
    <row r="897" spans="1:6" s="74" customFormat="1" x14ac:dyDescent="0.2">
      <c r="A897" s="2"/>
      <c r="B897" s="64"/>
      <c r="C897" s="2"/>
      <c r="D897" s="2"/>
      <c r="E897" s="11"/>
      <c r="F897" s="5"/>
    </row>
    <row r="898" spans="1:6" s="74" customFormat="1" x14ac:dyDescent="0.2">
      <c r="A898" s="2"/>
      <c r="B898" s="64"/>
      <c r="C898" s="2"/>
      <c r="D898" s="2"/>
      <c r="E898" s="11"/>
      <c r="F898" s="5"/>
    </row>
    <row r="899" spans="1:6" s="74" customFormat="1" x14ac:dyDescent="0.2">
      <c r="A899" s="2"/>
      <c r="B899" s="64"/>
      <c r="C899" s="2"/>
      <c r="D899" s="2"/>
      <c r="E899" s="11"/>
      <c r="F899" s="5"/>
    </row>
    <row r="900" spans="1:6" s="74" customFormat="1" x14ac:dyDescent="0.2">
      <c r="A900" s="2"/>
      <c r="B900" s="64"/>
      <c r="C900" s="2"/>
      <c r="D900" s="2"/>
      <c r="E900" s="11"/>
      <c r="F900" s="5"/>
    </row>
    <row r="901" spans="1:6" s="74" customFormat="1" x14ac:dyDescent="0.2">
      <c r="A901" s="2"/>
      <c r="B901" s="64"/>
      <c r="C901" s="2"/>
      <c r="D901" s="2"/>
      <c r="E901" s="11"/>
      <c r="F901" s="5"/>
    </row>
    <row r="902" spans="1:6" s="74" customFormat="1" x14ac:dyDescent="0.2">
      <c r="A902" s="2"/>
      <c r="B902" s="64"/>
      <c r="C902" s="2"/>
      <c r="D902" s="2"/>
      <c r="E902" s="11"/>
      <c r="F902" s="5"/>
    </row>
    <row r="903" spans="1:6" s="74" customFormat="1" x14ac:dyDescent="0.2">
      <c r="A903" s="2"/>
      <c r="B903" s="64"/>
      <c r="C903" s="2"/>
      <c r="D903" s="2"/>
      <c r="E903" s="11"/>
      <c r="F903" s="5"/>
    </row>
    <row r="904" spans="1:6" s="74" customFormat="1" x14ac:dyDescent="0.2">
      <c r="A904" s="2"/>
      <c r="B904" s="64"/>
      <c r="C904" s="2"/>
      <c r="D904" s="2"/>
      <c r="E904" s="11"/>
      <c r="F904" s="5"/>
    </row>
    <row r="905" spans="1:6" s="74" customFormat="1" x14ac:dyDescent="0.2">
      <c r="A905" s="2"/>
      <c r="B905" s="64"/>
      <c r="C905" s="2"/>
      <c r="D905" s="2"/>
      <c r="E905" s="11"/>
      <c r="F905" s="5"/>
    </row>
    <row r="906" spans="1:6" s="74" customFormat="1" x14ac:dyDescent="0.2">
      <c r="A906" s="2"/>
      <c r="B906" s="64"/>
      <c r="C906" s="2"/>
      <c r="D906" s="2"/>
      <c r="E906" s="11"/>
      <c r="F906" s="5"/>
    </row>
    <row r="907" spans="1:6" s="74" customFormat="1" x14ac:dyDescent="0.2">
      <c r="A907" s="2"/>
      <c r="B907" s="64"/>
      <c r="C907" s="2"/>
      <c r="D907" s="2"/>
      <c r="E907" s="11"/>
      <c r="F907" s="5"/>
    </row>
    <row r="908" spans="1:6" s="74" customFormat="1" x14ac:dyDescent="0.2">
      <c r="A908" s="2"/>
      <c r="B908" s="64"/>
      <c r="C908" s="2"/>
      <c r="D908" s="2"/>
      <c r="E908" s="11"/>
      <c r="F908" s="5"/>
    </row>
    <row r="909" spans="1:6" s="74" customFormat="1" x14ac:dyDescent="0.2">
      <c r="A909" s="2"/>
      <c r="B909" s="64"/>
      <c r="C909" s="2"/>
      <c r="D909" s="2"/>
      <c r="E909" s="11"/>
      <c r="F909" s="5"/>
    </row>
    <row r="910" spans="1:6" s="74" customFormat="1" x14ac:dyDescent="0.2">
      <c r="A910" s="2"/>
      <c r="B910" s="64"/>
      <c r="C910" s="2"/>
      <c r="D910" s="2"/>
      <c r="E910" s="11"/>
      <c r="F910" s="5"/>
    </row>
    <row r="911" spans="1:6" s="74" customFormat="1" x14ac:dyDescent="0.2">
      <c r="A911" s="2"/>
      <c r="B911" s="64"/>
      <c r="C911" s="2"/>
      <c r="D911" s="2"/>
      <c r="E911" s="11"/>
      <c r="F911" s="5"/>
    </row>
    <row r="912" spans="1:6" s="74" customFormat="1" x14ac:dyDescent="0.2">
      <c r="A912" s="2"/>
      <c r="B912" s="64"/>
      <c r="C912" s="2"/>
      <c r="D912" s="2"/>
      <c r="E912" s="11"/>
      <c r="F912" s="5"/>
    </row>
    <row r="913" spans="1:6" s="74" customFormat="1" x14ac:dyDescent="0.2">
      <c r="A913" s="2"/>
      <c r="B913" s="64"/>
      <c r="C913" s="2"/>
      <c r="D913" s="2"/>
      <c r="E913" s="11"/>
      <c r="F913" s="5"/>
    </row>
    <row r="914" spans="1:6" s="74" customFormat="1" x14ac:dyDescent="0.2">
      <c r="A914" s="2"/>
      <c r="B914" s="64"/>
      <c r="C914" s="2"/>
      <c r="D914" s="2"/>
      <c r="E914" s="11"/>
      <c r="F914" s="5"/>
    </row>
    <row r="915" spans="1:6" s="74" customFormat="1" x14ac:dyDescent="0.2">
      <c r="A915" s="2"/>
      <c r="B915" s="64"/>
      <c r="C915" s="2"/>
      <c r="D915" s="2"/>
      <c r="E915" s="11"/>
      <c r="F915" s="5"/>
    </row>
    <row r="916" spans="1:6" s="74" customFormat="1" x14ac:dyDescent="0.2">
      <c r="A916" s="2"/>
      <c r="B916" s="64"/>
      <c r="C916" s="2"/>
      <c r="D916" s="2"/>
      <c r="E916" s="11"/>
      <c r="F916" s="5"/>
    </row>
    <row r="917" spans="1:6" s="74" customFormat="1" x14ac:dyDescent="0.2">
      <c r="A917" s="2"/>
      <c r="B917" s="64"/>
      <c r="C917" s="2"/>
      <c r="D917" s="2"/>
      <c r="E917" s="11"/>
      <c r="F917" s="5"/>
    </row>
    <row r="918" spans="1:6" s="74" customFormat="1" x14ac:dyDescent="0.2">
      <c r="A918" s="2"/>
      <c r="B918" s="64"/>
      <c r="C918" s="2"/>
      <c r="D918" s="2"/>
      <c r="E918" s="11"/>
      <c r="F918" s="5"/>
    </row>
    <row r="919" spans="1:6" s="74" customFormat="1" x14ac:dyDescent="0.2">
      <c r="A919" s="2"/>
      <c r="B919" s="64"/>
      <c r="C919" s="2"/>
      <c r="D919" s="2"/>
      <c r="E919" s="11"/>
      <c r="F919" s="5"/>
    </row>
    <row r="920" spans="1:6" s="74" customFormat="1" x14ac:dyDescent="0.2">
      <c r="A920" s="2"/>
      <c r="B920" s="64"/>
      <c r="C920" s="2"/>
      <c r="D920" s="2"/>
      <c r="E920" s="11"/>
      <c r="F920" s="5"/>
    </row>
    <row r="921" spans="1:6" s="74" customFormat="1" x14ac:dyDescent="0.2">
      <c r="A921" s="2"/>
      <c r="B921" s="64"/>
      <c r="C921" s="2"/>
      <c r="D921" s="2"/>
      <c r="E921" s="11"/>
      <c r="F921" s="5"/>
    </row>
    <row r="922" spans="1:6" s="74" customFormat="1" x14ac:dyDescent="0.2">
      <c r="A922" s="2"/>
      <c r="B922" s="64"/>
      <c r="C922" s="2"/>
      <c r="D922" s="2"/>
      <c r="E922" s="11"/>
      <c r="F922" s="5"/>
    </row>
    <row r="923" spans="1:6" s="74" customFormat="1" x14ac:dyDescent="0.2">
      <c r="A923" s="2"/>
      <c r="B923" s="64"/>
      <c r="C923" s="2"/>
      <c r="D923" s="2"/>
      <c r="E923" s="11"/>
      <c r="F923" s="5"/>
    </row>
    <row r="924" spans="1:6" s="74" customFormat="1" x14ac:dyDescent="0.2">
      <c r="A924" s="2"/>
      <c r="B924" s="64"/>
      <c r="C924" s="2"/>
      <c r="D924" s="2"/>
      <c r="E924" s="11"/>
      <c r="F924" s="5"/>
    </row>
    <row r="925" spans="1:6" s="74" customFormat="1" x14ac:dyDescent="0.2">
      <c r="A925" s="2"/>
      <c r="B925" s="64"/>
      <c r="C925" s="2"/>
      <c r="D925" s="2"/>
      <c r="E925" s="11"/>
      <c r="F925" s="5"/>
    </row>
    <row r="926" spans="1:6" s="74" customFormat="1" x14ac:dyDescent="0.2">
      <c r="A926" s="2"/>
      <c r="B926" s="64"/>
      <c r="C926" s="2"/>
      <c r="D926" s="2"/>
      <c r="E926" s="11"/>
      <c r="F926" s="5"/>
    </row>
    <row r="927" spans="1:6" s="74" customFormat="1" x14ac:dyDescent="0.2">
      <c r="A927" s="2"/>
      <c r="B927" s="64"/>
      <c r="C927" s="2"/>
      <c r="D927" s="2"/>
      <c r="E927" s="11"/>
      <c r="F927" s="5"/>
    </row>
    <row r="928" spans="1:6" s="74" customFormat="1" x14ac:dyDescent="0.2">
      <c r="A928" s="2"/>
      <c r="B928" s="64"/>
      <c r="C928" s="2"/>
      <c r="D928" s="2"/>
      <c r="E928" s="11"/>
      <c r="F928" s="5"/>
    </row>
    <row r="929" spans="1:6" s="74" customFormat="1" x14ac:dyDescent="0.2">
      <c r="A929" s="2"/>
      <c r="B929" s="64"/>
      <c r="C929" s="2"/>
      <c r="D929" s="2"/>
      <c r="E929" s="11"/>
      <c r="F929" s="5"/>
    </row>
    <row r="930" spans="1:6" s="74" customFormat="1" x14ac:dyDescent="0.2">
      <c r="A930" s="2"/>
      <c r="B930" s="64"/>
      <c r="C930" s="2"/>
      <c r="D930" s="2"/>
      <c r="E930" s="11"/>
      <c r="F930" s="5"/>
    </row>
    <row r="931" spans="1:6" s="74" customFormat="1" x14ac:dyDescent="0.2">
      <c r="A931" s="2"/>
      <c r="B931" s="64"/>
      <c r="C931" s="2"/>
      <c r="D931" s="2"/>
      <c r="E931" s="11"/>
      <c r="F931" s="5"/>
    </row>
    <row r="932" spans="1:6" s="74" customFormat="1" x14ac:dyDescent="0.2">
      <c r="A932" s="2"/>
      <c r="B932" s="64"/>
      <c r="C932" s="2"/>
      <c r="D932" s="2"/>
      <c r="E932" s="11"/>
      <c r="F932" s="5"/>
    </row>
    <row r="933" spans="1:6" s="74" customFormat="1" x14ac:dyDescent="0.2">
      <c r="A933" s="2"/>
      <c r="B933" s="64"/>
      <c r="C933" s="2"/>
      <c r="D933" s="2"/>
      <c r="E933" s="11"/>
      <c r="F933" s="5"/>
    </row>
    <row r="934" spans="1:6" s="74" customFormat="1" x14ac:dyDescent="0.2">
      <c r="A934" s="2"/>
      <c r="B934" s="64"/>
      <c r="C934" s="2"/>
      <c r="D934" s="2"/>
      <c r="E934" s="11"/>
      <c r="F934" s="5"/>
    </row>
    <row r="935" spans="1:6" s="74" customFormat="1" x14ac:dyDescent="0.2">
      <c r="A935" s="2"/>
      <c r="B935" s="64"/>
      <c r="C935" s="2"/>
      <c r="D935" s="2"/>
      <c r="E935" s="11"/>
      <c r="F935" s="5"/>
    </row>
    <row r="936" spans="1:6" s="74" customFormat="1" x14ac:dyDescent="0.2">
      <c r="A936" s="2"/>
      <c r="B936" s="64"/>
      <c r="C936" s="2"/>
      <c r="D936" s="2"/>
      <c r="E936" s="11"/>
      <c r="F936" s="5"/>
    </row>
    <row r="937" spans="1:6" s="74" customFormat="1" x14ac:dyDescent="0.2">
      <c r="A937" s="2"/>
      <c r="B937" s="64"/>
      <c r="C937" s="2"/>
      <c r="D937" s="2"/>
      <c r="E937" s="11"/>
      <c r="F937" s="5"/>
    </row>
    <row r="938" spans="1:6" s="74" customFormat="1" x14ac:dyDescent="0.2">
      <c r="A938" s="2"/>
      <c r="B938" s="64"/>
      <c r="C938" s="2"/>
      <c r="D938" s="2"/>
      <c r="E938" s="11"/>
      <c r="F938" s="5"/>
    </row>
    <row r="939" spans="1:6" s="74" customFormat="1" x14ac:dyDescent="0.2">
      <c r="A939" s="2"/>
      <c r="B939" s="64"/>
      <c r="C939" s="2"/>
      <c r="D939" s="2"/>
      <c r="E939" s="11"/>
      <c r="F939" s="5"/>
    </row>
    <row r="940" spans="1:6" s="74" customFormat="1" x14ac:dyDescent="0.2">
      <c r="A940" s="2"/>
      <c r="B940" s="64"/>
      <c r="C940" s="2"/>
      <c r="D940" s="2"/>
      <c r="E940" s="11"/>
      <c r="F940" s="5"/>
    </row>
    <row r="941" spans="1:6" s="74" customFormat="1" x14ac:dyDescent="0.2">
      <c r="A941" s="2"/>
      <c r="B941" s="64"/>
      <c r="C941" s="2"/>
      <c r="D941" s="2"/>
      <c r="E941" s="11"/>
      <c r="F941" s="5"/>
    </row>
    <row r="942" spans="1:6" s="74" customFormat="1" x14ac:dyDescent="0.2">
      <c r="A942" s="2"/>
      <c r="B942" s="64"/>
      <c r="C942" s="2"/>
      <c r="D942" s="2"/>
      <c r="E942" s="11"/>
      <c r="F942" s="5"/>
    </row>
    <row r="943" spans="1:6" s="74" customFormat="1" x14ac:dyDescent="0.2">
      <c r="A943" s="2"/>
      <c r="B943" s="64"/>
      <c r="C943" s="2"/>
      <c r="D943" s="2"/>
      <c r="E943" s="11"/>
      <c r="F943" s="5"/>
    </row>
    <row r="944" spans="1:6" s="74" customFormat="1" x14ac:dyDescent="0.2">
      <c r="A944" s="2"/>
      <c r="B944" s="64"/>
      <c r="C944" s="2"/>
      <c r="D944" s="2"/>
      <c r="E944" s="11"/>
      <c r="F944" s="5"/>
    </row>
    <row r="945" spans="1:6" s="74" customFormat="1" x14ac:dyDescent="0.2">
      <c r="A945" s="2"/>
      <c r="B945" s="64"/>
      <c r="C945" s="2"/>
      <c r="D945" s="2"/>
      <c r="E945" s="11"/>
      <c r="F945" s="5"/>
    </row>
    <row r="946" spans="1:6" s="74" customFormat="1" x14ac:dyDescent="0.2">
      <c r="A946" s="2"/>
      <c r="B946" s="64"/>
      <c r="C946" s="2"/>
      <c r="D946" s="2"/>
      <c r="E946" s="11"/>
      <c r="F946" s="5"/>
    </row>
    <row r="947" spans="1:6" s="74" customFormat="1" x14ac:dyDescent="0.2">
      <c r="A947" s="2"/>
      <c r="B947" s="64"/>
      <c r="C947" s="2"/>
      <c r="D947" s="2"/>
      <c r="E947" s="11"/>
      <c r="F947" s="5"/>
    </row>
    <row r="948" spans="1:6" s="74" customFormat="1" x14ac:dyDescent="0.2">
      <c r="A948" s="2"/>
      <c r="B948" s="64"/>
      <c r="C948" s="2"/>
      <c r="D948" s="2"/>
      <c r="E948" s="11"/>
      <c r="F948" s="5"/>
    </row>
    <row r="949" spans="1:6" s="74" customFormat="1" x14ac:dyDescent="0.2">
      <c r="A949" s="2"/>
      <c r="B949" s="64"/>
      <c r="C949" s="2"/>
      <c r="D949" s="2"/>
      <c r="E949" s="11"/>
      <c r="F949" s="5"/>
    </row>
    <row r="950" spans="1:6" s="74" customFormat="1" x14ac:dyDescent="0.2">
      <c r="A950" s="2"/>
      <c r="B950" s="64"/>
      <c r="C950" s="2"/>
      <c r="D950" s="2"/>
      <c r="E950" s="11"/>
      <c r="F950" s="5"/>
    </row>
    <row r="951" spans="1:6" s="74" customFormat="1" x14ac:dyDescent="0.2">
      <c r="A951" s="2"/>
      <c r="B951" s="64"/>
      <c r="C951" s="2"/>
      <c r="D951" s="2"/>
      <c r="E951" s="11"/>
      <c r="F951" s="5"/>
    </row>
    <row r="952" spans="1:6" s="74" customFormat="1" x14ac:dyDescent="0.2">
      <c r="A952" s="2"/>
      <c r="B952" s="64"/>
      <c r="C952" s="2"/>
      <c r="D952" s="2"/>
      <c r="E952" s="11"/>
      <c r="F952" s="5"/>
    </row>
    <row r="953" spans="1:6" s="74" customFormat="1" x14ac:dyDescent="0.2">
      <c r="A953" s="2"/>
      <c r="B953" s="64"/>
      <c r="C953" s="2"/>
      <c r="D953" s="2"/>
      <c r="E953" s="11"/>
      <c r="F953" s="5"/>
    </row>
    <row r="954" spans="1:6" s="74" customFormat="1" x14ac:dyDescent="0.2">
      <c r="A954" s="2"/>
      <c r="B954" s="64"/>
      <c r="C954" s="2"/>
      <c r="D954" s="2"/>
      <c r="E954" s="11"/>
      <c r="F954" s="5"/>
    </row>
    <row r="955" spans="1:6" s="74" customFormat="1" x14ac:dyDescent="0.2">
      <c r="A955" s="2"/>
      <c r="B955" s="64"/>
      <c r="C955" s="2"/>
      <c r="D955" s="2"/>
      <c r="E955" s="11"/>
      <c r="F955" s="5"/>
    </row>
    <row r="956" spans="1:6" s="74" customFormat="1" x14ac:dyDescent="0.2">
      <c r="A956" s="2"/>
      <c r="B956" s="64"/>
      <c r="C956" s="2"/>
      <c r="D956" s="2"/>
      <c r="E956" s="11"/>
      <c r="F956" s="5"/>
    </row>
    <row r="957" spans="1:6" s="74" customFormat="1" x14ac:dyDescent="0.2">
      <c r="A957" s="2"/>
      <c r="B957" s="64"/>
      <c r="C957" s="2"/>
      <c r="D957" s="2"/>
      <c r="E957" s="11"/>
      <c r="F957" s="5"/>
    </row>
    <row r="958" spans="1:6" s="74" customFormat="1" x14ac:dyDescent="0.2">
      <c r="A958" s="2"/>
      <c r="B958" s="64"/>
      <c r="C958" s="2"/>
      <c r="D958" s="2"/>
      <c r="E958" s="11"/>
      <c r="F958" s="5"/>
    </row>
    <row r="959" spans="1:6" s="74" customFormat="1" x14ac:dyDescent="0.2">
      <c r="A959" s="2"/>
      <c r="B959" s="64"/>
      <c r="C959" s="2"/>
      <c r="D959" s="2"/>
      <c r="E959" s="11"/>
      <c r="F959" s="5"/>
    </row>
    <row r="960" spans="1:6" s="74" customFormat="1" x14ac:dyDescent="0.2">
      <c r="A960" s="2"/>
      <c r="B960" s="64"/>
      <c r="C960" s="2"/>
      <c r="D960" s="2"/>
      <c r="E960" s="11"/>
      <c r="F960" s="5"/>
    </row>
    <row r="961" spans="1:6" s="74" customFormat="1" x14ac:dyDescent="0.2">
      <c r="A961" s="2"/>
      <c r="B961" s="64"/>
      <c r="C961" s="2"/>
      <c r="D961" s="2"/>
      <c r="E961" s="11"/>
      <c r="F961" s="5"/>
    </row>
    <row r="962" spans="1:6" s="74" customFormat="1" x14ac:dyDescent="0.2">
      <c r="A962" s="2"/>
      <c r="B962" s="64"/>
      <c r="C962" s="2"/>
      <c r="D962" s="2"/>
      <c r="E962" s="11"/>
      <c r="F962" s="5"/>
    </row>
    <row r="963" spans="1:6" s="74" customFormat="1" x14ac:dyDescent="0.2">
      <c r="A963" s="2"/>
      <c r="B963" s="64"/>
      <c r="C963" s="2"/>
      <c r="D963" s="2"/>
      <c r="E963" s="11"/>
      <c r="F963" s="5"/>
    </row>
    <row r="964" spans="1:6" s="74" customFormat="1" x14ac:dyDescent="0.2">
      <c r="A964" s="2"/>
      <c r="B964" s="64"/>
      <c r="C964" s="2"/>
      <c r="D964" s="2"/>
      <c r="E964" s="11"/>
      <c r="F964" s="5"/>
    </row>
    <row r="965" spans="1:6" s="74" customFormat="1" x14ac:dyDescent="0.2">
      <c r="A965" s="2"/>
      <c r="B965" s="64"/>
      <c r="C965" s="2"/>
      <c r="D965" s="2"/>
      <c r="E965" s="11"/>
      <c r="F965" s="5"/>
    </row>
    <row r="966" spans="1:6" s="74" customFormat="1" x14ac:dyDescent="0.2">
      <c r="A966" s="2"/>
      <c r="B966" s="64"/>
      <c r="C966" s="2"/>
      <c r="D966" s="2"/>
      <c r="E966" s="11"/>
      <c r="F966" s="5"/>
    </row>
    <row r="967" spans="1:6" s="74" customFormat="1" x14ac:dyDescent="0.2">
      <c r="A967" s="2"/>
      <c r="B967" s="64"/>
      <c r="C967" s="2"/>
      <c r="D967" s="2"/>
      <c r="E967" s="11"/>
      <c r="F967" s="5"/>
    </row>
    <row r="968" spans="1:6" s="74" customFormat="1" x14ac:dyDescent="0.2">
      <c r="A968" s="2"/>
      <c r="B968" s="64"/>
      <c r="C968" s="2"/>
      <c r="D968" s="2"/>
      <c r="E968" s="11"/>
      <c r="F968" s="5"/>
    </row>
    <row r="969" spans="1:6" s="74" customFormat="1" x14ac:dyDescent="0.2">
      <c r="A969" s="2"/>
      <c r="B969" s="64"/>
      <c r="C969" s="2"/>
      <c r="D969" s="2"/>
      <c r="E969" s="11"/>
      <c r="F969" s="5"/>
    </row>
    <row r="970" spans="1:6" s="74" customFormat="1" x14ac:dyDescent="0.2">
      <c r="A970" s="2"/>
      <c r="B970" s="64"/>
      <c r="C970" s="2"/>
      <c r="D970" s="2"/>
      <c r="E970" s="11"/>
      <c r="F970" s="5"/>
    </row>
    <row r="971" spans="1:6" s="74" customFormat="1" x14ac:dyDescent="0.2">
      <c r="A971" s="2"/>
      <c r="B971" s="64"/>
      <c r="C971" s="2"/>
      <c r="D971" s="2"/>
      <c r="E971" s="11"/>
      <c r="F971" s="5"/>
    </row>
    <row r="972" spans="1:6" s="74" customFormat="1" x14ac:dyDescent="0.2">
      <c r="A972" s="2"/>
      <c r="B972" s="64"/>
      <c r="C972" s="2"/>
      <c r="D972" s="2"/>
      <c r="E972" s="11"/>
      <c r="F972" s="5"/>
    </row>
    <row r="973" spans="1:6" s="74" customFormat="1" x14ac:dyDescent="0.2">
      <c r="A973" s="2"/>
      <c r="B973" s="64"/>
      <c r="C973" s="2"/>
      <c r="D973" s="2"/>
      <c r="E973" s="11"/>
      <c r="F973" s="5"/>
    </row>
    <row r="974" spans="1:6" s="74" customFormat="1" x14ac:dyDescent="0.2">
      <c r="A974" s="2"/>
      <c r="B974" s="64"/>
      <c r="C974" s="2"/>
      <c r="D974" s="2"/>
      <c r="E974" s="11"/>
      <c r="F974" s="5"/>
    </row>
    <row r="975" spans="1:6" s="74" customFormat="1" x14ac:dyDescent="0.2">
      <c r="A975" s="2"/>
      <c r="B975" s="64"/>
      <c r="C975" s="2"/>
      <c r="D975" s="2"/>
      <c r="E975" s="11"/>
      <c r="F975" s="5"/>
    </row>
    <row r="976" spans="1:6" s="74" customFormat="1" x14ac:dyDescent="0.2">
      <c r="A976" s="2"/>
      <c r="B976" s="64"/>
      <c r="C976" s="2"/>
      <c r="D976" s="2"/>
      <c r="E976" s="11"/>
      <c r="F976" s="5"/>
    </row>
    <row r="977" spans="1:6" s="74" customFormat="1" x14ac:dyDescent="0.2">
      <c r="A977" s="2"/>
      <c r="B977" s="64"/>
      <c r="C977" s="2"/>
      <c r="D977" s="2"/>
      <c r="E977" s="11"/>
      <c r="F977" s="5"/>
    </row>
    <row r="978" spans="1:6" s="74" customFormat="1" x14ac:dyDescent="0.2">
      <c r="A978" s="2"/>
      <c r="B978" s="64"/>
      <c r="C978" s="2"/>
      <c r="D978" s="2"/>
      <c r="E978" s="11"/>
      <c r="F978" s="5"/>
    </row>
    <row r="979" spans="1:6" s="74" customFormat="1" x14ac:dyDescent="0.2">
      <c r="A979" s="2"/>
      <c r="B979" s="64"/>
      <c r="C979" s="2"/>
      <c r="D979" s="2"/>
      <c r="E979" s="11"/>
      <c r="F979" s="5"/>
    </row>
    <row r="980" spans="1:6" s="74" customFormat="1" x14ac:dyDescent="0.2">
      <c r="A980" s="2"/>
      <c r="B980" s="64"/>
      <c r="C980" s="2"/>
      <c r="D980" s="2"/>
      <c r="E980" s="11"/>
      <c r="F980" s="5"/>
    </row>
    <row r="981" spans="1:6" s="74" customFormat="1" x14ac:dyDescent="0.2">
      <c r="A981" s="2"/>
      <c r="B981" s="64"/>
      <c r="C981" s="2"/>
      <c r="D981" s="2"/>
      <c r="E981" s="11"/>
      <c r="F981" s="5"/>
    </row>
    <row r="982" spans="1:6" s="74" customFormat="1" x14ac:dyDescent="0.2">
      <c r="A982" s="2"/>
      <c r="B982" s="64"/>
      <c r="C982" s="2"/>
      <c r="D982" s="2"/>
      <c r="E982" s="11"/>
      <c r="F982" s="5"/>
    </row>
    <row r="983" spans="1:6" s="74" customFormat="1" x14ac:dyDescent="0.2">
      <c r="A983" s="2"/>
      <c r="B983" s="64"/>
      <c r="C983" s="2"/>
      <c r="D983" s="2"/>
      <c r="E983" s="11"/>
      <c r="F983" s="5"/>
    </row>
    <row r="984" spans="1:6" s="74" customFormat="1" x14ac:dyDescent="0.2">
      <c r="A984" s="2"/>
      <c r="B984" s="64"/>
      <c r="C984" s="2"/>
      <c r="D984" s="2"/>
      <c r="E984" s="11"/>
      <c r="F984" s="5"/>
    </row>
    <row r="985" spans="1:6" s="74" customFormat="1" x14ac:dyDescent="0.2">
      <c r="A985" s="2"/>
      <c r="B985" s="64"/>
      <c r="C985" s="2"/>
      <c r="D985" s="2"/>
      <c r="E985" s="11"/>
      <c r="F985" s="5"/>
    </row>
    <row r="986" spans="1:6" s="74" customFormat="1" x14ac:dyDescent="0.2">
      <c r="A986" s="2"/>
      <c r="B986" s="64"/>
      <c r="C986" s="2"/>
      <c r="D986" s="2"/>
      <c r="E986" s="11"/>
      <c r="F986" s="5"/>
    </row>
    <row r="987" spans="1:6" s="74" customFormat="1" x14ac:dyDescent="0.2">
      <c r="A987" s="2"/>
      <c r="B987" s="64"/>
      <c r="C987" s="2"/>
      <c r="D987" s="2"/>
      <c r="E987" s="11"/>
      <c r="F987" s="5"/>
    </row>
    <row r="988" spans="1:6" s="74" customFormat="1" x14ac:dyDescent="0.2">
      <c r="A988" s="2"/>
      <c r="B988" s="64"/>
      <c r="C988" s="2"/>
      <c r="D988" s="2"/>
      <c r="E988" s="11"/>
      <c r="F988" s="5"/>
    </row>
    <row r="989" spans="1:6" s="74" customFormat="1" x14ac:dyDescent="0.2">
      <c r="A989" s="2"/>
      <c r="B989" s="64"/>
      <c r="C989" s="2"/>
      <c r="D989" s="2"/>
      <c r="E989" s="11"/>
      <c r="F989" s="5"/>
    </row>
    <row r="990" spans="1:6" s="74" customFormat="1" x14ac:dyDescent="0.2">
      <c r="A990" s="2"/>
      <c r="B990" s="64"/>
      <c r="C990" s="2"/>
      <c r="D990" s="2"/>
      <c r="E990" s="11"/>
      <c r="F990" s="5"/>
    </row>
    <row r="991" spans="1:6" s="74" customFormat="1" x14ac:dyDescent="0.2">
      <c r="A991" s="2"/>
      <c r="B991" s="64"/>
      <c r="C991" s="2"/>
      <c r="D991" s="2"/>
      <c r="E991" s="11"/>
      <c r="F991" s="5"/>
    </row>
    <row r="992" spans="1:6" s="74" customFormat="1" x14ac:dyDescent="0.2">
      <c r="A992" s="2"/>
      <c r="B992" s="64"/>
      <c r="C992" s="2"/>
      <c r="D992" s="2"/>
      <c r="E992" s="11"/>
      <c r="F992" s="5"/>
    </row>
    <row r="993" spans="1:6" s="74" customFormat="1" x14ac:dyDescent="0.2">
      <c r="A993" s="2"/>
      <c r="B993" s="64"/>
      <c r="C993" s="2"/>
      <c r="D993" s="2"/>
      <c r="E993" s="11"/>
      <c r="F993" s="5"/>
    </row>
    <row r="994" spans="1:6" s="74" customFormat="1" x14ac:dyDescent="0.2">
      <c r="A994" s="2"/>
      <c r="B994" s="64"/>
      <c r="C994" s="2"/>
      <c r="D994" s="2"/>
      <c r="E994" s="11"/>
      <c r="F994" s="5"/>
    </row>
    <row r="995" spans="1:6" s="74" customFormat="1" x14ac:dyDescent="0.2">
      <c r="A995" s="2"/>
      <c r="B995" s="64"/>
      <c r="C995" s="2"/>
      <c r="D995" s="2"/>
      <c r="E995" s="11"/>
      <c r="F995" s="5"/>
    </row>
    <row r="996" spans="1:6" s="74" customFormat="1" x14ac:dyDescent="0.2">
      <c r="A996" s="2"/>
      <c r="B996" s="64"/>
      <c r="C996" s="2"/>
      <c r="D996" s="2"/>
      <c r="E996" s="11"/>
      <c r="F996" s="5"/>
    </row>
    <row r="997" spans="1:6" s="74" customFormat="1" x14ac:dyDescent="0.2">
      <c r="A997" s="2"/>
      <c r="B997" s="64"/>
      <c r="C997" s="2"/>
      <c r="D997" s="2"/>
      <c r="E997" s="11"/>
      <c r="F997" s="5"/>
    </row>
    <row r="998" spans="1:6" s="74" customFormat="1" x14ac:dyDescent="0.2">
      <c r="A998" s="2"/>
      <c r="B998" s="64"/>
      <c r="C998" s="2"/>
      <c r="D998" s="2"/>
      <c r="E998" s="11"/>
      <c r="F998" s="5"/>
    </row>
    <row r="999" spans="1:6" s="74" customFormat="1" x14ac:dyDescent="0.2">
      <c r="A999" s="2"/>
      <c r="B999" s="64"/>
      <c r="C999" s="2"/>
      <c r="D999" s="2"/>
      <c r="E999" s="11"/>
      <c r="F999" s="5"/>
    </row>
    <row r="1000" spans="1:6" s="74" customFormat="1" x14ac:dyDescent="0.2">
      <c r="A1000" s="2"/>
      <c r="B1000" s="64"/>
      <c r="C1000" s="2"/>
      <c r="D1000" s="2"/>
      <c r="E1000" s="11"/>
      <c r="F1000" s="5"/>
    </row>
    <row r="1001" spans="1:6" s="74" customFormat="1" x14ac:dyDescent="0.2">
      <c r="A1001" s="2"/>
      <c r="B1001" s="64"/>
      <c r="C1001" s="2"/>
      <c r="D1001" s="2"/>
      <c r="E1001" s="11"/>
      <c r="F1001" s="5"/>
    </row>
    <row r="1002" spans="1:6" s="74" customFormat="1" x14ac:dyDescent="0.2">
      <c r="A1002" s="2"/>
      <c r="B1002" s="64"/>
      <c r="C1002" s="2"/>
      <c r="D1002" s="2"/>
      <c r="E1002" s="11"/>
      <c r="F1002" s="5"/>
    </row>
    <row r="1003" spans="1:6" s="74" customFormat="1" x14ac:dyDescent="0.2">
      <c r="A1003" s="2"/>
      <c r="B1003" s="64"/>
      <c r="C1003" s="2"/>
      <c r="D1003" s="2"/>
      <c r="E1003" s="11"/>
      <c r="F1003" s="5"/>
    </row>
    <row r="1004" spans="1:6" s="74" customFormat="1" x14ac:dyDescent="0.2">
      <c r="A1004" s="2"/>
      <c r="B1004" s="64"/>
      <c r="C1004" s="2"/>
      <c r="D1004" s="2"/>
      <c r="E1004" s="11"/>
      <c r="F1004" s="5"/>
    </row>
    <row r="1005" spans="1:6" s="74" customFormat="1" x14ac:dyDescent="0.2">
      <c r="A1005" s="2"/>
      <c r="B1005" s="64"/>
      <c r="C1005" s="2"/>
      <c r="D1005" s="2"/>
      <c r="E1005" s="11"/>
      <c r="F1005" s="5"/>
    </row>
    <row r="1006" spans="1:6" s="74" customFormat="1" x14ac:dyDescent="0.2">
      <c r="A1006" s="2"/>
      <c r="B1006" s="64"/>
      <c r="C1006" s="2"/>
      <c r="D1006" s="2"/>
      <c r="E1006" s="11"/>
      <c r="F1006" s="5"/>
    </row>
    <row r="1007" spans="1:6" s="74" customFormat="1" x14ac:dyDescent="0.2">
      <c r="A1007" s="2"/>
      <c r="B1007" s="64"/>
      <c r="C1007" s="2"/>
      <c r="D1007" s="2"/>
      <c r="E1007" s="11"/>
      <c r="F1007" s="5"/>
    </row>
    <row r="1008" spans="1:6" s="74" customFormat="1" x14ac:dyDescent="0.2">
      <c r="A1008" s="2"/>
      <c r="B1008" s="64"/>
      <c r="C1008" s="2"/>
      <c r="D1008" s="2"/>
      <c r="E1008" s="11"/>
      <c r="F1008" s="5"/>
    </row>
    <row r="1009" spans="1:6" s="74" customFormat="1" x14ac:dyDescent="0.2">
      <c r="A1009" s="2"/>
      <c r="B1009" s="64"/>
      <c r="C1009" s="2"/>
      <c r="D1009" s="2"/>
      <c r="E1009" s="11"/>
      <c r="F1009" s="5"/>
    </row>
    <row r="1010" spans="1:6" s="74" customFormat="1" x14ac:dyDescent="0.2">
      <c r="A1010" s="2"/>
      <c r="B1010" s="64"/>
      <c r="C1010" s="2"/>
      <c r="D1010" s="2"/>
      <c r="E1010" s="11"/>
      <c r="F1010" s="5"/>
    </row>
    <row r="1011" spans="1:6" s="74" customFormat="1" x14ac:dyDescent="0.2">
      <c r="A1011" s="2"/>
      <c r="B1011" s="64"/>
      <c r="C1011" s="2"/>
      <c r="D1011" s="2"/>
      <c r="E1011" s="11"/>
      <c r="F1011" s="5"/>
    </row>
    <row r="1012" spans="1:6" s="74" customFormat="1" x14ac:dyDescent="0.2">
      <c r="A1012" s="2"/>
      <c r="B1012" s="64"/>
      <c r="C1012" s="2"/>
      <c r="D1012" s="2"/>
      <c r="E1012" s="11"/>
      <c r="F1012" s="5"/>
    </row>
    <row r="1013" spans="1:6" s="74" customFormat="1" x14ac:dyDescent="0.2">
      <c r="A1013" s="2"/>
      <c r="B1013" s="64"/>
      <c r="C1013" s="2"/>
      <c r="D1013" s="2"/>
      <c r="E1013" s="11"/>
      <c r="F1013" s="5"/>
    </row>
    <row r="1014" spans="1:6" s="74" customFormat="1" x14ac:dyDescent="0.2">
      <c r="A1014" s="2"/>
      <c r="B1014" s="64"/>
      <c r="C1014" s="2"/>
      <c r="D1014" s="2"/>
      <c r="E1014" s="11"/>
      <c r="F1014" s="5"/>
    </row>
    <row r="1015" spans="1:6" s="74" customFormat="1" x14ac:dyDescent="0.2">
      <c r="A1015" s="2"/>
      <c r="B1015" s="64"/>
      <c r="C1015" s="2"/>
      <c r="D1015" s="2"/>
      <c r="E1015" s="11"/>
      <c r="F1015" s="5"/>
    </row>
    <row r="1016" spans="1:6" s="74" customFormat="1" x14ac:dyDescent="0.2">
      <c r="A1016" s="2"/>
      <c r="B1016" s="64"/>
      <c r="C1016" s="2"/>
      <c r="D1016" s="2"/>
      <c r="E1016" s="11"/>
      <c r="F1016" s="5"/>
    </row>
    <row r="1017" spans="1:6" s="74" customFormat="1" x14ac:dyDescent="0.2">
      <c r="A1017" s="2"/>
      <c r="B1017" s="64"/>
      <c r="C1017" s="2"/>
      <c r="D1017" s="2"/>
      <c r="E1017" s="11"/>
      <c r="F1017" s="5"/>
    </row>
    <row r="1018" spans="1:6" s="74" customFormat="1" x14ac:dyDescent="0.2">
      <c r="A1018" s="2"/>
      <c r="B1018" s="64"/>
      <c r="C1018" s="2"/>
      <c r="D1018" s="2"/>
      <c r="E1018" s="11"/>
      <c r="F1018" s="5"/>
    </row>
    <row r="1019" spans="1:6" s="74" customFormat="1" x14ac:dyDescent="0.2">
      <c r="A1019" s="2"/>
      <c r="B1019" s="64"/>
      <c r="C1019" s="2"/>
      <c r="D1019" s="2"/>
      <c r="E1019" s="11"/>
      <c r="F1019" s="5"/>
    </row>
    <row r="1020" spans="1:6" s="74" customFormat="1" x14ac:dyDescent="0.2">
      <c r="A1020" s="2"/>
      <c r="B1020" s="64"/>
      <c r="C1020" s="2"/>
      <c r="D1020" s="2"/>
      <c r="E1020" s="11"/>
      <c r="F1020" s="5"/>
    </row>
    <row r="1021" spans="1:6" s="74" customFormat="1" x14ac:dyDescent="0.2">
      <c r="A1021" s="2"/>
      <c r="B1021" s="64"/>
      <c r="C1021" s="2"/>
      <c r="D1021" s="2"/>
      <c r="E1021" s="11"/>
      <c r="F1021" s="5"/>
    </row>
    <row r="1022" spans="1:6" s="74" customFormat="1" x14ac:dyDescent="0.2">
      <c r="A1022" s="2"/>
      <c r="B1022" s="64"/>
      <c r="C1022" s="2"/>
      <c r="D1022" s="2"/>
      <c r="E1022" s="11"/>
      <c r="F1022" s="5"/>
    </row>
    <row r="1023" spans="1:6" s="74" customFormat="1" x14ac:dyDescent="0.2">
      <c r="A1023" s="2"/>
      <c r="B1023" s="64"/>
      <c r="C1023" s="2"/>
      <c r="D1023" s="2"/>
      <c r="E1023" s="11"/>
      <c r="F1023" s="5"/>
    </row>
    <row r="1024" spans="1:6" s="74" customFormat="1" x14ac:dyDescent="0.2">
      <c r="A1024" s="2"/>
      <c r="B1024" s="64"/>
      <c r="C1024" s="2"/>
      <c r="D1024" s="2"/>
      <c r="E1024" s="11"/>
      <c r="F1024" s="5"/>
    </row>
    <row r="1025" spans="1:6" s="74" customFormat="1" x14ac:dyDescent="0.2">
      <c r="A1025" s="2"/>
      <c r="B1025" s="64"/>
      <c r="C1025" s="2"/>
      <c r="D1025" s="2"/>
      <c r="E1025" s="11"/>
      <c r="F1025" s="5"/>
    </row>
    <row r="1026" spans="1:6" s="74" customFormat="1" x14ac:dyDescent="0.2">
      <c r="A1026" s="2"/>
      <c r="B1026" s="64"/>
      <c r="C1026" s="2"/>
      <c r="D1026" s="2"/>
      <c r="E1026" s="11"/>
      <c r="F1026" s="5"/>
    </row>
    <row r="1027" spans="1:6" s="74" customFormat="1" x14ac:dyDescent="0.2">
      <c r="A1027" s="2"/>
      <c r="B1027" s="64"/>
      <c r="C1027" s="2"/>
      <c r="D1027" s="2"/>
      <c r="E1027" s="11"/>
      <c r="F1027" s="5"/>
    </row>
    <row r="1028" spans="1:6" s="74" customFormat="1" x14ac:dyDescent="0.2">
      <c r="A1028" s="2"/>
      <c r="B1028" s="64"/>
      <c r="C1028" s="2"/>
      <c r="D1028" s="2"/>
      <c r="E1028" s="11"/>
      <c r="F1028" s="5"/>
    </row>
    <row r="1029" spans="1:6" s="74" customFormat="1" x14ac:dyDescent="0.2">
      <c r="A1029" s="2"/>
      <c r="B1029" s="64"/>
      <c r="C1029" s="2"/>
      <c r="D1029" s="2"/>
      <c r="E1029" s="11"/>
      <c r="F1029" s="5"/>
    </row>
    <row r="1030" spans="1:6" s="74" customFormat="1" x14ac:dyDescent="0.2">
      <c r="A1030" s="2"/>
      <c r="B1030" s="64"/>
      <c r="C1030" s="2"/>
      <c r="D1030" s="2"/>
      <c r="E1030" s="11"/>
      <c r="F1030" s="5"/>
    </row>
    <row r="1031" spans="1:6" s="74" customFormat="1" x14ac:dyDescent="0.2">
      <c r="A1031" s="2"/>
      <c r="B1031" s="64"/>
      <c r="C1031" s="2"/>
      <c r="D1031" s="2"/>
      <c r="E1031" s="11"/>
      <c r="F1031" s="5"/>
    </row>
    <row r="1032" spans="1:6" s="74" customFormat="1" x14ac:dyDescent="0.2">
      <c r="A1032" s="2"/>
      <c r="B1032" s="64"/>
      <c r="C1032" s="2"/>
      <c r="D1032" s="2"/>
      <c r="E1032" s="11"/>
      <c r="F1032" s="5"/>
    </row>
    <row r="1033" spans="1:6" s="74" customFormat="1" x14ac:dyDescent="0.2">
      <c r="A1033" s="2"/>
      <c r="B1033" s="64"/>
      <c r="C1033" s="2"/>
      <c r="D1033" s="2"/>
      <c r="E1033" s="11"/>
      <c r="F1033" s="5"/>
    </row>
    <row r="1034" spans="1:6" s="74" customFormat="1" x14ac:dyDescent="0.2">
      <c r="A1034" s="2"/>
      <c r="B1034" s="64"/>
      <c r="C1034" s="2"/>
      <c r="D1034" s="2"/>
      <c r="E1034" s="11"/>
      <c r="F1034" s="5"/>
    </row>
    <row r="1035" spans="1:6" s="74" customFormat="1" x14ac:dyDescent="0.2">
      <c r="A1035" s="2"/>
      <c r="B1035" s="64"/>
      <c r="C1035" s="2"/>
      <c r="D1035" s="2"/>
      <c r="E1035" s="11"/>
      <c r="F1035" s="5"/>
    </row>
    <row r="1036" spans="1:6" s="74" customFormat="1" x14ac:dyDescent="0.2">
      <c r="A1036" s="2"/>
      <c r="B1036" s="64"/>
      <c r="C1036" s="2"/>
      <c r="D1036" s="2"/>
      <c r="E1036" s="11"/>
      <c r="F1036" s="5"/>
    </row>
    <row r="1037" spans="1:6" s="74" customFormat="1" x14ac:dyDescent="0.2">
      <c r="A1037" s="2"/>
      <c r="B1037" s="64"/>
      <c r="C1037" s="2"/>
      <c r="D1037" s="2"/>
      <c r="E1037" s="11"/>
      <c r="F1037" s="5"/>
    </row>
    <row r="1038" spans="1:6" s="74" customFormat="1" x14ac:dyDescent="0.2">
      <c r="A1038" s="2"/>
      <c r="B1038" s="64"/>
      <c r="C1038" s="2"/>
      <c r="D1038" s="2"/>
      <c r="E1038" s="11"/>
      <c r="F1038" s="5"/>
    </row>
    <row r="1039" spans="1:6" s="74" customFormat="1" x14ac:dyDescent="0.2">
      <c r="A1039" s="2"/>
      <c r="B1039" s="64"/>
      <c r="C1039" s="2"/>
      <c r="D1039" s="2"/>
      <c r="E1039" s="11"/>
      <c r="F1039" s="5"/>
    </row>
    <row r="1040" spans="1:6" s="74" customFormat="1" x14ac:dyDescent="0.2">
      <c r="A1040" s="2"/>
      <c r="B1040" s="64"/>
      <c r="C1040" s="2"/>
      <c r="D1040" s="2"/>
      <c r="E1040" s="11"/>
      <c r="F1040" s="5"/>
    </row>
    <row r="1041" spans="1:6" s="74" customFormat="1" x14ac:dyDescent="0.2">
      <c r="A1041" s="2"/>
      <c r="B1041" s="64"/>
      <c r="C1041" s="2"/>
      <c r="D1041" s="2"/>
      <c r="E1041" s="11"/>
      <c r="F1041" s="5"/>
    </row>
    <row r="1042" spans="1:6" s="74" customFormat="1" x14ac:dyDescent="0.2">
      <c r="A1042" s="2"/>
      <c r="B1042" s="64"/>
      <c r="C1042" s="2"/>
      <c r="D1042" s="2"/>
      <c r="E1042" s="11"/>
      <c r="F1042" s="5"/>
    </row>
    <row r="1043" spans="1:6" s="74" customFormat="1" x14ac:dyDescent="0.2">
      <c r="A1043" s="2"/>
      <c r="B1043" s="64"/>
      <c r="C1043" s="2"/>
      <c r="D1043" s="2"/>
      <c r="E1043" s="11"/>
      <c r="F1043" s="5"/>
    </row>
    <row r="1044" spans="1:6" s="74" customFormat="1" x14ac:dyDescent="0.2">
      <c r="A1044" s="2"/>
      <c r="B1044" s="64"/>
      <c r="C1044" s="2"/>
      <c r="D1044" s="2"/>
      <c r="E1044" s="11"/>
      <c r="F1044" s="5"/>
    </row>
    <row r="1045" spans="1:6" s="74" customFormat="1" x14ac:dyDescent="0.2">
      <c r="A1045" s="2"/>
      <c r="B1045" s="64"/>
      <c r="C1045" s="2"/>
      <c r="D1045" s="2"/>
      <c r="E1045" s="11"/>
      <c r="F1045" s="5"/>
    </row>
    <row r="1046" spans="1:6" s="74" customFormat="1" x14ac:dyDescent="0.2">
      <c r="A1046" s="2"/>
      <c r="B1046" s="64"/>
      <c r="C1046" s="2"/>
      <c r="D1046" s="2"/>
      <c r="E1046" s="11"/>
      <c r="F1046" s="5"/>
    </row>
    <row r="1047" spans="1:6" s="74" customFormat="1" x14ac:dyDescent="0.2">
      <c r="A1047" s="2"/>
      <c r="B1047" s="64"/>
      <c r="C1047" s="2"/>
      <c r="D1047" s="2"/>
      <c r="E1047" s="11"/>
      <c r="F1047" s="5"/>
    </row>
    <row r="1048" spans="1:6" s="74" customFormat="1" x14ac:dyDescent="0.2">
      <c r="A1048" s="2"/>
      <c r="B1048" s="64"/>
      <c r="C1048" s="2"/>
      <c r="D1048" s="2"/>
      <c r="E1048" s="11"/>
      <c r="F1048" s="5"/>
    </row>
    <row r="1049" spans="1:6" s="74" customFormat="1" x14ac:dyDescent="0.2">
      <c r="A1049" s="2"/>
      <c r="B1049" s="64"/>
      <c r="C1049" s="2"/>
      <c r="D1049" s="2"/>
      <c r="E1049" s="11"/>
      <c r="F1049" s="5"/>
    </row>
    <row r="1050" spans="1:6" s="74" customFormat="1" x14ac:dyDescent="0.2">
      <c r="A1050" s="2"/>
      <c r="B1050" s="64"/>
      <c r="C1050" s="2"/>
      <c r="D1050" s="2"/>
      <c r="E1050" s="11"/>
      <c r="F1050" s="5"/>
    </row>
    <row r="1051" spans="1:6" s="74" customFormat="1" x14ac:dyDescent="0.2">
      <c r="A1051" s="2"/>
      <c r="B1051" s="64"/>
      <c r="C1051" s="2"/>
      <c r="D1051" s="2"/>
      <c r="E1051" s="11"/>
      <c r="F1051" s="5"/>
    </row>
    <row r="1052" spans="1:6" s="74" customFormat="1" x14ac:dyDescent="0.2">
      <c r="A1052" s="2"/>
      <c r="B1052" s="64"/>
      <c r="C1052" s="2"/>
      <c r="D1052" s="2"/>
      <c r="E1052" s="11"/>
      <c r="F1052" s="5"/>
    </row>
    <row r="1053" spans="1:6" s="74" customFormat="1" x14ac:dyDescent="0.2">
      <c r="A1053" s="2"/>
      <c r="B1053" s="64"/>
      <c r="C1053" s="2"/>
      <c r="D1053" s="2"/>
      <c r="E1053" s="11"/>
      <c r="F1053" s="5"/>
    </row>
    <row r="1054" spans="1:6" s="74" customFormat="1" x14ac:dyDescent="0.2">
      <c r="A1054" s="2"/>
      <c r="B1054" s="64"/>
      <c r="C1054" s="2"/>
      <c r="D1054" s="2"/>
      <c r="E1054" s="11"/>
      <c r="F1054" s="5"/>
    </row>
    <row r="1055" spans="1:6" s="74" customFormat="1" x14ac:dyDescent="0.2">
      <c r="A1055" s="2"/>
      <c r="B1055" s="64"/>
      <c r="C1055" s="2"/>
      <c r="D1055" s="2"/>
      <c r="E1055" s="11"/>
      <c r="F1055" s="5"/>
    </row>
    <row r="1056" spans="1:6" s="74" customFormat="1" x14ac:dyDescent="0.2">
      <c r="A1056" s="2"/>
      <c r="B1056" s="64"/>
      <c r="C1056" s="2"/>
      <c r="D1056" s="2"/>
      <c r="E1056" s="11"/>
      <c r="F1056" s="5"/>
    </row>
    <row r="1057" spans="1:6" s="74" customFormat="1" x14ac:dyDescent="0.2">
      <c r="A1057" s="2"/>
      <c r="B1057" s="64"/>
      <c r="C1057" s="2"/>
      <c r="D1057" s="2"/>
      <c r="E1057" s="11"/>
      <c r="F1057" s="5"/>
    </row>
    <row r="1058" spans="1:6" s="74" customFormat="1" x14ac:dyDescent="0.2">
      <c r="A1058" s="2"/>
      <c r="B1058" s="64"/>
      <c r="C1058" s="2"/>
      <c r="D1058" s="2"/>
      <c r="E1058" s="11"/>
      <c r="F1058" s="5"/>
    </row>
    <row r="1059" spans="1:6" s="74" customFormat="1" x14ac:dyDescent="0.2">
      <c r="A1059" s="2"/>
      <c r="B1059" s="64"/>
      <c r="C1059" s="2"/>
      <c r="D1059" s="2"/>
      <c r="E1059" s="11"/>
      <c r="F1059" s="5"/>
    </row>
    <row r="1060" spans="1:6" s="74" customFormat="1" x14ac:dyDescent="0.2">
      <c r="A1060" s="2"/>
      <c r="B1060" s="64"/>
      <c r="C1060" s="2"/>
      <c r="D1060" s="2"/>
      <c r="E1060" s="11"/>
      <c r="F1060" s="5"/>
    </row>
    <row r="1061" spans="1:6" s="74" customFormat="1" x14ac:dyDescent="0.2">
      <c r="A1061" s="2"/>
      <c r="B1061" s="64"/>
      <c r="C1061" s="2"/>
      <c r="D1061" s="2"/>
      <c r="E1061" s="11"/>
      <c r="F1061" s="5"/>
    </row>
    <row r="1062" spans="1:6" s="74" customFormat="1" x14ac:dyDescent="0.2">
      <c r="A1062" s="2"/>
      <c r="B1062" s="64"/>
      <c r="C1062" s="2"/>
      <c r="D1062" s="2"/>
      <c r="E1062" s="11"/>
      <c r="F1062" s="5"/>
    </row>
    <row r="1063" spans="1:6" s="74" customFormat="1" x14ac:dyDescent="0.2">
      <c r="A1063" s="2"/>
      <c r="B1063" s="64"/>
      <c r="C1063" s="2"/>
      <c r="D1063" s="2"/>
      <c r="E1063" s="11"/>
      <c r="F1063" s="5"/>
    </row>
    <row r="1064" spans="1:6" s="74" customFormat="1" x14ac:dyDescent="0.2">
      <c r="A1064" s="2"/>
      <c r="B1064" s="64"/>
      <c r="C1064" s="2"/>
      <c r="D1064" s="2"/>
      <c r="E1064" s="11"/>
      <c r="F1064" s="5"/>
    </row>
    <row r="1065" spans="1:6" s="74" customFormat="1" x14ac:dyDescent="0.2">
      <c r="A1065" s="2"/>
      <c r="B1065" s="64"/>
      <c r="C1065" s="2"/>
      <c r="D1065" s="2"/>
      <c r="E1065" s="11"/>
      <c r="F1065" s="5"/>
    </row>
    <row r="1066" spans="1:6" s="74" customFormat="1" x14ac:dyDescent="0.2">
      <c r="A1066" s="2"/>
      <c r="B1066" s="64"/>
      <c r="C1066" s="2"/>
      <c r="D1066" s="2"/>
      <c r="E1066" s="11"/>
      <c r="F1066" s="5"/>
    </row>
    <row r="1067" spans="1:6" s="74" customFormat="1" x14ac:dyDescent="0.2">
      <c r="A1067" s="2"/>
      <c r="B1067" s="64"/>
      <c r="C1067" s="2"/>
      <c r="D1067" s="2"/>
      <c r="E1067" s="11"/>
      <c r="F1067" s="5"/>
    </row>
    <row r="1068" spans="1:6" s="74" customFormat="1" x14ac:dyDescent="0.2">
      <c r="A1068" s="2"/>
      <c r="B1068" s="64"/>
      <c r="C1068" s="2"/>
      <c r="D1068" s="2"/>
      <c r="E1068" s="11"/>
      <c r="F1068" s="5"/>
    </row>
    <row r="1069" spans="1:6" s="74" customFormat="1" x14ac:dyDescent="0.2">
      <c r="A1069" s="2"/>
      <c r="B1069" s="64"/>
      <c r="C1069" s="2"/>
      <c r="D1069" s="2"/>
      <c r="E1069" s="11"/>
      <c r="F1069" s="5"/>
    </row>
    <row r="1070" spans="1:6" s="74" customFormat="1" x14ac:dyDescent="0.2">
      <c r="A1070" s="2"/>
      <c r="B1070" s="64"/>
      <c r="C1070" s="2"/>
      <c r="D1070" s="2"/>
      <c r="E1070" s="11"/>
      <c r="F1070" s="5"/>
    </row>
    <row r="1071" spans="1:6" s="74" customFormat="1" x14ac:dyDescent="0.2">
      <c r="A1071" s="2"/>
      <c r="B1071" s="64"/>
      <c r="C1071" s="2"/>
      <c r="D1071" s="2"/>
      <c r="E1071" s="11"/>
      <c r="F1071" s="5"/>
    </row>
    <row r="1072" spans="1:6" s="74" customFormat="1" x14ac:dyDescent="0.2">
      <c r="A1072" s="2"/>
      <c r="B1072" s="64"/>
      <c r="C1072" s="2"/>
      <c r="D1072" s="2"/>
      <c r="E1072" s="11"/>
      <c r="F1072" s="5"/>
    </row>
    <row r="1073" spans="1:6" s="74" customFormat="1" x14ac:dyDescent="0.2">
      <c r="A1073" s="2"/>
      <c r="B1073" s="64"/>
      <c r="C1073" s="2"/>
      <c r="D1073" s="2"/>
      <c r="E1073" s="11"/>
      <c r="F1073" s="5"/>
    </row>
    <row r="1074" spans="1:6" s="74" customFormat="1" x14ac:dyDescent="0.2">
      <c r="A1074" s="2"/>
      <c r="B1074" s="64"/>
      <c r="C1074" s="2"/>
      <c r="D1074" s="2"/>
      <c r="E1074" s="11"/>
      <c r="F1074" s="5"/>
    </row>
    <row r="1075" spans="1:6" s="74" customFormat="1" x14ac:dyDescent="0.2">
      <c r="A1075" s="2"/>
      <c r="B1075" s="64"/>
      <c r="C1075" s="2"/>
      <c r="D1075" s="2"/>
      <c r="E1075" s="11"/>
      <c r="F1075" s="5"/>
    </row>
    <row r="1076" spans="1:6" s="74" customFormat="1" x14ac:dyDescent="0.2">
      <c r="A1076" s="2"/>
      <c r="B1076" s="64"/>
      <c r="C1076" s="2"/>
      <c r="D1076" s="2"/>
      <c r="E1076" s="11"/>
      <c r="F1076" s="5"/>
    </row>
    <row r="1077" spans="1:6" s="74" customFormat="1" x14ac:dyDescent="0.2">
      <c r="A1077" s="2"/>
      <c r="B1077" s="64"/>
      <c r="C1077" s="2"/>
      <c r="D1077" s="2"/>
      <c r="E1077" s="11"/>
      <c r="F1077" s="5"/>
    </row>
    <row r="1078" spans="1:6" s="74" customFormat="1" x14ac:dyDescent="0.2">
      <c r="A1078" s="2"/>
      <c r="B1078" s="64"/>
      <c r="C1078" s="2"/>
      <c r="D1078" s="2"/>
      <c r="E1078" s="11"/>
      <c r="F1078" s="5"/>
    </row>
    <row r="1079" spans="1:6" s="74" customFormat="1" x14ac:dyDescent="0.2">
      <c r="A1079" s="2"/>
      <c r="B1079" s="64"/>
      <c r="C1079" s="2"/>
      <c r="D1079" s="2"/>
      <c r="E1079" s="11"/>
      <c r="F1079" s="5"/>
    </row>
    <row r="1080" spans="1:6" s="74" customFormat="1" x14ac:dyDescent="0.2">
      <c r="A1080" s="2"/>
      <c r="B1080" s="64"/>
      <c r="C1080" s="2"/>
      <c r="D1080" s="2"/>
      <c r="E1080" s="11"/>
      <c r="F1080" s="5"/>
    </row>
    <row r="1081" spans="1:6" s="74" customFormat="1" x14ac:dyDescent="0.2">
      <c r="A1081" s="2"/>
      <c r="B1081" s="64"/>
      <c r="C1081" s="2"/>
      <c r="D1081" s="2"/>
      <c r="E1081" s="11"/>
      <c r="F1081" s="5"/>
    </row>
    <row r="1082" spans="1:6" s="74" customFormat="1" x14ac:dyDescent="0.2">
      <c r="A1082" s="2"/>
      <c r="B1082" s="64"/>
      <c r="C1082" s="2"/>
      <c r="D1082" s="2"/>
      <c r="E1082" s="11"/>
      <c r="F1082" s="5"/>
    </row>
    <row r="1083" spans="1:6" s="74" customFormat="1" x14ac:dyDescent="0.2">
      <c r="A1083" s="2"/>
      <c r="B1083" s="64"/>
      <c r="C1083" s="2"/>
      <c r="D1083" s="2"/>
      <c r="E1083" s="11"/>
      <c r="F1083" s="5"/>
    </row>
    <row r="1084" spans="1:6" s="74" customFormat="1" x14ac:dyDescent="0.2">
      <c r="A1084" s="2"/>
      <c r="B1084" s="64"/>
      <c r="C1084" s="2"/>
      <c r="D1084" s="2"/>
      <c r="E1084" s="11"/>
      <c r="F1084" s="5"/>
    </row>
    <row r="1085" spans="1:6" s="74" customFormat="1" x14ac:dyDescent="0.2">
      <c r="A1085" s="2"/>
      <c r="B1085" s="64"/>
      <c r="C1085" s="2"/>
      <c r="D1085" s="2"/>
      <c r="E1085" s="11"/>
      <c r="F1085" s="5"/>
    </row>
    <row r="1086" spans="1:6" s="74" customFormat="1" x14ac:dyDescent="0.2">
      <c r="A1086" s="2"/>
      <c r="B1086" s="64"/>
      <c r="C1086" s="2"/>
      <c r="D1086" s="2"/>
      <c r="E1086" s="11"/>
      <c r="F1086" s="5"/>
    </row>
    <row r="1087" spans="1:6" s="74" customFormat="1" x14ac:dyDescent="0.2">
      <c r="A1087" s="2"/>
      <c r="B1087" s="64"/>
      <c r="C1087" s="2"/>
      <c r="D1087" s="2"/>
      <c r="E1087" s="11"/>
      <c r="F1087" s="5"/>
    </row>
    <row r="1088" spans="1:6" s="74" customFormat="1" x14ac:dyDescent="0.2">
      <c r="A1088" s="2"/>
      <c r="B1088" s="64"/>
      <c r="C1088" s="2"/>
      <c r="D1088" s="2"/>
      <c r="E1088" s="11"/>
      <c r="F1088" s="5"/>
    </row>
    <row r="1089" spans="1:6" s="74" customFormat="1" x14ac:dyDescent="0.2">
      <c r="A1089" s="2"/>
      <c r="B1089" s="64"/>
      <c r="C1089" s="2"/>
      <c r="D1089" s="2"/>
      <c r="E1089" s="11"/>
      <c r="F1089" s="5"/>
    </row>
    <row r="1090" spans="1:6" s="74" customFormat="1" x14ac:dyDescent="0.2">
      <c r="A1090" s="2"/>
      <c r="B1090" s="64"/>
      <c r="C1090" s="2"/>
      <c r="D1090" s="2"/>
      <c r="E1090" s="11"/>
      <c r="F1090" s="5"/>
    </row>
    <row r="1091" spans="1:6" s="74" customFormat="1" x14ac:dyDescent="0.2">
      <c r="A1091" s="2"/>
      <c r="B1091" s="64"/>
      <c r="C1091" s="2"/>
      <c r="D1091" s="2"/>
      <c r="E1091" s="11"/>
      <c r="F1091" s="5"/>
    </row>
    <row r="1092" spans="1:6" s="74" customFormat="1" x14ac:dyDescent="0.2">
      <c r="A1092" s="2"/>
      <c r="B1092" s="64"/>
      <c r="C1092" s="2"/>
      <c r="D1092" s="2"/>
      <c r="E1092" s="11"/>
      <c r="F1092" s="5"/>
    </row>
    <row r="1093" spans="1:6" s="74" customFormat="1" x14ac:dyDescent="0.2">
      <c r="A1093" s="2"/>
      <c r="B1093" s="64"/>
      <c r="C1093" s="2"/>
      <c r="D1093" s="2"/>
      <c r="E1093" s="11"/>
      <c r="F1093" s="5"/>
    </row>
    <row r="1094" spans="1:6" s="74" customFormat="1" x14ac:dyDescent="0.2">
      <c r="A1094" s="2"/>
      <c r="B1094" s="64"/>
      <c r="C1094" s="2"/>
      <c r="D1094" s="2"/>
      <c r="E1094" s="11"/>
      <c r="F1094" s="5"/>
    </row>
    <row r="1095" spans="1:6" s="74" customFormat="1" x14ac:dyDescent="0.2">
      <c r="A1095" s="2"/>
      <c r="B1095" s="64"/>
      <c r="C1095" s="2"/>
      <c r="D1095" s="2"/>
      <c r="E1095" s="11"/>
      <c r="F1095" s="5"/>
    </row>
    <row r="1096" spans="1:6" s="74" customFormat="1" x14ac:dyDescent="0.2">
      <c r="A1096" s="2"/>
      <c r="B1096" s="64"/>
      <c r="C1096" s="2"/>
      <c r="D1096" s="2"/>
      <c r="E1096" s="11"/>
      <c r="F1096" s="5"/>
    </row>
    <row r="1097" spans="1:6" s="74" customFormat="1" x14ac:dyDescent="0.2">
      <c r="A1097" s="2"/>
      <c r="B1097" s="64"/>
      <c r="C1097" s="2"/>
      <c r="D1097" s="2"/>
      <c r="E1097" s="11"/>
      <c r="F1097" s="5"/>
    </row>
    <row r="1098" spans="1:6" s="74" customFormat="1" x14ac:dyDescent="0.2">
      <c r="A1098" s="2"/>
      <c r="B1098" s="64"/>
      <c r="C1098" s="2"/>
      <c r="D1098" s="2"/>
      <c r="E1098" s="11"/>
      <c r="F1098" s="5"/>
    </row>
    <row r="1099" spans="1:6" s="74" customFormat="1" x14ac:dyDescent="0.2">
      <c r="A1099" s="2"/>
      <c r="B1099" s="64"/>
      <c r="C1099" s="2"/>
      <c r="D1099" s="2"/>
      <c r="E1099" s="11"/>
      <c r="F1099" s="5"/>
    </row>
    <row r="1100" spans="1:6" s="74" customFormat="1" x14ac:dyDescent="0.2">
      <c r="A1100" s="2"/>
      <c r="B1100" s="64"/>
      <c r="C1100" s="2"/>
      <c r="D1100" s="2"/>
      <c r="E1100" s="11"/>
      <c r="F1100" s="5"/>
    </row>
    <row r="1101" spans="1:6" s="74" customFormat="1" x14ac:dyDescent="0.2">
      <c r="A1101" s="2"/>
      <c r="B1101" s="64"/>
      <c r="C1101" s="2"/>
      <c r="D1101" s="2"/>
      <c r="E1101" s="11"/>
      <c r="F1101" s="5"/>
    </row>
    <row r="1102" spans="1:6" s="74" customFormat="1" x14ac:dyDescent="0.2">
      <c r="A1102" s="2"/>
      <c r="B1102" s="64"/>
      <c r="C1102" s="2"/>
      <c r="D1102" s="2"/>
      <c r="E1102" s="11"/>
      <c r="F1102" s="5"/>
    </row>
    <row r="1103" spans="1:6" s="74" customFormat="1" x14ac:dyDescent="0.2">
      <c r="A1103" s="2"/>
      <c r="B1103" s="64"/>
      <c r="C1103" s="2"/>
      <c r="D1103" s="2"/>
      <c r="E1103" s="11"/>
      <c r="F1103" s="5"/>
    </row>
    <row r="1104" spans="1:6" s="74" customFormat="1" x14ac:dyDescent="0.2">
      <c r="A1104" s="2"/>
      <c r="B1104" s="64"/>
      <c r="C1104" s="2"/>
      <c r="D1104" s="2"/>
      <c r="E1104" s="11"/>
      <c r="F1104" s="5"/>
    </row>
    <row r="1105" spans="1:6" s="74" customFormat="1" x14ac:dyDescent="0.2">
      <c r="A1105" s="2"/>
      <c r="B1105" s="64"/>
      <c r="C1105" s="2"/>
      <c r="D1105" s="2"/>
      <c r="E1105" s="11"/>
      <c r="F1105" s="5"/>
    </row>
    <row r="1106" spans="1:6" s="74" customFormat="1" x14ac:dyDescent="0.2">
      <c r="A1106" s="2"/>
      <c r="B1106" s="64"/>
      <c r="C1106" s="2"/>
      <c r="D1106" s="2"/>
      <c r="E1106" s="11"/>
      <c r="F1106" s="5"/>
    </row>
    <row r="1107" spans="1:6" s="74" customFormat="1" x14ac:dyDescent="0.2">
      <c r="A1107" s="2"/>
      <c r="B1107" s="64"/>
      <c r="C1107" s="2"/>
      <c r="D1107" s="2"/>
      <c r="E1107" s="11"/>
      <c r="F1107" s="5"/>
    </row>
    <row r="1108" spans="1:6" s="74" customFormat="1" x14ac:dyDescent="0.2">
      <c r="A1108" s="2"/>
      <c r="B1108" s="64"/>
      <c r="C1108" s="2"/>
      <c r="D1108" s="2"/>
      <c r="E1108" s="11"/>
      <c r="F1108" s="5"/>
    </row>
    <row r="1109" spans="1:6" s="74" customFormat="1" x14ac:dyDescent="0.2">
      <c r="A1109" s="2"/>
      <c r="B1109" s="64"/>
      <c r="C1109" s="2"/>
      <c r="D1109" s="2"/>
      <c r="E1109" s="11"/>
      <c r="F1109" s="5"/>
    </row>
    <row r="1110" spans="1:6" s="74" customFormat="1" x14ac:dyDescent="0.2">
      <c r="A1110" s="2"/>
      <c r="B1110" s="64"/>
      <c r="C1110" s="2"/>
      <c r="D1110" s="2"/>
      <c r="E1110" s="11"/>
      <c r="F1110" s="5"/>
    </row>
    <row r="1111" spans="1:6" s="74" customFormat="1" x14ac:dyDescent="0.2">
      <c r="A1111" s="2"/>
      <c r="B1111" s="64"/>
      <c r="C1111" s="2"/>
      <c r="D1111" s="2"/>
      <c r="E1111" s="11"/>
      <c r="F1111" s="5"/>
    </row>
    <row r="1112" spans="1:6" s="74" customFormat="1" x14ac:dyDescent="0.2">
      <c r="A1112" s="2"/>
      <c r="B1112" s="64"/>
      <c r="C1112" s="2"/>
      <c r="D1112" s="2"/>
      <c r="E1112" s="11"/>
      <c r="F1112" s="5"/>
    </row>
    <row r="1113" spans="1:6" s="74" customFormat="1" x14ac:dyDescent="0.2">
      <c r="A1113" s="2"/>
      <c r="B1113" s="64"/>
      <c r="C1113" s="2"/>
      <c r="D1113" s="2"/>
      <c r="E1113" s="11"/>
      <c r="F1113" s="5"/>
    </row>
    <row r="1114" spans="1:6" s="74" customFormat="1" x14ac:dyDescent="0.2">
      <c r="A1114" s="2"/>
      <c r="B1114" s="64"/>
      <c r="C1114" s="2"/>
      <c r="D1114" s="2"/>
      <c r="E1114" s="11"/>
      <c r="F1114" s="5"/>
    </row>
    <row r="1115" spans="1:6" s="74" customFormat="1" x14ac:dyDescent="0.2">
      <c r="A1115" s="2"/>
      <c r="B1115" s="64"/>
      <c r="C1115" s="2"/>
      <c r="D1115" s="2"/>
      <c r="E1115" s="11"/>
      <c r="F1115" s="5"/>
    </row>
    <row r="1116" spans="1:6" s="74" customFormat="1" x14ac:dyDescent="0.2">
      <c r="A1116" s="2"/>
      <c r="B1116" s="64"/>
      <c r="C1116" s="2"/>
      <c r="D1116" s="2"/>
      <c r="E1116" s="11"/>
      <c r="F1116" s="5"/>
    </row>
    <row r="1117" spans="1:6" s="74" customFormat="1" x14ac:dyDescent="0.2">
      <c r="A1117" s="2"/>
      <c r="B1117" s="64"/>
      <c r="C1117" s="2"/>
      <c r="D1117" s="2"/>
      <c r="E1117" s="11"/>
      <c r="F1117" s="5"/>
    </row>
    <row r="1118" spans="1:6" s="74" customFormat="1" x14ac:dyDescent="0.2">
      <c r="A1118" s="2"/>
      <c r="B1118" s="64"/>
      <c r="C1118" s="2"/>
      <c r="D1118" s="2"/>
      <c r="E1118" s="11"/>
      <c r="F1118" s="5"/>
    </row>
    <row r="1119" spans="1:6" s="74" customFormat="1" x14ac:dyDescent="0.2">
      <c r="A1119" s="2"/>
      <c r="B1119" s="64"/>
      <c r="C1119" s="2"/>
      <c r="D1119" s="2"/>
      <c r="E1119" s="11"/>
      <c r="F1119" s="5"/>
    </row>
    <row r="1120" spans="1:6" s="74" customFormat="1" x14ac:dyDescent="0.2">
      <c r="A1120" s="2"/>
      <c r="B1120" s="64"/>
      <c r="C1120" s="2"/>
      <c r="D1120" s="2"/>
      <c r="E1120" s="11"/>
      <c r="F1120" s="5"/>
    </row>
    <row r="1121" spans="1:6" s="74" customFormat="1" x14ac:dyDescent="0.2">
      <c r="A1121" s="2"/>
      <c r="B1121" s="64"/>
      <c r="C1121" s="2"/>
      <c r="D1121" s="2"/>
      <c r="E1121" s="11"/>
      <c r="F1121" s="5"/>
    </row>
    <row r="1122" spans="1:6" s="74" customFormat="1" x14ac:dyDescent="0.2">
      <c r="A1122" s="2"/>
      <c r="B1122" s="64"/>
      <c r="C1122" s="2"/>
      <c r="D1122" s="2"/>
      <c r="E1122" s="11"/>
      <c r="F1122" s="5"/>
    </row>
    <row r="1123" spans="1:6" s="74" customFormat="1" x14ac:dyDescent="0.2">
      <c r="A1123" s="2"/>
      <c r="B1123" s="64"/>
      <c r="C1123" s="2"/>
      <c r="D1123" s="2"/>
      <c r="E1123" s="11"/>
      <c r="F1123" s="5"/>
    </row>
    <row r="1124" spans="1:6" s="74" customFormat="1" x14ac:dyDescent="0.2">
      <c r="A1124" s="2"/>
      <c r="B1124" s="64"/>
      <c r="C1124" s="2"/>
      <c r="D1124" s="2"/>
      <c r="E1124" s="11"/>
      <c r="F1124" s="5"/>
    </row>
    <row r="1125" spans="1:6" s="74" customFormat="1" x14ac:dyDescent="0.2">
      <c r="A1125" s="2"/>
      <c r="B1125" s="64"/>
      <c r="C1125" s="2"/>
      <c r="D1125" s="2"/>
      <c r="E1125" s="11"/>
      <c r="F1125" s="5"/>
    </row>
    <row r="1126" spans="1:6" s="74" customFormat="1" x14ac:dyDescent="0.2">
      <c r="A1126" s="2"/>
      <c r="B1126" s="64"/>
      <c r="C1126" s="2"/>
      <c r="D1126" s="2"/>
      <c r="E1126" s="11"/>
      <c r="F1126" s="5"/>
    </row>
    <row r="1127" spans="1:6" s="74" customFormat="1" x14ac:dyDescent="0.2">
      <c r="A1127" s="2"/>
      <c r="B1127" s="64"/>
      <c r="C1127" s="2"/>
      <c r="D1127" s="2"/>
      <c r="E1127" s="11"/>
      <c r="F1127" s="5"/>
    </row>
    <row r="1128" spans="1:6" s="74" customFormat="1" x14ac:dyDescent="0.2">
      <c r="A1128" s="2"/>
      <c r="B1128" s="64"/>
      <c r="C1128" s="2"/>
      <c r="D1128" s="2"/>
      <c r="E1128" s="11"/>
      <c r="F1128" s="5"/>
    </row>
    <row r="1129" spans="1:6" s="74" customFormat="1" x14ac:dyDescent="0.2">
      <c r="A1129" s="2"/>
      <c r="B1129" s="64"/>
      <c r="C1129" s="2"/>
      <c r="D1129" s="2"/>
      <c r="E1129" s="11"/>
      <c r="F1129" s="5"/>
    </row>
    <row r="1130" spans="1:6" s="74" customFormat="1" x14ac:dyDescent="0.2">
      <c r="A1130" s="2"/>
      <c r="B1130" s="64"/>
      <c r="C1130" s="2"/>
      <c r="D1130" s="2"/>
      <c r="E1130" s="11"/>
      <c r="F1130" s="5"/>
    </row>
    <row r="1131" spans="1:6" s="74" customFormat="1" x14ac:dyDescent="0.2">
      <c r="A1131" s="2"/>
      <c r="B1131" s="64"/>
      <c r="C1131" s="2"/>
      <c r="D1131" s="2"/>
      <c r="E1131" s="11"/>
      <c r="F1131" s="5"/>
    </row>
    <row r="1132" spans="1:6" s="74" customFormat="1" x14ac:dyDescent="0.2">
      <c r="A1132" s="2"/>
      <c r="B1132" s="64"/>
      <c r="C1132" s="2"/>
      <c r="D1132" s="2"/>
      <c r="E1132" s="11"/>
      <c r="F1132" s="5"/>
    </row>
    <row r="1133" spans="1:6" s="74" customFormat="1" x14ac:dyDescent="0.2">
      <c r="A1133" s="2"/>
      <c r="B1133" s="64"/>
      <c r="C1133" s="2"/>
      <c r="D1133" s="2"/>
      <c r="E1133" s="11"/>
      <c r="F1133" s="5"/>
    </row>
    <row r="1134" spans="1:6" s="74" customFormat="1" x14ac:dyDescent="0.2">
      <c r="A1134" s="2"/>
      <c r="B1134" s="64"/>
      <c r="C1134" s="2"/>
      <c r="D1134" s="2"/>
      <c r="E1134" s="11"/>
      <c r="F1134" s="5"/>
    </row>
    <row r="1135" spans="1:6" s="74" customFormat="1" x14ac:dyDescent="0.2">
      <c r="A1135" s="2"/>
      <c r="B1135" s="64"/>
      <c r="C1135" s="2"/>
      <c r="D1135" s="2"/>
      <c r="E1135" s="11"/>
      <c r="F1135" s="5"/>
    </row>
    <row r="1136" spans="1:6" s="74" customFormat="1" x14ac:dyDescent="0.2">
      <c r="A1136" s="2"/>
      <c r="B1136" s="64"/>
      <c r="C1136" s="2"/>
      <c r="D1136" s="2"/>
      <c r="E1136" s="11"/>
      <c r="F1136" s="5"/>
    </row>
    <row r="1137" spans="1:6" s="74" customFormat="1" x14ac:dyDescent="0.2">
      <c r="A1137" s="2"/>
      <c r="B1137" s="64"/>
      <c r="C1137" s="2"/>
      <c r="D1137" s="2"/>
      <c r="E1137" s="11"/>
      <c r="F1137" s="5"/>
    </row>
    <row r="1138" spans="1:6" s="74" customFormat="1" x14ac:dyDescent="0.2">
      <c r="A1138" s="2"/>
      <c r="B1138" s="64"/>
      <c r="C1138" s="2"/>
      <c r="D1138" s="2"/>
      <c r="E1138" s="11"/>
      <c r="F1138" s="5"/>
    </row>
    <row r="1139" spans="1:6" s="74" customFormat="1" x14ac:dyDescent="0.2">
      <c r="A1139" s="2"/>
      <c r="B1139" s="64"/>
      <c r="C1139" s="2"/>
      <c r="D1139" s="2"/>
      <c r="E1139" s="11"/>
      <c r="F1139" s="5"/>
    </row>
    <row r="1140" spans="1:6" s="74" customFormat="1" x14ac:dyDescent="0.2">
      <c r="A1140" s="2"/>
      <c r="B1140" s="64"/>
      <c r="C1140" s="2"/>
      <c r="D1140" s="2"/>
      <c r="E1140" s="11"/>
      <c r="F1140" s="5"/>
    </row>
    <row r="1141" spans="1:6" s="74" customFormat="1" x14ac:dyDescent="0.2">
      <c r="A1141" s="2"/>
      <c r="B1141" s="64"/>
      <c r="C1141" s="2"/>
      <c r="D1141" s="2"/>
      <c r="E1141" s="11"/>
      <c r="F1141" s="5"/>
    </row>
    <row r="1142" spans="1:6" s="74" customFormat="1" x14ac:dyDescent="0.2">
      <c r="A1142" s="2"/>
      <c r="B1142" s="64"/>
      <c r="C1142" s="2"/>
      <c r="D1142" s="2"/>
      <c r="E1142" s="11"/>
      <c r="F1142" s="5"/>
    </row>
    <row r="1143" spans="1:6" s="74" customFormat="1" x14ac:dyDescent="0.2">
      <c r="A1143" s="2"/>
      <c r="B1143" s="64"/>
      <c r="C1143" s="2"/>
      <c r="D1143" s="2"/>
      <c r="E1143" s="11"/>
      <c r="F1143" s="5"/>
    </row>
    <row r="1144" spans="1:6" s="74" customFormat="1" x14ac:dyDescent="0.2">
      <c r="A1144" s="2"/>
      <c r="B1144" s="64"/>
      <c r="C1144" s="2"/>
      <c r="D1144" s="2"/>
      <c r="E1144" s="11"/>
      <c r="F1144" s="5"/>
    </row>
    <row r="1145" spans="1:6" s="74" customFormat="1" x14ac:dyDescent="0.2">
      <c r="A1145" s="2"/>
      <c r="B1145" s="64"/>
      <c r="C1145" s="2"/>
      <c r="D1145" s="2"/>
      <c r="E1145" s="11"/>
      <c r="F1145" s="5"/>
    </row>
    <row r="1146" spans="1:6" s="74" customFormat="1" x14ac:dyDescent="0.2">
      <c r="A1146" s="2"/>
      <c r="B1146" s="64"/>
      <c r="C1146" s="2"/>
      <c r="D1146" s="2"/>
      <c r="E1146" s="11"/>
      <c r="F1146" s="5"/>
    </row>
    <row r="1147" spans="1:6" s="74" customFormat="1" x14ac:dyDescent="0.2">
      <c r="A1147" s="2"/>
      <c r="B1147" s="64"/>
      <c r="C1147" s="2"/>
      <c r="D1147" s="2"/>
      <c r="E1147" s="11"/>
      <c r="F1147" s="5"/>
    </row>
    <row r="1148" spans="1:6" s="74" customFormat="1" x14ac:dyDescent="0.2">
      <c r="A1148" s="2"/>
      <c r="B1148" s="64"/>
      <c r="C1148" s="2"/>
      <c r="D1148" s="2"/>
      <c r="E1148" s="11"/>
      <c r="F1148" s="5"/>
    </row>
    <row r="1149" spans="1:6" s="74" customFormat="1" x14ac:dyDescent="0.2">
      <c r="A1149" s="2"/>
      <c r="B1149" s="64"/>
      <c r="C1149" s="2"/>
      <c r="D1149" s="2"/>
      <c r="E1149" s="11"/>
      <c r="F1149" s="5"/>
    </row>
    <row r="1150" spans="1:6" s="74" customFormat="1" x14ac:dyDescent="0.2">
      <c r="A1150" s="2"/>
      <c r="B1150" s="64"/>
      <c r="C1150" s="2"/>
      <c r="D1150" s="2"/>
      <c r="E1150" s="11"/>
      <c r="F1150" s="5"/>
    </row>
    <row r="1151" spans="1:6" s="74" customFormat="1" x14ac:dyDescent="0.2">
      <c r="A1151" s="2"/>
      <c r="B1151" s="64"/>
      <c r="C1151" s="2"/>
      <c r="D1151" s="2"/>
      <c r="E1151" s="11"/>
      <c r="F1151" s="5"/>
    </row>
    <row r="1152" spans="1:6" s="74" customFormat="1" x14ac:dyDescent="0.2">
      <c r="A1152" s="2"/>
      <c r="B1152" s="64"/>
      <c r="C1152" s="2"/>
      <c r="D1152" s="2"/>
      <c r="E1152" s="11"/>
      <c r="F1152" s="5"/>
    </row>
    <row r="1153" spans="1:6" s="74" customFormat="1" x14ac:dyDescent="0.2">
      <c r="A1153" s="2"/>
      <c r="B1153" s="64"/>
      <c r="C1153" s="2"/>
      <c r="D1153" s="2"/>
      <c r="E1153" s="11"/>
      <c r="F1153" s="5"/>
    </row>
    <row r="1154" spans="1:6" s="74" customFormat="1" x14ac:dyDescent="0.2">
      <c r="A1154" s="2"/>
      <c r="B1154" s="64"/>
      <c r="C1154" s="2"/>
      <c r="D1154" s="2"/>
      <c r="E1154" s="11"/>
      <c r="F1154" s="5"/>
    </row>
    <row r="1155" spans="1:6" s="74" customFormat="1" x14ac:dyDescent="0.2">
      <c r="A1155" s="2"/>
      <c r="B1155" s="64"/>
      <c r="C1155" s="2"/>
      <c r="D1155" s="2"/>
      <c r="E1155" s="11"/>
      <c r="F1155" s="5"/>
    </row>
    <row r="1156" spans="1:6" s="74" customFormat="1" x14ac:dyDescent="0.2">
      <c r="A1156" s="2"/>
      <c r="B1156" s="64"/>
      <c r="C1156" s="2"/>
      <c r="D1156" s="2"/>
      <c r="E1156" s="11"/>
      <c r="F1156" s="5"/>
    </row>
    <row r="1157" spans="1:6" s="74" customFormat="1" x14ac:dyDescent="0.2">
      <c r="A1157" s="2"/>
      <c r="B1157" s="64"/>
      <c r="C1157" s="2"/>
      <c r="D1157" s="2"/>
      <c r="E1157" s="11"/>
      <c r="F1157" s="5"/>
    </row>
    <row r="1158" spans="1:6" s="74" customFormat="1" x14ac:dyDescent="0.2">
      <c r="A1158" s="2"/>
      <c r="B1158" s="64"/>
      <c r="C1158" s="2"/>
      <c r="D1158" s="2"/>
      <c r="E1158" s="11"/>
      <c r="F1158" s="5"/>
    </row>
    <row r="1159" spans="1:6" s="74" customFormat="1" x14ac:dyDescent="0.2">
      <c r="A1159" s="2"/>
      <c r="B1159" s="64"/>
      <c r="C1159" s="2"/>
      <c r="D1159" s="2"/>
      <c r="E1159" s="11"/>
      <c r="F1159" s="5"/>
    </row>
    <row r="1160" spans="1:6" s="74" customFormat="1" x14ac:dyDescent="0.2">
      <c r="A1160" s="2"/>
      <c r="B1160" s="64"/>
      <c r="C1160" s="2"/>
      <c r="D1160" s="2"/>
      <c r="E1160" s="11"/>
      <c r="F1160" s="5"/>
    </row>
    <row r="1161" spans="1:6" s="74" customFormat="1" x14ac:dyDescent="0.2">
      <c r="A1161" s="2"/>
      <c r="B1161" s="64"/>
      <c r="C1161" s="2"/>
      <c r="D1161" s="2"/>
      <c r="E1161" s="11"/>
      <c r="F1161" s="5"/>
    </row>
    <row r="1162" spans="1:6" s="74" customFormat="1" x14ac:dyDescent="0.2">
      <c r="A1162" s="2"/>
      <c r="B1162" s="64"/>
      <c r="C1162" s="2"/>
      <c r="D1162" s="2"/>
      <c r="E1162" s="11"/>
      <c r="F1162" s="5"/>
    </row>
    <row r="1163" spans="1:6" s="74" customFormat="1" x14ac:dyDescent="0.2">
      <c r="A1163" s="2"/>
      <c r="B1163" s="64"/>
      <c r="C1163" s="2"/>
      <c r="D1163" s="2"/>
      <c r="E1163" s="11"/>
      <c r="F1163" s="5"/>
    </row>
    <row r="1164" spans="1:6" s="74" customFormat="1" x14ac:dyDescent="0.2">
      <c r="A1164" s="2"/>
      <c r="B1164" s="64"/>
      <c r="C1164" s="2"/>
      <c r="D1164" s="2"/>
      <c r="E1164" s="11"/>
      <c r="F1164" s="5"/>
    </row>
    <row r="1165" spans="1:6" s="74" customFormat="1" x14ac:dyDescent="0.2">
      <c r="A1165" s="2"/>
      <c r="B1165" s="64"/>
      <c r="C1165" s="2"/>
      <c r="D1165" s="2"/>
      <c r="E1165" s="11"/>
      <c r="F1165" s="5"/>
    </row>
    <row r="1166" spans="1:6" s="74" customFormat="1" x14ac:dyDescent="0.2">
      <c r="A1166" s="2"/>
      <c r="B1166" s="64"/>
      <c r="C1166" s="2"/>
      <c r="D1166" s="2"/>
      <c r="E1166" s="11"/>
      <c r="F1166" s="5"/>
    </row>
    <row r="1167" spans="1:6" s="74" customFormat="1" x14ac:dyDescent="0.2">
      <c r="A1167" s="2"/>
      <c r="B1167" s="64"/>
      <c r="C1167" s="2"/>
      <c r="D1167" s="2"/>
      <c r="E1167" s="11"/>
      <c r="F1167" s="5"/>
    </row>
    <row r="1168" spans="1:6" s="74" customFormat="1" x14ac:dyDescent="0.2">
      <c r="A1168" s="2"/>
      <c r="B1168" s="64"/>
      <c r="C1168" s="2"/>
      <c r="D1168" s="2"/>
      <c r="E1168" s="11"/>
      <c r="F1168" s="5"/>
    </row>
    <row r="1169" spans="1:6" s="74" customFormat="1" x14ac:dyDescent="0.2">
      <c r="A1169" s="2"/>
      <c r="B1169" s="64"/>
      <c r="C1169" s="2"/>
      <c r="D1169" s="2"/>
      <c r="E1169" s="11"/>
      <c r="F1169" s="5"/>
    </row>
    <row r="1170" spans="1:6" s="74" customFormat="1" x14ac:dyDescent="0.2">
      <c r="A1170" s="2"/>
      <c r="B1170" s="64"/>
      <c r="C1170" s="2"/>
      <c r="D1170" s="2"/>
      <c r="E1170" s="11"/>
      <c r="F1170" s="5"/>
    </row>
    <row r="1171" spans="1:6" s="74" customFormat="1" x14ac:dyDescent="0.2">
      <c r="A1171" s="2"/>
      <c r="B1171" s="64"/>
      <c r="C1171" s="2"/>
      <c r="D1171" s="2"/>
      <c r="E1171" s="11"/>
      <c r="F1171" s="5"/>
    </row>
    <row r="1172" spans="1:6" s="74" customFormat="1" x14ac:dyDescent="0.2">
      <c r="A1172" s="2"/>
      <c r="B1172" s="64"/>
      <c r="C1172" s="2"/>
      <c r="D1172" s="2"/>
      <c r="E1172" s="11"/>
      <c r="F1172" s="5"/>
    </row>
    <row r="1173" spans="1:6" s="74" customFormat="1" x14ac:dyDescent="0.2">
      <c r="A1173" s="2"/>
      <c r="B1173" s="64"/>
      <c r="C1173" s="2"/>
      <c r="D1173" s="2"/>
      <c r="E1173" s="11"/>
      <c r="F1173" s="5"/>
    </row>
    <row r="1174" spans="1:6" s="74" customFormat="1" x14ac:dyDescent="0.2">
      <c r="A1174" s="2"/>
      <c r="B1174" s="64"/>
      <c r="C1174" s="2"/>
      <c r="D1174" s="2"/>
      <c r="E1174" s="11"/>
      <c r="F1174" s="5"/>
    </row>
    <row r="1175" spans="1:6" s="74" customFormat="1" x14ac:dyDescent="0.2">
      <c r="A1175" s="2"/>
      <c r="B1175" s="64"/>
      <c r="C1175" s="2"/>
      <c r="D1175" s="2"/>
      <c r="E1175" s="11"/>
      <c r="F1175" s="5"/>
    </row>
    <row r="1176" spans="1:6" s="74" customFormat="1" x14ac:dyDescent="0.2">
      <c r="A1176" s="2"/>
      <c r="B1176" s="64"/>
      <c r="C1176" s="2"/>
      <c r="D1176" s="2"/>
      <c r="E1176" s="11"/>
      <c r="F1176" s="5"/>
    </row>
    <row r="1177" spans="1:6" s="74" customFormat="1" x14ac:dyDescent="0.2">
      <c r="A1177" s="2"/>
      <c r="B1177" s="64"/>
      <c r="C1177" s="2"/>
      <c r="D1177" s="2"/>
      <c r="E1177" s="11"/>
      <c r="F1177" s="5"/>
    </row>
    <row r="1178" spans="1:6" s="74" customFormat="1" x14ac:dyDescent="0.2">
      <c r="A1178" s="2"/>
      <c r="B1178" s="64"/>
      <c r="C1178" s="2"/>
      <c r="D1178" s="2"/>
      <c r="E1178" s="11"/>
      <c r="F1178" s="5"/>
    </row>
    <row r="1179" spans="1:6" s="74" customFormat="1" x14ac:dyDescent="0.2">
      <c r="A1179" s="2"/>
      <c r="B1179" s="64"/>
      <c r="C1179" s="2"/>
      <c r="D1179" s="2"/>
      <c r="E1179" s="11"/>
      <c r="F1179" s="5"/>
    </row>
    <row r="1180" spans="1:6" s="74" customFormat="1" x14ac:dyDescent="0.2">
      <c r="A1180" s="2"/>
      <c r="B1180" s="64"/>
      <c r="C1180" s="2"/>
      <c r="D1180" s="2"/>
      <c r="E1180" s="11"/>
      <c r="F1180" s="5"/>
    </row>
    <row r="1181" spans="1:6" s="74" customFormat="1" x14ac:dyDescent="0.2">
      <c r="A1181" s="2"/>
      <c r="B1181" s="64"/>
      <c r="C1181" s="2"/>
      <c r="D1181" s="2"/>
      <c r="E1181" s="11"/>
      <c r="F1181" s="5"/>
    </row>
    <row r="1182" spans="1:6" s="74" customFormat="1" x14ac:dyDescent="0.2">
      <c r="A1182" s="2"/>
      <c r="B1182" s="64"/>
      <c r="C1182" s="2"/>
      <c r="D1182" s="2"/>
      <c r="E1182" s="11"/>
      <c r="F1182" s="5"/>
    </row>
    <row r="1183" spans="1:6" s="74" customFormat="1" x14ac:dyDescent="0.2">
      <c r="A1183" s="2"/>
      <c r="B1183" s="64"/>
      <c r="C1183" s="2"/>
      <c r="D1183" s="2"/>
      <c r="E1183" s="11"/>
      <c r="F1183" s="5"/>
    </row>
    <row r="1184" spans="1:6" s="74" customFormat="1" x14ac:dyDescent="0.2">
      <c r="A1184" s="2"/>
      <c r="B1184" s="64"/>
      <c r="C1184" s="2"/>
      <c r="D1184" s="2"/>
      <c r="E1184" s="11"/>
      <c r="F1184" s="5"/>
    </row>
    <row r="1185" spans="1:6" s="74" customFormat="1" x14ac:dyDescent="0.2">
      <c r="A1185" s="2"/>
      <c r="B1185" s="64"/>
      <c r="C1185" s="2"/>
      <c r="D1185" s="2"/>
      <c r="E1185" s="11"/>
      <c r="F1185" s="5"/>
    </row>
    <row r="1186" spans="1:6" s="74" customFormat="1" x14ac:dyDescent="0.2">
      <c r="A1186" s="2"/>
      <c r="B1186" s="64"/>
      <c r="C1186" s="2"/>
      <c r="D1186" s="2"/>
      <c r="E1186" s="11"/>
      <c r="F1186" s="5"/>
    </row>
    <row r="1187" spans="1:6" s="74" customFormat="1" x14ac:dyDescent="0.2">
      <c r="A1187" s="2"/>
      <c r="B1187" s="64"/>
      <c r="C1187" s="2"/>
      <c r="D1187" s="2"/>
      <c r="E1187" s="11"/>
      <c r="F1187" s="5"/>
    </row>
    <row r="1188" spans="1:6" s="74" customFormat="1" x14ac:dyDescent="0.2">
      <c r="A1188" s="2"/>
      <c r="B1188" s="64"/>
      <c r="C1188" s="2"/>
      <c r="D1188" s="2"/>
      <c r="E1188" s="11"/>
      <c r="F1188" s="5"/>
    </row>
    <row r="1189" spans="1:6" s="74" customFormat="1" x14ac:dyDescent="0.2">
      <c r="A1189" s="2"/>
      <c r="B1189" s="64"/>
      <c r="C1189" s="2"/>
      <c r="D1189" s="2"/>
      <c r="E1189" s="11"/>
      <c r="F1189" s="5"/>
    </row>
    <row r="1190" spans="1:6" s="74" customFormat="1" x14ac:dyDescent="0.2">
      <c r="A1190" s="2"/>
      <c r="B1190" s="64"/>
      <c r="C1190" s="2"/>
      <c r="D1190" s="2"/>
      <c r="E1190" s="11"/>
      <c r="F1190" s="5"/>
    </row>
    <row r="1191" spans="1:6" s="74" customFormat="1" x14ac:dyDescent="0.2">
      <c r="A1191" s="2"/>
      <c r="B1191" s="64"/>
      <c r="C1191" s="2"/>
      <c r="D1191" s="2"/>
      <c r="E1191" s="11"/>
      <c r="F1191" s="5"/>
    </row>
    <row r="1192" spans="1:6" s="74" customFormat="1" x14ac:dyDescent="0.2">
      <c r="A1192" s="2"/>
      <c r="B1192" s="64"/>
      <c r="C1192" s="2"/>
      <c r="D1192" s="2"/>
      <c r="E1192" s="11"/>
      <c r="F1192" s="5"/>
    </row>
    <row r="1193" spans="1:6" s="74" customFormat="1" x14ac:dyDescent="0.2">
      <c r="A1193" s="2"/>
      <c r="B1193" s="64"/>
      <c r="C1193" s="2"/>
      <c r="D1193" s="2"/>
      <c r="E1193" s="11"/>
      <c r="F1193" s="5"/>
    </row>
    <row r="1194" spans="1:6" s="74" customFormat="1" x14ac:dyDescent="0.2">
      <c r="A1194" s="2"/>
      <c r="B1194" s="64"/>
      <c r="C1194" s="2"/>
      <c r="D1194" s="2"/>
      <c r="E1194" s="11"/>
      <c r="F1194" s="5"/>
    </row>
    <row r="1195" spans="1:6" s="74" customFormat="1" x14ac:dyDescent="0.2">
      <c r="A1195" s="2"/>
      <c r="B1195" s="64"/>
      <c r="C1195" s="2"/>
      <c r="D1195" s="2"/>
      <c r="E1195" s="11"/>
      <c r="F1195" s="5"/>
    </row>
    <row r="1196" spans="1:6" s="74" customFormat="1" x14ac:dyDescent="0.2">
      <c r="A1196" s="2"/>
      <c r="B1196" s="64"/>
      <c r="C1196" s="2"/>
      <c r="D1196" s="2"/>
      <c r="E1196" s="11"/>
      <c r="F1196" s="5"/>
    </row>
    <row r="1197" spans="1:6" s="74" customFormat="1" x14ac:dyDescent="0.2">
      <c r="A1197" s="2"/>
      <c r="B1197" s="64"/>
      <c r="C1197" s="2"/>
      <c r="D1197" s="2"/>
      <c r="E1197" s="11"/>
      <c r="F1197" s="5"/>
    </row>
    <row r="1198" spans="1:6" s="74" customFormat="1" x14ac:dyDescent="0.2">
      <c r="A1198" s="2"/>
      <c r="B1198" s="64"/>
      <c r="C1198" s="2"/>
      <c r="D1198" s="2"/>
      <c r="E1198" s="11"/>
      <c r="F1198" s="5"/>
    </row>
    <row r="1199" spans="1:6" s="74" customFormat="1" x14ac:dyDescent="0.2">
      <c r="A1199" s="2"/>
      <c r="B1199" s="64"/>
      <c r="C1199" s="2"/>
      <c r="D1199" s="2"/>
      <c r="E1199" s="11"/>
      <c r="F1199" s="5"/>
    </row>
    <row r="1200" spans="1:6" s="74" customFormat="1" x14ac:dyDescent="0.2">
      <c r="A1200" s="2"/>
      <c r="B1200" s="64"/>
      <c r="C1200" s="2"/>
      <c r="D1200" s="2"/>
      <c r="E1200" s="11"/>
      <c r="F1200" s="5"/>
    </row>
    <row r="1201" spans="1:6" s="74" customFormat="1" x14ac:dyDescent="0.2">
      <c r="A1201" s="2"/>
      <c r="B1201" s="64"/>
      <c r="C1201" s="2"/>
      <c r="D1201" s="2"/>
      <c r="E1201" s="11"/>
      <c r="F1201" s="5"/>
    </row>
    <row r="1202" spans="1:6" s="74" customFormat="1" x14ac:dyDescent="0.2">
      <c r="A1202" s="2"/>
      <c r="B1202" s="64"/>
      <c r="C1202" s="2"/>
      <c r="D1202" s="2"/>
      <c r="E1202" s="11"/>
      <c r="F1202" s="5"/>
    </row>
    <row r="1203" spans="1:6" s="74" customFormat="1" x14ac:dyDescent="0.2">
      <c r="A1203" s="2"/>
      <c r="B1203" s="64"/>
      <c r="C1203" s="2"/>
      <c r="D1203" s="2"/>
      <c r="E1203" s="11"/>
      <c r="F1203" s="5"/>
    </row>
    <row r="1204" spans="1:6" s="74" customFormat="1" x14ac:dyDescent="0.2">
      <c r="A1204" s="2"/>
      <c r="B1204" s="64"/>
      <c r="C1204" s="2"/>
      <c r="D1204" s="2"/>
      <c r="E1204" s="11"/>
      <c r="F1204" s="5"/>
    </row>
    <row r="1205" spans="1:6" s="74" customFormat="1" x14ac:dyDescent="0.2">
      <c r="A1205" s="2"/>
      <c r="B1205" s="64"/>
      <c r="C1205" s="2"/>
      <c r="D1205" s="2"/>
      <c r="E1205" s="11"/>
      <c r="F1205" s="5"/>
    </row>
    <row r="1206" spans="1:6" s="74" customFormat="1" x14ac:dyDescent="0.2">
      <c r="A1206" s="2"/>
      <c r="B1206" s="64"/>
      <c r="C1206" s="2"/>
      <c r="D1206" s="2"/>
      <c r="E1206" s="11"/>
      <c r="F1206" s="5"/>
    </row>
    <row r="1207" spans="1:6" s="74" customFormat="1" x14ac:dyDescent="0.2">
      <c r="A1207" s="2"/>
      <c r="B1207" s="64"/>
      <c r="C1207" s="2"/>
      <c r="D1207" s="2"/>
      <c r="E1207" s="11"/>
      <c r="F1207" s="5"/>
    </row>
    <row r="1208" spans="1:6" s="74" customFormat="1" x14ac:dyDescent="0.2">
      <c r="A1208" s="2"/>
      <c r="B1208" s="64"/>
      <c r="C1208" s="2"/>
      <c r="D1208" s="2"/>
      <c r="E1208" s="11"/>
      <c r="F1208" s="5"/>
    </row>
    <row r="1209" spans="1:6" s="74" customFormat="1" x14ac:dyDescent="0.2">
      <c r="A1209" s="2"/>
      <c r="B1209" s="64"/>
      <c r="C1209" s="2"/>
      <c r="D1209" s="2"/>
      <c r="E1209" s="11"/>
      <c r="F1209" s="5"/>
    </row>
    <row r="1210" spans="1:6" s="74" customFormat="1" x14ac:dyDescent="0.2">
      <c r="A1210" s="2"/>
      <c r="B1210" s="64"/>
      <c r="C1210" s="2"/>
      <c r="D1210" s="2"/>
      <c r="E1210" s="11"/>
      <c r="F1210" s="5"/>
    </row>
    <row r="1211" spans="1:6" s="74" customFormat="1" x14ac:dyDescent="0.2">
      <c r="A1211" s="2"/>
      <c r="B1211" s="64"/>
      <c r="C1211" s="2"/>
      <c r="D1211" s="2"/>
      <c r="E1211" s="11"/>
      <c r="F1211" s="5"/>
    </row>
    <row r="1212" spans="1:6" s="74" customFormat="1" x14ac:dyDescent="0.2">
      <c r="A1212" s="2"/>
      <c r="B1212" s="64"/>
      <c r="C1212" s="2"/>
      <c r="D1212" s="2"/>
      <c r="E1212" s="11"/>
      <c r="F1212" s="5"/>
    </row>
    <row r="1213" spans="1:6" s="74" customFormat="1" x14ac:dyDescent="0.2">
      <c r="A1213" s="2"/>
      <c r="B1213" s="64"/>
      <c r="C1213" s="2"/>
      <c r="D1213" s="2"/>
      <c r="E1213" s="11"/>
      <c r="F1213" s="5"/>
    </row>
    <row r="1214" spans="1:6" s="74" customFormat="1" x14ac:dyDescent="0.2">
      <c r="A1214" s="2"/>
      <c r="B1214" s="64"/>
      <c r="C1214" s="2"/>
      <c r="D1214" s="2"/>
      <c r="E1214" s="11"/>
      <c r="F1214" s="5"/>
    </row>
    <row r="1215" spans="1:6" s="74" customFormat="1" x14ac:dyDescent="0.2">
      <c r="A1215" s="2"/>
      <c r="B1215" s="64"/>
      <c r="C1215" s="2"/>
      <c r="D1215" s="2"/>
      <c r="E1215" s="11"/>
      <c r="F1215" s="5"/>
    </row>
    <row r="1216" spans="1:6" s="74" customFormat="1" x14ac:dyDescent="0.2">
      <c r="A1216" s="2"/>
      <c r="B1216" s="64"/>
      <c r="C1216" s="2"/>
      <c r="D1216" s="2"/>
      <c r="E1216" s="11"/>
      <c r="F1216" s="5"/>
    </row>
    <row r="1217" spans="1:6" s="74" customFormat="1" x14ac:dyDescent="0.2">
      <c r="A1217" s="2"/>
      <c r="B1217" s="64"/>
      <c r="C1217" s="2"/>
      <c r="D1217" s="2"/>
      <c r="E1217" s="11"/>
      <c r="F1217" s="5"/>
    </row>
    <row r="1218" spans="1:6" s="74" customFormat="1" x14ac:dyDescent="0.2">
      <c r="A1218" s="2"/>
      <c r="B1218" s="64"/>
      <c r="C1218" s="2"/>
      <c r="D1218" s="2"/>
      <c r="E1218" s="11"/>
      <c r="F1218" s="5"/>
    </row>
    <row r="1219" spans="1:6" s="74" customFormat="1" x14ac:dyDescent="0.2">
      <c r="A1219" s="2"/>
      <c r="B1219" s="64"/>
      <c r="C1219" s="2"/>
      <c r="D1219" s="2"/>
      <c r="E1219" s="11"/>
      <c r="F1219" s="5"/>
    </row>
    <row r="1220" spans="1:6" s="74" customFormat="1" x14ac:dyDescent="0.2">
      <c r="A1220" s="2"/>
      <c r="B1220" s="64"/>
      <c r="C1220" s="2"/>
      <c r="D1220" s="2"/>
      <c r="E1220" s="11"/>
      <c r="F1220" s="5"/>
    </row>
    <row r="1221" spans="1:6" s="74" customFormat="1" x14ac:dyDescent="0.2">
      <c r="A1221" s="2"/>
      <c r="B1221" s="64"/>
      <c r="C1221" s="2"/>
      <c r="D1221" s="2"/>
      <c r="E1221" s="11"/>
      <c r="F1221" s="5"/>
    </row>
    <row r="1222" spans="1:6" s="74" customFormat="1" x14ac:dyDescent="0.2">
      <c r="A1222" s="2"/>
      <c r="B1222" s="64"/>
      <c r="C1222" s="2"/>
      <c r="D1222" s="2"/>
      <c r="E1222" s="11"/>
      <c r="F1222" s="5"/>
    </row>
    <row r="1223" spans="1:6" s="74" customFormat="1" x14ac:dyDescent="0.2">
      <c r="A1223" s="2"/>
      <c r="B1223" s="64"/>
      <c r="C1223" s="2"/>
      <c r="D1223" s="2"/>
      <c r="E1223" s="11"/>
      <c r="F1223" s="5"/>
    </row>
    <row r="1224" spans="1:6" s="74" customFormat="1" x14ac:dyDescent="0.2">
      <c r="A1224" s="2"/>
      <c r="B1224" s="64"/>
      <c r="C1224" s="2"/>
      <c r="D1224" s="2"/>
      <c r="E1224" s="11"/>
      <c r="F1224" s="5"/>
    </row>
    <row r="1225" spans="1:6" s="74" customFormat="1" x14ac:dyDescent="0.2">
      <c r="A1225" s="2"/>
      <c r="B1225" s="64"/>
      <c r="C1225" s="2"/>
      <c r="D1225" s="2"/>
      <c r="E1225" s="11"/>
      <c r="F1225" s="5"/>
    </row>
    <row r="1226" spans="1:6" s="74" customFormat="1" x14ac:dyDescent="0.2">
      <c r="A1226" s="2"/>
      <c r="B1226" s="64"/>
      <c r="C1226" s="2"/>
      <c r="D1226" s="2"/>
      <c r="E1226" s="11"/>
      <c r="F1226" s="5"/>
    </row>
    <row r="1227" spans="1:6" s="74" customFormat="1" x14ac:dyDescent="0.2">
      <c r="A1227" s="2"/>
      <c r="B1227" s="64"/>
      <c r="C1227" s="2"/>
      <c r="D1227" s="2"/>
      <c r="E1227" s="11"/>
      <c r="F1227" s="5"/>
    </row>
    <row r="1228" spans="1:6" s="74" customFormat="1" x14ac:dyDescent="0.2">
      <c r="A1228" s="2"/>
      <c r="B1228" s="64"/>
      <c r="C1228" s="2"/>
      <c r="D1228" s="2"/>
      <c r="E1228" s="11"/>
      <c r="F1228" s="5"/>
    </row>
    <row r="1229" spans="1:6" s="74" customFormat="1" x14ac:dyDescent="0.2">
      <c r="A1229" s="2"/>
      <c r="B1229" s="64"/>
      <c r="C1229" s="2"/>
      <c r="D1229" s="2"/>
      <c r="E1229" s="11"/>
      <c r="F1229" s="5"/>
    </row>
    <row r="1230" spans="1:6" s="74" customFormat="1" x14ac:dyDescent="0.2">
      <c r="A1230" s="2"/>
      <c r="B1230" s="64"/>
      <c r="C1230" s="2"/>
      <c r="D1230" s="2"/>
      <c r="E1230" s="11"/>
      <c r="F1230" s="5"/>
    </row>
    <row r="1231" spans="1:6" s="74" customFormat="1" x14ac:dyDescent="0.2">
      <c r="A1231" s="2"/>
      <c r="B1231" s="64"/>
      <c r="C1231" s="2"/>
      <c r="D1231" s="2"/>
      <c r="E1231" s="11"/>
      <c r="F1231" s="5"/>
    </row>
    <row r="1232" spans="1:6" s="74" customFormat="1" x14ac:dyDescent="0.2">
      <c r="A1232" s="2"/>
      <c r="B1232" s="64"/>
      <c r="C1232" s="2"/>
      <c r="D1232" s="2"/>
      <c r="E1232" s="11"/>
      <c r="F1232" s="5"/>
    </row>
    <row r="1233" spans="1:6" x14ac:dyDescent="0.2">
      <c r="A1233" s="2"/>
      <c r="B1233" s="64"/>
      <c r="C1233" s="2"/>
      <c r="D1233" s="2"/>
      <c r="E1233" s="11"/>
      <c r="F1233" s="5"/>
    </row>
    <row r="1234" spans="1:6" x14ac:dyDescent="0.2">
      <c r="A1234" s="2"/>
      <c r="B1234" s="64"/>
      <c r="C1234" s="2"/>
      <c r="D1234" s="2"/>
      <c r="E1234" s="11"/>
      <c r="F1234" s="5"/>
    </row>
    <row r="1235" spans="1:6" x14ac:dyDescent="0.2">
      <c r="A1235" s="2"/>
      <c r="B1235" s="64"/>
      <c r="C1235" s="2"/>
      <c r="D1235" s="2"/>
      <c r="E1235" s="11"/>
      <c r="F1235" s="5"/>
    </row>
    <row r="1236" spans="1:6" x14ac:dyDescent="0.2">
      <c r="A1236" s="2"/>
      <c r="B1236" s="64"/>
      <c r="C1236" s="2"/>
      <c r="D1236" s="2"/>
      <c r="E1236" s="11"/>
      <c r="F1236" s="5"/>
    </row>
    <row r="1237" spans="1:6" x14ac:dyDescent="0.2">
      <c r="A1237" s="2"/>
      <c r="B1237" s="64"/>
      <c r="C1237" s="2"/>
      <c r="D1237" s="2"/>
      <c r="E1237" s="11"/>
      <c r="F1237" s="5"/>
    </row>
    <row r="1238" spans="1:6" x14ac:dyDescent="0.2">
      <c r="A1238" s="2"/>
      <c r="B1238" s="64"/>
      <c r="C1238" s="2"/>
      <c r="D1238" s="2"/>
      <c r="E1238" s="11"/>
      <c r="F1238" s="5"/>
    </row>
    <row r="1239" spans="1:6" x14ac:dyDescent="0.2">
      <c r="A1239" s="2"/>
      <c r="B1239" s="64"/>
      <c r="C1239" s="2"/>
      <c r="D1239" s="2"/>
      <c r="E1239" s="11"/>
      <c r="F1239" s="5"/>
    </row>
    <row r="1240" spans="1:6" x14ac:dyDescent="0.2">
      <c r="A1240" s="2"/>
      <c r="B1240" s="64"/>
      <c r="C1240" s="2"/>
      <c r="D1240" s="2"/>
      <c r="E1240" s="11"/>
      <c r="F1240" s="5"/>
    </row>
    <row r="1241" spans="1:6" x14ac:dyDescent="0.2">
      <c r="A1241" s="2"/>
      <c r="B1241" s="64"/>
      <c r="C1241" s="2"/>
      <c r="D1241" s="2"/>
      <c r="E1241" s="11"/>
      <c r="F1241" s="5"/>
    </row>
    <row r="1242" spans="1:6" x14ac:dyDescent="0.2">
      <c r="A1242" s="2"/>
      <c r="B1242" s="64"/>
      <c r="C1242" s="2"/>
      <c r="D1242" s="2"/>
      <c r="E1242" s="11"/>
      <c r="F1242" s="5"/>
    </row>
    <row r="1243" spans="1:6" x14ac:dyDescent="0.2">
      <c r="A1243" s="2"/>
      <c r="B1243" s="64"/>
      <c r="C1243" s="2"/>
      <c r="D1243" s="2"/>
      <c r="E1243" s="11"/>
      <c r="F1243" s="5"/>
    </row>
    <row r="1244" spans="1:6" x14ac:dyDescent="0.2">
      <c r="A1244" s="2"/>
      <c r="B1244" s="64"/>
      <c r="C1244" s="2"/>
      <c r="D1244" s="2"/>
      <c r="E1244" s="11"/>
      <c r="F1244" s="5"/>
    </row>
    <row r="1245" spans="1:6" x14ac:dyDescent="0.2">
      <c r="A1245" s="2"/>
      <c r="B1245" s="64"/>
      <c r="C1245" s="2"/>
      <c r="D1245" s="2"/>
      <c r="E1245" s="11"/>
      <c r="F1245" s="5"/>
    </row>
    <row r="1246" spans="1:6" x14ac:dyDescent="0.2">
      <c r="A1246" s="2"/>
      <c r="B1246" s="64"/>
      <c r="C1246" s="2"/>
      <c r="D1246" s="2"/>
      <c r="E1246" s="11"/>
      <c r="F1246" s="5"/>
    </row>
    <row r="1247" spans="1:6" x14ac:dyDescent="0.2">
      <c r="A1247" s="2"/>
      <c r="B1247" s="64"/>
      <c r="C1247" s="2"/>
      <c r="D1247" s="2"/>
      <c r="E1247" s="11"/>
      <c r="F1247" s="5"/>
    </row>
    <row r="1248" spans="1:6" x14ac:dyDescent="0.2">
      <c r="A1248" s="2"/>
      <c r="B1248" s="64"/>
      <c r="C1248" s="2"/>
      <c r="D1248" s="2"/>
      <c r="E1248" s="11"/>
      <c r="F1248" s="5"/>
    </row>
    <row r="1249" spans="1:6" x14ac:dyDescent="0.2">
      <c r="A1249" s="2"/>
      <c r="B1249" s="64"/>
      <c r="C1249" s="2"/>
      <c r="D1249" s="2"/>
      <c r="E1249" s="11"/>
      <c r="F1249" s="5"/>
    </row>
    <row r="1250" spans="1:6" x14ac:dyDescent="0.2">
      <c r="A1250" s="2"/>
      <c r="B1250" s="64"/>
      <c r="C1250" s="2"/>
      <c r="D1250" s="2"/>
      <c r="E1250" s="11"/>
      <c r="F1250" s="5"/>
    </row>
    <row r="1251" spans="1:6" x14ac:dyDescent="0.2">
      <c r="A1251" s="2"/>
      <c r="B1251" s="64"/>
      <c r="C1251" s="2"/>
      <c r="D1251" s="2"/>
      <c r="E1251" s="11"/>
      <c r="F1251" s="5"/>
    </row>
    <row r="1252" spans="1:6" x14ac:dyDescent="0.2">
      <c r="A1252" s="2"/>
      <c r="B1252" s="64"/>
      <c r="C1252" s="2"/>
      <c r="D1252" s="2"/>
      <c r="E1252" s="11"/>
      <c r="F1252" s="5"/>
    </row>
    <row r="1253" spans="1:6" x14ac:dyDescent="0.2">
      <c r="A1253" s="2"/>
      <c r="B1253" s="64"/>
      <c r="C1253" s="2"/>
      <c r="D1253" s="2"/>
      <c r="E1253" s="11"/>
      <c r="F1253" s="5"/>
    </row>
    <row r="1254" spans="1:6" x14ac:dyDescent="0.2">
      <c r="A1254" s="2"/>
      <c r="B1254" s="64"/>
      <c r="C1254" s="2"/>
      <c r="D1254" s="2"/>
      <c r="E1254" s="11"/>
      <c r="F1254" s="5"/>
    </row>
    <row r="1255" spans="1:6" x14ac:dyDescent="0.2">
      <c r="A1255" s="2"/>
      <c r="B1255" s="64"/>
      <c r="C1255" s="2"/>
      <c r="D1255" s="2"/>
      <c r="E1255" s="11"/>
      <c r="F1255" s="5"/>
    </row>
    <row r="1256" spans="1:6" x14ac:dyDescent="0.2">
      <c r="A1256" s="2"/>
      <c r="B1256" s="64"/>
      <c r="C1256" s="2"/>
      <c r="D1256" s="2"/>
      <c r="E1256" s="11"/>
      <c r="F1256" s="5"/>
    </row>
    <row r="1257" spans="1:6" x14ac:dyDescent="0.2">
      <c r="A1257" s="2"/>
      <c r="B1257" s="64"/>
      <c r="C1257" s="2"/>
      <c r="D1257" s="2"/>
      <c r="E1257" s="11"/>
      <c r="F1257" s="5"/>
    </row>
    <row r="1258" spans="1:6" x14ac:dyDescent="0.2">
      <c r="A1258" s="2"/>
      <c r="B1258" s="64"/>
      <c r="C1258" s="2"/>
      <c r="D1258" s="2"/>
      <c r="E1258" s="11"/>
      <c r="F1258" s="5"/>
    </row>
    <row r="1259" spans="1:6" x14ac:dyDescent="0.2">
      <c r="A1259" s="2"/>
      <c r="B1259" s="64"/>
      <c r="C1259" s="2"/>
      <c r="D1259" s="2"/>
      <c r="E1259" s="11"/>
      <c r="F1259" s="5"/>
    </row>
    <row r="1260" spans="1:6" x14ac:dyDescent="0.2">
      <c r="A1260" s="2"/>
      <c r="B1260" s="64"/>
      <c r="C1260" s="2"/>
      <c r="D1260" s="2"/>
      <c r="E1260" s="11"/>
      <c r="F1260" s="5"/>
    </row>
    <row r="1261" spans="1:6" x14ac:dyDescent="0.2">
      <c r="A1261" s="2"/>
      <c r="B1261" s="64"/>
      <c r="C1261" s="2"/>
      <c r="D1261" s="2"/>
      <c r="E1261" s="11"/>
      <c r="F1261" s="5"/>
    </row>
  </sheetData>
  <conditionalFormatting sqref="C545:C664">
    <cfRule type="colorScale" priority="32">
      <colorScale>
        <cfvo type="min"/>
        <cfvo type="percentile" val="50"/>
        <cfvo type="max"/>
        <color rgb="FFF8696B"/>
        <color rgb="FFFFEB84"/>
        <color rgb="FF63BE7B"/>
      </colorScale>
    </cfRule>
  </conditionalFormatting>
  <conditionalFormatting sqref="D545:D664">
    <cfRule type="colorScale" priority="33">
      <colorScale>
        <cfvo type="min"/>
        <cfvo type="percentile" val="50"/>
        <cfvo type="max"/>
        <color rgb="FFF8696B"/>
        <color rgb="FFFFEB84"/>
        <color rgb="FF63BE7B"/>
      </colorScale>
    </cfRule>
  </conditionalFormatting>
  <conditionalFormatting sqref="C521:C664">
    <cfRule type="colorScale" priority="2">
      <colorScale>
        <cfvo type="min"/>
        <cfvo type="percentile" val="50"/>
        <cfvo type="max"/>
        <color rgb="FFF8696B"/>
        <color rgb="FFFFEB84"/>
        <color rgb="FF63BE7B"/>
      </colorScale>
    </cfRule>
  </conditionalFormatting>
  <conditionalFormatting sqref="D521:D664">
    <cfRule type="colorScale" priority="1">
      <colorScale>
        <cfvo type="min"/>
        <cfvo type="percentile" val="50"/>
        <cfvo type="max"/>
        <color rgb="FFF8696B"/>
        <color rgb="FFFFEB84"/>
        <color rgb="FF63BE7B"/>
      </colorScale>
    </cfRule>
  </conditionalFormatting>
  <pageMargins left="0.7" right="0.7" top="0.75" bottom="0.75" header="0.3" footer="0.3"/>
  <pageSetup orientation="portrait"/>
  <drawing r:id="rId1"/>
  <tableParts count="1">
    <tablePart r:id="rId2"/>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2"/>
  <dimension ref="A1:I6"/>
  <sheetViews>
    <sheetView zoomScale="160" zoomScaleNormal="160" workbookViewId="0">
      <selection activeCell="O17" sqref="O17"/>
    </sheetView>
  </sheetViews>
  <sheetFormatPr baseColWidth="10" defaultColWidth="9.1640625" defaultRowHeight="15" x14ac:dyDescent="0.2"/>
  <cols>
    <col min="1" max="2" width="9.1640625" style="74" customWidth="1"/>
    <col min="3" max="3" width="18.6640625" style="74" customWidth="1"/>
    <col min="4" max="4" width="13.6640625" style="74" customWidth="1"/>
    <col min="5" max="6" width="9.1640625" style="74" customWidth="1"/>
    <col min="7" max="7" width="15.33203125" style="74" customWidth="1"/>
    <col min="8" max="8" width="14" style="74" customWidth="1"/>
    <col min="9" max="9" width="13.33203125" style="74" customWidth="1"/>
    <col min="10" max="13" width="9.1640625" style="74" customWidth="1"/>
    <col min="14" max="16384" width="9.1640625" style="74"/>
  </cols>
  <sheetData>
    <row r="1" spans="1:9" ht="16" customHeight="1" thickBot="1" x14ac:dyDescent="0.25">
      <c r="A1" s="13" t="s">
        <v>43</v>
      </c>
    </row>
    <row r="2" spans="1:9" ht="17" customHeight="1" thickBot="1" x14ac:dyDescent="0.25">
      <c r="C2" s="28"/>
      <c r="D2" s="28"/>
      <c r="E2" s="28"/>
      <c r="F2" s="28"/>
      <c r="G2" s="28"/>
      <c r="H2" s="39" t="s">
        <v>11</v>
      </c>
      <c r="I2" s="38" t="s">
        <v>12</v>
      </c>
    </row>
    <row r="3" spans="1:9" ht="16" customHeight="1" x14ac:dyDescent="0.2">
      <c r="C3" s="29" t="s">
        <v>44</v>
      </c>
      <c r="D3" s="30">
        <f>DATE(YEAR(D5),MONTH(D5)-12,DAY(D4))</f>
        <v>44166</v>
      </c>
      <c r="E3" s="28"/>
      <c r="F3" s="28"/>
      <c r="G3" s="35" t="s">
        <v>15</v>
      </c>
      <c r="H3" s="48">
        <f>(VLOOKUP($D$5,CPI!A:B,2,)-VLOOKUP(Recap!$D$4,CPI!A:B,2,))/VLOOKUP(Recap!$D$4,CPI!A:B,2,)</f>
        <v>4.7045324153758309E-3</v>
      </c>
      <c r="I3" s="49">
        <f>(VLOOKUP($D$5,CPI!A:B,2,)-VLOOKUP(Recap!$D$3,CPI!A:B,2,))/VLOOKUP(Recap!$D$3,CPI!A:B,2,)</f>
        <v>7.1234133659580992E-2</v>
      </c>
    </row>
    <row r="4" spans="1:9" ht="16" customHeight="1" x14ac:dyDescent="0.2">
      <c r="C4" s="31" t="s">
        <v>45</v>
      </c>
      <c r="D4" s="32">
        <f>DATE(YEAR(D5),MONTH(D5)-1,DAY(D5))</f>
        <v>44501</v>
      </c>
      <c r="E4" s="28"/>
      <c r="F4" s="28"/>
      <c r="G4" s="36" t="s">
        <v>18</v>
      </c>
      <c r="H4" s="50">
        <f>(VLOOKUP($D$5,'CPI Food'!A:B,2,)-VLOOKUP(Recap!$D$4,'CPI Food'!A:B,2,))/VLOOKUP(Recap!$D$4,'CPI Food'!A:B,2,)</f>
        <v>4.9853423912090021E-3</v>
      </c>
      <c r="I4" s="51">
        <f>(VLOOKUP($D$5,'CPI Food'!A:B,2,)-VLOOKUP(Recap!$D$3,'CPI Food'!A:B,2,))/VLOOKUP(Recap!$D$3,'CPI Food'!A:B,2,)</f>
        <v>6.01448067699943E-2</v>
      </c>
    </row>
    <row r="5" spans="1:9" ht="17" customHeight="1" thickBot="1" x14ac:dyDescent="0.25">
      <c r="C5" s="33" t="s">
        <v>46</v>
      </c>
      <c r="D5" s="34">
        <v>44531</v>
      </c>
      <c r="E5" s="28"/>
      <c r="F5" s="28"/>
      <c r="G5" s="36" t="s">
        <v>21</v>
      </c>
      <c r="H5" s="50">
        <f>(VLOOKUP($D$5,'CPI Energy'!A:B,2,)-VLOOKUP(Recap!$D$4,'CPI Energy'!A:B,2,))/VLOOKUP(Recap!$D$4,'CPI Energy'!A:B,2,)</f>
        <v>-3.9114805915879949E-3</v>
      </c>
      <c r="I5" s="51">
        <f>(VLOOKUP($D$5,'CPI Energy'!A:B,2,)-VLOOKUP(Recap!$D$3,'CPI Energy'!A:B,2,))/VLOOKUP(Recap!$D$3,'CPI Energy'!A:B,2,)</f>
        <v>0.29631447701702357</v>
      </c>
    </row>
    <row r="6" spans="1:9" ht="17" customHeight="1" thickBot="1" x14ac:dyDescent="0.25">
      <c r="C6" s="28"/>
      <c r="D6" s="28"/>
      <c r="E6" s="28"/>
      <c r="F6" s="28"/>
      <c r="G6" s="37" t="s">
        <v>24</v>
      </c>
      <c r="H6" s="52">
        <f>(VLOOKUP($D$5,'Core CPI'!A:B,2,)-VLOOKUP(Recap!$D$4,'Core CPI'!A:B,2,))/VLOOKUP(Recap!$D$4,'Core CPI'!A:B,2,)</f>
        <v>5.5013930035557523E-3</v>
      </c>
      <c r="I6" s="53">
        <f>(VLOOKUP($D$5,'Core CPI'!A:B,2,)-VLOOKUP(Recap!$D$3,'Core CPI'!A:B,2,))/VLOOKUP(Recap!$D$3,'Core CPI'!A:B,2,)</f>
        <v>5.4897384603986132E-2</v>
      </c>
    </row>
  </sheetData>
  <conditionalFormatting sqref="H3:I6">
    <cfRule type="cellIs" dxfId="1" priority="1" operator="lessThan">
      <formula>0</formula>
    </cfRule>
    <cfRule type="cellIs" dxfId="0" priority="2" operator="greaterThan">
      <formula>0</formula>
    </cfRule>
  </conditionalFormatting>
  <pageMargins left="0.7" right="0.7" top="0.75" bottom="0.75" header="0.3" footer="0.3"/>
  <drawing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9"/>
  <dimension ref="A1:H848"/>
  <sheetViews>
    <sheetView workbookViewId="0">
      <pane ySplit="7" topLeftCell="A816" activePane="bottomLeft" state="frozen"/>
      <selection pane="bottomLeft"/>
    </sheetView>
  </sheetViews>
  <sheetFormatPr baseColWidth="10" defaultColWidth="12" defaultRowHeight="15" x14ac:dyDescent="0.2"/>
  <cols>
    <col min="1" max="1" width="12" style="71" customWidth="1"/>
    <col min="2" max="2" width="12" style="72" customWidth="1"/>
    <col min="3" max="3" width="12" style="71" customWidth="1"/>
    <col min="4" max="4" width="12" style="72" customWidth="1"/>
    <col min="5" max="5" width="12" style="71" customWidth="1"/>
    <col min="6" max="6" width="12" style="72" customWidth="1"/>
    <col min="7" max="7" width="12" style="71" customWidth="1"/>
    <col min="8" max="8" width="12" style="72" customWidth="1"/>
  </cols>
  <sheetData>
    <row r="1" spans="1:8" x14ac:dyDescent="0.2">
      <c r="A1" s="71" t="s">
        <v>13</v>
      </c>
      <c r="C1" s="71" t="s">
        <v>22</v>
      </c>
      <c r="E1" s="71" t="s">
        <v>19</v>
      </c>
      <c r="G1" s="71" t="s">
        <v>16</v>
      </c>
    </row>
    <row r="2" spans="1:8" x14ac:dyDescent="0.2">
      <c r="A2" s="71" t="s">
        <v>47</v>
      </c>
      <c r="B2" s="72" t="s">
        <v>48</v>
      </c>
      <c r="C2" s="71" t="s">
        <v>47</v>
      </c>
      <c r="D2" s="72" t="s">
        <v>48</v>
      </c>
      <c r="E2" s="71" t="s">
        <v>47</v>
      </c>
      <c r="F2" s="72" t="s">
        <v>48</v>
      </c>
      <c r="G2" s="71" t="s">
        <v>47</v>
      </c>
      <c r="H2" s="72" t="s">
        <v>48</v>
      </c>
    </row>
    <row r="3" spans="1:8" x14ac:dyDescent="0.2">
      <c r="A3" s="71" t="s">
        <v>49</v>
      </c>
      <c r="B3" s="72" t="s">
        <v>50</v>
      </c>
      <c r="C3" s="71" t="s">
        <v>49</v>
      </c>
      <c r="D3" s="72" t="s">
        <v>50</v>
      </c>
      <c r="E3" s="71" t="s">
        <v>49</v>
      </c>
      <c r="F3" s="72" t="s">
        <v>50</v>
      </c>
      <c r="G3" s="71" t="s">
        <v>49</v>
      </c>
      <c r="H3" s="72" t="s">
        <v>50</v>
      </c>
    </row>
    <row r="4" spans="1:8" x14ac:dyDescent="0.2">
      <c r="A4" s="71">
        <v>17168</v>
      </c>
      <c r="B4" s="72" t="s">
        <v>51</v>
      </c>
      <c r="C4" s="71">
        <v>20821</v>
      </c>
      <c r="D4" s="72" t="s">
        <v>52</v>
      </c>
      <c r="E4" s="71">
        <v>24473</v>
      </c>
      <c r="F4" s="72" t="s">
        <v>53</v>
      </c>
      <c r="G4" s="71">
        <v>20821</v>
      </c>
      <c r="H4" s="72" t="s">
        <v>52</v>
      </c>
    </row>
    <row r="5" spans="1:8" x14ac:dyDescent="0.2">
      <c r="A5" s="73" t="s">
        <v>54</v>
      </c>
      <c r="C5" s="73" t="s">
        <v>55</v>
      </c>
      <c r="E5" s="73" t="s">
        <v>56</v>
      </c>
      <c r="G5" s="73" t="s">
        <v>57</v>
      </c>
    </row>
    <row r="6" spans="1:8" x14ac:dyDescent="0.2">
      <c r="A6" s="71" t="s">
        <v>58</v>
      </c>
      <c r="C6" s="71" t="s">
        <v>58</v>
      </c>
      <c r="E6" s="71" t="s">
        <v>58</v>
      </c>
      <c r="G6" s="71" t="s">
        <v>58</v>
      </c>
    </row>
    <row r="7" spans="1:8" x14ac:dyDescent="0.2">
      <c r="A7" s="71" t="s">
        <v>59</v>
      </c>
      <c r="B7" s="72" t="s">
        <v>60</v>
      </c>
      <c r="C7" s="71" t="s">
        <v>59</v>
      </c>
      <c r="D7" s="72" t="s">
        <v>60</v>
      </c>
      <c r="E7" s="71" t="s">
        <v>59</v>
      </c>
      <c r="F7" s="72" t="s">
        <v>60</v>
      </c>
      <c r="G7" s="71" t="s">
        <v>59</v>
      </c>
      <c r="H7" s="72" t="s">
        <v>60</v>
      </c>
    </row>
    <row r="8" spans="1:8" x14ac:dyDescent="0.2">
      <c r="A8" s="71">
        <v>17168</v>
      </c>
      <c r="B8" s="72">
        <v>21.48</v>
      </c>
      <c r="C8" s="71">
        <v>20821</v>
      </c>
      <c r="D8" s="72">
        <v>28.5</v>
      </c>
      <c r="E8" s="71">
        <v>24473</v>
      </c>
      <c r="F8" s="72">
        <v>34.799999999999997</v>
      </c>
      <c r="G8" s="71">
        <v>20821</v>
      </c>
      <c r="H8" s="72">
        <v>21.3</v>
      </c>
    </row>
    <row r="9" spans="1:8" x14ac:dyDescent="0.2">
      <c r="A9" s="71">
        <v>17199</v>
      </c>
      <c r="B9" s="72">
        <v>21.62</v>
      </c>
      <c r="C9" s="71">
        <v>20852</v>
      </c>
      <c r="D9" s="72">
        <v>28.6</v>
      </c>
      <c r="E9" s="71">
        <v>24504</v>
      </c>
      <c r="F9" s="72">
        <v>34.700000000000003</v>
      </c>
      <c r="G9" s="71">
        <v>20852</v>
      </c>
      <c r="H9" s="72">
        <v>21.4</v>
      </c>
    </row>
    <row r="10" spans="1:8" x14ac:dyDescent="0.2">
      <c r="A10" s="71">
        <v>17227</v>
      </c>
      <c r="B10" s="72">
        <v>22</v>
      </c>
      <c r="C10" s="71">
        <v>20880</v>
      </c>
      <c r="D10" s="72">
        <v>28.7</v>
      </c>
      <c r="E10" s="71">
        <v>24532</v>
      </c>
      <c r="F10" s="72">
        <v>34.700000000000003</v>
      </c>
      <c r="G10" s="71">
        <v>20880</v>
      </c>
      <c r="H10" s="72">
        <v>21.5</v>
      </c>
    </row>
    <row r="11" spans="1:8" x14ac:dyDescent="0.2">
      <c r="A11" s="71">
        <v>17258</v>
      </c>
      <c r="B11" s="72">
        <v>22</v>
      </c>
      <c r="C11" s="71">
        <v>20911</v>
      </c>
      <c r="D11" s="72">
        <v>28.8</v>
      </c>
      <c r="E11" s="71">
        <v>24563</v>
      </c>
      <c r="F11" s="72">
        <v>34.6</v>
      </c>
      <c r="G11" s="71">
        <v>20911</v>
      </c>
      <c r="H11" s="72">
        <v>21.6</v>
      </c>
    </row>
    <row r="12" spans="1:8" x14ac:dyDescent="0.2">
      <c r="A12" s="71">
        <v>17288</v>
      </c>
      <c r="B12" s="72">
        <v>21.95</v>
      </c>
      <c r="C12" s="71">
        <v>20941</v>
      </c>
      <c r="D12" s="72">
        <v>28.8</v>
      </c>
      <c r="E12" s="71">
        <v>24593</v>
      </c>
      <c r="F12" s="72">
        <v>34.6</v>
      </c>
      <c r="G12" s="71">
        <v>20941</v>
      </c>
      <c r="H12" s="72">
        <v>21.6</v>
      </c>
    </row>
    <row r="13" spans="1:8" x14ac:dyDescent="0.2">
      <c r="A13" s="71">
        <v>17319</v>
      </c>
      <c r="B13" s="72">
        <v>22.08</v>
      </c>
      <c r="C13" s="71">
        <v>20972</v>
      </c>
      <c r="D13" s="72">
        <v>28.9</v>
      </c>
      <c r="E13" s="71">
        <v>24624</v>
      </c>
      <c r="F13" s="72">
        <v>34.9</v>
      </c>
      <c r="G13" s="71">
        <v>20972</v>
      </c>
      <c r="H13" s="72">
        <v>21.6</v>
      </c>
    </row>
    <row r="14" spans="1:8" x14ac:dyDescent="0.2">
      <c r="A14" s="71">
        <v>17349</v>
      </c>
      <c r="B14" s="72">
        <v>22.23</v>
      </c>
      <c r="C14" s="71">
        <v>21002</v>
      </c>
      <c r="D14" s="72">
        <v>29</v>
      </c>
      <c r="E14" s="71">
        <v>24654</v>
      </c>
      <c r="F14" s="72">
        <v>35</v>
      </c>
      <c r="G14" s="71">
        <v>21002</v>
      </c>
      <c r="H14" s="72">
        <v>21.5</v>
      </c>
    </row>
    <row r="15" spans="1:8" x14ac:dyDescent="0.2">
      <c r="A15" s="71">
        <v>17380</v>
      </c>
      <c r="B15" s="72">
        <v>22.4</v>
      </c>
      <c r="C15" s="71">
        <v>21033</v>
      </c>
      <c r="D15" s="72">
        <v>29</v>
      </c>
      <c r="E15" s="71">
        <v>24685</v>
      </c>
      <c r="F15" s="72">
        <v>35.200000000000003</v>
      </c>
      <c r="G15" s="71">
        <v>21033</v>
      </c>
      <c r="H15" s="72">
        <v>21.4</v>
      </c>
    </row>
    <row r="16" spans="1:8" x14ac:dyDescent="0.2">
      <c r="A16" s="71">
        <v>17411</v>
      </c>
      <c r="B16" s="72">
        <v>22.84</v>
      </c>
      <c r="C16" s="71">
        <v>21064</v>
      </c>
      <c r="D16" s="72">
        <v>29.1</v>
      </c>
      <c r="E16" s="71">
        <v>24716</v>
      </c>
      <c r="F16" s="72">
        <v>35.200000000000003</v>
      </c>
      <c r="G16" s="71">
        <v>21064</v>
      </c>
      <c r="H16" s="72">
        <v>21.4</v>
      </c>
    </row>
    <row r="17" spans="1:8" x14ac:dyDescent="0.2">
      <c r="A17" s="71">
        <v>17441</v>
      </c>
      <c r="B17" s="72">
        <v>22.91</v>
      </c>
      <c r="C17" s="71">
        <v>21094</v>
      </c>
      <c r="D17" s="72">
        <v>29.2</v>
      </c>
      <c r="E17" s="71">
        <v>24746</v>
      </c>
      <c r="F17" s="72">
        <v>35.299999999999997</v>
      </c>
      <c r="G17" s="71">
        <v>21094</v>
      </c>
      <c r="H17" s="72">
        <v>21.4</v>
      </c>
    </row>
    <row r="18" spans="1:8" x14ac:dyDescent="0.2">
      <c r="A18" s="71">
        <v>17472</v>
      </c>
      <c r="B18" s="72">
        <v>23.06</v>
      </c>
      <c r="C18" s="71">
        <v>21125</v>
      </c>
      <c r="D18" s="72">
        <v>29.3</v>
      </c>
      <c r="E18" s="71">
        <v>24777</v>
      </c>
      <c r="F18" s="72">
        <v>35.4</v>
      </c>
      <c r="G18" s="71">
        <v>21125</v>
      </c>
      <c r="H18" s="72">
        <v>21.5</v>
      </c>
    </row>
    <row r="19" spans="1:8" x14ac:dyDescent="0.2">
      <c r="A19" s="71">
        <v>17502</v>
      </c>
      <c r="B19" s="72">
        <v>23.41</v>
      </c>
      <c r="C19" s="71">
        <v>21155</v>
      </c>
      <c r="D19" s="72">
        <v>29.3</v>
      </c>
      <c r="E19" s="71">
        <v>24807</v>
      </c>
      <c r="F19" s="72">
        <v>35.5</v>
      </c>
      <c r="G19" s="71">
        <v>21155</v>
      </c>
      <c r="H19" s="72">
        <v>21.5</v>
      </c>
    </row>
    <row r="20" spans="1:8" x14ac:dyDescent="0.2">
      <c r="A20" s="71">
        <v>17533</v>
      </c>
      <c r="B20" s="72">
        <v>23.68</v>
      </c>
      <c r="C20" s="71">
        <v>21186</v>
      </c>
      <c r="D20" s="72">
        <v>29.3</v>
      </c>
      <c r="E20" s="71">
        <v>24838</v>
      </c>
      <c r="F20" s="72">
        <v>35.5</v>
      </c>
      <c r="G20" s="71">
        <v>21186</v>
      </c>
      <c r="H20" s="72">
        <v>21.6</v>
      </c>
    </row>
    <row r="21" spans="1:8" x14ac:dyDescent="0.2">
      <c r="A21" s="71">
        <v>17564</v>
      </c>
      <c r="B21" s="72">
        <v>23.67</v>
      </c>
      <c r="C21" s="71">
        <v>21217</v>
      </c>
      <c r="D21" s="72">
        <v>29.4</v>
      </c>
      <c r="E21" s="71">
        <v>24869</v>
      </c>
      <c r="F21" s="72">
        <v>35.700000000000003</v>
      </c>
      <c r="G21" s="71">
        <v>21217</v>
      </c>
      <c r="H21" s="72">
        <v>21.3</v>
      </c>
    </row>
    <row r="22" spans="1:8" x14ac:dyDescent="0.2">
      <c r="A22" s="71">
        <v>17593</v>
      </c>
      <c r="B22" s="72">
        <v>23.5</v>
      </c>
      <c r="C22" s="71">
        <v>21245</v>
      </c>
      <c r="D22" s="72">
        <v>29.5</v>
      </c>
      <c r="E22" s="71">
        <v>24898</v>
      </c>
      <c r="F22" s="72">
        <v>35.799999999999997</v>
      </c>
      <c r="G22" s="71">
        <v>21245</v>
      </c>
      <c r="H22" s="72">
        <v>21.4</v>
      </c>
    </row>
    <row r="23" spans="1:8" x14ac:dyDescent="0.2">
      <c r="A23" s="71">
        <v>17624</v>
      </c>
      <c r="B23" s="72">
        <v>23.82</v>
      </c>
      <c r="C23" s="71">
        <v>21276</v>
      </c>
      <c r="D23" s="72">
        <v>29.5</v>
      </c>
      <c r="E23" s="71">
        <v>24929</v>
      </c>
      <c r="F23" s="72">
        <v>36</v>
      </c>
      <c r="G23" s="71">
        <v>21276</v>
      </c>
      <c r="H23" s="72">
        <v>21.4</v>
      </c>
    </row>
    <row r="24" spans="1:8" x14ac:dyDescent="0.2">
      <c r="A24" s="71">
        <v>17654</v>
      </c>
      <c r="B24" s="72">
        <v>24.01</v>
      </c>
      <c r="C24" s="71">
        <v>21306</v>
      </c>
      <c r="D24" s="72">
        <v>29.5</v>
      </c>
      <c r="E24" s="71">
        <v>24959</v>
      </c>
      <c r="F24" s="72">
        <v>36.1</v>
      </c>
      <c r="G24" s="71">
        <v>21306</v>
      </c>
      <c r="H24" s="72">
        <v>21.5</v>
      </c>
    </row>
    <row r="25" spans="1:8" x14ac:dyDescent="0.2">
      <c r="A25" s="71">
        <v>17685</v>
      </c>
      <c r="B25" s="72">
        <v>24.15</v>
      </c>
      <c r="C25" s="71">
        <v>21337</v>
      </c>
      <c r="D25" s="72">
        <v>29.6</v>
      </c>
      <c r="E25" s="71">
        <v>24990</v>
      </c>
      <c r="F25" s="72">
        <v>36.1</v>
      </c>
      <c r="G25" s="71">
        <v>21337</v>
      </c>
      <c r="H25" s="72">
        <v>21.5</v>
      </c>
    </row>
    <row r="26" spans="1:8" x14ac:dyDescent="0.2">
      <c r="A26" s="71">
        <v>17715</v>
      </c>
      <c r="B26" s="72">
        <v>24.4</v>
      </c>
      <c r="C26" s="71">
        <v>21367</v>
      </c>
      <c r="D26" s="72">
        <v>29.6</v>
      </c>
      <c r="E26" s="71">
        <v>25020</v>
      </c>
      <c r="F26" s="72">
        <v>36.200000000000003</v>
      </c>
      <c r="G26" s="71">
        <v>21367</v>
      </c>
      <c r="H26" s="72">
        <v>21.6</v>
      </c>
    </row>
    <row r="27" spans="1:8" x14ac:dyDescent="0.2">
      <c r="A27" s="71">
        <v>17746</v>
      </c>
      <c r="B27" s="72">
        <v>24.43</v>
      </c>
      <c r="C27" s="71">
        <v>21398</v>
      </c>
      <c r="D27" s="72">
        <v>29.6</v>
      </c>
      <c r="E27" s="71">
        <v>25051</v>
      </c>
      <c r="F27" s="72">
        <v>36.299999999999997</v>
      </c>
      <c r="G27" s="71">
        <v>21398</v>
      </c>
      <c r="H27" s="72">
        <v>21.7</v>
      </c>
    </row>
    <row r="28" spans="1:8" x14ac:dyDescent="0.2">
      <c r="A28" s="71">
        <v>17777</v>
      </c>
      <c r="B28" s="72">
        <v>24.36</v>
      </c>
      <c r="C28" s="71">
        <v>21429</v>
      </c>
      <c r="D28" s="72">
        <v>29.7</v>
      </c>
      <c r="E28" s="71">
        <v>25082</v>
      </c>
      <c r="F28" s="72">
        <v>36.5</v>
      </c>
      <c r="G28" s="71">
        <v>21429</v>
      </c>
      <c r="H28" s="72">
        <v>21.7</v>
      </c>
    </row>
    <row r="29" spans="1:8" x14ac:dyDescent="0.2">
      <c r="A29" s="71">
        <v>17807</v>
      </c>
      <c r="B29" s="72">
        <v>24.31</v>
      </c>
      <c r="C29" s="71">
        <v>21459</v>
      </c>
      <c r="D29" s="72">
        <v>29.7</v>
      </c>
      <c r="E29" s="71">
        <v>25112</v>
      </c>
      <c r="F29" s="72">
        <v>36.799999999999997</v>
      </c>
      <c r="G29" s="71">
        <v>21459</v>
      </c>
      <c r="H29" s="72">
        <v>21.7</v>
      </c>
    </row>
    <row r="30" spans="1:8" x14ac:dyDescent="0.2">
      <c r="A30" s="71">
        <v>17838</v>
      </c>
      <c r="B30" s="72">
        <v>24.16</v>
      </c>
      <c r="C30" s="71">
        <v>21490</v>
      </c>
      <c r="D30" s="72">
        <v>29.8</v>
      </c>
      <c r="E30" s="71">
        <v>25143</v>
      </c>
      <c r="F30" s="72">
        <v>36.799999999999997</v>
      </c>
      <c r="G30" s="71">
        <v>21490</v>
      </c>
      <c r="H30" s="72">
        <v>21.4</v>
      </c>
    </row>
    <row r="31" spans="1:8" x14ac:dyDescent="0.2">
      <c r="A31" s="71">
        <v>17868</v>
      </c>
      <c r="B31" s="72">
        <v>24.05</v>
      </c>
      <c r="C31" s="71">
        <v>21520</v>
      </c>
      <c r="D31" s="72">
        <v>29.9</v>
      </c>
      <c r="E31" s="71">
        <v>25173</v>
      </c>
      <c r="F31" s="72">
        <v>37</v>
      </c>
      <c r="G31" s="71">
        <v>21520</v>
      </c>
      <c r="H31" s="72">
        <v>21.4</v>
      </c>
    </row>
    <row r="32" spans="1:8" x14ac:dyDescent="0.2">
      <c r="A32" s="71">
        <v>17899</v>
      </c>
      <c r="B32" s="72">
        <v>24.01</v>
      </c>
      <c r="C32" s="71">
        <v>21551</v>
      </c>
      <c r="D32" s="72">
        <v>29.9</v>
      </c>
      <c r="E32" s="71">
        <v>25204</v>
      </c>
      <c r="F32" s="72">
        <v>37</v>
      </c>
      <c r="G32" s="71">
        <v>21551</v>
      </c>
      <c r="H32" s="72">
        <v>21.4</v>
      </c>
    </row>
    <row r="33" spans="1:8" x14ac:dyDescent="0.2">
      <c r="A33" s="71">
        <v>17930</v>
      </c>
      <c r="B33" s="72">
        <v>23.91</v>
      </c>
      <c r="C33" s="71">
        <v>21582</v>
      </c>
      <c r="D33" s="72">
        <v>29.9</v>
      </c>
      <c r="E33" s="71">
        <v>25235</v>
      </c>
      <c r="F33" s="72">
        <v>37</v>
      </c>
      <c r="G33" s="71">
        <v>21582</v>
      </c>
      <c r="H33" s="72">
        <v>21.6</v>
      </c>
    </row>
    <row r="34" spans="1:8" x14ac:dyDescent="0.2">
      <c r="A34" s="71">
        <v>17958</v>
      </c>
      <c r="B34" s="72">
        <v>23.91</v>
      </c>
      <c r="C34" s="71">
        <v>21610</v>
      </c>
      <c r="D34" s="72">
        <v>30</v>
      </c>
      <c r="E34" s="71">
        <v>25263</v>
      </c>
      <c r="F34" s="72">
        <v>37.1</v>
      </c>
      <c r="G34" s="71">
        <v>21610</v>
      </c>
      <c r="H34" s="72">
        <v>21.7</v>
      </c>
    </row>
    <row r="35" spans="1:8" x14ac:dyDescent="0.2">
      <c r="A35" s="71">
        <v>17989</v>
      </c>
      <c r="B35" s="72">
        <v>23.92</v>
      </c>
      <c r="C35" s="71">
        <v>21641</v>
      </c>
      <c r="D35" s="72">
        <v>30</v>
      </c>
      <c r="E35" s="71">
        <v>25294</v>
      </c>
      <c r="F35" s="72">
        <v>37.4</v>
      </c>
      <c r="G35" s="71">
        <v>21641</v>
      </c>
      <c r="H35" s="72">
        <v>21.8</v>
      </c>
    </row>
    <row r="36" spans="1:8" x14ac:dyDescent="0.2">
      <c r="A36" s="71">
        <v>18019</v>
      </c>
      <c r="B36" s="72">
        <v>23.91</v>
      </c>
      <c r="C36" s="71">
        <v>21671</v>
      </c>
      <c r="D36" s="72">
        <v>30.1</v>
      </c>
      <c r="E36" s="71">
        <v>25324</v>
      </c>
      <c r="F36" s="72">
        <v>37.6</v>
      </c>
      <c r="G36" s="71">
        <v>21671</v>
      </c>
      <c r="H36" s="72">
        <v>21.8</v>
      </c>
    </row>
    <row r="37" spans="1:8" x14ac:dyDescent="0.2">
      <c r="A37" s="71">
        <v>18050</v>
      </c>
      <c r="B37" s="72">
        <v>23.92</v>
      </c>
      <c r="C37" s="71">
        <v>21702</v>
      </c>
      <c r="D37" s="72">
        <v>30.2</v>
      </c>
      <c r="E37" s="71">
        <v>25355</v>
      </c>
      <c r="F37" s="72">
        <v>38</v>
      </c>
      <c r="G37" s="71">
        <v>21702</v>
      </c>
      <c r="H37" s="72">
        <v>21.9</v>
      </c>
    </row>
    <row r="38" spans="1:8" x14ac:dyDescent="0.2">
      <c r="A38" s="71">
        <v>18080</v>
      </c>
      <c r="B38" s="72">
        <v>23.7</v>
      </c>
      <c r="C38" s="71">
        <v>21732</v>
      </c>
      <c r="D38" s="72">
        <v>30.2</v>
      </c>
      <c r="E38" s="71">
        <v>25385</v>
      </c>
      <c r="F38" s="72">
        <v>38.200000000000003</v>
      </c>
      <c r="G38" s="71">
        <v>21732</v>
      </c>
      <c r="H38" s="72">
        <v>21.8</v>
      </c>
    </row>
    <row r="39" spans="1:8" x14ac:dyDescent="0.2">
      <c r="A39" s="71">
        <v>18111</v>
      </c>
      <c r="B39" s="72">
        <v>23.7</v>
      </c>
      <c r="C39" s="71">
        <v>21763</v>
      </c>
      <c r="D39" s="72">
        <v>30.2</v>
      </c>
      <c r="E39" s="71">
        <v>25416</v>
      </c>
      <c r="F39" s="72">
        <v>38.4</v>
      </c>
      <c r="G39" s="71">
        <v>21763</v>
      </c>
      <c r="H39" s="72">
        <v>21.9</v>
      </c>
    </row>
    <row r="40" spans="1:8" x14ac:dyDescent="0.2">
      <c r="A40" s="71">
        <v>18142</v>
      </c>
      <c r="B40" s="72">
        <v>23.75</v>
      </c>
      <c r="C40" s="71">
        <v>21794</v>
      </c>
      <c r="D40" s="72">
        <v>30.3</v>
      </c>
      <c r="E40" s="71">
        <v>25447</v>
      </c>
      <c r="F40" s="72">
        <v>38.6</v>
      </c>
      <c r="G40" s="71">
        <v>21794</v>
      </c>
      <c r="H40" s="72">
        <v>21.9</v>
      </c>
    </row>
    <row r="41" spans="1:8" x14ac:dyDescent="0.2">
      <c r="A41" s="71">
        <v>18172</v>
      </c>
      <c r="B41" s="72">
        <v>23.67</v>
      </c>
      <c r="C41" s="71">
        <v>21824</v>
      </c>
      <c r="D41" s="72">
        <v>30.4</v>
      </c>
      <c r="E41" s="71">
        <v>25477</v>
      </c>
      <c r="F41" s="72">
        <v>38.700000000000003</v>
      </c>
      <c r="G41" s="71">
        <v>21824</v>
      </c>
      <c r="H41" s="72">
        <v>22.2</v>
      </c>
    </row>
    <row r="42" spans="1:8" x14ac:dyDescent="0.2">
      <c r="A42" s="71">
        <v>18203</v>
      </c>
      <c r="B42" s="72">
        <v>23.7</v>
      </c>
      <c r="C42" s="71">
        <v>21855</v>
      </c>
      <c r="D42" s="72">
        <v>30.4</v>
      </c>
      <c r="E42" s="71">
        <v>25508</v>
      </c>
      <c r="F42" s="72">
        <v>39.1</v>
      </c>
      <c r="G42" s="71">
        <v>21855</v>
      </c>
      <c r="H42" s="72">
        <v>22.2</v>
      </c>
    </row>
    <row r="43" spans="1:8" x14ac:dyDescent="0.2">
      <c r="A43" s="71">
        <v>18233</v>
      </c>
      <c r="B43" s="72">
        <v>23.61</v>
      </c>
      <c r="C43" s="71">
        <v>21885</v>
      </c>
      <c r="D43" s="72">
        <v>30.5</v>
      </c>
      <c r="E43" s="71">
        <v>25538</v>
      </c>
      <c r="F43" s="72">
        <v>39.5</v>
      </c>
      <c r="G43" s="71">
        <v>21885</v>
      </c>
      <c r="H43" s="72">
        <v>22.3</v>
      </c>
    </row>
    <row r="44" spans="1:8" x14ac:dyDescent="0.2">
      <c r="A44" s="71">
        <v>18264</v>
      </c>
      <c r="B44" s="72">
        <v>23.51</v>
      </c>
      <c r="C44" s="71">
        <v>21916</v>
      </c>
      <c r="D44" s="72">
        <v>30.5</v>
      </c>
      <c r="E44" s="71">
        <v>25569</v>
      </c>
      <c r="F44" s="72">
        <v>39.6</v>
      </c>
      <c r="G44" s="71">
        <v>21916</v>
      </c>
      <c r="H44" s="72">
        <v>22.3</v>
      </c>
    </row>
    <row r="45" spans="1:8" x14ac:dyDescent="0.2">
      <c r="A45" s="71">
        <v>18295</v>
      </c>
      <c r="B45" s="72">
        <v>23.61</v>
      </c>
      <c r="C45" s="71">
        <v>21947</v>
      </c>
      <c r="D45" s="72">
        <v>30.6</v>
      </c>
      <c r="E45" s="71">
        <v>25600</v>
      </c>
      <c r="F45" s="72">
        <v>39.799999999999997</v>
      </c>
      <c r="G45" s="71">
        <v>21947</v>
      </c>
      <c r="H45" s="72">
        <v>22.2</v>
      </c>
    </row>
    <row r="46" spans="1:8" x14ac:dyDescent="0.2">
      <c r="A46" s="71">
        <v>18323</v>
      </c>
      <c r="B46" s="72">
        <v>23.64</v>
      </c>
      <c r="C46" s="71">
        <v>21976</v>
      </c>
      <c r="D46" s="72">
        <v>30.6</v>
      </c>
      <c r="E46" s="71">
        <v>25628</v>
      </c>
      <c r="F46" s="72">
        <v>39.799999999999997</v>
      </c>
      <c r="G46" s="71">
        <v>21976</v>
      </c>
      <c r="H46" s="72">
        <v>22.3</v>
      </c>
    </row>
    <row r="47" spans="1:8" x14ac:dyDescent="0.2">
      <c r="A47" s="71">
        <v>18354</v>
      </c>
      <c r="B47" s="72">
        <v>23.65</v>
      </c>
      <c r="C47" s="71">
        <v>22007</v>
      </c>
      <c r="D47" s="72">
        <v>30.6</v>
      </c>
      <c r="E47" s="71">
        <v>25659</v>
      </c>
      <c r="F47" s="72">
        <v>39.9</v>
      </c>
      <c r="G47" s="71">
        <v>22007</v>
      </c>
      <c r="H47" s="72">
        <v>22.4</v>
      </c>
    </row>
    <row r="48" spans="1:8" x14ac:dyDescent="0.2">
      <c r="A48" s="71">
        <v>18384</v>
      </c>
      <c r="B48" s="72">
        <v>23.77</v>
      </c>
      <c r="C48" s="71">
        <v>22037</v>
      </c>
      <c r="D48" s="72">
        <v>30.6</v>
      </c>
      <c r="E48" s="71">
        <v>25689</v>
      </c>
      <c r="F48" s="72">
        <v>40.1</v>
      </c>
      <c r="G48" s="71">
        <v>22037</v>
      </c>
      <c r="H48" s="72">
        <v>22.3</v>
      </c>
    </row>
    <row r="49" spans="1:8" x14ac:dyDescent="0.2">
      <c r="A49" s="71">
        <v>18415</v>
      </c>
      <c r="B49" s="72">
        <v>23.88</v>
      </c>
      <c r="C49" s="71">
        <v>22068</v>
      </c>
      <c r="D49" s="72">
        <v>30.7</v>
      </c>
      <c r="E49" s="71">
        <v>25720</v>
      </c>
      <c r="F49" s="72">
        <v>40.1</v>
      </c>
      <c r="G49" s="71">
        <v>22068</v>
      </c>
      <c r="H49" s="72">
        <v>22.4</v>
      </c>
    </row>
    <row r="50" spans="1:8" x14ac:dyDescent="0.2">
      <c r="A50" s="71">
        <v>18445</v>
      </c>
      <c r="B50" s="72">
        <v>24.07</v>
      </c>
      <c r="C50" s="71">
        <v>22098</v>
      </c>
      <c r="D50" s="72">
        <v>30.6</v>
      </c>
      <c r="E50" s="71">
        <v>25750</v>
      </c>
      <c r="F50" s="72">
        <v>40.200000000000003</v>
      </c>
      <c r="G50" s="71">
        <v>22098</v>
      </c>
      <c r="H50" s="72">
        <v>22.5</v>
      </c>
    </row>
    <row r="51" spans="1:8" x14ac:dyDescent="0.2">
      <c r="A51" s="71">
        <v>18476</v>
      </c>
      <c r="B51" s="72">
        <v>24.2</v>
      </c>
      <c r="C51" s="71">
        <v>22129</v>
      </c>
      <c r="D51" s="72">
        <v>30.6</v>
      </c>
      <c r="E51" s="71">
        <v>25781</v>
      </c>
      <c r="F51" s="72">
        <v>40.200000000000003</v>
      </c>
      <c r="G51" s="71">
        <v>22129</v>
      </c>
      <c r="H51" s="72">
        <v>22.5</v>
      </c>
    </row>
    <row r="52" spans="1:8" x14ac:dyDescent="0.2">
      <c r="A52" s="71">
        <v>18507</v>
      </c>
      <c r="B52" s="72">
        <v>24.34</v>
      </c>
      <c r="C52" s="71">
        <v>22160</v>
      </c>
      <c r="D52" s="72">
        <v>30.6</v>
      </c>
      <c r="E52" s="71">
        <v>25812</v>
      </c>
      <c r="F52" s="72">
        <v>40.4</v>
      </c>
      <c r="G52" s="71">
        <v>22160</v>
      </c>
      <c r="H52" s="72">
        <v>22.6</v>
      </c>
    </row>
    <row r="53" spans="1:8" x14ac:dyDescent="0.2">
      <c r="A53" s="71">
        <v>18537</v>
      </c>
      <c r="B53" s="72">
        <v>24.5</v>
      </c>
      <c r="C53" s="71">
        <v>22190</v>
      </c>
      <c r="D53" s="72">
        <v>30.8</v>
      </c>
      <c r="E53" s="71">
        <v>25842</v>
      </c>
      <c r="F53" s="72">
        <v>40.5</v>
      </c>
      <c r="G53" s="71">
        <v>22190</v>
      </c>
      <c r="H53" s="72">
        <v>22.5</v>
      </c>
    </row>
    <row r="54" spans="1:8" x14ac:dyDescent="0.2">
      <c r="A54" s="71">
        <v>18568</v>
      </c>
      <c r="B54" s="72">
        <v>24.6</v>
      </c>
      <c r="C54" s="71">
        <v>22221</v>
      </c>
      <c r="D54" s="72">
        <v>30.8</v>
      </c>
      <c r="E54" s="71">
        <v>25873</v>
      </c>
      <c r="F54" s="72">
        <v>40.4</v>
      </c>
      <c r="G54" s="71">
        <v>22221</v>
      </c>
      <c r="H54" s="72">
        <v>22.7</v>
      </c>
    </row>
    <row r="55" spans="1:8" x14ac:dyDescent="0.2">
      <c r="A55" s="71">
        <v>18598</v>
      </c>
      <c r="B55" s="72">
        <v>24.98</v>
      </c>
      <c r="C55" s="71">
        <v>22251</v>
      </c>
      <c r="D55" s="72">
        <v>30.7</v>
      </c>
      <c r="E55" s="71">
        <v>25903</v>
      </c>
      <c r="F55" s="72">
        <v>40.5</v>
      </c>
      <c r="G55" s="71">
        <v>22251</v>
      </c>
      <c r="H55" s="72">
        <v>22.6</v>
      </c>
    </row>
    <row r="56" spans="1:8" x14ac:dyDescent="0.2">
      <c r="A56" s="71">
        <v>18629</v>
      </c>
      <c r="B56" s="72">
        <v>25.38</v>
      </c>
      <c r="C56" s="71">
        <v>22282</v>
      </c>
      <c r="D56" s="72">
        <v>30.8</v>
      </c>
      <c r="E56" s="71">
        <v>25934</v>
      </c>
      <c r="F56" s="72">
        <v>40.5</v>
      </c>
      <c r="G56" s="71">
        <v>22282</v>
      </c>
      <c r="H56" s="72">
        <v>22.7</v>
      </c>
    </row>
    <row r="57" spans="1:8" x14ac:dyDescent="0.2">
      <c r="A57" s="71">
        <v>18660</v>
      </c>
      <c r="B57" s="72">
        <v>25.83</v>
      </c>
      <c r="C57" s="71">
        <v>22313</v>
      </c>
      <c r="D57" s="72">
        <v>30.8</v>
      </c>
      <c r="E57" s="71">
        <v>25965</v>
      </c>
      <c r="F57" s="72">
        <v>40.5</v>
      </c>
      <c r="G57" s="71">
        <v>22313</v>
      </c>
      <c r="H57" s="72">
        <v>22.6</v>
      </c>
    </row>
    <row r="58" spans="1:8" x14ac:dyDescent="0.2">
      <c r="A58" s="71">
        <v>18688</v>
      </c>
      <c r="B58" s="72">
        <v>25.88</v>
      </c>
      <c r="C58" s="71">
        <v>22341</v>
      </c>
      <c r="D58" s="72">
        <v>30.9</v>
      </c>
      <c r="E58" s="71">
        <v>25993</v>
      </c>
      <c r="F58" s="72">
        <v>40.9</v>
      </c>
      <c r="G58" s="71">
        <v>22341</v>
      </c>
      <c r="H58" s="72">
        <v>22.6</v>
      </c>
    </row>
    <row r="59" spans="1:8" x14ac:dyDescent="0.2">
      <c r="A59" s="71">
        <v>18719</v>
      </c>
      <c r="B59" s="72">
        <v>25.92</v>
      </c>
      <c r="C59" s="71">
        <v>22372</v>
      </c>
      <c r="D59" s="72">
        <v>30.9</v>
      </c>
      <c r="E59" s="71">
        <v>26024</v>
      </c>
      <c r="F59" s="72">
        <v>41.1</v>
      </c>
      <c r="G59" s="71">
        <v>22372</v>
      </c>
      <c r="H59" s="72">
        <v>22.2</v>
      </c>
    </row>
    <row r="60" spans="1:8" x14ac:dyDescent="0.2">
      <c r="A60" s="71">
        <v>18749</v>
      </c>
      <c r="B60" s="72">
        <v>25.99</v>
      </c>
      <c r="C60" s="71">
        <v>22402</v>
      </c>
      <c r="D60" s="72">
        <v>30.9</v>
      </c>
      <c r="E60" s="71">
        <v>26054</v>
      </c>
      <c r="F60" s="72">
        <v>41.3</v>
      </c>
      <c r="G60" s="71">
        <v>22402</v>
      </c>
      <c r="H60" s="72">
        <v>22.4</v>
      </c>
    </row>
    <row r="61" spans="1:8" x14ac:dyDescent="0.2">
      <c r="A61" s="71">
        <v>18780</v>
      </c>
      <c r="B61" s="72">
        <v>25.93</v>
      </c>
      <c r="C61" s="71">
        <v>22433</v>
      </c>
      <c r="D61" s="72">
        <v>31</v>
      </c>
      <c r="E61" s="71">
        <v>26085</v>
      </c>
      <c r="F61" s="72">
        <v>41.5</v>
      </c>
      <c r="G61" s="71">
        <v>22433</v>
      </c>
      <c r="H61" s="72">
        <v>22.5</v>
      </c>
    </row>
    <row r="62" spans="1:8" x14ac:dyDescent="0.2">
      <c r="A62" s="71">
        <v>18810</v>
      </c>
      <c r="B62" s="72">
        <v>25.91</v>
      </c>
      <c r="C62" s="71">
        <v>22463</v>
      </c>
      <c r="D62" s="72">
        <v>31</v>
      </c>
      <c r="E62" s="71">
        <v>26115</v>
      </c>
      <c r="F62" s="72">
        <v>41.6</v>
      </c>
      <c r="G62" s="71">
        <v>22463</v>
      </c>
      <c r="H62" s="72">
        <v>22.5</v>
      </c>
    </row>
    <row r="63" spans="1:8" x14ac:dyDescent="0.2">
      <c r="A63" s="71">
        <v>18841</v>
      </c>
      <c r="B63" s="72">
        <v>25.86</v>
      </c>
      <c r="C63" s="71">
        <v>22494</v>
      </c>
      <c r="D63" s="72">
        <v>31.1</v>
      </c>
      <c r="E63" s="71">
        <v>26146</v>
      </c>
      <c r="F63" s="72">
        <v>41.6</v>
      </c>
      <c r="G63" s="71">
        <v>22494</v>
      </c>
      <c r="H63" s="72">
        <v>22.5</v>
      </c>
    </row>
    <row r="64" spans="1:8" x14ac:dyDescent="0.2">
      <c r="A64" s="71">
        <v>18872</v>
      </c>
      <c r="B64" s="72">
        <v>26.03</v>
      </c>
      <c r="C64" s="71">
        <v>22525</v>
      </c>
      <c r="D64" s="72">
        <v>31.1</v>
      </c>
      <c r="E64" s="71">
        <v>26177</v>
      </c>
      <c r="F64" s="72">
        <v>41.6</v>
      </c>
      <c r="G64" s="71">
        <v>22525</v>
      </c>
      <c r="H64" s="72">
        <v>22.6</v>
      </c>
    </row>
    <row r="65" spans="1:8" x14ac:dyDescent="0.2">
      <c r="A65" s="71">
        <v>18902</v>
      </c>
      <c r="B65" s="72">
        <v>26.16</v>
      </c>
      <c r="C65" s="71">
        <v>22555</v>
      </c>
      <c r="D65" s="72">
        <v>31.1</v>
      </c>
      <c r="E65" s="71">
        <v>26207</v>
      </c>
      <c r="F65" s="72">
        <v>41.7</v>
      </c>
      <c r="G65" s="71">
        <v>22555</v>
      </c>
      <c r="H65" s="72">
        <v>22.4</v>
      </c>
    </row>
    <row r="66" spans="1:8" x14ac:dyDescent="0.2">
      <c r="A66" s="71">
        <v>18933</v>
      </c>
      <c r="B66" s="72">
        <v>26.32</v>
      </c>
      <c r="C66" s="71">
        <v>22586</v>
      </c>
      <c r="D66" s="72">
        <v>31.2</v>
      </c>
      <c r="E66" s="71">
        <v>26238</v>
      </c>
      <c r="F66" s="72">
        <v>41.9</v>
      </c>
      <c r="G66" s="71">
        <v>22586</v>
      </c>
      <c r="H66" s="72">
        <v>22.5</v>
      </c>
    </row>
    <row r="67" spans="1:8" x14ac:dyDescent="0.2">
      <c r="A67" s="71">
        <v>18963</v>
      </c>
      <c r="B67" s="72">
        <v>26.47</v>
      </c>
      <c r="C67" s="71">
        <v>22616</v>
      </c>
      <c r="D67" s="72">
        <v>31.2</v>
      </c>
      <c r="E67" s="71">
        <v>26268</v>
      </c>
      <c r="F67" s="72">
        <v>42.3</v>
      </c>
      <c r="G67" s="71">
        <v>22616</v>
      </c>
      <c r="H67" s="72">
        <v>22.4</v>
      </c>
    </row>
    <row r="68" spans="1:8" x14ac:dyDescent="0.2">
      <c r="A68" s="71">
        <v>18994</v>
      </c>
      <c r="B68" s="72">
        <v>26.45</v>
      </c>
      <c r="C68" s="71">
        <v>22647</v>
      </c>
      <c r="D68" s="72">
        <v>31.2</v>
      </c>
      <c r="E68" s="71">
        <v>26299</v>
      </c>
      <c r="F68" s="72">
        <v>42.2</v>
      </c>
      <c r="G68" s="71">
        <v>22647</v>
      </c>
      <c r="H68" s="72">
        <v>22.4</v>
      </c>
    </row>
    <row r="69" spans="1:8" x14ac:dyDescent="0.2">
      <c r="A69" s="71">
        <v>19025</v>
      </c>
      <c r="B69" s="72">
        <v>26.41</v>
      </c>
      <c r="C69" s="71">
        <v>22678</v>
      </c>
      <c r="D69" s="72">
        <v>31.2</v>
      </c>
      <c r="E69" s="71">
        <v>26330</v>
      </c>
      <c r="F69" s="72">
        <v>42.6</v>
      </c>
      <c r="G69" s="71">
        <v>22678</v>
      </c>
      <c r="H69" s="72">
        <v>22.6</v>
      </c>
    </row>
    <row r="70" spans="1:8" x14ac:dyDescent="0.2">
      <c r="A70" s="71">
        <v>19054</v>
      </c>
      <c r="B70" s="72">
        <v>26.39</v>
      </c>
      <c r="C70" s="71">
        <v>22706</v>
      </c>
      <c r="D70" s="72">
        <v>31.3</v>
      </c>
      <c r="E70" s="71">
        <v>26359</v>
      </c>
      <c r="F70" s="72">
        <v>42.6</v>
      </c>
      <c r="G70" s="71">
        <v>22706</v>
      </c>
      <c r="H70" s="72">
        <v>22.4</v>
      </c>
    </row>
    <row r="71" spans="1:8" x14ac:dyDescent="0.2">
      <c r="A71" s="71">
        <v>19085</v>
      </c>
      <c r="B71" s="72">
        <v>26.46</v>
      </c>
      <c r="C71" s="71">
        <v>22737</v>
      </c>
      <c r="D71" s="72">
        <v>31.3</v>
      </c>
      <c r="E71" s="71">
        <v>26390</v>
      </c>
      <c r="F71" s="72">
        <v>42.6</v>
      </c>
      <c r="G71" s="71">
        <v>22737</v>
      </c>
      <c r="H71" s="72">
        <v>22.7</v>
      </c>
    </row>
    <row r="72" spans="1:8" x14ac:dyDescent="0.2">
      <c r="A72" s="71">
        <v>19115</v>
      </c>
      <c r="B72" s="72">
        <v>26.47</v>
      </c>
      <c r="C72" s="71">
        <v>22767</v>
      </c>
      <c r="D72" s="72">
        <v>31.4</v>
      </c>
      <c r="E72" s="71">
        <v>26420</v>
      </c>
      <c r="F72" s="72">
        <v>42.7</v>
      </c>
      <c r="G72" s="71">
        <v>22767</v>
      </c>
      <c r="H72" s="72">
        <v>22.7</v>
      </c>
    </row>
    <row r="73" spans="1:8" x14ac:dyDescent="0.2">
      <c r="A73" s="71">
        <v>19146</v>
      </c>
      <c r="B73" s="72">
        <v>26.53</v>
      </c>
      <c r="C73" s="71">
        <v>22798</v>
      </c>
      <c r="D73" s="72">
        <v>31.4</v>
      </c>
      <c r="E73" s="71">
        <v>26451</v>
      </c>
      <c r="F73" s="72">
        <v>42.8</v>
      </c>
      <c r="G73" s="71">
        <v>22798</v>
      </c>
      <c r="H73" s="72">
        <v>22.5</v>
      </c>
    </row>
    <row r="74" spans="1:8" x14ac:dyDescent="0.2">
      <c r="A74" s="71">
        <v>19176</v>
      </c>
      <c r="B74" s="72">
        <v>26.68</v>
      </c>
      <c r="C74" s="71">
        <v>22828</v>
      </c>
      <c r="D74" s="72">
        <v>31.4</v>
      </c>
      <c r="E74" s="71">
        <v>26481</v>
      </c>
      <c r="F74" s="72">
        <v>43.1</v>
      </c>
      <c r="G74" s="71">
        <v>22828</v>
      </c>
      <c r="H74" s="72">
        <v>22.3</v>
      </c>
    </row>
    <row r="75" spans="1:8" x14ac:dyDescent="0.2">
      <c r="A75" s="71">
        <v>19207</v>
      </c>
      <c r="B75" s="72">
        <v>26.69</v>
      </c>
      <c r="C75" s="71">
        <v>22859</v>
      </c>
      <c r="D75" s="72">
        <v>31.5</v>
      </c>
      <c r="E75" s="71">
        <v>26512</v>
      </c>
      <c r="F75" s="72">
        <v>43.1</v>
      </c>
      <c r="G75" s="71">
        <v>22859</v>
      </c>
      <c r="H75" s="72">
        <v>22.4</v>
      </c>
    </row>
    <row r="76" spans="1:8" x14ac:dyDescent="0.2">
      <c r="A76" s="71">
        <v>19238</v>
      </c>
      <c r="B76" s="72">
        <v>26.63</v>
      </c>
      <c r="C76" s="71">
        <v>22890</v>
      </c>
      <c r="D76" s="72">
        <v>31.5</v>
      </c>
      <c r="E76" s="71">
        <v>26543</v>
      </c>
      <c r="F76" s="72">
        <v>43.5</v>
      </c>
      <c r="G76" s="71">
        <v>22890</v>
      </c>
      <c r="H76" s="72">
        <v>22.8</v>
      </c>
    </row>
    <row r="77" spans="1:8" x14ac:dyDescent="0.2">
      <c r="A77" s="71">
        <v>19268</v>
      </c>
      <c r="B77" s="72">
        <v>26.69</v>
      </c>
      <c r="C77" s="71">
        <v>22920</v>
      </c>
      <c r="D77" s="72">
        <v>31.5</v>
      </c>
      <c r="E77" s="71">
        <v>26573</v>
      </c>
      <c r="F77" s="72">
        <v>43.7</v>
      </c>
      <c r="G77" s="71">
        <v>22920</v>
      </c>
      <c r="H77" s="72">
        <v>22.7</v>
      </c>
    </row>
    <row r="78" spans="1:8" x14ac:dyDescent="0.2">
      <c r="A78" s="71">
        <v>19299</v>
      </c>
      <c r="B78" s="72">
        <v>26.69</v>
      </c>
      <c r="C78" s="71">
        <v>22951</v>
      </c>
      <c r="D78" s="72">
        <v>31.5</v>
      </c>
      <c r="E78" s="71">
        <v>26604</v>
      </c>
      <c r="F78" s="72">
        <v>43.9</v>
      </c>
      <c r="G78" s="71">
        <v>22951</v>
      </c>
      <c r="H78" s="72">
        <v>22.7</v>
      </c>
    </row>
    <row r="79" spans="1:8" x14ac:dyDescent="0.2">
      <c r="A79" s="71">
        <v>19329</v>
      </c>
      <c r="B79" s="72">
        <v>26.71</v>
      </c>
      <c r="C79" s="71">
        <v>22981</v>
      </c>
      <c r="D79" s="72">
        <v>31.6</v>
      </c>
      <c r="E79" s="71">
        <v>26634</v>
      </c>
      <c r="F79" s="72">
        <v>44.1</v>
      </c>
      <c r="G79" s="71">
        <v>22981</v>
      </c>
      <c r="H79" s="72">
        <v>22.8</v>
      </c>
    </row>
    <row r="80" spans="1:8" x14ac:dyDescent="0.2">
      <c r="A80" s="71">
        <v>19360</v>
      </c>
      <c r="B80" s="72">
        <v>26.64</v>
      </c>
      <c r="C80" s="71">
        <v>23012</v>
      </c>
      <c r="D80" s="72">
        <v>31.5</v>
      </c>
      <c r="E80" s="71">
        <v>26665</v>
      </c>
      <c r="F80" s="72">
        <v>44.8</v>
      </c>
      <c r="G80" s="71">
        <v>23012</v>
      </c>
      <c r="H80" s="72">
        <v>22.8</v>
      </c>
    </row>
    <row r="81" spans="1:8" x14ac:dyDescent="0.2">
      <c r="A81" s="71">
        <v>19391</v>
      </c>
      <c r="B81" s="72">
        <v>26.59</v>
      </c>
      <c r="C81" s="71">
        <v>23043</v>
      </c>
      <c r="D81" s="72">
        <v>31.6</v>
      </c>
      <c r="E81" s="71">
        <v>26696</v>
      </c>
      <c r="F81" s="72">
        <v>45.5</v>
      </c>
      <c r="G81" s="71">
        <v>23043</v>
      </c>
      <c r="H81" s="72">
        <v>22.7</v>
      </c>
    </row>
    <row r="82" spans="1:8" x14ac:dyDescent="0.2">
      <c r="A82" s="71">
        <v>19419</v>
      </c>
      <c r="B82" s="72">
        <v>26.63</v>
      </c>
      <c r="C82" s="71">
        <v>23071</v>
      </c>
      <c r="D82" s="72">
        <v>31.7</v>
      </c>
      <c r="E82" s="71">
        <v>26724</v>
      </c>
      <c r="F82" s="72">
        <v>46.5</v>
      </c>
      <c r="G82" s="71">
        <v>23071</v>
      </c>
      <c r="H82" s="72">
        <v>22.7</v>
      </c>
    </row>
    <row r="83" spans="1:8" x14ac:dyDescent="0.2">
      <c r="A83" s="71">
        <v>19450</v>
      </c>
      <c r="B83" s="72">
        <v>26.69</v>
      </c>
      <c r="C83" s="71">
        <v>23102</v>
      </c>
      <c r="D83" s="72">
        <v>31.7</v>
      </c>
      <c r="E83" s="71">
        <v>26755</v>
      </c>
      <c r="F83" s="72">
        <v>47.2</v>
      </c>
      <c r="G83" s="71">
        <v>23102</v>
      </c>
      <c r="H83" s="72">
        <v>22.6</v>
      </c>
    </row>
    <row r="84" spans="1:8" x14ac:dyDescent="0.2">
      <c r="A84" s="71">
        <v>19480</v>
      </c>
      <c r="B84" s="72">
        <v>26.7</v>
      </c>
      <c r="C84" s="71">
        <v>23132</v>
      </c>
      <c r="D84" s="72">
        <v>31.7</v>
      </c>
      <c r="E84" s="71">
        <v>26785</v>
      </c>
      <c r="F84" s="72">
        <v>47.8</v>
      </c>
      <c r="G84" s="71">
        <v>23132</v>
      </c>
      <c r="H84" s="72">
        <v>22.6</v>
      </c>
    </row>
    <row r="85" spans="1:8" x14ac:dyDescent="0.2">
      <c r="A85" s="71">
        <v>19511</v>
      </c>
      <c r="B85" s="72">
        <v>26.77</v>
      </c>
      <c r="C85" s="71">
        <v>23163</v>
      </c>
      <c r="D85" s="72">
        <v>31.8</v>
      </c>
      <c r="E85" s="71">
        <v>26816</v>
      </c>
      <c r="F85" s="72">
        <v>48.3</v>
      </c>
      <c r="G85" s="71">
        <v>23163</v>
      </c>
      <c r="H85" s="72">
        <v>22.5</v>
      </c>
    </row>
    <row r="86" spans="1:8" x14ac:dyDescent="0.2">
      <c r="A86" s="71">
        <v>19541</v>
      </c>
      <c r="B86" s="72">
        <v>26.79</v>
      </c>
      <c r="C86" s="71">
        <v>23193</v>
      </c>
      <c r="D86" s="72">
        <v>31.8</v>
      </c>
      <c r="E86" s="71">
        <v>26846</v>
      </c>
      <c r="F86" s="72">
        <v>48.4</v>
      </c>
      <c r="G86" s="71">
        <v>23193</v>
      </c>
      <c r="H86" s="72">
        <v>22.7</v>
      </c>
    </row>
    <row r="87" spans="1:8" x14ac:dyDescent="0.2">
      <c r="A87" s="71">
        <v>19572</v>
      </c>
      <c r="B87" s="72">
        <v>26.85</v>
      </c>
      <c r="C87" s="71">
        <v>23224</v>
      </c>
      <c r="D87" s="72">
        <v>31.9</v>
      </c>
      <c r="E87" s="71">
        <v>26877</v>
      </c>
      <c r="F87" s="72">
        <v>50.9</v>
      </c>
      <c r="G87" s="71">
        <v>23224</v>
      </c>
      <c r="H87" s="72">
        <v>22.6</v>
      </c>
    </row>
    <row r="88" spans="1:8" x14ac:dyDescent="0.2">
      <c r="A88" s="71">
        <v>19603</v>
      </c>
      <c r="B88" s="72">
        <v>26.89</v>
      </c>
      <c r="C88" s="71">
        <v>23255</v>
      </c>
      <c r="D88" s="72">
        <v>31.9</v>
      </c>
      <c r="E88" s="71">
        <v>26908</v>
      </c>
      <c r="F88" s="72">
        <v>50.9</v>
      </c>
      <c r="G88" s="71">
        <v>23255</v>
      </c>
      <c r="H88" s="72">
        <v>22.5</v>
      </c>
    </row>
    <row r="89" spans="1:8" x14ac:dyDescent="0.2">
      <c r="A89" s="71">
        <v>19633</v>
      </c>
      <c r="B89" s="72">
        <v>26.95</v>
      </c>
      <c r="C89" s="71">
        <v>23285</v>
      </c>
      <c r="D89" s="72">
        <v>32</v>
      </c>
      <c r="E89" s="71">
        <v>26938</v>
      </c>
      <c r="F89" s="72">
        <v>51.2</v>
      </c>
      <c r="G89" s="71">
        <v>23285</v>
      </c>
      <c r="H89" s="72">
        <v>22.7</v>
      </c>
    </row>
    <row r="90" spans="1:8" x14ac:dyDescent="0.2">
      <c r="A90" s="71">
        <v>19664</v>
      </c>
      <c r="B90" s="72">
        <v>26.85</v>
      </c>
      <c r="C90" s="71">
        <v>23316</v>
      </c>
      <c r="D90" s="72">
        <v>32</v>
      </c>
      <c r="E90" s="71">
        <v>26969</v>
      </c>
      <c r="F90" s="72">
        <v>51.8</v>
      </c>
      <c r="G90" s="71">
        <v>23316</v>
      </c>
      <c r="H90" s="72">
        <v>22.6</v>
      </c>
    </row>
    <row r="91" spans="1:8" x14ac:dyDescent="0.2">
      <c r="A91" s="71">
        <v>19694</v>
      </c>
      <c r="B91" s="72">
        <v>26.87</v>
      </c>
      <c r="C91" s="71">
        <v>23346</v>
      </c>
      <c r="D91" s="72">
        <v>32.1</v>
      </c>
      <c r="E91" s="71">
        <v>26999</v>
      </c>
      <c r="F91" s="72">
        <v>52.3</v>
      </c>
      <c r="G91" s="71">
        <v>23346</v>
      </c>
      <c r="H91" s="72">
        <v>22.6</v>
      </c>
    </row>
    <row r="92" spans="1:8" x14ac:dyDescent="0.2">
      <c r="A92" s="71">
        <v>19725</v>
      </c>
      <c r="B92" s="72">
        <v>26.94</v>
      </c>
      <c r="C92" s="71">
        <v>23377</v>
      </c>
      <c r="D92" s="72">
        <v>32.200000000000003</v>
      </c>
      <c r="E92" s="71">
        <v>27030</v>
      </c>
      <c r="F92" s="72">
        <v>52.9</v>
      </c>
      <c r="G92" s="71">
        <v>23377</v>
      </c>
      <c r="H92" s="72">
        <v>22.8</v>
      </c>
    </row>
    <row r="93" spans="1:8" x14ac:dyDescent="0.2">
      <c r="A93" s="71">
        <v>19756</v>
      </c>
      <c r="B93" s="72">
        <v>26.99</v>
      </c>
      <c r="C93" s="71">
        <v>23408</v>
      </c>
      <c r="D93" s="72">
        <v>32.200000000000003</v>
      </c>
      <c r="E93" s="71">
        <v>27061</v>
      </c>
      <c r="F93" s="72">
        <v>54</v>
      </c>
      <c r="G93" s="71">
        <v>23408</v>
      </c>
      <c r="H93" s="72">
        <v>22.2</v>
      </c>
    </row>
    <row r="94" spans="1:8" x14ac:dyDescent="0.2">
      <c r="A94" s="71">
        <v>19784</v>
      </c>
      <c r="B94" s="72">
        <v>26.93</v>
      </c>
      <c r="C94" s="71">
        <v>23437</v>
      </c>
      <c r="D94" s="72">
        <v>32.200000000000003</v>
      </c>
      <c r="E94" s="71">
        <v>27089</v>
      </c>
      <c r="F94" s="72">
        <v>54.5</v>
      </c>
      <c r="G94" s="71">
        <v>23437</v>
      </c>
      <c r="H94" s="72">
        <v>22.6</v>
      </c>
    </row>
    <row r="95" spans="1:8" x14ac:dyDescent="0.2">
      <c r="A95" s="71">
        <v>19815</v>
      </c>
      <c r="B95" s="72">
        <v>26.86</v>
      </c>
      <c r="C95" s="71">
        <v>23468</v>
      </c>
      <c r="D95" s="72">
        <v>32.200000000000003</v>
      </c>
      <c r="E95" s="71">
        <v>27120</v>
      </c>
      <c r="F95" s="72">
        <v>54.4</v>
      </c>
      <c r="G95" s="71">
        <v>23468</v>
      </c>
      <c r="H95" s="72">
        <v>22.5</v>
      </c>
    </row>
    <row r="96" spans="1:8" x14ac:dyDescent="0.2">
      <c r="A96" s="71">
        <v>19845</v>
      </c>
      <c r="B96" s="72">
        <v>26.93</v>
      </c>
      <c r="C96" s="71">
        <v>23498</v>
      </c>
      <c r="D96" s="72">
        <v>32.200000000000003</v>
      </c>
      <c r="E96" s="71">
        <v>27150</v>
      </c>
      <c r="F96" s="72">
        <v>54.8</v>
      </c>
      <c r="G96" s="71">
        <v>23498</v>
      </c>
      <c r="H96" s="72">
        <v>22.5</v>
      </c>
    </row>
    <row r="97" spans="1:8" x14ac:dyDescent="0.2">
      <c r="A97" s="71">
        <v>19876</v>
      </c>
      <c r="B97" s="72">
        <v>26.94</v>
      </c>
      <c r="C97" s="71">
        <v>23529</v>
      </c>
      <c r="D97" s="72">
        <v>32.299999999999997</v>
      </c>
      <c r="E97" s="71">
        <v>27181</v>
      </c>
      <c r="F97" s="72">
        <v>54.9</v>
      </c>
      <c r="G97" s="71">
        <v>23529</v>
      </c>
      <c r="H97" s="72">
        <v>22.6</v>
      </c>
    </row>
    <row r="98" spans="1:8" x14ac:dyDescent="0.2">
      <c r="A98" s="71">
        <v>19906</v>
      </c>
      <c r="B98" s="72">
        <v>26.86</v>
      </c>
      <c r="C98" s="71">
        <v>23559</v>
      </c>
      <c r="D98" s="72">
        <v>32.299999999999997</v>
      </c>
      <c r="E98" s="71">
        <v>27211</v>
      </c>
      <c r="F98" s="72">
        <v>54.8</v>
      </c>
      <c r="G98" s="71">
        <v>23559</v>
      </c>
      <c r="H98" s="72">
        <v>22.5</v>
      </c>
    </row>
    <row r="99" spans="1:8" x14ac:dyDescent="0.2">
      <c r="A99" s="71">
        <v>19937</v>
      </c>
      <c r="B99" s="72">
        <v>26.85</v>
      </c>
      <c r="C99" s="71">
        <v>23590</v>
      </c>
      <c r="D99" s="72">
        <v>32.299999999999997</v>
      </c>
      <c r="E99" s="71">
        <v>27242</v>
      </c>
      <c r="F99" s="72">
        <v>55.5</v>
      </c>
      <c r="G99" s="71">
        <v>23590</v>
      </c>
      <c r="H99" s="72">
        <v>22.6</v>
      </c>
    </row>
    <row r="100" spans="1:8" x14ac:dyDescent="0.2">
      <c r="A100" s="71">
        <v>19968</v>
      </c>
      <c r="B100" s="72">
        <v>26.81</v>
      </c>
      <c r="C100" s="71">
        <v>23621</v>
      </c>
      <c r="D100" s="72">
        <v>32.299999999999997</v>
      </c>
      <c r="E100" s="71">
        <v>27273</v>
      </c>
      <c r="F100" s="72">
        <v>56.6</v>
      </c>
      <c r="G100" s="71">
        <v>23621</v>
      </c>
      <c r="H100" s="72">
        <v>22.5</v>
      </c>
    </row>
    <row r="101" spans="1:8" x14ac:dyDescent="0.2">
      <c r="A101" s="71">
        <v>19998</v>
      </c>
      <c r="B101" s="72">
        <v>26.72</v>
      </c>
      <c r="C101" s="71">
        <v>23651</v>
      </c>
      <c r="D101" s="72">
        <v>32.4</v>
      </c>
      <c r="E101" s="71">
        <v>27303</v>
      </c>
      <c r="F101" s="72">
        <v>57.2</v>
      </c>
      <c r="G101" s="71">
        <v>23651</v>
      </c>
      <c r="H101" s="72">
        <v>22.5</v>
      </c>
    </row>
    <row r="102" spans="1:8" x14ac:dyDescent="0.2">
      <c r="A102" s="71">
        <v>20029</v>
      </c>
      <c r="B102" s="72">
        <v>26.78</v>
      </c>
      <c r="C102" s="71">
        <v>23682</v>
      </c>
      <c r="D102" s="72">
        <v>32.5</v>
      </c>
      <c r="E102" s="71">
        <v>27334</v>
      </c>
      <c r="F102" s="72">
        <v>57.9</v>
      </c>
      <c r="G102" s="71">
        <v>23682</v>
      </c>
      <c r="H102" s="72">
        <v>22.5</v>
      </c>
    </row>
    <row r="103" spans="1:8" x14ac:dyDescent="0.2">
      <c r="A103" s="71">
        <v>20059</v>
      </c>
      <c r="B103" s="72">
        <v>26.77</v>
      </c>
      <c r="C103" s="71">
        <v>23712</v>
      </c>
      <c r="D103" s="72">
        <v>32.5</v>
      </c>
      <c r="E103" s="71">
        <v>27364</v>
      </c>
      <c r="F103" s="72">
        <v>58.6</v>
      </c>
      <c r="G103" s="71">
        <v>23712</v>
      </c>
      <c r="H103" s="72">
        <v>22.6</v>
      </c>
    </row>
    <row r="104" spans="1:8" x14ac:dyDescent="0.2">
      <c r="A104" s="71">
        <v>20090</v>
      </c>
      <c r="B104" s="72">
        <v>26.77</v>
      </c>
      <c r="C104" s="71">
        <v>23743</v>
      </c>
      <c r="D104" s="72">
        <v>32.6</v>
      </c>
      <c r="E104" s="71">
        <v>27395</v>
      </c>
      <c r="F104" s="72">
        <v>58.8</v>
      </c>
      <c r="G104" s="71">
        <v>23743</v>
      </c>
      <c r="H104" s="72">
        <v>22.8</v>
      </c>
    </row>
    <row r="105" spans="1:8" x14ac:dyDescent="0.2">
      <c r="A105" s="71">
        <v>20121</v>
      </c>
      <c r="B105" s="72">
        <v>26.82</v>
      </c>
      <c r="C105" s="71">
        <v>23774</v>
      </c>
      <c r="D105" s="72">
        <v>32.6</v>
      </c>
      <c r="E105" s="71">
        <v>27426</v>
      </c>
      <c r="F105" s="72">
        <v>59</v>
      </c>
      <c r="G105" s="71">
        <v>23774</v>
      </c>
      <c r="H105" s="72">
        <v>22.7</v>
      </c>
    </row>
    <row r="106" spans="1:8" x14ac:dyDescent="0.2">
      <c r="A106" s="71">
        <v>20149</v>
      </c>
      <c r="B106" s="72">
        <v>26.79</v>
      </c>
      <c r="C106" s="71">
        <v>23802</v>
      </c>
      <c r="D106" s="72">
        <v>32.6</v>
      </c>
      <c r="E106" s="71">
        <v>27454</v>
      </c>
      <c r="F106" s="72">
        <v>58.9</v>
      </c>
      <c r="G106" s="71">
        <v>23802</v>
      </c>
      <c r="H106" s="72">
        <v>22.6</v>
      </c>
    </row>
    <row r="107" spans="1:8" x14ac:dyDescent="0.2">
      <c r="A107" s="71">
        <v>20180</v>
      </c>
      <c r="B107" s="72">
        <v>26.79</v>
      </c>
      <c r="C107" s="71">
        <v>23833</v>
      </c>
      <c r="D107" s="72">
        <v>32.700000000000003</v>
      </c>
      <c r="E107" s="71">
        <v>27485</v>
      </c>
      <c r="F107" s="72">
        <v>58.8</v>
      </c>
      <c r="G107" s="71">
        <v>23833</v>
      </c>
      <c r="H107" s="72">
        <v>22.9</v>
      </c>
    </row>
    <row r="108" spans="1:8" x14ac:dyDescent="0.2">
      <c r="A108" s="71">
        <v>20210</v>
      </c>
      <c r="B108" s="72">
        <v>26.77</v>
      </c>
      <c r="C108" s="71">
        <v>23863</v>
      </c>
      <c r="D108" s="72">
        <v>32.700000000000003</v>
      </c>
      <c r="E108" s="71">
        <v>27515</v>
      </c>
      <c r="F108" s="72">
        <v>59</v>
      </c>
      <c r="G108" s="71">
        <v>23863</v>
      </c>
      <c r="H108" s="72">
        <v>23</v>
      </c>
    </row>
    <row r="109" spans="1:8" x14ac:dyDescent="0.2">
      <c r="A109" s="71">
        <v>20241</v>
      </c>
      <c r="B109" s="72">
        <v>26.71</v>
      </c>
      <c r="C109" s="71">
        <v>23894</v>
      </c>
      <c r="D109" s="72">
        <v>32.700000000000003</v>
      </c>
      <c r="E109" s="71">
        <v>27546</v>
      </c>
      <c r="F109" s="72">
        <v>59.6</v>
      </c>
      <c r="G109" s="71">
        <v>23894</v>
      </c>
      <c r="H109" s="72">
        <v>23.1</v>
      </c>
    </row>
    <row r="110" spans="1:8" x14ac:dyDescent="0.2">
      <c r="A110" s="71">
        <v>20271</v>
      </c>
      <c r="B110" s="72">
        <v>26.76</v>
      </c>
      <c r="C110" s="71">
        <v>23924</v>
      </c>
      <c r="D110" s="72">
        <v>32.700000000000003</v>
      </c>
      <c r="E110" s="71">
        <v>27576</v>
      </c>
      <c r="F110" s="72">
        <v>60.6</v>
      </c>
      <c r="G110" s="71">
        <v>23924</v>
      </c>
      <c r="H110" s="72">
        <v>23</v>
      </c>
    </row>
    <row r="111" spans="1:8" x14ac:dyDescent="0.2">
      <c r="A111" s="71">
        <v>20302</v>
      </c>
      <c r="B111" s="72">
        <v>26.72</v>
      </c>
      <c r="C111" s="71">
        <v>23955</v>
      </c>
      <c r="D111" s="72">
        <v>32.700000000000003</v>
      </c>
      <c r="E111" s="71">
        <v>27607</v>
      </c>
      <c r="F111" s="72">
        <v>60.7</v>
      </c>
      <c r="G111" s="71">
        <v>23955</v>
      </c>
      <c r="H111" s="72">
        <v>23</v>
      </c>
    </row>
    <row r="112" spans="1:8" x14ac:dyDescent="0.2">
      <c r="A112" s="71">
        <v>20333</v>
      </c>
      <c r="B112" s="72">
        <v>26.85</v>
      </c>
      <c r="C112" s="71">
        <v>23986</v>
      </c>
      <c r="D112" s="72">
        <v>32.799999999999997</v>
      </c>
      <c r="E112" s="71">
        <v>27638</v>
      </c>
      <c r="F112" s="72">
        <v>61</v>
      </c>
      <c r="G112" s="71">
        <v>23986</v>
      </c>
      <c r="H112" s="72">
        <v>23.1</v>
      </c>
    </row>
    <row r="113" spans="1:8" x14ac:dyDescent="0.2">
      <c r="A113" s="71">
        <v>20363</v>
      </c>
      <c r="B113" s="72">
        <v>26.82</v>
      </c>
      <c r="C113" s="71">
        <v>24016</v>
      </c>
      <c r="D113" s="72">
        <v>32.799999999999997</v>
      </c>
      <c r="E113" s="71">
        <v>27668</v>
      </c>
      <c r="F113" s="72">
        <v>61.6</v>
      </c>
      <c r="G113" s="71">
        <v>24016</v>
      </c>
      <c r="H113" s="72">
        <v>23</v>
      </c>
    </row>
    <row r="114" spans="1:8" x14ac:dyDescent="0.2">
      <c r="A114" s="71">
        <v>20394</v>
      </c>
      <c r="B114" s="72">
        <v>26.88</v>
      </c>
      <c r="C114" s="71">
        <v>24047</v>
      </c>
      <c r="D114" s="72">
        <v>32.9</v>
      </c>
      <c r="E114" s="71">
        <v>27699</v>
      </c>
      <c r="F114" s="72">
        <v>62</v>
      </c>
      <c r="G114" s="71">
        <v>24047</v>
      </c>
      <c r="H114" s="72">
        <v>23.1</v>
      </c>
    </row>
    <row r="115" spans="1:8" x14ac:dyDescent="0.2">
      <c r="A115" s="71">
        <v>20424</v>
      </c>
      <c r="B115" s="72">
        <v>26.87</v>
      </c>
      <c r="C115" s="71">
        <v>24077</v>
      </c>
      <c r="D115" s="72">
        <v>33</v>
      </c>
      <c r="E115" s="71">
        <v>27729</v>
      </c>
      <c r="F115" s="72">
        <v>62.3</v>
      </c>
      <c r="G115" s="71">
        <v>24077</v>
      </c>
      <c r="H115" s="72">
        <v>23.1</v>
      </c>
    </row>
    <row r="116" spans="1:8" x14ac:dyDescent="0.2">
      <c r="A116" s="71">
        <v>20455</v>
      </c>
      <c r="B116" s="72">
        <v>26.83</v>
      </c>
      <c r="C116" s="71">
        <v>24108</v>
      </c>
      <c r="D116" s="72">
        <v>33</v>
      </c>
      <c r="E116" s="71">
        <v>27760</v>
      </c>
      <c r="F116" s="72">
        <v>62.2</v>
      </c>
      <c r="G116" s="71">
        <v>24108</v>
      </c>
      <c r="H116" s="72">
        <v>23.1</v>
      </c>
    </row>
    <row r="117" spans="1:8" x14ac:dyDescent="0.2">
      <c r="A117" s="71">
        <v>20486</v>
      </c>
      <c r="B117" s="72">
        <v>26.86</v>
      </c>
      <c r="C117" s="71">
        <v>24139</v>
      </c>
      <c r="D117" s="72">
        <v>33.1</v>
      </c>
      <c r="E117" s="71">
        <v>27791</v>
      </c>
      <c r="F117" s="72">
        <v>61.6</v>
      </c>
      <c r="G117" s="71">
        <v>24139</v>
      </c>
      <c r="H117" s="72">
        <v>23.2</v>
      </c>
    </row>
    <row r="118" spans="1:8" x14ac:dyDescent="0.2">
      <c r="A118" s="71">
        <v>20515</v>
      </c>
      <c r="B118" s="72">
        <v>26.89</v>
      </c>
      <c r="C118" s="71">
        <v>24167</v>
      </c>
      <c r="D118" s="72">
        <v>33.1</v>
      </c>
      <c r="E118" s="71">
        <v>27820</v>
      </c>
      <c r="F118" s="72">
        <v>61.3</v>
      </c>
      <c r="G118" s="71">
        <v>24167</v>
      </c>
      <c r="H118" s="72">
        <v>23.2</v>
      </c>
    </row>
    <row r="119" spans="1:8" x14ac:dyDescent="0.2">
      <c r="A119" s="71">
        <v>20546</v>
      </c>
      <c r="B119" s="72">
        <v>26.93</v>
      </c>
      <c r="C119" s="71">
        <v>24198</v>
      </c>
      <c r="D119" s="72">
        <v>33.299999999999997</v>
      </c>
      <c r="E119" s="71">
        <v>27851</v>
      </c>
      <c r="F119" s="72">
        <v>61.3</v>
      </c>
      <c r="G119" s="71">
        <v>24198</v>
      </c>
      <c r="H119" s="72">
        <v>23.2</v>
      </c>
    </row>
    <row r="120" spans="1:8" x14ac:dyDescent="0.2">
      <c r="A120" s="71">
        <v>20576</v>
      </c>
      <c r="B120" s="72">
        <v>27.03</v>
      </c>
      <c r="C120" s="71">
        <v>24228</v>
      </c>
      <c r="D120" s="72">
        <v>33.4</v>
      </c>
      <c r="E120" s="71">
        <v>27881</v>
      </c>
      <c r="F120" s="72">
        <v>61.6</v>
      </c>
      <c r="G120" s="71">
        <v>24228</v>
      </c>
      <c r="H120" s="72">
        <v>23.2</v>
      </c>
    </row>
    <row r="121" spans="1:8" x14ac:dyDescent="0.2">
      <c r="A121" s="71">
        <v>20607</v>
      </c>
      <c r="B121" s="72">
        <v>27.15</v>
      </c>
      <c r="C121" s="71">
        <v>24259</v>
      </c>
      <c r="D121" s="72">
        <v>33.5</v>
      </c>
      <c r="E121" s="71">
        <v>27912</v>
      </c>
      <c r="F121" s="72">
        <v>61.7</v>
      </c>
      <c r="G121" s="71">
        <v>24259</v>
      </c>
      <c r="H121" s="72">
        <v>23.3</v>
      </c>
    </row>
    <row r="122" spans="1:8" x14ac:dyDescent="0.2">
      <c r="A122" s="71">
        <v>20637</v>
      </c>
      <c r="B122" s="72">
        <v>27.29</v>
      </c>
      <c r="C122" s="71">
        <v>24289</v>
      </c>
      <c r="D122" s="72">
        <v>33.6</v>
      </c>
      <c r="E122" s="71">
        <v>27942</v>
      </c>
      <c r="F122" s="72">
        <v>62</v>
      </c>
      <c r="G122" s="71">
        <v>24289</v>
      </c>
      <c r="H122" s="72">
        <v>23.4</v>
      </c>
    </row>
    <row r="123" spans="1:8" x14ac:dyDescent="0.2">
      <c r="A123" s="71">
        <v>20668</v>
      </c>
      <c r="B123" s="72">
        <v>27.31</v>
      </c>
      <c r="C123" s="71">
        <v>24320</v>
      </c>
      <c r="D123" s="72">
        <v>33.700000000000003</v>
      </c>
      <c r="E123" s="71">
        <v>27973</v>
      </c>
      <c r="F123" s="72">
        <v>62.2</v>
      </c>
      <c r="G123" s="71">
        <v>24320</v>
      </c>
      <c r="H123" s="72">
        <v>23.3</v>
      </c>
    </row>
    <row r="124" spans="1:8" x14ac:dyDescent="0.2">
      <c r="A124" s="71">
        <v>20699</v>
      </c>
      <c r="B124" s="72">
        <v>27.35</v>
      </c>
      <c r="C124" s="71">
        <v>24351</v>
      </c>
      <c r="D124" s="72">
        <v>33.799999999999997</v>
      </c>
      <c r="E124" s="71">
        <v>28004</v>
      </c>
      <c r="F124" s="72">
        <v>62.5</v>
      </c>
      <c r="G124" s="71">
        <v>24351</v>
      </c>
      <c r="H124" s="72">
        <v>23.4</v>
      </c>
    </row>
    <row r="125" spans="1:8" x14ac:dyDescent="0.2">
      <c r="A125" s="71">
        <v>20729</v>
      </c>
      <c r="B125" s="72">
        <v>27.51</v>
      </c>
      <c r="C125" s="71">
        <v>24381</v>
      </c>
      <c r="D125" s="72">
        <v>34</v>
      </c>
      <c r="E125" s="71">
        <v>28034</v>
      </c>
      <c r="F125" s="72">
        <v>62.8</v>
      </c>
      <c r="G125" s="71">
        <v>24381</v>
      </c>
      <c r="H125" s="72">
        <v>23.4</v>
      </c>
    </row>
    <row r="126" spans="1:8" x14ac:dyDescent="0.2">
      <c r="A126" s="71">
        <v>20760</v>
      </c>
      <c r="B126" s="72">
        <v>27.51</v>
      </c>
      <c r="C126" s="71">
        <v>24412</v>
      </c>
      <c r="D126" s="72">
        <v>34</v>
      </c>
      <c r="E126" s="71">
        <v>28065</v>
      </c>
      <c r="F126" s="72">
        <v>62.8</v>
      </c>
      <c r="G126" s="71">
        <v>24412</v>
      </c>
      <c r="H126" s="72">
        <v>23.5</v>
      </c>
    </row>
    <row r="127" spans="1:8" x14ac:dyDescent="0.2">
      <c r="A127" s="71">
        <v>20790</v>
      </c>
      <c r="B127" s="72">
        <v>27.63</v>
      </c>
      <c r="C127" s="71">
        <v>24442</v>
      </c>
      <c r="D127" s="72">
        <v>34.1</v>
      </c>
      <c r="E127" s="71">
        <v>28095</v>
      </c>
      <c r="F127" s="72">
        <v>62.9</v>
      </c>
      <c r="G127" s="71">
        <v>24442</v>
      </c>
      <c r="H127" s="72">
        <v>23.5</v>
      </c>
    </row>
    <row r="128" spans="1:8" x14ac:dyDescent="0.2">
      <c r="A128" s="71">
        <v>20821</v>
      </c>
      <c r="B128" s="72">
        <v>27.67</v>
      </c>
      <c r="C128" s="71">
        <v>24473</v>
      </c>
      <c r="D128" s="72">
        <v>34.200000000000003</v>
      </c>
      <c r="E128" s="71">
        <v>28126</v>
      </c>
      <c r="F128" s="72">
        <v>63.1</v>
      </c>
      <c r="G128" s="71">
        <v>24473</v>
      </c>
      <c r="H128" s="72">
        <v>23.6</v>
      </c>
    </row>
    <row r="129" spans="1:8" x14ac:dyDescent="0.2">
      <c r="A129" s="71">
        <v>20852</v>
      </c>
      <c r="B129" s="72">
        <v>27.8</v>
      </c>
      <c r="C129" s="71">
        <v>24504</v>
      </c>
      <c r="D129" s="72">
        <v>34.200000000000003</v>
      </c>
      <c r="E129" s="71">
        <v>28157</v>
      </c>
      <c r="F129" s="72">
        <v>64.2</v>
      </c>
      <c r="G129" s="71">
        <v>24504</v>
      </c>
      <c r="H129" s="72">
        <v>23.7</v>
      </c>
    </row>
    <row r="130" spans="1:8" x14ac:dyDescent="0.2">
      <c r="A130" s="71">
        <v>20880</v>
      </c>
      <c r="B130" s="72">
        <v>27.86</v>
      </c>
      <c r="C130" s="71">
        <v>24532</v>
      </c>
      <c r="D130" s="72">
        <v>34.299999999999997</v>
      </c>
      <c r="E130" s="71">
        <v>28185</v>
      </c>
      <c r="F130" s="72">
        <v>64.5</v>
      </c>
      <c r="G130" s="71">
        <v>24532</v>
      </c>
      <c r="H130" s="72">
        <v>23.6</v>
      </c>
    </row>
    <row r="131" spans="1:8" x14ac:dyDescent="0.2">
      <c r="A131" s="71">
        <v>20911</v>
      </c>
      <c r="B131" s="72">
        <v>27.93</v>
      </c>
      <c r="C131" s="71">
        <v>24563</v>
      </c>
      <c r="D131" s="72">
        <v>34.4</v>
      </c>
      <c r="E131" s="71">
        <v>28216</v>
      </c>
      <c r="F131" s="72">
        <v>65.2</v>
      </c>
      <c r="G131" s="71">
        <v>24563</v>
      </c>
      <c r="H131" s="72">
        <v>23.9</v>
      </c>
    </row>
    <row r="132" spans="1:8" x14ac:dyDescent="0.2">
      <c r="A132" s="71">
        <v>20941</v>
      </c>
      <c r="B132" s="72">
        <v>28</v>
      </c>
      <c r="C132" s="71">
        <v>24593</v>
      </c>
      <c r="D132" s="72">
        <v>34.5</v>
      </c>
      <c r="E132" s="71">
        <v>28246</v>
      </c>
      <c r="F132" s="72">
        <v>65.5</v>
      </c>
      <c r="G132" s="71">
        <v>24593</v>
      </c>
      <c r="H132" s="72">
        <v>23.9</v>
      </c>
    </row>
    <row r="133" spans="1:8" x14ac:dyDescent="0.2">
      <c r="A133" s="71">
        <v>20972</v>
      </c>
      <c r="B133" s="72">
        <v>28.11</v>
      </c>
      <c r="C133" s="71">
        <v>24624</v>
      </c>
      <c r="D133" s="72">
        <v>34.6</v>
      </c>
      <c r="E133" s="71">
        <v>28277</v>
      </c>
      <c r="F133" s="72">
        <v>65.900000000000006</v>
      </c>
      <c r="G133" s="71">
        <v>24624</v>
      </c>
      <c r="H133" s="72">
        <v>23.8</v>
      </c>
    </row>
    <row r="134" spans="1:8" x14ac:dyDescent="0.2">
      <c r="A134" s="71">
        <v>21002</v>
      </c>
      <c r="B134" s="72">
        <v>28.19</v>
      </c>
      <c r="C134" s="71">
        <v>24654</v>
      </c>
      <c r="D134" s="72">
        <v>34.700000000000003</v>
      </c>
      <c r="E134" s="71">
        <v>28307</v>
      </c>
      <c r="F134" s="72">
        <v>66.099999999999994</v>
      </c>
      <c r="G134" s="71">
        <v>24654</v>
      </c>
      <c r="H134" s="72">
        <v>23.8</v>
      </c>
    </row>
    <row r="135" spans="1:8" x14ac:dyDescent="0.2">
      <c r="A135" s="71">
        <v>21033</v>
      </c>
      <c r="B135" s="72">
        <v>28.28</v>
      </c>
      <c r="C135" s="71">
        <v>24685</v>
      </c>
      <c r="D135" s="72">
        <v>34.9</v>
      </c>
      <c r="E135" s="71">
        <v>28338</v>
      </c>
      <c r="F135" s="72">
        <v>66.400000000000006</v>
      </c>
      <c r="G135" s="71">
        <v>24685</v>
      </c>
      <c r="H135" s="72">
        <v>23.9</v>
      </c>
    </row>
    <row r="136" spans="1:8" x14ac:dyDescent="0.2">
      <c r="A136" s="71">
        <v>21064</v>
      </c>
      <c r="B136" s="72">
        <v>28.32</v>
      </c>
      <c r="C136" s="71">
        <v>24716</v>
      </c>
      <c r="D136" s="72">
        <v>35</v>
      </c>
      <c r="E136" s="71">
        <v>28369</v>
      </c>
      <c r="F136" s="72">
        <v>66.599999999999994</v>
      </c>
      <c r="G136" s="71">
        <v>24716</v>
      </c>
      <c r="H136" s="72">
        <v>24</v>
      </c>
    </row>
    <row r="137" spans="1:8" x14ac:dyDescent="0.2">
      <c r="A137" s="71">
        <v>21094</v>
      </c>
      <c r="B137" s="72">
        <v>28.32</v>
      </c>
      <c r="C137" s="71">
        <v>24746</v>
      </c>
      <c r="D137" s="72">
        <v>35.1</v>
      </c>
      <c r="E137" s="71">
        <v>28399</v>
      </c>
      <c r="F137" s="72">
        <v>66.8</v>
      </c>
      <c r="G137" s="71">
        <v>24746</v>
      </c>
      <c r="H137" s="72">
        <v>23.9</v>
      </c>
    </row>
    <row r="138" spans="1:8" x14ac:dyDescent="0.2">
      <c r="A138" s="71">
        <v>21125</v>
      </c>
      <c r="B138" s="72">
        <v>28.41</v>
      </c>
      <c r="C138" s="71">
        <v>24777</v>
      </c>
      <c r="D138" s="72">
        <v>35.200000000000003</v>
      </c>
      <c r="E138" s="71">
        <v>28430</v>
      </c>
      <c r="F138" s="72">
        <v>67.400000000000006</v>
      </c>
      <c r="G138" s="71">
        <v>24777</v>
      </c>
      <c r="H138" s="72">
        <v>24</v>
      </c>
    </row>
    <row r="139" spans="1:8" x14ac:dyDescent="0.2">
      <c r="A139" s="71">
        <v>21155</v>
      </c>
      <c r="B139" s="72">
        <v>28.47</v>
      </c>
      <c r="C139" s="71">
        <v>24807</v>
      </c>
      <c r="D139" s="72">
        <v>35.4</v>
      </c>
      <c r="E139" s="71">
        <v>28460</v>
      </c>
      <c r="F139" s="72">
        <v>67.5</v>
      </c>
      <c r="G139" s="71">
        <v>24807</v>
      </c>
      <c r="H139" s="72">
        <v>23.9</v>
      </c>
    </row>
    <row r="140" spans="1:8" x14ac:dyDescent="0.2">
      <c r="A140" s="71">
        <v>21186</v>
      </c>
      <c r="B140" s="72">
        <v>28.64</v>
      </c>
      <c r="C140" s="71">
        <v>24838</v>
      </c>
      <c r="D140" s="72">
        <v>35.5</v>
      </c>
      <c r="E140" s="71">
        <v>28491</v>
      </c>
      <c r="F140" s="72">
        <v>68.099999999999994</v>
      </c>
      <c r="G140" s="71">
        <v>24838</v>
      </c>
      <c r="H140" s="72">
        <v>24</v>
      </c>
    </row>
    <row r="141" spans="1:8" x14ac:dyDescent="0.2">
      <c r="A141" s="71">
        <v>21217</v>
      </c>
      <c r="B141" s="72">
        <v>28.7</v>
      </c>
      <c r="C141" s="71">
        <v>24869</v>
      </c>
      <c r="D141" s="72">
        <v>35.700000000000003</v>
      </c>
      <c r="E141" s="71">
        <v>28522</v>
      </c>
      <c r="F141" s="72">
        <v>68.8</v>
      </c>
      <c r="G141" s="71">
        <v>24869</v>
      </c>
      <c r="H141" s="72">
        <v>24.1</v>
      </c>
    </row>
    <row r="142" spans="1:8" x14ac:dyDescent="0.2">
      <c r="A142" s="71">
        <v>21245</v>
      </c>
      <c r="B142" s="72">
        <v>28.87</v>
      </c>
      <c r="C142" s="71">
        <v>24898</v>
      </c>
      <c r="D142" s="72">
        <v>35.799999999999997</v>
      </c>
      <c r="E142" s="71">
        <v>28550</v>
      </c>
      <c r="F142" s="72">
        <v>69.599999999999994</v>
      </c>
      <c r="G142" s="71">
        <v>24898</v>
      </c>
      <c r="H142" s="72">
        <v>24.1</v>
      </c>
    </row>
    <row r="143" spans="1:8" x14ac:dyDescent="0.2">
      <c r="A143" s="71">
        <v>21276</v>
      </c>
      <c r="B143" s="72">
        <v>28.94</v>
      </c>
      <c r="C143" s="71">
        <v>24929</v>
      </c>
      <c r="D143" s="72">
        <v>35.9</v>
      </c>
      <c r="E143" s="71">
        <v>28581</v>
      </c>
      <c r="F143" s="72">
        <v>70.7</v>
      </c>
      <c r="G143" s="71">
        <v>24929</v>
      </c>
      <c r="H143" s="72">
        <v>24</v>
      </c>
    </row>
    <row r="144" spans="1:8" x14ac:dyDescent="0.2">
      <c r="A144" s="71">
        <v>21306</v>
      </c>
      <c r="B144" s="72">
        <v>28.94</v>
      </c>
      <c r="C144" s="71">
        <v>24959</v>
      </c>
      <c r="D144" s="72">
        <v>36</v>
      </c>
      <c r="E144" s="71">
        <v>28611</v>
      </c>
      <c r="F144" s="72">
        <v>71.7</v>
      </c>
      <c r="G144" s="71">
        <v>24959</v>
      </c>
      <c r="H144" s="72">
        <v>24.1</v>
      </c>
    </row>
    <row r="145" spans="1:8" x14ac:dyDescent="0.2">
      <c r="A145" s="71">
        <v>21337</v>
      </c>
      <c r="B145" s="72">
        <v>28.91</v>
      </c>
      <c r="C145" s="71">
        <v>24990</v>
      </c>
      <c r="D145" s="72">
        <v>36.200000000000003</v>
      </c>
      <c r="E145" s="71">
        <v>28642</v>
      </c>
      <c r="F145" s="72">
        <v>72.8</v>
      </c>
      <c r="G145" s="71">
        <v>24990</v>
      </c>
      <c r="H145" s="72">
        <v>24.2</v>
      </c>
    </row>
    <row r="146" spans="1:8" x14ac:dyDescent="0.2">
      <c r="A146" s="71">
        <v>21367</v>
      </c>
      <c r="B146" s="72">
        <v>28.89</v>
      </c>
      <c r="C146" s="71">
        <v>25020</v>
      </c>
      <c r="D146" s="72">
        <v>36.4</v>
      </c>
      <c r="E146" s="71">
        <v>28672</v>
      </c>
      <c r="F146" s="72">
        <v>73.099999999999994</v>
      </c>
      <c r="G146" s="71">
        <v>25020</v>
      </c>
      <c r="H146" s="72">
        <v>24.2</v>
      </c>
    </row>
    <row r="147" spans="1:8" x14ac:dyDescent="0.2">
      <c r="A147" s="71">
        <v>21398</v>
      </c>
      <c r="B147" s="72">
        <v>28.94</v>
      </c>
      <c r="C147" s="71">
        <v>25051</v>
      </c>
      <c r="D147" s="72">
        <v>36.5</v>
      </c>
      <c r="E147" s="71">
        <v>28703</v>
      </c>
      <c r="F147" s="72">
        <v>73.400000000000006</v>
      </c>
      <c r="G147" s="71">
        <v>25051</v>
      </c>
      <c r="H147" s="72">
        <v>24.3</v>
      </c>
    </row>
    <row r="148" spans="1:8" x14ac:dyDescent="0.2">
      <c r="A148" s="71">
        <v>21429</v>
      </c>
      <c r="B148" s="72">
        <v>28.91</v>
      </c>
      <c r="C148" s="71">
        <v>25082</v>
      </c>
      <c r="D148" s="72">
        <v>36.700000000000003</v>
      </c>
      <c r="E148" s="71">
        <v>28734</v>
      </c>
      <c r="F148" s="72">
        <v>73.7</v>
      </c>
      <c r="G148" s="71">
        <v>25082</v>
      </c>
      <c r="H148" s="72">
        <v>24.3</v>
      </c>
    </row>
    <row r="149" spans="1:8" x14ac:dyDescent="0.2">
      <c r="A149" s="71">
        <v>21459</v>
      </c>
      <c r="B149" s="72">
        <v>28.91</v>
      </c>
      <c r="C149" s="71">
        <v>25112</v>
      </c>
      <c r="D149" s="72">
        <v>36.9</v>
      </c>
      <c r="E149" s="71">
        <v>28764</v>
      </c>
      <c r="F149" s="72">
        <v>74.3</v>
      </c>
      <c r="G149" s="71">
        <v>25112</v>
      </c>
      <c r="H149" s="72">
        <v>24.3</v>
      </c>
    </row>
    <row r="150" spans="1:8" x14ac:dyDescent="0.2">
      <c r="A150" s="71">
        <v>21490</v>
      </c>
      <c r="B150" s="72">
        <v>28.95</v>
      </c>
      <c r="C150" s="71">
        <v>25143</v>
      </c>
      <c r="D150" s="72">
        <v>37.1</v>
      </c>
      <c r="E150" s="71">
        <v>28795</v>
      </c>
      <c r="F150" s="72">
        <v>74.8</v>
      </c>
      <c r="G150" s="71">
        <v>25143</v>
      </c>
      <c r="H150" s="72">
        <v>24.4</v>
      </c>
    </row>
    <row r="151" spans="1:8" x14ac:dyDescent="0.2">
      <c r="A151" s="71">
        <v>21520</v>
      </c>
      <c r="B151" s="72">
        <v>28.97</v>
      </c>
      <c r="C151" s="71">
        <v>25173</v>
      </c>
      <c r="D151" s="72">
        <v>37.200000000000003</v>
      </c>
      <c r="E151" s="71">
        <v>28825</v>
      </c>
      <c r="F151" s="72">
        <v>75.2</v>
      </c>
      <c r="G151" s="71">
        <v>25173</v>
      </c>
      <c r="H151" s="72">
        <v>24.3</v>
      </c>
    </row>
    <row r="152" spans="1:8" x14ac:dyDescent="0.2">
      <c r="A152" s="71">
        <v>21551</v>
      </c>
      <c r="B152" s="72">
        <v>29.01</v>
      </c>
      <c r="C152" s="71">
        <v>25204</v>
      </c>
      <c r="D152" s="72">
        <v>37.299999999999997</v>
      </c>
      <c r="E152" s="71">
        <v>28856</v>
      </c>
      <c r="F152" s="72">
        <v>76.5</v>
      </c>
      <c r="G152" s="71">
        <v>25204</v>
      </c>
      <c r="H152" s="72">
        <v>24.4</v>
      </c>
    </row>
    <row r="153" spans="1:8" x14ac:dyDescent="0.2">
      <c r="A153" s="71">
        <v>21582</v>
      </c>
      <c r="B153" s="72">
        <v>29</v>
      </c>
      <c r="C153" s="71">
        <v>25235</v>
      </c>
      <c r="D153" s="72">
        <v>37.6</v>
      </c>
      <c r="E153" s="71">
        <v>28887</v>
      </c>
      <c r="F153" s="72">
        <v>77.7</v>
      </c>
      <c r="G153" s="71">
        <v>25235</v>
      </c>
      <c r="H153" s="72">
        <v>24.4</v>
      </c>
    </row>
    <row r="154" spans="1:8" x14ac:dyDescent="0.2">
      <c r="A154" s="71">
        <v>21610</v>
      </c>
      <c r="B154" s="72">
        <v>28.97</v>
      </c>
      <c r="C154" s="71">
        <v>25263</v>
      </c>
      <c r="D154" s="72">
        <v>37.799999999999997</v>
      </c>
      <c r="E154" s="71">
        <v>28915</v>
      </c>
      <c r="F154" s="72">
        <v>78.400000000000006</v>
      </c>
      <c r="G154" s="71">
        <v>25263</v>
      </c>
      <c r="H154" s="72">
        <v>24.7</v>
      </c>
    </row>
    <row r="155" spans="1:8" x14ac:dyDescent="0.2">
      <c r="A155" s="71">
        <v>21641</v>
      </c>
      <c r="B155" s="72">
        <v>28.98</v>
      </c>
      <c r="C155" s="71">
        <v>25294</v>
      </c>
      <c r="D155" s="72">
        <v>38.1</v>
      </c>
      <c r="E155" s="71">
        <v>28946</v>
      </c>
      <c r="F155" s="72">
        <v>78.900000000000006</v>
      </c>
      <c r="G155" s="71">
        <v>25294</v>
      </c>
      <c r="H155" s="72">
        <v>24.9</v>
      </c>
    </row>
    <row r="156" spans="1:8" x14ac:dyDescent="0.2">
      <c r="A156" s="71">
        <v>21671</v>
      </c>
      <c r="B156" s="72">
        <v>29.04</v>
      </c>
      <c r="C156" s="71">
        <v>25324</v>
      </c>
      <c r="D156" s="72">
        <v>38.1</v>
      </c>
      <c r="E156" s="71">
        <v>28976</v>
      </c>
      <c r="F156" s="72">
        <v>79.7</v>
      </c>
      <c r="G156" s="71">
        <v>25324</v>
      </c>
      <c r="H156" s="72">
        <v>24.8</v>
      </c>
    </row>
    <row r="157" spans="1:8" x14ac:dyDescent="0.2">
      <c r="A157" s="71">
        <v>21702</v>
      </c>
      <c r="B157" s="72">
        <v>29.11</v>
      </c>
      <c r="C157" s="71">
        <v>25355</v>
      </c>
      <c r="D157" s="72">
        <v>38.299999999999997</v>
      </c>
      <c r="E157" s="71">
        <v>29007</v>
      </c>
      <c r="F157" s="72">
        <v>80</v>
      </c>
      <c r="G157" s="71">
        <v>25355</v>
      </c>
      <c r="H157" s="72">
        <v>25</v>
      </c>
    </row>
    <row r="158" spans="1:8" x14ac:dyDescent="0.2">
      <c r="A158" s="71">
        <v>21732</v>
      </c>
      <c r="B158" s="72">
        <v>29.15</v>
      </c>
      <c r="C158" s="71">
        <v>25385</v>
      </c>
      <c r="D158" s="72">
        <v>38.5</v>
      </c>
      <c r="E158" s="71">
        <v>29037</v>
      </c>
      <c r="F158" s="72">
        <v>80.400000000000006</v>
      </c>
      <c r="G158" s="71">
        <v>25385</v>
      </c>
      <c r="H158" s="72">
        <v>24.9</v>
      </c>
    </row>
    <row r="159" spans="1:8" x14ac:dyDescent="0.2">
      <c r="A159" s="71">
        <v>21763</v>
      </c>
      <c r="B159" s="72">
        <v>29.18</v>
      </c>
      <c r="C159" s="71">
        <v>25416</v>
      </c>
      <c r="D159" s="72">
        <v>38.700000000000003</v>
      </c>
      <c r="E159" s="71">
        <v>29068</v>
      </c>
      <c r="F159" s="72">
        <v>80.3</v>
      </c>
      <c r="G159" s="71">
        <v>25416</v>
      </c>
      <c r="H159" s="72">
        <v>24.9</v>
      </c>
    </row>
    <row r="160" spans="1:8" x14ac:dyDescent="0.2">
      <c r="A160" s="71">
        <v>21794</v>
      </c>
      <c r="B160" s="72">
        <v>29.25</v>
      </c>
      <c r="C160" s="71">
        <v>25447</v>
      </c>
      <c r="D160" s="72">
        <v>38.9</v>
      </c>
      <c r="E160" s="71">
        <v>29099</v>
      </c>
      <c r="F160" s="72">
        <v>80.900000000000006</v>
      </c>
      <c r="G160" s="71">
        <v>25447</v>
      </c>
      <c r="H160" s="72">
        <v>25</v>
      </c>
    </row>
    <row r="161" spans="1:8" x14ac:dyDescent="0.2">
      <c r="A161" s="71">
        <v>21824</v>
      </c>
      <c r="B161" s="72">
        <v>29.35</v>
      </c>
      <c r="C161" s="71">
        <v>25477</v>
      </c>
      <c r="D161" s="72">
        <v>39.1</v>
      </c>
      <c r="E161" s="71">
        <v>29129</v>
      </c>
      <c r="F161" s="72">
        <v>81.5</v>
      </c>
      <c r="G161" s="71">
        <v>25477</v>
      </c>
      <c r="H161" s="72">
        <v>25</v>
      </c>
    </row>
    <row r="162" spans="1:8" x14ac:dyDescent="0.2">
      <c r="A162" s="71">
        <v>21855</v>
      </c>
      <c r="B162" s="72">
        <v>29.35</v>
      </c>
      <c r="C162" s="71">
        <v>25508</v>
      </c>
      <c r="D162" s="72">
        <v>39.200000000000003</v>
      </c>
      <c r="E162" s="71">
        <v>29160</v>
      </c>
      <c r="F162" s="72">
        <v>82.1</v>
      </c>
      <c r="G162" s="71">
        <v>25508</v>
      </c>
      <c r="H162" s="72">
        <v>25</v>
      </c>
    </row>
    <row r="163" spans="1:8" x14ac:dyDescent="0.2">
      <c r="A163" s="71">
        <v>21885</v>
      </c>
      <c r="B163" s="72">
        <v>29.41</v>
      </c>
      <c r="C163" s="71">
        <v>25538</v>
      </c>
      <c r="D163" s="72">
        <v>39.4</v>
      </c>
      <c r="E163" s="71">
        <v>29190</v>
      </c>
      <c r="F163" s="72">
        <v>82.8</v>
      </c>
      <c r="G163" s="71">
        <v>25538</v>
      </c>
      <c r="H163" s="72">
        <v>25.1</v>
      </c>
    </row>
    <row r="164" spans="1:8" x14ac:dyDescent="0.2">
      <c r="A164" s="71">
        <v>21916</v>
      </c>
      <c r="B164" s="72">
        <v>29.37</v>
      </c>
      <c r="C164" s="71">
        <v>25569</v>
      </c>
      <c r="D164" s="72">
        <v>39.6</v>
      </c>
      <c r="E164" s="71">
        <v>29221</v>
      </c>
      <c r="F164" s="72">
        <v>83.3</v>
      </c>
      <c r="G164" s="71">
        <v>25569</v>
      </c>
      <c r="H164" s="72">
        <v>25.1</v>
      </c>
    </row>
    <row r="165" spans="1:8" x14ac:dyDescent="0.2">
      <c r="A165" s="71">
        <v>21947</v>
      </c>
      <c r="B165" s="72">
        <v>29.41</v>
      </c>
      <c r="C165" s="71">
        <v>25600</v>
      </c>
      <c r="D165" s="72">
        <v>39.799999999999997</v>
      </c>
      <c r="E165" s="71">
        <v>29252</v>
      </c>
      <c r="F165" s="72">
        <v>83.4</v>
      </c>
      <c r="G165" s="71">
        <v>25600</v>
      </c>
      <c r="H165" s="72">
        <v>25.1</v>
      </c>
    </row>
    <row r="166" spans="1:8" x14ac:dyDescent="0.2">
      <c r="A166" s="71">
        <v>21976</v>
      </c>
      <c r="B166" s="72">
        <v>29.41</v>
      </c>
      <c r="C166" s="71">
        <v>25628</v>
      </c>
      <c r="D166" s="72">
        <v>40.1</v>
      </c>
      <c r="E166" s="71">
        <v>29281</v>
      </c>
      <c r="F166" s="72">
        <v>84.1</v>
      </c>
      <c r="G166" s="71">
        <v>25628</v>
      </c>
      <c r="H166" s="72">
        <v>25</v>
      </c>
    </row>
    <row r="167" spans="1:8" x14ac:dyDescent="0.2">
      <c r="A167" s="71">
        <v>22007</v>
      </c>
      <c r="B167" s="72">
        <v>29.54</v>
      </c>
      <c r="C167" s="71">
        <v>25659</v>
      </c>
      <c r="D167" s="72">
        <v>40.4</v>
      </c>
      <c r="E167" s="71">
        <v>29312</v>
      </c>
      <c r="F167" s="72">
        <v>84.6</v>
      </c>
      <c r="G167" s="71">
        <v>25659</v>
      </c>
      <c r="H167" s="72">
        <v>25.5</v>
      </c>
    </row>
    <row r="168" spans="1:8" x14ac:dyDescent="0.2">
      <c r="A168" s="71">
        <v>22037</v>
      </c>
      <c r="B168" s="72">
        <v>29.57</v>
      </c>
      <c r="C168" s="71">
        <v>25689</v>
      </c>
      <c r="D168" s="72">
        <v>40.5</v>
      </c>
      <c r="E168" s="71">
        <v>29342</v>
      </c>
      <c r="F168" s="72">
        <v>85.2</v>
      </c>
      <c r="G168" s="71">
        <v>25689</v>
      </c>
      <c r="H168" s="72">
        <v>25.4</v>
      </c>
    </row>
    <row r="169" spans="1:8" x14ac:dyDescent="0.2">
      <c r="A169" s="71">
        <v>22068</v>
      </c>
      <c r="B169" s="72">
        <v>29.61</v>
      </c>
      <c r="C169" s="71">
        <v>25720</v>
      </c>
      <c r="D169" s="72">
        <v>40.799999999999997</v>
      </c>
      <c r="E169" s="71">
        <v>29373</v>
      </c>
      <c r="F169" s="72">
        <v>85.7</v>
      </c>
      <c r="G169" s="71">
        <v>25720</v>
      </c>
      <c r="H169" s="72">
        <v>25.3</v>
      </c>
    </row>
    <row r="170" spans="1:8" x14ac:dyDescent="0.2">
      <c r="A170" s="71">
        <v>22098</v>
      </c>
      <c r="B170" s="72">
        <v>29.55</v>
      </c>
      <c r="C170" s="71">
        <v>25750</v>
      </c>
      <c r="D170" s="72">
        <v>40.9</v>
      </c>
      <c r="E170" s="71">
        <v>29403</v>
      </c>
      <c r="F170" s="72">
        <v>86.5</v>
      </c>
      <c r="G170" s="71">
        <v>25750</v>
      </c>
      <c r="H170" s="72">
        <v>25.5</v>
      </c>
    </row>
    <row r="171" spans="1:8" x14ac:dyDescent="0.2">
      <c r="A171" s="71">
        <v>22129</v>
      </c>
      <c r="B171" s="72">
        <v>29.61</v>
      </c>
      <c r="C171" s="71">
        <v>25781</v>
      </c>
      <c r="D171" s="72">
        <v>41.1</v>
      </c>
      <c r="E171" s="71">
        <v>29434</v>
      </c>
      <c r="F171" s="72">
        <v>87.9</v>
      </c>
      <c r="G171" s="71">
        <v>25781</v>
      </c>
      <c r="H171" s="72">
        <v>25.4</v>
      </c>
    </row>
    <row r="172" spans="1:8" x14ac:dyDescent="0.2">
      <c r="A172" s="71">
        <v>22160</v>
      </c>
      <c r="B172" s="72">
        <v>29.61</v>
      </c>
      <c r="C172" s="71">
        <v>25812</v>
      </c>
      <c r="D172" s="72">
        <v>41.3</v>
      </c>
      <c r="E172" s="71">
        <v>29465</v>
      </c>
      <c r="F172" s="72">
        <v>88.9</v>
      </c>
      <c r="G172" s="71">
        <v>25812</v>
      </c>
      <c r="H172" s="72">
        <v>25.6</v>
      </c>
    </row>
    <row r="173" spans="1:8" x14ac:dyDescent="0.2">
      <c r="A173" s="71">
        <v>22190</v>
      </c>
      <c r="B173" s="72">
        <v>29.75</v>
      </c>
      <c r="C173" s="71">
        <v>25842</v>
      </c>
      <c r="D173" s="72">
        <v>41.5</v>
      </c>
      <c r="E173" s="71">
        <v>29495</v>
      </c>
      <c r="F173" s="72">
        <v>89.6</v>
      </c>
      <c r="G173" s="71">
        <v>25842</v>
      </c>
      <c r="H173" s="72">
        <v>25.9</v>
      </c>
    </row>
    <row r="174" spans="1:8" x14ac:dyDescent="0.2">
      <c r="A174" s="71">
        <v>22221</v>
      </c>
      <c r="B174" s="72">
        <v>29.78</v>
      </c>
      <c r="C174" s="71">
        <v>25873</v>
      </c>
      <c r="D174" s="72">
        <v>41.8</v>
      </c>
      <c r="E174" s="71">
        <v>29526</v>
      </c>
      <c r="F174" s="72">
        <v>90.6</v>
      </c>
      <c r="G174" s="71">
        <v>25873</v>
      </c>
      <c r="H174" s="72">
        <v>26</v>
      </c>
    </row>
    <row r="175" spans="1:8" x14ac:dyDescent="0.2">
      <c r="A175" s="71">
        <v>22251</v>
      </c>
      <c r="B175" s="72">
        <v>29.81</v>
      </c>
      <c r="C175" s="71">
        <v>25903</v>
      </c>
      <c r="D175" s="72">
        <v>42</v>
      </c>
      <c r="E175" s="71">
        <v>29556</v>
      </c>
      <c r="F175" s="72">
        <v>91.2</v>
      </c>
      <c r="G175" s="71">
        <v>25903</v>
      </c>
      <c r="H175" s="72">
        <v>26.2</v>
      </c>
    </row>
    <row r="176" spans="1:8" x14ac:dyDescent="0.2">
      <c r="A176" s="71">
        <v>22282</v>
      </c>
      <c r="B176" s="72">
        <v>29.84</v>
      </c>
      <c r="C176" s="71">
        <v>25934</v>
      </c>
      <c r="D176" s="72">
        <v>42.1</v>
      </c>
      <c r="E176" s="71">
        <v>29587</v>
      </c>
      <c r="F176" s="72">
        <v>91.5</v>
      </c>
      <c r="G176" s="71">
        <v>25934</v>
      </c>
      <c r="H176" s="72">
        <v>26.3</v>
      </c>
    </row>
    <row r="177" spans="1:8" x14ac:dyDescent="0.2">
      <c r="A177" s="71">
        <v>22313</v>
      </c>
      <c r="B177" s="72">
        <v>29.84</v>
      </c>
      <c r="C177" s="71">
        <v>25965</v>
      </c>
      <c r="D177" s="72">
        <v>42.2</v>
      </c>
      <c r="E177" s="71">
        <v>29618</v>
      </c>
      <c r="F177" s="72">
        <v>92</v>
      </c>
      <c r="G177" s="71">
        <v>25965</v>
      </c>
      <c r="H177" s="72">
        <v>26.2</v>
      </c>
    </row>
    <row r="178" spans="1:8" x14ac:dyDescent="0.2">
      <c r="A178" s="71">
        <v>22341</v>
      </c>
      <c r="B178" s="72">
        <v>29.84</v>
      </c>
      <c r="C178" s="71">
        <v>25993</v>
      </c>
      <c r="D178" s="72">
        <v>42.2</v>
      </c>
      <c r="E178" s="71">
        <v>29646</v>
      </c>
      <c r="F178" s="72">
        <v>92.5</v>
      </c>
      <c r="G178" s="71">
        <v>25993</v>
      </c>
      <c r="H178" s="72">
        <v>26.2</v>
      </c>
    </row>
    <row r="179" spans="1:8" x14ac:dyDescent="0.2">
      <c r="A179" s="71">
        <v>22372</v>
      </c>
      <c r="B179" s="72">
        <v>29.81</v>
      </c>
      <c r="C179" s="71">
        <v>26024</v>
      </c>
      <c r="D179" s="72">
        <v>42.4</v>
      </c>
      <c r="E179" s="71">
        <v>29677</v>
      </c>
      <c r="F179" s="72">
        <v>92.6</v>
      </c>
      <c r="G179" s="71">
        <v>26024</v>
      </c>
      <c r="H179" s="72">
        <v>26.1</v>
      </c>
    </row>
    <row r="180" spans="1:8" x14ac:dyDescent="0.2">
      <c r="A180" s="71">
        <v>22402</v>
      </c>
      <c r="B180" s="72">
        <v>29.84</v>
      </c>
      <c r="C180" s="71">
        <v>26054</v>
      </c>
      <c r="D180" s="72">
        <v>42.6</v>
      </c>
      <c r="E180" s="71">
        <v>29707</v>
      </c>
      <c r="F180" s="72">
        <v>92.7</v>
      </c>
      <c r="G180" s="71">
        <v>26054</v>
      </c>
      <c r="H180" s="72">
        <v>26.2</v>
      </c>
    </row>
    <row r="181" spans="1:8" x14ac:dyDescent="0.2">
      <c r="A181" s="71">
        <v>22433</v>
      </c>
      <c r="B181" s="72">
        <v>29.84</v>
      </c>
      <c r="C181" s="71">
        <v>26085</v>
      </c>
      <c r="D181" s="72">
        <v>42.8</v>
      </c>
      <c r="E181" s="71">
        <v>29738</v>
      </c>
      <c r="F181" s="72">
        <v>93.1</v>
      </c>
      <c r="G181" s="71">
        <v>26085</v>
      </c>
      <c r="H181" s="72">
        <v>26.3</v>
      </c>
    </row>
    <row r="182" spans="1:8" x14ac:dyDescent="0.2">
      <c r="A182" s="71">
        <v>22463</v>
      </c>
      <c r="B182" s="72">
        <v>29.92</v>
      </c>
      <c r="C182" s="71">
        <v>26115</v>
      </c>
      <c r="D182" s="72">
        <v>42.9</v>
      </c>
      <c r="E182" s="71">
        <v>29768</v>
      </c>
      <c r="F182" s="72">
        <v>93.8</v>
      </c>
      <c r="G182" s="71">
        <v>26115</v>
      </c>
      <c r="H182" s="72">
        <v>26.3</v>
      </c>
    </row>
    <row r="183" spans="1:8" x14ac:dyDescent="0.2">
      <c r="A183" s="71">
        <v>22494</v>
      </c>
      <c r="B183" s="72">
        <v>29.94</v>
      </c>
      <c r="C183" s="71">
        <v>26146</v>
      </c>
      <c r="D183" s="72">
        <v>43</v>
      </c>
      <c r="E183" s="71">
        <v>29799</v>
      </c>
      <c r="F183" s="72">
        <v>94.3</v>
      </c>
      <c r="G183" s="71">
        <v>26146</v>
      </c>
      <c r="H183" s="72">
        <v>26.8</v>
      </c>
    </row>
    <row r="184" spans="1:8" x14ac:dyDescent="0.2">
      <c r="A184" s="71">
        <v>22525</v>
      </c>
      <c r="B184" s="72">
        <v>29.98</v>
      </c>
      <c r="C184" s="71">
        <v>26177</v>
      </c>
      <c r="D184" s="72">
        <v>43</v>
      </c>
      <c r="E184" s="71">
        <v>29830</v>
      </c>
      <c r="F184" s="72">
        <v>94.7</v>
      </c>
      <c r="G184" s="71">
        <v>26177</v>
      </c>
      <c r="H184" s="72">
        <v>26.9</v>
      </c>
    </row>
    <row r="185" spans="1:8" x14ac:dyDescent="0.2">
      <c r="A185" s="71">
        <v>22555</v>
      </c>
      <c r="B185" s="72">
        <v>29.98</v>
      </c>
      <c r="C185" s="71">
        <v>26207</v>
      </c>
      <c r="D185" s="72">
        <v>43.1</v>
      </c>
      <c r="E185" s="71">
        <v>29860</v>
      </c>
      <c r="F185" s="72">
        <v>94.8</v>
      </c>
      <c r="G185" s="71">
        <v>26207</v>
      </c>
      <c r="H185" s="72">
        <v>27</v>
      </c>
    </row>
    <row r="186" spans="1:8" x14ac:dyDescent="0.2">
      <c r="A186" s="71">
        <v>22586</v>
      </c>
      <c r="B186" s="72">
        <v>29.98</v>
      </c>
      <c r="C186" s="71">
        <v>26238</v>
      </c>
      <c r="D186" s="72">
        <v>43.2</v>
      </c>
      <c r="E186" s="71">
        <v>29891</v>
      </c>
      <c r="F186" s="72">
        <v>95</v>
      </c>
      <c r="G186" s="71">
        <v>26238</v>
      </c>
      <c r="H186" s="72">
        <v>26.9</v>
      </c>
    </row>
    <row r="187" spans="1:8" x14ac:dyDescent="0.2">
      <c r="A187" s="71">
        <v>22616</v>
      </c>
      <c r="B187" s="72">
        <v>30.01</v>
      </c>
      <c r="C187" s="71">
        <v>26268</v>
      </c>
      <c r="D187" s="72">
        <v>43.3</v>
      </c>
      <c r="E187" s="71">
        <v>29921</v>
      </c>
      <c r="F187" s="72">
        <v>95.2</v>
      </c>
      <c r="G187" s="71">
        <v>26268</v>
      </c>
      <c r="H187" s="72">
        <v>27</v>
      </c>
    </row>
    <row r="188" spans="1:8" x14ac:dyDescent="0.2">
      <c r="A188" s="71">
        <v>22647</v>
      </c>
      <c r="B188" s="72">
        <v>30.04</v>
      </c>
      <c r="C188" s="71">
        <v>26299</v>
      </c>
      <c r="D188" s="72">
        <v>43.5</v>
      </c>
      <c r="E188" s="71">
        <v>29952</v>
      </c>
      <c r="F188" s="72">
        <v>95.5</v>
      </c>
      <c r="G188" s="71">
        <v>26299</v>
      </c>
      <c r="H188" s="72">
        <v>27</v>
      </c>
    </row>
    <row r="189" spans="1:8" x14ac:dyDescent="0.2">
      <c r="A189" s="71">
        <v>22678</v>
      </c>
      <c r="B189" s="72">
        <v>30.11</v>
      </c>
      <c r="C189" s="71">
        <v>26330</v>
      </c>
      <c r="D189" s="72">
        <v>43.6</v>
      </c>
      <c r="E189" s="71">
        <v>29983</v>
      </c>
      <c r="F189" s="72">
        <v>96.2</v>
      </c>
      <c r="G189" s="71">
        <v>26330</v>
      </c>
      <c r="H189" s="72">
        <v>26.8</v>
      </c>
    </row>
    <row r="190" spans="1:8" x14ac:dyDescent="0.2">
      <c r="A190" s="71">
        <v>22706</v>
      </c>
      <c r="B190" s="72">
        <v>30.17</v>
      </c>
      <c r="C190" s="71">
        <v>26359</v>
      </c>
      <c r="D190" s="72">
        <v>43.6</v>
      </c>
      <c r="E190" s="71">
        <v>30011</v>
      </c>
      <c r="F190" s="72">
        <v>96.1</v>
      </c>
      <c r="G190" s="71">
        <v>26359</v>
      </c>
      <c r="H190" s="72">
        <v>26.9</v>
      </c>
    </row>
    <row r="191" spans="1:8" x14ac:dyDescent="0.2">
      <c r="A191" s="71">
        <v>22737</v>
      </c>
      <c r="B191" s="72">
        <v>30.21</v>
      </c>
      <c r="C191" s="71">
        <v>26390</v>
      </c>
      <c r="D191" s="72">
        <v>43.8</v>
      </c>
      <c r="E191" s="71">
        <v>30042</v>
      </c>
      <c r="F191" s="72">
        <v>96.3</v>
      </c>
      <c r="G191" s="71">
        <v>26390</v>
      </c>
      <c r="H191" s="72">
        <v>26.9</v>
      </c>
    </row>
    <row r="192" spans="1:8" x14ac:dyDescent="0.2">
      <c r="A192" s="71">
        <v>22767</v>
      </c>
      <c r="B192" s="72">
        <v>30.24</v>
      </c>
      <c r="C192" s="71">
        <v>26420</v>
      </c>
      <c r="D192" s="72">
        <v>43.9</v>
      </c>
      <c r="E192" s="71">
        <v>30072</v>
      </c>
      <c r="F192" s="72">
        <v>97.1</v>
      </c>
      <c r="G192" s="71">
        <v>26420</v>
      </c>
      <c r="H192" s="72">
        <v>27</v>
      </c>
    </row>
    <row r="193" spans="1:8" x14ac:dyDescent="0.2">
      <c r="A193" s="71">
        <v>22798</v>
      </c>
      <c r="B193" s="72">
        <v>30.21</v>
      </c>
      <c r="C193" s="71">
        <v>26451</v>
      </c>
      <c r="D193" s="72">
        <v>44</v>
      </c>
      <c r="E193" s="71">
        <v>30103</v>
      </c>
      <c r="F193" s="72">
        <v>98</v>
      </c>
      <c r="G193" s="71">
        <v>26451</v>
      </c>
      <c r="H193" s="72">
        <v>27</v>
      </c>
    </row>
    <row r="194" spans="1:8" x14ac:dyDescent="0.2">
      <c r="A194" s="71">
        <v>22828</v>
      </c>
      <c r="B194" s="72">
        <v>30.22</v>
      </c>
      <c r="C194" s="71">
        <v>26481</v>
      </c>
      <c r="D194" s="72">
        <v>44.1</v>
      </c>
      <c r="E194" s="71">
        <v>30133</v>
      </c>
      <c r="F194" s="72">
        <v>98.1</v>
      </c>
      <c r="G194" s="71">
        <v>26481</v>
      </c>
      <c r="H194" s="72">
        <v>27.1</v>
      </c>
    </row>
    <row r="195" spans="1:8" x14ac:dyDescent="0.2">
      <c r="A195" s="71">
        <v>22859</v>
      </c>
      <c r="B195" s="72">
        <v>30.28</v>
      </c>
      <c r="C195" s="71">
        <v>26512</v>
      </c>
      <c r="D195" s="72">
        <v>44.3</v>
      </c>
      <c r="E195" s="71">
        <v>30164</v>
      </c>
      <c r="F195" s="72">
        <v>97.9</v>
      </c>
      <c r="G195" s="71">
        <v>26512</v>
      </c>
      <c r="H195" s="72">
        <v>27.3</v>
      </c>
    </row>
    <row r="196" spans="1:8" x14ac:dyDescent="0.2">
      <c r="A196" s="71">
        <v>22890</v>
      </c>
      <c r="B196" s="72">
        <v>30.42</v>
      </c>
      <c r="C196" s="71">
        <v>26543</v>
      </c>
      <c r="D196" s="72">
        <v>44.3</v>
      </c>
      <c r="E196" s="71">
        <v>30195</v>
      </c>
      <c r="F196" s="72">
        <v>98</v>
      </c>
      <c r="G196" s="71">
        <v>26543</v>
      </c>
      <c r="H196" s="72">
        <v>27.6</v>
      </c>
    </row>
    <row r="197" spans="1:8" x14ac:dyDescent="0.2">
      <c r="A197" s="71">
        <v>22920</v>
      </c>
      <c r="B197" s="72">
        <v>30.38</v>
      </c>
      <c r="C197" s="71">
        <v>26573</v>
      </c>
      <c r="D197" s="72">
        <v>44.4</v>
      </c>
      <c r="E197" s="71">
        <v>30225</v>
      </c>
      <c r="F197" s="72">
        <v>98.1</v>
      </c>
      <c r="G197" s="71">
        <v>26573</v>
      </c>
      <c r="H197" s="72">
        <v>27.7</v>
      </c>
    </row>
    <row r="198" spans="1:8" x14ac:dyDescent="0.2">
      <c r="A198" s="71">
        <v>22951</v>
      </c>
      <c r="B198" s="72">
        <v>30.38</v>
      </c>
      <c r="C198" s="71">
        <v>26604</v>
      </c>
      <c r="D198" s="72">
        <v>44.4</v>
      </c>
      <c r="E198" s="71">
        <v>30256</v>
      </c>
      <c r="F198" s="72">
        <v>98.2</v>
      </c>
      <c r="G198" s="71">
        <v>26604</v>
      </c>
      <c r="H198" s="72">
        <v>27.9</v>
      </c>
    </row>
    <row r="199" spans="1:8" x14ac:dyDescent="0.2">
      <c r="A199" s="71">
        <v>22981</v>
      </c>
      <c r="B199" s="72">
        <v>30.38</v>
      </c>
      <c r="C199" s="71">
        <v>26634</v>
      </c>
      <c r="D199" s="72">
        <v>44.6</v>
      </c>
      <c r="E199" s="71">
        <v>30286</v>
      </c>
      <c r="F199" s="72">
        <v>98.1</v>
      </c>
      <c r="G199" s="71">
        <v>26634</v>
      </c>
      <c r="H199" s="72">
        <v>27.8</v>
      </c>
    </row>
    <row r="200" spans="1:8" x14ac:dyDescent="0.2">
      <c r="A200" s="71">
        <v>23012</v>
      </c>
      <c r="B200" s="72">
        <v>30.44</v>
      </c>
      <c r="C200" s="71">
        <v>26665</v>
      </c>
      <c r="D200" s="72">
        <v>44.6</v>
      </c>
      <c r="E200" s="71">
        <v>30317</v>
      </c>
      <c r="F200" s="72">
        <v>98</v>
      </c>
      <c r="G200" s="71">
        <v>26665</v>
      </c>
      <c r="H200" s="72">
        <v>27.9</v>
      </c>
    </row>
    <row r="201" spans="1:8" x14ac:dyDescent="0.2">
      <c r="A201" s="71">
        <v>23043</v>
      </c>
      <c r="B201" s="72">
        <v>30.48</v>
      </c>
      <c r="C201" s="71">
        <v>26696</v>
      </c>
      <c r="D201" s="72">
        <v>44.8</v>
      </c>
      <c r="E201" s="71">
        <v>30348</v>
      </c>
      <c r="F201" s="72">
        <v>98.2</v>
      </c>
      <c r="G201" s="71">
        <v>26696</v>
      </c>
      <c r="H201" s="72">
        <v>28.2</v>
      </c>
    </row>
    <row r="202" spans="1:8" x14ac:dyDescent="0.2">
      <c r="A202" s="71">
        <v>23071</v>
      </c>
      <c r="B202" s="72">
        <v>30.51</v>
      </c>
      <c r="C202" s="71">
        <v>26724</v>
      </c>
      <c r="D202" s="72">
        <v>45</v>
      </c>
      <c r="E202" s="71">
        <v>30376</v>
      </c>
      <c r="F202" s="72">
        <v>98.8</v>
      </c>
      <c r="G202" s="71">
        <v>26724</v>
      </c>
      <c r="H202" s="72">
        <v>28.3</v>
      </c>
    </row>
    <row r="203" spans="1:8" x14ac:dyDescent="0.2">
      <c r="A203" s="71">
        <v>23102</v>
      </c>
      <c r="B203" s="72">
        <v>30.48</v>
      </c>
      <c r="C203" s="71">
        <v>26755</v>
      </c>
      <c r="D203" s="72">
        <v>45.1</v>
      </c>
      <c r="E203" s="71">
        <v>30407</v>
      </c>
      <c r="F203" s="72">
        <v>99.2</v>
      </c>
      <c r="G203" s="71">
        <v>26755</v>
      </c>
      <c r="H203" s="72">
        <v>28.6</v>
      </c>
    </row>
    <row r="204" spans="1:8" x14ac:dyDescent="0.2">
      <c r="A204" s="71">
        <v>23132</v>
      </c>
      <c r="B204" s="72">
        <v>30.51</v>
      </c>
      <c r="C204" s="71">
        <v>26785</v>
      </c>
      <c r="D204" s="72">
        <v>45.3</v>
      </c>
      <c r="E204" s="71">
        <v>30437</v>
      </c>
      <c r="F204" s="72">
        <v>99.5</v>
      </c>
      <c r="G204" s="71">
        <v>26785</v>
      </c>
      <c r="H204" s="72">
        <v>28.8</v>
      </c>
    </row>
    <row r="205" spans="1:8" x14ac:dyDescent="0.2">
      <c r="A205" s="71">
        <v>23163</v>
      </c>
      <c r="B205" s="72">
        <v>30.61</v>
      </c>
      <c r="C205" s="71">
        <v>26816</v>
      </c>
      <c r="D205" s="72">
        <v>45.4</v>
      </c>
      <c r="E205" s="71">
        <v>30468</v>
      </c>
      <c r="F205" s="72">
        <v>99.6</v>
      </c>
      <c r="G205" s="71">
        <v>26816</v>
      </c>
      <c r="H205" s="72">
        <v>29.2</v>
      </c>
    </row>
    <row r="206" spans="1:8" x14ac:dyDescent="0.2">
      <c r="A206" s="71">
        <v>23193</v>
      </c>
      <c r="B206" s="72">
        <v>30.69</v>
      </c>
      <c r="C206" s="71">
        <v>26846</v>
      </c>
      <c r="D206" s="72">
        <v>45.5</v>
      </c>
      <c r="E206" s="71">
        <v>30498</v>
      </c>
      <c r="F206" s="72">
        <v>99.6</v>
      </c>
      <c r="G206" s="71">
        <v>26846</v>
      </c>
      <c r="H206" s="72">
        <v>29.2</v>
      </c>
    </row>
    <row r="207" spans="1:8" x14ac:dyDescent="0.2">
      <c r="A207" s="71">
        <v>23224</v>
      </c>
      <c r="B207" s="72">
        <v>30.75</v>
      </c>
      <c r="C207" s="71">
        <v>26877</v>
      </c>
      <c r="D207" s="72">
        <v>45.7</v>
      </c>
      <c r="E207" s="71">
        <v>30529</v>
      </c>
      <c r="F207" s="72">
        <v>99.6</v>
      </c>
      <c r="G207" s="71">
        <v>26877</v>
      </c>
      <c r="H207" s="72">
        <v>29.4</v>
      </c>
    </row>
    <row r="208" spans="1:8" x14ac:dyDescent="0.2">
      <c r="A208" s="71">
        <v>23255</v>
      </c>
      <c r="B208" s="72">
        <v>30.72</v>
      </c>
      <c r="C208" s="71">
        <v>26908</v>
      </c>
      <c r="D208" s="72">
        <v>46</v>
      </c>
      <c r="E208" s="71">
        <v>30560</v>
      </c>
      <c r="F208" s="72">
        <v>100</v>
      </c>
      <c r="G208" s="71">
        <v>26908</v>
      </c>
      <c r="H208" s="72">
        <v>29.4</v>
      </c>
    </row>
    <row r="209" spans="1:8" x14ac:dyDescent="0.2">
      <c r="A209" s="71">
        <v>23285</v>
      </c>
      <c r="B209" s="72">
        <v>30.75</v>
      </c>
      <c r="C209" s="71">
        <v>26938</v>
      </c>
      <c r="D209" s="72">
        <v>46.3</v>
      </c>
      <c r="E209" s="71">
        <v>30590</v>
      </c>
      <c r="F209" s="72">
        <v>100.3</v>
      </c>
      <c r="G209" s="71">
        <v>26938</v>
      </c>
      <c r="H209" s="72">
        <v>30.3</v>
      </c>
    </row>
    <row r="210" spans="1:8" x14ac:dyDescent="0.2">
      <c r="A210" s="71">
        <v>23316</v>
      </c>
      <c r="B210" s="72">
        <v>30.78</v>
      </c>
      <c r="C210" s="71">
        <v>26969</v>
      </c>
      <c r="D210" s="72">
        <v>46.5</v>
      </c>
      <c r="E210" s="71">
        <v>30621</v>
      </c>
      <c r="F210" s="72">
        <v>100.3</v>
      </c>
      <c r="G210" s="71">
        <v>26969</v>
      </c>
      <c r="H210" s="72">
        <v>31.5</v>
      </c>
    </row>
    <row r="211" spans="1:8" x14ac:dyDescent="0.2">
      <c r="A211" s="71">
        <v>23346</v>
      </c>
      <c r="B211" s="72">
        <v>30.88</v>
      </c>
      <c r="C211" s="71">
        <v>26999</v>
      </c>
      <c r="D211" s="72">
        <v>46.7</v>
      </c>
      <c r="E211" s="71">
        <v>30651</v>
      </c>
      <c r="F211" s="72">
        <v>100.6</v>
      </c>
      <c r="G211" s="71">
        <v>26999</v>
      </c>
      <c r="H211" s="72">
        <v>32.5</v>
      </c>
    </row>
    <row r="212" spans="1:8" x14ac:dyDescent="0.2">
      <c r="A212" s="71">
        <v>23377</v>
      </c>
      <c r="B212" s="72">
        <v>30.94</v>
      </c>
      <c r="C212" s="71">
        <v>27030</v>
      </c>
      <c r="D212" s="72">
        <v>46.9</v>
      </c>
      <c r="E212" s="71">
        <v>30682</v>
      </c>
      <c r="F212" s="72">
        <v>101.9</v>
      </c>
      <c r="G212" s="71">
        <v>27030</v>
      </c>
      <c r="H212" s="72">
        <v>34.1</v>
      </c>
    </row>
    <row r="213" spans="1:8" x14ac:dyDescent="0.2">
      <c r="A213" s="71">
        <v>23408</v>
      </c>
      <c r="B213" s="72">
        <v>30.91</v>
      </c>
      <c r="C213" s="71">
        <v>27061</v>
      </c>
      <c r="D213" s="72">
        <v>47.2</v>
      </c>
      <c r="E213" s="71">
        <v>30713</v>
      </c>
      <c r="F213" s="72">
        <v>102.5</v>
      </c>
      <c r="G213" s="71">
        <v>27061</v>
      </c>
      <c r="H213" s="72">
        <v>35.4</v>
      </c>
    </row>
    <row r="214" spans="1:8" x14ac:dyDescent="0.2">
      <c r="A214" s="71">
        <v>23437</v>
      </c>
      <c r="B214" s="72">
        <v>30.94</v>
      </c>
      <c r="C214" s="71">
        <v>27089</v>
      </c>
      <c r="D214" s="72">
        <v>47.6</v>
      </c>
      <c r="E214" s="71">
        <v>30742</v>
      </c>
      <c r="F214" s="72">
        <v>102.8</v>
      </c>
      <c r="G214" s="71">
        <v>27089</v>
      </c>
      <c r="H214" s="72">
        <v>36.9</v>
      </c>
    </row>
    <row r="215" spans="1:8" x14ac:dyDescent="0.2">
      <c r="A215" s="71">
        <v>23468</v>
      </c>
      <c r="B215" s="72">
        <v>30.95</v>
      </c>
      <c r="C215" s="71">
        <v>27120</v>
      </c>
      <c r="D215" s="72">
        <v>47.9</v>
      </c>
      <c r="E215" s="71">
        <v>30773</v>
      </c>
      <c r="F215" s="72">
        <v>102.8</v>
      </c>
      <c r="G215" s="71">
        <v>27120</v>
      </c>
      <c r="H215" s="72">
        <v>37.6</v>
      </c>
    </row>
    <row r="216" spans="1:8" x14ac:dyDescent="0.2">
      <c r="A216" s="71">
        <v>23498</v>
      </c>
      <c r="B216" s="72">
        <v>30.98</v>
      </c>
      <c r="C216" s="71">
        <v>27150</v>
      </c>
      <c r="D216" s="72">
        <v>48.5</v>
      </c>
      <c r="E216" s="71">
        <v>30803</v>
      </c>
      <c r="F216" s="72">
        <v>102.6</v>
      </c>
      <c r="G216" s="71">
        <v>27150</v>
      </c>
      <c r="H216" s="72">
        <v>38.299999999999997</v>
      </c>
    </row>
    <row r="217" spans="1:8" x14ac:dyDescent="0.2">
      <c r="A217" s="71">
        <v>23529</v>
      </c>
      <c r="B217" s="72">
        <v>31.01</v>
      </c>
      <c r="C217" s="71">
        <v>27181</v>
      </c>
      <c r="D217" s="72">
        <v>49</v>
      </c>
      <c r="E217" s="71">
        <v>30834</v>
      </c>
      <c r="F217" s="72">
        <v>103</v>
      </c>
      <c r="G217" s="71">
        <v>27181</v>
      </c>
      <c r="H217" s="72">
        <v>38.6</v>
      </c>
    </row>
    <row r="218" spans="1:8" x14ac:dyDescent="0.2">
      <c r="A218" s="71">
        <v>23559</v>
      </c>
      <c r="B218" s="72">
        <v>31.02</v>
      </c>
      <c r="C218" s="71">
        <v>27211</v>
      </c>
      <c r="D218" s="72">
        <v>49.5</v>
      </c>
      <c r="E218" s="71">
        <v>30864</v>
      </c>
      <c r="F218" s="72">
        <v>103.2</v>
      </c>
      <c r="G218" s="71">
        <v>27211</v>
      </c>
      <c r="H218" s="72">
        <v>38.9</v>
      </c>
    </row>
    <row r="219" spans="1:8" x14ac:dyDescent="0.2">
      <c r="A219" s="71">
        <v>23590</v>
      </c>
      <c r="B219" s="72">
        <v>31.05</v>
      </c>
      <c r="C219" s="71">
        <v>27242</v>
      </c>
      <c r="D219" s="72">
        <v>50.2</v>
      </c>
      <c r="E219" s="71">
        <v>30895</v>
      </c>
      <c r="F219" s="72">
        <v>103.8</v>
      </c>
      <c r="G219" s="71">
        <v>27242</v>
      </c>
      <c r="H219" s="72">
        <v>39.200000000000003</v>
      </c>
    </row>
    <row r="220" spans="1:8" x14ac:dyDescent="0.2">
      <c r="A220" s="71">
        <v>23621</v>
      </c>
      <c r="B220" s="72">
        <v>31.08</v>
      </c>
      <c r="C220" s="71">
        <v>27273</v>
      </c>
      <c r="D220" s="72">
        <v>50.7</v>
      </c>
      <c r="E220" s="71">
        <v>30926</v>
      </c>
      <c r="F220" s="72">
        <v>103.7</v>
      </c>
      <c r="G220" s="71">
        <v>27273</v>
      </c>
      <c r="H220" s="72">
        <v>39.299999999999997</v>
      </c>
    </row>
    <row r="221" spans="1:8" x14ac:dyDescent="0.2">
      <c r="A221" s="71">
        <v>23651</v>
      </c>
      <c r="B221" s="72">
        <v>31.12</v>
      </c>
      <c r="C221" s="71">
        <v>27303</v>
      </c>
      <c r="D221" s="72">
        <v>51.2</v>
      </c>
      <c r="E221" s="71">
        <v>30956</v>
      </c>
      <c r="F221" s="72">
        <v>103.9</v>
      </c>
      <c r="G221" s="71">
        <v>27303</v>
      </c>
      <c r="H221" s="72">
        <v>39.200000000000003</v>
      </c>
    </row>
    <row r="222" spans="1:8" x14ac:dyDescent="0.2">
      <c r="A222" s="71">
        <v>23682</v>
      </c>
      <c r="B222" s="72">
        <v>31.21</v>
      </c>
      <c r="C222" s="71">
        <v>27334</v>
      </c>
      <c r="D222" s="72">
        <v>51.6</v>
      </c>
      <c r="E222" s="71">
        <v>30987</v>
      </c>
      <c r="F222" s="72">
        <v>104</v>
      </c>
      <c r="G222" s="71">
        <v>27334</v>
      </c>
      <c r="H222" s="72">
        <v>39.4</v>
      </c>
    </row>
    <row r="223" spans="1:8" x14ac:dyDescent="0.2">
      <c r="A223" s="71">
        <v>23712</v>
      </c>
      <c r="B223" s="72">
        <v>31.25</v>
      </c>
      <c r="C223" s="71">
        <v>27364</v>
      </c>
      <c r="D223" s="72">
        <v>52</v>
      </c>
      <c r="E223" s="71">
        <v>31017</v>
      </c>
      <c r="F223" s="72">
        <v>104.4</v>
      </c>
      <c r="G223" s="71">
        <v>27364</v>
      </c>
      <c r="H223" s="72">
        <v>39.6</v>
      </c>
    </row>
    <row r="224" spans="1:8" x14ac:dyDescent="0.2">
      <c r="A224" s="71">
        <v>23743</v>
      </c>
      <c r="B224" s="72">
        <v>31.28</v>
      </c>
      <c r="C224" s="71">
        <v>27395</v>
      </c>
      <c r="D224" s="72">
        <v>52.3</v>
      </c>
      <c r="E224" s="71">
        <v>31048</v>
      </c>
      <c r="F224" s="72">
        <v>104.5</v>
      </c>
      <c r="G224" s="71">
        <v>27395</v>
      </c>
      <c r="H224" s="72">
        <v>40</v>
      </c>
    </row>
    <row r="225" spans="1:8" x14ac:dyDescent="0.2">
      <c r="A225" s="71">
        <v>23774</v>
      </c>
      <c r="B225" s="72">
        <v>31.28</v>
      </c>
      <c r="C225" s="71">
        <v>27426</v>
      </c>
      <c r="D225" s="72">
        <v>52.8</v>
      </c>
      <c r="E225" s="71">
        <v>31079</v>
      </c>
      <c r="F225" s="72">
        <v>105</v>
      </c>
      <c r="G225" s="71">
        <v>27426</v>
      </c>
      <c r="H225" s="72">
        <v>40.299999999999997</v>
      </c>
    </row>
    <row r="226" spans="1:8" x14ac:dyDescent="0.2">
      <c r="A226" s="71">
        <v>23802</v>
      </c>
      <c r="B226" s="72">
        <v>31.31</v>
      </c>
      <c r="C226" s="71">
        <v>27454</v>
      </c>
      <c r="D226" s="72">
        <v>53</v>
      </c>
      <c r="E226" s="71">
        <v>31107</v>
      </c>
      <c r="F226" s="72">
        <v>105.4</v>
      </c>
      <c r="G226" s="71">
        <v>27454</v>
      </c>
      <c r="H226" s="72">
        <v>40.6</v>
      </c>
    </row>
    <row r="227" spans="1:8" x14ac:dyDescent="0.2">
      <c r="A227" s="71">
        <v>23833</v>
      </c>
      <c r="B227" s="72">
        <v>31.38</v>
      </c>
      <c r="C227" s="71">
        <v>27485</v>
      </c>
      <c r="D227" s="72">
        <v>53.3</v>
      </c>
      <c r="E227" s="71">
        <v>31138</v>
      </c>
      <c r="F227" s="72">
        <v>105.3</v>
      </c>
      <c r="G227" s="71">
        <v>27485</v>
      </c>
      <c r="H227" s="72">
        <v>41</v>
      </c>
    </row>
    <row r="228" spans="1:8" x14ac:dyDescent="0.2">
      <c r="A228" s="71">
        <v>23863</v>
      </c>
      <c r="B228" s="72">
        <v>31.48</v>
      </c>
      <c r="C228" s="71">
        <v>27515</v>
      </c>
      <c r="D228" s="72">
        <v>53.5</v>
      </c>
      <c r="E228" s="71">
        <v>31168</v>
      </c>
      <c r="F228" s="72">
        <v>105.1</v>
      </c>
      <c r="G228" s="71">
        <v>27515</v>
      </c>
      <c r="H228" s="72">
        <v>41.3</v>
      </c>
    </row>
    <row r="229" spans="1:8" x14ac:dyDescent="0.2">
      <c r="A229" s="71">
        <v>23894</v>
      </c>
      <c r="B229" s="72">
        <v>31.61</v>
      </c>
      <c r="C229" s="71">
        <v>27546</v>
      </c>
      <c r="D229" s="72">
        <v>53.8</v>
      </c>
      <c r="E229" s="71">
        <v>31199</v>
      </c>
      <c r="F229" s="72">
        <v>105.4</v>
      </c>
      <c r="G229" s="71">
        <v>27546</v>
      </c>
      <c r="H229" s="72">
        <v>41.7</v>
      </c>
    </row>
    <row r="230" spans="1:8" x14ac:dyDescent="0.2">
      <c r="A230" s="71">
        <v>23924</v>
      </c>
      <c r="B230" s="72">
        <v>31.58</v>
      </c>
      <c r="C230" s="71">
        <v>27576</v>
      </c>
      <c r="D230" s="72">
        <v>54</v>
      </c>
      <c r="E230" s="71">
        <v>31229</v>
      </c>
      <c r="F230" s="72">
        <v>105.4</v>
      </c>
      <c r="G230" s="71">
        <v>27576</v>
      </c>
      <c r="H230" s="72">
        <v>42.5</v>
      </c>
    </row>
    <row r="231" spans="1:8" x14ac:dyDescent="0.2">
      <c r="A231" s="71">
        <v>23955</v>
      </c>
      <c r="B231" s="72">
        <v>31.55</v>
      </c>
      <c r="C231" s="71">
        <v>27607</v>
      </c>
      <c r="D231" s="72">
        <v>54.2</v>
      </c>
      <c r="E231" s="71">
        <v>31260</v>
      </c>
      <c r="F231" s="72">
        <v>105.5</v>
      </c>
      <c r="G231" s="71">
        <v>27607</v>
      </c>
      <c r="H231" s="72">
        <v>42.8</v>
      </c>
    </row>
    <row r="232" spans="1:8" x14ac:dyDescent="0.2">
      <c r="A232" s="71">
        <v>23986</v>
      </c>
      <c r="B232" s="72">
        <v>31.62</v>
      </c>
      <c r="C232" s="71">
        <v>27638</v>
      </c>
      <c r="D232" s="72">
        <v>54.5</v>
      </c>
      <c r="E232" s="71">
        <v>31291</v>
      </c>
      <c r="F232" s="72">
        <v>105.7</v>
      </c>
      <c r="G232" s="71">
        <v>27638</v>
      </c>
      <c r="H232" s="72">
        <v>43.2</v>
      </c>
    </row>
    <row r="233" spans="1:8" x14ac:dyDescent="0.2">
      <c r="A233" s="71">
        <v>24016</v>
      </c>
      <c r="B233" s="72">
        <v>31.65</v>
      </c>
      <c r="C233" s="71">
        <v>27668</v>
      </c>
      <c r="D233" s="72">
        <v>54.8</v>
      </c>
      <c r="E233" s="71">
        <v>31321</v>
      </c>
      <c r="F233" s="72">
        <v>105.9</v>
      </c>
      <c r="G233" s="71">
        <v>27668</v>
      </c>
      <c r="H233" s="72">
        <v>43.5</v>
      </c>
    </row>
    <row r="234" spans="1:8" x14ac:dyDescent="0.2">
      <c r="A234" s="71">
        <v>24047</v>
      </c>
      <c r="B234" s="72">
        <v>31.75</v>
      </c>
      <c r="C234" s="71">
        <v>27699</v>
      </c>
      <c r="D234" s="72">
        <v>55.2</v>
      </c>
      <c r="E234" s="71">
        <v>31352</v>
      </c>
      <c r="F234" s="72">
        <v>106.5</v>
      </c>
      <c r="G234" s="71">
        <v>27699</v>
      </c>
      <c r="H234" s="72">
        <v>43.9</v>
      </c>
    </row>
    <row r="235" spans="1:8" x14ac:dyDescent="0.2">
      <c r="A235" s="71">
        <v>24077</v>
      </c>
      <c r="B235" s="72">
        <v>31.85</v>
      </c>
      <c r="C235" s="71">
        <v>27729</v>
      </c>
      <c r="D235" s="72">
        <v>55.5</v>
      </c>
      <c r="E235" s="71">
        <v>31382</v>
      </c>
      <c r="F235" s="72">
        <v>107.3</v>
      </c>
      <c r="G235" s="71">
        <v>27729</v>
      </c>
      <c r="H235" s="72">
        <v>44.1</v>
      </c>
    </row>
    <row r="236" spans="1:8" x14ac:dyDescent="0.2">
      <c r="A236" s="71">
        <v>24108</v>
      </c>
      <c r="B236" s="72">
        <v>31.88</v>
      </c>
      <c r="C236" s="71">
        <v>27760</v>
      </c>
      <c r="D236" s="72">
        <v>55.9</v>
      </c>
      <c r="E236" s="71">
        <v>31413</v>
      </c>
      <c r="F236" s="72">
        <v>107.5</v>
      </c>
      <c r="G236" s="71">
        <v>27760</v>
      </c>
      <c r="H236" s="72">
        <v>44.5</v>
      </c>
    </row>
    <row r="237" spans="1:8" x14ac:dyDescent="0.2">
      <c r="A237" s="71">
        <v>24139</v>
      </c>
      <c r="B237" s="72">
        <v>32.08</v>
      </c>
      <c r="C237" s="71">
        <v>27791</v>
      </c>
      <c r="D237" s="72">
        <v>56.2</v>
      </c>
      <c r="E237" s="71">
        <v>31444</v>
      </c>
      <c r="F237" s="72">
        <v>107.4</v>
      </c>
      <c r="G237" s="71">
        <v>27791</v>
      </c>
      <c r="H237" s="72">
        <v>44.4</v>
      </c>
    </row>
    <row r="238" spans="1:8" x14ac:dyDescent="0.2">
      <c r="A238" s="71">
        <v>24167</v>
      </c>
      <c r="B238" s="72">
        <v>32.18</v>
      </c>
      <c r="C238" s="71">
        <v>27820</v>
      </c>
      <c r="D238" s="72">
        <v>56.5</v>
      </c>
      <c r="E238" s="71">
        <v>31472</v>
      </c>
      <c r="F238" s="72">
        <v>107.6</v>
      </c>
      <c r="G238" s="71">
        <v>27820</v>
      </c>
      <c r="H238" s="72">
        <v>44.1</v>
      </c>
    </row>
    <row r="239" spans="1:8" x14ac:dyDescent="0.2">
      <c r="A239" s="71">
        <v>24198</v>
      </c>
      <c r="B239" s="72">
        <v>32.28</v>
      </c>
      <c r="C239" s="71">
        <v>27851</v>
      </c>
      <c r="D239" s="72">
        <v>56.7</v>
      </c>
      <c r="E239" s="71">
        <v>31503</v>
      </c>
      <c r="F239" s="72">
        <v>107.8</v>
      </c>
      <c r="G239" s="71">
        <v>27851</v>
      </c>
      <c r="H239" s="72">
        <v>43.9</v>
      </c>
    </row>
    <row r="240" spans="1:8" x14ac:dyDescent="0.2">
      <c r="A240" s="71">
        <v>24228</v>
      </c>
      <c r="B240" s="72">
        <v>32.35</v>
      </c>
      <c r="C240" s="71">
        <v>27881</v>
      </c>
      <c r="D240" s="72">
        <v>57</v>
      </c>
      <c r="E240" s="71">
        <v>31533</v>
      </c>
      <c r="F240" s="72">
        <v>108.2</v>
      </c>
      <c r="G240" s="71">
        <v>27881</v>
      </c>
      <c r="H240" s="72">
        <v>44.1</v>
      </c>
    </row>
    <row r="241" spans="1:8" x14ac:dyDescent="0.2">
      <c r="A241" s="71">
        <v>24259</v>
      </c>
      <c r="B241" s="72">
        <v>32.380000000000003</v>
      </c>
      <c r="C241" s="71">
        <v>27912</v>
      </c>
      <c r="D241" s="72">
        <v>57.2</v>
      </c>
      <c r="E241" s="71">
        <v>31564</v>
      </c>
      <c r="F241" s="72">
        <v>108.3</v>
      </c>
      <c r="G241" s="71">
        <v>27912</v>
      </c>
      <c r="H241" s="72">
        <v>44.4</v>
      </c>
    </row>
    <row r="242" spans="1:8" x14ac:dyDescent="0.2">
      <c r="A242" s="71">
        <v>24289</v>
      </c>
      <c r="B242" s="72">
        <v>32.450000000000003</v>
      </c>
      <c r="C242" s="71">
        <v>27942</v>
      </c>
      <c r="D242" s="72">
        <v>57.6</v>
      </c>
      <c r="E242" s="71">
        <v>31594</v>
      </c>
      <c r="F242" s="72">
        <v>109.1</v>
      </c>
      <c r="G242" s="71">
        <v>27942</v>
      </c>
      <c r="H242" s="72">
        <v>44.8</v>
      </c>
    </row>
    <row r="243" spans="1:8" x14ac:dyDescent="0.2">
      <c r="A243" s="71">
        <v>24320</v>
      </c>
      <c r="B243" s="72">
        <v>32.65</v>
      </c>
      <c r="C243" s="71">
        <v>27973</v>
      </c>
      <c r="D243" s="72">
        <v>57.9</v>
      </c>
      <c r="E243" s="71">
        <v>31625</v>
      </c>
      <c r="F243" s="72">
        <v>110</v>
      </c>
      <c r="G243" s="71">
        <v>27973</v>
      </c>
      <c r="H243" s="72">
        <v>45.2</v>
      </c>
    </row>
    <row r="244" spans="1:8" x14ac:dyDescent="0.2">
      <c r="A244" s="71">
        <v>24351</v>
      </c>
      <c r="B244" s="72">
        <v>32.75</v>
      </c>
      <c r="C244" s="71">
        <v>28004</v>
      </c>
      <c r="D244" s="72">
        <v>58.2</v>
      </c>
      <c r="E244" s="71">
        <v>31656</v>
      </c>
      <c r="F244" s="72">
        <v>110.1</v>
      </c>
      <c r="G244" s="71">
        <v>28004</v>
      </c>
      <c r="H244" s="72">
        <v>45.7</v>
      </c>
    </row>
    <row r="245" spans="1:8" x14ac:dyDescent="0.2">
      <c r="A245" s="71">
        <v>24381</v>
      </c>
      <c r="B245" s="72">
        <v>32.85</v>
      </c>
      <c r="C245" s="71">
        <v>28034</v>
      </c>
      <c r="D245" s="72">
        <v>58.5</v>
      </c>
      <c r="E245" s="71">
        <v>31686</v>
      </c>
      <c r="F245" s="72">
        <v>110.4</v>
      </c>
      <c r="G245" s="71">
        <v>28034</v>
      </c>
      <c r="H245" s="72">
        <v>46.1</v>
      </c>
    </row>
    <row r="246" spans="1:8" x14ac:dyDescent="0.2">
      <c r="A246" s="71">
        <v>24412</v>
      </c>
      <c r="B246" s="72">
        <v>32.880000000000003</v>
      </c>
      <c r="C246" s="71">
        <v>28065</v>
      </c>
      <c r="D246" s="72">
        <v>58.7</v>
      </c>
      <c r="E246" s="71">
        <v>31717</v>
      </c>
      <c r="F246" s="72">
        <v>111</v>
      </c>
      <c r="G246" s="71">
        <v>28065</v>
      </c>
      <c r="H246" s="72">
        <v>46.8</v>
      </c>
    </row>
    <row r="247" spans="1:8" x14ac:dyDescent="0.2">
      <c r="A247" s="71">
        <v>24442</v>
      </c>
      <c r="B247" s="72">
        <v>32.92</v>
      </c>
      <c r="C247" s="71">
        <v>28095</v>
      </c>
      <c r="D247" s="72">
        <v>58.9</v>
      </c>
      <c r="E247" s="71">
        <v>31747</v>
      </c>
      <c r="F247" s="72">
        <v>111.3</v>
      </c>
      <c r="G247" s="71">
        <v>28095</v>
      </c>
      <c r="H247" s="72">
        <v>47.5</v>
      </c>
    </row>
    <row r="248" spans="1:8" x14ac:dyDescent="0.2">
      <c r="A248" s="71">
        <v>24473</v>
      </c>
      <c r="B248" s="72">
        <v>32.9</v>
      </c>
      <c r="C248" s="71">
        <v>28126</v>
      </c>
      <c r="D248" s="72">
        <v>59.3</v>
      </c>
      <c r="E248" s="71">
        <v>31778</v>
      </c>
      <c r="F248" s="72">
        <v>111.9</v>
      </c>
      <c r="G248" s="71">
        <v>28126</v>
      </c>
      <c r="H248" s="72">
        <v>48.1</v>
      </c>
    </row>
    <row r="249" spans="1:8" x14ac:dyDescent="0.2">
      <c r="A249" s="71">
        <v>24504</v>
      </c>
      <c r="B249" s="72">
        <v>33</v>
      </c>
      <c r="C249" s="71">
        <v>28157</v>
      </c>
      <c r="D249" s="72">
        <v>59.7</v>
      </c>
      <c r="E249" s="71">
        <v>31809</v>
      </c>
      <c r="F249" s="72">
        <v>112.2</v>
      </c>
      <c r="G249" s="71">
        <v>28157</v>
      </c>
      <c r="H249" s="72">
        <v>48.1</v>
      </c>
    </row>
    <row r="250" spans="1:8" x14ac:dyDescent="0.2">
      <c r="A250" s="71">
        <v>24532</v>
      </c>
      <c r="B250" s="72">
        <v>33</v>
      </c>
      <c r="C250" s="71">
        <v>28185</v>
      </c>
      <c r="D250" s="72">
        <v>60</v>
      </c>
      <c r="E250" s="71">
        <v>31837</v>
      </c>
      <c r="F250" s="72">
        <v>112.4</v>
      </c>
      <c r="G250" s="71">
        <v>28185</v>
      </c>
      <c r="H250" s="72">
        <v>48.4</v>
      </c>
    </row>
    <row r="251" spans="1:8" x14ac:dyDescent="0.2">
      <c r="A251" s="71">
        <v>24563</v>
      </c>
      <c r="B251" s="72">
        <v>33.1</v>
      </c>
      <c r="C251" s="71">
        <v>28216</v>
      </c>
      <c r="D251" s="72">
        <v>60.3</v>
      </c>
      <c r="E251" s="71">
        <v>31868</v>
      </c>
      <c r="F251" s="72">
        <v>112.6</v>
      </c>
      <c r="G251" s="71">
        <v>28216</v>
      </c>
      <c r="H251" s="72">
        <v>48.6</v>
      </c>
    </row>
    <row r="252" spans="1:8" x14ac:dyDescent="0.2">
      <c r="A252" s="71">
        <v>24593</v>
      </c>
      <c r="B252" s="72">
        <v>33.1</v>
      </c>
      <c r="C252" s="71">
        <v>28246</v>
      </c>
      <c r="D252" s="72">
        <v>60.6</v>
      </c>
      <c r="E252" s="71">
        <v>31898</v>
      </c>
      <c r="F252" s="72">
        <v>113.2</v>
      </c>
      <c r="G252" s="71">
        <v>28246</v>
      </c>
      <c r="H252" s="72">
        <v>48.9</v>
      </c>
    </row>
    <row r="253" spans="1:8" x14ac:dyDescent="0.2">
      <c r="A253" s="71">
        <v>24624</v>
      </c>
      <c r="B253" s="72">
        <v>33.299999999999997</v>
      </c>
      <c r="C253" s="71">
        <v>28277</v>
      </c>
      <c r="D253" s="72">
        <v>61</v>
      </c>
      <c r="E253" s="71">
        <v>31929</v>
      </c>
      <c r="F253" s="72">
        <v>113.8</v>
      </c>
      <c r="G253" s="71">
        <v>28277</v>
      </c>
      <c r="H253" s="72">
        <v>48.9</v>
      </c>
    </row>
    <row r="254" spans="1:8" x14ac:dyDescent="0.2">
      <c r="A254" s="71">
        <v>24654</v>
      </c>
      <c r="B254" s="72">
        <v>33.4</v>
      </c>
      <c r="C254" s="71">
        <v>28307</v>
      </c>
      <c r="D254" s="72">
        <v>61.2</v>
      </c>
      <c r="E254" s="71">
        <v>31959</v>
      </c>
      <c r="F254" s="72">
        <v>113.7</v>
      </c>
      <c r="G254" s="71">
        <v>28307</v>
      </c>
      <c r="H254" s="72">
        <v>49.1</v>
      </c>
    </row>
    <row r="255" spans="1:8" x14ac:dyDescent="0.2">
      <c r="A255" s="71">
        <v>24685</v>
      </c>
      <c r="B255" s="72">
        <v>33.5</v>
      </c>
      <c r="C255" s="71">
        <v>28338</v>
      </c>
      <c r="D255" s="72">
        <v>61.5</v>
      </c>
      <c r="E255" s="71">
        <v>31990</v>
      </c>
      <c r="F255" s="72">
        <v>113.9</v>
      </c>
      <c r="G255" s="71">
        <v>28338</v>
      </c>
      <c r="H255" s="72">
        <v>49.5</v>
      </c>
    </row>
    <row r="256" spans="1:8" x14ac:dyDescent="0.2">
      <c r="A256" s="71">
        <v>24716</v>
      </c>
      <c r="B256" s="72">
        <v>33.6</v>
      </c>
      <c r="C256" s="71">
        <v>28369</v>
      </c>
      <c r="D256" s="72">
        <v>61.8</v>
      </c>
      <c r="E256" s="71">
        <v>32021</v>
      </c>
      <c r="F256" s="72">
        <v>114.4</v>
      </c>
      <c r="G256" s="71">
        <v>28369</v>
      </c>
      <c r="H256" s="72">
        <v>49.8</v>
      </c>
    </row>
    <row r="257" spans="1:8" x14ac:dyDescent="0.2">
      <c r="A257" s="71">
        <v>24746</v>
      </c>
      <c r="B257" s="72">
        <v>33.700000000000003</v>
      </c>
      <c r="C257" s="71">
        <v>28399</v>
      </c>
      <c r="D257" s="72">
        <v>62</v>
      </c>
      <c r="E257" s="71">
        <v>32051</v>
      </c>
      <c r="F257" s="72">
        <v>114.6</v>
      </c>
      <c r="G257" s="71">
        <v>28399</v>
      </c>
      <c r="H257" s="72">
        <v>50.5</v>
      </c>
    </row>
    <row r="258" spans="1:8" x14ac:dyDescent="0.2">
      <c r="A258" s="71">
        <v>24777</v>
      </c>
      <c r="B258" s="72">
        <v>33.9</v>
      </c>
      <c r="C258" s="71">
        <v>28430</v>
      </c>
      <c r="D258" s="72">
        <v>62.3</v>
      </c>
      <c r="E258" s="71">
        <v>32082</v>
      </c>
      <c r="F258" s="72">
        <v>114.7</v>
      </c>
      <c r="G258" s="71">
        <v>28430</v>
      </c>
      <c r="H258" s="72">
        <v>51.3</v>
      </c>
    </row>
    <row r="259" spans="1:8" x14ac:dyDescent="0.2">
      <c r="A259" s="71">
        <v>24807</v>
      </c>
      <c r="B259" s="72">
        <v>34</v>
      </c>
      <c r="C259" s="71">
        <v>28460</v>
      </c>
      <c r="D259" s="72">
        <v>62.7</v>
      </c>
      <c r="E259" s="71">
        <v>32112</v>
      </c>
      <c r="F259" s="72">
        <v>115.2</v>
      </c>
      <c r="G259" s="71">
        <v>28460</v>
      </c>
      <c r="H259" s="72">
        <v>51.6</v>
      </c>
    </row>
    <row r="260" spans="1:8" x14ac:dyDescent="0.2">
      <c r="A260" s="71">
        <v>24838</v>
      </c>
      <c r="B260" s="72">
        <v>34.1</v>
      </c>
      <c r="C260" s="71">
        <v>28491</v>
      </c>
      <c r="D260" s="72">
        <v>63.1</v>
      </c>
      <c r="E260" s="71">
        <v>32143</v>
      </c>
      <c r="F260" s="72">
        <v>115.6</v>
      </c>
      <c r="G260" s="71">
        <v>28491</v>
      </c>
      <c r="H260" s="72">
        <v>51.1</v>
      </c>
    </row>
    <row r="261" spans="1:8" x14ac:dyDescent="0.2">
      <c r="A261" s="71">
        <v>24869</v>
      </c>
      <c r="B261" s="72">
        <v>34.200000000000003</v>
      </c>
      <c r="C261" s="71">
        <v>28522</v>
      </c>
      <c r="D261" s="72">
        <v>63.4</v>
      </c>
      <c r="E261" s="71">
        <v>32174</v>
      </c>
      <c r="F261" s="72">
        <v>115.7</v>
      </c>
      <c r="G261" s="71">
        <v>28522</v>
      </c>
      <c r="H261" s="72">
        <v>50.6</v>
      </c>
    </row>
    <row r="262" spans="1:8" x14ac:dyDescent="0.2">
      <c r="A262" s="71">
        <v>24898</v>
      </c>
      <c r="B262" s="72">
        <v>34.299999999999997</v>
      </c>
      <c r="C262" s="71">
        <v>28550</v>
      </c>
      <c r="D262" s="72">
        <v>63.8</v>
      </c>
      <c r="E262" s="71">
        <v>32203</v>
      </c>
      <c r="F262" s="72">
        <v>115.9</v>
      </c>
      <c r="G262" s="71">
        <v>28550</v>
      </c>
      <c r="H262" s="72">
        <v>51</v>
      </c>
    </row>
    <row r="263" spans="1:8" x14ac:dyDescent="0.2">
      <c r="A263" s="71">
        <v>24929</v>
      </c>
      <c r="B263" s="72">
        <v>34.4</v>
      </c>
      <c r="C263" s="71">
        <v>28581</v>
      </c>
      <c r="D263" s="72">
        <v>64.3</v>
      </c>
      <c r="E263" s="71">
        <v>32234</v>
      </c>
      <c r="F263" s="72">
        <v>116.5</v>
      </c>
      <c r="G263" s="71">
        <v>28581</v>
      </c>
      <c r="H263" s="72">
        <v>51.4</v>
      </c>
    </row>
    <row r="264" spans="1:8" x14ac:dyDescent="0.2">
      <c r="A264" s="71">
        <v>24959</v>
      </c>
      <c r="B264" s="72">
        <v>34.5</v>
      </c>
      <c r="C264" s="71">
        <v>28611</v>
      </c>
      <c r="D264" s="72">
        <v>64.7</v>
      </c>
      <c r="E264" s="71">
        <v>32264</v>
      </c>
      <c r="F264" s="72">
        <v>116.9</v>
      </c>
      <c r="G264" s="71">
        <v>28611</v>
      </c>
      <c r="H264" s="72">
        <v>51.7</v>
      </c>
    </row>
    <row r="265" spans="1:8" x14ac:dyDescent="0.2">
      <c r="A265" s="71">
        <v>24990</v>
      </c>
      <c r="B265" s="72">
        <v>34.700000000000003</v>
      </c>
      <c r="C265" s="71">
        <v>28642</v>
      </c>
      <c r="D265" s="72">
        <v>65.2</v>
      </c>
      <c r="E265" s="71">
        <v>32295</v>
      </c>
      <c r="F265" s="72">
        <v>117.6</v>
      </c>
      <c r="G265" s="71">
        <v>28642</v>
      </c>
      <c r="H265" s="72">
        <v>51.9</v>
      </c>
    </row>
    <row r="266" spans="1:8" x14ac:dyDescent="0.2">
      <c r="A266" s="71">
        <v>25020</v>
      </c>
      <c r="B266" s="72">
        <v>34.9</v>
      </c>
      <c r="C266" s="71">
        <v>28672</v>
      </c>
      <c r="D266" s="72">
        <v>65.599999999999994</v>
      </c>
      <c r="E266" s="71">
        <v>32325</v>
      </c>
      <c r="F266" s="72">
        <v>118.8</v>
      </c>
      <c r="G266" s="71">
        <v>28672</v>
      </c>
      <c r="H266" s="72">
        <v>52.1</v>
      </c>
    </row>
    <row r="267" spans="1:8" x14ac:dyDescent="0.2">
      <c r="A267" s="71">
        <v>25051</v>
      </c>
      <c r="B267" s="72">
        <v>35</v>
      </c>
      <c r="C267" s="71">
        <v>28703</v>
      </c>
      <c r="D267" s="72">
        <v>66.099999999999994</v>
      </c>
      <c r="E267" s="71">
        <v>32356</v>
      </c>
      <c r="F267" s="72">
        <v>119.4</v>
      </c>
      <c r="G267" s="71">
        <v>28703</v>
      </c>
      <c r="H267" s="72">
        <v>52.6</v>
      </c>
    </row>
    <row r="268" spans="1:8" x14ac:dyDescent="0.2">
      <c r="A268" s="71">
        <v>25082</v>
      </c>
      <c r="B268" s="72">
        <v>35.1</v>
      </c>
      <c r="C268" s="71">
        <v>28734</v>
      </c>
      <c r="D268" s="72">
        <v>66.7</v>
      </c>
      <c r="E268" s="71">
        <v>32387</v>
      </c>
      <c r="F268" s="72">
        <v>120</v>
      </c>
      <c r="G268" s="71">
        <v>28734</v>
      </c>
      <c r="H268" s="72">
        <v>53.2</v>
      </c>
    </row>
    <row r="269" spans="1:8" x14ac:dyDescent="0.2">
      <c r="A269" s="71">
        <v>25112</v>
      </c>
      <c r="B269" s="72">
        <v>35.299999999999997</v>
      </c>
      <c r="C269" s="71">
        <v>28764</v>
      </c>
      <c r="D269" s="72">
        <v>67.2</v>
      </c>
      <c r="E269" s="71">
        <v>32417</v>
      </c>
      <c r="F269" s="72">
        <v>120.3</v>
      </c>
      <c r="G269" s="71">
        <v>28764</v>
      </c>
      <c r="H269" s="72">
        <v>54.1</v>
      </c>
    </row>
    <row r="270" spans="1:8" x14ac:dyDescent="0.2">
      <c r="A270" s="71">
        <v>25143</v>
      </c>
      <c r="B270" s="72">
        <v>35.4</v>
      </c>
      <c r="C270" s="71">
        <v>28795</v>
      </c>
      <c r="D270" s="72">
        <v>67.599999999999994</v>
      </c>
      <c r="E270" s="71">
        <v>32448</v>
      </c>
      <c r="F270" s="72">
        <v>120.5</v>
      </c>
      <c r="G270" s="71">
        <v>28795</v>
      </c>
      <c r="H270" s="72">
        <v>54.9</v>
      </c>
    </row>
    <row r="271" spans="1:8" x14ac:dyDescent="0.2">
      <c r="A271" s="71">
        <v>25173</v>
      </c>
      <c r="B271" s="72">
        <v>35.6</v>
      </c>
      <c r="C271" s="71">
        <v>28825</v>
      </c>
      <c r="D271" s="72">
        <v>68</v>
      </c>
      <c r="E271" s="71">
        <v>32478</v>
      </c>
      <c r="F271" s="72">
        <v>121</v>
      </c>
      <c r="G271" s="71">
        <v>28825</v>
      </c>
      <c r="H271" s="72">
        <v>55.9</v>
      </c>
    </row>
    <row r="272" spans="1:8" x14ac:dyDescent="0.2">
      <c r="A272" s="71">
        <v>25204</v>
      </c>
      <c r="B272" s="72">
        <v>35.700000000000003</v>
      </c>
      <c r="C272" s="71">
        <v>28856</v>
      </c>
      <c r="D272" s="72">
        <v>68.5</v>
      </c>
      <c r="E272" s="71">
        <v>32509</v>
      </c>
      <c r="F272" s="72">
        <v>121.5</v>
      </c>
      <c r="G272" s="71">
        <v>28856</v>
      </c>
      <c r="H272" s="72">
        <v>55.8</v>
      </c>
    </row>
    <row r="273" spans="1:8" x14ac:dyDescent="0.2">
      <c r="A273" s="71">
        <v>25235</v>
      </c>
      <c r="B273" s="72">
        <v>35.799999999999997</v>
      </c>
      <c r="C273" s="71">
        <v>28887</v>
      </c>
      <c r="D273" s="72">
        <v>69.2</v>
      </c>
      <c r="E273" s="71">
        <v>32540</v>
      </c>
      <c r="F273" s="72">
        <v>122.3</v>
      </c>
      <c r="G273" s="71">
        <v>28887</v>
      </c>
      <c r="H273" s="72">
        <v>55.9</v>
      </c>
    </row>
    <row r="274" spans="1:8" x14ac:dyDescent="0.2">
      <c r="A274" s="71">
        <v>25263</v>
      </c>
      <c r="B274" s="72">
        <v>36.1</v>
      </c>
      <c r="C274" s="71">
        <v>28915</v>
      </c>
      <c r="D274" s="72">
        <v>69.8</v>
      </c>
      <c r="E274" s="71">
        <v>32568</v>
      </c>
      <c r="F274" s="72">
        <v>123.1</v>
      </c>
      <c r="G274" s="71">
        <v>28915</v>
      </c>
      <c r="H274" s="72">
        <v>57.4</v>
      </c>
    </row>
    <row r="275" spans="1:8" x14ac:dyDescent="0.2">
      <c r="A275" s="71">
        <v>25294</v>
      </c>
      <c r="B275" s="72">
        <v>36.299999999999997</v>
      </c>
      <c r="C275" s="71">
        <v>28946</v>
      </c>
      <c r="D275" s="72">
        <v>70.3</v>
      </c>
      <c r="E275" s="71">
        <v>32599</v>
      </c>
      <c r="F275" s="72">
        <v>123.7</v>
      </c>
      <c r="G275" s="71">
        <v>28946</v>
      </c>
      <c r="H275" s="72">
        <v>59.5</v>
      </c>
    </row>
    <row r="276" spans="1:8" x14ac:dyDescent="0.2">
      <c r="A276" s="71">
        <v>25324</v>
      </c>
      <c r="B276" s="72">
        <v>36.4</v>
      </c>
      <c r="C276" s="71">
        <v>28976</v>
      </c>
      <c r="D276" s="72">
        <v>70.8</v>
      </c>
      <c r="E276" s="71">
        <v>32629</v>
      </c>
      <c r="F276" s="72">
        <v>124.6</v>
      </c>
      <c r="G276" s="71">
        <v>28976</v>
      </c>
      <c r="H276" s="72">
        <v>62</v>
      </c>
    </row>
    <row r="277" spans="1:8" x14ac:dyDescent="0.2">
      <c r="A277" s="71">
        <v>25355</v>
      </c>
      <c r="B277" s="72">
        <v>36.6</v>
      </c>
      <c r="C277" s="71">
        <v>29007</v>
      </c>
      <c r="D277" s="72">
        <v>71.3</v>
      </c>
      <c r="E277" s="71">
        <v>32660</v>
      </c>
      <c r="F277" s="72">
        <v>124.9</v>
      </c>
      <c r="G277" s="71">
        <v>29007</v>
      </c>
      <c r="H277" s="72">
        <v>64.7</v>
      </c>
    </row>
    <row r="278" spans="1:8" x14ac:dyDescent="0.2">
      <c r="A278" s="71">
        <v>25385</v>
      </c>
      <c r="B278" s="72">
        <v>36.799999999999997</v>
      </c>
      <c r="C278" s="71">
        <v>29037</v>
      </c>
      <c r="D278" s="72">
        <v>71.900000000000006</v>
      </c>
      <c r="E278" s="71">
        <v>32690</v>
      </c>
      <c r="F278" s="72">
        <v>125.4</v>
      </c>
      <c r="G278" s="71">
        <v>29037</v>
      </c>
      <c r="H278" s="72">
        <v>67.3</v>
      </c>
    </row>
    <row r="279" spans="1:8" x14ac:dyDescent="0.2">
      <c r="A279" s="71">
        <v>25416</v>
      </c>
      <c r="B279" s="72">
        <v>36.9</v>
      </c>
      <c r="C279" s="71">
        <v>29068</v>
      </c>
      <c r="D279" s="72">
        <v>72.7</v>
      </c>
      <c r="E279" s="71">
        <v>32721</v>
      </c>
      <c r="F279" s="72">
        <v>125.7</v>
      </c>
      <c r="G279" s="71">
        <v>29068</v>
      </c>
      <c r="H279" s="72">
        <v>69.7</v>
      </c>
    </row>
    <row r="280" spans="1:8" x14ac:dyDescent="0.2">
      <c r="A280" s="71">
        <v>25447</v>
      </c>
      <c r="B280" s="72">
        <v>37.1</v>
      </c>
      <c r="C280" s="71">
        <v>29099</v>
      </c>
      <c r="D280" s="72">
        <v>73.3</v>
      </c>
      <c r="E280" s="71">
        <v>32752</v>
      </c>
      <c r="F280" s="72">
        <v>126.1</v>
      </c>
      <c r="G280" s="71">
        <v>29099</v>
      </c>
      <c r="H280" s="72">
        <v>71.900000000000006</v>
      </c>
    </row>
    <row r="281" spans="1:8" x14ac:dyDescent="0.2">
      <c r="A281" s="71">
        <v>25477</v>
      </c>
      <c r="B281" s="72">
        <v>37.299999999999997</v>
      </c>
      <c r="C281" s="71">
        <v>29129</v>
      </c>
      <c r="D281" s="72">
        <v>74</v>
      </c>
      <c r="E281" s="71">
        <v>32782</v>
      </c>
      <c r="F281" s="72">
        <v>126.7</v>
      </c>
      <c r="G281" s="71">
        <v>29129</v>
      </c>
      <c r="H281" s="72">
        <v>73.5</v>
      </c>
    </row>
    <row r="282" spans="1:8" x14ac:dyDescent="0.2">
      <c r="A282" s="71">
        <v>25508</v>
      </c>
      <c r="B282" s="72">
        <v>37.5</v>
      </c>
      <c r="C282" s="71">
        <v>29160</v>
      </c>
      <c r="D282" s="72">
        <v>74.8</v>
      </c>
      <c r="E282" s="71">
        <v>32813</v>
      </c>
      <c r="F282" s="72">
        <v>127.2</v>
      </c>
      <c r="G282" s="71">
        <v>29160</v>
      </c>
      <c r="H282" s="72">
        <v>74.8</v>
      </c>
    </row>
    <row r="283" spans="1:8" x14ac:dyDescent="0.2">
      <c r="A283" s="71">
        <v>25538</v>
      </c>
      <c r="B283" s="72">
        <v>37.700000000000003</v>
      </c>
      <c r="C283" s="71">
        <v>29190</v>
      </c>
      <c r="D283" s="72">
        <v>75.7</v>
      </c>
      <c r="E283" s="71">
        <v>32843</v>
      </c>
      <c r="F283" s="72">
        <v>127.7</v>
      </c>
      <c r="G283" s="71">
        <v>29190</v>
      </c>
      <c r="H283" s="72">
        <v>76.8</v>
      </c>
    </row>
    <row r="284" spans="1:8" x14ac:dyDescent="0.2">
      <c r="A284" s="71">
        <v>25569</v>
      </c>
      <c r="B284" s="72">
        <v>37.9</v>
      </c>
      <c r="C284" s="71">
        <v>29221</v>
      </c>
      <c r="D284" s="72">
        <v>76.7</v>
      </c>
      <c r="E284" s="71">
        <v>32874</v>
      </c>
      <c r="F284" s="72">
        <v>129.4</v>
      </c>
      <c r="G284" s="71">
        <v>29221</v>
      </c>
      <c r="H284" s="72">
        <v>79.099999999999994</v>
      </c>
    </row>
    <row r="285" spans="1:8" x14ac:dyDescent="0.2">
      <c r="A285" s="71">
        <v>25600</v>
      </c>
      <c r="B285" s="72">
        <v>38.1</v>
      </c>
      <c r="C285" s="71">
        <v>29252</v>
      </c>
      <c r="D285" s="72">
        <v>77.5</v>
      </c>
      <c r="E285" s="71">
        <v>32905</v>
      </c>
      <c r="F285" s="72">
        <v>130.5</v>
      </c>
      <c r="G285" s="71">
        <v>29252</v>
      </c>
      <c r="H285" s="72">
        <v>81.900000000000006</v>
      </c>
    </row>
    <row r="286" spans="1:8" x14ac:dyDescent="0.2">
      <c r="A286" s="71">
        <v>25628</v>
      </c>
      <c r="B286" s="72">
        <v>38.299999999999997</v>
      </c>
      <c r="C286" s="71">
        <v>29281</v>
      </c>
      <c r="D286" s="72">
        <v>78.599999999999994</v>
      </c>
      <c r="E286" s="71">
        <v>32933</v>
      </c>
      <c r="F286" s="72">
        <v>130.69999999999999</v>
      </c>
      <c r="G286" s="71">
        <v>29281</v>
      </c>
      <c r="H286" s="72">
        <v>84.5</v>
      </c>
    </row>
    <row r="287" spans="1:8" x14ac:dyDescent="0.2">
      <c r="A287" s="71">
        <v>25659</v>
      </c>
      <c r="B287" s="72">
        <v>38.5</v>
      </c>
      <c r="C287" s="71">
        <v>29312</v>
      </c>
      <c r="D287" s="72">
        <v>79.5</v>
      </c>
      <c r="E287" s="71">
        <v>32964</v>
      </c>
      <c r="F287" s="72">
        <v>130.6</v>
      </c>
      <c r="G287" s="71">
        <v>29312</v>
      </c>
      <c r="H287" s="72">
        <v>85.4</v>
      </c>
    </row>
    <row r="288" spans="1:8" x14ac:dyDescent="0.2">
      <c r="A288" s="71">
        <v>25689</v>
      </c>
      <c r="B288" s="72">
        <v>38.6</v>
      </c>
      <c r="C288" s="71">
        <v>29342</v>
      </c>
      <c r="D288" s="72">
        <v>80.099999999999994</v>
      </c>
      <c r="E288" s="71">
        <v>32994</v>
      </c>
      <c r="F288" s="72">
        <v>130.9</v>
      </c>
      <c r="G288" s="71">
        <v>29342</v>
      </c>
      <c r="H288" s="72">
        <v>86.4</v>
      </c>
    </row>
    <row r="289" spans="1:8" x14ac:dyDescent="0.2">
      <c r="A289" s="71">
        <v>25720</v>
      </c>
      <c r="B289" s="72">
        <v>38.799999999999997</v>
      </c>
      <c r="C289" s="71">
        <v>29373</v>
      </c>
      <c r="D289" s="72">
        <v>81</v>
      </c>
      <c r="E289" s="71">
        <v>33025</v>
      </c>
      <c r="F289" s="72">
        <v>131.80000000000001</v>
      </c>
      <c r="G289" s="71">
        <v>29373</v>
      </c>
      <c r="H289" s="72">
        <v>86.5</v>
      </c>
    </row>
    <row r="290" spans="1:8" x14ac:dyDescent="0.2">
      <c r="A290" s="71">
        <v>25750</v>
      </c>
      <c r="B290" s="72">
        <v>38.9</v>
      </c>
      <c r="C290" s="71">
        <v>29403</v>
      </c>
      <c r="D290" s="72">
        <v>80.8</v>
      </c>
      <c r="E290" s="71">
        <v>33055</v>
      </c>
      <c r="F290" s="72">
        <v>132.5</v>
      </c>
      <c r="G290" s="71">
        <v>29403</v>
      </c>
      <c r="H290" s="72">
        <v>86.7</v>
      </c>
    </row>
    <row r="291" spans="1:8" x14ac:dyDescent="0.2">
      <c r="A291" s="71">
        <v>25781</v>
      </c>
      <c r="B291" s="72">
        <v>39</v>
      </c>
      <c r="C291" s="71">
        <v>29434</v>
      </c>
      <c r="D291" s="72">
        <v>81.3</v>
      </c>
      <c r="E291" s="71">
        <v>33086</v>
      </c>
      <c r="F291" s="72">
        <v>132.9</v>
      </c>
      <c r="G291" s="71">
        <v>29434</v>
      </c>
      <c r="H291" s="72">
        <v>87.2</v>
      </c>
    </row>
    <row r="292" spans="1:8" x14ac:dyDescent="0.2">
      <c r="A292" s="71">
        <v>25812</v>
      </c>
      <c r="B292" s="72">
        <v>39.200000000000003</v>
      </c>
      <c r="C292" s="71">
        <v>29465</v>
      </c>
      <c r="D292" s="72">
        <v>82.1</v>
      </c>
      <c r="E292" s="71">
        <v>33117</v>
      </c>
      <c r="F292" s="72">
        <v>133.30000000000001</v>
      </c>
      <c r="G292" s="71">
        <v>29465</v>
      </c>
      <c r="H292" s="72">
        <v>87.5</v>
      </c>
    </row>
    <row r="293" spans="1:8" x14ac:dyDescent="0.2">
      <c r="A293" s="71">
        <v>25842</v>
      </c>
      <c r="B293" s="72">
        <v>39.4</v>
      </c>
      <c r="C293" s="71">
        <v>29495</v>
      </c>
      <c r="D293" s="72">
        <v>83</v>
      </c>
      <c r="E293" s="71">
        <v>33147</v>
      </c>
      <c r="F293" s="72">
        <v>133.80000000000001</v>
      </c>
      <c r="G293" s="71">
        <v>29495</v>
      </c>
      <c r="H293" s="72">
        <v>88</v>
      </c>
    </row>
    <row r="294" spans="1:8" x14ac:dyDescent="0.2">
      <c r="A294" s="71">
        <v>25873</v>
      </c>
      <c r="B294" s="72">
        <v>39.6</v>
      </c>
      <c r="C294" s="71">
        <v>29526</v>
      </c>
      <c r="D294" s="72">
        <v>83.9</v>
      </c>
      <c r="E294" s="71">
        <v>33178</v>
      </c>
      <c r="F294" s="72">
        <v>134.19999999999999</v>
      </c>
      <c r="G294" s="71">
        <v>29526</v>
      </c>
      <c r="H294" s="72">
        <v>88.8</v>
      </c>
    </row>
    <row r="295" spans="1:8" x14ac:dyDescent="0.2">
      <c r="A295" s="71">
        <v>25903</v>
      </c>
      <c r="B295" s="72">
        <v>39.799999999999997</v>
      </c>
      <c r="C295" s="71">
        <v>29556</v>
      </c>
      <c r="D295" s="72">
        <v>84.9</v>
      </c>
      <c r="E295" s="71">
        <v>33208</v>
      </c>
      <c r="F295" s="72">
        <v>134.30000000000001</v>
      </c>
      <c r="G295" s="71">
        <v>29556</v>
      </c>
      <c r="H295" s="72">
        <v>90.7</v>
      </c>
    </row>
    <row r="296" spans="1:8" x14ac:dyDescent="0.2">
      <c r="A296" s="71">
        <v>25934</v>
      </c>
      <c r="B296" s="72">
        <v>39.9</v>
      </c>
      <c r="C296" s="71">
        <v>29587</v>
      </c>
      <c r="D296" s="72">
        <v>85.4</v>
      </c>
      <c r="E296" s="71">
        <v>33239</v>
      </c>
      <c r="F296" s="72">
        <v>135.19999999999999</v>
      </c>
      <c r="G296" s="71">
        <v>29587</v>
      </c>
      <c r="H296" s="72">
        <v>92.1</v>
      </c>
    </row>
    <row r="297" spans="1:8" x14ac:dyDescent="0.2">
      <c r="A297" s="71">
        <v>25965</v>
      </c>
      <c r="B297" s="72">
        <v>39.9</v>
      </c>
      <c r="C297" s="71">
        <v>29618</v>
      </c>
      <c r="D297" s="72">
        <v>85.9</v>
      </c>
      <c r="E297" s="71">
        <v>33270</v>
      </c>
      <c r="F297" s="72">
        <v>135.69999999999999</v>
      </c>
      <c r="G297" s="71">
        <v>29618</v>
      </c>
      <c r="H297" s="72">
        <v>95.2</v>
      </c>
    </row>
    <row r="298" spans="1:8" x14ac:dyDescent="0.2">
      <c r="A298" s="71">
        <v>25993</v>
      </c>
      <c r="B298" s="72">
        <v>40</v>
      </c>
      <c r="C298" s="71">
        <v>29646</v>
      </c>
      <c r="D298" s="72">
        <v>86.4</v>
      </c>
      <c r="E298" s="71">
        <v>33298</v>
      </c>
      <c r="F298" s="72">
        <v>135.9</v>
      </c>
      <c r="G298" s="71">
        <v>29646</v>
      </c>
      <c r="H298" s="72">
        <v>97.4</v>
      </c>
    </row>
    <row r="299" spans="1:8" x14ac:dyDescent="0.2">
      <c r="A299" s="71">
        <v>26024</v>
      </c>
      <c r="B299" s="72">
        <v>40.1</v>
      </c>
      <c r="C299" s="71">
        <v>29677</v>
      </c>
      <c r="D299" s="72">
        <v>87</v>
      </c>
      <c r="E299" s="71">
        <v>33329</v>
      </c>
      <c r="F299" s="72">
        <v>136.6</v>
      </c>
      <c r="G299" s="71">
        <v>29677</v>
      </c>
      <c r="H299" s="72">
        <v>97.6</v>
      </c>
    </row>
    <row r="300" spans="1:8" x14ac:dyDescent="0.2">
      <c r="A300" s="71">
        <v>26054</v>
      </c>
      <c r="B300" s="72">
        <v>40.299999999999997</v>
      </c>
      <c r="C300" s="71">
        <v>29707</v>
      </c>
      <c r="D300" s="72">
        <v>87.8</v>
      </c>
      <c r="E300" s="71">
        <v>33359</v>
      </c>
      <c r="F300" s="72">
        <v>137.1</v>
      </c>
      <c r="G300" s="71">
        <v>29707</v>
      </c>
      <c r="H300" s="72">
        <v>97.9</v>
      </c>
    </row>
    <row r="301" spans="1:8" x14ac:dyDescent="0.2">
      <c r="A301" s="71">
        <v>26085</v>
      </c>
      <c r="B301" s="72">
        <v>40.5</v>
      </c>
      <c r="C301" s="71">
        <v>29738</v>
      </c>
      <c r="D301" s="72">
        <v>88.6</v>
      </c>
      <c r="E301" s="71">
        <v>33390</v>
      </c>
      <c r="F301" s="72">
        <v>137.80000000000001</v>
      </c>
      <c r="G301" s="71">
        <v>29738</v>
      </c>
      <c r="H301" s="72">
        <v>97.3</v>
      </c>
    </row>
    <row r="302" spans="1:8" x14ac:dyDescent="0.2">
      <c r="A302" s="71">
        <v>26115</v>
      </c>
      <c r="B302" s="72">
        <v>40.6</v>
      </c>
      <c r="C302" s="71">
        <v>29768</v>
      </c>
      <c r="D302" s="72">
        <v>89.8</v>
      </c>
      <c r="E302" s="71">
        <v>33420</v>
      </c>
      <c r="F302" s="72">
        <v>137.19999999999999</v>
      </c>
      <c r="G302" s="71">
        <v>29768</v>
      </c>
      <c r="H302" s="72">
        <v>97.3</v>
      </c>
    </row>
    <row r="303" spans="1:8" x14ac:dyDescent="0.2">
      <c r="A303" s="71">
        <v>26146</v>
      </c>
      <c r="B303" s="72">
        <v>40.700000000000003</v>
      </c>
      <c r="C303" s="71">
        <v>29799</v>
      </c>
      <c r="D303" s="72">
        <v>90.7</v>
      </c>
      <c r="E303" s="71">
        <v>33451</v>
      </c>
      <c r="F303" s="72">
        <v>136.80000000000001</v>
      </c>
      <c r="G303" s="71">
        <v>29799</v>
      </c>
      <c r="H303" s="72">
        <v>97.8</v>
      </c>
    </row>
    <row r="304" spans="1:8" x14ac:dyDescent="0.2">
      <c r="A304" s="71">
        <v>26177</v>
      </c>
      <c r="B304" s="72">
        <v>40.799999999999997</v>
      </c>
      <c r="C304" s="71">
        <v>29830</v>
      </c>
      <c r="D304" s="72">
        <v>91.8</v>
      </c>
      <c r="E304" s="71">
        <v>33482</v>
      </c>
      <c r="F304" s="72">
        <v>137</v>
      </c>
      <c r="G304" s="71">
        <v>29830</v>
      </c>
      <c r="H304" s="72">
        <v>98.6</v>
      </c>
    </row>
    <row r="305" spans="1:8" x14ac:dyDescent="0.2">
      <c r="A305" s="71">
        <v>26207</v>
      </c>
      <c r="B305" s="72">
        <v>40.9</v>
      </c>
      <c r="C305" s="71">
        <v>29860</v>
      </c>
      <c r="D305" s="72">
        <v>92.1</v>
      </c>
      <c r="E305" s="71">
        <v>33512</v>
      </c>
      <c r="F305" s="72">
        <v>136.9</v>
      </c>
      <c r="G305" s="71">
        <v>29860</v>
      </c>
      <c r="H305" s="72">
        <v>99.2</v>
      </c>
    </row>
    <row r="306" spans="1:8" x14ac:dyDescent="0.2">
      <c r="A306" s="71">
        <v>26238</v>
      </c>
      <c r="B306" s="72">
        <v>41</v>
      </c>
      <c r="C306" s="71">
        <v>29891</v>
      </c>
      <c r="D306" s="72">
        <v>92.5</v>
      </c>
      <c r="E306" s="71">
        <v>33543</v>
      </c>
      <c r="F306" s="72">
        <v>137.4</v>
      </c>
      <c r="G306" s="71">
        <v>29891</v>
      </c>
      <c r="H306" s="72">
        <v>100.5</v>
      </c>
    </row>
    <row r="307" spans="1:8" x14ac:dyDescent="0.2">
      <c r="A307" s="71">
        <v>26268</v>
      </c>
      <c r="B307" s="72">
        <v>41.1</v>
      </c>
      <c r="C307" s="71">
        <v>29921</v>
      </c>
      <c r="D307" s="72">
        <v>93</v>
      </c>
      <c r="E307" s="71">
        <v>33573</v>
      </c>
      <c r="F307" s="72">
        <v>137.6</v>
      </c>
      <c r="G307" s="71">
        <v>29921</v>
      </c>
      <c r="H307" s="72">
        <v>101.5</v>
      </c>
    </row>
    <row r="308" spans="1:8" x14ac:dyDescent="0.2">
      <c r="A308" s="71">
        <v>26299</v>
      </c>
      <c r="B308" s="72">
        <v>41.2</v>
      </c>
      <c r="C308" s="71">
        <v>29952</v>
      </c>
      <c r="D308" s="72">
        <v>93.3</v>
      </c>
      <c r="E308" s="71">
        <v>33604</v>
      </c>
      <c r="F308" s="72">
        <v>137.30000000000001</v>
      </c>
      <c r="G308" s="71">
        <v>29952</v>
      </c>
      <c r="H308" s="72">
        <v>100.6</v>
      </c>
    </row>
    <row r="309" spans="1:8" x14ac:dyDescent="0.2">
      <c r="A309" s="71">
        <v>26330</v>
      </c>
      <c r="B309" s="72">
        <v>41.4</v>
      </c>
      <c r="C309" s="71">
        <v>29983</v>
      </c>
      <c r="D309" s="72">
        <v>93.8</v>
      </c>
      <c r="E309" s="71">
        <v>33635</v>
      </c>
      <c r="F309" s="72">
        <v>137.80000000000001</v>
      </c>
      <c r="G309" s="71">
        <v>29983</v>
      </c>
      <c r="H309" s="72">
        <v>98</v>
      </c>
    </row>
    <row r="310" spans="1:8" x14ac:dyDescent="0.2">
      <c r="A310" s="71">
        <v>26359</v>
      </c>
      <c r="B310" s="72">
        <v>41.4</v>
      </c>
      <c r="C310" s="71">
        <v>30011</v>
      </c>
      <c r="D310" s="72">
        <v>93.9</v>
      </c>
      <c r="E310" s="71">
        <v>33664</v>
      </c>
      <c r="F310" s="72">
        <v>138.30000000000001</v>
      </c>
      <c r="G310" s="71">
        <v>30011</v>
      </c>
      <c r="H310" s="72">
        <v>96.6</v>
      </c>
    </row>
    <row r="311" spans="1:8" x14ac:dyDescent="0.2">
      <c r="A311" s="71">
        <v>26390</v>
      </c>
      <c r="B311" s="72">
        <v>41.5</v>
      </c>
      <c r="C311" s="71">
        <v>30042</v>
      </c>
      <c r="D311" s="72">
        <v>94.7</v>
      </c>
      <c r="E311" s="71">
        <v>33695</v>
      </c>
      <c r="F311" s="72">
        <v>138.19999999999999</v>
      </c>
      <c r="G311" s="71">
        <v>30042</v>
      </c>
      <c r="H311" s="72">
        <v>94.2</v>
      </c>
    </row>
    <row r="312" spans="1:8" x14ac:dyDescent="0.2">
      <c r="A312" s="71">
        <v>26420</v>
      </c>
      <c r="B312" s="72">
        <v>41.6</v>
      </c>
      <c r="C312" s="71">
        <v>30072</v>
      </c>
      <c r="D312" s="72">
        <v>95.4</v>
      </c>
      <c r="E312" s="71">
        <v>33725</v>
      </c>
      <c r="F312" s="72">
        <v>138.1</v>
      </c>
      <c r="G312" s="71">
        <v>30072</v>
      </c>
      <c r="H312" s="72">
        <v>95.7</v>
      </c>
    </row>
    <row r="313" spans="1:8" x14ac:dyDescent="0.2">
      <c r="A313" s="71">
        <v>26451</v>
      </c>
      <c r="B313" s="72">
        <v>41.7</v>
      </c>
      <c r="C313" s="71">
        <v>30103</v>
      </c>
      <c r="D313" s="72">
        <v>96.1</v>
      </c>
      <c r="E313" s="71">
        <v>33756</v>
      </c>
      <c r="F313" s="72">
        <v>138.4</v>
      </c>
      <c r="G313" s="71">
        <v>30103</v>
      </c>
      <c r="H313" s="72">
        <v>98.4</v>
      </c>
    </row>
    <row r="314" spans="1:8" x14ac:dyDescent="0.2">
      <c r="A314" s="71">
        <v>26481</v>
      </c>
      <c r="B314" s="72">
        <v>41.8</v>
      </c>
      <c r="C314" s="71">
        <v>30133</v>
      </c>
      <c r="D314" s="72">
        <v>96.7</v>
      </c>
      <c r="E314" s="71">
        <v>33786</v>
      </c>
      <c r="F314" s="72">
        <v>138.30000000000001</v>
      </c>
      <c r="G314" s="71">
        <v>30133</v>
      </c>
      <c r="H314" s="72">
        <v>99.3</v>
      </c>
    </row>
    <row r="315" spans="1:8" x14ac:dyDescent="0.2">
      <c r="A315" s="71">
        <v>26512</v>
      </c>
      <c r="B315" s="72">
        <v>41.9</v>
      </c>
      <c r="C315" s="71">
        <v>30164</v>
      </c>
      <c r="D315" s="72">
        <v>97.1</v>
      </c>
      <c r="E315" s="71">
        <v>33817</v>
      </c>
      <c r="F315" s="72">
        <v>139.1</v>
      </c>
      <c r="G315" s="71">
        <v>30164</v>
      </c>
      <c r="H315" s="72">
        <v>99.8</v>
      </c>
    </row>
    <row r="316" spans="1:8" x14ac:dyDescent="0.2">
      <c r="A316" s="71">
        <v>26543</v>
      </c>
      <c r="B316" s="72">
        <v>42.1</v>
      </c>
      <c r="C316" s="71">
        <v>30195</v>
      </c>
      <c r="D316" s="72">
        <v>97.2</v>
      </c>
      <c r="E316" s="71">
        <v>33848</v>
      </c>
      <c r="F316" s="72">
        <v>139.69999999999999</v>
      </c>
      <c r="G316" s="71">
        <v>30195</v>
      </c>
      <c r="H316" s="72">
        <v>100.3</v>
      </c>
    </row>
    <row r="317" spans="1:8" x14ac:dyDescent="0.2">
      <c r="A317" s="71">
        <v>26573</v>
      </c>
      <c r="B317" s="72">
        <v>42.2</v>
      </c>
      <c r="C317" s="71">
        <v>30225</v>
      </c>
      <c r="D317" s="72">
        <v>97.5</v>
      </c>
      <c r="E317" s="71">
        <v>33878</v>
      </c>
      <c r="F317" s="72">
        <v>139.69999999999999</v>
      </c>
      <c r="G317" s="71">
        <v>30225</v>
      </c>
      <c r="H317" s="72">
        <v>101.7</v>
      </c>
    </row>
    <row r="318" spans="1:8" x14ac:dyDescent="0.2">
      <c r="A318" s="71">
        <v>26604</v>
      </c>
      <c r="B318" s="72">
        <v>42.4</v>
      </c>
      <c r="C318" s="71">
        <v>30256</v>
      </c>
      <c r="D318" s="72">
        <v>97.3</v>
      </c>
      <c r="E318" s="71">
        <v>33909</v>
      </c>
      <c r="F318" s="72">
        <v>139.6</v>
      </c>
      <c r="G318" s="71">
        <v>30256</v>
      </c>
      <c r="H318" s="72">
        <v>102.5</v>
      </c>
    </row>
    <row r="319" spans="1:8" x14ac:dyDescent="0.2">
      <c r="A319" s="71">
        <v>26634</v>
      </c>
      <c r="B319" s="72">
        <v>42.5</v>
      </c>
      <c r="C319" s="71">
        <v>30286</v>
      </c>
      <c r="D319" s="72">
        <v>97.2</v>
      </c>
      <c r="E319" s="71">
        <v>33939</v>
      </c>
      <c r="F319" s="72">
        <v>139.6</v>
      </c>
      <c r="G319" s="71">
        <v>30286</v>
      </c>
      <c r="H319" s="72">
        <v>102.8</v>
      </c>
    </row>
    <row r="320" spans="1:8" x14ac:dyDescent="0.2">
      <c r="A320" s="71">
        <v>26665</v>
      </c>
      <c r="B320" s="72">
        <v>42.7</v>
      </c>
      <c r="C320" s="71">
        <v>30317</v>
      </c>
      <c r="D320" s="72">
        <v>97.6</v>
      </c>
      <c r="E320" s="71">
        <v>33970</v>
      </c>
      <c r="F320" s="72">
        <v>140</v>
      </c>
      <c r="G320" s="71">
        <v>30317</v>
      </c>
      <c r="H320" s="72">
        <v>99.6</v>
      </c>
    </row>
    <row r="321" spans="1:8" x14ac:dyDescent="0.2">
      <c r="A321" s="71">
        <v>26696</v>
      </c>
      <c r="B321" s="72">
        <v>43</v>
      </c>
      <c r="C321" s="71">
        <v>30348</v>
      </c>
      <c r="D321" s="72">
        <v>98</v>
      </c>
      <c r="E321" s="71">
        <v>34001</v>
      </c>
      <c r="F321" s="72">
        <v>140.4</v>
      </c>
      <c r="G321" s="71">
        <v>30348</v>
      </c>
      <c r="H321" s="72">
        <v>97.7</v>
      </c>
    </row>
    <row r="322" spans="1:8" x14ac:dyDescent="0.2">
      <c r="A322" s="71">
        <v>26724</v>
      </c>
      <c r="B322" s="72">
        <v>43.4</v>
      </c>
      <c r="C322" s="71">
        <v>30376</v>
      </c>
      <c r="D322" s="72">
        <v>98.2</v>
      </c>
      <c r="E322" s="71">
        <v>34029</v>
      </c>
      <c r="F322" s="72">
        <v>140.4</v>
      </c>
      <c r="G322" s="71">
        <v>30376</v>
      </c>
      <c r="H322" s="72">
        <v>96.8</v>
      </c>
    </row>
    <row r="323" spans="1:8" x14ac:dyDescent="0.2">
      <c r="A323" s="71">
        <v>26755</v>
      </c>
      <c r="B323" s="72">
        <v>43.7</v>
      </c>
      <c r="C323" s="71">
        <v>30407</v>
      </c>
      <c r="D323" s="72">
        <v>98.6</v>
      </c>
      <c r="E323" s="71">
        <v>34060</v>
      </c>
      <c r="F323" s="72">
        <v>140.80000000000001</v>
      </c>
      <c r="G323" s="71">
        <v>30407</v>
      </c>
      <c r="H323" s="72">
        <v>98.9</v>
      </c>
    </row>
    <row r="324" spans="1:8" x14ac:dyDescent="0.2">
      <c r="A324" s="71">
        <v>26785</v>
      </c>
      <c r="B324" s="72">
        <v>43.9</v>
      </c>
      <c r="C324" s="71">
        <v>30437</v>
      </c>
      <c r="D324" s="72">
        <v>98.9</v>
      </c>
      <c r="E324" s="71">
        <v>34090</v>
      </c>
      <c r="F324" s="72">
        <v>141.69999999999999</v>
      </c>
      <c r="G324" s="71">
        <v>30437</v>
      </c>
      <c r="H324" s="72">
        <v>100.4</v>
      </c>
    </row>
    <row r="325" spans="1:8" x14ac:dyDescent="0.2">
      <c r="A325" s="71">
        <v>26816</v>
      </c>
      <c r="B325" s="72">
        <v>44.2</v>
      </c>
      <c r="C325" s="71">
        <v>30468</v>
      </c>
      <c r="D325" s="72">
        <v>99.2</v>
      </c>
      <c r="E325" s="71">
        <v>34121</v>
      </c>
      <c r="F325" s="72">
        <v>141.4</v>
      </c>
      <c r="G325" s="71">
        <v>30468</v>
      </c>
      <c r="H325" s="72">
        <v>100.6</v>
      </c>
    </row>
    <row r="326" spans="1:8" x14ac:dyDescent="0.2">
      <c r="A326" s="71">
        <v>26846</v>
      </c>
      <c r="B326" s="72">
        <v>44.2</v>
      </c>
      <c r="C326" s="71">
        <v>30498</v>
      </c>
      <c r="D326" s="72">
        <v>99.8</v>
      </c>
      <c r="E326" s="71">
        <v>34151</v>
      </c>
      <c r="F326" s="72">
        <v>141.4</v>
      </c>
      <c r="G326" s="71">
        <v>30498</v>
      </c>
      <c r="H326" s="72">
        <v>100.9</v>
      </c>
    </row>
    <row r="327" spans="1:8" x14ac:dyDescent="0.2">
      <c r="A327" s="71">
        <v>26877</v>
      </c>
      <c r="B327" s="72">
        <v>45</v>
      </c>
      <c r="C327" s="71">
        <v>30529</v>
      </c>
      <c r="D327" s="72">
        <v>100.1</v>
      </c>
      <c r="E327" s="71">
        <v>34182</v>
      </c>
      <c r="F327" s="72">
        <v>141.9</v>
      </c>
      <c r="G327" s="71">
        <v>30529</v>
      </c>
      <c r="H327" s="72">
        <v>101.2</v>
      </c>
    </row>
    <row r="328" spans="1:8" x14ac:dyDescent="0.2">
      <c r="A328" s="71">
        <v>26908</v>
      </c>
      <c r="B328" s="72">
        <v>45.2</v>
      </c>
      <c r="C328" s="71">
        <v>30560</v>
      </c>
      <c r="D328" s="72">
        <v>100.5</v>
      </c>
      <c r="E328" s="71">
        <v>34213</v>
      </c>
      <c r="F328" s="72">
        <v>142.1</v>
      </c>
      <c r="G328" s="71">
        <v>30560</v>
      </c>
      <c r="H328" s="72">
        <v>101</v>
      </c>
    </row>
    <row r="329" spans="1:8" x14ac:dyDescent="0.2">
      <c r="A329" s="71">
        <v>26938</v>
      </c>
      <c r="B329" s="72">
        <v>45.6</v>
      </c>
      <c r="C329" s="71">
        <v>30590</v>
      </c>
      <c r="D329" s="72">
        <v>101</v>
      </c>
      <c r="E329" s="71">
        <v>34243</v>
      </c>
      <c r="F329" s="72">
        <v>142.69999999999999</v>
      </c>
      <c r="G329" s="71">
        <v>30590</v>
      </c>
      <c r="H329" s="72">
        <v>100.8</v>
      </c>
    </row>
    <row r="330" spans="1:8" x14ac:dyDescent="0.2">
      <c r="A330" s="71">
        <v>26969</v>
      </c>
      <c r="B330" s="72">
        <v>45.9</v>
      </c>
      <c r="C330" s="71">
        <v>30621</v>
      </c>
      <c r="D330" s="72">
        <v>101.5</v>
      </c>
      <c r="E330" s="71">
        <v>34274</v>
      </c>
      <c r="F330" s="72">
        <v>143</v>
      </c>
      <c r="G330" s="71">
        <v>30621</v>
      </c>
      <c r="H330" s="72">
        <v>100.5</v>
      </c>
    </row>
    <row r="331" spans="1:8" x14ac:dyDescent="0.2">
      <c r="A331" s="71">
        <v>26999</v>
      </c>
      <c r="B331" s="72">
        <v>46.3</v>
      </c>
      <c r="C331" s="71">
        <v>30651</v>
      </c>
      <c r="D331" s="72">
        <v>101.8</v>
      </c>
      <c r="E331" s="71">
        <v>34304</v>
      </c>
      <c r="F331" s="72">
        <v>143.5</v>
      </c>
      <c r="G331" s="71">
        <v>30651</v>
      </c>
      <c r="H331" s="72">
        <v>100</v>
      </c>
    </row>
    <row r="332" spans="1:8" x14ac:dyDescent="0.2">
      <c r="A332" s="71">
        <v>27030</v>
      </c>
      <c r="B332" s="72">
        <v>46.8</v>
      </c>
      <c r="C332" s="71">
        <v>30682</v>
      </c>
      <c r="D332" s="72">
        <v>102.5</v>
      </c>
      <c r="E332" s="71">
        <v>34335</v>
      </c>
      <c r="F332" s="72">
        <v>143.6</v>
      </c>
      <c r="G332" s="71">
        <v>30682</v>
      </c>
      <c r="H332" s="72">
        <v>100.2</v>
      </c>
    </row>
    <row r="333" spans="1:8" x14ac:dyDescent="0.2">
      <c r="A333" s="71">
        <v>27061</v>
      </c>
      <c r="B333" s="72">
        <v>47.3</v>
      </c>
      <c r="C333" s="71">
        <v>30713</v>
      </c>
      <c r="D333" s="72">
        <v>102.8</v>
      </c>
      <c r="E333" s="71">
        <v>34366</v>
      </c>
      <c r="F333" s="72">
        <v>143.4</v>
      </c>
      <c r="G333" s="71">
        <v>30713</v>
      </c>
      <c r="H333" s="72">
        <v>101.4</v>
      </c>
    </row>
    <row r="334" spans="1:8" x14ac:dyDescent="0.2">
      <c r="A334" s="71">
        <v>27089</v>
      </c>
      <c r="B334" s="72">
        <v>47.8</v>
      </c>
      <c r="C334" s="71">
        <v>30742</v>
      </c>
      <c r="D334" s="72">
        <v>103.2</v>
      </c>
      <c r="E334" s="71">
        <v>34394</v>
      </c>
      <c r="F334" s="72">
        <v>143.4</v>
      </c>
      <c r="G334" s="71">
        <v>30742</v>
      </c>
      <c r="H334" s="72">
        <v>101.4</v>
      </c>
    </row>
    <row r="335" spans="1:8" x14ac:dyDescent="0.2">
      <c r="A335" s="71">
        <v>27120</v>
      </c>
      <c r="B335" s="72">
        <v>48.1</v>
      </c>
      <c r="C335" s="71">
        <v>30773</v>
      </c>
      <c r="D335" s="72">
        <v>103.7</v>
      </c>
      <c r="E335" s="71">
        <v>34425</v>
      </c>
      <c r="F335" s="72">
        <v>143.69999999999999</v>
      </c>
      <c r="G335" s="71">
        <v>30773</v>
      </c>
      <c r="H335" s="72">
        <v>101.7</v>
      </c>
    </row>
    <row r="336" spans="1:8" x14ac:dyDescent="0.2">
      <c r="A336" s="71">
        <v>27150</v>
      </c>
      <c r="B336" s="72">
        <v>48.6</v>
      </c>
      <c r="C336" s="71">
        <v>30803</v>
      </c>
      <c r="D336" s="72">
        <v>104.1</v>
      </c>
      <c r="E336" s="71">
        <v>34455</v>
      </c>
      <c r="F336" s="72">
        <v>144</v>
      </c>
      <c r="G336" s="71">
        <v>30803</v>
      </c>
      <c r="H336" s="72">
        <v>101.6</v>
      </c>
    </row>
    <row r="337" spans="1:8" x14ac:dyDescent="0.2">
      <c r="A337" s="71">
        <v>27181</v>
      </c>
      <c r="B337" s="72">
        <v>49</v>
      </c>
      <c r="C337" s="71">
        <v>30834</v>
      </c>
      <c r="D337" s="72">
        <v>104.5</v>
      </c>
      <c r="E337" s="71">
        <v>34486</v>
      </c>
      <c r="F337" s="72">
        <v>144.4</v>
      </c>
      <c r="G337" s="71">
        <v>30834</v>
      </c>
      <c r="H337" s="72">
        <v>100.8</v>
      </c>
    </row>
    <row r="338" spans="1:8" x14ac:dyDescent="0.2">
      <c r="A338" s="71">
        <v>27211</v>
      </c>
      <c r="B338" s="72">
        <v>49.3</v>
      </c>
      <c r="C338" s="71">
        <v>30864</v>
      </c>
      <c r="D338" s="72">
        <v>105</v>
      </c>
      <c r="E338" s="71">
        <v>34516</v>
      </c>
      <c r="F338" s="72">
        <v>145.19999999999999</v>
      </c>
      <c r="G338" s="71">
        <v>30864</v>
      </c>
      <c r="H338" s="72">
        <v>100.5</v>
      </c>
    </row>
    <row r="339" spans="1:8" x14ac:dyDescent="0.2">
      <c r="A339" s="71">
        <v>27242</v>
      </c>
      <c r="B339" s="72">
        <v>49.9</v>
      </c>
      <c r="C339" s="71">
        <v>30895</v>
      </c>
      <c r="D339" s="72">
        <v>105.4</v>
      </c>
      <c r="E339" s="71">
        <v>34547</v>
      </c>
      <c r="F339" s="72">
        <v>145.6</v>
      </c>
      <c r="G339" s="71">
        <v>30895</v>
      </c>
      <c r="H339" s="72">
        <v>100.1</v>
      </c>
    </row>
    <row r="340" spans="1:8" x14ac:dyDescent="0.2">
      <c r="A340" s="71">
        <v>27273</v>
      </c>
      <c r="B340" s="72">
        <v>50.6</v>
      </c>
      <c r="C340" s="71">
        <v>30926</v>
      </c>
      <c r="D340" s="72">
        <v>105.8</v>
      </c>
      <c r="E340" s="71">
        <v>34578</v>
      </c>
      <c r="F340" s="72">
        <v>145.80000000000001</v>
      </c>
      <c r="G340" s="71">
        <v>30926</v>
      </c>
      <c r="H340" s="72">
        <v>100.6</v>
      </c>
    </row>
    <row r="341" spans="1:8" x14ac:dyDescent="0.2">
      <c r="A341" s="71">
        <v>27303</v>
      </c>
      <c r="B341" s="72">
        <v>51</v>
      </c>
      <c r="C341" s="71">
        <v>30956</v>
      </c>
      <c r="D341" s="72">
        <v>106.2</v>
      </c>
      <c r="E341" s="71">
        <v>34608</v>
      </c>
      <c r="F341" s="72">
        <v>145.80000000000001</v>
      </c>
      <c r="G341" s="71">
        <v>30956</v>
      </c>
      <c r="H341" s="72">
        <v>101.1</v>
      </c>
    </row>
    <row r="342" spans="1:8" x14ac:dyDescent="0.2">
      <c r="A342" s="71">
        <v>27334</v>
      </c>
      <c r="B342" s="72">
        <v>51.5</v>
      </c>
      <c r="C342" s="71">
        <v>30987</v>
      </c>
      <c r="D342" s="72">
        <v>106.4</v>
      </c>
      <c r="E342" s="71">
        <v>34639</v>
      </c>
      <c r="F342" s="72">
        <v>146.19999999999999</v>
      </c>
      <c r="G342" s="71">
        <v>30987</v>
      </c>
      <c r="H342" s="72">
        <v>100.8</v>
      </c>
    </row>
    <row r="343" spans="1:8" x14ac:dyDescent="0.2">
      <c r="A343" s="71">
        <v>27364</v>
      </c>
      <c r="B343" s="72">
        <v>51.9</v>
      </c>
      <c r="C343" s="71">
        <v>31017</v>
      </c>
      <c r="D343" s="72">
        <v>106.8</v>
      </c>
      <c r="E343" s="71">
        <v>34669</v>
      </c>
      <c r="F343" s="72">
        <v>147.19999999999999</v>
      </c>
      <c r="G343" s="71">
        <v>31017</v>
      </c>
      <c r="H343" s="72">
        <v>100.1</v>
      </c>
    </row>
    <row r="344" spans="1:8" x14ac:dyDescent="0.2">
      <c r="A344" s="71">
        <v>27395</v>
      </c>
      <c r="B344" s="72">
        <v>52.3</v>
      </c>
      <c r="C344" s="71">
        <v>31048</v>
      </c>
      <c r="D344" s="72">
        <v>107.1</v>
      </c>
      <c r="E344" s="71">
        <v>34700</v>
      </c>
      <c r="F344" s="72">
        <v>147.19999999999999</v>
      </c>
      <c r="G344" s="71">
        <v>31048</v>
      </c>
      <c r="H344" s="72">
        <v>100.3</v>
      </c>
    </row>
    <row r="345" spans="1:8" x14ac:dyDescent="0.2">
      <c r="A345" s="71">
        <v>27426</v>
      </c>
      <c r="B345" s="72">
        <v>52.6</v>
      </c>
      <c r="C345" s="71">
        <v>31079</v>
      </c>
      <c r="D345" s="72">
        <v>107.7</v>
      </c>
      <c r="E345" s="71">
        <v>34731</v>
      </c>
      <c r="F345" s="72">
        <v>147.69999999999999</v>
      </c>
      <c r="G345" s="71">
        <v>31079</v>
      </c>
      <c r="H345" s="72">
        <v>100.3</v>
      </c>
    </row>
    <row r="346" spans="1:8" x14ac:dyDescent="0.2">
      <c r="A346" s="71">
        <v>27454</v>
      </c>
      <c r="B346" s="72">
        <v>52.8</v>
      </c>
      <c r="C346" s="71">
        <v>31107</v>
      </c>
      <c r="D346" s="72">
        <v>108.1</v>
      </c>
      <c r="E346" s="71">
        <v>34759</v>
      </c>
      <c r="F346" s="72">
        <v>147.5</v>
      </c>
      <c r="G346" s="71">
        <v>31107</v>
      </c>
      <c r="H346" s="72">
        <v>101.3</v>
      </c>
    </row>
    <row r="347" spans="1:8" x14ac:dyDescent="0.2">
      <c r="A347" s="71">
        <v>27485</v>
      </c>
      <c r="B347" s="72">
        <v>53</v>
      </c>
      <c r="C347" s="71">
        <v>31138</v>
      </c>
      <c r="D347" s="72">
        <v>108.4</v>
      </c>
      <c r="E347" s="71">
        <v>34790</v>
      </c>
      <c r="F347" s="72">
        <v>148.5</v>
      </c>
      <c r="G347" s="71">
        <v>31138</v>
      </c>
      <c r="H347" s="72">
        <v>102.3</v>
      </c>
    </row>
    <row r="348" spans="1:8" x14ac:dyDescent="0.2">
      <c r="A348" s="71">
        <v>27515</v>
      </c>
      <c r="B348" s="72">
        <v>53.1</v>
      </c>
      <c r="C348" s="71">
        <v>31168</v>
      </c>
      <c r="D348" s="72">
        <v>108.8</v>
      </c>
      <c r="E348" s="71">
        <v>34820</v>
      </c>
      <c r="F348" s="72">
        <v>148.69999999999999</v>
      </c>
      <c r="G348" s="71">
        <v>31168</v>
      </c>
      <c r="H348" s="72">
        <v>102.2</v>
      </c>
    </row>
    <row r="349" spans="1:8" x14ac:dyDescent="0.2">
      <c r="A349" s="71">
        <v>27546</v>
      </c>
      <c r="B349" s="72">
        <v>53.5</v>
      </c>
      <c r="C349" s="71">
        <v>31199</v>
      </c>
      <c r="D349" s="72">
        <v>109.1</v>
      </c>
      <c r="E349" s="71">
        <v>34851</v>
      </c>
      <c r="F349" s="72">
        <v>148.80000000000001</v>
      </c>
      <c r="G349" s="71">
        <v>31199</v>
      </c>
      <c r="H349" s="72">
        <v>102.2</v>
      </c>
    </row>
    <row r="350" spans="1:8" x14ac:dyDescent="0.2">
      <c r="A350" s="71">
        <v>27576</v>
      </c>
      <c r="B350" s="72">
        <v>54</v>
      </c>
      <c r="C350" s="71">
        <v>31229</v>
      </c>
      <c r="D350" s="72">
        <v>109.4</v>
      </c>
      <c r="E350" s="71">
        <v>34881</v>
      </c>
      <c r="F350" s="72">
        <v>149</v>
      </c>
      <c r="G350" s="71">
        <v>31229</v>
      </c>
      <c r="H350" s="72">
        <v>102.2</v>
      </c>
    </row>
    <row r="351" spans="1:8" x14ac:dyDescent="0.2">
      <c r="A351" s="71">
        <v>27607</v>
      </c>
      <c r="B351" s="72">
        <v>54.2</v>
      </c>
      <c r="C351" s="71">
        <v>31260</v>
      </c>
      <c r="D351" s="72">
        <v>109.8</v>
      </c>
      <c r="E351" s="71">
        <v>34912</v>
      </c>
      <c r="F351" s="72">
        <v>149.1</v>
      </c>
      <c r="G351" s="71">
        <v>31260</v>
      </c>
      <c r="H351" s="72">
        <v>101.2</v>
      </c>
    </row>
    <row r="352" spans="1:8" x14ac:dyDescent="0.2">
      <c r="A352" s="71">
        <v>27638</v>
      </c>
      <c r="B352" s="72">
        <v>54.6</v>
      </c>
      <c r="C352" s="71">
        <v>31291</v>
      </c>
      <c r="D352" s="72">
        <v>110</v>
      </c>
      <c r="E352" s="71">
        <v>34943</v>
      </c>
      <c r="F352" s="72">
        <v>149.6</v>
      </c>
      <c r="G352" s="71">
        <v>31291</v>
      </c>
      <c r="H352" s="72">
        <v>101.2</v>
      </c>
    </row>
    <row r="353" spans="1:8" x14ac:dyDescent="0.2">
      <c r="A353" s="71">
        <v>27668</v>
      </c>
      <c r="B353" s="72">
        <v>54.9</v>
      </c>
      <c r="C353" s="71">
        <v>31321</v>
      </c>
      <c r="D353" s="72">
        <v>110.5</v>
      </c>
      <c r="E353" s="71">
        <v>34973</v>
      </c>
      <c r="F353" s="72">
        <v>150</v>
      </c>
      <c r="G353" s="71">
        <v>31321</v>
      </c>
      <c r="H353" s="72">
        <v>101.2</v>
      </c>
    </row>
    <row r="354" spans="1:8" x14ac:dyDescent="0.2">
      <c r="A354" s="71">
        <v>27699</v>
      </c>
      <c r="B354" s="72">
        <v>55.3</v>
      </c>
      <c r="C354" s="71">
        <v>31352</v>
      </c>
      <c r="D354" s="72">
        <v>111.1</v>
      </c>
      <c r="E354" s="71">
        <v>35004</v>
      </c>
      <c r="F354" s="72">
        <v>150</v>
      </c>
      <c r="G354" s="71">
        <v>31352</v>
      </c>
      <c r="H354" s="72">
        <v>101.8</v>
      </c>
    </row>
    <row r="355" spans="1:8" x14ac:dyDescent="0.2">
      <c r="A355" s="71">
        <v>27729</v>
      </c>
      <c r="B355" s="72">
        <v>55.6</v>
      </c>
      <c r="C355" s="71">
        <v>31382</v>
      </c>
      <c r="D355" s="72">
        <v>111.4</v>
      </c>
      <c r="E355" s="71">
        <v>35034</v>
      </c>
      <c r="F355" s="72">
        <v>150.30000000000001</v>
      </c>
      <c r="G355" s="71">
        <v>31382</v>
      </c>
      <c r="H355" s="72">
        <v>102.4</v>
      </c>
    </row>
    <row r="356" spans="1:8" x14ac:dyDescent="0.2">
      <c r="A356" s="71">
        <v>27760</v>
      </c>
      <c r="B356" s="72">
        <v>55.8</v>
      </c>
      <c r="C356" s="71">
        <v>31413</v>
      </c>
      <c r="D356" s="72">
        <v>111.9</v>
      </c>
      <c r="E356" s="71">
        <v>35065</v>
      </c>
      <c r="F356" s="72">
        <v>150.80000000000001</v>
      </c>
      <c r="G356" s="71">
        <v>31413</v>
      </c>
      <c r="H356" s="72">
        <v>102.6</v>
      </c>
    </row>
    <row r="357" spans="1:8" x14ac:dyDescent="0.2">
      <c r="A357" s="71">
        <v>27791</v>
      </c>
      <c r="B357" s="72">
        <v>55.9</v>
      </c>
      <c r="C357" s="71">
        <v>31444</v>
      </c>
      <c r="D357" s="72">
        <v>112.2</v>
      </c>
      <c r="E357" s="71">
        <v>35096</v>
      </c>
      <c r="F357" s="72">
        <v>151.19999999999999</v>
      </c>
      <c r="G357" s="71">
        <v>31444</v>
      </c>
      <c r="H357" s="72">
        <v>99.5</v>
      </c>
    </row>
    <row r="358" spans="1:8" x14ac:dyDescent="0.2">
      <c r="A358" s="71">
        <v>27820</v>
      </c>
      <c r="B358" s="72">
        <v>56</v>
      </c>
      <c r="C358" s="71">
        <v>31472</v>
      </c>
      <c r="D358" s="72">
        <v>112.5</v>
      </c>
      <c r="E358" s="71">
        <v>35125</v>
      </c>
      <c r="F358" s="72">
        <v>151.9</v>
      </c>
      <c r="G358" s="71">
        <v>31472</v>
      </c>
      <c r="H358" s="72">
        <v>92.6</v>
      </c>
    </row>
    <row r="359" spans="1:8" x14ac:dyDescent="0.2">
      <c r="A359" s="71">
        <v>27851</v>
      </c>
      <c r="B359" s="72">
        <v>56.1</v>
      </c>
      <c r="C359" s="71">
        <v>31503</v>
      </c>
      <c r="D359" s="72">
        <v>112.9</v>
      </c>
      <c r="E359" s="71">
        <v>35156</v>
      </c>
      <c r="F359" s="72">
        <v>152.5</v>
      </c>
      <c r="G359" s="71">
        <v>31503</v>
      </c>
      <c r="H359" s="72">
        <v>87.2</v>
      </c>
    </row>
    <row r="360" spans="1:8" x14ac:dyDescent="0.2">
      <c r="A360" s="71">
        <v>27881</v>
      </c>
      <c r="B360" s="72">
        <v>56.4</v>
      </c>
      <c r="C360" s="71">
        <v>31533</v>
      </c>
      <c r="D360" s="72">
        <v>113.1</v>
      </c>
      <c r="E360" s="71">
        <v>35186</v>
      </c>
      <c r="F360" s="72">
        <v>152.4</v>
      </c>
      <c r="G360" s="71">
        <v>31533</v>
      </c>
      <c r="H360" s="72">
        <v>87.2</v>
      </c>
    </row>
    <row r="361" spans="1:8" x14ac:dyDescent="0.2">
      <c r="A361" s="71">
        <v>27912</v>
      </c>
      <c r="B361" s="72">
        <v>56.7</v>
      </c>
      <c r="C361" s="71">
        <v>31564</v>
      </c>
      <c r="D361" s="72">
        <v>113.4</v>
      </c>
      <c r="E361" s="71">
        <v>35217</v>
      </c>
      <c r="F361" s="72">
        <v>153.30000000000001</v>
      </c>
      <c r="G361" s="71">
        <v>31564</v>
      </c>
      <c r="H361" s="72">
        <v>88.8</v>
      </c>
    </row>
    <row r="362" spans="1:8" x14ac:dyDescent="0.2">
      <c r="A362" s="71">
        <v>27942</v>
      </c>
      <c r="B362" s="72">
        <v>57</v>
      </c>
      <c r="C362" s="71">
        <v>31594</v>
      </c>
      <c r="D362" s="72">
        <v>113.8</v>
      </c>
      <c r="E362" s="71">
        <v>35247</v>
      </c>
      <c r="F362" s="72">
        <v>153.80000000000001</v>
      </c>
      <c r="G362" s="71">
        <v>31594</v>
      </c>
      <c r="H362" s="72">
        <v>85.6</v>
      </c>
    </row>
    <row r="363" spans="1:8" x14ac:dyDescent="0.2">
      <c r="A363" s="71">
        <v>27973</v>
      </c>
      <c r="B363" s="72">
        <v>57.3</v>
      </c>
      <c r="C363" s="71">
        <v>31625</v>
      </c>
      <c r="D363" s="72">
        <v>114.2</v>
      </c>
      <c r="E363" s="71">
        <v>35278</v>
      </c>
      <c r="F363" s="72">
        <v>154.30000000000001</v>
      </c>
      <c r="G363" s="71">
        <v>31625</v>
      </c>
      <c r="H363" s="72">
        <v>83.6</v>
      </c>
    </row>
    <row r="364" spans="1:8" x14ac:dyDescent="0.2">
      <c r="A364" s="71">
        <v>28004</v>
      </c>
      <c r="B364" s="72">
        <v>57.6</v>
      </c>
      <c r="C364" s="71">
        <v>31656</v>
      </c>
      <c r="D364" s="72">
        <v>114.6</v>
      </c>
      <c r="E364" s="71">
        <v>35309</v>
      </c>
      <c r="F364" s="72">
        <v>155</v>
      </c>
      <c r="G364" s="71">
        <v>31656</v>
      </c>
      <c r="H364" s="72">
        <v>84.4</v>
      </c>
    </row>
    <row r="365" spans="1:8" x14ac:dyDescent="0.2">
      <c r="A365" s="71">
        <v>28034</v>
      </c>
      <c r="B365" s="72">
        <v>57.9</v>
      </c>
      <c r="C365" s="71">
        <v>31686</v>
      </c>
      <c r="D365" s="72">
        <v>115</v>
      </c>
      <c r="E365" s="71">
        <v>35339</v>
      </c>
      <c r="F365" s="72">
        <v>155.9</v>
      </c>
      <c r="G365" s="71">
        <v>31686</v>
      </c>
      <c r="H365" s="72">
        <v>82.8</v>
      </c>
    </row>
    <row r="366" spans="1:8" x14ac:dyDescent="0.2">
      <c r="A366" s="71">
        <v>28065</v>
      </c>
      <c r="B366" s="72">
        <v>58.1</v>
      </c>
      <c r="C366" s="71">
        <v>31717</v>
      </c>
      <c r="D366" s="72">
        <v>115.3</v>
      </c>
      <c r="E366" s="71">
        <v>35370</v>
      </c>
      <c r="F366" s="72">
        <v>156.4</v>
      </c>
      <c r="G366" s="71">
        <v>31717</v>
      </c>
      <c r="H366" s="72">
        <v>82.1</v>
      </c>
    </row>
    <row r="367" spans="1:8" x14ac:dyDescent="0.2">
      <c r="A367" s="71">
        <v>28095</v>
      </c>
      <c r="B367" s="72">
        <v>58.4</v>
      </c>
      <c r="C367" s="71">
        <v>31747</v>
      </c>
      <c r="D367" s="72">
        <v>115.6</v>
      </c>
      <c r="E367" s="71">
        <v>35400</v>
      </c>
      <c r="F367" s="72">
        <v>156.6</v>
      </c>
      <c r="G367" s="71">
        <v>31747</v>
      </c>
      <c r="H367" s="72">
        <v>82.5</v>
      </c>
    </row>
    <row r="368" spans="1:8" x14ac:dyDescent="0.2">
      <c r="A368" s="71">
        <v>28126</v>
      </c>
      <c r="B368" s="72">
        <v>58.7</v>
      </c>
      <c r="C368" s="71">
        <v>31778</v>
      </c>
      <c r="D368" s="72">
        <v>115.9</v>
      </c>
      <c r="E368" s="71">
        <v>35431</v>
      </c>
      <c r="F368" s="72">
        <v>156.30000000000001</v>
      </c>
      <c r="G368" s="71">
        <v>31778</v>
      </c>
      <c r="H368" s="72">
        <v>85.4</v>
      </c>
    </row>
    <row r="369" spans="1:8" x14ac:dyDescent="0.2">
      <c r="A369" s="71">
        <v>28157</v>
      </c>
      <c r="B369" s="72">
        <v>59.3</v>
      </c>
      <c r="C369" s="71">
        <v>31809</v>
      </c>
      <c r="D369" s="72">
        <v>116.2</v>
      </c>
      <c r="E369" s="71">
        <v>35462</v>
      </c>
      <c r="F369" s="72">
        <v>156.9</v>
      </c>
      <c r="G369" s="71">
        <v>31809</v>
      </c>
      <c r="H369" s="72">
        <v>87.4</v>
      </c>
    </row>
    <row r="370" spans="1:8" x14ac:dyDescent="0.2">
      <c r="A370" s="71">
        <v>28185</v>
      </c>
      <c r="B370" s="72">
        <v>59.6</v>
      </c>
      <c r="C370" s="71">
        <v>31837</v>
      </c>
      <c r="D370" s="72">
        <v>116.6</v>
      </c>
      <c r="E370" s="71">
        <v>35490</v>
      </c>
      <c r="F370" s="72">
        <v>157</v>
      </c>
      <c r="G370" s="71">
        <v>31837</v>
      </c>
      <c r="H370" s="72">
        <v>87.6</v>
      </c>
    </row>
    <row r="371" spans="1:8" x14ac:dyDescent="0.2">
      <c r="A371" s="71">
        <v>28216</v>
      </c>
      <c r="B371" s="72">
        <v>60</v>
      </c>
      <c r="C371" s="71">
        <v>31868</v>
      </c>
      <c r="D371" s="72">
        <v>117.3</v>
      </c>
      <c r="E371" s="71">
        <v>35521</v>
      </c>
      <c r="F371" s="72">
        <v>157</v>
      </c>
      <c r="G371" s="71">
        <v>31868</v>
      </c>
      <c r="H371" s="72">
        <v>87.6</v>
      </c>
    </row>
    <row r="372" spans="1:8" x14ac:dyDescent="0.2">
      <c r="A372" s="71">
        <v>28246</v>
      </c>
      <c r="B372" s="72">
        <v>60.2</v>
      </c>
      <c r="C372" s="71">
        <v>31898</v>
      </c>
      <c r="D372" s="72">
        <v>117.7</v>
      </c>
      <c r="E372" s="71">
        <v>35551</v>
      </c>
      <c r="F372" s="72">
        <v>157.1</v>
      </c>
      <c r="G372" s="71">
        <v>31898</v>
      </c>
      <c r="H372" s="72">
        <v>87.1</v>
      </c>
    </row>
    <row r="373" spans="1:8" x14ac:dyDescent="0.2">
      <c r="A373" s="71">
        <v>28277</v>
      </c>
      <c r="B373" s="72">
        <v>60.5</v>
      </c>
      <c r="C373" s="71">
        <v>31929</v>
      </c>
      <c r="D373" s="72">
        <v>117.9</v>
      </c>
      <c r="E373" s="71">
        <v>35582</v>
      </c>
      <c r="F373" s="72">
        <v>157.4</v>
      </c>
      <c r="G373" s="71">
        <v>31929</v>
      </c>
      <c r="H373" s="72">
        <v>88.5</v>
      </c>
    </row>
    <row r="374" spans="1:8" x14ac:dyDescent="0.2">
      <c r="A374" s="71">
        <v>28307</v>
      </c>
      <c r="B374" s="72">
        <v>60.8</v>
      </c>
      <c r="C374" s="71">
        <v>31959</v>
      </c>
      <c r="D374" s="72">
        <v>118.3</v>
      </c>
      <c r="E374" s="71">
        <v>35612</v>
      </c>
      <c r="F374" s="72">
        <v>157.69999999999999</v>
      </c>
      <c r="G374" s="71">
        <v>31959</v>
      </c>
      <c r="H374" s="72">
        <v>89.2</v>
      </c>
    </row>
    <row r="375" spans="1:8" x14ac:dyDescent="0.2">
      <c r="A375" s="71">
        <v>28338</v>
      </c>
      <c r="B375" s="72">
        <v>61.1</v>
      </c>
      <c r="C375" s="71">
        <v>31990</v>
      </c>
      <c r="D375" s="72">
        <v>118.7</v>
      </c>
      <c r="E375" s="71">
        <v>35643</v>
      </c>
      <c r="F375" s="72">
        <v>158.19999999999999</v>
      </c>
      <c r="G375" s="71">
        <v>31990</v>
      </c>
      <c r="H375" s="72">
        <v>90.5</v>
      </c>
    </row>
    <row r="376" spans="1:8" x14ac:dyDescent="0.2">
      <c r="A376" s="71">
        <v>28369</v>
      </c>
      <c r="B376" s="72">
        <v>61.3</v>
      </c>
      <c r="C376" s="71">
        <v>32021</v>
      </c>
      <c r="D376" s="72">
        <v>119.2</v>
      </c>
      <c r="E376" s="71">
        <v>35674</v>
      </c>
      <c r="F376" s="72">
        <v>158.4</v>
      </c>
      <c r="G376" s="71">
        <v>32021</v>
      </c>
      <c r="H376" s="72">
        <v>90.3</v>
      </c>
    </row>
    <row r="377" spans="1:8" x14ac:dyDescent="0.2">
      <c r="A377" s="71">
        <v>28399</v>
      </c>
      <c r="B377" s="72">
        <v>61.6</v>
      </c>
      <c r="C377" s="71">
        <v>32051</v>
      </c>
      <c r="D377" s="72">
        <v>119.8</v>
      </c>
      <c r="E377" s="71">
        <v>35704</v>
      </c>
      <c r="F377" s="72">
        <v>158.69999999999999</v>
      </c>
      <c r="G377" s="71">
        <v>32051</v>
      </c>
      <c r="H377" s="72">
        <v>89.6</v>
      </c>
    </row>
    <row r="378" spans="1:8" x14ac:dyDescent="0.2">
      <c r="A378" s="71">
        <v>28430</v>
      </c>
      <c r="B378" s="72">
        <v>62</v>
      </c>
      <c r="C378" s="71">
        <v>32082</v>
      </c>
      <c r="D378" s="72">
        <v>120.1</v>
      </c>
      <c r="E378" s="71">
        <v>35735</v>
      </c>
      <c r="F378" s="72">
        <v>159</v>
      </c>
      <c r="G378" s="71">
        <v>32082</v>
      </c>
      <c r="H378" s="72">
        <v>90</v>
      </c>
    </row>
    <row r="379" spans="1:8" x14ac:dyDescent="0.2">
      <c r="A379" s="71">
        <v>28460</v>
      </c>
      <c r="B379" s="72">
        <v>62.3</v>
      </c>
      <c r="C379" s="71">
        <v>32112</v>
      </c>
      <c r="D379" s="72">
        <v>120.4</v>
      </c>
      <c r="E379" s="71">
        <v>35765</v>
      </c>
      <c r="F379" s="72">
        <v>159.19999999999999</v>
      </c>
      <c r="G379" s="71">
        <v>32112</v>
      </c>
      <c r="H379" s="72">
        <v>89.5</v>
      </c>
    </row>
    <row r="380" spans="1:8" x14ac:dyDescent="0.2">
      <c r="A380" s="71">
        <v>28491</v>
      </c>
      <c r="B380" s="72">
        <v>62.7</v>
      </c>
      <c r="C380" s="71">
        <v>32143</v>
      </c>
      <c r="D380" s="72">
        <v>120.9</v>
      </c>
      <c r="E380" s="71">
        <v>35796</v>
      </c>
      <c r="F380" s="72">
        <v>159.9</v>
      </c>
      <c r="G380" s="71">
        <v>32143</v>
      </c>
      <c r="H380" s="72">
        <v>88.8</v>
      </c>
    </row>
    <row r="381" spans="1:8" x14ac:dyDescent="0.2">
      <c r="A381" s="71">
        <v>28522</v>
      </c>
      <c r="B381" s="72">
        <v>63</v>
      </c>
      <c r="C381" s="71">
        <v>32174</v>
      </c>
      <c r="D381" s="72">
        <v>121.2</v>
      </c>
      <c r="E381" s="71">
        <v>35827</v>
      </c>
      <c r="F381" s="72">
        <v>159.9</v>
      </c>
      <c r="G381" s="71">
        <v>32174</v>
      </c>
      <c r="H381" s="72">
        <v>88.7</v>
      </c>
    </row>
    <row r="382" spans="1:8" x14ac:dyDescent="0.2">
      <c r="A382" s="71">
        <v>28550</v>
      </c>
      <c r="B382" s="72">
        <v>63.4</v>
      </c>
      <c r="C382" s="71">
        <v>32203</v>
      </c>
      <c r="D382" s="72">
        <v>121.7</v>
      </c>
      <c r="E382" s="71">
        <v>35855</v>
      </c>
      <c r="F382" s="72">
        <v>160.1</v>
      </c>
      <c r="G382" s="71">
        <v>32203</v>
      </c>
      <c r="H382" s="72">
        <v>88.4</v>
      </c>
    </row>
    <row r="383" spans="1:8" x14ac:dyDescent="0.2">
      <c r="A383" s="71">
        <v>28581</v>
      </c>
      <c r="B383" s="72">
        <v>63.9</v>
      </c>
      <c r="C383" s="71">
        <v>32234</v>
      </c>
      <c r="D383" s="72">
        <v>122.3</v>
      </c>
      <c r="E383" s="71">
        <v>35886</v>
      </c>
      <c r="F383" s="72">
        <v>160.19999999999999</v>
      </c>
      <c r="G383" s="71">
        <v>32234</v>
      </c>
      <c r="H383" s="72">
        <v>88.8</v>
      </c>
    </row>
    <row r="384" spans="1:8" x14ac:dyDescent="0.2">
      <c r="A384" s="71">
        <v>28611</v>
      </c>
      <c r="B384" s="72">
        <v>64.5</v>
      </c>
      <c r="C384" s="71">
        <v>32264</v>
      </c>
      <c r="D384" s="72">
        <v>122.7</v>
      </c>
      <c r="E384" s="71">
        <v>35916</v>
      </c>
      <c r="F384" s="72">
        <v>160.69999999999999</v>
      </c>
      <c r="G384" s="71">
        <v>32264</v>
      </c>
      <c r="H384" s="72">
        <v>88.5</v>
      </c>
    </row>
    <row r="385" spans="1:8" x14ac:dyDescent="0.2">
      <c r="A385" s="71">
        <v>28642</v>
      </c>
      <c r="B385" s="72">
        <v>65</v>
      </c>
      <c r="C385" s="71">
        <v>32295</v>
      </c>
      <c r="D385" s="72">
        <v>123.2</v>
      </c>
      <c r="E385" s="71">
        <v>35947</v>
      </c>
      <c r="F385" s="72">
        <v>160.6</v>
      </c>
      <c r="G385" s="71">
        <v>32295</v>
      </c>
      <c r="H385" s="72">
        <v>88.9</v>
      </c>
    </row>
    <row r="386" spans="1:8" x14ac:dyDescent="0.2">
      <c r="A386" s="71">
        <v>28672</v>
      </c>
      <c r="B386" s="72">
        <v>65.5</v>
      </c>
      <c r="C386" s="71">
        <v>32325</v>
      </c>
      <c r="D386" s="72">
        <v>123.6</v>
      </c>
      <c r="E386" s="71">
        <v>35977</v>
      </c>
      <c r="F386" s="72">
        <v>161</v>
      </c>
      <c r="G386" s="71">
        <v>32325</v>
      </c>
      <c r="H386" s="72">
        <v>89.4</v>
      </c>
    </row>
    <row r="387" spans="1:8" x14ac:dyDescent="0.2">
      <c r="A387" s="71">
        <v>28703</v>
      </c>
      <c r="B387" s="72">
        <v>65.900000000000006</v>
      </c>
      <c r="C387" s="71">
        <v>32356</v>
      </c>
      <c r="D387" s="72">
        <v>124</v>
      </c>
      <c r="E387" s="71">
        <v>36008</v>
      </c>
      <c r="F387" s="72">
        <v>161.4</v>
      </c>
      <c r="G387" s="71">
        <v>32356</v>
      </c>
      <c r="H387" s="72">
        <v>90.1</v>
      </c>
    </row>
    <row r="388" spans="1:8" x14ac:dyDescent="0.2">
      <c r="A388" s="71">
        <v>28734</v>
      </c>
      <c r="B388" s="72">
        <v>66.5</v>
      </c>
      <c r="C388" s="71">
        <v>32387</v>
      </c>
      <c r="D388" s="72">
        <v>124.7</v>
      </c>
      <c r="E388" s="71">
        <v>36039</v>
      </c>
      <c r="F388" s="72">
        <v>161.5</v>
      </c>
      <c r="G388" s="71">
        <v>32387</v>
      </c>
      <c r="H388" s="72">
        <v>89.8</v>
      </c>
    </row>
    <row r="389" spans="1:8" x14ac:dyDescent="0.2">
      <c r="A389" s="71">
        <v>28764</v>
      </c>
      <c r="B389" s="72">
        <v>67.099999999999994</v>
      </c>
      <c r="C389" s="71">
        <v>32417</v>
      </c>
      <c r="D389" s="72">
        <v>125.2</v>
      </c>
      <c r="E389" s="71">
        <v>36069</v>
      </c>
      <c r="F389" s="72">
        <v>162.4</v>
      </c>
      <c r="G389" s="71">
        <v>32417</v>
      </c>
      <c r="H389" s="72">
        <v>89.8</v>
      </c>
    </row>
    <row r="390" spans="1:8" x14ac:dyDescent="0.2">
      <c r="A390" s="71">
        <v>28795</v>
      </c>
      <c r="B390" s="72">
        <v>67.5</v>
      </c>
      <c r="C390" s="71">
        <v>32448</v>
      </c>
      <c r="D390" s="72">
        <v>125.6</v>
      </c>
      <c r="E390" s="71">
        <v>36100</v>
      </c>
      <c r="F390" s="72">
        <v>162.69999999999999</v>
      </c>
      <c r="G390" s="71">
        <v>32448</v>
      </c>
      <c r="H390" s="72">
        <v>89.8</v>
      </c>
    </row>
    <row r="391" spans="1:8" x14ac:dyDescent="0.2">
      <c r="A391" s="71">
        <v>28825</v>
      </c>
      <c r="B391" s="72">
        <v>67.900000000000006</v>
      </c>
      <c r="C391" s="71">
        <v>32478</v>
      </c>
      <c r="D391" s="72">
        <v>126</v>
      </c>
      <c r="E391" s="71">
        <v>36130</v>
      </c>
      <c r="F391" s="72">
        <v>162.80000000000001</v>
      </c>
      <c r="G391" s="71">
        <v>32478</v>
      </c>
      <c r="H391" s="72">
        <v>89.6</v>
      </c>
    </row>
    <row r="392" spans="1:8" x14ac:dyDescent="0.2">
      <c r="A392" s="71">
        <v>28856</v>
      </c>
      <c r="B392" s="72">
        <v>68.5</v>
      </c>
      <c r="C392" s="71">
        <v>32509</v>
      </c>
      <c r="D392" s="72">
        <v>126.5</v>
      </c>
      <c r="E392" s="71">
        <v>36161</v>
      </c>
      <c r="F392" s="72">
        <v>163.4</v>
      </c>
      <c r="G392" s="71">
        <v>32509</v>
      </c>
      <c r="H392" s="72">
        <v>90.3</v>
      </c>
    </row>
    <row r="393" spans="1:8" x14ac:dyDescent="0.2">
      <c r="A393" s="71">
        <v>28887</v>
      </c>
      <c r="B393" s="72">
        <v>69.2</v>
      </c>
      <c r="C393" s="71">
        <v>32540</v>
      </c>
      <c r="D393" s="72">
        <v>126.9</v>
      </c>
      <c r="E393" s="71">
        <v>36192</v>
      </c>
      <c r="F393" s="72">
        <v>163.80000000000001</v>
      </c>
      <c r="G393" s="71">
        <v>32540</v>
      </c>
      <c r="H393" s="72">
        <v>90.8</v>
      </c>
    </row>
    <row r="394" spans="1:8" x14ac:dyDescent="0.2">
      <c r="A394" s="71">
        <v>28915</v>
      </c>
      <c r="B394" s="72">
        <v>69.900000000000006</v>
      </c>
      <c r="C394" s="71">
        <v>32568</v>
      </c>
      <c r="D394" s="72">
        <v>127.4</v>
      </c>
      <c r="E394" s="71">
        <v>36220</v>
      </c>
      <c r="F394" s="72">
        <v>163.69999999999999</v>
      </c>
      <c r="G394" s="71">
        <v>32568</v>
      </c>
      <c r="H394" s="72">
        <v>91.8</v>
      </c>
    </row>
    <row r="395" spans="1:8" x14ac:dyDescent="0.2">
      <c r="A395" s="71">
        <v>28946</v>
      </c>
      <c r="B395" s="72">
        <v>70.599999999999994</v>
      </c>
      <c r="C395" s="71">
        <v>32599</v>
      </c>
      <c r="D395" s="72">
        <v>127.8</v>
      </c>
      <c r="E395" s="71">
        <v>36251</v>
      </c>
      <c r="F395" s="72">
        <v>163.9</v>
      </c>
      <c r="G395" s="71">
        <v>32599</v>
      </c>
      <c r="H395" s="72">
        <v>96.6</v>
      </c>
    </row>
    <row r="396" spans="1:8" x14ac:dyDescent="0.2">
      <c r="A396" s="71">
        <v>28976</v>
      </c>
      <c r="B396" s="72">
        <v>71.400000000000006</v>
      </c>
      <c r="C396" s="71">
        <v>32629</v>
      </c>
      <c r="D396" s="72">
        <v>128.30000000000001</v>
      </c>
      <c r="E396" s="71">
        <v>36281</v>
      </c>
      <c r="F396" s="72">
        <v>164.2</v>
      </c>
      <c r="G396" s="71">
        <v>32629</v>
      </c>
      <c r="H396" s="72">
        <v>97.4</v>
      </c>
    </row>
    <row r="397" spans="1:8" x14ac:dyDescent="0.2">
      <c r="A397" s="71">
        <v>29007</v>
      </c>
      <c r="B397" s="72">
        <v>72.2</v>
      </c>
      <c r="C397" s="71">
        <v>32660</v>
      </c>
      <c r="D397" s="72">
        <v>128.80000000000001</v>
      </c>
      <c r="E397" s="71">
        <v>36312</v>
      </c>
      <c r="F397" s="72">
        <v>164.1</v>
      </c>
      <c r="G397" s="71">
        <v>32660</v>
      </c>
      <c r="H397" s="72">
        <v>96.9</v>
      </c>
    </row>
    <row r="398" spans="1:8" x14ac:dyDescent="0.2">
      <c r="A398" s="71">
        <v>29037</v>
      </c>
      <c r="B398" s="72">
        <v>73</v>
      </c>
      <c r="C398" s="71">
        <v>32690</v>
      </c>
      <c r="D398" s="72">
        <v>129.19999999999999</v>
      </c>
      <c r="E398" s="71">
        <v>36342</v>
      </c>
      <c r="F398" s="72">
        <v>164.4</v>
      </c>
      <c r="G398" s="71">
        <v>32690</v>
      </c>
      <c r="H398" s="72">
        <v>96.7</v>
      </c>
    </row>
    <row r="399" spans="1:8" x14ac:dyDescent="0.2">
      <c r="A399" s="71">
        <v>29068</v>
      </c>
      <c r="B399" s="72">
        <v>73.7</v>
      </c>
      <c r="C399" s="71">
        <v>32721</v>
      </c>
      <c r="D399" s="72">
        <v>129.5</v>
      </c>
      <c r="E399" s="71">
        <v>36373</v>
      </c>
      <c r="F399" s="72">
        <v>164.7</v>
      </c>
      <c r="G399" s="71">
        <v>32721</v>
      </c>
      <c r="H399" s="72">
        <v>94.9</v>
      </c>
    </row>
    <row r="400" spans="1:8" x14ac:dyDescent="0.2">
      <c r="A400" s="71">
        <v>29099</v>
      </c>
      <c r="B400" s="72">
        <v>74.400000000000006</v>
      </c>
      <c r="C400" s="71">
        <v>32752</v>
      </c>
      <c r="D400" s="72">
        <v>129.9</v>
      </c>
      <c r="E400" s="71">
        <v>36404</v>
      </c>
      <c r="F400" s="72">
        <v>165.1</v>
      </c>
      <c r="G400" s="71">
        <v>32752</v>
      </c>
      <c r="H400" s="72">
        <v>93.8</v>
      </c>
    </row>
    <row r="401" spans="1:8" x14ac:dyDescent="0.2">
      <c r="A401" s="71">
        <v>29129</v>
      </c>
      <c r="B401" s="72">
        <v>75.2</v>
      </c>
      <c r="C401" s="71">
        <v>32782</v>
      </c>
      <c r="D401" s="72">
        <v>130.6</v>
      </c>
      <c r="E401" s="71">
        <v>36434</v>
      </c>
      <c r="F401" s="72">
        <v>165.5</v>
      </c>
      <c r="G401" s="71">
        <v>32782</v>
      </c>
      <c r="H401" s="72">
        <v>94.4</v>
      </c>
    </row>
    <row r="402" spans="1:8" x14ac:dyDescent="0.2">
      <c r="A402" s="71">
        <v>29160</v>
      </c>
      <c r="B402" s="72">
        <v>76</v>
      </c>
      <c r="C402" s="71">
        <v>32813</v>
      </c>
      <c r="D402" s="72">
        <v>131.1</v>
      </c>
      <c r="E402" s="71">
        <v>36465</v>
      </c>
      <c r="F402" s="72">
        <v>165.8</v>
      </c>
      <c r="G402" s="71">
        <v>32813</v>
      </c>
      <c r="H402" s="72">
        <v>93.9</v>
      </c>
    </row>
    <row r="403" spans="1:8" x14ac:dyDescent="0.2">
      <c r="A403" s="71">
        <v>29190</v>
      </c>
      <c r="B403" s="72">
        <v>76.900000000000006</v>
      </c>
      <c r="C403" s="71">
        <v>32843</v>
      </c>
      <c r="D403" s="72">
        <v>131.6</v>
      </c>
      <c r="E403" s="71">
        <v>36495</v>
      </c>
      <c r="F403" s="72">
        <v>166</v>
      </c>
      <c r="G403" s="71">
        <v>32843</v>
      </c>
      <c r="H403" s="72">
        <v>94.2</v>
      </c>
    </row>
    <row r="404" spans="1:8" x14ac:dyDescent="0.2">
      <c r="A404" s="71">
        <v>29221</v>
      </c>
      <c r="B404" s="72">
        <v>78</v>
      </c>
      <c r="C404" s="71">
        <v>32874</v>
      </c>
      <c r="D404" s="72">
        <v>132.1</v>
      </c>
      <c r="E404" s="71">
        <v>36526</v>
      </c>
      <c r="F404" s="72">
        <v>166.1</v>
      </c>
      <c r="G404" s="71">
        <v>32874</v>
      </c>
      <c r="H404" s="72">
        <v>98.9</v>
      </c>
    </row>
    <row r="405" spans="1:8" x14ac:dyDescent="0.2">
      <c r="A405" s="71">
        <v>29252</v>
      </c>
      <c r="B405" s="72">
        <v>79</v>
      </c>
      <c r="C405" s="71">
        <v>32905</v>
      </c>
      <c r="D405" s="72">
        <v>132.69999999999999</v>
      </c>
      <c r="E405" s="71">
        <v>36557</v>
      </c>
      <c r="F405" s="72">
        <v>166.7</v>
      </c>
      <c r="G405" s="71">
        <v>32905</v>
      </c>
      <c r="H405" s="72">
        <v>98.2</v>
      </c>
    </row>
    <row r="406" spans="1:8" x14ac:dyDescent="0.2">
      <c r="A406" s="71">
        <v>29281</v>
      </c>
      <c r="B406" s="72">
        <v>80.099999999999994</v>
      </c>
      <c r="C406" s="71">
        <v>32933</v>
      </c>
      <c r="D406" s="72">
        <v>133.5</v>
      </c>
      <c r="E406" s="71">
        <v>36586</v>
      </c>
      <c r="F406" s="72">
        <v>167.1</v>
      </c>
      <c r="G406" s="71">
        <v>32933</v>
      </c>
      <c r="H406" s="72">
        <v>97.6</v>
      </c>
    </row>
    <row r="407" spans="1:8" x14ac:dyDescent="0.2">
      <c r="A407" s="71">
        <v>29312</v>
      </c>
      <c r="B407" s="72">
        <v>80.900000000000006</v>
      </c>
      <c r="C407" s="71">
        <v>32964</v>
      </c>
      <c r="D407" s="72">
        <v>134</v>
      </c>
      <c r="E407" s="71">
        <v>36617</v>
      </c>
      <c r="F407" s="72">
        <v>167.2</v>
      </c>
      <c r="G407" s="71">
        <v>32964</v>
      </c>
      <c r="H407" s="72">
        <v>97.5</v>
      </c>
    </row>
    <row r="408" spans="1:8" x14ac:dyDescent="0.2">
      <c r="A408" s="71">
        <v>29342</v>
      </c>
      <c r="B408" s="72">
        <v>81.7</v>
      </c>
      <c r="C408" s="71">
        <v>32994</v>
      </c>
      <c r="D408" s="72">
        <v>134.4</v>
      </c>
      <c r="E408" s="71">
        <v>36647</v>
      </c>
      <c r="F408" s="72">
        <v>167.8</v>
      </c>
      <c r="G408" s="71">
        <v>32994</v>
      </c>
      <c r="H408" s="72">
        <v>96.7</v>
      </c>
    </row>
    <row r="409" spans="1:8" x14ac:dyDescent="0.2">
      <c r="A409" s="71">
        <v>29373</v>
      </c>
      <c r="B409" s="72">
        <v>82.5</v>
      </c>
      <c r="C409" s="71">
        <v>33025</v>
      </c>
      <c r="D409" s="72">
        <v>135.1</v>
      </c>
      <c r="E409" s="71">
        <v>36678</v>
      </c>
      <c r="F409" s="72">
        <v>168</v>
      </c>
      <c r="G409" s="71">
        <v>33025</v>
      </c>
      <c r="H409" s="72">
        <v>97.3</v>
      </c>
    </row>
    <row r="410" spans="1:8" x14ac:dyDescent="0.2">
      <c r="A410" s="71">
        <v>29403</v>
      </c>
      <c r="B410" s="72">
        <v>82.6</v>
      </c>
      <c r="C410" s="71">
        <v>33055</v>
      </c>
      <c r="D410" s="72">
        <v>135.80000000000001</v>
      </c>
      <c r="E410" s="71">
        <v>36708</v>
      </c>
      <c r="F410" s="72">
        <v>168.8</v>
      </c>
      <c r="G410" s="71">
        <v>33055</v>
      </c>
      <c r="H410" s="72">
        <v>97.1</v>
      </c>
    </row>
    <row r="411" spans="1:8" x14ac:dyDescent="0.2">
      <c r="A411" s="71">
        <v>29434</v>
      </c>
      <c r="B411" s="72">
        <v>83.2</v>
      </c>
      <c r="C411" s="71">
        <v>33086</v>
      </c>
      <c r="D411" s="72">
        <v>136.6</v>
      </c>
      <c r="E411" s="71">
        <v>36739</v>
      </c>
      <c r="F411" s="72">
        <v>169.3</v>
      </c>
      <c r="G411" s="71">
        <v>33086</v>
      </c>
      <c r="H411" s="72">
        <v>101.6</v>
      </c>
    </row>
    <row r="412" spans="1:8" x14ac:dyDescent="0.2">
      <c r="A412" s="71">
        <v>29465</v>
      </c>
      <c r="B412" s="72">
        <v>83.9</v>
      </c>
      <c r="C412" s="71">
        <v>33117</v>
      </c>
      <c r="D412" s="72">
        <v>137.1</v>
      </c>
      <c r="E412" s="71">
        <v>36770</v>
      </c>
      <c r="F412" s="72">
        <v>169.4</v>
      </c>
      <c r="G412" s="71">
        <v>33117</v>
      </c>
      <c r="H412" s="72">
        <v>106.5</v>
      </c>
    </row>
    <row r="413" spans="1:8" x14ac:dyDescent="0.2">
      <c r="A413" s="71">
        <v>29495</v>
      </c>
      <c r="B413" s="72">
        <v>84.7</v>
      </c>
      <c r="C413" s="71">
        <v>33147</v>
      </c>
      <c r="D413" s="72">
        <v>137.6</v>
      </c>
      <c r="E413" s="71">
        <v>36800</v>
      </c>
      <c r="F413" s="72">
        <v>169.6</v>
      </c>
      <c r="G413" s="71">
        <v>33147</v>
      </c>
      <c r="H413" s="72">
        <v>110.8</v>
      </c>
    </row>
    <row r="414" spans="1:8" x14ac:dyDescent="0.2">
      <c r="A414" s="71">
        <v>29526</v>
      </c>
      <c r="B414" s="72">
        <v>85.6</v>
      </c>
      <c r="C414" s="71">
        <v>33178</v>
      </c>
      <c r="D414" s="72">
        <v>138</v>
      </c>
      <c r="E414" s="71">
        <v>36831</v>
      </c>
      <c r="F414" s="72">
        <v>169.7</v>
      </c>
      <c r="G414" s="71">
        <v>33178</v>
      </c>
      <c r="H414" s="72">
        <v>111.2</v>
      </c>
    </row>
    <row r="415" spans="1:8" x14ac:dyDescent="0.2">
      <c r="A415" s="71">
        <v>29556</v>
      </c>
      <c r="B415" s="72">
        <v>86.4</v>
      </c>
      <c r="C415" s="71">
        <v>33208</v>
      </c>
      <c r="D415" s="72">
        <v>138.6</v>
      </c>
      <c r="E415" s="71">
        <v>36861</v>
      </c>
      <c r="F415" s="72">
        <v>170.5</v>
      </c>
      <c r="G415" s="71">
        <v>33208</v>
      </c>
      <c r="H415" s="72">
        <v>111</v>
      </c>
    </row>
    <row r="416" spans="1:8" x14ac:dyDescent="0.2">
      <c r="A416" s="71">
        <v>29587</v>
      </c>
      <c r="B416" s="72">
        <v>87.2</v>
      </c>
      <c r="C416" s="71">
        <v>33239</v>
      </c>
      <c r="D416" s="72">
        <v>139.5</v>
      </c>
      <c r="E416" s="71">
        <v>36892</v>
      </c>
      <c r="F416" s="72">
        <v>170.9</v>
      </c>
      <c r="G416" s="71">
        <v>33239</v>
      </c>
      <c r="H416" s="72">
        <v>108.5</v>
      </c>
    </row>
    <row r="417" spans="1:8" x14ac:dyDescent="0.2">
      <c r="A417" s="71">
        <v>29618</v>
      </c>
      <c r="B417" s="72">
        <v>88</v>
      </c>
      <c r="C417" s="71">
        <v>33270</v>
      </c>
      <c r="D417" s="72">
        <v>140.19999999999999</v>
      </c>
      <c r="E417" s="71">
        <v>36923</v>
      </c>
      <c r="F417" s="72">
        <v>171.7</v>
      </c>
      <c r="G417" s="71">
        <v>33270</v>
      </c>
      <c r="H417" s="72">
        <v>104.5</v>
      </c>
    </row>
    <row r="418" spans="1:8" x14ac:dyDescent="0.2">
      <c r="A418" s="71">
        <v>29646</v>
      </c>
      <c r="B418" s="72">
        <v>88.6</v>
      </c>
      <c r="C418" s="71">
        <v>33298</v>
      </c>
      <c r="D418" s="72">
        <v>140.5</v>
      </c>
      <c r="E418" s="71">
        <v>36951</v>
      </c>
      <c r="F418" s="72">
        <v>172.2</v>
      </c>
      <c r="G418" s="71">
        <v>33298</v>
      </c>
      <c r="H418" s="72">
        <v>101.9</v>
      </c>
    </row>
    <row r="419" spans="1:8" x14ac:dyDescent="0.2">
      <c r="A419" s="71">
        <v>29677</v>
      </c>
      <c r="B419" s="72">
        <v>89.1</v>
      </c>
      <c r="C419" s="71">
        <v>33329</v>
      </c>
      <c r="D419" s="72">
        <v>140.9</v>
      </c>
      <c r="E419" s="71">
        <v>36982</v>
      </c>
      <c r="F419" s="72">
        <v>172.6</v>
      </c>
      <c r="G419" s="71">
        <v>33329</v>
      </c>
      <c r="H419" s="72">
        <v>101.2</v>
      </c>
    </row>
    <row r="420" spans="1:8" x14ac:dyDescent="0.2">
      <c r="A420" s="71">
        <v>29707</v>
      </c>
      <c r="B420" s="72">
        <v>89.7</v>
      </c>
      <c r="C420" s="71">
        <v>33359</v>
      </c>
      <c r="D420" s="72">
        <v>141.30000000000001</v>
      </c>
      <c r="E420" s="71">
        <v>37012</v>
      </c>
      <c r="F420" s="72">
        <v>172.9</v>
      </c>
      <c r="G420" s="71">
        <v>33359</v>
      </c>
      <c r="H420" s="72">
        <v>102.1</v>
      </c>
    </row>
    <row r="421" spans="1:8" x14ac:dyDescent="0.2">
      <c r="A421" s="71">
        <v>29738</v>
      </c>
      <c r="B421" s="72">
        <v>90.5</v>
      </c>
      <c r="C421" s="71">
        <v>33390</v>
      </c>
      <c r="D421" s="72">
        <v>141.80000000000001</v>
      </c>
      <c r="E421" s="71">
        <v>37043</v>
      </c>
      <c r="F421" s="72">
        <v>173.5</v>
      </c>
      <c r="G421" s="71">
        <v>33390</v>
      </c>
      <c r="H421" s="72">
        <v>101.1</v>
      </c>
    </row>
    <row r="422" spans="1:8" x14ac:dyDescent="0.2">
      <c r="A422" s="71">
        <v>29768</v>
      </c>
      <c r="B422" s="72">
        <v>91.5</v>
      </c>
      <c r="C422" s="71">
        <v>33420</v>
      </c>
      <c r="D422" s="72">
        <v>142.30000000000001</v>
      </c>
      <c r="E422" s="71">
        <v>37073</v>
      </c>
      <c r="F422" s="72">
        <v>174.1</v>
      </c>
      <c r="G422" s="71">
        <v>33420</v>
      </c>
      <c r="H422" s="72">
        <v>100.7</v>
      </c>
    </row>
    <row r="423" spans="1:8" x14ac:dyDescent="0.2">
      <c r="A423" s="71">
        <v>29799</v>
      </c>
      <c r="B423" s="72">
        <v>92.2</v>
      </c>
      <c r="C423" s="71">
        <v>33451</v>
      </c>
      <c r="D423" s="72">
        <v>142.9</v>
      </c>
      <c r="E423" s="71">
        <v>37104</v>
      </c>
      <c r="F423" s="72">
        <v>174.5</v>
      </c>
      <c r="G423" s="71">
        <v>33451</v>
      </c>
      <c r="H423" s="72">
        <v>101.1</v>
      </c>
    </row>
    <row r="424" spans="1:8" x14ac:dyDescent="0.2">
      <c r="A424" s="71">
        <v>29830</v>
      </c>
      <c r="B424" s="72">
        <v>93.1</v>
      </c>
      <c r="C424" s="71">
        <v>33482</v>
      </c>
      <c r="D424" s="72">
        <v>143.4</v>
      </c>
      <c r="E424" s="71">
        <v>37135</v>
      </c>
      <c r="F424" s="72">
        <v>174.7</v>
      </c>
      <c r="G424" s="71">
        <v>33482</v>
      </c>
      <c r="H424" s="72">
        <v>101.5</v>
      </c>
    </row>
    <row r="425" spans="1:8" x14ac:dyDescent="0.2">
      <c r="A425" s="71">
        <v>29860</v>
      </c>
      <c r="B425" s="72">
        <v>93.4</v>
      </c>
      <c r="C425" s="71">
        <v>33512</v>
      </c>
      <c r="D425" s="72">
        <v>143.69999999999999</v>
      </c>
      <c r="E425" s="71">
        <v>37165</v>
      </c>
      <c r="F425" s="72">
        <v>175.3</v>
      </c>
      <c r="G425" s="71">
        <v>33512</v>
      </c>
      <c r="H425" s="72">
        <v>101.6</v>
      </c>
    </row>
    <row r="426" spans="1:8" x14ac:dyDescent="0.2">
      <c r="A426" s="71">
        <v>29891</v>
      </c>
      <c r="B426" s="72">
        <v>93.8</v>
      </c>
      <c r="C426" s="71">
        <v>33543</v>
      </c>
      <c r="D426" s="72">
        <v>144.19999999999999</v>
      </c>
      <c r="E426" s="71">
        <v>37196</v>
      </c>
      <c r="F426" s="72">
        <v>175.4</v>
      </c>
      <c r="G426" s="71">
        <v>33543</v>
      </c>
      <c r="H426" s="72">
        <v>102.4</v>
      </c>
    </row>
    <row r="427" spans="1:8" x14ac:dyDescent="0.2">
      <c r="A427" s="71">
        <v>29921</v>
      </c>
      <c r="B427" s="72">
        <v>94.1</v>
      </c>
      <c r="C427" s="71">
        <v>33573</v>
      </c>
      <c r="D427" s="72">
        <v>144.69999999999999</v>
      </c>
      <c r="E427" s="71">
        <v>37226</v>
      </c>
      <c r="F427" s="72">
        <v>175.2</v>
      </c>
      <c r="G427" s="71">
        <v>33573</v>
      </c>
      <c r="H427" s="72">
        <v>103.1</v>
      </c>
    </row>
    <row r="428" spans="1:8" x14ac:dyDescent="0.2">
      <c r="A428" s="71">
        <v>29952</v>
      </c>
      <c r="B428" s="72">
        <v>94.4</v>
      </c>
      <c r="C428" s="71">
        <v>33604</v>
      </c>
      <c r="D428" s="72">
        <v>145.1</v>
      </c>
      <c r="E428" s="71">
        <v>37257</v>
      </c>
      <c r="F428" s="72">
        <v>175.8</v>
      </c>
      <c r="G428" s="71">
        <v>33604</v>
      </c>
      <c r="H428" s="72">
        <v>101.5</v>
      </c>
    </row>
    <row r="429" spans="1:8" x14ac:dyDescent="0.2">
      <c r="A429" s="71">
        <v>29983</v>
      </c>
      <c r="B429" s="72">
        <v>94.7</v>
      </c>
      <c r="C429" s="71">
        <v>33635</v>
      </c>
      <c r="D429" s="72">
        <v>145.4</v>
      </c>
      <c r="E429" s="71">
        <v>37288</v>
      </c>
      <c r="F429" s="72">
        <v>176.2</v>
      </c>
      <c r="G429" s="71">
        <v>33635</v>
      </c>
      <c r="H429" s="72">
        <v>101.2</v>
      </c>
    </row>
    <row r="430" spans="1:8" x14ac:dyDescent="0.2">
      <c r="A430" s="71">
        <v>30011</v>
      </c>
      <c r="B430" s="72">
        <v>94.7</v>
      </c>
      <c r="C430" s="71">
        <v>33664</v>
      </c>
      <c r="D430" s="72">
        <v>145.9</v>
      </c>
      <c r="E430" s="71">
        <v>37316</v>
      </c>
      <c r="F430" s="72">
        <v>176.6</v>
      </c>
      <c r="G430" s="71">
        <v>33664</v>
      </c>
      <c r="H430" s="72">
        <v>101.2</v>
      </c>
    </row>
    <row r="431" spans="1:8" x14ac:dyDescent="0.2">
      <c r="A431" s="71">
        <v>30042</v>
      </c>
      <c r="B431" s="72">
        <v>95</v>
      </c>
      <c r="C431" s="71">
        <v>33695</v>
      </c>
      <c r="D431" s="72">
        <v>146.30000000000001</v>
      </c>
      <c r="E431" s="71">
        <v>37347</v>
      </c>
      <c r="F431" s="72">
        <v>176.9</v>
      </c>
      <c r="G431" s="71">
        <v>33695</v>
      </c>
      <c r="H431" s="72">
        <v>101.4</v>
      </c>
    </row>
    <row r="432" spans="1:8" x14ac:dyDescent="0.2">
      <c r="A432" s="71">
        <v>30072</v>
      </c>
      <c r="B432" s="72">
        <v>95.9</v>
      </c>
      <c r="C432" s="71">
        <v>33725</v>
      </c>
      <c r="D432" s="72">
        <v>146.80000000000001</v>
      </c>
      <c r="E432" s="71">
        <v>37377</v>
      </c>
      <c r="F432" s="72">
        <v>176.4</v>
      </c>
      <c r="G432" s="71">
        <v>33725</v>
      </c>
      <c r="H432" s="72">
        <v>102</v>
      </c>
    </row>
    <row r="433" spans="1:8" x14ac:dyDescent="0.2">
      <c r="A433" s="71">
        <v>30103</v>
      </c>
      <c r="B433" s="72">
        <v>97</v>
      </c>
      <c r="C433" s="71">
        <v>33756</v>
      </c>
      <c r="D433" s="72">
        <v>147.1</v>
      </c>
      <c r="E433" s="71">
        <v>37408</v>
      </c>
      <c r="F433" s="72">
        <v>176.5</v>
      </c>
      <c r="G433" s="71">
        <v>33756</v>
      </c>
      <c r="H433" s="72">
        <v>103.3</v>
      </c>
    </row>
    <row r="434" spans="1:8" x14ac:dyDescent="0.2">
      <c r="A434" s="71">
        <v>30133</v>
      </c>
      <c r="B434" s="72">
        <v>97.5</v>
      </c>
      <c r="C434" s="71">
        <v>33786</v>
      </c>
      <c r="D434" s="72">
        <v>147.6</v>
      </c>
      <c r="E434" s="71">
        <v>37438</v>
      </c>
      <c r="F434" s="72">
        <v>176.7</v>
      </c>
      <c r="G434" s="71">
        <v>33786</v>
      </c>
      <c r="H434" s="72">
        <v>103.7</v>
      </c>
    </row>
    <row r="435" spans="1:8" x14ac:dyDescent="0.2">
      <c r="A435" s="71">
        <v>30164</v>
      </c>
      <c r="B435" s="72">
        <v>97.7</v>
      </c>
      <c r="C435" s="71">
        <v>33817</v>
      </c>
      <c r="D435" s="72">
        <v>147.9</v>
      </c>
      <c r="E435" s="71">
        <v>37469</v>
      </c>
      <c r="F435" s="72">
        <v>176.7</v>
      </c>
      <c r="G435" s="71">
        <v>33817</v>
      </c>
      <c r="H435" s="72">
        <v>103.5</v>
      </c>
    </row>
    <row r="436" spans="1:8" x14ac:dyDescent="0.2">
      <c r="A436" s="71">
        <v>30195</v>
      </c>
      <c r="B436" s="72">
        <v>97.7</v>
      </c>
      <c r="C436" s="71">
        <v>33848</v>
      </c>
      <c r="D436" s="72">
        <v>148.1</v>
      </c>
      <c r="E436" s="71">
        <v>37500</v>
      </c>
      <c r="F436" s="72">
        <v>177</v>
      </c>
      <c r="G436" s="71">
        <v>33848</v>
      </c>
      <c r="H436" s="72">
        <v>103.6</v>
      </c>
    </row>
    <row r="437" spans="1:8" x14ac:dyDescent="0.2">
      <c r="A437" s="71">
        <v>30225</v>
      </c>
      <c r="B437" s="72">
        <v>98.1</v>
      </c>
      <c r="C437" s="71">
        <v>33878</v>
      </c>
      <c r="D437" s="72">
        <v>148.80000000000001</v>
      </c>
      <c r="E437" s="71">
        <v>37530</v>
      </c>
      <c r="F437" s="72">
        <v>177</v>
      </c>
      <c r="G437" s="71">
        <v>33878</v>
      </c>
      <c r="H437" s="72">
        <v>104.3</v>
      </c>
    </row>
    <row r="438" spans="1:8" x14ac:dyDescent="0.2">
      <c r="A438" s="71">
        <v>30256</v>
      </c>
      <c r="B438" s="72">
        <v>98</v>
      </c>
      <c r="C438" s="71">
        <v>33909</v>
      </c>
      <c r="D438" s="72">
        <v>149.19999999999999</v>
      </c>
      <c r="E438" s="71">
        <v>37561</v>
      </c>
      <c r="F438" s="72">
        <v>177.5</v>
      </c>
      <c r="G438" s="71">
        <v>33909</v>
      </c>
      <c r="H438" s="72">
        <v>105.1</v>
      </c>
    </row>
    <row r="439" spans="1:8" x14ac:dyDescent="0.2">
      <c r="A439" s="71">
        <v>30286</v>
      </c>
      <c r="B439" s="72">
        <v>97.7</v>
      </c>
      <c r="C439" s="71">
        <v>33939</v>
      </c>
      <c r="D439" s="72">
        <v>149.6</v>
      </c>
      <c r="E439" s="71">
        <v>37591</v>
      </c>
      <c r="F439" s="72">
        <v>177.7</v>
      </c>
      <c r="G439" s="71">
        <v>33939</v>
      </c>
      <c r="H439" s="72">
        <v>105.3</v>
      </c>
    </row>
    <row r="440" spans="1:8" x14ac:dyDescent="0.2">
      <c r="A440" s="71">
        <v>30317</v>
      </c>
      <c r="B440" s="72">
        <v>97.9</v>
      </c>
      <c r="C440" s="71">
        <v>33970</v>
      </c>
      <c r="D440" s="72">
        <v>150.1</v>
      </c>
      <c r="E440" s="71">
        <v>37622</v>
      </c>
      <c r="F440" s="72">
        <v>177.7</v>
      </c>
      <c r="G440" s="71">
        <v>33970</v>
      </c>
      <c r="H440" s="72">
        <v>105</v>
      </c>
    </row>
    <row r="441" spans="1:8" x14ac:dyDescent="0.2">
      <c r="A441" s="71">
        <v>30348</v>
      </c>
      <c r="B441" s="72">
        <v>98</v>
      </c>
      <c r="C441" s="71">
        <v>34001</v>
      </c>
      <c r="D441" s="72">
        <v>150.6</v>
      </c>
      <c r="E441" s="71">
        <v>37653</v>
      </c>
      <c r="F441" s="72">
        <v>178.7</v>
      </c>
      <c r="G441" s="71">
        <v>34001</v>
      </c>
      <c r="H441" s="72">
        <v>104.3</v>
      </c>
    </row>
    <row r="442" spans="1:8" x14ac:dyDescent="0.2">
      <c r="A442" s="71">
        <v>30376</v>
      </c>
      <c r="B442" s="72">
        <v>98.1</v>
      </c>
      <c r="C442" s="71">
        <v>34029</v>
      </c>
      <c r="D442" s="72">
        <v>150.80000000000001</v>
      </c>
      <c r="E442" s="71">
        <v>37681</v>
      </c>
      <c r="F442" s="72">
        <v>179</v>
      </c>
      <c r="G442" s="71">
        <v>34029</v>
      </c>
      <c r="H442" s="72">
        <v>104.9</v>
      </c>
    </row>
    <row r="443" spans="1:8" x14ac:dyDescent="0.2">
      <c r="A443" s="71">
        <v>30407</v>
      </c>
      <c r="B443" s="72">
        <v>98.8</v>
      </c>
      <c r="C443" s="71">
        <v>34060</v>
      </c>
      <c r="D443" s="72">
        <v>151.4</v>
      </c>
      <c r="E443" s="71">
        <v>37712</v>
      </c>
      <c r="F443" s="72">
        <v>179.1</v>
      </c>
      <c r="G443" s="71">
        <v>34060</v>
      </c>
      <c r="H443" s="72">
        <v>104.9</v>
      </c>
    </row>
    <row r="444" spans="1:8" x14ac:dyDescent="0.2">
      <c r="A444" s="71">
        <v>30437</v>
      </c>
      <c r="B444" s="72">
        <v>99.2</v>
      </c>
      <c r="C444" s="71">
        <v>34090</v>
      </c>
      <c r="D444" s="72">
        <v>151.80000000000001</v>
      </c>
      <c r="E444" s="71">
        <v>37742</v>
      </c>
      <c r="F444" s="72">
        <v>179.4</v>
      </c>
      <c r="G444" s="71">
        <v>34090</v>
      </c>
      <c r="H444" s="72">
        <v>104.3</v>
      </c>
    </row>
    <row r="445" spans="1:8" x14ac:dyDescent="0.2">
      <c r="A445" s="71">
        <v>30468</v>
      </c>
      <c r="B445" s="72">
        <v>99.4</v>
      </c>
      <c r="C445" s="71">
        <v>34121</v>
      </c>
      <c r="D445" s="72">
        <v>152.1</v>
      </c>
      <c r="E445" s="71">
        <v>37773</v>
      </c>
      <c r="F445" s="72">
        <v>180.3</v>
      </c>
      <c r="G445" s="71">
        <v>34121</v>
      </c>
      <c r="H445" s="72">
        <v>103.9</v>
      </c>
    </row>
    <row r="446" spans="1:8" x14ac:dyDescent="0.2">
      <c r="A446" s="71">
        <v>30498</v>
      </c>
      <c r="B446" s="72">
        <v>99.8</v>
      </c>
      <c r="C446" s="71">
        <v>34151</v>
      </c>
      <c r="D446" s="72">
        <v>152.30000000000001</v>
      </c>
      <c r="E446" s="71">
        <v>37803</v>
      </c>
      <c r="F446" s="72">
        <v>180.4</v>
      </c>
      <c r="G446" s="71">
        <v>34151</v>
      </c>
      <c r="H446" s="72">
        <v>103.4</v>
      </c>
    </row>
    <row r="447" spans="1:8" x14ac:dyDescent="0.2">
      <c r="A447" s="71">
        <v>30529</v>
      </c>
      <c r="B447" s="72">
        <v>100.1</v>
      </c>
      <c r="C447" s="71">
        <v>34182</v>
      </c>
      <c r="D447" s="72">
        <v>152.80000000000001</v>
      </c>
      <c r="E447" s="71">
        <v>37834</v>
      </c>
      <c r="F447" s="72">
        <v>181.1</v>
      </c>
      <c r="G447" s="71">
        <v>34182</v>
      </c>
      <c r="H447" s="72">
        <v>103.4</v>
      </c>
    </row>
    <row r="448" spans="1:8" x14ac:dyDescent="0.2">
      <c r="A448" s="71">
        <v>30560</v>
      </c>
      <c r="B448" s="72">
        <v>100.4</v>
      </c>
      <c r="C448" s="71">
        <v>34213</v>
      </c>
      <c r="D448" s="72">
        <v>152.9</v>
      </c>
      <c r="E448" s="71">
        <v>37865</v>
      </c>
      <c r="F448" s="72">
        <v>181.5</v>
      </c>
      <c r="G448" s="71">
        <v>34213</v>
      </c>
      <c r="H448" s="72">
        <v>103</v>
      </c>
    </row>
    <row r="449" spans="1:8" x14ac:dyDescent="0.2">
      <c r="A449" s="71">
        <v>30590</v>
      </c>
      <c r="B449" s="72">
        <v>100.8</v>
      </c>
      <c r="C449" s="71">
        <v>34243</v>
      </c>
      <c r="D449" s="72">
        <v>153.4</v>
      </c>
      <c r="E449" s="71">
        <v>37895</v>
      </c>
      <c r="F449" s="72">
        <v>182.2</v>
      </c>
      <c r="G449" s="71">
        <v>34243</v>
      </c>
      <c r="H449" s="72">
        <v>105.3</v>
      </c>
    </row>
    <row r="450" spans="1:8" x14ac:dyDescent="0.2">
      <c r="A450" s="71">
        <v>30621</v>
      </c>
      <c r="B450" s="72">
        <v>101.1</v>
      </c>
      <c r="C450" s="71">
        <v>34274</v>
      </c>
      <c r="D450" s="72">
        <v>153.9</v>
      </c>
      <c r="E450" s="71">
        <v>37926</v>
      </c>
      <c r="F450" s="72">
        <v>183.1</v>
      </c>
      <c r="G450" s="71">
        <v>34274</v>
      </c>
      <c r="H450" s="72">
        <v>104.4</v>
      </c>
    </row>
    <row r="451" spans="1:8" x14ac:dyDescent="0.2">
      <c r="A451" s="71">
        <v>30651</v>
      </c>
      <c r="B451" s="72">
        <v>101.4</v>
      </c>
      <c r="C451" s="71">
        <v>34304</v>
      </c>
      <c r="D451" s="72">
        <v>154.30000000000001</v>
      </c>
      <c r="E451" s="71">
        <v>37956</v>
      </c>
      <c r="F451" s="72">
        <v>184</v>
      </c>
      <c r="G451" s="71">
        <v>34304</v>
      </c>
      <c r="H451" s="72">
        <v>103.7</v>
      </c>
    </row>
    <row r="452" spans="1:8" x14ac:dyDescent="0.2">
      <c r="A452" s="71">
        <v>30682</v>
      </c>
      <c r="B452" s="72">
        <v>102.1</v>
      </c>
      <c r="C452" s="71">
        <v>34335</v>
      </c>
      <c r="D452" s="72">
        <v>154.5</v>
      </c>
      <c r="E452" s="71">
        <v>37987</v>
      </c>
      <c r="F452" s="72">
        <v>183.9</v>
      </c>
      <c r="G452" s="71">
        <v>34335</v>
      </c>
      <c r="H452" s="72">
        <v>102.8</v>
      </c>
    </row>
    <row r="453" spans="1:8" x14ac:dyDescent="0.2">
      <c r="A453" s="71">
        <v>30713</v>
      </c>
      <c r="B453" s="72">
        <v>102.6</v>
      </c>
      <c r="C453" s="71">
        <v>34366</v>
      </c>
      <c r="D453" s="72">
        <v>154.80000000000001</v>
      </c>
      <c r="E453" s="71">
        <v>38018</v>
      </c>
      <c r="F453" s="72">
        <v>184.3</v>
      </c>
      <c r="G453" s="71">
        <v>34366</v>
      </c>
      <c r="H453" s="72">
        <v>104.1</v>
      </c>
    </row>
    <row r="454" spans="1:8" x14ac:dyDescent="0.2">
      <c r="A454" s="71">
        <v>30742</v>
      </c>
      <c r="B454" s="72">
        <v>102.9</v>
      </c>
      <c r="C454" s="71">
        <v>34394</v>
      </c>
      <c r="D454" s="72">
        <v>155.30000000000001</v>
      </c>
      <c r="E454" s="71">
        <v>38047</v>
      </c>
      <c r="F454" s="72">
        <v>184.7</v>
      </c>
      <c r="G454" s="71">
        <v>34394</v>
      </c>
      <c r="H454" s="72">
        <v>104.3</v>
      </c>
    </row>
    <row r="455" spans="1:8" x14ac:dyDescent="0.2">
      <c r="A455" s="71">
        <v>30773</v>
      </c>
      <c r="B455" s="72">
        <v>103.3</v>
      </c>
      <c r="C455" s="71">
        <v>34425</v>
      </c>
      <c r="D455" s="72">
        <v>155.5</v>
      </c>
      <c r="E455" s="71">
        <v>38078</v>
      </c>
      <c r="F455" s="72">
        <v>185.1</v>
      </c>
      <c r="G455" s="71">
        <v>34425</v>
      </c>
      <c r="H455" s="72">
        <v>103.7</v>
      </c>
    </row>
    <row r="456" spans="1:8" x14ac:dyDescent="0.2">
      <c r="A456" s="71">
        <v>30803</v>
      </c>
      <c r="B456" s="72">
        <v>103.5</v>
      </c>
      <c r="C456" s="71">
        <v>34455</v>
      </c>
      <c r="D456" s="72">
        <v>155.9</v>
      </c>
      <c r="E456" s="71">
        <v>38108</v>
      </c>
      <c r="F456" s="72">
        <v>186.5</v>
      </c>
      <c r="G456" s="71">
        <v>34455</v>
      </c>
      <c r="H456" s="72">
        <v>102.8</v>
      </c>
    </row>
    <row r="457" spans="1:8" x14ac:dyDescent="0.2">
      <c r="A457" s="71">
        <v>30834</v>
      </c>
      <c r="B457" s="72">
        <v>103.7</v>
      </c>
      <c r="C457" s="71">
        <v>34486</v>
      </c>
      <c r="D457" s="72">
        <v>156.4</v>
      </c>
      <c r="E457" s="71">
        <v>38139</v>
      </c>
      <c r="F457" s="72">
        <v>186.9</v>
      </c>
      <c r="G457" s="71">
        <v>34486</v>
      </c>
      <c r="H457" s="72">
        <v>103.1</v>
      </c>
    </row>
    <row r="458" spans="1:8" x14ac:dyDescent="0.2">
      <c r="A458" s="71">
        <v>30864</v>
      </c>
      <c r="B458" s="72">
        <v>104.1</v>
      </c>
      <c r="C458" s="71">
        <v>34516</v>
      </c>
      <c r="D458" s="72">
        <v>156.69999999999999</v>
      </c>
      <c r="E458" s="71">
        <v>38169</v>
      </c>
      <c r="F458" s="72">
        <v>187.3</v>
      </c>
      <c r="G458" s="71">
        <v>34516</v>
      </c>
      <c r="H458" s="72">
        <v>104.5</v>
      </c>
    </row>
    <row r="459" spans="1:8" x14ac:dyDescent="0.2">
      <c r="A459" s="71">
        <v>30895</v>
      </c>
      <c r="B459" s="72">
        <v>104.4</v>
      </c>
      <c r="C459" s="71">
        <v>34547</v>
      </c>
      <c r="D459" s="72">
        <v>157.1</v>
      </c>
      <c r="E459" s="71">
        <v>38200</v>
      </c>
      <c r="F459" s="72">
        <v>187.5</v>
      </c>
      <c r="G459" s="71">
        <v>34547</v>
      </c>
      <c r="H459" s="72">
        <v>106.7</v>
      </c>
    </row>
    <row r="460" spans="1:8" x14ac:dyDescent="0.2">
      <c r="A460" s="71">
        <v>30926</v>
      </c>
      <c r="B460" s="72">
        <v>104.7</v>
      </c>
      <c r="C460" s="71">
        <v>34578</v>
      </c>
      <c r="D460" s="72">
        <v>157.5</v>
      </c>
      <c r="E460" s="71">
        <v>38231</v>
      </c>
      <c r="F460" s="72">
        <v>187.4</v>
      </c>
      <c r="G460" s="71">
        <v>34578</v>
      </c>
      <c r="H460" s="72">
        <v>106.1</v>
      </c>
    </row>
    <row r="461" spans="1:8" x14ac:dyDescent="0.2">
      <c r="A461" s="71">
        <v>30956</v>
      </c>
      <c r="B461" s="72">
        <v>105.1</v>
      </c>
      <c r="C461" s="71">
        <v>34608</v>
      </c>
      <c r="D461" s="72">
        <v>157.80000000000001</v>
      </c>
      <c r="E461" s="71">
        <v>38261</v>
      </c>
      <c r="F461" s="72">
        <v>188.3</v>
      </c>
      <c r="G461" s="71">
        <v>34608</v>
      </c>
      <c r="H461" s="72">
        <v>105.7</v>
      </c>
    </row>
    <row r="462" spans="1:8" x14ac:dyDescent="0.2">
      <c r="A462" s="71">
        <v>30987</v>
      </c>
      <c r="B462" s="72">
        <v>105.3</v>
      </c>
      <c r="C462" s="71">
        <v>34639</v>
      </c>
      <c r="D462" s="72">
        <v>158.19999999999999</v>
      </c>
      <c r="E462" s="71">
        <v>38292</v>
      </c>
      <c r="F462" s="72">
        <v>188.9</v>
      </c>
      <c r="G462" s="71">
        <v>34639</v>
      </c>
      <c r="H462" s="72">
        <v>106.1</v>
      </c>
    </row>
    <row r="463" spans="1:8" x14ac:dyDescent="0.2">
      <c r="A463" s="71">
        <v>31017</v>
      </c>
      <c r="B463" s="72">
        <v>105.5</v>
      </c>
      <c r="C463" s="71">
        <v>34669</v>
      </c>
      <c r="D463" s="72">
        <v>158.30000000000001</v>
      </c>
      <c r="E463" s="71">
        <v>38322</v>
      </c>
      <c r="F463" s="72">
        <v>188.9</v>
      </c>
      <c r="G463" s="71">
        <v>34669</v>
      </c>
      <c r="H463" s="72">
        <v>105.9</v>
      </c>
    </row>
    <row r="464" spans="1:8" x14ac:dyDescent="0.2">
      <c r="A464" s="71">
        <v>31048</v>
      </c>
      <c r="B464" s="72">
        <v>105.7</v>
      </c>
      <c r="C464" s="71">
        <v>34700</v>
      </c>
      <c r="D464" s="72">
        <v>159</v>
      </c>
      <c r="E464" s="71">
        <v>38353</v>
      </c>
      <c r="F464" s="72">
        <v>189.1</v>
      </c>
      <c r="G464" s="71">
        <v>34700</v>
      </c>
      <c r="H464" s="72">
        <v>105.7</v>
      </c>
    </row>
    <row r="465" spans="1:8" x14ac:dyDescent="0.2">
      <c r="A465" s="71">
        <v>31079</v>
      </c>
      <c r="B465" s="72">
        <v>106.3</v>
      </c>
      <c r="C465" s="71">
        <v>34731</v>
      </c>
      <c r="D465" s="72">
        <v>159.4</v>
      </c>
      <c r="E465" s="71">
        <v>38384</v>
      </c>
      <c r="F465" s="72">
        <v>189.2</v>
      </c>
      <c r="G465" s="71">
        <v>34731</v>
      </c>
      <c r="H465" s="72">
        <v>105.8</v>
      </c>
    </row>
    <row r="466" spans="1:8" x14ac:dyDescent="0.2">
      <c r="A466" s="71">
        <v>31107</v>
      </c>
      <c r="B466" s="72">
        <v>106.8</v>
      </c>
      <c r="C466" s="71">
        <v>34759</v>
      </c>
      <c r="D466" s="72">
        <v>159.9</v>
      </c>
      <c r="E466" s="71">
        <v>38412</v>
      </c>
      <c r="F466" s="72">
        <v>189.6</v>
      </c>
      <c r="G466" s="71">
        <v>34759</v>
      </c>
      <c r="H466" s="72">
        <v>105.5</v>
      </c>
    </row>
    <row r="467" spans="1:8" x14ac:dyDescent="0.2">
      <c r="A467" s="71">
        <v>31138</v>
      </c>
      <c r="B467" s="72">
        <v>107</v>
      </c>
      <c r="C467" s="71">
        <v>34790</v>
      </c>
      <c r="D467" s="72">
        <v>160.4</v>
      </c>
      <c r="E467" s="71">
        <v>38443</v>
      </c>
      <c r="F467" s="72">
        <v>190.8</v>
      </c>
      <c r="G467" s="71">
        <v>34790</v>
      </c>
      <c r="H467" s="72">
        <v>105.6</v>
      </c>
    </row>
    <row r="468" spans="1:8" x14ac:dyDescent="0.2">
      <c r="A468" s="71">
        <v>31168</v>
      </c>
      <c r="B468" s="72">
        <v>107.2</v>
      </c>
      <c r="C468" s="71">
        <v>34820</v>
      </c>
      <c r="D468" s="72">
        <v>160.69999999999999</v>
      </c>
      <c r="E468" s="71">
        <v>38473</v>
      </c>
      <c r="F468" s="72">
        <v>191</v>
      </c>
      <c r="G468" s="71">
        <v>34820</v>
      </c>
      <c r="H468" s="72">
        <v>105.8</v>
      </c>
    </row>
    <row r="469" spans="1:8" x14ac:dyDescent="0.2">
      <c r="A469" s="71">
        <v>31199</v>
      </c>
      <c r="B469" s="72">
        <v>107.5</v>
      </c>
      <c r="C469" s="71">
        <v>34851</v>
      </c>
      <c r="D469" s="72">
        <v>161.1</v>
      </c>
      <c r="E469" s="71">
        <v>38504</v>
      </c>
      <c r="F469" s="72">
        <v>191</v>
      </c>
      <c r="G469" s="71">
        <v>34851</v>
      </c>
      <c r="H469" s="72">
        <v>106.7</v>
      </c>
    </row>
    <row r="470" spans="1:8" x14ac:dyDescent="0.2">
      <c r="A470" s="71">
        <v>31229</v>
      </c>
      <c r="B470" s="72">
        <v>107.7</v>
      </c>
      <c r="C470" s="71">
        <v>34881</v>
      </c>
      <c r="D470" s="72">
        <v>161.4</v>
      </c>
      <c r="E470" s="71">
        <v>38534</v>
      </c>
      <c r="F470" s="72">
        <v>191.4</v>
      </c>
      <c r="G470" s="71">
        <v>34881</v>
      </c>
      <c r="H470" s="72">
        <v>105.8</v>
      </c>
    </row>
    <row r="471" spans="1:8" x14ac:dyDescent="0.2">
      <c r="A471" s="71">
        <v>31260</v>
      </c>
      <c r="B471" s="72">
        <v>107.9</v>
      </c>
      <c r="C471" s="71">
        <v>34912</v>
      </c>
      <c r="D471" s="72">
        <v>161.80000000000001</v>
      </c>
      <c r="E471" s="71">
        <v>38565</v>
      </c>
      <c r="F471" s="72">
        <v>191.5</v>
      </c>
      <c r="G471" s="71">
        <v>34912</v>
      </c>
      <c r="H471" s="72">
        <v>105.6</v>
      </c>
    </row>
    <row r="472" spans="1:8" x14ac:dyDescent="0.2">
      <c r="A472" s="71">
        <v>31291</v>
      </c>
      <c r="B472" s="72">
        <v>108.1</v>
      </c>
      <c r="C472" s="71">
        <v>34943</v>
      </c>
      <c r="D472" s="72">
        <v>162.19999999999999</v>
      </c>
      <c r="E472" s="71">
        <v>38596</v>
      </c>
      <c r="F472" s="72">
        <v>191.9</v>
      </c>
      <c r="G472" s="71">
        <v>34943</v>
      </c>
      <c r="H472" s="72">
        <v>104.1</v>
      </c>
    </row>
    <row r="473" spans="1:8" x14ac:dyDescent="0.2">
      <c r="A473" s="71">
        <v>31321</v>
      </c>
      <c r="B473" s="72">
        <v>108.5</v>
      </c>
      <c r="C473" s="71">
        <v>34973</v>
      </c>
      <c r="D473" s="72">
        <v>162.69999999999999</v>
      </c>
      <c r="E473" s="71">
        <v>38626</v>
      </c>
      <c r="F473" s="72">
        <v>192.4</v>
      </c>
      <c r="G473" s="71">
        <v>34973</v>
      </c>
      <c r="H473" s="72">
        <v>104.4</v>
      </c>
    </row>
    <row r="474" spans="1:8" x14ac:dyDescent="0.2">
      <c r="A474" s="71">
        <v>31352</v>
      </c>
      <c r="B474" s="72">
        <v>109</v>
      </c>
      <c r="C474" s="71">
        <v>35004</v>
      </c>
      <c r="D474" s="72">
        <v>163</v>
      </c>
      <c r="E474" s="71">
        <v>38657</v>
      </c>
      <c r="F474" s="72">
        <v>193</v>
      </c>
      <c r="G474" s="71">
        <v>35004</v>
      </c>
      <c r="H474" s="72">
        <v>103.4</v>
      </c>
    </row>
    <row r="475" spans="1:8" x14ac:dyDescent="0.2">
      <c r="A475" s="71">
        <v>31382</v>
      </c>
      <c r="B475" s="72">
        <v>109.5</v>
      </c>
      <c r="C475" s="71">
        <v>35034</v>
      </c>
      <c r="D475" s="72">
        <v>163.1</v>
      </c>
      <c r="E475" s="71">
        <v>38687</v>
      </c>
      <c r="F475" s="72">
        <v>193.3</v>
      </c>
      <c r="G475" s="71">
        <v>35034</v>
      </c>
      <c r="H475" s="72">
        <v>104.4</v>
      </c>
    </row>
    <row r="476" spans="1:8" x14ac:dyDescent="0.2">
      <c r="A476" s="71">
        <v>31413</v>
      </c>
      <c r="B476" s="72">
        <v>109.9</v>
      </c>
      <c r="C476" s="71">
        <v>35065</v>
      </c>
      <c r="D476" s="72">
        <v>163.69999999999999</v>
      </c>
      <c r="E476" s="71">
        <v>38718</v>
      </c>
      <c r="F476" s="72">
        <v>194.1</v>
      </c>
      <c r="G476" s="71">
        <v>35065</v>
      </c>
      <c r="H476" s="72">
        <v>106.9</v>
      </c>
    </row>
    <row r="477" spans="1:8" x14ac:dyDescent="0.2">
      <c r="A477" s="71">
        <v>31444</v>
      </c>
      <c r="B477" s="72">
        <v>109.7</v>
      </c>
      <c r="C477" s="71">
        <v>35096</v>
      </c>
      <c r="D477" s="72">
        <v>164</v>
      </c>
      <c r="E477" s="71">
        <v>38749</v>
      </c>
      <c r="F477" s="72">
        <v>194.2</v>
      </c>
      <c r="G477" s="71">
        <v>35096</v>
      </c>
      <c r="H477" s="72">
        <v>107.1</v>
      </c>
    </row>
    <row r="478" spans="1:8" x14ac:dyDescent="0.2">
      <c r="A478" s="71">
        <v>31472</v>
      </c>
      <c r="B478" s="72">
        <v>109.1</v>
      </c>
      <c r="C478" s="71">
        <v>35125</v>
      </c>
      <c r="D478" s="72">
        <v>164.4</v>
      </c>
      <c r="E478" s="71">
        <v>38777</v>
      </c>
      <c r="F478" s="72">
        <v>194.4</v>
      </c>
      <c r="G478" s="71">
        <v>35125</v>
      </c>
      <c r="H478" s="72">
        <v>108.3</v>
      </c>
    </row>
    <row r="479" spans="1:8" x14ac:dyDescent="0.2">
      <c r="A479" s="71">
        <v>31503</v>
      </c>
      <c r="B479" s="72">
        <v>108.7</v>
      </c>
      <c r="C479" s="71">
        <v>35156</v>
      </c>
      <c r="D479" s="72">
        <v>164.6</v>
      </c>
      <c r="E479" s="71">
        <v>38808</v>
      </c>
      <c r="F479" s="72">
        <v>194.3</v>
      </c>
      <c r="G479" s="71">
        <v>35156</v>
      </c>
      <c r="H479" s="72">
        <v>111.2</v>
      </c>
    </row>
    <row r="480" spans="1:8" x14ac:dyDescent="0.2">
      <c r="A480" s="71">
        <v>31533</v>
      </c>
      <c r="B480" s="72">
        <v>109</v>
      </c>
      <c r="C480" s="71">
        <v>35186</v>
      </c>
      <c r="D480" s="72">
        <v>165</v>
      </c>
      <c r="E480" s="71">
        <v>38838</v>
      </c>
      <c r="F480" s="72">
        <v>194.7</v>
      </c>
      <c r="G480" s="71">
        <v>35186</v>
      </c>
      <c r="H480" s="72">
        <v>112</v>
      </c>
    </row>
    <row r="481" spans="1:8" x14ac:dyDescent="0.2">
      <c r="A481" s="71">
        <v>31564</v>
      </c>
      <c r="B481" s="72">
        <v>109.4</v>
      </c>
      <c r="C481" s="71">
        <v>35217</v>
      </c>
      <c r="D481" s="72">
        <v>165.4</v>
      </c>
      <c r="E481" s="71">
        <v>38869</v>
      </c>
      <c r="F481" s="72">
        <v>195.3</v>
      </c>
      <c r="G481" s="71">
        <v>35217</v>
      </c>
      <c r="H481" s="72">
        <v>110.3</v>
      </c>
    </row>
    <row r="482" spans="1:8" x14ac:dyDescent="0.2">
      <c r="A482" s="71">
        <v>31594</v>
      </c>
      <c r="B482" s="72">
        <v>109.5</v>
      </c>
      <c r="C482" s="71">
        <v>35247</v>
      </c>
      <c r="D482" s="72">
        <v>165.7</v>
      </c>
      <c r="E482" s="71">
        <v>38899</v>
      </c>
      <c r="F482" s="72">
        <v>195.7</v>
      </c>
      <c r="G482" s="71">
        <v>35247</v>
      </c>
      <c r="H482" s="72">
        <v>110.1</v>
      </c>
    </row>
    <row r="483" spans="1:8" x14ac:dyDescent="0.2">
      <c r="A483" s="71">
        <v>31625</v>
      </c>
      <c r="B483" s="72">
        <v>109.6</v>
      </c>
      <c r="C483" s="71">
        <v>35278</v>
      </c>
      <c r="D483" s="72">
        <v>166</v>
      </c>
      <c r="E483" s="71">
        <v>38930</v>
      </c>
      <c r="F483" s="72">
        <v>196.2</v>
      </c>
      <c r="G483" s="71">
        <v>35278</v>
      </c>
      <c r="H483" s="72">
        <v>109.7</v>
      </c>
    </row>
    <row r="484" spans="1:8" x14ac:dyDescent="0.2">
      <c r="A484" s="71">
        <v>31656</v>
      </c>
      <c r="B484" s="72">
        <v>110</v>
      </c>
      <c r="C484" s="71">
        <v>35309</v>
      </c>
      <c r="D484" s="72">
        <v>166.5</v>
      </c>
      <c r="E484" s="71">
        <v>38961</v>
      </c>
      <c r="F484" s="72">
        <v>196.8</v>
      </c>
      <c r="G484" s="71">
        <v>35309</v>
      </c>
      <c r="H484" s="72">
        <v>109.8</v>
      </c>
    </row>
    <row r="485" spans="1:8" x14ac:dyDescent="0.2">
      <c r="A485" s="71">
        <v>31686</v>
      </c>
      <c r="B485" s="72">
        <v>110.2</v>
      </c>
      <c r="C485" s="71">
        <v>35339</v>
      </c>
      <c r="D485" s="72">
        <v>166.8</v>
      </c>
      <c r="E485" s="71">
        <v>38991</v>
      </c>
      <c r="F485" s="72">
        <v>197.4</v>
      </c>
      <c r="G485" s="71">
        <v>35339</v>
      </c>
      <c r="H485" s="72">
        <v>110.5</v>
      </c>
    </row>
    <row r="486" spans="1:8" x14ac:dyDescent="0.2">
      <c r="A486" s="71">
        <v>31717</v>
      </c>
      <c r="B486" s="72">
        <v>110.4</v>
      </c>
      <c r="C486" s="71">
        <v>35370</v>
      </c>
      <c r="D486" s="72">
        <v>167.2</v>
      </c>
      <c r="E486" s="71">
        <v>39022</v>
      </c>
      <c r="F486" s="72">
        <v>197.4</v>
      </c>
      <c r="G486" s="71">
        <v>35370</v>
      </c>
      <c r="H486" s="72">
        <v>111.8</v>
      </c>
    </row>
    <row r="487" spans="1:8" x14ac:dyDescent="0.2">
      <c r="A487" s="71">
        <v>31747</v>
      </c>
      <c r="B487" s="72">
        <v>110.8</v>
      </c>
      <c r="C487" s="71">
        <v>35400</v>
      </c>
      <c r="D487" s="72">
        <v>167.4</v>
      </c>
      <c r="E487" s="71">
        <v>39052</v>
      </c>
      <c r="F487" s="72">
        <v>197.5</v>
      </c>
      <c r="G487" s="71">
        <v>35400</v>
      </c>
      <c r="H487" s="72">
        <v>113.9</v>
      </c>
    </row>
    <row r="488" spans="1:8" x14ac:dyDescent="0.2">
      <c r="A488" s="71">
        <v>31778</v>
      </c>
      <c r="B488" s="72">
        <v>111.4</v>
      </c>
      <c r="C488" s="71">
        <v>35431</v>
      </c>
      <c r="D488" s="72">
        <v>167.8</v>
      </c>
      <c r="E488" s="71">
        <v>39083</v>
      </c>
      <c r="F488" s="72">
        <v>198.81299999999999</v>
      </c>
      <c r="G488" s="71">
        <v>35431</v>
      </c>
      <c r="H488" s="72">
        <v>115.2</v>
      </c>
    </row>
    <row r="489" spans="1:8" x14ac:dyDescent="0.2">
      <c r="A489" s="71">
        <v>31809</v>
      </c>
      <c r="B489" s="72">
        <v>111.8</v>
      </c>
      <c r="C489" s="71">
        <v>35462</v>
      </c>
      <c r="D489" s="72">
        <v>168.1</v>
      </c>
      <c r="E489" s="71">
        <v>39114</v>
      </c>
      <c r="F489" s="72">
        <v>200.126</v>
      </c>
      <c r="G489" s="71">
        <v>35462</v>
      </c>
      <c r="H489" s="72">
        <v>115</v>
      </c>
    </row>
    <row r="490" spans="1:8" x14ac:dyDescent="0.2">
      <c r="A490" s="71">
        <v>31837</v>
      </c>
      <c r="B490" s="72">
        <v>112.2</v>
      </c>
      <c r="C490" s="71">
        <v>35490</v>
      </c>
      <c r="D490" s="72">
        <v>168.4</v>
      </c>
      <c r="E490" s="71">
        <v>39142</v>
      </c>
      <c r="F490" s="72">
        <v>200.85300000000001</v>
      </c>
      <c r="G490" s="71">
        <v>35490</v>
      </c>
      <c r="H490" s="72">
        <v>113</v>
      </c>
    </row>
    <row r="491" spans="1:8" x14ac:dyDescent="0.2">
      <c r="A491" s="71">
        <v>31868</v>
      </c>
      <c r="B491" s="72">
        <v>112.7</v>
      </c>
      <c r="C491" s="71">
        <v>35521</v>
      </c>
      <c r="D491" s="72">
        <v>168.9</v>
      </c>
      <c r="E491" s="71">
        <v>39173</v>
      </c>
      <c r="F491" s="72">
        <v>201.392</v>
      </c>
      <c r="G491" s="71">
        <v>35521</v>
      </c>
      <c r="H491" s="72">
        <v>111</v>
      </c>
    </row>
    <row r="492" spans="1:8" x14ac:dyDescent="0.2">
      <c r="A492" s="71">
        <v>31898</v>
      </c>
      <c r="B492" s="72">
        <v>113</v>
      </c>
      <c r="C492" s="71">
        <v>35551</v>
      </c>
      <c r="D492" s="72">
        <v>169.2</v>
      </c>
      <c r="E492" s="71">
        <v>39203</v>
      </c>
      <c r="F492" s="72">
        <v>202.15700000000001</v>
      </c>
      <c r="G492" s="71">
        <v>35551</v>
      </c>
      <c r="H492" s="72">
        <v>108.8</v>
      </c>
    </row>
    <row r="493" spans="1:8" x14ac:dyDescent="0.2">
      <c r="A493" s="71">
        <v>31929</v>
      </c>
      <c r="B493" s="72">
        <v>113.5</v>
      </c>
      <c r="C493" s="71">
        <v>35582</v>
      </c>
      <c r="D493" s="72">
        <v>169.4</v>
      </c>
      <c r="E493" s="71">
        <v>39234</v>
      </c>
      <c r="F493" s="72">
        <v>202.977</v>
      </c>
      <c r="G493" s="71">
        <v>35582</v>
      </c>
      <c r="H493" s="72">
        <v>110</v>
      </c>
    </row>
    <row r="494" spans="1:8" x14ac:dyDescent="0.2">
      <c r="A494" s="71">
        <v>31959</v>
      </c>
      <c r="B494" s="72">
        <v>113.8</v>
      </c>
      <c r="C494" s="71">
        <v>35612</v>
      </c>
      <c r="D494" s="72">
        <v>169.7</v>
      </c>
      <c r="E494" s="71">
        <v>39264</v>
      </c>
      <c r="F494" s="72">
        <v>203.64</v>
      </c>
      <c r="G494" s="71">
        <v>35612</v>
      </c>
      <c r="H494" s="72">
        <v>109.1</v>
      </c>
    </row>
    <row r="495" spans="1:8" x14ac:dyDescent="0.2">
      <c r="A495" s="71">
        <v>31990</v>
      </c>
      <c r="B495" s="72">
        <v>114.3</v>
      </c>
      <c r="C495" s="71">
        <v>35643</v>
      </c>
      <c r="D495" s="72">
        <v>169.8</v>
      </c>
      <c r="E495" s="71">
        <v>39295</v>
      </c>
      <c r="F495" s="72">
        <v>204.41800000000001</v>
      </c>
      <c r="G495" s="71">
        <v>35643</v>
      </c>
      <c r="H495" s="72">
        <v>110.9</v>
      </c>
    </row>
    <row r="496" spans="1:8" x14ac:dyDescent="0.2">
      <c r="A496" s="71">
        <v>32021</v>
      </c>
      <c r="B496" s="72">
        <v>114.7</v>
      </c>
      <c r="C496" s="71">
        <v>35674</v>
      </c>
      <c r="D496" s="72">
        <v>170.2</v>
      </c>
      <c r="E496" s="71">
        <v>39326</v>
      </c>
      <c r="F496" s="72">
        <v>205.34700000000001</v>
      </c>
      <c r="G496" s="71">
        <v>35674</v>
      </c>
      <c r="H496" s="72">
        <v>112.4</v>
      </c>
    </row>
    <row r="497" spans="1:8" x14ac:dyDescent="0.2">
      <c r="A497" s="71">
        <v>32051</v>
      </c>
      <c r="B497" s="72">
        <v>115</v>
      </c>
      <c r="C497" s="71">
        <v>35704</v>
      </c>
      <c r="D497" s="72">
        <v>170.6</v>
      </c>
      <c r="E497" s="71">
        <v>39356</v>
      </c>
      <c r="F497" s="72">
        <v>205.988</v>
      </c>
      <c r="G497" s="71">
        <v>35704</v>
      </c>
      <c r="H497" s="72">
        <v>111.8</v>
      </c>
    </row>
    <row r="498" spans="1:8" x14ac:dyDescent="0.2">
      <c r="A498" s="71">
        <v>32082</v>
      </c>
      <c r="B498" s="72">
        <v>115.4</v>
      </c>
      <c r="C498" s="71">
        <v>35735</v>
      </c>
      <c r="D498" s="72">
        <v>170.8</v>
      </c>
      <c r="E498" s="71">
        <v>39387</v>
      </c>
      <c r="F498" s="72">
        <v>206.78899999999999</v>
      </c>
      <c r="G498" s="71">
        <v>35735</v>
      </c>
      <c r="H498" s="72">
        <v>111.4</v>
      </c>
    </row>
    <row r="499" spans="1:8" x14ac:dyDescent="0.2">
      <c r="A499" s="71">
        <v>32112</v>
      </c>
      <c r="B499" s="72">
        <v>115.6</v>
      </c>
      <c r="C499" s="71">
        <v>35765</v>
      </c>
      <c r="D499" s="72">
        <v>171.2</v>
      </c>
      <c r="E499" s="71">
        <v>39417</v>
      </c>
      <c r="F499" s="72">
        <v>207.14099999999999</v>
      </c>
      <c r="G499" s="71">
        <v>35765</v>
      </c>
      <c r="H499" s="72">
        <v>109.8</v>
      </c>
    </row>
    <row r="500" spans="1:8" x14ac:dyDescent="0.2">
      <c r="A500" s="71">
        <v>32143</v>
      </c>
      <c r="B500" s="72">
        <v>116</v>
      </c>
      <c r="C500" s="71">
        <v>35796</v>
      </c>
      <c r="D500" s="72">
        <v>171.6</v>
      </c>
      <c r="E500" s="71">
        <v>39448</v>
      </c>
      <c r="F500" s="72">
        <v>208.392</v>
      </c>
      <c r="G500" s="71">
        <v>35796</v>
      </c>
      <c r="H500" s="72">
        <v>107.5</v>
      </c>
    </row>
    <row r="501" spans="1:8" x14ac:dyDescent="0.2">
      <c r="A501" s="71">
        <v>32174</v>
      </c>
      <c r="B501" s="72">
        <v>116.2</v>
      </c>
      <c r="C501" s="71">
        <v>35827</v>
      </c>
      <c r="D501" s="72">
        <v>171.9</v>
      </c>
      <c r="E501" s="71">
        <v>39479</v>
      </c>
      <c r="F501" s="72">
        <v>209.18299999999999</v>
      </c>
      <c r="G501" s="71">
        <v>35827</v>
      </c>
      <c r="H501" s="72">
        <v>105.1</v>
      </c>
    </row>
    <row r="502" spans="1:8" x14ac:dyDescent="0.2">
      <c r="A502" s="71">
        <v>32203</v>
      </c>
      <c r="B502" s="72">
        <v>116.5</v>
      </c>
      <c r="C502" s="71">
        <v>35855</v>
      </c>
      <c r="D502" s="72">
        <v>172.2</v>
      </c>
      <c r="E502" s="71">
        <v>39508</v>
      </c>
      <c r="F502" s="72">
        <v>209.595</v>
      </c>
      <c r="G502" s="71">
        <v>35855</v>
      </c>
      <c r="H502" s="72">
        <v>103.3</v>
      </c>
    </row>
    <row r="503" spans="1:8" x14ac:dyDescent="0.2">
      <c r="A503" s="71">
        <v>32234</v>
      </c>
      <c r="B503" s="72">
        <v>117.2</v>
      </c>
      <c r="C503" s="71">
        <v>35886</v>
      </c>
      <c r="D503" s="72">
        <v>172.5</v>
      </c>
      <c r="E503" s="71">
        <v>39539</v>
      </c>
      <c r="F503" s="72">
        <v>211.36799999999999</v>
      </c>
      <c r="G503" s="71">
        <v>35886</v>
      </c>
      <c r="H503" s="72">
        <v>102.4</v>
      </c>
    </row>
    <row r="504" spans="1:8" x14ac:dyDescent="0.2">
      <c r="A504" s="71">
        <v>32264</v>
      </c>
      <c r="B504" s="72">
        <v>117.5</v>
      </c>
      <c r="C504" s="71">
        <v>35916</v>
      </c>
      <c r="D504" s="72">
        <v>172.9</v>
      </c>
      <c r="E504" s="71">
        <v>39569</v>
      </c>
      <c r="F504" s="72">
        <v>212.20400000000001</v>
      </c>
      <c r="G504" s="71">
        <v>35916</v>
      </c>
      <c r="H504" s="72">
        <v>103.2</v>
      </c>
    </row>
    <row r="505" spans="1:8" x14ac:dyDescent="0.2">
      <c r="A505" s="71">
        <v>32295</v>
      </c>
      <c r="B505" s="72">
        <v>118</v>
      </c>
      <c r="C505" s="71">
        <v>35947</v>
      </c>
      <c r="D505" s="72">
        <v>173.2</v>
      </c>
      <c r="E505" s="71">
        <v>39600</v>
      </c>
      <c r="F505" s="72">
        <v>213.452</v>
      </c>
      <c r="G505" s="71">
        <v>35947</v>
      </c>
      <c r="H505" s="72">
        <v>103.6</v>
      </c>
    </row>
    <row r="506" spans="1:8" x14ac:dyDescent="0.2">
      <c r="A506" s="71">
        <v>32325</v>
      </c>
      <c r="B506" s="72">
        <v>118.5</v>
      </c>
      <c r="C506" s="71">
        <v>35977</v>
      </c>
      <c r="D506" s="72">
        <v>173.5</v>
      </c>
      <c r="E506" s="71">
        <v>39630</v>
      </c>
      <c r="F506" s="72">
        <v>215.44900000000001</v>
      </c>
      <c r="G506" s="71">
        <v>35977</v>
      </c>
      <c r="H506" s="72">
        <v>103.3</v>
      </c>
    </row>
    <row r="507" spans="1:8" x14ac:dyDescent="0.2">
      <c r="A507" s="71">
        <v>32356</v>
      </c>
      <c r="B507" s="72">
        <v>119</v>
      </c>
      <c r="C507" s="71">
        <v>36008</v>
      </c>
      <c r="D507" s="72">
        <v>174</v>
      </c>
      <c r="E507" s="71">
        <v>39661</v>
      </c>
      <c r="F507" s="72">
        <v>216.53</v>
      </c>
      <c r="G507" s="71">
        <v>36008</v>
      </c>
      <c r="H507" s="72">
        <v>102.1</v>
      </c>
    </row>
    <row r="508" spans="1:8" x14ac:dyDescent="0.2">
      <c r="A508" s="71">
        <v>32387</v>
      </c>
      <c r="B508" s="72">
        <v>119.5</v>
      </c>
      <c r="C508" s="71">
        <v>36039</v>
      </c>
      <c r="D508" s="72">
        <v>174.2</v>
      </c>
      <c r="E508" s="71">
        <v>39692</v>
      </c>
      <c r="F508" s="72">
        <v>217.749</v>
      </c>
      <c r="G508" s="71">
        <v>36039</v>
      </c>
      <c r="H508" s="72">
        <v>101.3</v>
      </c>
    </row>
    <row r="509" spans="1:8" x14ac:dyDescent="0.2">
      <c r="A509" s="71">
        <v>32417</v>
      </c>
      <c r="B509" s="72">
        <v>119.9</v>
      </c>
      <c r="C509" s="71">
        <v>36069</v>
      </c>
      <c r="D509" s="72">
        <v>174.4</v>
      </c>
      <c r="E509" s="71">
        <v>39722</v>
      </c>
      <c r="F509" s="72">
        <v>218.63200000000001</v>
      </c>
      <c r="G509" s="71">
        <v>36069</v>
      </c>
      <c r="H509" s="72">
        <v>101.5</v>
      </c>
    </row>
    <row r="510" spans="1:8" x14ac:dyDescent="0.2">
      <c r="A510" s="71">
        <v>32448</v>
      </c>
      <c r="B510" s="72">
        <v>120.3</v>
      </c>
      <c r="C510" s="71">
        <v>36100</v>
      </c>
      <c r="D510" s="72">
        <v>174.8</v>
      </c>
      <c r="E510" s="71">
        <v>39753</v>
      </c>
      <c r="F510" s="72">
        <v>219.07900000000001</v>
      </c>
      <c r="G510" s="71">
        <v>36100</v>
      </c>
      <c r="H510" s="72">
        <v>101.1</v>
      </c>
    </row>
    <row r="511" spans="1:8" x14ac:dyDescent="0.2">
      <c r="A511" s="71">
        <v>32478</v>
      </c>
      <c r="B511" s="72">
        <v>120.7</v>
      </c>
      <c r="C511" s="71">
        <v>36130</v>
      </c>
      <c r="D511" s="72">
        <v>175.4</v>
      </c>
      <c r="E511" s="71">
        <v>39783</v>
      </c>
      <c r="F511" s="72">
        <v>219.15100000000001</v>
      </c>
      <c r="G511" s="71">
        <v>36130</v>
      </c>
      <c r="H511" s="72">
        <v>100.1</v>
      </c>
    </row>
    <row r="512" spans="1:8" x14ac:dyDescent="0.2">
      <c r="A512" s="71">
        <v>32509</v>
      </c>
      <c r="B512" s="72">
        <v>121.2</v>
      </c>
      <c r="C512" s="71">
        <v>36161</v>
      </c>
      <c r="D512" s="72">
        <v>175.6</v>
      </c>
      <c r="E512" s="71">
        <v>39814</v>
      </c>
      <c r="F512" s="72">
        <v>219.32300000000001</v>
      </c>
      <c r="G512" s="71">
        <v>36161</v>
      </c>
      <c r="H512" s="72">
        <v>99.7</v>
      </c>
    </row>
    <row r="513" spans="1:8" x14ac:dyDescent="0.2">
      <c r="A513" s="71">
        <v>32540</v>
      </c>
      <c r="B513" s="72">
        <v>121.6</v>
      </c>
      <c r="C513" s="71">
        <v>36192</v>
      </c>
      <c r="D513" s="72">
        <v>175.6</v>
      </c>
      <c r="E513" s="71">
        <v>39845</v>
      </c>
      <c r="F513" s="72">
        <v>219.05799999999999</v>
      </c>
      <c r="G513" s="71">
        <v>36192</v>
      </c>
      <c r="H513" s="72">
        <v>99.2</v>
      </c>
    </row>
    <row r="514" spans="1:8" x14ac:dyDescent="0.2">
      <c r="A514" s="71">
        <v>32568</v>
      </c>
      <c r="B514" s="72">
        <v>122.2</v>
      </c>
      <c r="C514" s="71">
        <v>36220</v>
      </c>
      <c r="D514" s="72">
        <v>175.7</v>
      </c>
      <c r="E514" s="71">
        <v>39873</v>
      </c>
      <c r="F514" s="72">
        <v>218.68199999999999</v>
      </c>
      <c r="G514" s="71">
        <v>36220</v>
      </c>
      <c r="H514" s="72">
        <v>100.4</v>
      </c>
    </row>
    <row r="515" spans="1:8" x14ac:dyDescent="0.2">
      <c r="A515" s="71">
        <v>32599</v>
      </c>
      <c r="B515" s="72">
        <v>123.1</v>
      </c>
      <c r="C515" s="71">
        <v>36251</v>
      </c>
      <c r="D515" s="72">
        <v>176.3</v>
      </c>
      <c r="E515" s="71">
        <v>39904</v>
      </c>
      <c r="F515" s="72">
        <v>218.37200000000001</v>
      </c>
      <c r="G515" s="71">
        <v>36251</v>
      </c>
      <c r="H515" s="72">
        <v>105.5</v>
      </c>
    </row>
    <row r="516" spans="1:8" x14ac:dyDescent="0.2">
      <c r="A516" s="71">
        <v>32629</v>
      </c>
      <c r="B516" s="72">
        <v>123.7</v>
      </c>
      <c r="C516" s="71">
        <v>36281</v>
      </c>
      <c r="D516" s="72">
        <v>176.5</v>
      </c>
      <c r="E516" s="71">
        <v>39934</v>
      </c>
      <c r="F516" s="72">
        <v>218.053</v>
      </c>
      <c r="G516" s="71">
        <v>36281</v>
      </c>
      <c r="H516" s="72">
        <v>104.9</v>
      </c>
    </row>
    <row r="517" spans="1:8" x14ac:dyDescent="0.2">
      <c r="A517" s="71">
        <v>32660</v>
      </c>
      <c r="B517" s="72">
        <v>124.1</v>
      </c>
      <c r="C517" s="71">
        <v>36312</v>
      </c>
      <c r="D517" s="72">
        <v>176.6</v>
      </c>
      <c r="E517" s="71">
        <v>39965</v>
      </c>
      <c r="F517" s="72">
        <v>218.09200000000001</v>
      </c>
      <c r="G517" s="71">
        <v>36312</v>
      </c>
      <c r="H517" s="72">
        <v>104.5</v>
      </c>
    </row>
    <row r="518" spans="1:8" x14ac:dyDescent="0.2">
      <c r="A518" s="71">
        <v>32690</v>
      </c>
      <c r="B518" s="72">
        <v>124.5</v>
      </c>
      <c r="C518" s="71">
        <v>36342</v>
      </c>
      <c r="D518" s="72">
        <v>177.1</v>
      </c>
      <c r="E518" s="71">
        <v>39995</v>
      </c>
      <c r="F518" s="72">
        <v>217.72499999999999</v>
      </c>
      <c r="G518" s="71">
        <v>36342</v>
      </c>
      <c r="H518" s="72">
        <v>106.7</v>
      </c>
    </row>
    <row r="519" spans="1:8" x14ac:dyDescent="0.2">
      <c r="A519" s="71">
        <v>32721</v>
      </c>
      <c r="B519" s="72">
        <v>124.5</v>
      </c>
      <c r="C519" s="71">
        <v>36373</v>
      </c>
      <c r="D519" s="72">
        <v>177.3</v>
      </c>
      <c r="E519" s="71">
        <v>40026</v>
      </c>
      <c r="F519" s="72">
        <v>217.738</v>
      </c>
      <c r="G519" s="71">
        <v>36373</v>
      </c>
      <c r="H519" s="72">
        <v>109.5</v>
      </c>
    </row>
    <row r="520" spans="1:8" x14ac:dyDescent="0.2">
      <c r="A520" s="71">
        <v>32752</v>
      </c>
      <c r="B520" s="72">
        <v>124.8</v>
      </c>
      <c r="C520" s="71">
        <v>36404</v>
      </c>
      <c r="D520" s="72">
        <v>177.8</v>
      </c>
      <c r="E520" s="71">
        <v>40057</v>
      </c>
      <c r="F520" s="72">
        <v>217.66399999999999</v>
      </c>
      <c r="G520" s="71">
        <v>36404</v>
      </c>
      <c r="H520" s="72">
        <v>111.8</v>
      </c>
    </row>
    <row r="521" spans="1:8" x14ac:dyDescent="0.2">
      <c r="A521" s="71">
        <v>32782</v>
      </c>
      <c r="B521" s="72">
        <v>125.4</v>
      </c>
      <c r="C521" s="71">
        <v>36434</v>
      </c>
      <c r="D521" s="72">
        <v>178.1</v>
      </c>
      <c r="E521" s="71">
        <v>40087</v>
      </c>
      <c r="F521" s="72">
        <v>217.881</v>
      </c>
      <c r="G521" s="71">
        <v>36434</v>
      </c>
      <c r="H521" s="72">
        <v>112</v>
      </c>
    </row>
    <row r="522" spans="1:8" x14ac:dyDescent="0.2">
      <c r="A522" s="71">
        <v>32813</v>
      </c>
      <c r="B522" s="72">
        <v>125.9</v>
      </c>
      <c r="C522" s="71">
        <v>36465</v>
      </c>
      <c r="D522" s="72">
        <v>178.4</v>
      </c>
      <c r="E522" s="71">
        <v>40118</v>
      </c>
      <c r="F522" s="72">
        <v>218.05500000000001</v>
      </c>
      <c r="G522" s="71">
        <v>36465</v>
      </c>
      <c r="H522" s="72">
        <v>111.5</v>
      </c>
    </row>
    <row r="523" spans="1:8" x14ac:dyDescent="0.2">
      <c r="A523" s="71">
        <v>32843</v>
      </c>
      <c r="B523" s="72">
        <v>126.3</v>
      </c>
      <c r="C523" s="71">
        <v>36495</v>
      </c>
      <c r="D523" s="72">
        <v>178.7</v>
      </c>
      <c r="E523" s="71">
        <v>40148</v>
      </c>
      <c r="F523" s="72">
        <v>218.34100000000001</v>
      </c>
      <c r="G523" s="71">
        <v>36495</v>
      </c>
      <c r="H523" s="72">
        <v>113.8</v>
      </c>
    </row>
    <row r="524" spans="1:8" x14ac:dyDescent="0.2">
      <c r="A524" s="71">
        <v>32874</v>
      </c>
      <c r="B524" s="72">
        <v>127.5</v>
      </c>
      <c r="C524" s="71">
        <v>36526</v>
      </c>
      <c r="D524" s="72">
        <v>179.3</v>
      </c>
      <c r="E524" s="71">
        <v>40179</v>
      </c>
      <c r="F524" s="72">
        <v>218.85499999999999</v>
      </c>
      <c r="G524" s="71">
        <v>36526</v>
      </c>
      <c r="H524" s="72">
        <v>115</v>
      </c>
    </row>
    <row r="525" spans="1:8" x14ac:dyDescent="0.2">
      <c r="A525" s="71">
        <v>32905</v>
      </c>
      <c r="B525" s="72">
        <v>128</v>
      </c>
      <c r="C525" s="71">
        <v>36557</v>
      </c>
      <c r="D525" s="72">
        <v>179.4</v>
      </c>
      <c r="E525" s="71">
        <v>40210</v>
      </c>
      <c r="F525" s="72">
        <v>218.898</v>
      </c>
      <c r="G525" s="71">
        <v>36557</v>
      </c>
      <c r="H525" s="72">
        <v>118.8</v>
      </c>
    </row>
    <row r="526" spans="1:8" x14ac:dyDescent="0.2">
      <c r="A526" s="71">
        <v>32933</v>
      </c>
      <c r="B526" s="72">
        <v>128.6</v>
      </c>
      <c r="C526" s="71">
        <v>36586</v>
      </c>
      <c r="D526" s="72">
        <v>180</v>
      </c>
      <c r="E526" s="71">
        <v>40238</v>
      </c>
      <c r="F526" s="72">
        <v>219.321</v>
      </c>
      <c r="G526" s="71">
        <v>36586</v>
      </c>
      <c r="H526" s="72">
        <v>124.3</v>
      </c>
    </row>
    <row r="527" spans="1:8" x14ac:dyDescent="0.2">
      <c r="A527" s="71">
        <v>32964</v>
      </c>
      <c r="B527" s="72">
        <v>128.9</v>
      </c>
      <c r="C527" s="71">
        <v>36617</v>
      </c>
      <c r="D527" s="72">
        <v>180.3</v>
      </c>
      <c r="E527" s="71">
        <v>40269</v>
      </c>
      <c r="F527" s="72">
        <v>219.53100000000001</v>
      </c>
      <c r="G527" s="71">
        <v>36617</v>
      </c>
      <c r="H527" s="72">
        <v>120.9</v>
      </c>
    </row>
    <row r="528" spans="1:8" x14ac:dyDescent="0.2">
      <c r="A528" s="71">
        <v>32994</v>
      </c>
      <c r="B528" s="72">
        <v>129.1</v>
      </c>
      <c r="C528" s="71">
        <v>36647</v>
      </c>
      <c r="D528" s="72">
        <v>180.7</v>
      </c>
      <c r="E528" s="71">
        <v>40299</v>
      </c>
      <c r="F528" s="72">
        <v>219.65100000000001</v>
      </c>
      <c r="G528" s="71">
        <v>36647</v>
      </c>
      <c r="H528" s="72">
        <v>120</v>
      </c>
    </row>
    <row r="529" spans="1:8" x14ac:dyDescent="0.2">
      <c r="A529" s="71">
        <v>33025</v>
      </c>
      <c r="B529" s="72">
        <v>129.9</v>
      </c>
      <c r="C529" s="71">
        <v>36678</v>
      </c>
      <c r="D529" s="72">
        <v>181.1</v>
      </c>
      <c r="E529" s="71">
        <v>40330</v>
      </c>
      <c r="F529" s="72">
        <v>219.62700000000001</v>
      </c>
      <c r="G529" s="71">
        <v>36678</v>
      </c>
      <c r="H529" s="72">
        <v>126.8</v>
      </c>
    </row>
    <row r="530" spans="1:8" x14ac:dyDescent="0.2">
      <c r="A530" s="71">
        <v>33055</v>
      </c>
      <c r="B530" s="72">
        <v>130.5</v>
      </c>
      <c r="C530" s="71">
        <v>36708</v>
      </c>
      <c r="D530" s="72">
        <v>181.5</v>
      </c>
      <c r="E530" s="71">
        <v>40360</v>
      </c>
      <c r="F530" s="72">
        <v>219.643</v>
      </c>
      <c r="G530" s="71">
        <v>36708</v>
      </c>
      <c r="H530" s="72">
        <v>127.3</v>
      </c>
    </row>
    <row r="531" spans="1:8" x14ac:dyDescent="0.2">
      <c r="A531" s="71">
        <v>33086</v>
      </c>
      <c r="B531" s="72">
        <v>131.6</v>
      </c>
      <c r="C531" s="71">
        <v>36739</v>
      </c>
      <c r="D531" s="72">
        <v>181.9</v>
      </c>
      <c r="E531" s="71">
        <v>40391</v>
      </c>
      <c r="F531" s="72">
        <v>219.87899999999999</v>
      </c>
      <c r="G531" s="71">
        <v>36739</v>
      </c>
      <c r="H531" s="72">
        <v>123.8</v>
      </c>
    </row>
    <row r="532" spans="1:8" x14ac:dyDescent="0.2">
      <c r="A532" s="71">
        <v>33117</v>
      </c>
      <c r="B532" s="72">
        <v>132.5</v>
      </c>
      <c r="C532" s="71">
        <v>36770</v>
      </c>
      <c r="D532" s="72">
        <v>182.3</v>
      </c>
      <c r="E532" s="71">
        <v>40422</v>
      </c>
      <c r="F532" s="72">
        <v>220.59800000000001</v>
      </c>
      <c r="G532" s="71">
        <v>36770</v>
      </c>
      <c r="H532" s="72">
        <v>129.19999999999999</v>
      </c>
    </row>
    <row r="533" spans="1:8" x14ac:dyDescent="0.2">
      <c r="A533" s="71">
        <v>33147</v>
      </c>
      <c r="B533" s="72">
        <v>133.4</v>
      </c>
      <c r="C533" s="71">
        <v>36800</v>
      </c>
      <c r="D533" s="72">
        <v>182.6</v>
      </c>
      <c r="E533" s="71">
        <v>40452</v>
      </c>
      <c r="F533" s="72">
        <v>220.911</v>
      </c>
      <c r="G533" s="71">
        <v>36800</v>
      </c>
      <c r="H533" s="72">
        <v>129.6</v>
      </c>
    </row>
    <row r="534" spans="1:8" x14ac:dyDescent="0.2">
      <c r="A534" s="71">
        <v>33178</v>
      </c>
      <c r="B534" s="72">
        <v>133.69999999999999</v>
      </c>
      <c r="C534" s="71">
        <v>36831</v>
      </c>
      <c r="D534" s="72">
        <v>183.1</v>
      </c>
      <c r="E534" s="71">
        <v>40483</v>
      </c>
      <c r="F534" s="72">
        <v>221.315</v>
      </c>
      <c r="G534" s="71">
        <v>36831</v>
      </c>
      <c r="H534" s="72">
        <v>129.19999999999999</v>
      </c>
    </row>
    <row r="535" spans="1:8" x14ac:dyDescent="0.2">
      <c r="A535" s="71">
        <v>33208</v>
      </c>
      <c r="B535" s="72">
        <v>134.19999999999999</v>
      </c>
      <c r="C535" s="71">
        <v>36861</v>
      </c>
      <c r="D535" s="72">
        <v>183.3</v>
      </c>
      <c r="E535" s="71">
        <v>40513</v>
      </c>
      <c r="F535" s="72">
        <v>221.55600000000001</v>
      </c>
      <c r="G535" s="71">
        <v>36861</v>
      </c>
      <c r="H535" s="72">
        <v>130.1</v>
      </c>
    </row>
    <row r="536" spans="1:8" x14ac:dyDescent="0.2">
      <c r="A536" s="71">
        <v>33239</v>
      </c>
      <c r="B536" s="72">
        <v>134.69999999999999</v>
      </c>
      <c r="C536" s="71">
        <v>36892</v>
      </c>
      <c r="D536" s="72">
        <v>183.9</v>
      </c>
      <c r="E536" s="71">
        <v>40544</v>
      </c>
      <c r="F536" s="72">
        <v>222.73500000000001</v>
      </c>
      <c r="G536" s="71">
        <v>36892</v>
      </c>
      <c r="H536" s="72">
        <v>135</v>
      </c>
    </row>
    <row r="537" spans="1:8" x14ac:dyDescent="0.2">
      <c r="A537" s="71">
        <v>33270</v>
      </c>
      <c r="B537" s="72">
        <v>134.80000000000001</v>
      </c>
      <c r="C537" s="71">
        <v>36923</v>
      </c>
      <c r="D537" s="72">
        <v>184.4</v>
      </c>
      <c r="E537" s="71">
        <v>40575</v>
      </c>
      <c r="F537" s="72">
        <v>223.73400000000001</v>
      </c>
      <c r="G537" s="71">
        <v>36923</v>
      </c>
      <c r="H537" s="72">
        <v>134.1</v>
      </c>
    </row>
    <row r="538" spans="1:8" x14ac:dyDescent="0.2">
      <c r="A538" s="71">
        <v>33298</v>
      </c>
      <c r="B538" s="72">
        <v>134.80000000000001</v>
      </c>
      <c r="C538" s="71">
        <v>36951</v>
      </c>
      <c r="D538" s="72">
        <v>184.7</v>
      </c>
      <c r="E538" s="71">
        <v>40603</v>
      </c>
      <c r="F538" s="72">
        <v>225.33699999999999</v>
      </c>
      <c r="G538" s="71">
        <v>36951</v>
      </c>
      <c r="H538" s="72">
        <v>131.69999999999999</v>
      </c>
    </row>
    <row r="539" spans="1:8" x14ac:dyDescent="0.2">
      <c r="A539" s="71">
        <v>33329</v>
      </c>
      <c r="B539" s="72">
        <v>135.1</v>
      </c>
      <c r="C539" s="71">
        <v>36982</v>
      </c>
      <c r="D539" s="72">
        <v>185.1</v>
      </c>
      <c r="E539" s="71">
        <v>40634</v>
      </c>
      <c r="F539" s="72">
        <v>226.18</v>
      </c>
      <c r="G539" s="71">
        <v>36982</v>
      </c>
      <c r="H539" s="72">
        <v>132.30000000000001</v>
      </c>
    </row>
    <row r="540" spans="1:8" x14ac:dyDescent="0.2">
      <c r="A540" s="71">
        <v>33359</v>
      </c>
      <c r="B540" s="72">
        <v>135.6</v>
      </c>
      <c r="C540" s="71">
        <v>37012</v>
      </c>
      <c r="D540" s="72">
        <v>185.3</v>
      </c>
      <c r="E540" s="71">
        <v>40664</v>
      </c>
      <c r="F540" s="72">
        <v>227.04499999999999</v>
      </c>
      <c r="G540" s="71">
        <v>37012</v>
      </c>
      <c r="H540" s="72">
        <v>138.4</v>
      </c>
    </row>
    <row r="541" spans="1:8" x14ac:dyDescent="0.2">
      <c r="A541" s="71">
        <v>33390</v>
      </c>
      <c r="B541" s="72">
        <v>136</v>
      </c>
      <c r="C541" s="71">
        <v>37043</v>
      </c>
      <c r="D541" s="72">
        <v>186</v>
      </c>
      <c r="E541" s="71">
        <v>40695</v>
      </c>
      <c r="F541" s="72">
        <v>227.60300000000001</v>
      </c>
      <c r="G541" s="71">
        <v>37043</v>
      </c>
      <c r="H541" s="72">
        <v>136.9</v>
      </c>
    </row>
    <row r="542" spans="1:8" x14ac:dyDescent="0.2">
      <c r="A542" s="71">
        <v>33420</v>
      </c>
      <c r="B542" s="72">
        <v>136.19999999999999</v>
      </c>
      <c r="C542" s="71">
        <v>37073</v>
      </c>
      <c r="D542" s="72">
        <v>186.4</v>
      </c>
      <c r="E542" s="71">
        <v>40725</v>
      </c>
      <c r="F542" s="72">
        <v>228.47300000000001</v>
      </c>
      <c r="G542" s="71">
        <v>37073</v>
      </c>
      <c r="H542" s="72">
        <v>129.6</v>
      </c>
    </row>
    <row r="543" spans="1:8" x14ac:dyDescent="0.2">
      <c r="A543" s="71">
        <v>33451</v>
      </c>
      <c r="B543" s="72">
        <v>136.6</v>
      </c>
      <c r="C543" s="71">
        <v>37104</v>
      </c>
      <c r="D543" s="72">
        <v>186.7</v>
      </c>
      <c r="E543" s="71">
        <v>40756</v>
      </c>
      <c r="F543" s="72">
        <v>229.577</v>
      </c>
      <c r="G543" s="71">
        <v>37104</v>
      </c>
      <c r="H543" s="72">
        <v>127.3</v>
      </c>
    </row>
    <row r="544" spans="1:8" x14ac:dyDescent="0.2">
      <c r="A544" s="71">
        <v>33482</v>
      </c>
      <c r="B544" s="72">
        <v>137</v>
      </c>
      <c r="C544" s="71">
        <v>37135</v>
      </c>
      <c r="D544" s="72">
        <v>187.1</v>
      </c>
      <c r="E544" s="71">
        <v>40787</v>
      </c>
      <c r="F544" s="72">
        <v>230.56100000000001</v>
      </c>
      <c r="G544" s="71">
        <v>37135</v>
      </c>
      <c r="H544" s="72">
        <v>130.9</v>
      </c>
    </row>
    <row r="545" spans="1:8" x14ac:dyDescent="0.2">
      <c r="A545" s="71">
        <v>33512</v>
      </c>
      <c r="B545" s="72">
        <v>137.19999999999999</v>
      </c>
      <c r="C545" s="71">
        <v>37165</v>
      </c>
      <c r="D545" s="72">
        <v>187.4</v>
      </c>
      <c r="E545" s="71">
        <v>40817</v>
      </c>
      <c r="F545" s="72">
        <v>230.77600000000001</v>
      </c>
      <c r="G545" s="71">
        <v>37165</v>
      </c>
      <c r="H545" s="72">
        <v>122.9</v>
      </c>
    </row>
    <row r="546" spans="1:8" x14ac:dyDescent="0.2">
      <c r="A546" s="71">
        <v>33543</v>
      </c>
      <c r="B546" s="72">
        <v>137.80000000000001</v>
      </c>
      <c r="C546" s="71">
        <v>37196</v>
      </c>
      <c r="D546" s="72">
        <v>188.1</v>
      </c>
      <c r="E546" s="71">
        <v>40848</v>
      </c>
      <c r="F546" s="72">
        <v>230.976</v>
      </c>
      <c r="G546" s="71">
        <v>37196</v>
      </c>
      <c r="H546" s="72">
        <v>116.9</v>
      </c>
    </row>
    <row r="547" spans="1:8" x14ac:dyDescent="0.2">
      <c r="A547" s="71">
        <v>33573</v>
      </c>
      <c r="B547" s="72">
        <v>138.19999999999999</v>
      </c>
      <c r="C547" s="71">
        <v>37226</v>
      </c>
      <c r="D547" s="72">
        <v>188.4</v>
      </c>
      <c r="E547" s="71">
        <v>40878</v>
      </c>
      <c r="F547" s="72">
        <v>231.392</v>
      </c>
      <c r="G547" s="71">
        <v>37226</v>
      </c>
      <c r="H547" s="72">
        <v>113.9</v>
      </c>
    </row>
    <row r="548" spans="1:8" x14ac:dyDescent="0.2">
      <c r="A548" s="71">
        <v>33604</v>
      </c>
      <c r="B548" s="72">
        <v>138.30000000000001</v>
      </c>
      <c r="C548" s="71">
        <v>37257</v>
      </c>
      <c r="D548" s="72">
        <v>188.7</v>
      </c>
      <c r="E548" s="71">
        <v>40909</v>
      </c>
      <c r="F548" s="72">
        <v>232.131</v>
      </c>
      <c r="G548" s="71">
        <v>37257</v>
      </c>
      <c r="H548" s="72">
        <v>114.2</v>
      </c>
    </row>
    <row r="549" spans="1:8" x14ac:dyDescent="0.2">
      <c r="A549" s="71">
        <v>33635</v>
      </c>
      <c r="B549" s="72">
        <v>138.6</v>
      </c>
      <c r="C549" s="71">
        <v>37288</v>
      </c>
      <c r="D549" s="72">
        <v>189.1</v>
      </c>
      <c r="E549" s="71">
        <v>40940</v>
      </c>
      <c r="F549" s="72">
        <v>232.10300000000001</v>
      </c>
      <c r="G549" s="71">
        <v>37288</v>
      </c>
      <c r="H549" s="72">
        <v>113.5</v>
      </c>
    </row>
    <row r="550" spans="1:8" x14ac:dyDescent="0.2">
      <c r="A550" s="71">
        <v>33664</v>
      </c>
      <c r="B550" s="72">
        <v>139.1</v>
      </c>
      <c r="C550" s="71">
        <v>37316</v>
      </c>
      <c r="D550" s="72">
        <v>189.2</v>
      </c>
      <c r="E550" s="71">
        <v>40969</v>
      </c>
      <c r="F550" s="72">
        <v>232.50200000000001</v>
      </c>
      <c r="G550" s="71">
        <v>37316</v>
      </c>
      <c r="H550" s="72">
        <v>117.6</v>
      </c>
    </row>
    <row r="551" spans="1:8" x14ac:dyDescent="0.2">
      <c r="A551" s="71">
        <v>33695</v>
      </c>
      <c r="B551" s="72">
        <v>139.4</v>
      </c>
      <c r="C551" s="71">
        <v>37347</v>
      </c>
      <c r="D551" s="72">
        <v>189.7</v>
      </c>
      <c r="E551" s="71">
        <v>41000</v>
      </c>
      <c r="F551" s="72">
        <v>232.934</v>
      </c>
      <c r="G551" s="71">
        <v>37347</v>
      </c>
      <c r="H551" s="72">
        <v>121.5</v>
      </c>
    </row>
    <row r="552" spans="1:8" x14ac:dyDescent="0.2">
      <c r="A552" s="71">
        <v>33725</v>
      </c>
      <c r="B552" s="72">
        <v>139.69999999999999</v>
      </c>
      <c r="C552" s="71">
        <v>37377</v>
      </c>
      <c r="D552" s="72">
        <v>190</v>
      </c>
      <c r="E552" s="71">
        <v>41030</v>
      </c>
      <c r="F552" s="72">
        <v>233.12700000000001</v>
      </c>
      <c r="G552" s="71">
        <v>37377</v>
      </c>
      <c r="H552" s="72">
        <v>121.9</v>
      </c>
    </row>
    <row r="553" spans="1:8" x14ac:dyDescent="0.2">
      <c r="A553" s="71">
        <v>33756</v>
      </c>
      <c r="B553" s="72">
        <v>140.1</v>
      </c>
      <c r="C553" s="71">
        <v>37408</v>
      </c>
      <c r="D553" s="72">
        <v>190.2</v>
      </c>
      <c r="E553" s="71">
        <v>41061</v>
      </c>
      <c r="F553" s="72">
        <v>233.624</v>
      </c>
      <c r="G553" s="71">
        <v>37408</v>
      </c>
      <c r="H553" s="72">
        <v>121.6</v>
      </c>
    </row>
    <row r="554" spans="1:8" x14ac:dyDescent="0.2">
      <c r="A554" s="71">
        <v>33786</v>
      </c>
      <c r="B554" s="72">
        <v>140.5</v>
      </c>
      <c r="C554" s="71">
        <v>37438</v>
      </c>
      <c r="D554" s="72">
        <v>190.5</v>
      </c>
      <c r="E554" s="71">
        <v>41091</v>
      </c>
      <c r="F554" s="72">
        <v>233.75200000000001</v>
      </c>
      <c r="G554" s="71">
        <v>37438</v>
      </c>
      <c r="H554" s="72">
        <v>122.4</v>
      </c>
    </row>
    <row r="555" spans="1:8" x14ac:dyDescent="0.2">
      <c r="A555" s="71">
        <v>33817</v>
      </c>
      <c r="B555" s="72">
        <v>140.80000000000001</v>
      </c>
      <c r="C555" s="71">
        <v>37469</v>
      </c>
      <c r="D555" s="72">
        <v>191.1</v>
      </c>
      <c r="E555" s="71">
        <v>41122</v>
      </c>
      <c r="F555" s="72">
        <v>234.108</v>
      </c>
      <c r="G555" s="71">
        <v>37469</v>
      </c>
      <c r="H555" s="72">
        <v>123.1</v>
      </c>
    </row>
    <row r="556" spans="1:8" x14ac:dyDescent="0.2">
      <c r="A556" s="71">
        <v>33848</v>
      </c>
      <c r="B556" s="72">
        <v>141.1</v>
      </c>
      <c r="C556" s="71">
        <v>37500</v>
      </c>
      <c r="D556" s="72">
        <v>191.3</v>
      </c>
      <c r="E556" s="71">
        <v>41153</v>
      </c>
      <c r="F556" s="72">
        <v>234.286</v>
      </c>
      <c r="G556" s="71">
        <v>37500</v>
      </c>
      <c r="H556" s="72">
        <v>123.7</v>
      </c>
    </row>
    <row r="557" spans="1:8" x14ac:dyDescent="0.2">
      <c r="A557" s="71">
        <v>33878</v>
      </c>
      <c r="B557" s="72">
        <v>141.69999999999999</v>
      </c>
      <c r="C557" s="71">
        <v>37530</v>
      </c>
      <c r="D557" s="72">
        <v>191.5</v>
      </c>
      <c r="E557" s="71">
        <v>41183</v>
      </c>
      <c r="F557" s="72">
        <v>234.69399999999999</v>
      </c>
      <c r="G557" s="71">
        <v>37530</v>
      </c>
      <c r="H557" s="72">
        <v>126.9</v>
      </c>
    </row>
    <row r="558" spans="1:8" x14ac:dyDescent="0.2">
      <c r="A558" s="71">
        <v>33909</v>
      </c>
      <c r="B558" s="72">
        <v>142.1</v>
      </c>
      <c r="C558" s="71">
        <v>37561</v>
      </c>
      <c r="D558" s="72">
        <v>191.9</v>
      </c>
      <c r="E558" s="71">
        <v>41214</v>
      </c>
      <c r="F558" s="72">
        <v>235.1</v>
      </c>
      <c r="G558" s="71">
        <v>37561</v>
      </c>
      <c r="H558" s="72">
        <v>126.7</v>
      </c>
    </row>
    <row r="559" spans="1:8" x14ac:dyDescent="0.2">
      <c r="A559" s="71">
        <v>33939</v>
      </c>
      <c r="B559" s="72">
        <v>142.30000000000001</v>
      </c>
      <c r="C559" s="71">
        <v>37591</v>
      </c>
      <c r="D559" s="72">
        <v>192.1</v>
      </c>
      <c r="E559" s="71">
        <v>41244</v>
      </c>
      <c r="F559" s="72">
        <v>235.52099999999999</v>
      </c>
      <c r="G559" s="71">
        <v>37591</v>
      </c>
      <c r="H559" s="72">
        <v>127.1</v>
      </c>
    </row>
    <row r="560" spans="1:8" x14ac:dyDescent="0.2">
      <c r="A560" s="71">
        <v>33970</v>
      </c>
      <c r="B560" s="72">
        <v>142.80000000000001</v>
      </c>
      <c r="C560" s="71">
        <v>37622</v>
      </c>
      <c r="D560" s="72">
        <v>192.4</v>
      </c>
      <c r="E560" s="71">
        <v>41275</v>
      </c>
      <c r="F560" s="72">
        <v>235.78899999999999</v>
      </c>
      <c r="G560" s="71">
        <v>37622</v>
      </c>
      <c r="H560" s="72">
        <v>133.5</v>
      </c>
    </row>
    <row r="561" spans="1:8" x14ac:dyDescent="0.2">
      <c r="A561" s="71">
        <v>34001</v>
      </c>
      <c r="B561" s="72">
        <v>143.1</v>
      </c>
      <c r="C561" s="71">
        <v>37653</v>
      </c>
      <c r="D561" s="72">
        <v>192.5</v>
      </c>
      <c r="E561" s="71">
        <v>41306</v>
      </c>
      <c r="F561" s="72">
        <v>235.89699999999999</v>
      </c>
      <c r="G561" s="71">
        <v>37653</v>
      </c>
      <c r="H561" s="72">
        <v>140.80000000000001</v>
      </c>
    </row>
    <row r="562" spans="1:8" x14ac:dyDescent="0.2">
      <c r="A562" s="71">
        <v>34029</v>
      </c>
      <c r="B562" s="72">
        <v>143.30000000000001</v>
      </c>
      <c r="C562" s="71">
        <v>37681</v>
      </c>
      <c r="D562" s="72">
        <v>192.5</v>
      </c>
      <c r="E562" s="71">
        <v>41334</v>
      </c>
      <c r="F562" s="72">
        <v>236.15299999999999</v>
      </c>
      <c r="G562" s="71">
        <v>37681</v>
      </c>
      <c r="H562" s="72">
        <v>143.9</v>
      </c>
    </row>
    <row r="563" spans="1:8" x14ac:dyDescent="0.2">
      <c r="A563" s="71">
        <v>34060</v>
      </c>
      <c r="B563" s="72">
        <v>143.80000000000001</v>
      </c>
      <c r="C563" s="71">
        <v>37712</v>
      </c>
      <c r="D563" s="72">
        <v>192.5</v>
      </c>
      <c r="E563" s="71">
        <v>41365</v>
      </c>
      <c r="F563" s="72">
        <v>236.624</v>
      </c>
      <c r="G563" s="71">
        <v>37712</v>
      </c>
      <c r="H563" s="72">
        <v>136.5</v>
      </c>
    </row>
    <row r="564" spans="1:8" x14ac:dyDescent="0.2">
      <c r="A564" s="71">
        <v>34090</v>
      </c>
      <c r="B564" s="72">
        <v>144.19999999999999</v>
      </c>
      <c r="C564" s="71">
        <v>37742</v>
      </c>
      <c r="D564" s="72">
        <v>192.9</v>
      </c>
      <c r="E564" s="71">
        <v>41395</v>
      </c>
      <c r="F564" s="72">
        <v>236.40899999999999</v>
      </c>
      <c r="G564" s="71">
        <v>37742</v>
      </c>
      <c r="H564" s="72">
        <v>129.4</v>
      </c>
    </row>
    <row r="565" spans="1:8" x14ac:dyDescent="0.2">
      <c r="A565" s="71">
        <v>34121</v>
      </c>
      <c r="B565" s="72">
        <v>144.30000000000001</v>
      </c>
      <c r="C565" s="71">
        <v>37773</v>
      </c>
      <c r="D565" s="72">
        <v>193</v>
      </c>
      <c r="E565" s="71">
        <v>41426</v>
      </c>
      <c r="F565" s="72">
        <v>236.899</v>
      </c>
      <c r="G565" s="71">
        <v>37773</v>
      </c>
      <c r="H565" s="72">
        <v>129.80000000000001</v>
      </c>
    </row>
    <row r="566" spans="1:8" x14ac:dyDescent="0.2">
      <c r="A566" s="71">
        <v>34151</v>
      </c>
      <c r="B566" s="72">
        <v>144.5</v>
      </c>
      <c r="C566" s="71">
        <v>37803</v>
      </c>
      <c r="D566" s="72">
        <v>193.4</v>
      </c>
      <c r="E566" s="71">
        <v>41456</v>
      </c>
      <c r="F566" s="72">
        <v>237.14500000000001</v>
      </c>
      <c r="G566" s="71">
        <v>37803</v>
      </c>
      <c r="H566" s="72">
        <v>132.19999999999999</v>
      </c>
    </row>
    <row r="567" spans="1:8" x14ac:dyDescent="0.2">
      <c r="A567" s="71">
        <v>34182</v>
      </c>
      <c r="B567" s="72">
        <v>144.80000000000001</v>
      </c>
      <c r="C567" s="71">
        <v>37834</v>
      </c>
      <c r="D567" s="72">
        <v>193.6</v>
      </c>
      <c r="E567" s="71">
        <v>41487</v>
      </c>
      <c r="F567" s="72">
        <v>237.41499999999999</v>
      </c>
      <c r="G567" s="71">
        <v>37834</v>
      </c>
      <c r="H567" s="72">
        <v>137.80000000000001</v>
      </c>
    </row>
    <row r="568" spans="1:8" x14ac:dyDescent="0.2">
      <c r="A568" s="71">
        <v>34213</v>
      </c>
      <c r="B568" s="72">
        <v>145</v>
      </c>
      <c r="C568" s="71">
        <v>37865</v>
      </c>
      <c r="D568" s="72">
        <v>193.7</v>
      </c>
      <c r="E568" s="71">
        <v>41518</v>
      </c>
      <c r="F568" s="72">
        <v>237.483</v>
      </c>
      <c r="G568" s="71">
        <v>37865</v>
      </c>
      <c r="H568" s="72">
        <v>142.9</v>
      </c>
    </row>
    <row r="569" spans="1:8" x14ac:dyDescent="0.2">
      <c r="A569" s="71">
        <v>34243</v>
      </c>
      <c r="B569" s="72">
        <v>145.6</v>
      </c>
      <c r="C569" s="71">
        <v>37895</v>
      </c>
      <c r="D569" s="72">
        <v>194</v>
      </c>
      <c r="E569" s="71">
        <v>41548</v>
      </c>
      <c r="F569" s="72">
        <v>237.672</v>
      </c>
      <c r="G569" s="71">
        <v>37895</v>
      </c>
      <c r="H569" s="72">
        <v>137.80000000000001</v>
      </c>
    </row>
    <row r="570" spans="1:8" x14ac:dyDescent="0.2">
      <c r="A570" s="71">
        <v>34274</v>
      </c>
      <c r="B570" s="72">
        <v>146</v>
      </c>
      <c r="C570" s="71">
        <v>37926</v>
      </c>
      <c r="D570" s="72">
        <v>194</v>
      </c>
      <c r="E570" s="71">
        <v>41579</v>
      </c>
      <c r="F570" s="72">
        <v>237.86799999999999</v>
      </c>
      <c r="G570" s="71">
        <v>37926</v>
      </c>
      <c r="H570" s="72">
        <v>136.9</v>
      </c>
    </row>
    <row r="571" spans="1:8" x14ac:dyDescent="0.2">
      <c r="A571" s="71">
        <v>34304</v>
      </c>
      <c r="B571" s="72">
        <v>146.30000000000001</v>
      </c>
      <c r="C571" s="71">
        <v>37956</v>
      </c>
      <c r="D571" s="72">
        <v>194.2</v>
      </c>
      <c r="E571" s="71">
        <v>41609</v>
      </c>
      <c r="F571" s="72">
        <v>238.09200000000001</v>
      </c>
      <c r="G571" s="71">
        <v>37956</v>
      </c>
      <c r="H571" s="72">
        <v>138.80000000000001</v>
      </c>
    </row>
    <row r="572" spans="1:8" x14ac:dyDescent="0.2">
      <c r="A572" s="71">
        <v>34335</v>
      </c>
      <c r="B572" s="72">
        <v>146.30000000000001</v>
      </c>
      <c r="C572" s="71">
        <v>37987</v>
      </c>
      <c r="D572" s="72">
        <v>194.6</v>
      </c>
      <c r="E572" s="71">
        <v>41640</v>
      </c>
      <c r="F572" s="72">
        <v>238.37</v>
      </c>
      <c r="G572" s="71">
        <v>37987</v>
      </c>
      <c r="H572" s="72">
        <v>143.9</v>
      </c>
    </row>
    <row r="573" spans="1:8" x14ac:dyDescent="0.2">
      <c r="A573" s="71">
        <v>34366</v>
      </c>
      <c r="B573" s="72">
        <v>146.69999999999999</v>
      </c>
      <c r="C573" s="71">
        <v>38018</v>
      </c>
      <c r="D573" s="72">
        <v>194.9</v>
      </c>
      <c r="E573" s="71">
        <v>41671</v>
      </c>
      <c r="F573" s="72">
        <v>239.12200000000001</v>
      </c>
      <c r="G573" s="71">
        <v>38018</v>
      </c>
      <c r="H573" s="72">
        <v>145.80000000000001</v>
      </c>
    </row>
    <row r="574" spans="1:8" x14ac:dyDescent="0.2">
      <c r="A574" s="71">
        <v>34394</v>
      </c>
      <c r="B574" s="72">
        <v>147.1</v>
      </c>
      <c r="C574" s="71">
        <v>38047</v>
      </c>
      <c r="D574" s="72">
        <v>195.5</v>
      </c>
      <c r="E574" s="71">
        <v>41699</v>
      </c>
      <c r="F574" s="72">
        <v>240.202</v>
      </c>
      <c r="G574" s="71">
        <v>38047</v>
      </c>
      <c r="H574" s="72">
        <v>145.1</v>
      </c>
    </row>
    <row r="575" spans="1:8" x14ac:dyDescent="0.2">
      <c r="A575" s="71">
        <v>34425</v>
      </c>
      <c r="B575" s="72">
        <v>147.19999999999999</v>
      </c>
      <c r="C575" s="71">
        <v>38078</v>
      </c>
      <c r="D575" s="72">
        <v>195.9</v>
      </c>
      <c r="E575" s="71">
        <v>41730</v>
      </c>
      <c r="F575" s="72">
        <v>241.04400000000001</v>
      </c>
      <c r="G575" s="71">
        <v>38078</v>
      </c>
      <c r="H575" s="72">
        <v>143.4</v>
      </c>
    </row>
    <row r="576" spans="1:8" x14ac:dyDescent="0.2">
      <c r="A576" s="71">
        <v>34455</v>
      </c>
      <c r="B576" s="72">
        <v>147.5</v>
      </c>
      <c r="C576" s="71">
        <v>38108</v>
      </c>
      <c r="D576" s="72">
        <v>196.2</v>
      </c>
      <c r="E576" s="71">
        <v>41760</v>
      </c>
      <c r="F576" s="72">
        <v>242.09100000000001</v>
      </c>
      <c r="G576" s="71">
        <v>38108</v>
      </c>
      <c r="H576" s="72">
        <v>147.6</v>
      </c>
    </row>
    <row r="577" spans="1:8" x14ac:dyDescent="0.2">
      <c r="A577" s="71">
        <v>34486</v>
      </c>
      <c r="B577" s="72">
        <v>147.9</v>
      </c>
      <c r="C577" s="71">
        <v>38139</v>
      </c>
      <c r="D577" s="72">
        <v>196.6</v>
      </c>
      <c r="E577" s="71">
        <v>41791</v>
      </c>
      <c r="F577" s="72">
        <v>242.31700000000001</v>
      </c>
      <c r="G577" s="71">
        <v>38139</v>
      </c>
      <c r="H577" s="72">
        <v>151.5</v>
      </c>
    </row>
    <row r="578" spans="1:8" x14ac:dyDescent="0.2">
      <c r="A578" s="71">
        <v>34516</v>
      </c>
      <c r="B578" s="72">
        <v>148.4</v>
      </c>
      <c r="C578" s="71">
        <v>38169</v>
      </c>
      <c r="D578" s="72">
        <v>196.8</v>
      </c>
      <c r="E578" s="71">
        <v>41821</v>
      </c>
      <c r="F578" s="72">
        <v>242.91200000000001</v>
      </c>
      <c r="G578" s="71">
        <v>38169</v>
      </c>
      <c r="H578" s="72">
        <v>151.1</v>
      </c>
    </row>
    <row r="579" spans="1:8" x14ac:dyDescent="0.2">
      <c r="A579" s="71">
        <v>34547</v>
      </c>
      <c r="B579" s="72">
        <v>149</v>
      </c>
      <c r="C579" s="71">
        <v>38200</v>
      </c>
      <c r="D579" s="72">
        <v>196.9</v>
      </c>
      <c r="E579" s="71">
        <v>41852</v>
      </c>
      <c r="F579" s="72">
        <v>243.57400000000001</v>
      </c>
      <c r="G579" s="71">
        <v>38200</v>
      </c>
      <c r="H579" s="72">
        <v>151.5</v>
      </c>
    </row>
    <row r="580" spans="1:8" x14ac:dyDescent="0.2">
      <c r="A580" s="71">
        <v>34578</v>
      </c>
      <c r="B580" s="72">
        <v>149.30000000000001</v>
      </c>
      <c r="C580" s="71">
        <v>38231</v>
      </c>
      <c r="D580" s="72">
        <v>197.5</v>
      </c>
      <c r="E580" s="71">
        <v>41883</v>
      </c>
      <c r="F580" s="72">
        <v>244.21700000000001</v>
      </c>
      <c r="G580" s="71">
        <v>38231</v>
      </c>
      <c r="H580" s="72">
        <v>152.9</v>
      </c>
    </row>
    <row r="581" spans="1:8" x14ac:dyDescent="0.2">
      <c r="A581" s="71">
        <v>34608</v>
      </c>
      <c r="B581" s="72">
        <v>149.4</v>
      </c>
      <c r="C581" s="71">
        <v>38261</v>
      </c>
      <c r="D581" s="72">
        <v>197.9</v>
      </c>
      <c r="E581" s="71">
        <v>41913</v>
      </c>
      <c r="F581" s="72">
        <v>244.512</v>
      </c>
      <c r="G581" s="71">
        <v>38261</v>
      </c>
      <c r="H581" s="72">
        <v>158.6</v>
      </c>
    </row>
    <row r="582" spans="1:8" x14ac:dyDescent="0.2">
      <c r="A582" s="71">
        <v>34639</v>
      </c>
      <c r="B582" s="72">
        <v>149.80000000000001</v>
      </c>
      <c r="C582" s="71">
        <v>38292</v>
      </c>
      <c r="D582" s="72">
        <v>198.3</v>
      </c>
      <c r="E582" s="71">
        <v>41944</v>
      </c>
      <c r="F582" s="72">
        <v>245.10300000000001</v>
      </c>
      <c r="G582" s="71">
        <v>38292</v>
      </c>
      <c r="H582" s="72">
        <v>163.80000000000001</v>
      </c>
    </row>
    <row r="583" spans="1:8" x14ac:dyDescent="0.2">
      <c r="A583" s="71">
        <v>34669</v>
      </c>
      <c r="B583" s="72">
        <v>150.1</v>
      </c>
      <c r="C583" s="71">
        <v>38322</v>
      </c>
      <c r="D583" s="72">
        <v>198.6</v>
      </c>
      <c r="E583" s="71">
        <v>41974</v>
      </c>
      <c r="F583" s="72">
        <v>245.80199999999999</v>
      </c>
      <c r="G583" s="71">
        <v>38322</v>
      </c>
      <c r="H583" s="72">
        <v>162.30000000000001</v>
      </c>
    </row>
    <row r="584" spans="1:8" x14ac:dyDescent="0.2">
      <c r="A584" s="71">
        <v>34700</v>
      </c>
      <c r="B584" s="72">
        <v>150.5</v>
      </c>
      <c r="C584" s="71">
        <v>38353</v>
      </c>
      <c r="D584" s="72">
        <v>199</v>
      </c>
      <c r="E584" s="71">
        <v>42005</v>
      </c>
      <c r="F584" s="72">
        <v>245.69800000000001</v>
      </c>
      <c r="G584" s="71">
        <v>38353</v>
      </c>
      <c r="H584" s="72">
        <v>157.19999999999999</v>
      </c>
    </row>
    <row r="585" spans="1:8" x14ac:dyDescent="0.2">
      <c r="A585" s="71">
        <v>34731</v>
      </c>
      <c r="B585" s="72">
        <v>150.9</v>
      </c>
      <c r="C585" s="71">
        <v>38384</v>
      </c>
      <c r="D585" s="72">
        <v>199.4</v>
      </c>
      <c r="E585" s="71">
        <v>42036</v>
      </c>
      <c r="F585" s="72">
        <v>245.922</v>
      </c>
      <c r="G585" s="71">
        <v>38384</v>
      </c>
      <c r="H585" s="72">
        <v>161.80000000000001</v>
      </c>
    </row>
    <row r="586" spans="1:8" x14ac:dyDescent="0.2">
      <c r="A586" s="71">
        <v>34759</v>
      </c>
      <c r="B586" s="72">
        <v>151.19999999999999</v>
      </c>
      <c r="C586" s="71">
        <v>38412</v>
      </c>
      <c r="D586" s="72">
        <v>200.1</v>
      </c>
      <c r="E586" s="71">
        <v>42064</v>
      </c>
      <c r="F586" s="72">
        <v>245.72300000000001</v>
      </c>
      <c r="G586" s="71">
        <v>38412</v>
      </c>
      <c r="H586" s="72">
        <v>163.5</v>
      </c>
    </row>
    <row r="587" spans="1:8" x14ac:dyDescent="0.2">
      <c r="A587" s="71">
        <v>34790</v>
      </c>
      <c r="B587" s="72">
        <v>151.80000000000001</v>
      </c>
      <c r="C587" s="71">
        <v>38443</v>
      </c>
      <c r="D587" s="72">
        <v>200.2</v>
      </c>
      <c r="E587" s="71">
        <v>42095</v>
      </c>
      <c r="F587" s="72">
        <v>245.73</v>
      </c>
      <c r="G587" s="71">
        <v>38443</v>
      </c>
      <c r="H587" s="72">
        <v>166.7</v>
      </c>
    </row>
    <row r="588" spans="1:8" x14ac:dyDescent="0.2">
      <c r="A588" s="71">
        <v>34820</v>
      </c>
      <c r="B588" s="72">
        <v>152.1</v>
      </c>
      <c r="C588" s="71">
        <v>38473</v>
      </c>
      <c r="D588" s="72">
        <v>200.5</v>
      </c>
      <c r="E588" s="71">
        <v>42125</v>
      </c>
      <c r="F588" s="72">
        <v>245.92599999999999</v>
      </c>
      <c r="G588" s="71">
        <v>38473</v>
      </c>
      <c r="H588" s="72">
        <v>163.30000000000001</v>
      </c>
    </row>
    <row r="589" spans="1:8" x14ac:dyDescent="0.2">
      <c r="A589" s="71">
        <v>34851</v>
      </c>
      <c r="B589" s="72">
        <v>152.4</v>
      </c>
      <c r="C589" s="71">
        <v>38504</v>
      </c>
      <c r="D589" s="72">
        <v>200.6</v>
      </c>
      <c r="E589" s="71">
        <v>42156</v>
      </c>
      <c r="F589" s="72">
        <v>246.58699999999999</v>
      </c>
      <c r="G589" s="71">
        <v>38504</v>
      </c>
      <c r="H589" s="72">
        <v>163.69999999999999</v>
      </c>
    </row>
    <row r="590" spans="1:8" x14ac:dyDescent="0.2">
      <c r="A590" s="71">
        <v>34881</v>
      </c>
      <c r="B590" s="72">
        <v>152.6</v>
      </c>
      <c r="C590" s="71">
        <v>38534</v>
      </c>
      <c r="D590" s="72">
        <v>200.9</v>
      </c>
      <c r="E590" s="71">
        <v>42186</v>
      </c>
      <c r="F590" s="72">
        <v>246.78299999999999</v>
      </c>
      <c r="G590" s="71">
        <v>38534</v>
      </c>
      <c r="H590" s="72">
        <v>172.8</v>
      </c>
    </row>
    <row r="591" spans="1:8" x14ac:dyDescent="0.2">
      <c r="A591" s="71">
        <v>34912</v>
      </c>
      <c r="B591" s="72">
        <v>152.9</v>
      </c>
      <c r="C591" s="71">
        <v>38565</v>
      </c>
      <c r="D591" s="72">
        <v>201.1</v>
      </c>
      <c r="E591" s="71">
        <v>42217</v>
      </c>
      <c r="F591" s="72">
        <v>247.28299999999999</v>
      </c>
      <c r="G591" s="71">
        <v>38565</v>
      </c>
      <c r="H591" s="72">
        <v>183.5</v>
      </c>
    </row>
    <row r="592" spans="1:8" x14ac:dyDescent="0.2">
      <c r="A592" s="71">
        <v>34943</v>
      </c>
      <c r="B592" s="72">
        <v>153.1</v>
      </c>
      <c r="C592" s="71">
        <v>38596</v>
      </c>
      <c r="D592" s="72">
        <v>201.3</v>
      </c>
      <c r="E592" s="71">
        <v>42248</v>
      </c>
      <c r="F592" s="72">
        <v>248.00200000000001</v>
      </c>
      <c r="G592" s="71">
        <v>38596</v>
      </c>
      <c r="H592" s="72">
        <v>208.2</v>
      </c>
    </row>
    <row r="593" spans="1:8" x14ac:dyDescent="0.2">
      <c r="A593" s="71">
        <v>34973</v>
      </c>
      <c r="B593" s="72">
        <v>153.5</v>
      </c>
      <c r="C593" s="71">
        <v>38626</v>
      </c>
      <c r="D593" s="72">
        <v>202</v>
      </c>
      <c r="E593" s="71">
        <v>42278</v>
      </c>
      <c r="F593" s="72">
        <v>248.24600000000001</v>
      </c>
      <c r="G593" s="71">
        <v>38626</v>
      </c>
      <c r="H593" s="72">
        <v>205.9</v>
      </c>
    </row>
    <row r="594" spans="1:8" x14ac:dyDescent="0.2">
      <c r="A594" s="71">
        <v>35004</v>
      </c>
      <c r="B594" s="72">
        <v>153.69999999999999</v>
      </c>
      <c r="C594" s="71">
        <v>38657</v>
      </c>
      <c r="D594" s="72">
        <v>202.5</v>
      </c>
      <c r="E594" s="71">
        <v>42309</v>
      </c>
      <c r="F594" s="72">
        <v>248.02600000000001</v>
      </c>
      <c r="G594" s="71">
        <v>38657</v>
      </c>
      <c r="H594" s="72">
        <v>191</v>
      </c>
    </row>
    <row r="595" spans="1:8" x14ac:dyDescent="0.2">
      <c r="A595" s="71">
        <v>35034</v>
      </c>
      <c r="B595" s="72">
        <v>153.9</v>
      </c>
      <c r="C595" s="71">
        <v>38687</v>
      </c>
      <c r="D595" s="72">
        <v>202.8</v>
      </c>
      <c r="E595" s="71">
        <v>42339</v>
      </c>
      <c r="F595" s="72">
        <v>247.64400000000001</v>
      </c>
      <c r="G595" s="71">
        <v>38687</v>
      </c>
      <c r="H595" s="72">
        <v>187.6</v>
      </c>
    </row>
    <row r="596" spans="1:8" x14ac:dyDescent="0.2">
      <c r="A596" s="71">
        <v>35065</v>
      </c>
      <c r="B596" s="72">
        <v>154.69999999999999</v>
      </c>
      <c r="C596" s="71">
        <v>38718</v>
      </c>
      <c r="D596" s="72">
        <v>203.2</v>
      </c>
      <c r="E596" s="71">
        <v>42370</v>
      </c>
      <c r="F596" s="72">
        <v>247.78800000000001</v>
      </c>
      <c r="G596" s="71">
        <v>38718</v>
      </c>
      <c r="H596" s="72">
        <v>196.6</v>
      </c>
    </row>
    <row r="597" spans="1:8" x14ac:dyDescent="0.2">
      <c r="A597" s="71">
        <v>35096</v>
      </c>
      <c r="B597" s="72">
        <v>155</v>
      </c>
      <c r="C597" s="71">
        <v>38749</v>
      </c>
      <c r="D597" s="72">
        <v>203.6</v>
      </c>
      <c r="E597" s="71">
        <v>42401</v>
      </c>
      <c r="F597" s="72">
        <v>248.04400000000001</v>
      </c>
      <c r="G597" s="71">
        <v>38749</v>
      </c>
      <c r="H597" s="72">
        <v>194.1</v>
      </c>
    </row>
    <row r="598" spans="1:8" x14ac:dyDescent="0.2">
      <c r="A598" s="71">
        <v>35125</v>
      </c>
      <c r="B598" s="72">
        <v>155.5</v>
      </c>
      <c r="C598" s="71">
        <v>38777</v>
      </c>
      <c r="D598" s="72">
        <v>204.3</v>
      </c>
      <c r="E598" s="71">
        <v>42430</v>
      </c>
      <c r="F598" s="72">
        <v>247.74199999999999</v>
      </c>
      <c r="G598" s="71">
        <v>38777</v>
      </c>
      <c r="H598" s="72">
        <v>192</v>
      </c>
    </row>
    <row r="599" spans="1:8" x14ac:dyDescent="0.2">
      <c r="A599" s="71">
        <v>35156</v>
      </c>
      <c r="B599" s="72">
        <v>156.1</v>
      </c>
      <c r="C599" s="71">
        <v>38808</v>
      </c>
      <c r="D599" s="72">
        <v>204.8</v>
      </c>
      <c r="E599" s="71">
        <v>42461</v>
      </c>
      <c r="F599" s="72">
        <v>248.11099999999999</v>
      </c>
      <c r="G599" s="71">
        <v>38808</v>
      </c>
      <c r="H599" s="72">
        <v>198.5</v>
      </c>
    </row>
    <row r="600" spans="1:8" x14ac:dyDescent="0.2">
      <c r="A600" s="71">
        <v>35186</v>
      </c>
      <c r="B600" s="72">
        <v>156.4</v>
      </c>
      <c r="C600" s="71">
        <v>38838</v>
      </c>
      <c r="D600" s="72">
        <v>205.4</v>
      </c>
      <c r="E600" s="71">
        <v>42491</v>
      </c>
      <c r="F600" s="72">
        <v>247.702</v>
      </c>
      <c r="G600" s="71">
        <v>38838</v>
      </c>
      <c r="H600" s="72">
        <v>199.8</v>
      </c>
    </row>
    <row r="601" spans="1:8" x14ac:dyDescent="0.2">
      <c r="A601" s="71">
        <v>35217</v>
      </c>
      <c r="B601" s="72">
        <v>156.69999999999999</v>
      </c>
      <c r="C601" s="71">
        <v>38869</v>
      </c>
      <c r="D601" s="72">
        <v>205.9</v>
      </c>
      <c r="E601" s="71">
        <v>42522</v>
      </c>
      <c r="F601" s="72">
        <v>247.59299999999999</v>
      </c>
      <c r="G601" s="71">
        <v>38869</v>
      </c>
      <c r="H601" s="72">
        <v>199.8</v>
      </c>
    </row>
    <row r="602" spans="1:8" x14ac:dyDescent="0.2">
      <c r="A602" s="71">
        <v>35247</v>
      </c>
      <c r="B602" s="72">
        <v>157</v>
      </c>
      <c r="C602" s="71">
        <v>38899</v>
      </c>
      <c r="D602" s="72">
        <v>206.3</v>
      </c>
      <c r="E602" s="71">
        <v>42552</v>
      </c>
      <c r="F602" s="72">
        <v>247.524</v>
      </c>
      <c r="G602" s="71">
        <v>38899</v>
      </c>
      <c r="H602" s="72">
        <v>207.9</v>
      </c>
    </row>
    <row r="603" spans="1:8" x14ac:dyDescent="0.2">
      <c r="A603" s="71">
        <v>35278</v>
      </c>
      <c r="B603" s="72">
        <v>157.19999999999999</v>
      </c>
      <c r="C603" s="71">
        <v>38930</v>
      </c>
      <c r="D603" s="72">
        <v>206.8</v>
      </c>
      <c r="E603" s="71">
        <v>42583</v>
      </c>
      <c r="F603" s="72">
        <v>247.53200000000001</v>
      </c>
      <c r="G603" s="71">
        <v>38930</v>
      </c>
      <c r="H603" s="72">
        <v>211.9</v>
      </c>
    </row>
    <row r="604" spans="1:8" x14ac:dyDescent="0.2">
      <c r="A604" s="71">
        <v>35309</v>
      </c>
      <c r="B604" s="72">
        <v>157.69999999999999</v>
      </c>
      <c r="C604" s="71">
        <v>38961</v>
      </c>
      <c r="D604" s="72">
        <v>207.2</v>
      </c>
      <c r="E604" s="71">
        <v>42614</v>
      </c>
      <c r="F604" s="72">
        <v>247.55</v>
      </c>
      <c r="G604" s="71">
        <v>38961</v>
      </c>
      <c r="H604" s="72">
        <v>198.1</v>
      </c>
    </row>
    <row r="605" spans="1:8" x14ac:dyDescent="0.2">
      <c r="A605" s="71">
        <v>35339</v>
      </c>
      <c r="B605" s="72">
        <v>158.19999999999999</v>
      </c>
      <c r="C605" s="71">
        <v>38991</v>
      </c>
      <c r="D605" s="72">
        <v>207.6</v>
      </c>
      <c r="E605" s="71">
        <v>42644</v>
      </c>
      <c r="F605" s="72">
        <v>247.49199999999999</v>
      </c>
      <c r="G605" s="71">
        <v>38991</v>
      </c>
      <c r="H605" s="72">
        <v>184.1</v>
      </c>
    </row>
    <row r="606" spans="1:8" x14ac:dyDescent="0.2">
      <c r="A606" s="71">
        <v>35370</v>
      </c>
      <c r="B606" s="72">
        <v>158.69999999999999</v>
      </c>
      <c r="C606" s="71">
        <v>39022</v>
      </c>
      <c r="D606" s="72">
        <v>207.8</v>
      </c>
      <c r="E606" s="71">
        <v>42675</v>
      </c>
      <c r="F606" s="72">
        <v>247.392</v>
      </c>
      <c r="G606" s="71">
        <v>39022</v>
      </c>
      <c r="H606" s="72">
        <v>184.1</v>
      </c>
    </row>
    <row r="607" spans="1:8" x14ac:dyDescent="0.2">
      <c r="A607" s="71">
        <v>35400</v>
      </c>
      <c r="B607" s="72">
        <v>159.1</v>
      </c>
      <c r="C607" s="71">
        <v>39052</v>
      </c>
      <c r="D607" s="72">
        <v>208.1</v>
      </c>
      <c r="E607" s="71">
        <v>42705</v>
      </c>
      <c r="F607" s="72">
        <v>247.32499999999999</v>
      </c>
      <c r="G607" s="71">
        <v>39052</v>
      </c>
      <c r="H607" s="72">
        <v>192.7</v>
      </c>
    </row>
    <row r="608" spans="1:8" x14ac:dyDescent="0.2">
      <c r="A608" s="71">
        <v>35431</v>
      </c>
      <c r="B608" s="72">
        <v>159.4</v>
      </c>
      <c r="C608" s="71">
        <v>39083</v>
      </c>
      <c r="D608" s="72">
        <v>208.6</v>
      </c>
      <c r="E608" s="71">
        <v>42736</v>
      </c>
      <c r="F608" s="72">
        <v>247.65700000000001</v>
      </c>
      <c r="G608" s="71">
        <v>39083</v>
      </c>
      <c r="H608" s="72">
        <v>190.28100000000001</v>
      </c>
    </row>
    <row r="609" spans="1:8" x14ac:dyDescent="0.2">
      <c r="A609" s="71">
        <v>35462</v>
      </c>
      <c r="B609" s="72">
        <v>159.69999999999999</v>
      </c>
      <c r="C609" s="71">
        <v>39114</v>
      </c>
      <c r="D609" s="72">
        <v>209.13499999999999</v>
      </c>
      <c r="G609" s="71">
        <v>39114</v>
      </c>
      <c r="H609" s="72">
        <v>192.31</v>
      </c>
    </row>
    <row r="610" spans="1:8" x14ac:dyDescent="0.2">
      <c r="A610" s="71">
        <v>35490</v>
      </c>
      <c r="B610" s="72">
        <v>159.80000000000001</v>
      </c>
      <c r="C610" s="71">
        <v>39142</v>
      </c>
      <c r="D610" s="72">
        <v>209.41800000000001</v>
      </c>
      <c r="G610" s="71">
        <v>39142</v>
      </c>
      <c r="H610" s="72">
        <v>200.20599999999999</v>
      </c>
    </row>
    <row r="611" spans="1:8" x14ac:dyDescent="0.2">
      <c r="A611" s="71">
        <v>35521</v>
      </c>
      <c r="B611" s="72">
        <v>159.9</v>
      </c>
      <c r="C611" s="71">
        <v>39173</v>
      </c>
      <c r="D611" s="72">
        <v>209.74700000000001</v>
      </c>
      <c r="G611" s="71">
        <v>39173</v>
      </c>
      <c r="H611" s="72">
        <v>203.30699999999999</v>
      </c>
    </row>
    <row r="612" spans="1:8" x14ac:dyDescent="0.2">
      <c r="A612" s="71">
        <v>35551</v>
      </c>
      <c r="B612" s="72">
        <v>159.9</v>
      </c>
      <c r="C612" s="71">
        <v>39203</v>
      </c>
      <c r="D612" s="72">
        <v>210.05799999999999</v>
      </c>
      <c r="G612" s="71">
        <v>39203</v>
      </c>
      <c r="H612" s="72">
        <v>208.63499999999999</v>
      </c>
    </row>
    <row r="613" spans="1:8" x14ac:dyDescent="0.2">
      <c r="A613" s="71">
        <v>35582</v>
      </c>
      <c r="B613" s="72">
        <v>160.19999999999999</v>
      </c>
      <c r="C613" s="71">
        <v>39234</v>
      </c>
      <c r="D613" s="72">
        <v>210.392</v>
      </c>
      <c r="G613" s="71">
        <v>39234</v>
      </c>
      <c r="H613" s="72">
        <v>209.79900000000001</v>
      </c>
    </row>
    <row r="614" spans="1:8" x14ac:dyDescent="0.2">
      <c r="A614" s="71">
        <v>35612</v>
      </c>
      <c r="B614" s="72">
        <v>160.4</v>
      </c>
      <c r="C614" s="71">
        <v>39264</v>
      </c>
      <c r="D614" s="72">
        <v>210.773</v>
      </c>
      <c r="G614" s="71">
        <v>39264</v>
      </c>
      <c r="H614" s="72">
        <v>209.63900000000001</v>
      </c>
    </row>
    <row r="615" spans="1:8" x14ac:dyDescent="0.2">
      <c r="A615" s="71">
        <v>35643</v>
      </c>
      <c r="B615" s="72">
        <v>160.80000000000001</v>
      </c>
      <c r="C615" s="71">
        <v>39295</v>
      </c>
      <c r="D615" s="72">
        <v>211.119</v>
      </c>
      <c r="G615" s="71">
        <v>39295</v>
      </c>
      <c r="H615" s="72">
        <v>206.41200000000001</v>
      </c>
    </row>
    <row r="616" spans="1:8" x14ac:dyDescent="0.2">
      <c r="A616" s="71">
        <v>35674</v>
      </c>
      <c r="B616" s="72">
        <v>161.19999999999999</v>
      </c>
      <c r="C616" s="71">
        <v>39326</v>
      </c>
      <c r="D616" s="72">
        <v>211.554</v>
      </c>
      <c r="G616" s="71">
        <v>39326</v>
      </c>
      <c r="H616" s="72">
        <v>210.74199999999999</v>
      </c>
    </row>
    <row r="617" spans="1:8" x14ac:dyDescent="0.2">
      <c r="A617" s="71">
        <v>35704</v>
      </c>
      <c r="B617" s="72">
        <v>161.5</v>
      </c>
      <c r="C617" s="71">
        <v>39356</v>
      </c>
      <c r="D617" s="72">
        <v>212.077</v>
      </c>
      <c r="G617" s="71">
        <v>39356</v>
      </c>
      <c r="H617" s="72">
        <v>212.386</v>
      </c>
    </row>
    <row r="618" spans="1:8" x14ac:dyDescent="0.2">
      <c r="A618" s="71">
        <v>35735</v>
      </c>
      <c r="B618" s="72">
        <v>161.69999999999999</v>
      </c>
      <c r="C618" s="71">
        <v>39387</v>
      </c>
      <c r="D618" s="72">
        <v>212.66</v>
      </c>
      <c r="G618" s="71">
        <v>39387</v>
      </c>
      <c r="H618" s="72">
        <v>223.81399999999999</v>
      </c>
    </row>
    <row r="619" spans="1:8" x14ac:dyDescent="0.2">
      <c r="A619" s="71">
        <v>35765</v>
      </c>
      <c r="B619" s="72">
        <v>161.80000000000001</v>
      </c>
      <c r="C619" s="71">
        <v>39417</v>
      </c>
      <c r="D619" s="72">
        <v>213.16800000000001</v>
      </c>
      <c r="G619" s="71">
        <v>39417</v>
      </c>
      <c r="H619" s="72">
        <v>225.649</v>
      </c>
    </row>
    <row r="620" spans="1:8" x14ac:dyDescent="0.2">
      <c r="A620" s="71">
        <v>35796</v>
      </c>
      <c r="B620" s="72">
        <v>162</v>
      </c>
      <c r="C620" s="71">
        <v>39448</v>
      </c>
      <c r="D620" s="72">
        <v>213.77099999999999</v>
      </c>
      <c r="G620" s="71">
        <v>39448</v>
      </c>
      <c r="H620" s="72">
        <v>226.77500000000001</v>
      </c>
    </row>
    <row r="621" spans="1:8" x14ac:dyDescent="0.2">
      <c r="A621" s="71">
        <v>35827</v>
      </c>
      <c r="B621" s="72">
        <v>162</v>
      </c>
      <c r="C621" s="71">
        <v>39479</v>
      </c>
      <c r="D621" s="72">
        <v>213.93899999999999</v>
      </c>
      <c r="G621" s="71">
        <v>39479</v>
      </c>
      <c r="H621" s="72">
        <v>229.73099999999999</v>
      </c>
    </row>
    <row r="622" spans="1:8" x14ac:dyDescent="0.2">
      <c r="A622" s="71">
        <v>35855</v>
      </c>
      <c r="B622" s="72">
        <v>162</v>
      </c>
      <c r="C622" s="71">
        <v>39508</v>
      </c>
      <c r="D622" s="72">
        <v>214.42</v>
      </c>
      <c r="G622" s="71">
        <v>39508</v>
      </c>
      <c r="H622" s="72">
        <v>233.34899999999999</v>
      </c>
    </row>
    <row r="623" spans="1:8" x14ac:dyDescent="0.2">
      <c r="A623" s="71">
        <v>35886</v>
      </c>
      <c r="B623" s="72">
        <v>162.19999999999999</v>
      </c>
      <c r="C623" s="71">
        <v>39539</v>
      </c>
      <c r="D623" s="72">
        <v>214.56</v>
      </c>
      <c r="G623" s="71">
        <v>39539</v>
      </c>
      <c r="H623" s="72">
        <v>234.77799999999999</v>
      </c>
    </row>
    <row r="624" spans="1:8" x14ac:dyDescent="0.2">
      <c r="A624" s="71">
        <v>35916</v>
      </c>
      <c r="B624" s="72">
        <v>162.6</v>
      </c>
      <c r="C624" s="71">
        <v>39569</v>
      </c>
      <c r="D624" s="72">
        <v>214.93600000000001</v>
      </c>
      <c r="G624" s="71">
        <v>39569</v>
      </c>
      <c r="H624" s="72">
        <v>243.92400000000001</v>
      </c>
    </row>
    <row r="625" spans="1:8" x14ac:dyDescent="0.2">
      <c r="A625" s="71">
        <v>35947</v>
      </c>
      <c r="B625" s="72">
        <v>162.80000000000001</v>
      </c>
      <c r="C625" s="71">
        <v>39600</v>
      </c>
      <c r="D625" s="72">
        <v>215.42400000000001</v>
      </c>
      <c r="G625" s="71">
        <v>39600</v>
      </c>
      <c r="H625" s="72">
        <v>262.08100000000002</v>
      </c>
    </row>
    <row r="626" spans="1:8" x14ac:dyDescent="0.2">
      <c r="A626" s="71">
        <v>35977</v>
      </c>
      <c r="B626" s="72">
        <v>163.19999999999999</v>
      </c>
      <c r="C626" s="71">
        <v>39630</v>
      </c>
      <c r="D626" s="72">
        <v>215.965</v>
      </c>
      <c r="G626" s="71">
        <v>39630</v>
      </c>
      <c r="H626" s="72">
        <v>271.149</v>
      </c>
    </row>
    <row r="627" spans="1:8" x14ac:dyDescent="0.2">
      <c r="A627" s="71">
        <v>36008</v>
      </c>
      <c r="B627" s="72">
        <v>163.4</v>
      </c>
      <c r="C627" s="71">
        <v>39661</v>
      </c>
      <c r="D627" s="72">
        <v>216.393</v>
      </c>
      <c r="G627" s="71">
        <v>39661</v>
      </c>
      <c r="H627" s="72">
        <v>262.56599999999997</v>
      </c>
    </row>
    <row r="628" spans="1:8" x14ac:dyDescent="0.2">
      <c r="A628" s="71">
        <v>36039</v>
      </c>
      <c r="B628" s="72">
        <v>163.5</v>
      </c>
      <c r="C628" s="71">
        <v>39692</v>
      </c>
      <c r="D628" s="72">
        <v>216.71299999999999</v>
      </c>
      <c r="G628" s="71">
        <v>39692</v>
      </c>
      <c r="H628" s="72">
        <v>260.125</v>
      </c>
    </row>
    <row r="629" spans="1:8" x14ac:dyDescent="0.2">
      <c r="A629" s="71">
        <v>36069</v>
      </c>
      <c r="B629" s="72">
        <v>163.9</v>
      </c>
      <c r="C629" s="71">
        <v>39722</v>
      </c>
      <c r="D629" s="72">
        <v>216.78800000000001</v>
      </c>
      <c r="G629" s="71">
        <v>39722</v>
      </c>
      <c r="H629" s="72">
        <v>238.065</v>
      </c>
    </row>
    <row r="630" spans="1:8" x14ac:dyDescent="0.2">
      <c r="A630" s="71">
        <v>36100</v>
      </c>
      <c r="B630" s="72">
        <v>164.1</v>
      </c>
      <c r="C630" s="71">
        <v>39753</v>
      </c>
      <c r="D630" s="72">
        <v>216.947</v>
      </c>
      <c r="G630" s="71">
        <v>39753</v>
      </c>
      <c r="H630" s="72">
        <v>195.155</v>
      </c>
    </row>
    <row r="631" spans="1:8" x14ac:dyDescent="0.2">
      <c r="A631" s="71">
        <v>36130</v>
      </c>
      <c r="B631" s="72">
        <v>164.4</v>
      </c>
      <c r="C631" s="71">
        <v>39783</v>
      </c>
      <c r="D631" s="72">
        <v>216.92500000000001</v>
      </c>
      <c r="G631" s="71">
        <v>39783</v>
      </c>
      <c r="H631" s="72">
        <v>176.583</v>
      </c>
    </row>
    <row r="632" spans="1:8" x14ac:dyDescent="0.2">
      <c r="A632" s="71">
        <v>36161</v>
      </c>
      <c r="B632" s="72">
        <v>164.7</v>
      </c>
      <c r="C632" s="71">
        <v>39814</v>
      </c>
      <c r="D632" s="72">
        <v>217.346</v>
      </c>
      <c r="G632" s="71">
        <v>39814</v>
      </c>
      <c r="H632" s="72">
        <v>178.661</v>
      </c>
    </row>
    <row r="633" spans="1:8" x14ac:dyDescent="0.2">
      <c r="A633" s="71">
        <v>36192</v>
      </c>
      <c r="B633" s="72">
        <v>164.7</v>
      </c>
      <c r="C633" s="71">
        <v>39845</v>
      </c>
      <c r="D633" s="72">
        <v>217.792</v>
      </c>
      <c r="G633" s="71">
        <v>39845</v>
      </c>
      <c r="H633" s="72">
        <v>183.721</v>
      </c>
    </row>
    <row r="634" spans="1:8" x14ac:dyDescent="0.2">
      <c r="A634" s="71">
        <v>36220</v>
      </c>
      <c r="B634" s="72">
        <v>164.8</v>
      </c>
      <c r="C634" s="71">
        <v>39873</v>
      </c>
      <c r="D634" s="72">
        <v>218.25299999999999</v>
      </c>
      <c r="G634" s="71">
        <v>39873</v>
      </c>
      <c r="H634" s="72">
        <v>178.41499999999999</v>
      </c>
    </row>
    <row r="635" spans="1:8" x14ac:dyDescent="0.2">
      <c r="A635" s="71">
        <v>36251</v>
      </c>
      <c r="B635" s="72">
        <v>165.9</v>
      </c>
      <c r="C635" s="71">
        <v>39904</v>
      </c>
      <c r="D635" s="72">
        <v>218.70599999999999</v>
      </c>
      <c r="G635" s="71">
        <v>39904</v>
      </c>
      <c r="H635" s="72">
        <v>177.55199999999999</v>
      </c>
    </row>
    <row r="636" spans="1:8" x14ac:dyDescent="0.2">
      <c r="A636" s="71">
        <v>36281</v>
      </c>
      <c r="B636" s="72">
        <v>166</v>
      </c>
      <c r="C636" s="71">
        <v>39934</v>
      </c>
      <c r="D636" s="72">
        <v>218.904</v>
      </c>
      <c r="G636" s="71">
        <v>39934</v>
      </c>
      <c r="H636" s="72">
        <v>179.83</v>
      </c>
    </row>
    <row r="637" spans="1:8" x14ac:dyDescent="0.2">
      <c r="A637" s="71">
        <v>36312</v>
      </c>
      <c r="B637" s="72">
        <v>166</v>
      </c>
      <c r="C637" s="71">
        <v>39965</v>
      </c>
      <c r="D637" s="72">
        <v>219.11199999999999</v>
      </c>
      <c r="G637" s="71">
        <v>39965</v>
      </c>
      <c r="H637" s="72">
        <v>197.03299999999999</v>
      </c>
    </row>
    <row r="638" spans="1:8" x14ac:dyDescent="0.2">
      <c r="A638" s="71">
        <v>36342</v>
      </c>
      <c r="B638" s="72">
        <v>166.7</v>
      </c>
      <c r="C638" s="71">
        <v>39995</v>
      </c>
      <c r="D638" s="72">
        <v>219.26300000000001</v>
      </c>
      <c r="G638" s="71">
        <v>39995</v>
      </c>
      <c r="H638" s="72">
        <v>195.77799999999999</v>
      </c>
    </row>
    <row r="639" spans="1:8" x14ac:dyDescent="0.2">
      <c r="A639" s="71">
        <v>36373</v>
      </c>
      <c r="B639" s="72">
        <v>167.1</v>
      </c>
      <c r="C639" s="71">
        <v>40026</v>
      </c>
      <c r="D639" s="72">
        <v>219.49600000000001</v>
      </c>
      <c r="G639" s="71">
        <v>40026</v>
      </c>
      <c r="H639" s="72">
        <v>201.583</v>
      </c>
    </row>
    <row r="640" spans="1:8" x14ac:dyDescent="0.2">
      <c r="A640" s="71">
        <v>36404</v>
      </c>
      <c r="B640" s="72">
        <v>167.8</v>
      </c>
      <c r="C640" s="71">
        <v>40057</v>
      </c>
      <c r="D640" s="72">
        <v>219.92</v>
      </c>
      <c r="G640" s="71">
        <v>40057</v>
      </c>
      <c r="H640" s="72">
        <v>202.77699999999999</v>
      </c>
    </row>
    <row r="641" spans="1:8" x14ac:dyDescent="0.2">
      <c r="A641" s="71">
        <v>36434</v>
      </c>
      <c r="B641" s="72">
        <v>168.1</v>
      </c>
      <c r="C641" s="71">
        <v>40087</v>
      </c>
      <c r="D641" s="72">
        <v>220.501</v>
      </c>
      <c r="G641" s="71">
        <v>40087</v>
      </c>
      <c r="H641" s="72">
        <v>204.71899999999999</v>
      </c>
    </row>
    <row r="642" spans="1:8" x14ac:dyDescent="0.2">
      <c r="A642" s="71">
        <v>36465</v>
      </c>
      <c r="B642" s="72">
        <v>168.4</v>
      </c>
      <c r="C642" s="71">
        <v>40118</v>
      </c>
      <c r="D642" s="72">
        <v>220.666</v>
      </c>
      <c r="G642" s="71">
        <v>40118</v>
      </c>
      <c r="H642" s="72">
        <v>210.93199999999999</v>
      </c>
    </row>
    <row r="643" spans="1:8" x14ac:dyDescent="0.2">
      <c r="A643" s="71">
        <v>36495</v>
      </c>
      <c r="B643" s="72">
        <v>168.8</v>
      </c>
      <c r="C643" s="71">
        <v>40148</v>
      </c>
      <c r="D643" s="72">
        <v>220.881</v>
      </c>
      <c r="G643" s="71">
        <v>40148</v>
      </c>
      <c r="H643" s="72">
        <v>209.91499999999999</v>
      </c>
    </row>
    <row r="644" spans="1:8" x14ac:dyDescent="0.2">
      <c r="A644" s="71">
        <v>36526</v>
      </c>
      <c r="B644" s="72">
        <v>169.3</v>
      </c>
      <c r="C644" s="71">
        <v>40179</v>
      </c>
      <c r="D644" s="72">
        <v>220.63300000000001</v>
      </c>
      <c r="G644" s="71">
        <v>40179</v>
      </c>
      <c r="H644" s="72">
        <v>212.80699999999999</v>
      </c>
    </row>
    <row r="645" spans="1:8" x14ac:dyDescent="0.2">
      <c r="A645" s="71">
        <v>36557</v>
      </c>
      <c r="B645" s="72">
        <v>170</v>
      </c>
      <c r="C645" s="71">
        <v>40210</v>
      </c>
      <c r="D645" s="72">
        <v>220.73099999999999</v>
      </c>
      <c r="G645" s="71">
        <v>40210</v>
      </c>
      <c r="H645" s="72">
        <v>209.624</v>
      </c>
    </row>
    <row r="646" spans="1:8" x14ac:dyDescent="0.2">
      <c r="A646" s="71">
        <v>36586</v>
      </c>
      <c r="B646" s="72">
        <v>171</v>
      </c>
      <c r="C646" s="71">
        <v>40238</v>
      </c>
      <c r="D646" s="72">
        <v>220.78299999999999</v>
      </c>
      <c r="G646" s="71">
        <v>40238</v>
      </c>
      <c r="H646" s="72">
        <v>209.32599999999999</v>
      </c>
    </row>
    <row r="647" spans="1:8" x14ac:dyDescent="0.2">
      <c r="A647" s="71">
        <v>36617</v>
      </c>
      <c r="B647" s="72">
        <v>170.9</v>
      </c>
      <c r="C647" s="71">
        <v>40269</v>
      </c>
      <c r="D647" s="72">
        <v>220.822</v>
      </c>
      <c r="G647" s="71">
        <v>40269</v>
      </c>
      <c r="H647" s="72">
        <v>209.21899999999999</v>
      </c>
    </row>
    <row r="648" spans="1:8" x14ac:dyDescent="0.2">
      <c r="A648" s="71">
        <v>36647</v>
      </c>
      <c r="B648" s="72">
        <v>171.2</v>
      </c>
      <c r="C648" s="71">
        <v>40299</v>
      </c>
      <c r="D648" s="72">
        <v>220.96199999999999</v>
      </c>
      <c r="G648" s="71">
        <v>40299</v>
      </c>
      <c r="H648" s="72">
        <v>206.631</v>
      </c>
    </row>
    <row r="649" spans="1:8" x14ac:dyDescent="0.2">
      <c r="A649" s="71">
        <v>36678</v>
      </c>
      <c r="B649" s="72">
        <v>172.2</v>
      </c>
      <c r="C649" s="71">
        <v>40330</v>
      </c>
      <c r="D649" s="72">
        <v>221.19399999999999</v>
      </c>
      <c r="G649" s="71">
        <v>40330</v>
      </c>
      <c r="H649" s="72">
        <v>203.76400000000001</v>
      </c>
    </row>
    <row r="650" spans="1:8" x14ac:dyDescent="0.2">
      <c r="A650" s="71">
        <v>36708</v>
      </c>
      <c r="B650" s="72">
        <v>172.7</v>
      </c>
      <c r="C650" s="71">
        <v>40360</v>
      </c>
      <c r="D650" s="72">
        <v>221.363</v>
      </c>
      <c r="G650" s="71">
        <v>40360</v>
      </c>
      <c r="H650" s="72">
        <v>206.87700000000001</v>
      </c>
    </row>
    <row r="651" spans="1:8" x14ac:dyDescent="0.2">
      <c r="A651" s="71">
        <v>36739</v>
      </c>
      <c r="B651" s="72">
        <v>172.7</v>
      </c>
      <c r="C651" s="71">
        <v>40391</v>
      </c>
      <c r="D651" s="72">
        <v>221.50899999999999</v>
      </c>
      <c r="G651" s="71">
        <v>40391</v>
      </c>
      <c r="H651" s="72">
        <v>208.77</v>
      </c>
    </row>
    <row r="652" spans="1:8" x14ac:dyDescent="0.2">
      <c r="A652" s="71">
        <v>36770</v>
      </c>
      <c r="B652" s="72">
        <v>173.6</v>
      </c>
      <c r="C652" s="71">
        <v>40422</v>
      </c>
      <c r="D652" s="72">
        <v>221.71100000000001</v>
      </c>
      <c r="G652" s="71">
        <v>40422</v>
      </c>
      <c r="H652" s="72">
        <v>209.83199999999999</v>
      </c>
    </row>
    <row r="653" spans="1:8" x14ac:dyDescent="0.2">
      <c r="A653" s="71">
        <v>36800</v>
      </c>
      <c r="B653" s="72">
        <v>173.9</v>
      </c>
      <c r="C653" s="71">
        <v>40452</v>
      </c>
      <c r="D653" s="72">
        <v>221.83</v>
      </c>
      <c r="G653" s="71">
        <v>40452</v>
      </c>
      <c r="H653" s="72">
        <v>216.71</v>
      </c>
    </row>
    <row r="654" spans="1:8" x14ac:dyDescent="0.2">
      <c r="A654" s="71">
        <v>36831</v>
      </c>
      <c r="B654" s="72">
        <v>174.2</v>
      </c>
      <c r="C654" s="71">
        <v>40483</v>
      </c>
      <c r="D654" s="72">
        <v>222.149</v>
      </c>
      <c r="G654" s="71">
        <v>40483</v>
      </c>
      <c r="H654" s="72">
        <v>219.49600000000001</v>
      </c>
    </row>
    <row r="655" spans="1:8" x14ac:dyDescent="0.2">
      <c r="A655" s="71">
        <v>36861</v>
      </c>
      <c r="B655" s="72">
        <v>174.6</v>
      </c>
      <c r="C655" s="71">
        <v>40513</v>
      </c>
      <c r="D655" s="72">
        <v>222.34299999999999</v>
      </c>
      <c r="G655" s="71">
        <v>40513</v>
      </c>
      <c r="H655" s="72">
        <v>227.13</v>
      </c>
    </row>
    <row r="656" spans="1:8" x14ac:dyDescent="0.2">
      <c r="A656" s="71">
        <v>36892</v>
      </c>
      <c r="B656" s="72">
        <v>175.6</v>
      </c>
      <c r="C656" s="71">
        <v>40544</v>
      </c>
      <c r="D656" s="72">
        <v>222.803</v>
      </c>
      <c r="G656" s="71">
        <v>40544</v>
      </c>
      <c r="H656" s="72">
        <v>229.25800000000001</v>
      </c>
    </row>
    <row r="657" spans="1:8" x14ac:dyDescent="0.2">
      <c r="A657" s="71">
        <v>36923</v>
      </c>
      <c r="B657" s="72">
        <v>176</v>
      </c>
      <c r="C657" s="71">
        <v>40575</v>
      </c>
      <c r="D657" s="72">
        <v>223.21299999999999</v>
      </c>
      <c r="G657" s="71">
        <v>40575</v>
      </c>
      <c r="H657" s="72">
        <v>232.06800000000001</v>
      </c>
    </row>
    <row r="658" spans="1:8" x14ac:dyDescent="0.2">
      <c r="A658" s="71">
        <v>36951</v>
      </c>
      <c r="B658" s="72">
        <v>176.1</v>
      </c>
      <c r="C658" s="71">
        <v>40603</v>
      </c>
      <c r="D658" s="72">
        <v>223.45400000000001</v>
      </c>
      <c r="G658" s="71">
        <v>40603</v>
      </c>
      <c r="H658" s="72">
        <v>240.07900000000001</v>
      </c>
    </row>
    <row r="659" spans="1:8" x14ac:dyDescent="0.2">
      <c r="A659" s="71">
        <v>36982</v>
      </c>
      <c r="B659" s="72">
        <v>176.4</v>
      </c>
      <c r="C659" s="71">
        <v>40634</v>
      </c>
      <c r="D659" s="72">
        <v>223.727</v>
      </c>
      <c r="G659" s="71">
        <v>40634</v>
      </c>
      <c r="H659" s="72">
        <v>247.977</v>
      </c>
    </row>
    <row r="660" spans="1:8" x14ac:dyDescent="0.2">
      <c r="A660" s="71">
        <v>37012</v>
      </c>
      <c r="B660" s="72">
        <v>177.3</v>
      </c>
      <c r="C660" s="71">
        <v>40664</v>
      </c>
      <c r="D660" s="72">
        <v>224.17500000000001</v>
      </c>
      <c r="G660" s="71">
        <v>40664</v>
      </c>
      <c r="H660" s="72">
        <v>250.744</v>
      </c>
    </row>
    <row r="661" spans="1:8" x14ac:dyDescent="0.2">
      <c r="A661" s="71">
        <v>37043</v>
      </c>
      <c r="B661" s="72">
        <v>177.7</v>
      </c>
      <c r="C661" s="71">
        <v>40695</v>
      </c>
      <c r="D661" s="72">
        <v>224.697</v>
      </c>
      <c r="G661" s="71">
        <v>40695</v>
      </c>
      <c r="H661" s="72">
        <v>245.53399999999999</v>
      </c>
    </row>
    <row r="662" spans="1:8" x14ac:dyDescent="0.2">
      <c r="A662" s="71">
        <v>37073</v>
      </c>
      <c r="B662" s="72">
        <v>177.4</v>
      </c>
      <c r="C662" s="71">
        <v>40725</v>
      </c>
      <c r="D662" s="72">
        <v>225.21799999999999</v>
      </c>
      <c r="G662" s="71">
        <v>40725</v>
      </c>
      <c r="H662" s="72">
        <v>246.18700000000001</v>
      </c>
    </row>
    <row r="663" spans="1:8" x14ac:dyDescent="0.2">
      <c r="A663" s="71">
        <v>37104</v>
      </c>
      <c r="B663" s="72">
        <v>177.4</v>
      </c>
      <c r="C663" s="71">
        <v>40756</v>
      </c>
      <c r="D663" s="72">
        <v>225.86199999999999</v>
      </c>
      <c r="G663" s="71">
        <v>40756</v>
      </c>
      <c r="H663" s="72">
        <v>246.88</v>
      </c>
    </row>
    <row r="664" spans="1:8" x14ac:dyDescent="0.2">
      <c r="A664" s="71">
        <v>37135</v>
      </c>
      <c r="B664" s="72">
        <v>178.1</v>
      </c>
      <c r="C664" s="71">
        <v>40787</v>
      </c>
      <c r="D664" s="72">
        <v>226.11799999999999</v>
      </c>
      <c r="G664" s="71">
        <v>40787</v>
      </c>
      <c r="H664" s="72">
        <v>248.55</v>
      </c>
    </row>
    <row r="665" spans="1:8" x14ac:dyDescent="0.2">
      <c r="A665" s="71">
        <v>37165</v>
      </c>
      <c r="B665" s="72">
        <v>177.6</v>
      </c>
      <c r="C665" s="71">
        <v>40817</v>
      </c>
      <c r="D665" s="72">
        <v>226.506</v>
      </c>
      <c r="G665" s="71">
        <v>40817</v>
      </c>
      <c r="H665" s="72">
        <v>246.655</v>
      </c>
    </row>
    <row r="666" spans="1:8" x14ac:dyDescent="0.2">
      <c r="A666" s="71">
        <v>37196</v>
      </c>
      <c r="B666" s="72">
        <v>177.5</v>
      </c>
      <c r="C666" s="71">
        <v>40848</v>
      </c>
      <c r="D666" s="72">
        <v>226.899</v>
      </c>
      <c r="G666" s="71">
        <v>40848</v>
      </c>
      <c r="H666" s="72">
        <v>247.64</v>
      </c>
    </row>
    <row r="667" spans="1:8" x14ac:dyDescent="0.2">
      <c r="A667" s="71">
        <v>37226</v>
      </c>
      <c r="B667" s="72">
        <v>177.4</v>
      </c>
      <c r="C667" s="71">
        <v>40878</v>
      </c>
      <c r="D667" s="72">
        <v>227.405</v>
      </c>
      <c r="G667" s="71">
        <v>40878</v>
      </c>
      <c r="H667" s="72">
        <v>243.35300000000001</v>
      </c>
    </row>
    <row r="668" spans="1:8" x14ac:dyDescent="0.2">
      <c r="A668" s="71">
        <v>37257</v>
      </c>
      <c r="B668" s="72">
        <v>177.7</v>
      </c>
      <c r="C668" s="71">
        <v>40909</v>
      </c>
      <c r="D668" s="72">
        <v>227.87700000000001</v>
      </c>
      <c r="G668" s="71">
        <v>40909</v>
      </c>
      <c r="H668" s="72">
        <v>244.876</v>
      </c>
    </row>
    <row r="669" spans="1:8" x14ac:dyDescent="0.2">
      <c r="A669" s="71">
        <v>37288</v>
      </c>
      <c r="B669" s="72">
        <v>178</v>
      </c>
      <c r="C669" s="71">
        <v>40940</v>
      </c>
      <c r="D669" s="72">
        <v>228.03399999999999</v>
      </c>
      <c r="G669" s="71">
        <v>40940</v>
      </c>
      <c r="H669" s="72">
        <v>248.898</v>
      </c>
    </row>
    <row r="670" spans="1:8" x14ac:dyDescent="0.2">
      <c r="A670" s="71">
        <v>37316</v>
      </c>
      <c r="B670" s="72">
        <v>178.5</v>
      </c>
      <c r="C670" s="71">
        <v>40969</v>
      </c>
      <c r="D670" s="72">
        <v>228.47800000000001</v>
      </c>
      <c r="G670" s="71">
        <v>40969</v>
      </c>
      <c r="H670" s="72">
        <v>249.74199999999999</v>
      </c>
    </row>
    <row r="671" spans="1:8" x14ac:dyDescent="0.2">
      <c r="A671" s="71">
        <v>37347</v>
      </c>
      <c r="B671" s="72">
        <v>179.3</v>
      </c>
      <c r="C671" s="71">
        <v>41000</v>
      </c>
      <c r="D671" s="72">
        <v>228.905</v>
      </c>
      <c r="G671" s="71">
        <v>41000</v>
      </c>
      <c r="H671" s="72">
        <v>249.67699999999999</v>
      </c>
    </row>
    <row r="672" spans="1:8" x14ac:dyDescent="0.2">
      <c r="A672" s="71">
        <v>37377</v>
      </c>
      <c r="B672" s="72">
        <v>179.5</v>
      </c>
      <c r="C672" s="71">
        <v>41030</v>
      </c>
      <c r="D672" s="72">
        <v>229.22399999999999</v>
      </c>
      <c r="G672" s="71">
        <v>41030</v>
      </c>
      <c r="H672" s="72">
        <v>241.80600000000001</v>
      </c>
    </row>
    <row r="673" spans="1:8" x14ac:dyDescent="0.2">
      <c r="A673" s="71">
        <v>37408</v>
      </c>
      <c r="B673" s="72">
        <v>179.6</v>
      </c>
      <c r="C673" s="71">
        <v>41061</v>
      </c>
      <c r="D673" s="72">
        <v>229.62299999999999</v>
      </c>
      <c r="G673" s="71">
        <v>41061</v>
      </c>
      <c r="H673" s="72">
        <v>235.89699999999999</v>
      </c>
    </row>
    <row r="674" spans="1:8" x14ac:dyDescent="0.2">
      <c r="A674" s="71">
        <v>37438</v>
      </c>
      <c r="B674" s="72">
        <v>180</v>
      </c>
      <c r="C674" s="71">
        <v>41091</v>
      </c>
      <c r="D674" s="72">
        <v>229.97</v>
      </c>
      <c r="G674" s="71">
        <v>41091</v>
      </c>
      <c r="H674" s="72">
        <v>233.56800000000001</v>
      </c>
    </row>
    <row r="675" spans="1:8" x14ac:dyDescent="0.2">
      <c r="A675" s="71">
        <v>37469</v>
      </c>
      <c r="B675" s="72">
        <v>180.5</v>
      </c>
      <c r="C675" s="71">
        <v>41122</v>
      </c>
      <c r="D675" s="72">
        <v>230.233</v>
      </c>
      <c r="G675" s="71">
        <v>41122</v>
      </c>
      <c r="H675" s="72">
        <v>244.98699999999999</v>
      </c>
    </row>
    <row r="676" spans="1:8" x14ac:dyDescent="0.2">
      <c r="A676" s="71">
        <v>37500</v>
      </c>
      <c r="B676" s="72">
        <v>180.8</v>
      </c>
      <c r="C676" s="71">
        <v>41153</v>
      </c>
      <c r="D676" s="72">
        <v>230.65899999999999</v>
      </c>
      <c r="G676" s="71">
        <v>41153</v>
      </c>
      <c r="H676" s="72">
        <v>252.98699999999999</v>
      </c>
    </row>
    <row r="677" spans="1:8" x14ac:dyDescent="0.2">
      <c r="A677" s="71">
        <v>37530</v>
      </c>
      <c r="B677" s="72">
        <v>181.2</v>
      </c>
      <c r="C677" s="71">
        <v>41183</v>
      </c>
      <c r="D677" s="72">
        <v>231.024</v>
      </c>
      <c r="G677" s="71">
        <v>41183</v>
      </c>
      <c r="H677" s="72">
        <v>256.017</v>
      </c>
    </row>
    <row r="678" spans="1:8" x14ac:dyDescent="0.2">
      <c r="A678" s="71">
        <v>37561</v>
      </c>
      <c r="B678" s="72">
        <v>181.5</v>
      </c>
      <c r="C678" s="71">
        <v>41214</v>
      </c>
      <c r="D678" s="72">
        <v>231.33</v>
      </c>
      <c r="G678" s="71">
        <v>41214</v>
      </c>
      <c r="H678" s="72">
        <v>248.81899999999999</v>
      </c>
    </row>
    <row r="679" spans="1:8" x14ac:dyDescent="0.2">
      <c r="A679" s="71">
        <v>37591</v>
      </c>
      <c r="B679" s="72">
        <v>181.8</v>
      </c>
      <c r="C679" s="71">
        <v>41244</v>
      </c>
      <c r="D679" s="72">
        <v>231.72499999999999</v>
      </c>
      <c r="G679" s="71">
        <v>41244</v>
      </c>
      <c r="H679" s="72">
        <v>244.708</v>
      </c>
    </row>
    <row r="680" spans="1:8" x14ac:dyDescent="0.2">
      <c r="A680" s="71">
        <v>37622</v>
      </c>
      <c r="B680" s="72">
        <v>182.6</v>
      </c>
      <c r="C680" s="71">
        <v>41275</v>
      </c>
      <c r="D680" s="72">
        <v>232.244</v>
      </c>
      <c r="G680" s="71">
        <v>41275</v>
      </c>
      <c r="H680" s="72">
        <v>244.31299999999999</v>
      </c>
    </row>
    <row r="681" spans="1:8" x14ac:dyDescent="0.2">
      <c r="A681" s="71">
        <v>37653</v>
      </c>
      <c r="B681" s="72">
        <v>183.6</v>
      </c>
      <c r="C681" s="71">
        <v>41306</v>
      </c>
      <c r="D681" s="72">
        <v>232.60300000000001</v>
      </c>
      <c r="G681" s="71">
        <v>41306</v>
      </c>
      <c r="H681" s="72">
        <v>255.95599999999999</v>
      </c>
    </row>
    <row r="682" spans="1:8" x14ac:dyDescent="0.2">
      <c r="A682" s="71">
        <v>37681</v>
      </c>
      <c r="B682" s="72">
        <v>183.9</v>
      </c>
      <c r="C682" s="71">
        <v>41334</v>
      </c>
      <c r="D682" s="72">
        <v>232.8</v>
      </c>
      <c r="G682" s="71">
        <v>41334</v>
      </c>
      <c r="H682" s="72">
        <v>246.69499999999999</v>
      </c>
    </row>
    <row r="683" spans="1:8" x14ac:dyDescent="0.2">
      <c r="A683" s="71">
        <v>37712</v>
      </c>
      <c r="B683" s="72">
        <v>183.2</v>
      </c>
      <c r="C683" s="71">
        <v>41365</v>
      </c>
      <c r="D683" s="72">
        <v>232.83699999999999</v>
      </c>
      <c r="G683" s="71">
        <v>41365</v>
      </c>
      <c r="H683" s="72">
        <v>240.34100000000001</v>
      </c>
    </row>
    <row r="684" spans="1:8" x14ac:dyDescent="0.2">
      <c r="A684" s="71">
        <v>37742</v>
      </c>
      <c r="B684" s="72">
        <v>182.9</v>
      </c>
      <c r="C684" s="71">
        <v>41395</v>
      </c>
      <c r="D684" s="72">
        <v>233.06399999999999</v>
      </c>
      <c r="G684" s="71">
        <v>41395</v>
      </c>
      <c r="H684" s="72">
        <v>240.13399999999999</v>
      </c>
    </row>
    <row r="685" spans="1:8" x14ac:dyDescent="0.2">
      <c r="A685" s="71">
        <v>37773</v>
      </c>
      <c r="B685" s="72">
        <v>183.1</v>
      </c>
      <c r="C685" s="71">
        <v>41426</v>
      </c>
      <c r="D685" s="72">
        <v>233.36500000000001</v>
      </c>
      <c r="G685" s="71">
        <v>41426</v>
      </c>
      <c r="H685" s="72">
        <v>241.85900000000001</v>
      </c>
    </row>
    <row r="686" spans="1:8" x14ac:dyDescent="0.2">
      <c r="A686" s="71">
        <v>37803</v>
      </c>
      <c r="B686" s="72">
        <v>183.7</v>
      </c>
      <c r="C686" s="71">
        <v>41456</v>
      </c>
      <c r="D686" s="72">
        <v>233.86500000000001</v>
      </c>
      <c r="G686" s="71">
        <v>41456</v>
      </c>
      <c r="H686" s="72">
        <v>242.97399999999999</v>
      </c>
    </row>
    <row r="687" spans="1:8" x14ac:dyDescent="0.2">
      <c r="A687" s="71">
        <v>37834</v>
      </c>
      <c r="B687" s="72">
        <v>184.5</v>
      </c>
      <c r="C687" s="71">
        <v>41487</v>
      </c>
      <c r="D687" s="72">
        <v>234.31200000000001</v>
      </c>
      <c r="G687" s="71">
        <v>41487</v>
      </c>
      <c r="H687" s="72">
        <v>243.584</v>
      </c>
    </row>
    <row r="688" spans="1:8" x14ac:dyDescent="0.2">
      <c r="A688" s="71">
        <v>37865</v>
      </c>
      <c r="B688" s="72">
        <v>185.1</v>
      </c>
      <c r="C688" s="71">
        <v>41518</v>
      </c>
      <c r="D688" s="72">
        <v>234.65799999999999</v>
      </c>
      <c r="G688" s="71">
        <v>41518</v>
      </c>
      <c r="H688" s="72">
        <v>243.983</v>
      </c>
    </row>
    <row r="689" spans="1:8" x14ac:dyDescent="0.2">
      <c r="A689" s="71">
        <v>37895</v>
      </c>
      <c r="B689" s="72">
        <v>184.9</v>
      </c>
      <c r="C689" s="71">
        <v>41548</v>
      </c>
      <c r="D689" s="72">
        <v>234.892</v>
      </c>
      <c r="G689" s="71">
        <v>41548</v>
      </c>
      <c r="H689" s="72">
        <v>242.73500000000001</v>
      </c>
    </row>
    <row r="690" spans="1:8" x14ac:dyDescent="0.2">
      <c r="A690" s="71">
        <v>37926</v>
      </c>
      <c r="B690" s="72">
        <v>185</v>
      </c>
      <c r="C690" s="71">
        <v>41579</v>
      </c>
      <c r="D690" s="72">
        <v>235.328</v>
      </c>
      <c r="G690" s="71">
        <v>41579</v>
      </c>
      <c r="H690" s="72">
        <v>243.23099999999999</v>
      </c>
    </row>
    <row r="691" spans="1:8" x14ac:dyDescent="0.2">
      <c r="A691" s="71">
        <v>37956</v>
      </c>
      <c r="B691" s="72">
        <v>185.5</v>
      </c>
      <c r="C691" s="71">
        <v>41609</v>
      </c>
      <c r="D691" s="72">
        <v>235.73500000000001</v>
      </c>
      <c r="G691" s="71">
        <v>41609</v>
      </c>
      <c r="H691" s="72">
        <v>246.03200000000001</v>
      </c>
    </row>
    <row r="692" spans="1:8" x14ac:dyDescent="0.2">
      <c r="A692" s="71">
        <v>37987</v>
      </c>
      <c r="B692" s="72">
        <v>186.3</v>
      </c>
      <c r="C692" s="71">
        <v>41640</v>
      </c>
      <c r="D692" s="72">
        <v>236.01900000000001</v>
      </c>
      <c r="G692" s="71">
        <v>41640</v>
      </c>
      <c r="H692" s="72">
        <v>251.02</v>
      </c>
    </row>
    <row r="693" spans="1:8" x14ac:dyDescent="0.2">
      <c r="A693" s="71">
        <v>38018</v>
      </c>
      <c r="B693" s="72">
        <v>186.7</v>
      </c>
      <c r="C693" s="71">
        <v>41671</v>
      </c>
      <c r="D693" s="72">
        <v>236.23</v>
      </c>
      <c r="G693" s="71">
        <v>41671</v>
      </c>
      <c r="H693" s="72">
        <v>251.142</v>
      </c>
    </row>
    <row r="694" spans="1:8" x14ac:dyDescent="0.2">
      <c r="A694" s="71">
        <v>38047</v>
      </c>
      <c r="B694" s="72">
        <v>187.1</v>
      </c>
      <c r="C694" s="71">
        <v>41699</v>
      </c>
      <c r="D694" s="72">
        <v>236.637</v>
      </c>
      <c r="G694" s="71">
        <v>41699</v>
      </c>
      <c r="H694" s="72">
        <v>249.37200000000001</v>
      </c>
    </row>
    <row r="695" spans="1:8" x14ac:dyDescent="0.2">
      <c r="A695" s="71">
        <v>38078</v>
      </c>
      <c r="B695" s="72">
        <v>187.4</v>
      </c>
      <c r="C695" s="71">
        <v>41730</v>
      </c>
      <c r="D695" s="72">
        <v>237.08099999999999</v>
      </c>
      <c r="G695" s="71">
        <v>41730</v>
      </c>
      <c r="H695" s="72">
        <v>249.74600000000001</v>
      </c>
    </row>
    <row r="696" spans="1:8" x14ac:dyDescent="0.2">
      <c r="A696" s="71">
        <v>38108</v>
      </c>
      <c r="B696" s="72">
        <v>188.2</v>
      </c>
      <c r="C696" s="71">
        <v>41760</v>
      </c>
      <c r="D696" s="72">
        <v>237.584</v>
      </c>
      <c r="G696" s="71">
        <v>41760</v>
      </c>
      <c r="H696" s="72">
        <v>247.80699999999999</v>
      </c>
    </row>
    <row r="697" spans="1:8" x14ac:dyDescent="0.2">
      <c r="A697" s="71">
        <v>38139</v>
      </c>
      <c r="B697" s="72">
        <v>188.9</v>
      </c>
      <c r="C697" s="71">
        <v>41791</v>
      </c>
      <c r="D697" s="72">
        <v>237.83799999999999</v>
      </c>
      <c r="G697" s="71">
        <v>41791</v>
      </c>
      <c r="H697" s="72">
        <v>247.499</v>
      </c>
    </row>
    <row r="698" spans="1:8" x14ac:dyDescent="0.2">
      <c r="A698" s="71">
        <v>38169</v>
      </c>
      <c r="B698" s="72">
        <v>189.1</v>
      </c>
      <c r="C698" s="71">
        <v>41821</v>
      </c>
      <c r="D698" s="72">
        <v>238.197</v>
      </c>
      <c r="G698" s="71">
        <v>41821</v>
      </c>
      <c r="H698" s="72">
        <v>247.84100000000001</v>
      </c>
    </row>
    <row r="699" spans="1:8" x14ac:dyDescent="0.2">
      <c r="A699" s="71">
        <v>38200</v>
      </c>
      <c r="B699" s="72">
        <v>189.2</v>
      </c>
      <c r="C699" s="71">
        <v>41852</v>
      </c>
      <c r="D699" s="72">
        <v>238.38</v>
      </c>
      <c r="G699" s="71">
        <v>41852</v>
      </c>
      <c r="H699" s="72">
        <v>243.506</v>
      </c>
    </row>
    <row r="700" spans="1:8" x14ac:dyDescent="0.2">
      <c r="A700" s="71">
        <v>38231</v>
      </c>
      <c r="B700" s="72">
        <v>189.8</v>
      </c>
      <c r="C700" s="71">
        <v>41883</v>
      </c>
      <c r="D700" s="72">
        <v>238.72900000000001</v>
      </c>
      <c r="G700" s="71">
        <v>41883</v>
      </c>
      <c r="H700" s="72">
        <v>242.07400000000001</v>
      </c>
    </row>
    <row r="701" spans="1:8" x14ac:dyDescent="0.2">
      <c r="A701" s="71">
        <v>38261</v>
      </c>
      <c r="B701" s="72">
        <v>190.8</v>
      </c>
      <c r="C701" s="71">
        <v>41913</v>
      </c>
      <c r="D701" s="72">
        <v>239.14699999999999</v>
      </c>
      <c r="G701" s="71">
        <v>41913</v>
      </c>
      <c r="H701" s="72">
        <v>238.26900000000001</v>
      </c>
    </row>
    <row r="702" spans="1:8" x14ac:dyDescent="0.2">
      <c r="A702" s="71">
        <v>38292</v>
      </c>
      <c r="B702" s="72">
        <v>191.7</v>
      </c>
      <c r="C702" s="71">
        <v>41944</v>
      </c>
      <c r="D702" s="72">
        <v>239.37299999999999</v>
      </c>
      <c r="G702" s="71">
        <v>41944</v>
      </c>
      <c r="H702" s="72">
        <v>231.238</v>
      </c>
    </row>
    <row r="703" spans="1:8" x14ac:dyDescent="0.2">
      <c r="A703" s="71">
        <v>38322</v>
      </c>
      <c r="B703" s="72">
        <v>191.7</v>
      </c>
      <c r="C703" s="71">
        <v>41974</v>
      </c>
      <c r="D703" s="72">
        <v>239.553</v>
      </c>
      <c r="G703" s="71">
        <v>41974</v>
      </c>
      <c r="H703" s="72">
        <v>219.29499999999999</v>
      </c>
    </row>
    <row r="704" spans="1:8" x14ac:dyDescent="0.2">
      <c r="A704" s="71">
        <v>38353</v>
      </c>
      <c r="B704" s="72">
        <v>191.6</v>
      </c>
      <c r="C704" s="71">
        <v>42005</v>
      </c>
      <c r="D704" s="72">
        <v>239.91</v>
      </c>
      <c r="G704" s="71">
        <v>42005</v>
      </c>
      <c r="H704" s="72">
        <v>201.02699999999999</v>
      </c>
    </row>
    <row r="705" spans="1:8" x14ac:dyDescent="0.2">
      <c r="A705" s="71">
        <v>38384</v>
      </c>
      <c r="B705" s="72">
        <v>192.4</v>
      </c>
      <c r="C705" s="71">
        <v>42036</v>
      </c>
      <c r="D705" s="72">
        <v>240.23599999999999</v>
      </c>
      <c r="G705" s="71">
        <v>42036</v>
      </c>
      <c r="H705" s="72">
        <v>204.32599999999999</v>
      </c>
    </row>
    <row r="706" spans="1:8" x14ac:dyDescent="0.2">
      <c r="A706" s="71">
        <v>38412</v>
      </c>
      <c r="B706" s="72">
        <v>193.1</v>
      </c>
      <c r="C706" s="71">
        <v>42064</v>
      </c>
      <c r="D706" s="72">
        <v>240.78299999999999</v>
      </c>
      <c r="G706" s="71">
        <v>42064</v>
      </c>
      <c r="H706" s="72">
        <v>205.60300000000001</v>
      </c>
    </row>
    <row r="707" spans="1:8" x14ac:dyDescent="0.2">
      <c r="A707" s="71">
        <v>38443</v>
      </c>
      <c r="B707" s="72">
        <v>193.7</v>
      </c>
      <c r="C707" s="71">
        <v>42095</v>
      </c>
      <c r="D707" s="72">
        <v>241.36600000000001</v>
      </c>
      <c r="G707" s="71">
        <v>42095</v>
      </c>
      <c r="H707" s="72">
        <v>202.989</v>
      </c>
    </row>
    <row r="708" spans="1:8" x14ac:dyDescent="0.2">
      <c r="A708" s="71">
        <v>38473</v>
      </c>
      <c r="B708" s="72">
        <v>193.6</v>
      </c>
      <c r="C708" s="71">
        <v>42125</v>
      </c>
      <c r="D708" s="72">
        <v>241.66200000000001</v>
      </c>
      <c r="G708" s="71">
        <v>42125</v>
      </c>
      <c r="H708" s="72">
        <v>207.89</v>
      </c>
    </row>
    <row r="709" spans="1:8" x14ac:dyDescent="0.2">
      <c r="A709" s="71">
        <v>38504</v>
      </c>
      <c r="B709" s="72">
        <v>193.7</v>
      </c>
      <c r="C709" s="71">
        <v>42156</v>
      </c>
      <c r="D709" s="72">
        <v>242.02099999999999</v>
      </c>
      <c r="G709" s="71">
        <v>42156</v>
      </c>
      <c r="H709" s="72">
        <v>209.59800000000001</v>
      </c>
    </row>
    <row r="710" spans="1:8" x14ac:dyDescent="0.2">
      <c r="A710" s="71">
        <v>38534</v>
      </c>
      <c r="B710" s="72">
        <v>194.9</v>
      </c>
      <c r="C710" s="71">
        <v>42186</v>
      </c>
      <c r="D710" s="72">
        <v>242.48</v>
      </c>
      <c r="G710" s="71">
        <v>42186</v>
      </c>
      <c r="H710" s="72">
        <v>210.48699999999999</v>
      </c>
    </row>
    <row r="711" spans="1:8" x14ac:dyDescent="0.2">
      <c r="A711" s="71">
        <v>38565</v>
      </c>
      <c r="B711" s="72">
        <v>196.1</v>
      </c>
      <c r="C711" s="71">
        <v>42217</v>
      </c>
      <c r="D711" s="72">
        <v>242.75399999999999</v>
      </c>
      <c r="G711" s="71">
        <v>42217</v>
      </c>
      <c r="H711" s="72">
        <v>206.63200000000001</v>
      </c>
    </row>
    <row r="712" spans="1:8" x14ac:dyDescent="0.2">
      <c r="A712" s="71">
        <v>38596</v>
      </c>
      <c r="B712" s="72">
        <v>198.8</v>
      </c>
      <c r="C712" s="71">
        <v>42248</v>
      </c>
      <c r="D712" s="72">
        <v>243.249</v>
      </c>
      <c r="G712" s="71">
        <v>42248</v>
      </c>
      <c r="H712" s="72">
        <v>197.45099999999999</v>
      </c>
    </row>
    <row r="713" spans="1:8" x14ac:dyDescent="0.2">
      <c r="A713" s="71">
        <v>38626</v>
      </c>
      <c r="B713" s="72">
        <v>199.1</v>
      </c>
      <c r="C713" s="71">
        <v>42278</v>
      </c>
      <c r="D713" s="72">
        <v>243.71899999999999</v>
      </c>
      <c r="G713" s="71">
        <v>42278</v>
      </c>
      <c r="H713" s="72">
        <v>196.78899999999999</v>
      </c>
    </row>
    <row r="714" spans="1:8" x14ac:dyDescent="0.2">
      <c r="A714" s="71">
        <v>38657</v>
      </c>
      <c r="B714" s="72">
        <v>198.1</v>
      </c>
      <c r="C714" s="71">
        <v>42309</v>
      </c>
      <c r="D714" s="72">
        <v>244.221</v>
      </c>
      <c r="G714" s="71">
        <v>42309</v>
      </c>
      <c r="H714" s="72">
        <v>196.88200000000001</v>
      </c>
    </row>
    <row r="715" spans="1:8" x14ac:dyDescent="0.2">
      <c r="A715" s="71">
        <v>38687</v>
      </c>
      <c r="B715" s="72">
        <v>198.1</v>
      </c>
      <c r="C715" s="71">
        <v>42339</v>
      </c>
      <c r="D715" s="72">
        <v>244.58099999999999</v>
      </c>
      <c r="G715" s="71">
        <v>42339</v>
      </c>
      <c r="H715" s="72">
        <v>191.00200000000001</v>
      </c>
    </row>
    <row r="716" spans="1:8" x14ac:dyDescent="0.2">
      <c r="A716" s="71">
        <v>38718</v>
      </c>
      <c r="B716" s="72">
        <v>199.3</v>
      </c>
      <c r="C716" s="71">
        <v>42370</v>
      </c>
      <c r="D716" s="72">
        <v>245.232</v>
      </c>
      <c r="G716" s="71">
        <v>42370</v>
      </c>
      <c r="H716" s="72">
        <v>188.26300000000001</v>
      </c>
    </row>
    <row r="717" spans="1:8" x14ac:dyDescent="0.2">
      <c r="A717" s="71">
        <v>38749</v>
      </c>
      <c r="B717" s="72">
        <v>199.4</v>
      </c>
      <c r="C717" s="71">
        <v>42401</v>
      </c>
      <c r="D717" s="72">
        <v>245.845</v>
      </c>
      <c r="G717" s="71">
        <v>42401</v>
      </c>
      <c r="H717" s="72">
        <v>179.166</v>
      </c>
    </row>
    <row r="718" spans="1:8" x14ac:dyDescent="0.2">
      <c r="A718" s="71">
        <v>38777</v>
      </c>
      <c r="B718" s="72">
        <v>199.7</v>
      </c>
      <c r="C718" s="71">
        <v>42430</v>
      </c>
      <c r="D718" s="72">
        <v>246.06200000000001</v>
      </c>
      <c r="G718" s="71">
        <v>42430</v>
      </c>
      <c r="H718" s="72">
        <v>180.81800000000001</v>
      </c>
    </row>
    <row r="719" spans="1:8" x14ac:dyDescent="0.2">
      <c r="A719" s="71">
        <v>38808</v>
      </c>
      <c r="B719" s="72">
        <v>200.7</v>
      </c>
      <c r="C719" s="71">
        <v>42461</v>
      </c>
      <c r="D719" s="72">
        <v>246.517</v>
      </c>
      <c r="G719" s="71">
        <v>42461</v>
      </c>
      <c r="H719" s="72">
        <v>185.73400000000001</v>
      </c>
    </row>
    <row r="720" spans="1:8" x14ac:dyDescent="0.2">
      <c r="A720" s="71">
        <v>38838</v>
      </c>
      <c r="B720" s="72">
        <v>201.3</v>
      </c>
      <c r="C720" s="71">
        <v>42491</v>
      </c>
      <c r="D720" s="72">
        <v>247.02600000000001</v>
      </c>
      <c r="G720" s="71">
        <v>42491</v>
      </c>
      <c r="H720" s="72">
        <v>187.108</v>
      </c>
    </row>
    <row r="721" spans="1:8" x14ac:dyDescent="0.2">
      <c r="A721" s="71">
        <v>38869</v>
      </c>
      <c r="B721" s="72">
        <v>201.8</v>
      </c>
      <c r="C721" s="71">
        <v>42522</v>
      </c>
      <c r="D721" s="72">
        <v>247.38900000000001</v>
      </c>
      <c r="G721" s="71">
        <v>42522</v>
      </c>
      <c r="H721" s="72">
        <v>189.60300000000001</v>
      </c>
    </row>
    <row r="722" spans="1:8" x14ac:dyDescent="0.2">
      <c r="A722" s="71">
        <v>38899</v>
      </c>
      <c r="B722" s="72">
        <v>202.9</v>
      </c>
      <c r="C722" s="71">
        <v>42552</v>
      </c>
      <c r="D722" s="72">
        <v>247.70500000000001</v>
      </c>
      <c r="G722" s="71">
        <v>42552</v>
      </c>
      <c r="H722" s="72">
        <v>187.595</v>
      </c>
    </row>
    <row r="723" spans="1:8" x14ac:dyDescent="0.2">
      <c r="A723" s="71">
        <v>38930</v>
      </c>
      <c r="B723" s="72">
        <v>203.8</v>
      </c>
      <c r="C723" s="71">
        <v>42583</v>
      </c>
      <c r="D723" s="72">
        <v>248.351</v>
      </c>
      <c r="G723" s="71">
        <v>42583</v>
      </c>
      <c r="H723" s="72">
        <v>187.50399999999999</v>
      </c>
    </row>
    <row r="724" spans="1:8" x14ac:dyDescent="0.2">
      <c r="A724" s="71">
        <v>38961</v>
      </c>
      <c r="B724" s="72">
        <v>202.8</v>
      </c>
      <c r="C724" s="71">
        <v>42614</v>
      </c>
      <c r="D724" s="72">
        <v>248.64599999999999</v>
      </c>
      <c r="G724" s="71">
        <v>42614</v>
      </c>
      <c r="H724" s="72">
        <v>192.00299999999999</v>
      </c>
    </row>
    <row r="725" spans="1:8" x14ac:dyDescent="0.2">
      <c r="A725" s="71">
        <v>38991</v>
      </c>
      <c r="B725" s="72">
        <v>201.9</v>
      </c>
      <c r="C725" s="71">
        <v>42644</v>
      </c>
      <c r="D725" s="72">
        <v>249.011</v>
      </c>
      <c r="G725" s="71">
        <v>42644</v>
      </c>
      <c r="H725" s="72">
        <v>196.81299999999999</v>
      </c>
    </row>
    <row r="726" spans="1:8" x14ac:dyDescent="0.2">
      <c r="A726" s="71">
        <v>39022</v>
      </c>
      <c r="B726" s="72">
        <v>202</v>
      </c>
      <c r="C726" s="71">
        <v>42675</v>
      </c>
      <c r="D726" s="72">
        <v>249.464</v>
      </c>
      <c r="G726" s="71">
        <v>42675</v>
      </c>
      <c r="H726" s="72">
        <v>198.73</v>
      </c>
    </row>
    <row r="727" spans="1:8" x14ac:dyDescent="0.2">
      <c r="A727" s="71">
        <v>39052</v>
      </c>
      <c r="B727" s="72">
        <v>203.1</v>
      </c>
      <c r="C727" s="71">
        <v>42705</v>
      </c>
      <c r="D727" s="72">
        <v>250.01300000000001</v>
      </c>
      <c r="G727" s="71">
        <v>42705</v>
      </c>
      <c r="H727" s="72">
        <v>201.148</v>
      </c>
    </row>
    <row r="728" spans="1:8" x14ac:dyDescent="0.2">
      <c r="A728" s="71">
        <v>39083</v>
      </c>
      <c r="B728" s="72">
        <v>203.43700000000001</v>
      </c>
      <c r="C728" s="71">
        <v>42736</v>
      </c>
      <c r="D728" s="72">
        <v>250.78299999999999</v>
      </c>
      <c r="G728" s="71">
        <v>42736</v>
      </c>
      <c r="H728" s="72">
        <v>209.13800000000001</v>
      </c>
    </row>
    <row r="729" spans="1:8" x14ac:dyDescent="0.2">
      <c r="A729" s="71">
        <v>39114</v>
      </c>
      <c r="B729" s="72">
        <v>204.226</v>
      </c>
    </row>
    <row r="730" spans="1:8" x14ac:dyDescent="0.2">
      <c r="A730" s="71">
        <v>39142</v>
      </c>
      <c r="B730" s="72">
        <v>205.28800000000001</v>
      </c>
    </row>
    <row r="731" spans="1:8" x14ac:dyDescent="0.2">
      <c r="A731" s="71">
        <v>39173</v>
      </c>
      <c r="B731" s="72">
        <v>205.904</v>
      </c>
    </row>
    <row r="732" spans="1:8" x14ac:dyDescent="0.2">
      <c r="A732" s="71">
        <v>39203</v>
      </c>
      <c r="B732" s="72">
        <v>206.755</v>
      </c>
    </row>
    <row r="733" spans="1:8" x14ac:dyDescent="0.2">
      <c r="A733" s="71">
        <v>39234</v>
      </c>
      <c r="B733" s="72">
        <v>207.23400000000001</v>
      </c>
    </row>
    <row r="734" spans="1:8" x14ac:dyDescent="0.2">
      <c r="A734" s="71">
        <v>39264</v>
      </c>
      <c r="B734" s="72">
        <v>207.60300000000001</v>
      </c>
    </row>
    <row r="735" spans="1:8" x14ac:dyDescent="0.2">
      <c r="A735" s="71">
        <v>39295</v>
      </c>
      <c r="B735" s="72">
        <v>207.667</v>
      </c>
    </row>
    <row r="736" spans="1:8" x14ac:dyDescent="0.2">
      <c r="A736" s="71">
        <v>39326</v>
      </c>
      <c r="B736" s="72">
        <v>208.547</v>
      </c>
    </row>
    <row r="737" spans="1:2" x14ac:dyDescent="0.2">
      <c r="A737" s="71">
        <v>39356</v>
      </c>
      <c r="B737" s="72">
        <v>209.19</v>
      </c>
    </row>
    <row r="738" spans="1:2" x14ac:dyDescent="0.2">
      <c r="A738" s="71">
        <v>39387</v>
      </c>
      <c r="B738" s="72">
        <v>210.834</v>
      </c>
    </row>
    <row r="739" spans="1:2" x14ac:dyDescent="0.2">
      <c r="A739" s="71">
        <v>39417</v>
      </c>
      <c r="B739" s="72">
        <v>211.44499999999999</v>
      </c>
    </row>
    <row r="740" spans="1:2" x14ac:dyDescent="0.2">
      <c r="A740" s="71">
        <v>39448</v>
      </c>
      <c r="B740" s="72">
        <v>212.17400000000001</v>
      </c>
    </row>
    <row r="741" spans="1:2" x14ac:dyDescent="0.2">
      <c r="A741" s="71">
        <v>39479</v>
      </c>
      <c r="B741" s="72">
        <v>212.68700000000001</v>
      </c>
    </row>
    <row r="742" spans="1:2" x14ac:dyDescent="0.2">
      <c r="A742" s="71">
        <v>39508</v>
      </c>
      <c r="B742" s="72">
        <v>213.44800000000001</v>
      </c>
    </row>
    <row r="743" spans="1:2" x14ac:dyDescent="0.2">
      <c r="A743" s="71">
        <v>39539</v>
      </c>
      <c r="B743" s="72">
        <v>213.94200000000001</v>
      </c>
    </row>
    <row r="744" spans="1:2" x14ac:dyDescent="0.2">
      <c r="A744" s="71">
        <v>39569</v>
      </c>
      <c r="B744" s="72">
        <v>215.208</v>
      </c>
    </row>
    <row r="745" spans="1:2" x14ac:dyDescent="0.2">
      <c r="A745" s="71">
        <v>39600</v>
      </c>
      <c r="B745" s="72">
        <v>217.46299999999999</v>
      </c>
    </row>
    <row r="746" spans="1:2" x14ac:dyDescent="0.2">
      <c r="A746" s="71">
        <v>39630</v>
      </c>
      <c r="B746" s="72">
        <v>219.01599999999999</v>
      </c>
    </row>
    <row r="747" spans="1:2" x14ac:dyDescent="0.2">
      <c r="A747" s="71">
        <v>39661</v>
      </c>
      <c r="B747" s="72">
        <v>218.69</v>
      </c>
    </row>
    <row r="748" spans="1:2" x14ac:dyDescent="0.2">
      <c r="A748" s="71">
        <v>39692</v>
      </c>
      <c r="B748" s="72">
        <v>218.87700000000001</v>
      </c>
    </row>
    <row r="749" spans="1:2" x14ac:dyDescent="0.2">
      <c r="A749" s="71">
        <v>39722</v>
      </c>
      <c r="B749" s="72">
        <v>216.995</v>
      </c>
    </row>
    <row r="750" spans="1:2" x14ac:dyDescent="0.2">
      <c r="A750" s="71">
        <v>39753</v>
      </c>
      <c r="B750" s="72">
        <v>213.15299999999999</v>
      </c>
    </row>
    <row r="751" spans="1:2" x14ac:dyDescent="0.2">
      <c r="A751" s="71">
        <v>39783</v>
      </c>
      <c r="B751" s="72">
        <v>211.398</v>
      </c>
    </row>
    <row r="752" spans="1:2" x14ac:dyDescent="0.2">
      <c r="A752" s="71">
        <v>39814</v>
      </c>
      <c r="B752" s="72">
        <v>211.93299999999999</v>
      </c>
    </row>
    <row r="753" spans="1:2" x14ac:dyDescent="0.2">
      <c r="A753" s="71">
        <v>39845</v>
      </c>
      <c r="B753" s="72">
        <v>212.70500000000001</v>
      </c>
    </row>
    <row r="754" spans="1:2" x14ac:dyDescent="0.2">
      <c r="A754" s="71">
        <v>39873</v>
      </c>
      <c r="B754" s="72">
        <v>212.495</v>
      </c>
    </row>
    <row r="755" spans="1:2" x14ac:dyDescent="0.2">
      <c r="A755" s="71">
        <v>39904</v>
      </c>
      <c r="B755" s="72">
        <v>212.709</v>
      </c>
    </row>
    <row r="756" spans="1:2" x14ac:dyDescent="0.2">
      <c r="A756" s="71">
        <v>39934</v>
      </c>
      <c r="B756" s="72">
        <v>213.02199999999999</v>
      </c>
    </row>
    <row r="757" spans="1:2" x14ac:dyDescent="0.2">
      <c r="A757" s="71">
        <v>39965</v>
      </c>
      <c r="B757" s="72">
        <v>214.79</v>
      </c>
    </row>
    <row r="758" spans="1:2" x14ac:dyDescent="0.2">
      <c r="A758" s="71">
        <v>39995</v>
      </c>
      <c r="B758" s="72">
        <v>214.726</v>
      </c>
    </row>
    <row r="759" spans="1:2" x14ac:dyDescent="0.2">
      <c r="A759" s="71">
        <v>40026</v>
      </c>
      <c r="B759" s="72">
        <v>215.44499999999999</v>
      </c>
    </row>
    <row r="760" spans="1:2" x14ac:dyDescent="0.2">
      <c r="A760" s="71">
        <v>40057</v>
      </c>
      <c r="B760" s="72">
        <v>215.86099999999999</v>
      </c>
    </row>
    <row r="761" spans="1:2" x14ac:dyDescent="0.2">
      <c r="A761" s="71">
        <v>40087</v>
      </c>
      <c r="B761" s="72">
        <v>216.50899999999999</v>
      </c>
    </row>
    <row r="762" spans="1:2" x14ac:dyDescent="0.2">
      <c r="A762" s="71">
        <v>40118</v>
      </c>
      <c r="B762" s="72">
        <v>217.23400000000001</v>
      </c>
    </row>
    <row r="763" spans="1:2" x14ac:dyDescent="0.2">
      <c r="A763" s="71">
        <v>40148</v>
      </c>
      <c r="B763" s="72">
        <v>217.34700000000001</v>
      </c>
    </row>
    <row r="764" spans="1:2" x14ac:dyDescent="0.2">
      <c r="A764" s="71">
        <v>40179</v>
      </c>
      <c r="B764" s="72">
        <v>217.488</v>
      </c>
    </row>
    <row r="765" spans="1:2" x14ac:dyDescent="0.2">
      <c r="A765" s="71">
        <v>40210</v>
      </c>
      <c r="B765" s="72">
        <v>217.28100000000001</v>
      </c>
    </row>
    <row r="766" spans="1:2" x14ac:dyDescent="0.2">
      <c r="A766" s="71">
        <v>40238</v>
      </c>
      <c r="B766" s="72">
        <v>217.35300000000001</v>
      </c>
    </row>
    <row r="767" spans="1:2" x14ac:dyDescent="0.2">
      <c r="A767" s="71">
        <v>40269</v>
      </c>
      <c r="B767" s="72">
        <v>217.40299999999999</v>
      </c>
    </row>
    <row r="768" spans="1:2" x14ac:dyDescent="0.2">
      <c r="A768" s="71">
        <v>40299</v>
      </c>
      <c r="B768" s="72">
        <v>217.29</v>
      </c>
    </row>
    <row r="769" spans="1:2" x14ac:dyDescent="0.2">
      <c r="A769" s="71">
        <v>40330</v>
      </c>
      <c r="B769" s="72">
        <v>217.19900000000001</v>
      </c>
    </row>
    <row r="770" spans="1:2" x14ac:dyDescent="0.2">
      <c r="A770" s="71">
        <v>40360</v>
      </c>
      <c r="B770" s="72">
        <v>217.60499999999999</v>
      </c>
    </row>
    <row r="771" spans="1:2" x14ac:dyDescent="0.2">
      <c r="A771" s="71">
        <v>40391</v>
      </c>
      <c r="B771" s="72">
        <v>217.923</v>
      </c>
    </row>
    <row r="772" spans="1:2" x14ac:dyDescent="0.2">
      <c r="A772" s="71">
        <v>40422</v>
      </c>
      <c r="B772" s="72">
        <v>218.27500000000001</v>
      </c>
    </row>
    <row r="773" spans="1:2" x14ac:dyDescent="0.2">
      <c r="A773" s="71">
        <v>40452</v>
      </c>
      <c r="B773" s="72">
        <v>219.035</v>
      </c>
    </row>
    <row r="774" spans="1:2" x14ac:dyDescent="0.2">
      <c r="A774" s="71">
        <v>40483</v>
      </c>
      <c r="B774" s="72">
        <v>219.59</v>
      </c>
    </row>
    <row r="775" spans="1:2" x14ac:dyDescent="0.2">
      <c r="A775" s="71">
        <v>40513</v>
      </c>
      <c r="B775" s="72">
        <v>220.47200000000001</v>
      </c>
    </row>
    <row r="776" spans="1:2" x14ac:dyDescent="0.2">
      <c r="A776" s="71">
        <v>40544</v>
      </c>
      <c r="B776" s="72">
        <v>221.18700000000001</v>
      </c>
    </row>
    <row r="777" spans="1:2" x14ac:dyDescent="0.2">
      <c r="A777" s="71">
        <v>40575</v>
      </c>
      <c r="B777" s="72">
        <v>221.898</v>
      </c>
    </row>
    <row r="778" spans="1:2" x14ac:dyDescent="0.2">
      <c r="A778" s="71">
        <v>40603</v>
      </c>
      <c r="B778" s="72">
        <v>223.04599999999999</v>
      </c>
    </row>
    <row r="779" spans="1:2" x14ac:dyDescent="0.2">
      <c r="A779" s="71">
        <v>40634</v>
      </c>
      <c r="B779" s="72">
        <v>224.09299999999999</v>
      </c>
    </row>
    <row r="780" spans="1:2" x14ac:dyDescent="0.2">
      <c r="A780" s="71">
        <v>40664</v>
      </c>
      <c r="B780" s="72">
        <v>224.80600000000001</v>
      </c>
    </row>
    <row r="781" spans="1:2" x14ac:dyDescent="0.2">
      <c r="A781" s="71">
        <v>40695</v>
      </c>
      <c r="B781" s="72">
        <v>224.80600000000001</v>
      </c>
    </row>
    <row r="782" spans="1:2" x14ac:dyDescent="0.2">
      <c r="A782" s="71">
        <v>40725</v>
      </c>
      <c r="B782" s="72">
        <v>225.39500000000001</v>
      </c>
    </row>
    <row r="783" spans="1:2" x14ac:dyDescent="0.2">
      <c r="A783" s="71">
        <v>40756</v>
      </c>
      <c r="B783" s="72">
        <v>226.10599999999999</v>
      </c>
    </row>
    <row r="784" spans="1:2" x14ac:dyDescent="0.2">
      <c r="A784" s="71">
        <v>40787</v>
      </c>
      <c r="B784" s="72">
        <v>226.59700000000001</v>
      </c>
    </row>
    <row r="785" spans="1:2" x14ac:dyDescent="0.2">
      <c r="A785" s="71">
        <v>40817</v>
      </c>
      <c r="B785" s="72">
        <v>226.75</v>
      </c>
    </row>
    <row r="786" spans="1:2" x14ac:dyDescent="0.2">
      <c r="A786" s="71">
        <v>40848</v>
      </c>
      <c r="B786" s="72">
        <v>227.16900000000001</v>
      </c>
    </row>
    <row r="787" spans="1:2" x14ac:dyDescent="0.2">
      <c r="A787" s="71">
        <v>40878</v>
      </c>
      <c r="B787" s="72">
        <v>227.22300000000001</v>
      </c>
    </row>
    <row r="788" spans="1:2" x14ac:dyDescent="0.2">
      <c r="A788" s="71">
        <v>40909</v>
      </c>
      <c r="B788" s="72">
        <v>227.84200000000001</v>
      </c>
    </row>
    <row r="789" spans="1:2" x14ac:dyDescent="0.2">
      <c r="A789" s="71">
        <v>40940</v>
      </c>
      <c r="B789" s="72">
        <v>228.32900000000001</v>
      </c>
    </row>
    <row r="790" spans="1:2" x14ac:dyDescent="0.2">
      <c r="A790" s="71">
        <v>40969</v>
      </c>
      <c r="B790" s="72">
        <v>228.80699999999999</v>
      </c>
    </row>
    <row r="791" spans="1:2" x14ac:dyDescent="0.2">
      <c r="A791" s="71">
        <v>41000</v>
      </c>
      <c r="B791" s="72">
        <v>229.18700000000001</v>
      </c>
    </row>
    <row r="792" spans="1:2" x14ac:dyDescent="0.2">
      <c r="A792" s="71">
        <v>41030</v>
      </c>
      <c r="B792" s="72">
        <v>228.71299999999999</v>
      </c>
    </row>
    <row r="793" spans="1:2" x14ac:dyDescent="0.2">
      <c r="A793" s="71">
        <v>41061</v>
      </c>
      <c r="B793" s="72">
        <v>228.524</v>
      </c>
    </row>
    <row r="794" spans="1:2" x14ac:dyDescent="0.2">
      <c r="A794" s="71">
        <v>41091</v>
      </c>
      <c r="B794" s="72">
        <v>228.59</v>
      </c>
    </row>
    <row r="795" spans="1:2" x14ac:dyDescent="0.2">
      <c r="A795" s="71">
        <v>41122</v>
      </c>
      <c r="B795" s="72">
        <v>229.91800000000001</v>
      </c>
    </row>
    <row r="796" spans="1:2" x14ac:dyDescent="0.2">
      <c r="A796" s="71">
        <v>41153</v>
      </c>
      <c r="B796" s="72">
        <v>231.01499999999999</v>
      </c>
    </row>
    <row r="797" spans="1:2" x14ac:dyDescent="0.2">
      <c r="A797" s="71">
        <v>41183</v>
      </c>
      <c r="B797" s="72">
        <v>231.63800000000001</v>
      </c>
    </row>
    <row r="798" spans="1:2" x14ac:dyDescent="0.2">
      <c r="A798" s="71">
        <v>41214</v>
      </c>
      <c r="B798" s="72">
        <v>231.249</v>
      </c>
    </row>
    <row r="799" spans="1:2" x14ac:dyDescent="0.2">
      <c r="A799" s="71">
        <v>41244</v>
      </c>
      <c r="B799" s="72">
        <v>231.221</v>
      </c>
    </row>
    <row r="800" spans="1:2" x14ac:dyDescent="0.2">
      <c r="A800" s="71">
        <v>41275</v>
      </c>
      <c r="B800" s="72">
        <v>231.61199999999999</v>
      </c>
    </row>
    <row r="801" spans="1:2" x14ac:dyDescent="0.2">
      <c r="A801" s="71">
        <v>41306</v>
      </c>
      <c r="B801" s="72">
        <v>232.98500000000001</v>
      </c>
    </row>
    <row r="802" spans="1:2" x14ac:dyDescent="0.2">
      <c r="A802" s="71">
        <v>41334</v>
      </c>
      <c r="B802" s="72">
        <v>232.29900000000001</v>
      </c>
    </row>
    <row r="803" spans="1:2" x14ac:dyDescent="0.2">
      <c r="A803" s="71">
        <v>41365</v>
      </c>
      <c r="B803" s="72">
        <v>231.79499999999999</v>
      </c>
    </row>
    <row r="804" spans="1:2" x14ac:dyDescent="0.2">
      <c r="A804" s="71">
        <v>41395</v>
      </c>
      <c r="B804" s="72">
        <v>231.916</v>
      </c>
    </row>
    <row r="805" spans="1:2" x14ac:dyDescent="0.2">
      <c r="A805" s="71">
        <v>41426</v>
      </c>
      <c r="B805" s="72">
        <v>232.374</v>
      </c>
    </row>
    <row r="806" spans="1:2" x14ac:dyDescent="0.2">
      <c r="A806" s="71">
        <v>41456</v>
      </c>
      <c r="B806" s="72">
        <v>232.88900000000001</v>
      </c>
    </row>
    <row r="807" spans="1:2" x14ac:dyDescent="0.2">
      <c r="A807" s="71">
        <v>41487</v>
      </c>
      <c r="B807" s="72">
        <v>233.32300000000001</v>
      </c>
    </row>
    <row r="808" spans="1:2" x14ac:dyDescent="0.2">
      <c r="A808" s="71">
        <v>41518</v>
      </c>
      <c r="B808" s="72">
        <v>233.63200000000001</v>
      </c>
    </row>
    <row r="809" spans="1:2" x14ac:dyDescent="0.2">
      <c r="A809" s="71">
        <v>41548</v>
      </c>
      <c r="B809" s="72">
        <v>233.71799999999999</v>
      </c>
    </row>
    <row r="810" spans="1:2" x14ac:dyDescent="0.2">
      <c r="A810" s="71">
        <v>41579</v>
      </c>
      <c r="B810" s="72">
        <v>234.12100000000001</v>
      </c>
    </row>
    <row r="811" spans="1:2" x14ac:dyDescent="0.2">
      <c r="A811" s="71">
        <v>41609</v>
      </c>
      <c r="B811" s="72">
        <v>234.72300000000001</v>
      </c>
    </row>
    <row r="812" spans="1:2" x14ac:dyDescent="0.2">
      <c r="A812" s="71">
        <v>41640</v>
      </c>
      <c r="B812" s="72">
        <v>235.38499999999999</v>
      </c>
    </row>
    <row r="813" spans="1:2" x14ac:dyDescent="0.2">
      <c r="A813" s="71">
        <v>41671</v>
      </c>
      <c r="B813" s="72">
        <v>235.672</v>
      </c>
    </row>
    <row r="814" spans="1:2" x14ac:dyDescent="0.2">
      <c r="A814" s="71">
        <v>41699</v>
      </c>
      <c r="B814" s="72">
        <v>235.97800000000001</v>
      </c>
    </row>
    <row r="815" spans="1:2" x14ac:dyDescent="0.2">
      <c r="A815" s="71">
        <v>41730</v>
      </c>
      <c r="B815" s="72">
        <v>236.471</v>
      </c>
    </row>
    <row r="816" spans="1:2" x14ac:dyDescent="0.2">
      <c r="A816" s="71">
        <v>41760</v>
      </c>
      <c r="B816" s="72">
        <v>236.83199999999999</v>
      </c>
    </row>
    <row r="817" spans="1:2" x14ac:dyDescent="0.2">
      <c r="A817" s="71">
        <v>41791</v>
      </c>
      <c r="B817" s="72">
        <v>237.029</v>
      </c>
    </row>
    <row r="818" spans="1:2" x14ac:dyDescent="0.2">
      <c r="A818" s="71">
        <v>41821</v>
      </c>
      <c r="B818" s="72">
        <v>237.42400000000001</v>
      </c>
    </row>
    <row r="819" spans="1:2" x14ac:dyDescent="0.2">
      <c r="A819" s="71">
        <v>41852</v>
      </c>
      <c r="B819" s="72">
        <v>237.256</v>
      </c>
    </row>
    <row r="820" spans="1:2" x14ac:dyDescent="0.2">
      <c r="A820" s="71">
        <v>41883</v>
      </c>
      <c r="B820" s="72">
        <v>237.48599999999999</v>
      </c>
    </row>
    <row r="821" spans="1:2" x14ac:dyDescent="0.2">
      <c r="A821" s="71">
        <v>41913</v>
      </c>
      <c r="B821" s="72">
        <v>237.506</v>
      </c>
    </row>
    <row r="822" spans="1:2" x14ac:dyDescent="0.2">
      <c r="A822" s="71">
        <v>41944</v>
      </c>
      <c r="B822" s="72">
        <v>237.11799999999999</v>
      </c>
    </row>
    <row r="823" spans="1:2" x14ac:dyDescent="0.2">
      <c r="A823" s="71">
        <v>41974</v>
      </c>
      <c r="B823" s="72">
        <v>236.29</v>
      </c>
    </row>
    <row r="824" spans="1:2" x14ac:dyDescent="0.2">
      <c r="A824" s="71">
        <v>42005</v>
      </c>
      <c r="B824" s="72">
        <v>234.91300000000001</v>
      </c>
    </row>
    <row r="825" spans="1:2" x14ac:dyDescent="0.2">
      <c r="A825" s="71">
        <v>42036</v>
      </c>
      <c r="B825" s="72">
        <v>235.489</v>
      </c>
    </row>
    <row r="826" spans="1:2" x14ac:dyDescent="0.2">
      <c r="A826" s="71">
        <v>42064</v>
      </c>
      <c r="B826" s="72">
        <v>235.989</v>
      </c>
    </row>
    <row r="827" spans="1:2" x14ac:dyDescent="0.2">
      <c r="A827" s="71">
        <v>42095</v>
      </c>
      <c r="B827" s="72">
        <v>236.20099999999999</v>
      </c>
    </row>
    <row r="828" spans="1:2" x14ac:dyDescent="0.2">
      <c r="A828" s="71">
        <v>42125</v>
      </c>
      <c r="B828" s="72">
        <v>236.89099999999999</v>
      </c>
    </row>
    <row r="829" spans="1:2" x14ac:dyDescent="0.2">
      <c r="A829" s="71">
        <v>42156</v>
      </c>
      <c r="B829" s="72">
        <v>237.41900000000001</v>
      </c>
    </row>
    <row r="830" spans="1:2" x14ac:dyDescent="0.2">
      <c r="A830" s="71">
        <v>42186</v>
      </c>
      <c r="B830" s="72">
        <v>237.876</v>
      </c>
    </row>
    <row r="831" spans="1:2" x14ac:dyDescent="0.2">
      <c r="A831" s="71">
        <v>42217</v>
      </c>
      <c r="B831" s="72">
        <v>237.81100000000001</v>
      </c>
    </row>
    <row r="832" spans="1:2" x14ac:dyDescent="0.2">
      <c r="A832" s="71">
        <v>42248</v>
      </c>
      <c r="B832" s="72">
        <v>237.46700000000001</v>
      </c>
    </row>
    <row r="833" spans="1:2" x14ac:dyDescent="0.2">
      <c r="A833" s="71">
        <v>42278</v>
      </c>
      <c r="B833" s="72">
        <v>237.792</v>
      </c>
    </row>
    <row r="834" spans="1:2" x14ac:dyDescent="0.2">
      <c r="A834" s="71">
        <v>42309</v>
      </c>
      <c r="B834" s="72">
        <v>238.15299999999999</v>
      </c>
    </row>
    <row r="835" spans="1:2" x14ac:dyDescent="0.2">
      <c r="A835" s="71">
        <v>42339</v>
      </c>
      <c r="B835" s="72">
        <v>237.846</v>
      </c>
    </row>
    <row r="836" spans="1:2" x14ac:dyDescent="0.2">
      <c r="A836" s="71">
        <v>42370</v>
      </c>
      <c r="B836" s="72">
        <v>238.10599999999999</v>
      </c>
    </row>
    <row r="837" spans="1:2" x14ac:dyDescent="0.2">
      <c r="A837" s="71">
        <v>42401</v>
      </c>
      <c r="B837" s="72">
        <v>237.80799999999999</v>
      </c>
    </row>
    <row r="838" spans="1:2" x14ac:dyDescent="0.2">
      <c r="A838" s="71">
        <v>42430</v>
      </c>
      <c r="B838" s="72">
        <v>238.078</v>
      </c>
    </row>
    <row r="839" spans="1:2" x14ac:dyDescent="0.2">
      <c r="A839" s="71">
        <v>42461</v>
      </c>
      <c r="B839" s="72">
        <v>238.90799999999999</v>
      </c>
    </row>
    <row r="840" spans="1:2" x14ac:dyDescent="0.2">
      <c r="A840" s="71">
        <v>42491</v>
      </c>
      <c r="B840" s="72">
        <v>239.36199999999999</v>
      </c>
    </row>
    <row r="841" spans="1:2" x14ac:dyDescent="0.2">
      <c r="A841" s="71">
        <v>42522</v>
      </c>
      <c r="B841" s="72">
        <v>239.84200000000001</v>
      </c>
    </row>
    <row r="842" spans="1:2" x14ac:dyDescent="0.2">
      <c r="A842" s="71">
        <v>42552</v>
      </c>
      <c r="B842" s="72">
        <v>239.898</v>
      </c>
    </row>
    <row r="843" spans="1:2" x14ac:dyDescent="0.2">
      <c r="A843" s="71">
        <v>42583</v>
      </c>
      <c r="B843" s="72">
        <v>240.38900000000001</v>
      </c>
    </row>
    <row r="844" spans="1:2" x14ac:dyDescent="0.2">
      <c r="A844" s="71">
        <v>42614</v>
      </c>
      <c r="B844" s="72">
        <v>241.006</v>
      </c>
    </row>
    <row r="845" spans="1:2" x14ac:dyDescent="0.2">
      <c r="A845" s="71">
        <v>42644</v>
      </c>
      <c r="B845" s="72">
        <v>241.69399999999999</v>
      </c>
    </row>
    <row r="846" spans="1:2" x14ac:dyDescent="0.2">
      <c r="A846" s="71">
        <v>42675</v>
      </c>
      <c r="B846" s="72">
        <v>242.19900000000001</v>
      </c>
    </row>
    <row r="847" spans="1:2" x14ac:dyDescent="0.2">
      <c r="A847" s="71">
        <v>42705</v>
      </c>
      <c r="B847" s="72">
        <v>242.821</v>
      </c>
    </row>
    <row r="848" spans="1:2" x14ac:dyDescent="0.2">
      <c r="A848" s="71">
        <v>42736</v>
      </c>
      <c r="B848" s="72">
        <v>244.15799999999999</v>
      </c>
    </row>
  </sheetData>
  <hyperlinks>
    <hyperlink ref="A5" r:id="rId1" xr:uid="{00000000-0004-0000-0900-000000000000}"/>
    <hyperlink ref="C5" r:id="rId2" xr:uid="{00000000-0004-0000-0900-000001000000}"/>
    <hyperlink ref="E5" r:id="rId3" xr:uid="{00000000-0004-0000-0900-000002000000}"/>
    <hyperlink ref="G5" r:id="rId4" xr:uid="{00000000-0004-0000-0900-000003000000}"/>
  </hyperlinks>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0"/>
  <dimension ref="A1:F2990"/>
  <sheetViews>
    <sheetView workbookViewId="0"/>
  </sheetViews>
  <sheetFormatPr baseColWidth="10" defaultColWidth="12" defaultRowHeight="15" x14ac:dyDescent="0.2"/>
  <cols>
    <col min="1" max="1" width="12" style="71" customWidth="1"/>
    <col min="2" max="2" width="12" style="72" customWidth="1"/>
    <col min="3" max="3" width="12" style="71" customWidth="1"/>
    <col min="4" max="4" width="12" style="72" customWidth="1"/>
    <col min="5" max="5" width="12" style="71" customWidth="1"/>
    <col min="6" max="6" width="12" style="72" customWidth="1"/>
  </cols>
  <sheetData>
    <row r="1" spans="1:6" x14ac:dyDescent="0.2">
      <c r="A1" s="71" t="s">
        <v>61</v>
      </c>
      <c r="C1" s="71" t="s">
        <v>62</v>
      </c>
      <c r="E1" s="71" t="s">
        <v>63</v>
      </c>
    </row>
    <row r="2" spans="1:6" x14ac:dyDescent="0.2">
      <c r="A2" s="71" t="s">
        <v>47</v>
      </c>
      <c r="B2" s="72" t="s">
        <v>64</v>
      </c>
      <c r="C2" s="71" t="s">
        <v>47</v>
      </c>
      <c r="D2" s="72" t="s">
        <v>64</v>
      </c>
      <c r="E2" s="71" t="s">
        <v>47</v>
      </c>
      <c r="F2" s="72" t="s">
        <v>64</v>
      </c>
    </row>
    <row r="3" spans="1:6" x14ac:dyDescent="0.2">
      <c r="A3" s="71" t="s">
        <v>65</v>
      </c>
      <c r="B3" s="72" t="s">
        <v>66</v>
      </c>
      <c r="C3" s="71" t="s">
        <v>65</v>
      </c>
      <c r="D3" s="72" t="s">
        <v>66</v>
      </c>
      <c r="E3" s="71" t="s">
        <v>49</v>
      </c>
      <c r="F3" s="72" t="s">
        <v>50</v>
      </c>
    </row>
    <row r="4" spans="1:6" x14ac:dyDescent="0.2">
      <c r="A4" s="71">
        <v>39798</v>
      </c>
      <c r="B4" s="72" t="s">
        <v>67</v>
      </c>
      <c r="C4" s="71">
        <v>39798</v>
      </c>
      <c r="D4" s="72" t="s">
        <v>67</v>
      </c>
      <c r="E4" s="71">
        <v>19906</v>
      </c>
      <c r="F4" s="72" t="s">
        <v>68</v>
      </c>
    </row>
    <row r="5" spans="1:6" x14ac:dyDescent="0.2">
      <c r="A5" s="73" t="s">
        <v>69</v>
      </c>
      <c r="C5" s="73" t="s">
        <v>70</v>
      </c>
      <c r="E5" s="73" t="s">
        <v>71</v>
      </c>
    </row>
    <row r="6" spans="1:6" x14ac:dyDescent="0.2">
      <c r="A6" s="71" t="s">
        <v>72</v>
      </c>
      <c r="C6" s="71" t="s">
        <v>72</v>
      </c>
      <c r="E6" s="71" t="s">
        <v>72</v>
      </c>
    </row>
    <row r="7" spans="1:6" x14ac:dyDescent="0.2">
      <c r="A7" s="71" t="s">
        <v>59</v>
      </c>
      <c r="B7" s="72" t="s">
        <v>60</v>
      </c>
      <c r="C7" s="71" t="s">
        <v>59</v>
      </c>
      <c r="D7" s="72" t="s">
        <v>60</v>
      </c>
      <c r="E7" s="71" t="s">
        <v>59</v>
      </c>
      <c r="F7" s="72" t="s">
        <v>60</v>
      </c>
    </row>
    <row r="8" spans="1:6" x14ac:dyDescent="0.2">
      <c r="A8" s="71">
        <v>39798</v>
      </c>
      <c r="B8" s="72">
        <v>0.25</v>
      </c>
      <c r="C8" s="71">
        <v>39798</v>
      </c>
      <c r="D8" s="72">
        <v>0</v>
      </c>
      <c r="E8" s="71">
        <v>19906</v>
      </c>
      <c r="F8" s="72">
        <v>0.8</v>
      </c>
    </row>
    <row r="9" spans="1:6" x14ac:dyDescent="0.2">
      <c r="A9" s="71">
        <v>39799</v>
      </c>
      <c r="B9" s="72">
        <v>0.25</v>
      </c>
      <c r="C9" s="71">
        <v>39799</v>
      </c>
      <c r="D9" s="72">
        <v>0</v>
      </c>
      <c r="E9" s="71">
        <v>19937</v>
      </c>
      <c r="F9" s="72">
        <v>1.22</v>
      </c>
    </row>
    <row r="10" spans="1:6" x14ac:dyDescent="0.2">
      <c r="A10" s="71">
        <v>39800</v>
      </c>
      <c r="B10" s="72">
        <v>0.25</v>
      </c>
      <c r="C10" s="71">
        <v>39800</v>
      </c>
      <c r="D10" s="72">
        <v>0</v>
      </c>
      <c r="E10" s="71">
        <v>19968</v>
      </c>
      <c r="F10" s="72">
        <v>1.06</v>
      </c>
    </row>
    <row r="11" spans="1:6" x14ac:dyDescent="0.2">
      <c r="A11" s="71">
        <v>39801</v>
      </c>
      <c r="B11" s="72">
        <v>0.25</v>
      </c>
      <c r="C11" s="71">
        <v>39801</v>
      </c>
      <c r="D11" s="72">
        <v>0</v>
      </c>
      <c r="E11" s="71">
        <v>19998</v>
      </c>
      <c r="F11" s="72">
        <v>0.85</v>
      </c>
    </row>
    <row r="12" spans="1:6" x14ac:dyDescent="0.2">
      <c r="A12" s="71">
        <v>39802</v>
      </c>
      <c r="B12" s="72">
        <v>0.25</v>
      </c>
      <c r="C12" s="71">
        <v>39802</v>
      </c>
      <c r="D12" s="72">
        <v>0</v>
      </c>
      <c r="E12" s="71">
        <v>20029</v>
      </c>
      <c r="F12" s="72">
        <v>0.83</v>
      </c>
    </row>
    <row r="13" spans="1:6" x14ac:dyDescent="0.2">
      <c r="A13" s="71">
        <v>39803</v>
      </c>
      <c r="B13" s="72">
        <v>0.25</v>
      </c>
      <c r="C13" s="71">
        <v>39803</v>
      </c>
      <c r="D13" s="72">
        <v>0</v>
      </c>
      <c r="E13" s="71">
        <v>20059</v>
      </c>
      <c r="F13" s="72">
        <v>1.28</v>
      </c>
    </row>
    <row r="14" spans="1:6" x14ac:dyDescent="0.2">
      <c r="A14" s="71">
        <v>39804</v>
      </c>
      <c r="B14" s="72">
        <v>0.25</v>
      </c>
      <c r="C14" s="71">
        <v>39804</v>
      </c>
      <c r="D14" s="72">
        <v>0</v>
      </c>
      <c r="E14" s="71">
        <v>20090</v>
      </c>
      <c r="F14" s="72">
        <v>1.39</v>
      </c>
    </row>
    <row r="15" spans="1:6" x14ac:dyDescent="0.2">
      <c r="A15" s="71">
        <v>39805</v>
      </c>
      <c r="B15" s="72">
        <v>0.25</v>
      </c>
      <c r="C15" s="71">
        <v>39805</v>
      </c>
      <c r="D15" s="72">
        <v>0</v>
      </c>
      <c r="E15" s="71">
        <v>20121</v>
      </c>
      <c r="F15" s="72">
        <v>1.29</v>
      </c>
    </row>
    <row r="16" spans="1:6" x14ac:dyDescent="0.2">
      <c r="A16" s="71">
        <v>39806</v>
      </c>
      <c r="B16" s="72">
        <v>0.25</v>
      </c>
      <c r="C16" s="71">
        <v>39806</v>
      </c>
      <c r="D16" s="72">
        <v>0</v>
      </c>
      <c r="E16" s="71">
        <v>20149</v>
      </c>
      <c r="F16" s="72">
        <v>1.35</v>
      </c>
    </row>
    <row r="17" spans="1:6" x14ac:dyDescent="0.2">
      <c r="A17" s="71">
        <v>39807</v>
      </c>
      <c r="B17" s="72">
        <v>0.25</v>
      </c>
      <c r="C17" s="71">
        <v>39807</v>
      </c>
      <c r="D17" s="72">
        <v>0</v>
      </c>
      <c r="E17" s="71">
        <v>20180</v>
      </c>
      <c r="F17" s="72">
        <v>1.43</v>
      </c>
    </row>
    <row r="18" spans="1:6" x14ac:dyDescent="0.2">
      <c r="A18" s="71">
        <v>39808</v>
      </c>
      <c r="B18" s="72">
        <v>0.25</v>
      </c>
      <c r="C18" s="71">
        <v>39808</v>
      </c>
      <c r="D18" s="72">
        <v>0</v>
      </c>
      <c r="E18" s="71">
        <v>20210</v>
      </c>
      <c r="F18" s="72">
        <v>1.43</v>
      </c>
    </row>
    <row r="19" spans="1:6" x14ac:dyDescent="0.2">
      <c r="A19" s="71">
        <v>39809</v>
      </c>
      <c r="B19" s="72">
        <v>0.25</v>
      </c>
      <c r="C19" s="71">
        <v>39809</v>
      </c>
      <c r="D19" s="72">
        <v>0</v>
      </c>
      <c r="E19" s="71">
        <v>20241</v>
      </c>
      <c r="F19" s="72">
        <v>1.64</v>
      </c>
    </row>
    <row r="20" spans="1:6" x14ac:dyDescent="0.2">
      <c r="A20" s="71">
        <v>39810</v>
      </c>
      <c r="B20" s="72">
        <v>0.25</v>
      </c>
      <c r="C20" s="71">
        <v>39810</v>
      </c>
      <c r="D20" s="72">
        <v>0</v>
      </c>
      <c r="E20" s="71">
        <v>20271</v>
      </c>
      <c r="F20" s="72">
        <v>1.68</v>
      </c>
    </row>
    <row r="21" spans="1:6" x14ac:dyDescent="0.2">
      <c r="A21" s="71">
        <v>39811</v>
      </c>
      <c r="B21" s="72">
        <v>0.25</v>
      </c>
      <c r="C21" s="71">
        <v>39811</v>
      </c>
      <c r="D21" s="72">
        <v>0</v>
      </c>
      <c r="E21" s="71">
        <v>20302</v>
      </c>
      <c r="F21" s="72">
        <v>1.96</v>
      </c>
    </row>
    <row r="22" spans="1:6" x14ac:dyDescent="0.2">
      <c r="A22" s="71">
        <v>39812</v>
      </c>
      <c r="B22" s="72">
        <v>0.25</v>
      </c>
      <c r="C22" s="71">
        <v>39812</v>
      </c>
      <c r="D22" s="72">
        <v>0</v>
      </c>
      <c r="E22" s="71">
        <v>20333</v>
      </c>
      <c r="F22" s="72">
        <v>2.1800000000000002</v>
      </c>
    </row>
    <row r="23" spans="1:6" x14ac:dyDescent="0.2">
      <c r="A23" s="71">
        <v>39813</v>
      </c>
      <c r="B23" s="72">
        <v>0.25</v>
      </c>
      <c r="C23" s="71">
        <v>39813</v>
      </c>
      <c r="D23" s="72">
        <v>0</v>
      </c>
      <c r="E23" s="71">
        <v>20363</v>
      </c>
      <c r="F23" s="72">
        <v>2.2400000000000002</v>
      </c>
    </row>
    <row r="24" spans="1:6" x14ac:dyDescent="0.2">
      <c r="A24" s="71">
        <v>39814</v>
      </c>
      <c r="B24" s="72">
        <v>0.25</v>
      </c>
      <c r="C24" s="71">
        <v>39814</v>
      </c>
      <c r="D24" s="72">
        <v>0</v>
      </c>
      <c r="E24" s="71">
        <v>20394</v>
      </c>
      <c r="F24" s="72">
        <v>2.35</v>
      </c>
    </row>
    <row r="25" spans="1:6" x14ac:dyDescent="0.2">
      <c r="A25" s="71">
        <v>39815</v>
      </c>
      <c r="B25" s="72">
        <v>0.25</v>
      </c>
      <c r="C25" s="71">
        <v>39815</v>
      </c>
      <c r="D25" s="72">
        <v>0</v>
      </c>
      <c r="E25" s="71">
        <v>20424</v>
      </c>
      <c r="F25" s="72">
        <v>2.48</v>
      </c>
    </row>
    <row r="26" spans="1:6" x14ac:dyDescent="0.2">
      <c r="A26" s="71">
        <v>39816</v>
      </c>
      <c r="B26" s="72">
        <v>0.25</v>
      </c>
      <c r="C26" s="71">
        <v>39816</v>
      </c>
      <c r="D26" s="72">
        <v>0</v>
      </c>
      <c r="E26" s="71">
        <v>20455</v>
      </c>
      <c r="F26" s="72">
        <v>2.4500000000000002</v>
      </c>
    </row>
    <row r="27" spans="1:6" x14ac:dyDescent="0.2">
      <c r="A27" s="71">
        <v>39817</v>
      </c>
      <c r="B27" s="72">
        <v>0.25</v>
      </c>
      <c r="C27" s="71">
        <v>39817</v>
      </c>
      <c r="D27" s="72">
        <v>0</v>
      </c>
      <c r="E27" s="71">
        <v>20486</v>
      </c>
      <c r="F27" s="72">
        <v>2.5</v>
      </c>
    </row>
    <row r="28" spans="1:6" x14ac:dyDescent="0.2">
      <c r="A28" s="71">
        <v>39818</v>
      </c>
      <c r="B28" s="72">
        <v>0.25</v>
      </c>
      <c r="C28" s="71">
        <v>39818</v>
      </c>
      <c r="D28" s="72">
        <v>0</v>
      </c>
      <c r="E28" s="71">
        <v>20515</v>
      </c>
      <c r="F28" s="72">
        <v>2.5</v>
      </c>
    </row>
    <row r="29" spans="1:6" x14ac:dyDescent="0.2">
      <c r="A29" s="71">
        <v>39819</v>
      </c>
      <c r="B29" s="72">
        <v>0.25</v>
      </c>
      <c r="C29" s="71">
        <v>39819</v>
      </c>
      <c r="D29" s="72">
        <v>0</v>
      </c>
      <c r="E29" s="71">
        <v>20546</v>
      </c>
      <c r="F29" s="72">
        <v>2.62</v>
      </c>
    </row>
    <row r="30" spans="1:6" x14ac:dyDescent="0.2">
      <c r="A30" s="71">
        <v>39820</v>
      </c>
      <c r="B30" s="72">
        <v>0.25</v>
      </c>
      <c r="C30" s="71">
        <v>39820</v>
      </c>
      <c r="D30" s="72">
        <v>0</v>
      </c>
      <c r="E30" s="71">
        <v>20576</v>
      </c>
      <c r="F30" s="72">
        <v>2.75</v>
      </c>
    </row>
    <row r="31" spans="1:6" x14ac:dyDescent="0.2">
      <c r="A31" s="71">
        <v>39821</v>
      </c>
      <c r="B31" s="72">
        <v>0.25</v>
      </c>
      <c r="C31" s="71">
        <v>39821</v>
      </c>
      <c r="D31" s="72">
        <v>0</v>
      </c>
      <c r="E31" s="71">
        <v>20607</v>
      </c>
      <c r="F31" s="72">
        <v>2.71</v>
      </c>
    </row>
    <row r="32" spans="1:6" x14ac:dyDescent="0.2">
      <c r="A32" s="71">
        <v>39822</v>
      </c>
      <c r="B32" s="72">
        <v>0.25</v>
      </c>
      <c r="C32" s="71">
        <v>39822</v>
      </c>
      <c r="D32" s="72">
        <v>0</v>
      </c>
      <c r="E32" s="71">
        <v>20637</v>
      </c>
      <c r="F32" s="72">
        <v>2.75</v>
      </c>
    </row>
    <row r="33" spans="1:6" x14ac:dyDescent="0.2">
      <c r="A33" s="71">
        <v>39823</v>
      </c>
      <c r="B33" s="72">
        <v>0.25</v>
      </c>
      <c r="C33" s="71">
        <v>39823</v>
      </c>
      <c r="D33" s="72">
        <v>0</v>
      </c>
      <c r="E33" s="71">
        <v>20668</v>
      </c>
      <c r="F33" s="72">
        <v>2.73</v>
      </c>
    </row>
    <row r="34" spans="1:6" x14ac:dyDescent="0.2">
      <c r="A34" s="71">
        <v>39824</v>
      </c>
      <c r="B34" s="72">
        <v>0.25</v>
      </c>
      <c r="C34" s="71">
        <v>39824</v>
      </c>
      <c r="D34" s="72">
        <v>0</v>
      </c>
      <c r="E34" s="71">
        <v>20699</v>
      </c>
      <c r="F34" s="72">
        <v>2.95</v>
      </c>
    </row>
    <row r="35" spans="1:6" x14ac:dyDescent="0.2">
      <c r="A35" s="71">
        <v>39825</v>
      </c>
      <c r="B35" s="72">
        <v>0.25</v>
      </c>
      <c r="C35" s="71">
        <v>39825</v>
      </c>
      <c r="D35" s="72">
        <v>0</v>
      </c>
      <c r="E35" s="71">
        <v>20729</v>
      </c>
      <c r="F35" s="72">
        <v>2.96</v>
      </c>
    </row>
    <row r="36" spans="1:6" x14ac:dyDescent="0.2">
      <c r="A36" s="71">
        <v>39826</v>
      </c>
      <c r="B36" s="72">
        <v>0.25</v>
      </c>
      <c r="C36" s="71">
        <v>39826</v>
      </c>
      <c r="D36" s="72">
        <v>0</v>
      </c>
      <c r="E36" s="71">
        <v>20760</v>
      </c>
      <c r="F36" s="72">
        <v>2.88</v>
      </c>
    </row>
    <row r="37" spans="1:6" x14ac:dyDescent="0.2">
      <c r="A37" s="71">
        <v>39827</v>
      </c>
      <c r="B37" s="72">
        <v>0.25</v>
      </c>
      <c r="C37" s="71">
        <v>39827</v>
      </c>
      <c r="D37" s="72">
        <v>0</v>
      </c>
      <c r="E37" s="71">
        <v>20790</v>
      </c>
      <c r="F37" s="72">
        <v>2.94</v>
      </c>
    </row>
    <row r="38" spans="1:6" x14ac:dyDescent="0.2">
      <c r="A38" s="71">
        <v>39828</v>
      </c>
      <c r="B38" s="72">
        <v>0.25</v>
      </c>
      <c r="C38" s="71">
        <v>39828</v>
      </c>
      <c r="D38" s="72">
        <v>0</v>
      </c>
      <c r="E38" s="71">
        <v>20821</v>
      </c>
      <c r="F38" s="72">
        <v>2.84</v>
      </c>
    </row>
    <row r="39" spans="1:6" x14ac:dyDescent="0.2">
      <c r="A39" s="71">
        <v>39829</v>
      </c>
      <c r="B39" s="72">
        <v>0.25</v>
      </c>
      <c r="C39" s="71">
        <v>39829</v>
      </c>
      <c r="D39" s="72">
        <v>0</v>
      </c>
      <c r="E39" s="71">
        <v>20852</v>
      </c>
      <c r="F39" s="72">
        <v>3</v>
      </c>
    </row>
    <row r="40" spans="1:6" x14ac:dyDescent="0.2">
      <c r="A40" s="71">
        <v>39830</v>
      </c>
      <c r="B40" s="72">
        <v>0.25</v>
      </c>
      <c r="C40" s="71">
        <v>39830</v>
      </c>
      <c r="D40" s="72">
        <v>0</v>
      </c>
      <c r="E40" s="71">
        <v>20880</v>
      </c>
      <c r="F40" s="72">
        <v>2.96</v>
      </c>
    </row>
    <row r="41" spans="1:6" x14ac:dyDescent="0.2">
      <c r="A41" s="71">
        <v>39831</v>
      </c>
      <c r="B41" s="72">
        <v>0.25</v>
      </c>
      <c r="C41" s="71">
        <v>39831</v>
      </c>
      <c r="D41" s="72">
        <v>0</v>
      </c>
      <c r="E41" s="71">
        <v>20911</v>
      </c>
      <c r="F41" s="72">
        <v>3</v>
      </c>
    </row>
    <row r="42" spans="1:6" x14ac:dyDescent="0.2">
      <c r="A42" s="71">
        <v>39832</v>
      </c>
      <c r="B42" s="72">
        <v>0.25</v>
      </c>
      <c r="C42" s="71">
        <v>39832</v>
      </c>
      <c r="D42" s="72">
        <v>0</v>
      </c>
      <c r="E42" s="71">
        <v>20941</v>
      </c>
      <c r="F42" s="72">
        <v>3</v>
      </c>
    </row>
    <row r="43" spans="1:6" x14ac:dyDescent="0.2">
      <c r="A43" s="71">
        <v>39833</v>
      </c>
      <c r="B43" s="72">
        <v>0.25</v>
      </c>
      <c r="C43" s="71">
        <v>39833</v>
      </c>
      <c r="D43" s="72">
        <v>0</v>
      </c>
      <c r="E43" s="71">
        <v>20972</v>
      </c>
      <c r="F43" s="72">
        <v>3</v>
      </c>
    </row>
    <row r="44" spans="1:6" x14ac:dyDescent="0.2">
      <c r="A44" s="71">
        <v>39834</v>
      </c>
      <c r="B44" s="72">
        <v>0.25</v>
      </c>
      <c r="C44" s="71">
        <v>39834</v>
      </c>
      <c r="D44" s="72">
        <v>0</v>
      </c>
      <c r="E44" s="71">
        <v>21002</v>
      </c>
      <c r="F44" s="72">
        <v>2.99</v>
      </c>
    </row>
    <row r="45" spans="1:6" x14ac:dyDescent="0.2">
      <c r="A45" s="71">
        <v>39835</v>
      </c>
      <c r="B45" s="72">
        <v>0.25</v>
      </c>
      <c r="C45" s="71">
        <v>39835</v>
      </c>
      <c r="D45" s="72">
        <v>0</v>
      </c>
      <c r="E45" s="71">
        <v>21033</v>
      </c>
      <c r="F45" s="72">
        <v>3.24</v>
      </c>
    </row>
    <row r="46" spans="1:6" x14ac:dyDescent="0.2">
      <c r="A46" s="71">
        <v>39836</v>
      </c>
      <c r="B46" s="72">
        <v>0.25</v>
      </c>
      <c r="C46" s="71">
        <v>39836</v>
      </c>
      <c r="D46" s="72">
        <v>0</v>
      </c>
      <c r="E46" s="71">
        <v>21064</v>
      </c>
      <c r="F46" s="72">
        <v>3.47</v>
      </c>
    </row>
    <row r="47" spans="1:6" x14ac:dyDescent="0.2">
      <c r="A47" s="71">
        <v>39837</v>
      </c>
      <c r="B47" s="72">
        <v>0.25</v>
      </c>
      <c r="C47" s="71">
        <v>39837</v>
      </c>
      <c r="D47" s="72">
        <v>0</v>
      </c>
      <c r="E47" s="71">
        <v>21094</v>
      </c>
      <c r="F47" s="72">
        <v>3.5</v>
      </c>
    </row>
    <row r="48" spans="1:6" x14ac:dyDescent="0.2">
      <c r="A48" s="71">
        <v>39838</v>
      </c>
      <c r="B48" s="72">
        <v>0.25</v>
      </c>
      <c r="C48" s="71">
        <v>39838</v>
      </c>
      <c r="D48" s="72">
        <v>0</v>
      </c>
      <c r="E48" s="71">
        <v>21125</v>
      </c>
      <c r="F48" s="72">
        <v>3.28</v>
      </c>
    </row>
    <row r="49" spans="1:6" x14ac:dyDescent="0.2">
      <c r="A49" s="71">
        <v>39839</v>
      </c>
      <c r="B49" s="72">
        <v>0.25</v>
      </c>
      <c r="C49" s="71">
        <v>39839</v>
      </c>
      <c r="D49" s="72">
        <v>0</v>
      </c>
      <c r="E49" s="71">
        <v>21155</v>
      </c>
      <c r="F49" s="72">
        <v>2.98</v>
      </c>
    </row>
    <row r="50" spans="1:6" x14ac:dyDescent="0.2">
      <c r="A50" s="71">
        <v>39840</v>
      </c>
      <c r="B50" s="72">
        <v>0.25</v>
      </c>
      <c r="C50" s="71">
        <v>39840</v>
      </c>
      <c r="D50" s="72">
        <v>0</v>
      </c>
      <c r="E50" s="71">
        <v>21186</v>
      </c>
      <c r="F50" s="72">
        <v>2.72</v>
      </c>
    </row>
    <row r="51" spans="1:6" x14ac:dyDescent="0.2">
      <c r="A51" s="71">
        <v>39841</v>
      </c>
      <c r="B51" s="72">
        <v>0.25</v>
      </c>
      <c r="C51" s="71">
        <v>39841</v>
      </c>
      <c r="D51" s="72">
        <v>0</v>
      </c>
      <c r="E51" s="71">
        <v>21217</v>
      </c>
      <c r="F51" s="72">
        <v>1.67</v>
      </c>
    </row>
    <row r="52" spans="1:6" x14ac:dyDescent="0.2">
      <c r="A52" s="71">
        <v>39842</v>
      </c>
      <c r="B52" s="72">
        <v>0.25</v>
      </c>
      <c r="C52" s="71">
        <v>39842</v>
      </c>
      <c r="D52" s="72">
        <v>0</v>
      </c>
      <c r="E52" s="71">
        <v>21245</v>
      </c>
      <c r="F52" s="72">
        <v>1.2</v>
      </c>
    </row>
    <row r="53" spans="1:6" x14ac:dyDescent="0.2">
      <c r="A53" s="71">
        <v>39843</v>
      </c>
      <c r="B53" s="72">
        <v>0.25</v>
      </c>
      <c r="C53" s="71">
        <v>39843</v>
      </c>
      <c r="D53" s="72">
        <v>0</v>
      </c>
      <c r="E53" s="71">
        <v>21276</v>
      </c>
      <c r="F53" s="72">
        <v>1.26</v>
      </c>
    </row>
    <row r="54" spans="1:6" x14ac:dyDescent="0.2">
      <c r="A54" s="71">
        <v>39844</v>
      </c>
      <c r="B54" s="72">
        <v>0.25</v>
      </c>
      <c r="C54" s="71">
        <v>39844</v>
      </c>
      <c r="D54" s="72">
        <v>0</v>
      </c>
      <c r="E54" s="71">
        <v>21306</v>
      </c>
      <c r="F54" s="72">
        <v>0.63</v>
      </c>
    </row>
    <row r="55" spans="1:6" x14ac:dyDescent="0.2">
      <c r="A55" s="71">
        <v>39845</v>
      </c>
      <c r="B55" s="72">
        <v>0.25</v>
      </c>
      <c r="C55" s="71">
        <v>39845</v>
      </c>
      <c r="D55" s="72">
        <v>0</v>
      </c>
      <c r="E55" s="71">
        <v>21337</v>
      </c>
      <c r="F55" s="72">
        <v>0.93</v>
      </c>
    </row>
    <row r="56" spans="1:6" x14ac:dyDescent="0.2">
      <c r="A56" s="71">
        <v>39846</v>
      </c>
      <c r="B56" s="72">
        <v>0.25</v>
      </c>
      <c r="C56" s="71">
        <v>39846</v>
      </c>
      <c r="D56" s="72">
        <v>0</v>
      </c>
      <c r="E56" s="71">
        <v>21367</v>
      </c>
      <c r="F56" s="72">
        <v>0.68</v>
      </c>
    </row>
    <row r="57" spans="1:6" x14ac:dyDescent="0.2">
      <c r="A57" s="71">
        <v>39847</v>
      </c>
      <c r="B57" s="72">
        <v>0.25</v>
      </c>
      <c r="C57" s="71">
        <v>39847</v>
      </c>
      <c r="D57" s="72">
        <v>0</v>
      </c>
      <c r="E57" s="71">
        <v>21398</v>
      </c>
      <c r="F57" s="72">
        <v>1.53</v>
      </c>
    </row>
    <row r="58" spans="1:6" x14ac:dyDescent="0.2">
      <c r="A58" s="71">
        <v>39848</v>
      </c>
      <c r="B58" s="72">
        <v>0.25</v>
      </c>
      <c r="C58" s="71">
        <v>39848</v>
      </c>
      <c r="D58" s="72">
        <v>0</v>
      </c>
      <c r="E58" s="71">
        <v>21429</v>
      </c>
      <c r="F58" s="72">
        <v>1.76</v>
      </c>
    </row>
    <row r="59" spans="1:6" x14ac:dyDescent="0.2">
      <c r="A59" s="71">
        <v>39849</v>
      </c>
      <c r="B59" s="72">
        <v>0.25</v>
      </c>
      <c r="C59" s="71">
        <v>39849</v>
      </c>
      <c r="D59" s="72">
        <v>0</v>
      </c>
      <c r="E59" s="71">
        <v>21459</v>
      </c>
      <c r="F59" s="72">
        <v>1.8</v>
      </c>
    </row>
    <row r="60" spans="1:6" x14ac:dyDescent="0.2">
      <c r="A60" s="71">
        <v>39850</v>
      </c>
      <c r="B60" s="72">
        <v>0.25</v>
      </c>
      <c r="C60" s="71">
        <v>39850</v>
      </c>
      <c r="D60" s="72">
        <v>0</v>
      </c>
      <c r="E60" s="71">
        <v>21490</v>
      </c>
      <c r="F60" s="72">
        <v>2.27</v>
      </c>
    </row>
    <row r="61" spans="1:6" x14ac:dyDescent="0.2">
      <c r="A61" s="71">
        <v>39851</v>
      </c>
      <c r="B61" s="72">
        <v>0.25</v>
      </c>
      <c r="C61" s="71">
        <v>39851</v>
      </c>
      <c r="D61" s="72">
        <v>0</v>
      </c>
      <c r="E61" s="71">
        <v>21520</v>
      </c>
      <c r="F61" s="72">
        <v>2.42</v>
      </c>
    </row>
    <row r="62" spans="1:6" x14ac:dyDescent="0.2">
      <c r="A62" s="71">
        <v>39852</v>
      </c>
      <c r="B62" s="72">
        <v>0.25</v>
      </c>
      <c r="C62" s="71">
        <v>39852</v>
      </c>
      <c r="D62" s="72">
        <v>0</v>
      </c>
      <c r="E62" s="71">
        <v>21551</v>
      </c>
      <c r="F62" s="72">
        <v>2.48</v>
      </c>
    </row>
    <row r="63" spans="1:6" x14ac:dyDescent="0.2">
      <c r="A63" s="71">
        <v>39853</v>
      </c>
      <c r="B63" s="72">
        <v>0.25</v>
      </c>
      <c r="C63" s="71">
        <v>39853</v>
      </c>
      <c r="D63" s="72">
        <v>0</v>
      </c>
      <c r="E63" s="71">
        <v>21582</v>
      </c>
      <c r="F63" s="72">
        <v>2.4300000000000002</v>
      </c>
    </row>
    <row r="64" spans="1:6" x14ac:dyDescent="0.2">
      <c r="A64" s="71">
        <v>39854</v>
      </c>
      <c r="B64" s="72">
        <v>0.25</v>
      </c>
      <c r="C64" s="71">
        <v>39854</v>
      </c>
      <c r="D64" s="72">
        <v>0</v>
      </c>
      <c r="E64" s="71">
        <v>21610</v>
      </c>
      <c r="F64" s="72">
        <v>2.8</v>
      </c>
    </row>
    <row r="65" spans="1:6" x14ac:dyDescent="0.2">
      <c r="A65" s="71">
        <v>39855</v>
      </c>
      <c r="B65" s="72">
        <v>0.25</v>
      </c>
      <c r="C65" s="71">
        <v>39855</v>
      </c>
      <c r="D65" s="72">
        <v>0</v>
      </c>
      <c r="E65" s="71">
        <v>21641</v>
      </c>
      <c r="F65" s="72">
        <v>2.96</v>
      </c>
    </row>
    <row r="66" spans="1:6" x14ac:dyDescent="0.2">
      <c r="A66" s="71">
        <v>39856</v>
      </c>
      <c r="B66" s="72">
        <v>0.25</v>
      </c>
      <c r="C66" s="71">
        <v>39856</v>
      </c>
      <c r="D66" s="72">
        <v>0</v>
      </c>
      <c r="E66" s="71">
        <v>21671</v>
      </c>
      <c r="F66" s="72">
        <v>2.9</v>
      </c>
    </row>
    <row r="67" spans="1:6" x14ac:dyDescent="0.2">
      <c r="A67" s="71">
        <v>39857</v>
      </c>
      <c r="B67" s="72">
        <v>0.25</v>
      </c>
      <c r="C67" s="71">
        <v>39857</v>
      </c>
      <c r="D67" s="72">
        <v>0</v>
      </c>
      <c r="E67" s="71">
        <v>21702</v>
      </c>
      <c r="F67" s="72">
        <v>3.39</v>
      </c>
    </row>
    <row r="68" spans="1:6" x14ac:dyDescent="0.2">
      <c r="A68" s="71">
        <v>39858</v>
      </c>
      <c r="B68" s="72">
        <v>0.25</v>
      </c>
      <c r="C68" s="71">
        <v>39858</v>
      </c>
      <c r="D68" s="72">
        <v>0</v>
      </c>
      <c r="E68" s="71">
        <v>21732</v>
      </c>
      <c r="F68" s="72">
        <v>3.47</v>
      </c>
    </row>
    <row r="69" spans="1:6" x14ac:dyDescent="0.2">
      <c r="A69" s="71">
        <v>39859</v>
      </c>
      <c r="B69" s="72">
        <v>0.25</v>
      </c>
      <c r="C69" s="71">
        <v>39859</v>
      </c>
      <c r="D69" s="72">
        <v>0</v>
      </c>
      <c r="E69" s="71">
        <v>21763</v>
      </c>
      <c r="F69" s="72">
        <v>3.5</v>
      </c>
    </row>
    <row r="70" spans="1:6" x14ac:dyDescent="0.2">
      <c r="A70" s="71">
        <v>39860</v>
      </c>
      <c r="B70" s="72">
        <v>0.25</v>
      </c>
      <c r="C70" s="71">
        <v>39860</v>
      </c>
      <c r="D70" s="72">
        <v>0</v>
      </c>
      <c r="E70" s="71">
        <v>21794</v>
      </c>
      <c r="F70" s="72">
        <v>3.76</v>
      </c>
    </row>
    <row r="71" spans="1:6" x14ac:dyDescent="0.2">
      <c r="A71" s="71">
        <v>39861</v>
      </c>
      <c r="B71" s="72">
        <v>0.25</v>
      </c>
      <c r="C71" s="71">
        <v>39861</v>
      </c>
      <c r="D71" s="72">
        <v>0</v>
      </c>
      <c r="E71" s="71">
        <v>21824</v>
      </c>
      <c r="F71" s="72">
        <v>3.98</v>
      </c>
    </row>
    <row r="72" spans="1:6" x14ac:dyDescent="0.2">
      <c r="A72" s="71">
        <v>39862</v>
      </c>
      <c r="B72" s="72">
        <v>0.25</v>
      </c>
      <c r="C72" s="71">
        <v>39862</v>
      </c>
      <c r="D72" s="72">
        <v>0</v>
      </c>
      <c r="E72" s="71">
        <v>21855</v>
      </c>
      <c r="F72" s="72">
        <v>4</v>
      </c>
    </row>
    <row r="73" spans="1:6" x14ac:dyDescent="0.2">
      <c r="A73" s="71">
        <v>39863</v>
      </c>
      <c r="B73" s="72">
        <v>0.25</v>
      </c>
      <c r="C73" s="71">
        <v>39863</v>
      </c>
      <c r="D73" s="72">
        <v>0</v>
      </c>
      <c r="E73" s="71">
        <v>21885</v>
      </c>
      <c r="F73" s="72">
        <v>3.99</v>
      </c>
    </row>
    <row r="74" spans="1:6" x14ac:dyDescent="0.2">
      <c r="A74" s="71">
        <v>39864</v>
      </c>
      <c r="B74" s="72">
        <v>0.25</v>
      </c>
      <c r="C74" s="71">
        <v>39864</v>
      </c>
      <c r="D74" s="72">
        <v>0</v>
      </c>
      <c r="E74" s="71">
        <v>21916</v>
      </c>
      <c r="F74" s="72">
        <v>3.99</v>
      </c>
    </row>
    <row r="75" spans="1:6" x14ac:dyDescent="0.2">
      <c r="A75" s="71">
        <v>39865</v>
      </c>
      <c r="B75" s="72">
        <v>0.25</v>
      </c>
      <c r="C75" s="71">
        <v>39865</v>
      </c>
      <c r="D75" s="72">
        <v>0</v>
      </c>
      <c r="E75" s="71">
        <v>21947</v>
      </c>
      <c r="F75" s="72">
        <v>3.97</v>
      </c>
    </row>
    <row r="76" spans="1:6" x14ac:dyDescent="0.2">
      <c r="A76" s="71">
        <v>39866</v>
      </c>
      <c r="B76" s="72">
        <v>0.25</v>
      </c>
      <c r="C76" s="71">
        <v>39866</v>
      </c>
      <c r="D76" s="72">
        <v>0</v>
      </c>
      <c r="E76" s="71">
        <v>21976</v>
      </c>
      <c r="F76" s="72">
        <v>3.84</v>
      </c>
    </row>
    <row r="77" spans="1:6" x14ac:dyDescent="0.2">
      <c r="A77" s="71">
        <v>39867</v>
      </c>
      <c r="B77" s="72">
        <v>0.25</v>
      </c>
      <c r="C77" s="71">
        <v>39867</v>
      </c>
      <c r="D77" s="72">
        <v>0</v>
      </c>
      <c r="E77" s="71">
        <v>22007</v>
      </c>
      <c r="F77" s="72">
        <v>3.92</v>
      </c>
    </row>
    <row r="78" spans="1:6" x14ac:dyDescent="0.2">
      <c r="A78" s="71">
        <v>39868</v>
      </c>
      <c r="B78" s="72">
        <v>0.25</v>
      </c>
      <c r="C78" s="71">
        <v>39868</v>
      </c>
      <c r="D78" s="72">
        <v>0</v>
      </c>
      <c r="E78" s="71">
        <v>22037</v>
      </c>
      <c r="F78" s="72">
        <v>3.85</v>
      </c>
    </row>
    <row r="79" spans="1:6" x14ac:dyDescent="0.2">
      <c r="A79" s="71">
        <v>39869</v>
      </c>
      <c r="B79" s="72">
        <v>0.25</v>
      </c>
      <c r="C79" s="71">
        <v>39869</v>
      </c>
      <c r="D79" s="72">
        <v>0</v>
      </c>
      <c r="E79" s="71">
        <v>22068</v>
      </c>
      <c r="F79" s="72">
        <v>3.32</v>
      </c>
    </row>
    <row r="80" spans="1:6" x14ac:dyDescent="0.2">
      <c r="A80" s="71">
        <v>39870</v>
      </c>
      <c r="B80" s="72">
        <v>0.25</v>
      </c>
      <c r="C80" s="71">
        <v>39870</v>
      </c>
      <c r="D80" s="72">
        <v>0</v>
      </c>
      <c r="E80" s="71">
        <v>22098</v>
      </c>
      <c r="F80" s="72">
        <v>3.23</v>
      </c>
    </row>
    <row r="81" spans="1:6" x14ac:dyDescent="0.2">
      <c r="A81" s="71">
        <v>39871</v>
      </c>
      <c r="B81" s="72">
        <v>0.25</v>
      </c>
      <c r="C81" s="71">
        <v>39871</v>
      </c>
      <c r="D81" s="72">
        <v>0</v>
      </c>
      <c r="E81" s="71">
        <v>22129</v>
      </c>
      <c r="F81" s="72">
        <v>2.98</v>
      </c>
    </row>
    <row r="82" spans="1:6" x14ac:dyDescent="0.2">
      <c r="A82" s="71">
        <v>39872</v>
      </c>
      <c r="B82" s="72">
        <v>0.25</v>
      </c>
      <c r="C82" s="71">
        <v>39872</v>
      </c>
      <c r="D82" s="72">
        <v>0</v>
      </c>
      <c r="E82" s="71">
        <v>22160</v>
      </c>
      <c r="F82" s="72">
        <v>2.6</v>
      </c>
    </row>
    <row r="83" spans="1:6" x14ac:dyDescent="0.2">
      <c r="A83" s="71">
        <v>39873</v>
      </c>
      <c r="B83" s="72">
        <v>0.25</v>
      </c>
      <c r="C83" s="71">
        <v>39873</v>
      </c>
      <c r="D83" s="72">
        <v>0</v>
      </c>
      <c r="E83" s="71">
        <v>22190</v>
      </c>
      <c r="F83" s="72">
        <v>2.4700000000000002</v>
      </c>
    </row>
    <row r="84" spans="1:6" x14ac:dyDescent="0.2">
      <c r="A84" s="71">
        <v>39874</v>
      </c>
      <c r="B84" s="72">
        <v>0.25</v>
      </c>
      <c r="C84" s="71">
        <v>39874</v>
      </c>
      <c r="D84" s="72">
        <v>0</v>
      </c>
      <c r="E84" s="71">
        <v>22221</v>
      </c>
      <c r="F84" s="72">
        <v>2.44</v>
      </c>
    </row>
    <row r="85" spans="1:6" x14ac:dyDescent="0.2">
      <c r="A85" s="71">
        <v>39875</v>
      </c>
      <c r="B85" s="72">
        <v>0.25</v>
      </c>
      <c r="C85" s="71">
        <v>39875</v>
      </c>
      <c r="D85" s="72">
        <v>0</v>
      </c>
      <c r="E85" s="71">
        <v>22251</v>
      </c>
      <c r="F85" s="72">
        <v>1.98</v>
      </c>
    </row>
    <row r="86" spans="1:6" x14ac:dyDescent="0.2">
      <c r="A86" s="71">
        <v>39876</v>
      </c>
      <c r="B86" s="72">
        <v>0.25</v>
      </c>
      <c r="C86" s="71">
        <v>39876</v>
      </c>
      <c r="D86" s="72">
        <v>0</v>
      </c>
      <c r="E86" s="71">
        <v>22282</v>
      </c>
      <c r="F86" s="72">
        <v>1.45</v>
      </c>
    </row>
    <row r="87" spans="1:6" x14ac:dyDescent="0.2">
      <c r="A87" s="71">
        <v>39877</v>
      </c>
      <c r="B87" s="72">
        <v>0.25</v>
      </c>
      <c r="C87" s="71">
        <v>39877</v>
      </c>
      <c r="D87" s="72">
        <v>0</v>
      </c>
      <c r="E87" s="71">
        <v>22313</v>
      </c>
      <c r="F87" s="72">
        <v>2.54</v>
      </c>
    </row>
    <row r="88" spans="1:6" x14ac:dyDescent="0.2">
      <c r="A88" s="71">
        <v>39878</v>
      </c>
      <c r="B88" s="72">
        <v>0.25</v>
      </c>
      <c r="C88" s="71">
        <v>39878</v>
      </c>
      <c r="D88" s="72">
        <v>0</v>
      </c>
      <c r="E88" s="71">
        <v>22341</v>
      </c>
      <c r="F88" s="72">
        <v>2.02</v>
      </c>
    </row>
    <row r="89" spans="1:6" x14ac:dyDescent="0.2">
      <c r="A89" s="71">
        <v>39879</v>
      </c>
      <c r="B89" s="72">
        <v>0.25</v>
      </c>
      <c r="C89" s="71">
        <v>39879</v>
      </c>
      <c r="D89" s="72">
        <v>0</v>
      </c>
      <c r="E89" s="71">
        <v>22372</v>
      </c>
      <c r="F89" s="72">
        <v>1.49</v>
      </c>
    </row>
    <row r="90" spans="1:6" x14ac:dyDescent="0.2">
      <c r="A90" s="71">
        <v>39880</v>
      </c>
      <c r="B90" s="72">
        <v>0.25</v>
      </c>
      <c r="C90" s="71">
        <v>39880</v>
      </c>
      <c r="D90" s="72">
        <v>0</v>
      </c>
      <c r="E90" s="71">
        <v>22402</v>
      </c>
      <c r="F90" s="72">
        <v>1.98</v>
      </c>
    </row>
    <row r="91" spans="1:6" x14ac:dyDescent="0.2">
      <c r="A91" s="71">
        <v>39881</v>
      </c>
      <c r="B91" s="72">
        <v>0.25</v>
      </c>
      <c r="C91" s="71">
        <v>39881</v>
      </c>
      <c r="D91" s="72">
        <v>0</v>
      </c>
      <c r="E91" s="71">
        <v>22433</v>
      </c>
      <c r="F91" s="72">
        <v>1.73</v>
      </c>
    </row>
    <row r="92" spans="1:6" x14ac:dyDescent="0.2">
      <c r="A92" s="71">
        <v>39882</v>
      </c>
      <c r="B92" s="72">
        <v>0.25</v>
      </c>
      <c r="C92" s="71">
        <v>39882</v>
      </c>
      <c r="D92" s="72">
        <v>0</v>
      </c>
      <c r="E92" s="71">
        <v>22463</v>
      </c>
      <c r="F92" s="72">
        <v>1.17</v>
      </c>
    </row>
    <row r="93" spans="1:6" x14ac:dyDescent="0.2">
      <c r="A93" s="71">
        <v>39883</v>
      </c>
      <c r="B93" s="72">
        <v>0.25</v>
      </c>
      <c r="C93" s="71">
        <v>39883</v>
      </c>
      <c r="D93" s="72">
        <v>0</v>
      </c>
      <c r="E93" s="71">
        <v>22494</v>
      </c>
      <c r="F93" s="72">
        <v>2</v>
      </c>
    </row>
    <row r="94" spans="1:6" x14ac:dyDescent="0.2">
      <c r="A94" s="71">
        <v>39884</v>
      </c>
      <c r="B94" s="72">
        <v>0.25</v>
      </c>
      <c r="C94" s="71">
        <v>39884</v>
      </c>
      <c r="D94" s="72">
        <v>0</v>
      </c>
      <c r="E94" s="71">
        <v>22525</v>
      </c>
      <c r="F94" s="72">
        <v>1.88</v>
      </c>
    </row>
    <row r="95" spans="1:6" x14ac:dyDescent="0.2">
      <c r="A95" s="71">
        <v>39885</v>
      </c>
      <c r="B95" s="72">
        <v>0.25</v>
      </c>
      <c r="C95" s="71">
        <v>39885</v>
      </c>
      <c r="D95" s="72">
        <v>0</v>
      </c>
      <c r="E95" s="71">
        <v>22555</v>
      </c>
      <c r="F95" s="72">
        <v>2.2599999999999998</v>
      </c>
    </row>
    <row r="96" spans="1:6" x14ac:dyDescent="0.2">
      <c r="A96" s="71">
        <v>39886</v>
      </c>
      <c r="B96" s="72">
        <v>0.25</v>
      </c>
      <c r="C96" s="71">
        <v>39886</v>
      </c>
      <c r="D96" s="72">
        <v>0</v>
      </c>
      <c r="E96" s="71">
        <v>22586</v>
      </c>
      <c r="F96" s="72">
        <v>2.61</v>
      </c>
    </row>
    <row r="97" spans="1:6" x14ac:dyDescent="0.2">
      <c r="A97" s="71">
        <v>39887</v>
      </c>
      <c r="B97" s="72">
        <v>0.25</v>
      </c>
      <c r="C97" s="71">
        <v>39887</v>
      </c>
      <c r="D97" s="72">
        <v>0</v>
      </c>
      <c r="E97" s="71">
        <v>22616</v>
      </c>
      <c r="F97" s="72">
        <v>2.33</v>
      </c>
    </row>
    <row r="98" spans="1:6" x14ac:dyDescent="0.2">
      <c r="A98" s="71">
        <v>39888</v>
      </c>
      <c r="B98" s="72">
        <v>0.25</v>
      </c>
      <c r="C98" s="71">
        <v>39888</v>
      </c>
      <c r="D98" s="72">
        <v>0</v>
      </c>
      <c r="E98" s="71">
        <v>22647</v>
      </c>
      <c r="F98" s="72">
        <v>2.15</v>
      </c>
    </row>
    <row r="99" spans="1:6" x14ac:dyDescent="0.2">
      <c r="A99" s="71">
        <v>39889</v>
      </c>
      <c r="B99" s="72">
        <v>0.25</v>
      </c>
      <c r="C99" s="71">
        <v>39889</v>
      </c>
      <c r="D99" s="72">
        <v>0</v>
      </c>
      <c r="E99" s="71">
        <v>22678</v>
      </c>
      <c r="F99" s="72">
        <v>2.37</v>
      </c>
    </row>
    <row r="100" spans="1:6" x14ac:dyDescent="0.2">
      <c r="A100" s="71">
        <v>39890</v>
      </c>
      <c r="B100" s="72">
        <v>0.25</v>
      </c>
      <c r="C100" s="71">
        <v>39890</v>
      </c>
      <c r="D100" s="72">
        <v>0</v>
      </c>
      <c r="E100" s="71">
        <v>22706</v>
      </c>
      <c r="F100" s="72">
        <v>2.85</v>
      </c>
    </row>
    <row r="101" spans="1:6" x14ac:dyDescent="0.2">
      <c r="A101" s="71">
        <v>39891</v>
      </c>
      <c r="B101" s="72">
        <v>0.25</v>
      </c>
      <c r="C101" s="71">
        <v>39891</v>
      </c>
      <c r="D101" s="72">
        <v>0</v>
      </c>
      <c r="E101" s="71">
        <v>22737</v>
      </c>
      <c r="F101" s="72">
        <v>2.78</v>
      </c>
    </row>
    <row r="102" spans="1:6" x14ac:dyDescent="0.2">
      <c r="A102" s="71">
        <v>39892</v>
      </c>
      <c r="B102" s="72">
        <v>0.25</v>
      </c>
      <c r="C102" s="71">
        <v>39892</v>
      </c>
      <c r="D102" s="72">
        <v>0</v>
      </c>
      <c r="E102" s="71">
        <v>22767</v>
      </c>
      <c r="F102" s="72">
        <v>2.36</v>
      </c>
    </row>
    <row r="103" spans="1:6" x14ac:dyDescent="0.2">
      <c r="A103" s="71">
        <v>39893</v>
      </c>
      <c r="B103" s="72">
        <v>0.25</v>
      </c>
      <c r="C103" s="71">
        <v>39893</v>
      </c>
      <c r="D103" s="72">
        <v>0</v>
      </c>
      <c r="E103" s="71">
        <v>22798</v>
      </c>
      <c r="F103" s="72">
        <v>2.68</v>
      </c>
    </row>
    <row r="104" spans="1:6" x14ac:dyDescent="0.2">
      <c r="A104" s="71">
        <v>39894</v>
      </c>
      <c r="B104" s="72">
        <v>0.25</v>
      </c>
      <c r="C104" s="71">
        <v>39894</v>
      </c>
      <c r="D104" s="72">
        <v>0</v>
      </c>
      <c r="E104" s="71">
        <v>22828</v>
      </c>
      <c r="F104" s="72">
        <v>2.71</v>
      </c>
    </row>
    <row r="105" spans="1:6" x14ac:dyDescent="0.2">
      <c r="A105" s="71">
        <v>39895</v>
      </c>
      <c r="B105" s="72">
        <v>0.25</v>
      </c>
      <c r="C105" s="71">
        <v>39895</v>
      </c>
      <c r="D105" s="72">
        <v>0</v>
      </c>
      <c r="E105" s="71">
        <v>22859</v>
      </c>
      <c r="F105" s="72">
        <v>2.93</v>
      </c>
    </row>
    <row r="106" spans="1:6" x14ac:dyDescent="0.2">
      <c r="A106" s="71">
        <v>39896</v>
      </c>
      <c r="B106" s="72">
        <v>0.25</v>
      </c>
      <c r="C106" s="71">
        <v>39896</v>
      </c>
      <c r="D106" s="72">
        <v>0</v>
      </c>
      <c r="E106" s="71">
        <v>22890</v>
      </c>
      <c r="F106" s="72">
        <v>2.9</v>
      </c>
    </row>
    <row r="107" spans="1:6" x14ac:dyDescent="0.2">
      <c r="A107" s="71">
        <v>39897</v>
      </c>
      <c r="B107" s="72">
        <v>0.25</v>
      </c>
      <c r="C107" s="71">
        <v>39897</v>
      </c>
      <c r="D107" s="72">
        <v>0</v>
      </c>
      <c r="E107" s="71">
        <v>22920</v>
      </c>
      <c r="F107" s="72">
        <v>2.9</v>
      </c>
    </row>
    <row r="108" spans="1:6" x14ac:dyDescent="0.2">
      <c r="A108" s="71">
        <v>39898</v>
      </c>
      <c r="B108" s="72">
        <v>0.25</v>
      </c>
      <c r="C108" s="71">
        <v>39898</v>
      </c>
      <c r="D108" s="72">
        <v>0</v>
      </c>
      <c r="E108" s="71">
        <v>22951</v>
      </c>
      <c r="F108" s="72">
        <v>2.94</v>
      </c>
    </row>
    <row r="109" spans="1:6" x14ac:dyDescent="0.2">
      <c r="A109" s="71">
        <v>39899</v>
      </c>
      <c r="B109" s="72">
        <v>0.25</v>
      </c>
      <c r="C109" s="71">
        <v>39899</v>
      </c>
      <c r="D109" s="72">
        <v>0</v>
      </c>
      <c r="E109" s="71">
        <v>22981</v>
      </c>
      <c r="F109" s="72">
        <v>2.93</v>
      </c>
    </row>
    <row r="110" spans="1:6" x14ac:dyDescent="0.2">
      <c r="A110" s="71">
        <v>39900</v>
      </c>
      <c r="B110" s="72">
        <v>0.25</v>
      </c>
      <c r="C110" s="71">
        <v>39900</v>
      </c>
      <c r="D110" s="72">
        <v>0</v>
      </c>
      <c r="E110" s="71">
        <v>23012</v>
      </c>
      <c r="F110" s="72">
        <v>2.92</v>
      </c>
    </row>
    <row r="111" spans="1:6" x14ac:dyDescent="0.2">
      <c r="A111" s="71">
        <v>39901</v>
      </c>
      <c r="B111" s="72">
        <v>0.25</v>
      </c>
      <c r="C111" s="71">
        <v>39901</v>
      </c>
      <c r="D111" s="72">
        <v>0</v>
      </c>
      <c r="E111" s="71">
        <v>23043</v>
      </c>
      <c r="F111" s="72">
        <v>3</v>
      </c>
    </row>
    <row r="112" spans="1:6" x14ac:dyDescent="0.2">
      <c r="A112" s="71">
        <v>39902</v>
      </c>
      <c r="B112" s="72">
        <v>0.25</v>
      </c>
      <c r="C112" s="71">
        <v>39902</v>
      </c>
      <c r="D112" s="72">
        <v>0</v>
      </c>
      <c r="E112" s="71">
        <v>23071</v>
      </c>
      <c r="F112" s="72">
        <v>2.98</v>
      </c>
    </row>
    <row r="113" spans="1:6" x14ac:dyDescent="0.2">
      <c r="A113" s="71">
        <v>39903</v>
      </c>
      <c r="B113" s="72">
        <v>0.25</v>
      </c>
      <c r="C113" s="71">
        <v>39903</v>
      </c>
      <c r="D113" s="72">
        <v>0</v>
      </c>
      <c r="E113" s="71">
        <v>23102</v>
      </c>
      <c r="F113" s="72">
        <v>2.9</v>
      </c>
    </row>
    <row r="114" spans="1:6" x14ac:dyDescent="0.2">
      <c r="A114" s="71">
        <v>39904</v>
      </c>
      <c r="B114" s="72">
        <v>0.25</v>
      </c>
      <c r="C114" s="71">
        <v>39904</v>
      </c>
      <c r="D114" s="72">
        <v>0</v>
      </c>
      <c r="E114" s="71">
        <v>23132</v>
      </c>
      <c r="F114" s="72">
        <v>3</v>
      </c>
    </row>
    <row r="115" spans="1:6" x14ac:dyDescent="0.2">
      <c r="A115" s="71">
        <v>39905</v>
      </c>
      <c r="B115" s="72">
        <v>0.25</v>
      </c>
      <c r="C115" s="71">
        <v>39905</v>
      </c>
      <c r="D115" s="72">
        <v>0</v>
      </c>
      <c r="E115" s="71">
        <v>23163</v>
      </c>
      <c r="F115" s="72">
        <v>2.99</v>
      </c>
    </row>
    <row r="116" spans="1:6" x14ac:dyDescent="0.2">
      <c r="A116" s="71">
        <v>39906</v>
      </c>
      <c r="B116" s="72">
        <v>0.25</v>
      </c>
      <c r="C116" s="71">
        <v>39906</v>
      </c>
      <c r="D116" s="72">
        <v>0</v>
      </c>
      <c r="E116" s="71">
        <v>23193</v>
      </c>
      <c r="F116" s="72">
        <v>3.02</v>
      </c>
    </row>
    <row r="117" spans="1:6" x14ac:dyDescent="0.2">
      <c r="A117" s="71">
        <v>39907</v>
      </c>
      <c r="B117" s="72">
        <v>0.25</v>
      </c>
      <c r="C117" s="71">
        <v>39907</v>
      </c>
      <c r="D117" s="72">
        <v>0</v>
      </c>
      <c r="E117" s="71">
        <v>23224</v>
      </c>
      <c r="F117" s="72">
        <v>3.49</v>
      </c>
    </row>
    <row r="118" spans="1:6" x14ac:dyDescent="0.2">
      <c r="A118" s="71">
        <v>39908</v>
      </c>
      <c r="B118" s="72">
        <v>0.25</v>
      </c>
      <c r="C118" s="71">
        <v>39908</v>
      </c>
      <c r="D118" s="72">
        <v>0</v>
      </c>
      <c r="E118" s="71">
        <v>23255</v>
      </c>
      <c r="F118" s="72">
        <v>3.48</v>
      </c>
    </row>
    <row r="119" spans="1:6" x14ac:dyDescent="0.2">
      <c r="A119" s="71">
        <v>39909</v>
      </c>
      <c r="B119" s="72">
        <v>0.25</v>
      </c>
      <c r="C119" s="71">
        <v>39909</v>
      </c>
      <c r="D119" s="72">
        <v>0</v>
      </c>
      <c r="E119" s="71">
        <v>23285</v>
      </c>
      <c r="F119" s="72">
        <v>3.5</v>
      </c>
    </row>
    <row r="120" spans="1:6" x14ac:dyDescent="0.2">
      <c r="A120" s="71">
        <v>39910</v>
      </c>
      <c r="B120" s="72">
        <v>0.25</v>
      </c>
      <c r="C120" s="71">
        <v>39910</v>
      </c>
      <c r="D120" s="72">
        <v>0</v>
      </c>
      <c r="E120" s="71">
        <v>23316</v>
      </c>
      <c r="F120" s="72">
        <v>3.48</v>
      </c>
    </row>
    <row r="121" spans="1:6" x14ac:dyDescent="0.2">
      <c r="A121" s="71">
        <v>39911</v>
      </c>
      <c r="B121" s="72">
        <v>0.25</v>
      </c>
      <c r="C121" s="71">
        <v>39911</v>
      </c>
      <c r="D121" s="72">
        <v>0</v>
      </c>
      <c r="E121" s="71">
        <v>23346</v>
      </c>
      <c r="F121" s="72">
        <v>3.38</v>
      </c>
    </row>
    <row r="122" spans="1:6" x14ac:dyDescent="0.2">
      <c r="A122" s="71">
        <v>39912</v>
      </c>
      <c r="B122" s="72">
        <v>0.25</v>
      </c>
      <c r="C122" s="71">
        <v>39912</v>
      </c>
      <c r="D122" s="72">
        <v>0</v>
      </c>
      <c r="E122" s="71">
        <v>23377</v>
      </c>
      <c r="F122" s="72">
        <v>3.48</v>
      </c>
    </row>
    <row r="123" spans="1:6" x14ac:dyDescent="0.2">
      <c r="A123" s="71">
        <v>39913</v>
      </c>
      <c r="B123" s="72">
        <v>0.25</v>
      </c>
      <c r="C123" s="71">
        <v>39913</v>
      </c>
      <c r="D123" s="72">
        <v>0</v>
      </c>
      <c r="E123" s="71">
        <v>23408</v>
      </c>
      <c r="F123" s="72">
        <v>3.48</v>
      </c>
    </row>
    <row r="124" spans="1:6" x14ac:dyDescent="0.2">
      <c r="A124" s="71">
        <v>39914</v>
      </c>
      <c r="B124" s="72">
        <v>0.25</v>
      </c>
      <c r="C124" s="71">
        <v>39914</v>
      </c>
      <c r="D124" s="72">
        <v>0</v>
      </c>
      <c r="E124" s="71">
        <v>23437</v>
      </c>
      <c r="F124" s="72">
        <v>3.43</v>
      </c>
    </row>
    <row r="125" spans="1:6" x14ac:dyDescent="0.2">
      <c r="A125" s="71">
        <v>39915</v>
      </c>
      <c r="B125" s="72">
        <v>0.25</v>
      </c>
      <c r="C125" s="71">
        <v>39915</v>
      </c>
      <c r="D125" s="72">
        <v>0</v>
      </c>
      <c r="E125" s="71">
        <v>23468</v>
      </c>
      <c r="F125" s="72">
        <v>3.47</v>
      </c>
    </row>
    <row r="126" spans="1:6" x14ac:dyDescent="0.2">
      <c r="A126" s="71">
        <v>39916</v>
      </c>
      <c r="B126" s="72">
        <v>0.25</v>
      </c>
      <c r="C126" s="71">
        <v>39916</v>
      </c>
      <c r="D126" s="72">
        <v>0</v>
      </c>
      <c r="E126" s="71">
        <v>23498</v>
      </c>
      <c r="F126" s="72">
        <v>3.5</v>
      </c>
    </row>
    <row r="127" spans="1:6" x14ac:dyDescent="0.2">
      <c r="A127" s="71">
        <v>39917</v>
      </c>
      <c r="B127" s="72">
        <v>0.25</v>
      </c>
      <c r="C127" s="71">
        <v>39917</v>
      </c>
      <c r="D127" s="72">
        <v>0</v>
      </c>
      <c r="E127" s="71">
        <v>23529</v>
      </c>
      <c r="F127" s="72">
        <v>3.5</v>
      </c>
    </row>
    <row r="128" spans="1:6" x14ac:dyDescent="0.2">
      <c r="A128" s="71">
        <v>39918</v>
      </c>
      <c r="B128" s="72">
        <v>0.25</v>
      </c>
      <c r="C128" s="71">
        <v>39918</v>
      </c>
      <c r="D128" s="72">
        <v>0</v>
      </c>
      <c r="E128" s="71">
        <v>23559</v>
      </c>
      <c r="F128" s="72">
        <v>3.42</v>
      </c>
    </row>
    <row r="129" spans="1:6" x14ac:dyDescent="0.2">
      <c r="A129" s="71">
        <v>39919</v>
      </c>
      <c r="B129" s="72">
        <v>0.25</v>
      </c>
      <c r="C129" s="71">
        <v>39919</v>
      </c>
      <c r="D129" s="72">
        <v>0</v>
      </c>
      <c r="E129" s="71">
        <v>23590</v>
      </c>
      <c r="F129" s="72">
        <v>3.5</v>
      </c>
    </row>
    <row r="130" spans="1:6" x14ac:dyDescent="0.2">
      <c r="A130" s="71">
        <v>39920</v>
      </c>
      <c r="B130" s="72">
        <v>0.25</v>
      </c>
      <c r="C130" s="71">
        <v>39920</v>
      </c>
      <c r="D130" s="72">
        <v>0</v>
      </c>
      <c r="E130" s="71">
        <v>23621</v>
      </c>
      <c r="F130" s="72">
        <v>3.45</v>
      </c>
    </row>
    <row r="131" spans="1:6" x14ac:dyDescent="0.2">
      <c r="A131" s="71">
        <v>39921</v>
      </c>
      <c r="B131" s="72">
        <v>0.25</v>
      </c>
      <c r="C131" s="71">
        <v>39921</v>
      </c>
      <c r="D131" s="72">
        <v>0</v>
      </c>
      <c r="E131" s="71">
        <v>23651</v>
      </c>
      <c r="F131" s="72">
        <v>3.36</v>
      </c>
    </row>
    <row r="132" spans="1:6" x14ac:dyDescent="0.2">
      <c r="A132" s="71">
        <v>39922</v>
      </c>
      <c r="B132" s="72">
        <v>0.25</v>
      </c>
      <c r="C132" s="71">
        <v>39922</v>
      </c>
      <c r="D132" s="72">
        <v>0</v>
      </c>
      <c r="E132" s="71">
        <v>23682</v>
      </c>
      <c r="F132" s="72">
        <v>3.52</v>
      </c>
    </row>
    <row r="133" spans="1:6" x14ac:dyDescent="0.2">
      <c r="A133" s="71">
        <v>39923</v>
      </c>
      <c r="B133" s="72">
        <v>0.25</v>
      </c>
      <c r="C133" s="71">
        <v>39923</v>
      </c>
      <c r="D133" s="72">
        <v>0</v>
      </c>
      <c r="E133" s="71">
        <v>23712</v>
      </c>
      <c r="F133" s="72">
        <v>3.85</v>
      </c>
    </row>
    <row r="134" spans="1:6" x14ac:dyDescent="0.2">
      <c r="A134" s="71">
        <v>39924</v>
      </c>
      <c r="B134" s="72">
        <v>0.25</v>
      </c>
      <c r="C134" s="71">
        <v>39924</v>
      </c>
      <c r="D134" s="72">
        <v>0</v>
      </c>
      <c r="E134" s="71">
        <v>23743</v>
      </c>
      <c r="F134" s="72">
        <v>3.9</v>
      </c>
    </row>
    <row r="135" spans="1:6" x14ac:dyDescent="0.2">
      <c r="A135" s="71">
        <v>39925</v>
      </c>
      <c r="B135" s="72">
        <v>0.25</v>
      </c>
      <c r="C135" s="71">
        <v>39925</v>
      </c>
      <c r="D135" s="72">
        <v>0</v>
      </c>
      <c r="E135" s="71">
        <v>23774</v>
      </c>
      <c r="F135" s="72">
        <v>3.98</v>
      </c>
    </row>
    <row r="136" spans="1:6" x14ac:dyDescent="0.2">
      <c r="A136" s="71">
        <v>39926</v>
      </c>
      <c r="B136" s="72">
        <v>0.25</v>
      </c>
      <c r="C136" s="71">
        <v>39926</v>
      </c>
      <c r="D136" s="72">
        <v>0</v>
      </c>
      <c r="E136" s="71">
        <v>23802</v>
      </c>
      <c r="F136" s="72">
        <v>4.04</v>
      </c>
    </row>
    <row r="137" spans="1:6" x14ac:dyDescent="0.2">
      <c r="A137" s="71">
        <v>39927</v>
      </c>
      <c r="B137" s="72">
        <v>0.25</v>
      </c>
      <c r="C137" s="71">
        <v>39927</v>
      </c>
      <c r="D137" s="72">
        <v>0</v>
      </c>
      <c r="E137" s="71">
        <v>23833</v>
      </c>
      <c r="F137" s="72">
        <v>4.09</v>
      </c>
    </row>
    <row r="138" spans="1:6" x14ac:dyDescent="0.2">
      <c r="A138" s="71">
        <v>39928</v>
      </c>
      <c r="B138" s="72">
        <v>0.25</v>
      </c>
      <c r="C138" s="71">
        <v>39928</v>
      </c>
      <c r="D138" s="72">
        <v>0</v>
      </c>
      <c r="E138" s="71">
        <v>23863</v>
      </c>
      <c r="F138" s="72">
        <v>4.0999999999999996</v>
      </c>
    </row>
    <row r="139" spans="1:6" x14ac:dyDescent="0.2">
      <c r="A139" s="71">
        <v>39929</v>
      </c>
      <c r="B139" s="72">
        <v>0.25</v>
      </c>
      <c r="C139" s="71">
        <v>39929</v>
      </c>
      <c r="D139" s="72">
        <v>0</v>
      </c>
      <c r="E139" s="71">
        <v>23894</v>
      </c>
      <c r="F139" s="72">
        <v>4.04</v>
      </c>
    </row>
    <row r="140" spans="1:6" x14ac:dyDescent="0.2">
      <c r="A140" s="71">
        <v>39930</v>
      </c>
      <c r="B140" s="72">
        <v>0.25</v>
      </c>
      <c r="C140" s="71">
        <v>39930</v>
      </c>
      <c r="D140" s="72">
        <v>0</v>
      </c>
      <c r="E140" s="71">
        <v>23924</v>
      </c>
      <c r="F140" s="72">
        <v>4.09</v>
      </c>
    </row>
    <row r="141" spans="1:6" x14ac:dyDescent="0.2">
      <c r="A141" s="71">
        <v>39931</v>
      </c>
      <c r="B141" s="72">
        <v>0.25</v>
      </c>
      <c r="C141" s="71">
        <v>39931</v>
      </c>
      <c r="D141" s="72">
        <v>0</v>
      </c>
      <c r="E141" s="71">
        <v>23955</v>
      </c>
      <c r="F141" s="72">
        <v>4.12</v>
      </c>
    </row>
    <row r="142" spans="1:6" x14ac:dyDescent="0.2">
      <c r="A142" s="71">
        <v>39932</v>
      </c>
      <c r="B142" s="72">
        <v>0.25</v>
      </c>
      <c r="C142" s="71">
        <v>39932</v>
      </c>
      <c r="D142" s="72">
        <v>0</v>
      </c>
      <c r="E142" s="71">
        <v>23986</v>
      </c>
      <c r="F142" s="72">
        <v>4.01</v>
      </c>
    </row>
    <row r="143" spans="1:6" x14ac:dyDescent="0.2">
      <c r="A143" s="71">
        <v>39933</v>
      </c>
      <c r="B143" s="72">
        <v>0.25</v>
      </c>
      <c r="C143" s="71">
        <v>39933</v>
      </c>
      <c r="D143" s="72">
        <v>0</v>
      </c>
      <c r="E143" s="71">
        <v>24016</v>
      </c>
      <c r="F143" s="72">
        <v>4.08</v>
      </c>
    </row>
    <row r="144" spans="1:6" x14ac:dyDescent="0.2">
      <c r="A144" s="71">
        <v>39934</v>
      </c>
      <c r="B144" s="72">
        <v>0.25</v>
      </c>
      <c r="C144" s="71">
        <v>39934</v>
      </c>
      <c r="D144" s="72">
        <v>0</v>
      </c>
      <c r="E144" s="71">
        <v>24047</v>
      </c>
      <c r="F144" s="72">
        <v>4.0999999999999996</v>
      </c>
    </row>
    <row r="145" spans="1:6" x14ac:dyDescent="0.2">
      <c r="A145" s="71">
        <v>39935</v>
      </c>
      <c r="B145" s="72">
        <v>0.25</v>
      </c>
      <c r="C145" s="71">
        <v>39935</v>
      </c>
      <c r="D145" s="72">
        <v>0</v>
      </c>
      <c r="E145" s="71">
        <v>24077</v>
      </c>
      <c r="F145" s="72">
        <v>4.32</v>
      </c>
    </row>
    <row r="146" spans="1:6" x14ac:dyDescent="0.2">
      <c r="A146" s="71">
        <v>39936</v>
      </c>
      <c r="B146" s="72">
        <v>0.25</v>
      </c>
      <c r="C146" s="71">
        <v>39936</v>
      </c>
      <c r="D146" s="72">
        <v>0</v>
      </c>
      <c r="E146" s="71">
        <v>24108</v>
      </c>
      <c r="F146" s="72">
        <v>4.42</v>
      </c>
    </row>
    <row r="147" spans="1:6" x14ac:dyDescent="0.2">
      <c r="A147" s="71">
        <v>39937</v>
      </c>
      <c r="B147" s="72">
        <v>0.25</v>
      </c>
      <c r="C147" s="71">
        <v>39937</v>
      </c>
      <c r="D147" s="72">
        <v>0</v>
      </c>
      <c r="E147" s="71">
        <v>24139</v>
      </c>
      <c r="F147" s="72">
        <v>4.5999999999999996</v>
      </c>
    </row>
    <row r="148" spans="1:6" x14ac:dyDescent="0.2">
      <c r="A148" s="71">
        <v>39938</v>
      </c>
      <c r="B148" s="72">
        <v>0.25</v>
      </c>
      <c r="C148" s="71">
        <v>39938</v>
      </c>
      <c r="D148" s="72">
        <v>0</v>
      </c>
      <c r="E148" s="71">
        <v>24167</v>
      </c>
      <c r="F148" s="72">
        <v>4.6500000000000004</v>
      </c>
    </row>
    <row r="149" spans="1:6" x14ac:dyDescent="0.2">
      <c r="A149" s="71">
        <v>39939</v>
      </c>
      <c r="B149" s="72">
        <v>0.25</v>
      </c>
      <c r="C149" s="71">
        <v>39939</v>
      </c>
      <c r="D149" s="72">
        <v>0</v>
      </c>
      <c r="E149" s="71">
        <v>24198</v>
      </c>
      <c r="F149" s="72">
        <v>4.67</v>
      </c>
    </row>
    <row r="150" spans="1:6" x14ac:dyDescent="0.2">
      <c r="A150" s="71">
        <v>39940</v>
      </c>
      <c r="B150" s="72">
        <v>0.25</v>
      </c>
      <c r="C150" s="71">
        <v>39940</v>
      </c>
      <c r="D150" s="72">
        <v>0</v>
      </c>
      <c r="E150" s="71">
        <v>24228</v>
      </c>
      <c r="F150" s="72">
        <v>4.9000000000000004</v>
      </c>
    </row>
    <row r="151" spans="1:6" x14ac:dyDescent="0.2">
      <c r="A151" s="71">
        <v>39941</v>
      </c>
      <c r="B151" s="72">
        <v>0.25</v>
      </c>
      <c r="C151" s="71">
        <v>39941</v>
      </c>
      <c r="D151" s="72">
        <v>0</v>
      </c>
      <c r="E151" s="71">
        <v>24259</v>
      </c>
      <c r="F151" s="72">
        <v>5.17</v>
      </c>
    </row>
    <row r="152" spans="1:6" x14ac:dyDescent="0.2">
      <c r="A152" s="71">
        <v>39942</v>
      </c>
      <c r="B152" s="72">
        <v>0.25</v>
      </c>
      <c r="C152" s="71">
        <v>39942</v>
      </c>
      <c r="D152" s="72">
        <v>0</v>
      </c>
      <c r="E152" s="71">
        <v>24289</v>
      </c>
      <c r="F152" s="72">
        <v>5.3</v>
      </c>
    </row>
    <row r="153" spans="1:6" x14ac:dyDescent="0.2">
      <c r="A153" s="71">
        <v>39943</v>
      </c>
      <c r="B153" s="72">
        <v>0.25</v>
      </c>
      <c r="C153" s="71">
        <v>39943</v>
      </c>
      <c r="D153" s="72">
        <v>0</v>
      </c>
      <c r="E153" s="71">
        <v>24320</v>
      </c>
      <c r="F153" s="72">
        <v>5.53</v>
      </c>
    </row>
    <row r="154" spans="1:6" x14ac:dyDescent="0.2">
      <c r="A154" s="71">
        <v>39944</v>
      </c>
      <c r="B154" s="72">
        <v>0.25</v>
      </c>
      <c r="C154" s="71">
        <v>39944</v>
      </c>
      <c r="D154" s="72">
        <v>0</v>
      </c>
      <c r="E154" s="71">
        <v>24351</v>
      </c>
      <c r="F154" s="72">
        <v>5.4</v>
      </c>
    </row>
    <row r="155" spans="1:6" x14ac:dyDescent="0.2">
      <c r="A155" s="71">
        <v>39945</v>
      </c>
      <c r="B155" s="72">
        <v>0.25</v>
      </c>
      <c r="C155" s="71">
        <v>39945</v>
      </c>
      <c r="D155" s="72">
        <v>0</v>
      </c>
      <c r="E155" s="71">
        <v>24381</v>
      </c>
      <c r="F155" s="72">
        <v>5.53</v>
      </c>
    </row>
    <row r="156" spans="1:6" x14ac:dyDescent="0.2">
      <c r="A156" s="71">
        <v>39946</v>
      </c>
      <c r="B156" s="72">
        <v>0.25</v>
      </c>
      <c r="C156" s="71">
        <v>39946</v>
      </c>
      <c r="D156" s="72">
        <v>0</v>
      </c>
      <c r="E156" s="71">
        <v>24412</v>
      </c>
      <c r="F156" s="72">
        <v>5.76</v>
      </c>
    </row>
    <row r="157" spans="1:6" x14ac:dyDescent="0.2">
      <c r="A157" s="71">
        <v>39947</v>
      </c>
      <c r="B157" s="72">
        <v>0.25</v>
      </c>
      <c r="C157" s="71">
        <v>39947</v>
      </c>
      <c r="D157" s="72">
        <v>0</v>
      </c>
      <c r="E157" s="71">
        <v>24442</v>
      </c>
      <c r="F157" s="72">
        <v>5.4</v>
      </c>
    </row>
    <row r="158" spans="1:6" x14ac:dyDescent="0.2">
      <c r="A158" s="71">
        <v>39948</v>
      </c>
      <c r="B158" s="72">
        <v>0.25</v>
      </c>
      <c r="C158" s="71">
        <v>39948</v>
      </c>
      <c r="D158" s="72">
        <v>0</v>
      </c>
      <c r="E158" s="71">
        <v>24473</v>
      </c>
      <c r="F158" s="72">
        <v>4.9400000000000004</v>
      </c>
    </row>
    <row r="159" spans="1:6" x14ac:dyDescent="0.2">
      <c r="A159" s="71">
        <v>39949</v>
      </c>
      <c r="B159" s="72">
        <v>0.25</v>
      </c>
      <c r="C159" s="71">
        <v>39949</v>
      </c>
      <c r="D159" s="72">
        <v>0</v>
      </c>
      <c r="E159" s="71">
        <v>24504</v>
      </c>
      <c r="F159" s="72">
        <v>5</v>
      </c>
    </row>
    <row r="160" spans="1:6" x14ac:dyDescent="0.2">
      <c r="A160" s="71">
        <v>39950</v>
      </c>
      <c r="B160" s="72">
        <v>0.25</v>
      </c>
      <c r="C160" s="71">
        <v>39950</v>
      </c>
      <c r="D160" s="72">
        <v>0</v>
      </c>
      <c r="E160" s="71">
        <v>24532</v>
      </c>
      <c r="F160" s="72">
        <v>4.53</v>
      </c>
    </row>
    <row r="161" spans="1:6" x14ac:dyDescent="0.2">
      <c r="A161" s="71">
        <v>39951</v>
      </c>
      <c r="B161" s="72">
        <v>0.25</v>
      </c>
      <c r="C161" s="71">
        <v>39951</v>
      </c>
      <c r="D161" s="72">
        <v>0</v>
      </c>
      <c r="E161" s="71">
        <v>24563</v>
      </c>
      <c r="F161" s="72">
        <v>4.05</v>
      </c>
    </row>
    <row r="162" spans="1:6" x14ac:dyDescent="0.2">
      <c r="A162" s="71">
        <v>39952</v>
      </c>
      <c r="B162" s="72">
        <v>0.25</v>
      </c>
      <c r="C162" s="71">
        <v>39952</v>
      </c>
      <c r="D162" s="72">
        <v>0</v>
      </c>
      <c r="E162" s="71">
        <v>24593</v>
      </c>
      <c r="F162" s="72">
        <v>3.94</v>
      </c>
    </row>
    <row r="163" spans="1:6" x14ac:dyDescent="0.2">
      <c r="A163" s="71">
        <v>39953</v>
      </c>
      <c r="B163" s="72">
        <v>0.25</v>
      </c>
      <c r="C163" s="71">
        <v>39953</v>
      </c>
      <c r="D163" s="72">
        <v>0</v>
      </c>
      <c r="E163" s="71">
        <v>24624</v>
      </c>
      <c r="F163" s="72">
        <v>3.98</v>
      </c>
    </row>
    <row r="164" spans="1:6" x14ac:dyDescent="0.2">
      <c r="A164" s="71">
        <v>39954</v>
      </c>
      <c r="B164" s="72">
        <v>0.25</v>
      </c>
      <c r="C164" s="71">
        <v>39954</v>
      </c>
      <c r="D164" s="72">
        <v>0</v>
      </c>
      <c r="E164" s="71">
        <v>24654</v>
      </c>
      <c r="F164" s="72">
        <v>3.79</v>
      </c>
    </row>
    <row r="165" spans="1:6" x14ac:dyDescent="0.2">
      <c r="A165" s="71">
        <v>39955</v>
      </c>
      <c r="B165" s="72">
        <v>0.25</v>
      </c>
      <c r="C165" s="71">
        <v>39955</v>
      </c>
      <c r="D165" s="72">
        <v>0</v>
      </c>
      <c r="E165" s="71">
        <v>24685</v>
      </c>
      <c r="F165" s="72">
        <v>3.9</v>
      </c>
    </row>
    <row r="166" spans="1:6" x14ac:dyDescent="0.2">
      <c r="A166" s="71">
        <v>39956</v>
      </c>
      <c r="B166" s="72">
        <v>0.25</v>
      </c>
      <c r="C166" s="71">
        <v>39956</v>
      </c>
      <c r="D166" s="72">
        <v>0</v>
      </c>
      <c r="E166" s="71">
        <v>24716</v>
      </c>
      <c r="F166" s="72">
        <v>3.99</v>
      </c>
    </row>
    <row r="167" spans="1:6" x14ac:dyDescent="0.2">
      <c r="A167" s="71">
        <v>39957</v>
      </c>
      <c r="B167" s="72">
        <v>0.25</v>
      </c>
      <c r="C167" s="71">
        <v>39957</v>
      </c>
      <c r="D167" s="72">
        <v>0</v>
      </c>
      <c r="E167" s="71">
        <v>24746</v>
      </c>
      <c r="F167" s="72">
        <v>3.88</v>
      </c>
    </row>
    <row r="168" spans="1:6" x14ac:dyDescent="0.2">
      <c r="A168" s="71">
        <v>39958</v>
      </c>
      <c r="B168" s="72">
        <v>0.25</v>
      </c>
      <c r="C168" s="71">
        <v>39958</v>
      </c>
      <c r="D168" s="72">
        <v>0</v>
      </c>
      <c r="E168" s="71">
        <v>24777</v>
      </c>
      <c r="F168" s="72">
        <v>4.13</v>
      </c>
    </row>
    <row r="169" spans="1:6" x14ac:dyDescent="0.2">
      <c r="A169" s="71">
        <v>39959</v>
      </c>
      <c r="B169" s="72">
        <v>0.25</v>
      </c>
      <c r="C169" s="71">
        <v>39959</v>
      </c>
      <c r="D169" s="72">
        <v>0</v>
      </c>
      <c r="E169" s="71">
        <v>24807</v>
      </c>
      <c r="F169" s="72">
        <v>4.51</v>
      </c>
    </row>
    <row r="170" spans="1:6" x14ac:dyDescent="0.2">
      <c r="A170" s="71">
        <v>39960</v>
      </c>
      <c r="B170" s="72">
        <v>0.25</v>
      </c>
      <c r="C170" s="71">
        <v>39960</v>
      </c>
      <c r="D170" s="72">
        <v>0</v>
      </c>
      <c r="E170" s="71">
        <v>24838</v>
      </c>
      <c r="F170" s="72">
        <v>4.5999999999999996</v>
      </c>
    </row>
    <row r="171" spans="1:6" x14ac:dyDescent="0.2">
      <c r="A171" s="71">
        <v>39961</v>
      </c>
      <c r="B171" s="72">
        <v>0.25</v>
      </c>
      <c r="C171" s="71">
        <v>39961</v>
      </c>
      <c r="D171" s="72">
        <v>0</v>
      </c>
      <c r="E171" s="71">
        <v>24869</v>
      </c>
      <c r="F171" s="72">
        <v>4.71</v>
      </c>
    </row>
    <row r="172" spans="1:6" x14ac:dyDescent="0.2">
      <c r="A172" s="71">
        <v>39962</v>
      </c>
      <c r="B172" s="72">
        <v>0.25</v>
      </c>
      <c r="C172" s="71">
        <v>39962</v>
      </c>
      <c r="D172" s="72">
        <v>0</v>
      </c>
      <c r="E172" s="71">
        <v>24898</v>
      </c>
      <c r="F172" s="72">
        <v>5.05</v>
      </c>
    </row>
    <row r="173" spans="1:6" x14ac:dyDescent="0.2">
      <c r="A173" s="71">
        <v>39963</v>
      </c>
      <c r="B173" s="72">
        <v>0.25</v>
      </c>
      <c r="C173" s="71">
        <v>39963</v>
      </c>
      <c r="D173" s="72">
        <v>0</v>
      </c>
      <c r="E173" s="71">
        <v>24929</v>
      </c>
      <c r="F173" s="72">
        <v>5.76</v>
      </c>
    </row>
    <row r="174" spans="1:6" x14ac:dyDescent="0.2">
      <c r="A174" s="71">
        <v>39964</v>
      </c>
      <c r="B174" s="72">
        <v>0.25</v>
      </c>
      <c r="C174" s="71">
        <v>39964</v>
      </c>
      <c r="D174" s="72">
        <v>0</v>
      </c>
      <c r="E174" s="71">
        <v>24959</v>
      </c>
      <c r="F174" s="72">
        <v>6.11</v>
      </c>
    </row>
    <row r="175" spans="1:6" x14ac:dyDescent="0.2">
      <c r="A175" s="71">
        <v>39965</v>
      </c>
      <c r="B175" s="72">
        <v>0.25</v>
      </c>
      <c r="C175" s="71">
        <v>39965</v>
      </c>
      <c r="D175" s="72">
        <v>0</v>
      </c>
      <c r="E175" s="71">
        <v>24990</v>
      </c>
      <c r="F175" s="72">
        <v>6.07</v>
      </c>
    </row>
    <row r="176" spans="1:6" x14ac:dyDescent="0.2">
      <c r="A176" s="71">
        <v>39966</v>
      </c>
      <c r="B176" s="72">
        <v>0.25</v>
      </c>
      <c r="C176" s="71">
        <v>39966</v>
      </c>
      <c r="D176" s="72">
        <v>0</v>
      </c>
      <c r="E176" s="71">
        <v>25020</v>
      </c>
      <c r="F176" s="72">
        <v>6.02</v>
      </c>
    </row>
    <row r="177" spans="1:6" x14ac:dyDescent="0.2">
      <c r="A177" s="71">
        <v>39967</v>
      </c>
      <c r="B177" s="72">
        <v>0.25</v>
      </c>
      <c r="C177" s="71">
        <v>39967</v>
      </c>
      <c r="D177" s="72">
        <v>0</v>
      </c>
      <c r="E177" s="71">
        <v>25051</v>
      </c>
      <c r="F177" s="72">
        <v>6.03</v>
      </c>
    </row>
    <row r="178" spans="1:6" x14ac:dyDescent="0.2">
      <c r="A178" s="71">
        <v>39968</v>
      </c>
      <c r="B178" s="72">
        <v>0.25</v>
      </c>
      <c r="C178" s="71">
        <v>39968</v>
      </c>
      <c r="D178" s="72">
        <v>0</v>
      </c>
      <c r="E178" s="71">
        <v>25082</v>
      </c>
      <c r="F178" s="72">
        <v>5.78</v>
      </c>
    </row>
    <row r="179" spans="1:6" x14ac:dyDescent="0.2">
      <c r="A179" s="71">
        <v>39969</v>
      </c>
      <c r="B179" s="72">
        <v>0.25</v>
      </c>
      <c r="C179" s="71">
        <v>39969</v>
      </c>
      <c r="D179" s="72">
        <v>0</v>
      </c>
      <c r="E179" s="71">
        <v>25112</v>
      </c>
      <c r="F179" s="72">
        <v>5.91</v>
      </c>
    </row>
    <row r="180" spans="1:6" x14ac:dyDescent="0.2">
      <c r="A180" s="71">
        <v>39970</v>
      </c>
      <c r="B180" s="72">
        <v>0.25</v>
      </c>
      <c r="C180" s="71">
        <v>39970</v>
      </c>
      <c r="D180" s="72">
        <v>0</v>
      </c>
      <c r="E180" s="71">
        <v>25143</v>
      </c>
      <c r="F180" s="72">
        <v>5.82</v>
      </c>
    </row>
    <row r="181" spans="1:6" x14ac:dyDescent="0.2">
      <c r="A181" s="71">
        <v>39971</v>
      </c>
      <c r="B181" s="72">
        <v>0.25</v>
      </c>
      <c r="C181" s="71">
        <v>39971</v>
      </c>
      <c r="D181" s="72">
        <v>0</v>
      </c>
      <c r="E181" s="71">
        <v>25173</v>
      </c>
      <c r="F181" s="72">
        <v>6.02</v>
      </c>
    </row>
    <row r="182" spans="1:6" x14ac:dyDescent="0.2">
      <c r="A182" s="71">
        <v>39972</v>
      </c>
      <c r="B182" s="72">
        <v>0.25</v>
      </c>
      <c r="C182" s="71">
        <v>39972</v>
      </c>
      <c r="D182" s="72">
        <v>0</v>
      </c>
      <c r="E182" s="71">
        <v>25204</v>
      </c>
      <c r="F182" s="72">
        <v>6.3</v>
      </c>
    </row>
    <row r="183" spans="1:6" x14ac:dyDescent="0.2">
      <c r="A183" s="71">
        <v>39973</v>
      </c>
      <c r="B183" s="72">
        <v>0.25</v>
      </c>
      <c r="C183" s="71">
        <v>39973</v>
      </c>
      <c r="D183" s="72">
        <v>0</v>
      </c>
      <c r="E183" s="71">
        <v>25235</v>
      </c>
      <c r="F183" s="72">
        <v>6.61</v>
      </c>
    </row>
    <row r="184" spans="1:6" x14ac:dyDescent="0.2">
      <c r="A184" s="71">
        <v>39974</v>
      </c>
      <c r="B184" s="72">
        <v>0.25</v>
      </c>
      <c r="C184" s="71">
        <v>39974</v>
      </c>
      <c r="D184" s="72">
        <v>0</v>
      </c>
      <c r="E184" s="71">
        <v>25263</v>
      </c>
      <c r="F184" s="72">
        <v>6.79</v>
      </c>
    </row>
    <row r="185" spans="1:6" x14ac:dyDescent="0.2">
      <c r="A185" s="71">
        <v>39975</v>
      </c>
      <c r="B185" s="72">
        <v>0.25</v>
      </c>
      <c r="C185" s="71">
        <v>39975</v>
      </c>
      <c r="D185" s="72">
        <v>0</v>
      </c>
      <c r="E185" s="71">
        <v>25294</v>
      </c>
      <c r="F185" s="72">
        <v>7.41</v>
      </c>
    </row>
    <row r="186" spans="1:6" x14ac:dyDescent="0.2">
      <c r="A186" s="71">
        <v>39976</v>
      </c>
      <c r="B186" s="72">
        <v>0.25</v>
      </c>
      <c r="C186" s="71">
        <v>39976</v>
      </c>
      <c r="D186" s="72">
        <v>0</v>
      </c>
      <c r="E186" s="71">
        <v>25324</v>
      </c>
      <c r="F186" s="72">
        <v>8.67</v>
      </c>
    </row>
    <row r="187" spans="1:6" x14ac:dyDescent="0.2">
      <c r="A187" s="71">
        <v>39977</v>
      </c>
      <c r="B187" s="72">
        <v>0.25</v>
      </c>
      <c r="C187" s="71">
        <v>39977</v>
      </c>
      <c r="D187" s="72">
        <v>0</v>
      </c>
      <c r="E187" s="71">
        <v>25355</v>
      </c>
      <c r="F187" s="72">
        <v>8.9</v>
      </c>
    </row>
    <row r="188" spans="1:6" x14ac:dyDescent="0.2">
      <c r="A188" s="71">
        <v>39978</v>
      </c>
      <c r="B188" s="72">
        <v>0.25</v>
      </c>
      <c r="C188" s="71">
        <v>39978</v>
      </c>
      <c r="D188" s="72">
        <v>0</v>
      </c>
      <c r="E188" s="71">
        <v>25385</v>
      </c>
      <c r="F188" s="72">
        <v>8.61</v>
      </c>
    </row>
    <row r="189" spans="1:6" x14ac:dyDescent="0.2">
      <c r="A189" s="71">
        <v>39979</v>
      </c>
      <c r="B189" s="72">
        <v>0.25</v>
      </c>
      <c r="C189" s="71">
        <v>39979</v>
      </c>
      <c r="D189" s="72">
        <v>0</v>
      </c>
      <c r="E189" s="71">
        <v>25416</v>
      </c>
      <c r="F189" s="72">
        <v>9.19</v>
      </c>
    </row>
    <row r="190" spans="1:6" x14ac:dyDescent="0.2">
      <c r="A190" s="71">
        <v>39980</v>
      </c>
      <c r="B190" s="72">
        <v>0.25</v>
      </c>
      <c r="C190" s="71">
        <v>39980</v>
      </c>
      <c r="D190" s="72">
        <v>0</v>
      </c>
      <c r="E190" s="71">
        <v>25447</v>
      </c>
      <c r="F190" s="72">
        <v>9.15</v>
      </c>
    </row>
    <row r="191" spans="1:6" x14ac:dyDescent="0.2">
      <c r="A191" s="71">
        <v>39981</v>
      </c>
      <c r="B191" s="72">
        <v>0.25</v>
      </c>
      <c r="C191" s="71">
        <v>39981</v>
      </c>
      <c r="D191" s="72">
        <v>0</v>
      </c>
      <c r="E191" s="71">
        <v>25477</v>
      </c>
      <c r="F191" s="72">
        <v>9</v>
      </c>
    </row>
    <row r="192" spans="1:6" x14ac:dyDescent="0.2">
      <c r="A192" s="71">
        <v>39982</v>
      </c>
      <c r="B192" s="72">
        <v>0.25</v>
      </c>
      <c r="C192" s="71">
        <v>39982</v>
      </c>
      <c r="D192" s="72">
        <v>0</v>
      </c>
      <c r="E192" s="71">
        <v>25508</v>
      </c>
      <c r="F192" s="72">
        <v>8.85</v>
      </c>
    </row>
    <row r="193" spans="1:6" x14ac:dyDescent="0.2">
      <c r="A193" s="71">
        <v>39983</v>
      </c>
      <c r="B193" s="72">
        <v>0.25</v>
      </c>
      <c r="C193" s="71">
        <v>39983</v>
      </c>
      <c r="D193" s="72">
        <v>0</v>
      </c>
      <c r="E193" s="71">
        <v>25538</v>
      </c>
      <c r="F193" s="72">
        <v>8.9700000000000006</v>
      </c>
    </row>
    <row r="194" spans="1:6" x14ac:dyDescent="0.2">
      <c r="A194" s="71">
        <v>39984</v>
      </c>
      <c r="B194" s="72">
        <v>0.25</v>
      </c>
      <c r="C194" s="71">
        <v>39984</v>
      </c>
      <c r="D194" s="72">
        <v>0</v>
      </c>
      <c r="E194" s="71">
        <v>25569</v>
      </c>
      <c r="F194" s="72">
        <v>8.98</v>
      </c>
    </row>
    <row r="195" spans="1:6" x14ac:dyDescent="0.2">
      <c r="A195" s="71">
        <v>39985</v>
      </c>
      <c r="B195" s="72">
        <v>0.25</v>
      </c>
      <c r="C195" s="71">
        <v>39985</v>
      </c>
      <c r="D195" s="72">
        <v>0</v>
      </c>
      <c r="E195" s="71">
        <v>25600</v>
      </c>
      <c r="F195" s="72">
        <v>8.98</v>
      </c>
    </row>
    <row r="196" spans="1:6" x14ac:dyDescent="0.2">
      <c r="A196" s="71">
        <v>39986</v>
      </c>
      <c r="B196" s="72">
        <v>0.25</v>
      </c>
      <c r="C196" s="71">
        <v>39986</v>
      </c>
      <c r="D196" s="72">
        <v>0</v>
      </c>
      <c r="E196" s="71">
        <v>25628</v>
      </c>
      <c r="F196" s="72">
        <v>7.76</v>
      </c>
    </row>
    <row r="197" spans="1:6" x14ac:dyDescent="0.2">
      <c r="A197" s="71">
        <v>39987</v>
      </c>
      <c r="B197" s="72">
        <v>0.25</v>
      </c>
      <c r="C197" s="71">
        <v>39987</v>
      </c>
      <c r="D197" s="72">
        <v>0</v>
      </c>
      <c r="E197" s="71">
        <v>25659</v>
      </c>
      <c r="F197" s="72">
        <v>8.1</v>
      </c>
    </row>
    <row r="198" spans="1:6" x14ac:dyDescent="0.2">
      <c r="A198" s="71">
        <v>39988</v>
      </c>
      <c r="B198" s="72">
        <v>0.25</v>
      </c>
      <c r="C198" s="71">
        <v>39988</v>
      </c>
      <c r="D198" s="72">
        <v>0</v>
      </c>
      <c r="E198" s="71">
        <v>25689</v>
      </c>
      <c r="F198" s="72">
        <v>7.94</v>
      </c>
    </row>
    <row r="199" spans="1:6" x14ac:dyDescent="0.2">
      <c r="A199" s="71">
        <v>39989</v>
      </c>
      <c r="B199" s="72">
        <v>0.25</v>
      </c>
      <c r="C199" s="71">
        <v>39989</v>
      </c>
      <c r="D199" s="72">
        <v>0</v>
      </c>
      <c r="E199" s="71">
        <v>25720</v>
      </c>
      <c r="F199" s="72">
        <v>7.6</v>
      </c>
    </row>
    <row r="200" spans="1:6" x14ac:dyDescent="0.2">
      <c r="A200" s="71">
        <v>39990</v>
      </c>
      <c r="B200" s="72">
        <v>0.25</v>
      </c>
      <c r="C200" s="71">
        <v>39990</v>
      </c>
      <c r="D200" s="72">
        <v>0</v>
      </c>
      <c r="E200" s="71">
        <v>25750</v>
      </c>
      <c r="F200" s="72">
        <v>7.21</v>
      </c>
    </row>
    <row r="201" spans="1:6" x14ac:dyDescent="0.2">
      <c r="A201" s="71">
        <v>39991</v>
      </c>
      <c r="B201" s="72">
        <v>0.25</v>
      </c>
      <c r="C201" s="71">
        <v>39991</v>
      </c>
      <c r="D201" s="72">
        <v>0</v>
      </c>
      <c r="E201" s="71">
        <v>25781</v>
      </c>
      <c r="F201" s="72">
        <v>6.61</v>
      </c>
    </row>
    <row r="202" spans="1:6" x14ac:dyDescent="0.2">
      <c r="A202" s="71">
        <v>39992</v>
      </c>
      <c r="B202" s="72">
        <v>0.25</v>
      </c>
      <c r="C202" s="71">
        <v>39992</v>
      </c>
      <c r="D202" s="72">
        <v>0</v>
      </c>
      <c r="E202" s="71">
        <v>25812</v>
      </c>
      <c r="F202" s="72">
        <v>6.29</v>
      </c>
    </row>
    <row r="203" spans="1:6" x14ac:dyDescent="0.2">
      <c r="A203" s="71">
        <v>39993</v>
      </c>
      <c r="B203" s="72">
        <v>0.25</v>
      </c>
      <c r="C203" s="71">
        <v>39993</v>
      </c>
      <c r="D203" s="72">
        <v>0</v>
      </c>
      <c r="E203" s="71">
        <v>25842</v>
      </c>
      <c r="F203" s="72">
        <v>6.2</v>
      </c>
    </row>
    <row r="204" spans="1:6" x14ac:dyDescent="0.2">
      <c r="A204" s="71">
        <v>39994</v>
      </c>
      <c r="B204" s="72">
        <v>0.25</v>
      </c>
      <c r="C204" s="71">
        <v>39994</v>
      </c>
      <c r="D204" s="72">
        <v>0</v>
      </c>
      <c r="E204" s="71">
        <v>25873</v>
      </c>
      <c r="F204" s="72">
        <v>5.6</v>
      </c>
    </row>
    <row r="205" spans="1:6" x14ac:dyDescent="0.2">
      <c r="A205" s="71">
        <v>39995</v>
      </c>
      <c r="B205" s="72">
        <v>0.25</v>
      </c>
      <c r="C205" s="71">
        <v>39995</v>
      </c>
      <c r="D205" s="72">
        <v>0</v>
      </c>
      <c r="E205" s="71">
        <v>25903</v>
      </c>
      <c r="F205" s="72">
        <v>4.9000000000000004</v>
      </c>
    </row>
    <row r="206" spans="1:6" x14ac:dyDescent="0.2">
      <c r="A206" s="71">
        <v>39996</v>
      </c>
      <c r="B206" s="72">
        <v>0.25</v>
      </c>
      <c r="C206" s="71">
        <v>39996</v>
      </c>
      <c r="D206" s="72">
        <v>0</v>
      </c>
      <c r="E206" s="71">
        <v>25934</v>
      </c>
      <c r="F206" s="72">
        <v>4.1399999999999997</v>
      </c>
    </row>
    <row r="207" spans="1:6" x14ac:dyDescent="0.2">
      <c r="A207" s="71">
        <v>39997</v>
      </c>
      <c r="B207" s="72">
        <v>0.25</v>
      </c>
      <c r="C207" s="71">
        <v>39997</v>
      </c>
      <c r="D207" s="72">
        <v>0</v>
      </c>
      <c r="E207" s="71">
        <v>25965</v>
      </c>
      <c r="F207" s="72">
        <v>3.72</v>
      </c>
    </row>
    <row r="208" spans="1:6" x14ac:dyDescent="0.2">
      <c r="A208" s="71">
        <v>39998</v>
      </c>
      <c r="B208" s="72">
        <v>0.25</v>
      </c>
      <c r="C208" s="71">
        <v>39998</v>
      </c>
      <c r="D208" s="72">
        <v>0</v>
      </c>
      <c r="E208" s="71">
        <v>25993</v>
      </c>
      <c r="F208" s="72">
        <v>3.71</v>
      </c>
    </row>
    <row r="209" spans="1:6" x14ac:dyDescent="0.2">
      <c r="A209" s="71">
        <v>39999</v>
      </c>
      <c r="B209" s="72">
        <v>0.25</v>
      </c>
      <c r="C209" s="71">
        <v>39999</v>
      </c>
      <c r="D209" s="72">
        <v>0</v>
      </c>
      <c r="E209" s="71">
        <v>26024</v>
      </c>
      <c r="F209" s="72">
        <v>4.1500000000000004</v>
      </c>
    </row>
    <row r="210" spans="1:6" x14ac:dyDescent="0.2">
      <c r="A210" s="71">
        <v>40000</v>
      </c>
      <c r="B210" s="72">
        <v>0.25</v>
      </c>
      <c r="C210" s="71">
        <v>40000</v>
      </c>
      <c r="D210" s="72">
        <v>0</v>
      </c>
      <c r="E210" s="71">
        <v>26054</v>
      </c>
      <c r="F210" s="72">
        <v>4.63</v>
      </c>
    </row>
    <row r="211" spans="1:6" x14ac:dyDescent="0.2">
      <c r="A211" s="71">
        <v>40001</v>
      </c>
      <c r="B211" s="72">
        <v>0.25</v>
      </c>
      <c r="C211" s="71">
        <v>40001</v>
      </c>
      <c r="D211" s="72">
        <v>0</v>
      </c>
      <c r="E211" s="71">
        <v>26085</v>
      </c>
      <c r="F211" s="72">
        <v>4.91</v>
      </c>
    </row>
    <row r="212" spans="1:6" x14ac:dyDescent="0.2">
      <c r="A212" s="71">
        <v>40002</v>
      </c>
      <c r="B212" s="72">
        <v>0.25</v>
      </c>
      <c r="C212" s="71">
        <v>40002</v>
      </c>
      <c r="D212" s="72">
        <v>0</v>
      </c>
      <c r="E212" s="71">
        <v>26115</v>
      </c>
      <c r="F212" s="72">
        <v>5.31</v>
      </c>
    </row>
    <row r="213" spans="1:6" x14ac:dyDescent="0.2">
      <c r="A213" s="71">
        <v>40003</v>
      </c>
      <c r="B213" s="72">
        <v>0.25</v>
      </c>
      <c r="C213" s="71">
        <v>40003</v>
      </c>
      <c r="D213" s="72">
        <v>0</v>
      </c>
      <c r="E213" s="71">
        <v>26146</v>
      </c>
      <c r="F213" s="72">
        <v>5.56</v>
      </c>
    </row>
    <row r="214" spans="1:6" x14ac:dyDescent="0.2">
      <c r="A214" s="71">
        <v>40004</v>
      </c>
      <c r="B214" s="72">
        <v>0.25</v>
      </c>
      <c r="C214" s="71">
        <v>40004</v>
      </c>
      <c r="D214" s="72">
        <v>0</v>
      </c>
      <c r="E214" s="71">
        <v>26177</v>
      </c>
      <c r="F214" s="72">
        <v>5.55</v>
      </c>
    </row>
    <row r="215" spans="1:6" x14ac:dyDescent="0.2">
      <c r="A215" s="71">
        <v>40005</v>
      </c>
      <c r="B215" s="72">
        <v>0.25</v>
      </c>
      <c r="C215" s="71">
        <v>40005</v>
      </c>
      <c r="D215" s="72">
        <v>0</v>
      </c>
      <c r="E215" s="71">
        <v>26207</v>
      </c>
      <c r="F215" s="72">
        <v>5.2</v>
      </c>
    </row>
    <row r="216" spans="1:6" x14ac:dyDescent="0.2">
      <c r="A216" s="71">
        <v>40006</v>
      </c>
      <c r="B216" s="72">
        <v>0.25</v>
      </c>
      <c r="C216" s="71">
        <v>40006</v>
      </c>
      <c r="D216" s="72">
        <v>0</v>
      </c>
      <c r="E216" s="71">
        <v>26238</v>
      </c>
      <c r="F216" s="72">
        <v>4.91</v>
      </c>
    </row>
    <row r="217" spans="1:6" x14ac:dyDescent="0.2">
      <c r="A217" s="71">
        <v>40007</v>
      </c>
      <c r="B217" s="72">
        <v>0.25</v>
      </c>
      <c r="C217" s="71">
        <v>40007</v>
      </c>
      <c r="D217" s="72">
        <v>0</v>
      </c>
      <c r="E217" s="71">
        <v>26268</v>
      </c>
      <c r="F217" s="72">
        <v>4.1399999999999997</v>
      </c>
    </row>
    <row r="218" spans="1:6" x14ac:dyDescent="0.2">
      <c r="A218" s="71">
        <v>40008</v>
      </c>
      <c r="B218" s="72">
        <v>0.25</v>
      </c>
      <c r="C218" s="71">
        <v>40008</v>
      </c>
      <c r="D218" s="72">
        <v>0</v>
      </c>
      <c r="E218" s="71">
        <v>26299</v>
      </c>
      <c r="F218" s="72">
        <v>3.5</v>
      </c>
    </row>
    <row r="219" spans="1:6" x14ac:dyDescent="0.2">
      <c r="A219" s="71">
        <v>40009</v>
      </c>
      <c r="B219" s="72">
        <v>0.25</v>
      </c>
      <c r="C219" s="71">
        <v>40009</v>
      </c>
      <c r="D219" s="72">
        <v>0</v>
      </c>
      <c r="E219" s="71">
        <v>26330</v>
      </c>
      <c r="F219" s="72">
        <v>3.29</v>
      </c>
    </row>
    <row r="220" spans="1:6" x14ac:dyDescent="0.2">
      <c r="A220" s="71">
        <v>40010</v>
      </c>
      <c r="B220" s="72">
        <v>0.25</v>
      </c>
      <c r="C220" s="71">
        <v>40010</v>
      </c>
      <c r="D220" s="72">
        <v>0</v>
      </c>
      <c r="E220" s="71">
        <v>26359</v>
      </c>
      <c r="F220" s="72">
        <v>3.83</v>
      </c>
    </row>
    <row r="221" spans="1:6" x14ac:dyDescent="0.2">
      <c r="A221" s="71">
        <v>40011</v>
      </c>
      <c r="B221" s="72">
        <v>0.25</v>
      </c>
      <c r="C221" s="71">
        <v>40011</v>
      </c>
      <c r="D221" s="72">
        <v>0</v>
      </c>
      <c r="E221" s="71">
        <v>26390</v>
      </c>
      <c r="F221" s="72">
        <v>4.17</v>
      </c>
    </row>
    <row r="222" spans="1:6" x14ac:dyDescent="0.2">
      <c r="A222" s="71">
        <v>40012</v>
      </c>
      <c r="B222" s="72">
        <v>0.25</v>
      </c>
      <c r="C222" s="71">
        <v>40012</v>
      </c>
      <c r="D222" s="72">
        <v>0</v>
      </c>
      <c r="E222" s="71">
        <v>26420</v>
      </c>
      <c r="F222" s="72">
        <v>4.2699999999999996</v>
      </c>
    </row>
    <row r="223" spans="1:6" x14ac:dyDescent="0.2">
      <c r="A223" s="71">
        <v>40013</v>
      </c>
      <c r="B223" s="72">
        <v>0.25</v>
      </c>
      <c r="C223" s="71">
        <v>40013</v>
      </c>
      <c r="D223" s="72">
        <v>0</v>
      </c>
      <c r="E223" s="71">
        <v>26451</v>
      </c>
      <c r="F223" s="72">
        <v>4.46</v>
      </c>
    </row>
    <row r="224" spans="1:6" x14ac:dyDescent="0.2">
      <c r="A224" s="71">
        <v>40014</v>
      </c>
      <c r="B224" s="72">
        <v>0.25</v>
      </c>
      <c r="C224" s="71">
        <v>40014</v>
      </c>
      <c r="D224" s="72">
        <v>0</v>
      </c>
      <c r="E224" s="71">
        <v>26481</v>
      </c>
      <c r="F224" s="72">
        <v>4.55</v>
      </c>
    </row>
    <row r="225" spans="1:6" x14ac:dyDescent="0.2">
      <c r="A225" s="71">
        <v>40015</v>
      </c>
      <c r="B225" s="72">
        <v>0.25</v>
      </c>
      <c r="C225" s="71">
        <v>40015</v>
      </c>
      <c r="D225" s="72">
        <v>0</v>
      </c>
      <c r="E225" s="71">
        <v>26512</v>
      </c>
      <c r="F225" s="72">
        <v>4.8</v>
      </c>
    </row>
    <row r="226" spans="1:6" x14ac:dyDescent="0.2">
      <c r="A226" s="71">
        <v>40016</v>
      </c>
      <c r="B226" s="72">
        <v>0.25</v>
      </c>
      <c r="C226" s="71">
        <v>40016</v>
      </c>
      <c r="D226" s="72">
        <v>0</v>
      </c>
      <c r="E226" s="71">
        <v>26543</v>
      </c>
      <c r="F226" s="72">
        <v>4.87</v>
      </c>
    </row>
    <row r="227" spans="1:6" x14ac:dyDescent="0.2">
      <c r="A227" s="71">
        <v>40017</v>
      </c>
      <c r="B227" s="72">
        <v>0.25</v>
      </c>
      <c r="C227" s="71">
        <v>40017</v>
      </c>
      <c r="D227" s="72">
        <v>0</v>
      </c>
      <c r="E227" s="71">
        <v>26573</v>
      </c>
      <c r="F227" s="72">
        <v>5.04</v>
      </c>
    </row>
    <row r="228" spans="1:6" x14ac:dyDescent="0.2">
      <c r="A228" s="71">
        <v>40018</v>
      </c>
      <c r="B228" s="72">
        <v>0.25</v>
      </c>
      <c r="C228" s="71">
        <v>40018</v>
      </c>
      <c r="D228" s="72">
        <v>0</v>
      </c>
      <c r="E228" s="71">
        <v>26604</v>
      </c>
      <c r="F228" s="72">
        <v>5.0599999999999996</v>
      </c>
    </row>
    <row r="229" spans="1:6" x14ac:dyDescent="0.2">
      <c r="A229" s="71">
        <v>40019</v>
      </c>
      <c r="B229" s="72">
        <v>0.25</v>
      </c>
      <c r="C229" s="71">
        <v>40019</v>
      </c>
      <c r="D229" s="72">
        <v>0</v>
      </c>
      <c r="E229" s="71">
        <v>26634</v>
      </c>
      <c r="F229" s="72">
        <v>5.33</v>
      </c>
    </row>
    <row r="230" spans="1:6" x14ac:dyDescent="0.2">
      <c r="A230" s="71">
        <v>40020</v>
      </c>
      <c r="B230" s="72">
        <v>0.25</v>
      </c>
      <c r="C230" s="71">
        <v>40020</v>
      </c>
      <c r="D230" s="72">
        <v>0</v>
      </c>
      <c r="E230" s="71">
        <v>26665</v>
      </c>
      <c r="F230" s="72">
        <v>5.94</v>
      </c>
    </row>
    <row r="231" spans="1:6" x14ac:dyDescent="0.2">
      <c r="A231" s="71">
        <v>40021</v>
      </c>
      <c r="B231" s="72">
        <v>0.25</v>
      </c>
      <c r="C231" s="71">
        <v>40021</v>
      </c>
      <c r="D231" s="72">
        <v>0</v>
      </c>
      <c r="E231" s="71">
        <v>26696</v>
      </c>
      <c r="F231" s="72">
        <v>6.58</v>
      </c>
    </row>
    <row r="232" spans="1:6" x14ac:dyDescent="0.2">
      <c r="A232" s="71">
        <v>40022</v>
      </c>
      <c r="B232" s="72">
        <v>0.25</v>
      </c>
      <c r="C232" s="71">
        <v>40022</v>
      </c>
      <c r="D232" s="72">
        <v>0</v>
      </c>
      <c r="E232" s="71">
        <v>26724</v>
      </c>
      <c r="F232" s="72">
        <v>7.09</v>
      </c>
    </row>
    <row r="233" spans="1:6" x14ac:dyDescent="0.2">
      <c r="A233" s="71">
        <v>40023</v>
      </c>
      <c r="B233" s="72">
        <v>0.25</v>
      </c>
      <c r="C233" s="71">
        <v>40023</v>
      </c>
      <c r="D233" s="72">
        <v>0</v>
      </c>
      <c r="E233" s="71">
        <v>26755</v>
      </c>
      <c r="F233" s="72">
        <v>7.12</v>
      </c>
    </row>
    <row r="234" spans="1:6" x14ac:dyDescent="0.2">
      <c r="A234" s="71">
        <v>40024</v>
      </c>
      <c r="B234" s="72">
        <v>0.25</v>
      </c>
      <c r="C234" s="71">
        <v>40024</v>
      </c>
      <c r="D234" s="72">
        <v>0</v>
      </c>
      <c r="E234" s="71">
        <v>26785</v>
      </c>
      <c r="F234" s="72">
        <v>7.84</v>
      </c>
    </row>
    <row r="235" spans="1:6" x14ac:dyDescent="0.2">
      <c r="A235" s="71">
        <v>40025</v>
      </c>
      <c r="B235" s="72">
        <v>0.25</v>
      </c>
      <c r="C235" s="71">
        <v>40025</v>
      </c>
      <c r="D235" s="72">
        <v>0</v>
      </c>
      <c r="E235" s="71">
        <v>26816</v>
      </c>
      <c r="F235" s="72">
        <v>8.49</v>
      </c>
    </row>
    <row r="236" spans="1:6" x14ac:dyDescent="0.2">
      <c r="A236" s="71">
        <v>40026</v>
      </c>
      <c r="B236" s="72">
        <v>0.25</v>
      </c>
      <c r="C236" s="71">
        <v>40026</v>
      </c>
      <c r="D236" s="72">
        <v>0</v>
      </c>
      <c r="E236" s="71">
        <v>26846</v>
      </c>
      <c r="F236" s="72">
        <v>10.4</v>
      </c>
    </row>
    <row r="237" spans="1:6" x14ac:dyDescent="0.2">
      <c r="A237" s="71">
        <v>40027</v>
      </c>
      <c r="B237" s="72">
        <v>0.25</v>
      </c>
      <c r="C237" s="71">
        <v>40027</v>
      </c>
      <c r="D237" s="72">
        <v>0</v>
      </c>
      <c r="E237" s="71">
        <v>26877</v>
      </c>
      <c r="F237" s="72">
        <v>10.5</v>
      </c>
    </row>
    <row r="238" spans="1:6" x14ac:dyDescent="0.2">
      <c r="A238" s="71">
        <v>40028</v>
      </c>
      <c r="B238" s="72">
        <v>0.25</v>
      </c>
      <c r="C238" s="71">
        <v>40028</v>
      </c>
      <c r="D238" s="72">
        <v>0</v>
      </c>
      <c r="E238" s="71">
        <v>26908</v>
      </c>
      <c r="F238" s="72">
        <v>10.78</v>
      </c>
    </row>
    <row r="239" spans="1:6" x14ac:dyDescent="0.2">
      <c r="A239" s="71">
        <v>40029</v>
      </c>
      <c r="B239" s="72">
        <v>0.25</v>
      </c>
      <c r="C239" s="71">
        <v>40029</v>
      </c>
      <c r="D239" s="72">
        <v>0</v>
      </c>
      <c r="E239" s="71">
        <v>26938</v>
      </c>
      <c r="F239" s="72">
        <v>10.01</v>
      </c>
    </row>
    <row r="240" spans="1:6" x14ac:dyDescent="0.2">
      <c r="A240" s="71">
        <v>40030</v>
      </c>
      <c r="B240" s="72">
        <v>0.25</v>
      </c>
      <c r="C240" s="71">
        <v>40030</v>
      </c>
      <c r="D240" s="72">
        <v>0</v>
      </c>
      <c r="E240" s="71">
        <v>26969</v>
      </c>
      <c r="F240" s="72">
        <v>10.029999999999999</v>
      </c>
    </row>
    <row r="241" spans="1:6" x14ac:dyDescent="0.2">
      <c r="A241" s="71">
        <v>40031</v>
      </c>
      <c r="B241" s="72">
        <v>0.25</v>
      </c>
      <c r="C241" s="71">
        <v>40031</v>
      </c>
      <c r="D241" s="72">
        <v>0</v>
      </c>
      <c r="E241" s="71">
        <v>26999</v>
      </c>
      <c r="F241" s="72">
        <v>9.9499999999999993</v>
      </c>
    </row>
    <row r="242" spans="1:6" x14ac:dyDescent="0.2">
      <c r="A242" s="71">
        <v>40032</v>
      </c>
      <c r="B242" s="72">
        <v>0.25</v>
      </c>
      <c r="C242" s="71">
        <v>40032</v>
      </c>
      <c r="D242" s="72">
        <v>0</v>
      </c>
      <c r="E242" s="71">
        <v>27030</v>
      </c>
      <c r="F242" s="72">
        <v>9.65</v>
      </c>
    </row>
    <row r="243" spans="1:6" x14ac:dyDescent="0.2">
      <c r="A243" s="71">
        <v>40033</v>
      </c>
      <c r="B243" s="72">
        <v>0.25</v>
      </c>
      <c r="C243" s="71">
        <v>40033</v>
      </c>
      <c r="D243" s="72">
        <v>0</v>
      </c>
      <c r="E243" s="71">
        <v>27061</v>
      </c>
      <c r="F243" s="72">
        <v>8.9700000000000006</v>
      </c>
    </row>
    <row r="244" spans="1:6" x14ac:dyDescent="0.2">
      <c r="A244" s="71">
        <v>40034</v>
      </c>
      <c r="B244" s="72">
        <v>0.25</v>
      </c>
      <c r="C244" s="71">
        <v>40034</v>
      </c>
      <c r="D244" s="72">
        <v>0</v>
      </c>
      <c r="E244" s="71">
        <v>27089</v>
      </c>
      <c r="F244" s="72">
        <v>9.35</v>
      </c>
    </row>
    <row r="245" spans="1:6" x14ac:dyDescent="0.2">
      <c r="A245" s="71">
        <v>40035</v>
      </c>
      <c r="B245" s="72">
        <v>0.25</v>
      </c>
      <c r="C245" s="71">
        <v>40035</v>
      </c>
      <c r="D245" s="72">
        <v>0</v>
      </c>
      <c r="E245" s="71">
        <v>27120</v>
      </c>
      <c r="F245" s="72">
        <v>10.51</v>
      </c>
    </row>
    <row r="246" spans="1:6" x14ac:dyDescent="0.2">
      <c r="A246" s="71">
        <v>40036</v>
      </c>
      <c r="B246" s="72">
        <v>0.25</v>
      </c>
      <c r="C246" s="71">
        <v>40036</v>
      </c>
      <c r="D246" s="72">
        <v>0</v>
      </c>
      <c r="E246" s="71">
        <v>27150</v>
      </c>
      <c r="F246" s="72">
        <v>11.31</v>
      </c>
    </row>
    <row r="247" spans="1:6" x14ac:dyDescent="0.2">
      <c r="A247" s="71">
        <v>40037</v>
      </c>
      <c r="B247" s="72">
        <v>0.25</v>
      </c>
      <c r="C247" s="71">
        <v>40037</v>
      </c>
      <c r="D247" s="72">
        <v>0</v>
      </c>
      <c r="E247" s="71">
        <v>27181</v>
      </c>
      <c r="F247" s="72">
        <v>11.93</v>
      </c>
    </row>
    <row r="248" spans="1:6" x14ac:dyDescent="0.2">
      <c r="A248" s="71">
        <v>40038</v>
      </c>
      <c r="B248" s="72">
        <v>0.25</v>
      </c>
      <c r="C248" s="71">
        <v>40038</v>
      </c>
      <c r="D248" s="72">
        <v>0</v>
      </c>
      <c r="E248" s="71">
        <v>27211</v>
      </c>
      <c r="F248" s="72">
        <v>12.92</v>
      </c>
    </row>
    <row r="249" spans="1:6" x14ac:dyDescent="0.2">
      <c r="A249" s="71">
        <v>40039</v>
      </c>
      <c r="B249" s="72">
        <v>0.25</v>
      </c>
      <c r="C249" s="71">
        <v>40039</v>
      </c>
      <c r="D249" s="72">
        <v>0</v>
      </c>
      <c r="E249" s="71">
        <v>27242</v>
      </c>
      <c r="F249" s="72">
        <v>12.01</v>
      </c>
    </row>
    <row r="250" spans="1:6" x14ac:dyDescent="0.2">
      <c r="A250" s="71">
        <v>40040</v>
      </c>
      <c r="B250" s="72">
        <v>0.25</v>
      </c>
      <c r="C250" s="71">
        <v>40040</v>
      </c>
      <c r="D250" s="72">
        <v>0</v>
      </c>
      <c r="E250" s="71">
        <v>27273</v>
      </c>
      <c r="F250" s="72">
        <v>11.34</v>
      </c>
    </row>
    <row r="251" spans="1:6" x14ac:dyDescent="0.2">
      <c r="A251" s="71">
        <v>40041</v>
      </c>
      <c r="B251" s="72">
        <v>0.25</v>
      </c>
      <c r="C251" s="71">
        <v>40041</v>
      </c>
      <c r="D251" s="72">
        <v>0</v>
      </c>
      <c r="E251" s="71">
        <v>27303</v>
      </c>
      <c r="F251" s="72">
        <v>10.06</v>
      </c>
    </row>
    <row r="252" spans="1:6" x14ac:dyDescent="0.2">
      <c r="A252" s="71">
        <v>40042</v>
      </c>
      <c r="B252" s="72">
        <v>0.25</v>
      </c>
      <c r="C252" s="71">
        <v>40042</v>
      </c>
      <c r="D252" s="72">
        <v>0</v>
      </c>
      <c r="E252" s="71">
        <v>27334</v>
      </c>
      <c r="F252" s="72">
        <v>9.4499999999999993</v>
      </c>
    </row>
    <row r="253" spans="1:6" x14ac:dyDescent="0.2">
      <c r="A253" s="71">
        <v>40043</v>
      </c>
      <c r="B253" s="72">
        <v>0.25</v>
      </c>
      <c r="C253" s="71">
        <v>40043</v>
      </c>
      <c r="D253" s="72">
        <v>0</v>
      </c>
      <c r="E253" s="71">
        <v>27364</v>
      </c>
      <c r="F253" s="72">
        <v>8.5299999999999994</v>
      </c>
    </row>
    <row r="254" spans="1:6" x14ac:dyDescent="0.2">
      <c r="A254" s="71">
        <v>40044</v>
      </c>
      <c r="B254" s="72">
        <v>0.25</v>
      </c>
      <c r="C254" s="71">
        <v>40044</v>
      </c>
      <c r="D254" s="72">
        <v>0</v>
      </c>
      <c r="E254" s="71">
        <v>27395</v>
      </c>
      <c r="F254" s="72">
        <v>7.13</v>
      </c>
    </row>
    <row r="255" spans="1:6" x14ac:dyDescent="0.2">
      <c r="A255" s="71">
        <v>40045</v>
      </c>
      <c r="B255" s="72">
        <v>0.25</v>
      </c>
      <c r="C255" s="71">
        <v>40045</v>
      </c>
      <c r="D255" s="72">
        <v>0</v>
      </c>
      <c r="E255" s="71">
        <v>27426</v>
      </c>
      <c r="F255" s="72">
        <v>6.24</v>
      </c>
    </row>
    <row r="256" spans="1:6" x14ac:dyDescent="0.2">
      <c r="A256" s="71">
        <v>40046</v>
      </c>
      <c r="B256" s="72">
        <v>0.25</v>
      </c>
      <c r="C256" s="71">
        <v>40046</v>
      </c>
      <c r="D256" s="72">
        <v>0</v>
      </c>
      <c r="E256" s="71">
        <v>27454</v>
      </c>
      <c r="F256" s="72">
        <v>5.54</v>
      </c>
    </row>
    <row r="257" spans="1:6" x14ac:dyDescent="0.2">
      <c r="A257" s="71">
        <v>40047</v>
      </c>
      <c r="B257" s="72">
        <v>0.25</v>
      </c>
      <c r="C257" s="71">
        <v>40047</v>
      </c>
      <c r="D257" s="72">
        <v>0</v>
      </c>
      <c r="E257" s="71">
        <v>27485</v>
      </c>
      <c r="F257" s="72">
        <v>5.49</v>
      </c>
    </row>
    <row r="258" spans="1:6" x14ac:dyDescent="0.2">
      <c r="A258" s="71">
        <v>40048</v>
      </c>
      <c r="B258" s="72">
        <v>0.25</v>
      </c>
      <c r="C258" s="71">
        <v>40048</v>
      </c>
      <c r="D258" s="72">
        <v>0</v>
      </c>
      <c r="E258" s="71">
        <v>27515</v>
      </c>
      <c r="F258" s="72">
        <v>5.22</v>
      </c>
    </row>
    <row r="259" spans="1:6" x14ac:dyDescent="0.2">
      <c r="A259" s="71">
        <v>40049</v>
      </c>
      <c r="B259" s="72">
        <v>0.25</v>
      </c>
      <c r="C259" s="71">
        <v>40049</v>
      </c>
      <c r="D259" s="72">
        <v>0</v>
      </c>
      <c r="E259" s="71">
        <v>27546</v>
      </c>
      <c r="F259" s="72">
        <v>5.55</v>
      </c>
    </row>
    <row r="260" spans="1:6" x14ac:dyDescent="0.2">
      <c r="A260" s="71">
        <v>40050</v>
      </c>
      <c r="B260" s="72">
        <v>0.25</v>
      </c>
      <c r="C260" s="71">
        <v>40050</v>
      </c>
      <c r="D260" s="72">
        <v>0</v>
      </c>
      <c r="E260" s="71">
        <v>27576</v>
      </c>
      <c r="F260" s="72">
        <v>6.1</v>
      </c>
    </row>
    <row r="261" spans="1:6" x14ac:dyDescent="0.2">
      <c r="A261" s="71">
        <v>40051</v>
      </c>
      <c r="B261" s="72">
        <v>0.25</v>
      </c>
      <c r="C261" s="71">
        <v>40051</v>
      </c>
      <c r="D261" s="72">
        <v>0</v>
      </c>
      <c r="E261" s="71">
        <v>27607</v>
      </c>
      <c r="F261" s="72">
        <v>6.14</v>
      </c>
    </row>
    <row r="262" spans="1:6" x14ac:dyDescent="0.2">
      <c r="A262" s="71">
        <v>40052</v>
      </c>
      <c r="B262" s="72">
        <v>0.25</v>
      </c>
      <c r="C262" s="71">
        <v>40052</v>
      </c>
      <c r="D262" s="72">
        <v>0</v>
      </c>
      <c r="E262" s="71">
        <v>27638</v>
      </c>
      <c r="F262" s="72">
        <v>6.24</v>
      </c>
    </row>
    <row r="263" spans="1:6" x14ac:dyDescent="0.2">
      <c r="A263" s="71">
        <v>40053</v>
      </c>
      <c r="B263" s="72">
        <v>0.25</v>
      </c>
      <c r="C263" s="71">
        <v>40053</v>
      </c>
      <c r="D263" s="72">
        <v>0</v>
      </c>
      <c r="E263" s="71">
        <v>27668</v>
      </c>
      <c r="F263" s="72">
        <v>5.82</v>
      </c>
    </row>
    <row r="264" spans="1:6" x14ac:dyDescent="0.2">
      <c r="A264" s="71">
        <v>40054</v>
      </c>
      <c r="B264" s="72">
        <v>0.25</v>
      </c>
      <c r="C264" s="71">
        <v>40054</v>
      </c>
      <c r="D264" s="72">
        <v>0</v>
      </c>
      <c r="E264" s="71">
        <v>27699</v>
      </c>
      <c r="F264" s="72">
        <v>5.22</v>
      </c>
    </row>
    <row r="265" spans="1:6" x14ac:dyDescent="0.2">
      <c r="A265" s="71">
        <v>40055</v>
      </c>
      <c r="B265" s="72">
        <v>0.25</v>
      </c>
      <c r="C265" s="71">
        <v>40055</v>
      </c>
      <c r="D265" s="72">
        <v>0</v>
      </c>
      <c r="E265" s="71">
        <v>27729</v>
      </c>
      <c r="F265" s="72">
        <v>5.2</v>
      </c>
    </row>
    <row r="266" spans="1:6" x14ac:dyDescent="0.2">
      <c r="A266" s="71">
        <v>40056</v>
      </c>
      <c r="B266" s="72">
        <v>0.25</v>
      </c>
      <c r="C266" s="71">
        <v>40056</v>
      </c>
      <c r="D266" s="72">
        <v>0</v>
      </c>
      <c r="E266" s="71">
        <v>27760</v>
      </c>
      <c r="F266" s="72">
        <v>4.87</v>
      </c>
    </row>
    <row r="267" spans="1:6" x14ac:dyDescent="0.2">
      <c r="A267" s="71">
        <v>40057</v>
      </c>
      <c r="B267" s="72">
        <v>0.25</v>
      </c>
      <c r="C267" s="71">
        <v>40057</v>
      </c>
      <c r="D267" s="72">
        <v>0</v>
      </c>
      <c r="E267" s="71">
        <v>27791</v>
      </c>
      <c r="F267" s="72">
        <v>4.7699999999999996</v>
      </c>
    </row>
    <row r="268" spans="1:6" x14ac:dyDescent="0.2">
      <c r="A268" s="71">
        <v>40058</v>
      </c>
      <c r="B268" s="72">
        <v>0.25</v>
      </c>
      <c r="C268" s="71">
        <v>40058</v>
      </c>
      <c r="D268" s="72">
        <v>0</v>
      </c>
      <c r="E268" s="71">
        <v>27820</v>
      </c>
      <c r="F268" s="72">
        <v>4.84</v>
      </c>
    </row>
    <row r="269" spans="1:6" x14ac:dyDescent="0.2">
      <c r="A269" s="71">
        <v>40059</v>
      </c>
      <c r="B269" s="72">
        <v>0.25</v>
      </c>
      <c r="C269" s="71">
        <v>40059</v>
      </c>
      <c r="D269" s="72">
        <v>0</v>
      </c>
      <c r="E269" s="71">
        <v>27851</v>
      </c>
      <c r="F269" s="72">
        <v>4.82</v>
      </c>
    </row>
    <row r="270" spans="1:6" x14ac:dyDescent="0.2">
      <c r="A270" s="71">
        <v>40060</v>
      </c>
      <c r="B270" s="72">
        <v>0.25</v>
      </c>
      <c r="C270" s="71">
        <v>40060</v>
      </c>
      <c r="D270" s="72">
        <v>0</v>
      </c>
      <c r="E270" s="71">
        <v>27881</v>
      </c>
      <c r="F270" s="72">
        <v>5.29</v>
      </c>
    </row>
    <row r="271" spans="1:6" x14ac:dyDescent="0.2">
      <c r="A271" s="71">
        <v>40061</v>
      </c>
      <c r="B271" s="72">
        <v>0.25</v>
      </c>
      <c r="C271" s="71">
        <v>40061</v>
      </c>
      <c r="D271" s="72">
        <v>0</v>
      </c>
      <c r="E271" s="71">
        <v>27912</v>
      </c>
      <c r="F271" s="72">
        <v>5.48</v>
      </c>
    </row>
    <row r="272" spans="1:6" x14ac:dyDescent="0.2">
      <c r="A272" s="71">
        <v>40062</v>
      </c>
      <c r="B272" s="72">
        <v>0.25</v>
      </c>
      <c r="C272" s="71">
        <v>40062</v>
      </c>
      <c r="D272" s="72">
        <v>0</v>
      </c>
      <c r="E272" s="71">
        <v>27942</v>
      </c>
      <c r="F272" s="72">
        <v>5.31</v>
      </c>
    </row>
    <row r="273" spans="1:6" x14ac:dyDescent="0.2">
      <c r="A273" s="71">
        <v>40063</v>
      </c>
      <c r="B273" s="72">
        <v>0.25</v>
      </c>
      <c r="C273" s="71">
        <v>40063</v>
      </c>
      <c r="D273" s="72">
        <v>0</v>
      </c>
      <c r="E273" s="71">
        <v>27973</v>
      </c>
      <c r="F273" s="72">
        <v>5.29</v>
      </c>
    </row>
    <row r="274" spans="1:6" x14ac:dyDescent="0.2">
      <c r="A274" s="71">
        <v>40064</v>
      </c>
      <c r="B274" s="72">
        <v>0.25</v>
      </c>
      <c r="C274" s="71">
        <v>40064</v>
      </c>
      <c r="D274" s="72">
        <v>0</v>
      </c>
      <c r="E274" s="71">
        <v>28004</v>
      </c>
      <c r="F274" s="72">
        <v>5.25</v>
      </c>
    </row>
    <row r="275" spans="1:6" x14ac:dyDescent="0.2">
      <c r="A275" s="71">
        <v>40065</v>
      </c>
      <c r="B275" s="72">
        <v>0.25</v>
      </c>
      <c r="C275" s="71">
        <v>40065</v>
      </c>
      <c r="D275" s="72">
        <v>0</v>
      </c>
      <c r="E275" s="71">
        <v>28034</v>
      </c>
      <c r="F275" s="72">
        <v>5.0199999999999996</v>
      </c>
    </row>
    <row r="276" spans="1:6" x14ac:dyDescent="0.2">
      <c r="A276" s="71">
        <v>40066</v>
      </c>
      <c r="B276" s="72">
        <v>0.25</v>
      </c>
      <c r="C276" s="71">
        <v>40066</v>
      </c>
      <c r="D276" s="72">
        <v>0</v>
      </c>
      <c r="E276" s="71">
        <v>28065</v>
      </c>
      <c r="F276" s="72">
        <v>4.95</v>
      </c>
    </row>
    <row r="277" spans="1:6" x14ac:dyDescent="0.2">
      <c r="A277" s="71">
        <v>40067</v>
      </c>
      <c r="B277" s="72">
        <v>0.25</v>
      </c>
      <c r="C277" s="71">
        <v>40067</v>
      </c>
      <c r="D277" s="72">
        <v>0</v>
      </c>
      <c r="E277" s="71">
        <v>28095</v>
      </c>
      <c r="F277" s="72">
        <v>4.6500000000000004</v>
      </c>
    </row>
    <row r="278" spans="1:6" x14ac:dyDescent="0.2">
      <c r="A278" s="71">
        <v>40068</v>
      </c>
      <c r="B278" s="72">
        <v>0.25</v>
      </c>
      <c r="C278" s="71">
        <v>40068</v>
      </c>
      <c r="D278" s="72">
        <v>0</v>
      </c>
      <c r="E278" s="71">
        <v>28126</v>
      </c>
      <c r="F278" s="72">
        <v>4.6100000000000003</v>
      </c>
    </row>
    <row r="279" spans="1:6" x14ac:dyDescent="0.2">
      <c r="A279" s="71">
        <v>40069</v>
      </c>
      <c r="B279" s="72">
        <v>0.25</v>
      </c>
      <c r="C279" s="71">
        <v>40069</v>
      </c>
      <c r="D279" s="72">
        <v>0</v>
      </c>
      <c r="E279" s="71">
        <v>28157</v>
      </c>
      <c r="F279" s="72">
        <v>4.68</v>
      </c>
    </row>
    <row r="280" spans="1:6" x14ac:dyDescent="0.2">
      <c r="A280" s="71">
        <v>40070</v>
      </c>
      <c r="B280" s="72">
        <v>0.25</v>
      </c>
      <c r="C280" s="71">
        <v>40070</v>
      </c>
      <c r="D280" s="72">
        <v>0</v>
      </c>
      <c r="E280" s="71">
        <v>28185</v>
      </c>
      <c r="F280" s="72">
        <v>4.6900000000000004</v>
      </c>
    </row>
    <row r="281" spans="1:6" x14ac:dyDescent="0.2">
      <c r="A281" s="71">
        <v>40071</v>
      </c>
      <c r="B281" s="72">
        <v>0.25</v>
      </c>
      <c r="C281" s="71">
        <v>40071</v>
      </c>
      <c r="D281" s="72">
        <v>0</v>
      </c>
      <c r="E281" s="71">
        <v>28216</v>
      </c>
      <c r="F281" s="72">
        <v>4.7300000000000004</v>
      </c>
    </row>
    <row r="282" spans="1:6" x14ac:dyDescent="0.2">
      <c r="A282" s="71">
        <v>40072</v>
      </c>
      <c r="B282" s="72">
        <v>0.25</v>
      </c>
      <c r="C282" s="71">
        <v>40072</v>
      </c>
      <c r="D282" s="72">
        <v>0</v>
      </c>
      <c r="E282" s="71">
        <v>28246</v>
      </c>
      <c r="F282" s="72">
        <v>5.35</v>
      </c>
    </row>
    <row r="283" spans="1:6" x14ac:dyDescent="0.2">
      <c r="A283" s="71">
        <v>40073</v>
      </c>
      <c r="B283" s="72">
        <v>0.25</v>
      </c>
      <c r="C283" s="71">
        <v>40073</v>
      </c>
      <c r="D283" s="72">
        <v>0</v>
      </c>
      <c r="E283" s="71">
        <v>28277</v>
      </c>
      <c r="F283" s="72">
        <v>5.39</v>
      </c>
    </row>
    <row r="284" spans="1:6" x14ac:dyDescent="0.2">
      <c r="A284" s="71">
        <v>40074</v>
      </c>
      <c r="B284" s="72">
        <v>0.25</v>
      </c>
      <c r="C284" s="71">
        <v>40074</v>
      </c>
      <c r="D284" s="72">
        <v>0</v>
      </c>
      <c r="E284" s="71">
        <v>28307</v>
      </c>
      <c r="F284" s="72">
        <v>5.42</v>
      </c>
    </row>
    <row r="285" spans="1:6" x14ac:dyDescent="0.2">
      <c r="A285" s="71">
        <v>40075</v>
      </c>
      <c r="B285" s="72">
        <v>0.25</v>
      </c>
      <c r="C285" s="71">
        <v>40075</v>
      </c>
      <c r="D285" s="72">
        <v>0</v>
      </c>
      <c r="E285" s="71">
        <v>28338</v>
      </c>
      <c r="F285" s="72">
        <v>5.9</v>
      </c>
    </row>
    <row r="286" spans="1:6" x14ac:dyDescent="0.2">
      <c r="A286" s="71">
        <v>40076</v>
      </c>
      <c r="B286" s="72">
        <v>0.25</v>
      </c>
      <c r="C286" s="71">
        <v>40076</v>
      </c>
      <c r="D286" s="72">
        <v>0</v>
      </c>
      <c r="E286" s="71">
        <v>28369</v>
      </c>
      <c r="F286" s="72">
        <v>6.14</v>
      </c>
    </row>
    <row r="287" spans="1:6" x14ac:dyDescent="0.2">
      <c r="A287" s="71">
        <v>40077</v>
      </c>
      <c r="B287" s="72">
        <v>0.25</v>
      </c>
      <c r="C287" s="71">
        <v>40077</v>
      </c>
      <c r="D287" s="72">
        <v>0</v>
      </c>
      <c r="E287" s="71">
        <v>28399</v>
      </c>
      <c r="F287" s="72">
        <v>6.47</v>
      </c>
    </row>
    <row r="288" spans="1:6" x14ac:dyDescent="0.2">
      <c r="A288" s="71">
        <v>40078</v>
      </c>
      <c r="B288" s="72">
        <v>0.25</v>
      </c>
      <c r="C288" s="71">
        <v>40078</v>
      </c>
      <c r="D288" s="72">
        <v>0</v>
      </c>
      <c r="E288" s="71">
        <v>28430</v>
      </c>
      <c r="F288" s="72">
        <v>6.51</v>
      </c>
    </row>
    <row r="289" spans="1:6" x14ac:dyDescent="0.2">
      <c r="A289" s="71">
        <v>40079</v>
      </c>
      <c r="B289" s="72">
        <v>0.25</v>
      </c>
      <c r="C289" s="71">
        <v>40079</v>
      </c>
      <c r="D289" s="72">
        <v>0</v>
      </c>
      <c r="E289" s="71">
        <v>28460</v>
      </c>
      <c r="F289" s="72">
        <v>6.56</v>
      </c>
    </row>
    <row r="290" spans="1:6" x14ac:dyDescent="0.2">
      <c r="A290" s="71">
        <v>40080</v>
      </c>
      <c r="B290" s="72">
        <v>0.25</v>
      </c>
      <c r="C290" s="71">
        <v>40080</v>
      </c>
      <c r="D290" s="72">
        <v>0</v>
      </c>
      <c r="E290" s="71">
        <v>28491</v>
      </c>
      <c r="F290" s="72">
        <v>6.7</v>
      </c>
    </row>
    <row r="291" spans="1:6" x14ac:dyDescent="0.2">
      <c r="A291" s="71">
        <v>40081</v>
      </c>
      <c r="B291" s="72">
        <v>0.25</v>
      </c>
      <c r="C291" s="71">
        <v>40081</v>
      </c>
      <c r="D291" s="72">
        <v>0</v>
      </c>
      <c r="E291" s="71">
        <v>28522</v>
      </c>
      <c r="F291" s="72">
        <v>6.78</v>
      </c>
    </row>
    <row r="292" spans="1:6" x14ac:dyDescent="0.2">
      <c r="A292" s="71">
        <v>40082</v>
      </c>
      <c r="B292" s="72">
        <v>0.25</v>
      </c>
      <c r="C292" s="71">
        <v>40082</v>
      </c>
      <c r="D292" s="72">
        <v>0</v>
      </c>
      <c r="E292" s="71">
        <v>28550</v>
      </c>
      <c r="F292" s="72">
        <v>6.79</v>
      </c>
    </row>
    <row r="293" spans="1:6" x14ac:dyDescent="0.2">
      <c r="A293" s="71">
        <v>40083</v>
      </c>
      <c r="B293" s="72">
        <v>0.25</v>
      </c>
      <c r="C293" s="71">
        <v>40083</v>
      </c>
      <c r="D293" s="72">
        <v>0</v>
      </c>
      <c r="E293" s="71">
        <v>28581</v>
      </c>
      <c r="F293" s="72">
        <v>6.89</v>
      </c>
    </row>
    <row r="294" spans="1:6" x14ac:dyDescent="0.2">
      <c r="A294" s="71">
        <v>40084</v>
      </c>
      <c r="B294" s="72">
        <v>0.25</v>
      </c>
      <c r="C294" s="71">
        <v>40084</v>
      </c>
      <c r="D294" s="72">
        <v>0</v>
      </c>
      <c r="E294" s="71">
        <v>28611</v>
      </c>
      <c r="F294" s="72">
        <v>7.36</v>
      </c>
    </row>
    <row r="295" spans="1:6" x14ac:dyDescent="0.2">
      <c r="A295" s="71">
        <v>40085</v>
      </c>
      <c r="B295" s="72">
        <v>0.25</v>
      </c>
      <c r="C295" s="71">
        <v>40085</v>
      </c>
      <c r="D295" s="72">
        <v>0</v>
      </c>
      <c r="E295" s="71">
        <v>28642</v>
      </c>
      <c r="F295" s="72">
        <v>7.6</v>
      </c>
    </row>
    <row r="296" spans="1:6" x14ac:dyDescent="0.2">
      <c r="A296" s="71">
        <v>40086</v>
      </c>
      <c r="B296" s="72">
        <v>0.25</v>
      </c>
      <c r="C296" s="71">
        <v>40086</v>
      </c>
      <c r="D296" s="72">
        <v>0</v>
      </c>
      <c r="E296" s="71">
        <v>28672</v>
      </c>
      <c r="F296" s="72">
        <v>7.81</v>
      </c>
    </row>
    <row r="297" spans="1:6" x14ac:dyDescent="0.2">
      <c r="A297" s="71">
        <v>40087</v>
      </c>
      <c r="B297" s="72">
        <v>0.25</v>
      </c>
      <c r="C297" s="71">
        <v>40087</v>
      </c>
      <c r="D297" s="72">
        <v>0</v>
      </c>
      <c r="E297" s="71">
        <v>28703</v>
      </c>
      <c r="F297" s="72">
        <v>8.0399999999999991</v>
      </c>
    </row>
    <row r="298" spans="1:6" x14ac:dyDescent="0.2">
      <c r="A298" s="71">
        <v>40088</v>
      </c>
      <c r="B298" s="72">
        <v>0.25</v>
      </c>
      <c r="C298" s="71">
        <v>40088</v>
      </c>
      <c r="D298" s="72">
        <v>0</v>
      </c>
      <c r="E298" s="71">
        <v>28734</v>
      </c>
      <c r="F298" s="72">
        <v>8.4499999999999993</v>
      </c>
    </row>
    <row r="299" spans="1:6" x14ac:dyDescent="0.2">
      <c r="A299" s="71">
        <v>40089</v>
      </c>
      <c r="B299" s="72">
        <v>0.25</v>
      </c>
      <c r="C299" s="71">
        <v>40089</v>
      </c>
      <c r="D299" s="72">
        <v>0</v>
      </c>
      <c r="E299" s="71">
        <v>28764</v>
      </c>
      <c r="F299" s="72">
        <v>8.9600000000000009</v>
      </c>
    </row>
    <row r="300" spans="1:6" x14ac:dyDescent="0.2">
      <c r="A300" s="71">
        <v>40090</v>
      </c>
      <c r="B300" s="72">
        <v>0.25</v>
      </c>
      <c r="C300" s="71">
        <v>40090</v>
      </c>
      <c r="D300" s="72">
        <v>0</v>
      </c>
      <c r="E300" s="71">
        <v>28795</v>
      </c>
      <c r="F300" s="72">
        <v>9.76</v>
      </c>
    </row>
    <row r="301" spans="1:6" x14ac:dyDescent="0.2">
      <c r="A301" s="71">
        <v>40091</v>
      </c>
      <c r="B301" s="72">
        <v>0.25</v>
      </c>
      <c r="C301" s="71">
        <v>40091</v>
      </c>
      <c r="D301" s="72">
        <v>0</v>
      </c>
      <c r="E301" s="71">
        <v>28825</v>
      </c>
      <c r="F301" s="72">
        <v>10.029999999999999</v>
      </c>
    </row>
    <row r="302" spans="1:6" x14ac:dyDescent="0.2">
      <c r="A302" s="71">
        <v>40092</v>
      </c>
      <c r="B302" s="72">
        <v>0.25</v>
      </c>
      <c r="C302" s="71">
        <v>40092</v>
      </c>
      <c r="D302" s="72">
        <v>0</v>
      </c>
      <c r="E302" s="71">
        <v>28856</v>
      </c>
      <c r="F302" s="72">
        <v>10.07</v>
      </c>
    </row>
    <row r="303" spans="1:6" x14ac:dyDescent="0.2">
      <c r="A303" s="71">
        <v>40093</v>
      </c>
      <c r="B303" s="72">
        <v>0.25</v>
      </c>
      <c r="C303" s="71">
        <v>40093</v>
      </c>
      <c r="D303" s="72">
        <v>0</v>
      </c>
      <c r="E303" s="71">
        <v>28887</v>
      </c>
      <c r="F303" s="72">
        <v>10.06</v>
      </c>
    </row>
    <row r="304" spans="1:6" x14ac:dyDescent="0.2">
      <c r="A304" s="71">
        <v>40094</v>
      </c>
      <c r="B304" s="72">
        <v>0.25</v>
      </c>
      <c r="C304" s="71">
        <v>40094</v>
      </c>
      <c r="D304" s="72">
        <v>0</v>
      </c>
      <c r="E304" s="71">
        <v>28915</v>
      </c>
      <c r="F304" s="72">
        <v>10.09</v>
      </c>
    </row>
    <row r="305" spans="1:6" x14ac:dyDescent="0.2">
      <c r="A305" s="71">
        <v>40095</v>
      </c>
      <c r="B305" s="72">
        <v>0.25</v>
      </c>
      <c r="C305" s="71">
        <v>40095</v>
      </c>
      <c r="D305" s="72">
        <v>0</v>
      </c>
      <c r="E305" s="71">
        <v>28946</v>
      </c>
      <c r="F305" s="72">
        <v>10.01</v>
      </c>
    </row>
    <row r="306" spans="1:6" x14ac:dyDescent="0.2">
      <c r="A306" s="71">
        <v>40096</v>
      </c>
      <c r="B306" s="72">
        <v>0.25</v>
      </c>
      <c r="C306" s="71">
        <v>40096</v>
      </c>
      <c r="D306" s="72">
        <v>0</v>
      </c>
      <c r="E306" s="71">
        <v>28976</v>
      </c>
      <c r="F306" s="72">
        <v>10.24</v>
      </c>
    </row>
    <row r="307" spans="1:6" x14ac:dyDescent="0.2">
      <c r="A307" s="71">
        <v>40097</v>
      </c>
      <c r="B307" s="72">
        <v>0.25</v>
      </c>
      <c r="C307" s="71">
        <v>40097</v>
      </c>
      <c r="D307" s="72">
        <v>0</v>
      </c>
      <c r="E307" s="71">
        <v>29007</v>
      </c>
      <c r="F307" s="72">
        <v>10.29</v>
      </c>
    </row>
    <row r="308" spans="1:6" x14ac:dyDescent="0.2">
      <c r="A308" s="71">
        <v>40098</v>
      </c>
      <c r="B308" s="72">
        <v>0.25</v>
      </c>
      <c r="C308" s="71">
        <v>40098</v>
      </c>
      <c r="D308" s="72">
        <v>0</v>
      </c>
      <c r="E308" s="71">
        <v>29037</v>
      </c>
      <c r="F308" s="72">
        <v>10.47</v>
      </c>
    </row>
    <row r="309" spans="1:6" x14ac:dyDescent="0.2">
      <c r="A309" s="71">
        <v>40099</v>
      </c>
      <c r="B309" s="72">
        <v>0.25</v>
      </c>
      <c r="C309" s="71">
        <v>40099</v>
      </c>
      <c r="D309" s="72">
        <v>0</v>
      </c>
      <c r="E309" s="71">
        <v>29068</v>
      </c>
      <c r="F309" s="72">
        <v>10.94</v>
      </c>
    </row>
    <row r="310" spans="1:6" x14ac:dyDescent="0.2">
      <c r="A310" s="71">
        <v>40100</v>
      </c>
      <c r="B310" s="72">
        <v>0.25</v>
      </c>
      <c r="C310" s="71">
        <v>40100</v>
      </c>
      <c r="D310" s="72">
        <v>0</v>
      </c>
      <c r="E310" s="71">
        <v>29099</v>
      </c>
      <c r="F310" s="72">
        <v>11.43</v>
      </c>
    </row>
    <row r="311" spans="1:6" x14ac:dyDescent="0.2">
      <c r="A311" s="71">
        <v>40101</v>
      </c>
      <c r="B311" s="72">
        <v>0.25</v>
      </c>
      <c r="C311" s="71">
        <v>40101</v>
      </c>
      <c r="D311" s="72">
        <v>0</v>
      </c>
      <c r="E311" s="71">
        <v>29129</v>
      </c>
      <c r="F311" s="72">
        <v>13.77</v>
      </c>
    </row>
    <row r="312" spans="1:6" x14ac:dyDescent="0.2">
      <c r="A312" s="71">
        <v>40102</v>
      </c>
      <c r="B312" s="72">
        <v>0.25</v>
      </c>
      <c r="C312" s="71">
        <v>40102</v>
      </c>
      <c r="D312" s="72">
        <v>0</v>
      </c>
      <c r="E312" s="71">
        <v>29160</v>
      </c>
      <c r="F312" s="72">
        <v>13.18</v>
      </c>
    </row>
    <row r="313" spans="1:6" x14ac:dyDescent="0.2">
      <c r="A313" s="71">
        <v>40103</v>
      </c>
      <c r="B313" s="72">
        <v>0.25</v>
      </c>
      <c r="C313" s="71">
        <v>40103</v>
      </c>
      <c r="D313" s="72">
        <v>0</v>
      </c>
      <c r="E313" s="71">
        <v>29190</v>
      </c>
      <c r="F313" s="72">
        <v>13.78</v>
      </c>
    </row>
    <row r="314" spans="1:6" x14ac:dyDescent="0.2">
      <c r="A314" s="71">
        <v>40104</v>
      </c>
      <c r="B314" s="72">
        <v>0.25</v>
      </c>
      <c r="C314" s="71">
        <v>40104</v>
      </c>
      <c r="D314" s="72">
        <v>0</v>
      </c>
      <c r="E314" s="71">
        <v>29221</v>
      </c>
      <c r="F314" s="72">
        <v>13.82</v>
      </c>
    </row>
    <row r="315" spans="1:6" x14ac:dyDescent="0.2">
      <c r="A315" s="71">
        <v>40105</v>
      </c>
      <c r="B315" s="72">
        <v>0.25</v>
      </c>
      <c r="C315" s="71">
        <v>40105</v>
      </c>
      <c r="D315" s="72">
        <v>0</v>
      </c>
      <c r="E315" s="71">
        <v>29252</v>
      </c>
      <c r="F315" s="72">
        <v>14.13</v>
      </c>
    </row>
    <row r="316" spans="1:6" x14ac:dyDescent="0.2">
      <c r="A316" s="71">
        <v>40106</v>
      </c>
      <c r="B316" s="72">
        <v>0.25</v>
      </c>
      <c r="C316" s="71">
        <v>40106</v>
      </c>
      <c r="D316" s="72">
        <v>0</v>
      </c>
      <c r="E316" s="71">
        <v>29281</v>
      </c>
      <c r="F316" s="72">
        <v>17.190000000000001</v>
      </c>
    </row>
    <row r="317" spans="1:6" x14ac:dyDescent="0.2">
      <c r="A317" s="71">
        <v>40107</v>
      </c>
      <c r="B317" s="72">
        <v>0.25</v>
      </c>
      <c r="C317" s="71">
        <v>40107</v>
      </c>
      <c r="D317" s="72">
        <v>0</v>
      </c>
      <c r="E317" s="71">
        <v>29312</v>
      </c>
      <c r="F317" s="72">
        <v>17.61</v>
      </c>
    </row>
    <row r="318" spans="1:6" x14ac:dyDescent="0.2">
      <c r="A318" s="71">
        <v>40108</v>
      </c>
      <c r="B318" s="72">
        <v>0.25</v>
      </c>
      <c r="C318" s="71">
        <v>40108</v>
      </c>
      <c r="D318" s="72">
        <v>0</v>
      </c>
      <c r="E318" s="71">
        <v>29342</v>
      </c>
      <c r="F318" s="72">
        <v>10.98</v>
      </c>
    </row>
    <row r="319" spans="1:6" x14ac:dyDescent="0.2">
      <c r="A319" s="71">
        <v>40109</v>
      </c>
      <c r="B319" s="72">
        <v>0.25</v>
      </c>
      <c r="C319" s="71">
        <v>40109</v>
      </c>
      <c r="D319" s="72">
        <v>0</v>
      </c>
      <c r="E319" s="71">
        <v>29373</v>
      </c>
      <c r="F319" s="72">
        <v>9.4700000000000006</v>
      </c>
    </row>
    <row r="320" spans="1:6" x14ac:dyDescent="0.2">
      <c r="A320" s="71">
        <v>40110</v>
      </c>
      <c r="B320" s="72">
        <v>0.25</v>
      </c>
      <c r="C320" s="71">
        <v>40110</v>
      </c>
      <c r="D320" s="72">
        <v>0</v>
      </c>
      <c r="E320" s="71">
        <v>29403</v>
      </c>
      <c r="F320" s="72">
        <v>9.0299999999999994</v>
      </c>
    </row>
    <row r="321" spans="1:6" x14ac:dyDescent="0.2">
      <c r="A321" s="71">
        <v>40111</v>
      </c>
      <c r="B321" s="72">
        <v>0.25</v>
      </c>
      <c r="C321" s="71">
        <v>40111</v>
      </c>
      <c r="D321" s="72">
        <v>0</v>
      </c>
      <c r="E321" s="71">
        <v>29434</v>
      </c>
      <c r="F321" s="72">
        <v>9.61</v>
      </c>
    </row>
    <row r="322" spans="1:6" x14ac:dyDescent="0.2">
      <c r="A322" s="71">
        <v>40112</v>
      </c>
      <c r="B322" s="72">
        <v>0.25</v>
      </c>
      <c r="C322" s="71">
        <v>40112</v>
      </c>
      <c r="D322" s="72">
        <v>0</v>
      </c>
      <c r="E322" s="71">
        <v>29465</v>
      </c>
      <c r="F322" s="72">
        <v>10.87</v>
      </c>
    </row>
    <row r="323" spans="1:6" x14ac:dyDescent="0.2">
      <c r="A323" s="71">
        <v>40113</v>
      </c>
      <c r="B323" s="72">
        <v>0.25</v>
      </c>
      <c r="C323" s="71">
        <v>40113</v>
      </c>
      <c r="D323" s="72">
        <v>0</v>
      </c>
      <c r="E323" s="71">
        <v>29495</v>
      </c>
      <c r="F323" s="72">
        <v>12.81</v>
      </c>
    </row>
    <row r="324" spans="1:6" x14ac:dyDescent="0.2">
      <c r="A324" s="71">
        <v>40114</v>
      </c>
      <c r="B324" s="72">
        <v>0.25</v>
      </c>
      <c r="C324" s="71">
        <v>40114</v>
      </c>
      <c r="D324" s="72">
        <v>0</v>
      </c>
      <c r="E324" s="71">
        <v>29526</v>
      </c>
      <c r="F324" s="72">
        <v>15.85</v>
      </c>
    </row>
    <row r="325" spans="1:6" x14ac:dyDescent="0.2">
      <c r="A325" s="71">
        <v>40115</v>
      </c>
      <c r="B325" s="72">
        <v>0.25</v>
      </c>
      <c r="C325" s="71">
        <v>40115</v>
      </c>
      <c r="D325" s="72">
        <v>0</v>
      </c>
      <c r="E325" s="71">
        <v>29556</v>
      </c>
      <c r="F325" s="72">
        <v>18.899999999999999</v>
      </c>
    </row>
    <row r="326" spans="1:6" x14ac:dyDescent="0.2">
      <c r="A326" s="71">
        <v>40116</v>
      </c>
      <c r="B326" s="72">
        <v>0.25</v>
      </c>
      <c r="C326" s="71">
        <v>40116</v>
      </c>
      <c r="D326" s="72">
        <v>0</v>
      </c>
      <c r="E326" s="71">
        <v>29587</v>
      </c>
      <c r="F326" s="72">
        <v>19.079999999999998</v>
      </c>
    </row>
    <row r="327" spans="1:6" x14ac:dyDescent="0.2">
      <c r="A327" s="71">
        <v>40117</v>
      </c>
      <c r="B327" s="72">
        <v>0.25</v>
      </c>
      <c r="C327" s="71">
        <v>40117</v>
      </c>
      <c r="D327" s="72">
        <v>0</v>
      </c>
      <c r="E327" s="71">
        <v>29618</v>
      </c>
      <c r="F327" s="72">
        <v>15.93</v>
      </c>
    </row>
    <row r="328" spans="1:6" x14ac:dyDescent="0.2">
      <c r="A328" s="71">
        <v>40118</v>
      </c>
      <c r="B328" s="72">
        <v>0.25</v>
      </c>
      <c r="C328" s="71">
        <v>40118</v>
      </c>
      <c r="D328" s="72">
        <v>0</v>
      </c>
      <c r="E328" s="71">
        <v>29646</v>
      </c>
      <c r="F328" s="72">
        <v>14.7</v>
      </c>
    </row>
    <row r="329" spans="1:6" x14ac:dyDescent="0.2">
      <c r="A329" s="71">
        <v>40119</v>
      </c>
      <c r="B329" s="72">
        <v>0.25</v>
      </c>
      <c r="C329" s="71">
        <v>40119</v>
      </c>
      <c r="D329" s="72">
        <v>0</v>
      </c>
      <c r="E329" s="71">
        <v>29677</v>
      </c>
      <c r="F329" s="72">
        <v>15.72</v>
      </c>
    </row>
    <row r="330" spans="1:6" x14ac:dyDescent="0.2">
      <c r="A330" s="71">
        <v>40120</v>
      </c>
      <c r="B330" s="72">
        <v>0.25</v>
      </c>
      <c r="C330" s="71">
        <v>40120</v>
      </c>
      <c r="D330" s="72">
        <v>0</v>
      </c>
      <c r="E330" s="71">
        <v>29707</v>
      </c>
      <c r="F330" s="72">
        <v>18.52</v>
      </c>
    </row>
    <row r="331" spans="1:6" x14ac:dyDescent="0.2">
      <c r="A331" s="71">
        <v>40121</v>
      </c>
      <c r="B331" s="72">
        <v>0.25</v>
      </c>
      <c r="C331" s="71">
        <v>40121</v>
      </c>
      <c r="D331" s="72">
        <v>0</v>
      </c>
      <c r="E331" s="71">
        <v>29738</v>
      </c>
      <c r="F331" s="72">
        <v>19.100000000000001</v>
      </c>
    </row>
    <row r="332" spans="1:6" x14ac:dyDescent="0.2">
      <c r="A332" s="71">
        <v>40122</v>
      </c>
      <c r="B332" s="72">
        <v>0.25</v>
      </c>
      <c r="C332" s="71">
        <v>40122</v>
      </c>
      <c r="D332" s="72">
        <v>0</v>
      </c>
      <c r="E332" s="71">
        <v>29768</v>
      </c>
      <c r="F332" s="72">
        <v>19.04</v>
      </c>
    </row>
    <row r="333" spans="1:6" x14ac:dyDescent="0.2">
      <c r="A333" s="71">
        <v>40123</v>
      </c>
      <c r="B333" s="72">
        <v>0.25</v>
      </c>
      <c r="C333" s="71">
        <v>40123</v>
      </c>
      <c r="D333" s="72">
        <v>0</v>
      </c>
      <c r="E333" s="71">
        <v>29799</v>
      </c>
      <c r="F333" s="72">
        <v>17.82</v>
      </c>
    </row>
    <row r="334" spans="1:6" x14ac:dyDescent="0.2">
      <c r="A334" s="71">
        <v>40124</v>
      </c>
      <c r="B334" s="72">
        <v>0.25</v>
      </c>
      <c r="C334" s="71">
        <v>40124</v>
      </c>
      <c r="D334" s="72">
        <v>0</v>
      </c>
      <c r="E334" s="71">
        <v>29830</v>
      </c>
      <c r="F334" s="72">
        <v>15.87</v>
      </c>
    </row>
    <row r="335" spans="1:6" x14ac:dyDescent="0.2">
      <c r="A335" s="71">
        <v>40125</v>
      </c>
      <c r="B335" s="72">
        <v>0.25</v>
      </c>
      <c r="C335" s="71">
        <v>40125</v>
      </c>
      <c r="D335" s="72">
        <v>0</v>
      </c>
      <c r="E335" s="71">
        <v>29860</v>
      </c>
      <c r="F335" s="72">
        <v>15.08</v>
      </c>
    </row>
    <row r="336" spans="1:6" x14ac:dyDescent="0.2">
      <c r="A336" s="71">
        <v>40126</v>
      </c>
      <c r="B336" s="72">
        <v>0.25</v>
      </c>
      <c r="C336" s="71">
        <v>40126</v>
      </c>
      <c r="D336" s="72">
        <v>0</v>
      </c>
      <c r="E336" s="71">
        <v>29891</v>
      </c>
      <c r="F336" s="72">
        <v>13.31</v>
      </c>
    </row>
    <row r="337" spans="1:6" x14ac:dyDescent="0.2">
      <c r="A337" s="71">
        <v>40127</v>
      </c>
      <c r="B337" s="72">
        <v>0.25</v>
      </c>
      <c r="C337" s="71">
        <v>40127</v>
      </c>
      <c r="D337" s="72">
        <v>0</v>
      </c>
      <c r="E337" s="71">
        <v>29921</v>
      </c>
      <c r="F337" s="72">
        <v>12.37</v>
      </c>
    </row>
    <row r="338" spans="1:6" x14ac:dyDescent="0.2">
      <c r="A338" s="71">
        <v>40128</v>
      </c>
      <c r="B338" s="72">
        <v>0.25</v>
      </c>
      <c r="C338" s="71">
        <v>40128</v>
      </c>
      <c r="D338" s="72">
        <v>0</v>
      </c>
      <c r="E338" s="71">
        <v>29952</v>
      </c>
      <c r="F338" s="72">
        <v>13.22</v>
      </c>
    </row>
    <row r="339" spans="1:6" x14ac:dyDescent="0.2">
      <c r="A339" s="71">
        <v>40129</v>
      </c>
      <c r="B339" s="72">
        <v>0.25</v>
      </c>
      <c r="C339" s="71">
        <v>40129</v>
      </c>
      <c r="D339" s="72">
        <v>0</v>
      </c>
      <c r="E339" s="71">
        <v>29983</v>
      </c>
      <c r="F339" s="72">
        <v>14.78</v>
      </c>
    </row>
    <row r="340" spans="1:6" x14ac:dyDescent="0.2">
      <c r="A340" s="71">
        <v>40130</v>
      </c>
      <c r="B340" s="72">
        <v>0.25</v>
      </c>
      <c r="C340" s="71">
        <v>40130</v>
      </c>
      <c r="D340" s="72">
        <v>0</v>
      </c>
      <c r="E340" s="71">
        <v>30011</v>
      </c>
      <c r="F340" s="72">
        <v>14.68</v>
      </c>
    </row>
    <row r="341" spans="1:6" x14ac:dyDescent="0.2">
      <c r="A341" s="71">
        <v>40131</v>
      </c>
      <c r="B341" s="72">
        <v>0.25</v>
      </c>
      <c r="C341" s="71">
        <v>40131</v>
      </c>
      <c r="D341" s="72">
        <v>0</v>
      </c>
      <c r="E341" s="71">
        <v>30042</v>
      </c>
      <c r="F341" s="72">
        <v>14.94</v>
      </c>
    </row>
    <row r="342" spans="1:6" x14ac:dyDescent="0.2">
      <c r="A342" s="71">
        <v>40132</v>
      </c>
      <c r="B342" s="72">
        <v>0.25</v>
      </c>
      <c r="C342" s="71">
        <v>40132</v>
      </c>
      <c r="D342" s="72">
        <v>0</v>
      </c>
      <c r="E342" s="71">
        <v>30072</v>
      </c>
      <c r="F342" s="72">
        <v>14.45</v>
      </c>
    </row>
    <row r="343" spans="1:6" x14ac:dyDescent="0.2">
      <c r="A343" s="71">
        <v>40133</v>
      </c>
      <c r="B343" s="72">
        <v>0.25</v>
      </c>
      <c r="C343" s="71">
        <v>40133</v>
      </c>
      <c r="D343" s="72">
        <v>0</v>
      </c>
      <c r="E343" s="71">
        <v>30103</v>
      </c>
      <c r="F343" s="72">
        <v>14.15</v>
      </c>
    </row>
    <row r="344" spans="1:6" x14ac:dyDescent="0.2">
      <c r="A344" s="71">
        <v>40134</v>
      </c>
      <c r="B344" s="72">
        <v>0.25</v>
      </c>
      <c r="C344" s="71">
        <v>40134</v>
      </c>
      <c r="D344" s="72">
        <v>0</v>
      </c>
      <c r="E344" s="71">
        <v>30133</v>
      </c>
      <c r="F344" s="72">
        <v>12.59</v>
      </c>
    </row>
    <row r="345" spans="1:6" x14ac:dyDescent="0.2">
      <c r="A345" s="71">
        <v>40135</v>
      </c>
      <c r="B345" s="72">
        <v>0.25</v>
      </c>
      <c r="C345" s="71">
        <v>40135</v>
      </c>
      <c r="D345" s="72">
        <v>0</v>
      </c>
      <c r="E345" s="71">
        <v>30164</v>
      </c>
      <c r="F345" s="72">
        <v>10.119999999999999</v>
      </c>
    </row>
    <row r="346" spans="1:6" x14ac:dyDescent="0.2">
      <c r="A346" s="71">
        <v>40136</v>
      </c>
      <c r="B346" s="72">
        <v>0.25</v>
      </c>
      <c r="C346" s="71">
        <v>40136</v>
      </c>
      <c r="D346" s="72">
        <v>0</v>
      </c>
      <c r="E346" s="71">
        <v>30195</v>
      </c>
      <c r="F346" s="72">
        <v>10.31</v>
      </c>
    </row>
    <row r="347" spans="1:6" x14ac:dyDescent="0.2">
      <c r="A347" s="71">
        <v>40137</v>
      </c>
      <c r="B347" s="72">
        <v>0.25</v>
      </c>
      <c r="C347" s="71">
        <v>40137</v>
      </c>
      <c r="D347" s="72">
        <v>0</v>
      </c>
      <c r="E347" s="71">
        <v>30225</v>
      </c>
      <c r="F347" s="72">
        <v>9.7100000000000009</v>
      </c>
    </row>
    <row r="348" spans="1:6" x14ac:dyDescent="0.2">
      <c r="A348" s="71">
        <v>40138</v>
      </c>
      <c r="B348" s="72">
        <v>0.25</v>
      </c>
      <c r="C348" s="71">
        <v>40138</v>
      </c>
      <c r="D348" s="72">
        <v>0</v>
      </c>
      <c r="E348" s="71">
        <v>30256</v>
      </c>
      <c r="F348" s="72">
        <v>9.1999999999999993</v>
      </c>
    </row>
    <row r="349" spans="1:6" x14ac:dyDescent="0.2">
      <c r="A349" s="71">
        <v>40139</v>
      </c>
      <c r="B349" s="72">
        <v>0.25</v>
      </c>
      <c r="C349" s="71">
        <v>40139</v>
      </c>
      <c r="D349" s="72">
        <v>0</v>
      </c>
      <c r="E349" s="71">
        <v>30286</v>
      </c>
      <c r="F349" s="72">
        <v>8.9499999999999993</v>
      </c>
    </row>
    <row r="350" spans="1:6" x14ac:dyDescent="0.2">
      <c r="A350" s="71">
        <v>40140</v>
      </c>
      <c r="B350" s="72">
        <v>0.25</v>
      </c>
      <c r="C350" s="71">
        <v>40140</v>
      </c>
      <c r="D350" s="72">
        <v>0</v>
      </c>
      <c r="E350" s="71">
        <v>30317</v>
      </c>
      <c r="F350" s="72">
        <v>8.68</v>
      </c>
    </row>
    <row r="351" spans="1:6" x14ac:dyDescent="0.2">
      <c r="A351" s="71">
        <v>40141</v>
      </c>
      <c r="B351" s="72">
        <v>0.25</v>
      </c>
      <c r="C351" s="71">
        <v>40141</v>
      </c>
      <c r="D351" s="72">
        <v>0</v>
      </c>
      <c r="E351" s="71">
        <v>30348</v>
      </c>
      <c r="F351" s="72">
        <v>8.51</v>
      </c>
    </row>
    <row r="352" spans="1:6" x14ac:dyDescent="0.2">
      <c r="A352" s="71">
        <v>40142</v>
      </c>
      <c r="B352" s="72">
        <v>0.25</v>
      </c>
      <c r="C352" s="71">
        <v>40142</v>
      </c>
      <c r="D352" s="72">
        <v>0</v>
      </c>
      <c r="E352" s="71">
        <v>30376</v>
      </c>
      <c r="F352" s="72">
        <v>8.77</v>
      </c>
    </row>
    <row r="353" spans="1:6" x14ac:dyDescent="0.2">
      <c r="A353" s="71">
        <v>40143</v>
      </c>
      <c r="B353" s="72">
        <v>0.25</v>
      </c>
      <c r="C353" s="71">
        <v>40143</v>
      </c>
      <c r="D353" s="72">
        <v>0</v>
      </c>
      <c r="E353" s="71">
        <v>30407</v>
      </c>
      <c r="F353" s="72">
        <v>8.8000000000000007</v>
      </c>
    </row>
    <row r="354" spans="1:6" x14ac:dyDescent="0.2">
      <c r="A354" s="71">
        <v>40144</v>
      </c>
      <c r="B354" s="72">
        <v>0.25</v>
      </c>
      <c r="C354" s="71">
        <v>40144</v>
      </c>
      <c r="D354" s="72">
        <v>0</v>
      </c>
      <c r="E354" s="71">
        <v>30437</v>
      </c>
      <c r="F354" s="72">
        <v>8.6300000000000008</v>
      </c>
    </row>
    <row r="355" spans="1:6" x14ac:dyDescent="0.2">
      <c r="A355" s="71">
        <v>40145</v>
      </c>
      <c r="B355" s="72">
        <v>0.25</v>
      </c>
      <c r="C355" s="71">
        <v>40145</v>
      </c>
      <c r="D355" s="72">
        <v>0</v>
      </c>
      <c r="E355" s="71">
        <v>30468</v>
      </c>
      <c r="F355" s="72">
        <v>8.98</v>
      </c>
    </row>
    <row r="356" spans="1:6" x14ac:dyDescent="0.2">
      <c r="A356" s="71">
        <v>40146</v>
      </c>
      <c r="B356" s="72">
        <v>0.25</v>
      </c>
      <c r="C356" s="71">
        <v>40146</v>
      </c>
      <c r="D356" s="72">
        <v>0</v>
      </c>
      <c r="E356" s="71">
        <v>30498</v>
      </c>
      <c r="F356" s="72">
        <v>9.3699999999999992</v>
      </c>
    </row>
    <row r="357" spans="1:6" x14ac:dyDescent="0.2">
      <c r="A357" s="71">
        <v>40147</v>
      </c>
      <c r="B357" s="72">
        <v>0.25</v>
      </c>
      <c r="C357" s="71">
        <v>40147</v>
      </c>
      <c r="D357" s="72">
        <v>0</v>
      </c>
      <c r="E357" s="71">
        <v>30529</v>
      </c>
      <c r="F357" s="72">
        <v>9.56</v>
      </c>
    </row>
    <row r="358" spans="1:6" x14ac:dyDescent="0.2">
      <c r="A358" s="71">
        <v>40148</v>
      </c>
      <c r="B358" s="72">
        <v>0.25</v>
      </c>
      <c r="C358" s="71">
        <v>40148</v>
      </c>
      <c r="D358" s="72">
        <v>0</v>
      </c>
      <c r="E358" s="71">
        <v>30560</v>
      </c>
      <c r="F358" s="72">
        <v>9.4499999999999993</v>
      </c>
    </row>
    <row r="359" spans="1:6" x14ac:dyDescent="0.2">
      <c r="A359" s="71">
        <v>40149</v>
      </c>
      <c r="B359" s="72">
        <v>0.25</v>
      </c>
      <c r="C359" s="71">
        <v>40149</v>
      </c>
      <c r="D359" s="72">
        <v>0</v>
      </c>
      <c r="E359" s="71">
        <v>30590</v>
      </c>
      <c r="F359" s="72">
        <v>9.48</v>
      </c>
    </row>
    <row r="360" spans="1:6" x14ac:dyDescent="0.2">
      <c r="A360" s="71">
        <v>40150</v>
      </c>
      <c r="B360" s="72">
        <v>0.25</v>
      </c>
      <c r="C360" s="71">
        <v>40150</v>
      </c>
      <c r="D360" s="72">
        <v>0</v>
      </c>
      <c r="E360" s="71">
        <v>30621</v>
      </c>
      <c r="F360" s="72">
        <v>9.34</v>
      </c>
    </row>
    <row r="361" spans="1:6" x14ac:dyDescent="0.2">
      <c r="A361" s="71">
        <v>40151</v>
      </c>
      <c r="B361" s="72">
        <v>0.25</v>
      </c>
      <c r="C361" s="71">
        <v>40151</v>
      </c>
      <c r="D361" s="72">
        <v>0</v>
      </c>
      <c r="E361" s="71">
        <v>30651</v>
      </c>
      <c r="F361" s="72">
        <v>9.4700000000000006</v>
      </c>
    </row>
    <row r="362" spans="1:6" x14ac:dyDescent="0.2">
      <c r="A362" s="71">
        <v>40152</v>
      </c>
      <c r="B362" s="72">
        <v>0.25</v>
      </c>
      <c r="C362" s="71">
        <v>40152</v>
      </c>
      <c r="D362" s="72">
        <v>0</v>
      </c>
      <c r="E362" s="71">
        <v>30682</v>
      </c>
      <c r="F362" s="72">
        <v>9.56</v>
      </c>
    </row>
    <row r="363" spans="1:6" x14ac:dyDescent="0.2">
      <c r="A363" s="71">
        <v>40153</v>
      </c>
      <c r="B363" s="72">
        <v>0.25</v>
      </c>
      <c r="C363" s="71">
        <v>40153</v>
      </c>
      <c r="D363" s="72">
        <v>0</v>
      </c>
      <c r="E363" s="71">
        <v>30713</v>
      </c>
      <c r="F363" s="72">
        <v>9.59</v>
      </c>
    </row>
    <row r="364" spans="1:6" x14ac:dyDescent="0.2">
      <c r="A364" s="71">
        <v>40154</v>
      </c>
      <c r="B364" s="72">
        <v>0.25</v>
      </c>
      <c r="C364" s="71">
        <v>40154</v>
      </c>
      <c r="D364" s="72">
        <v>0</v>
      </c>
      <c r="E364" s="71">
        <v>30742</v>
      </c>
      <c r="F364" s="72">
        <v>9.91</v>
      </c>
    </row>
    <row r="365" spans="1:6" x14ac:dyDescent="0.2">
      <c r="A365" s="71">
        <v>40155</v>
      </c>
      <c r="B365" s="72">
        <v>0.25</v>
      </c>
      <c r="C365" s="71">
        <v>40155</v>
      </c>
      <c r="D365" s="72">
        <v>0</v>
      </c>
      <c r="E365" s="71">
        <v>30773</v>
      </c>
      <c r="F365" s="72">
        <v>10.29</v>
      </c>
    </row>
    <row r="366" spans="1:6" x14ac:dyDescent="0.2">
      <c r="A366" s="71">
        <v>40156</v>
      </c>
      <c r="B366" s="72">
        <v>0.25</v>
      </c>
      <c r="C366" s="71">
        <v>40156</v>
      </c>
      <c r="D366" s="72">
        <v>0</v>
      </c>
      <c r="E366" s="71">
        <v>30803</v>
      </c>
      <c r="F366" s="72">
        <v>10.32</v>
      </c>
    </row>
    <row r="367" spans="1:6" x14ac:dyDescent="0.2">
      <c r="A367" s="71">
        <v>40157</v>
      </c>
      <c r="B367" s="72">
        <v>0.25</v>
      </c>
      <c r="C367" s="71">
        <v>40157</v>
      </c>
      <c r="D367" s="72">
        <v>0</v>
      </c>
      <c r="E367" s="71">
        <v>30834</v>
      </c>
      <c r="F367" s="72">
        <v>11.06</v>
      </c>
    </row>
    <row r="368" spans="1:6" x14ac:dyDescent="0.2">
      <c r="A368" s="71">
        <v>40158</v>
      </c>
      <c r="B368" s="72">
        <v>0.25</v>
      </c>
      <c r="C368" s="71">
        <v>40158</v>
      </c>
      <c r="D368" s="72">
        <v>0</v>
      </c>
      <c r="E368" s="71">
        <v>30864</v>
      </c>
      <c r="F368" s="72">
        <v>11.23</v>
      </c>
    </row>
    <row r="369" spans="1:6" x14ac:dyDescent="0.2">
      <c r="A369" s="71">
        <v>40159</v>
      </c>
      <c r="B369" s="72">
        <v>0.25</v>
      </c>
      <c r="C369" s="71">
        <v>40159</v>
      </c>
      <c r="D369" s="72">
        <v>0</v>
      </c>
      <c r="E369" s="71">
        <v>30895</v>
      </c>
      <c r="F369" s="72">
        <v>11.64</v>
      </c>
    </row>
    <row r="370" spans="1:6" x14ac:dyDescent="0.2">
      <c r="A370" s="71">
        <v>40160</v>
      </c>
      <c r="B370" s="72">
        <v>0.25</v>
      </c>
      <c r="C370" s="71">
        <v>40160</v>
      </c>
      <c r="D370" s="72">
        <v>0</v>
      </c>
      <c r="E370" s="71">
        <v>30926</v>
      </c>
      <c r="F370" s="72">
        <v>11.3</v>
      </c>
    </row>
    <row r="371" spans="1:6" x14ac:dyDescent="0.2">
      <c r="A371" s="71">
        <v>40161</v>
      </c>
      <c r="B371" s="72">
        <v>0.25</v>
      </c>
      <c r="C371" s="71">
        <v>40161</v>
      </c>
      <c r="D371" s="72">
        <v>0</v>
      </c>
      <c r="E371" s="71">
        <v>30956</v>
      </c>
      <c r="F371" s="72">
        <v>9.99</v>
      </c>
    </row>
    <row r="372" spans="1:6" x14ac:dyDescent="0.2">
      <c r="A372" s="71">
        <v>40162</v>
      </c>
      <c r="B372" s="72">
        <v>0.25</v>
      </c>
      <c r="C372" s="71">
        <v>40162</v>
      </c>
      <c r="D372" s="72">
        <v>0</v>
      </c>
      <c r="E372" s="71">
        <v>30987</v>
      </c>
      <c r="F372" s="72">
        <v>9.43</v>
      </c>
    </row>
    <row r="373" spans="1:6" x14ac:dyDescent="0.2">
      <c r="A373" s="71">
        <v>40163</v>
      </c>
      <c r="B373" s="72">
        <v>0.25</v>
      </c>
      <c r="C373" s="71">
        <v>40163</v>
      </c>
      <c r="D373" s="72">
        <v>0</v>
      </c>
      <c r="E373" s="71">
        <v>31017</v>
      </c>
      <c r="F373" s="72">
        <v>8.3800000000000008</v>
      </c>
    </row>
    <row r="374" spans="1:6" x14ac:dyDescent="0.2">
      <c r="A374" s="71">
        <v>40164</v>
      </c>
      <c r="B374" s="72">
        <v>0.25</v>
      </c>
      <c r="C374" s="71">
        <v>40164</v>
      </c>
      <c r="D374" s="72">
        <v>0</v>
      </c>
      <c r="E374" s="71">
        <v>31048</v>
      </c>
      <c r="F374" s="72">
        <v>8.35</v>
      </c>
    </row>
    <row r="375" spans="1:6" x14ac:dyDescent="0.2">
      <c r="A375" s="71">
        <v>40165</v>
      </c>
      <c r="B375" s="72">
        <v>0.25</v>
      </c>
      <c r="C375" s="71">
        <v>40165</v>
      </c>
      <c r="D375" s="72">
        <v>0</v>
      </c>
      <c r="E375" s="71">
        <v>31079</v>
      </c>
      <c r="F375" s="72">
        <v>8.5</v>
      </c>
    </row>
    <row r="376" spans="1:6" x14ac:dyDescent="0.2">
      <c r="A376" s="71">
        <v>40166</v>
      </c>
      <c r="B376" s="72">
        <v>0.25</v>
      </c>
      <c r="C376" s="71">
        <v>40166</v>
      </c>
      <c r="D376" s="72">
        <v>0</v>
      </c>
      <c r="E376" s="71">
        <v>31107</v>
      </c>
      <c r="F376" s="72">
        <v>8.58</v>
      </c>
    </row>
    <row r="377" spans="1:6" x14ac:dyDescent="0.2">
      <c r="A377" s="71">
        <v>40167</v>
      </c>
      <c r="B377" s="72">
        <v>0.25</v>
      </c>
      <c r="C377" s="71">
        <v>40167</v>
      </c>
      <c r="D377" s="72">
        <v>0</v>
      </c>
      <c r="E377" s="71">
        <v>31138</v>
      </c>
      <c r="F377" s="72">
        <v>8.27</v>
      </c>
    </row>
    <row r="378" spans="1:6" x14ac:dyDescent="0.2">
      <c r="A378" s="71">
        <v>40168</v>
      </c>
      <c r="B378" s="72">
        <v>0.25</v>
      </c>
      <c r="C378" s="71">
        <v>40168</v>
      </c>
      <c r="D378" s="72">
        <v>0</v>
      </c>
      <c r="E378" s="71">
        <v>31168</v>
      </c>
      <c r="F378" s="72">
        <v>7.97</v>
      </c>
    </row>
    <row r="379" spans="1:6" x14ac:dyDescent="0.2">
      <c r="A379" s="71">
        <v>40169</v>
      </c>
      <c r="B379" s="72">
        <v>0.25</v>
      </c>
      <c r="C379" s="71">
        <v>40169</v>
      </c>
      <c r="D379" s="72">
        <v>0</v>
      </c>
      <c r="E379" s="71">
        <v>31199</v>
      </c>
      <c r="F379" s="72">
        <v>7.53</v>
      </c>
    </row>
    <row r="380" spans="1:6" x14ac:dyDescent="0.2">
      <c r="A380" s="71">
        <v>40170</v>
      </c>
      <c r="B380" s="72">
        <v>0.25</v>
      </c>
      <c r="C380" s="71">
        <v>40170</v>
      </c>
      <c r="D380" s="72">
        <v>0</v>
      </c>
      <c r="E380" s="71">
        <v>31229</v>
      </c>
      <c r="F380" s="72">
        <v>7.88</v>
      </c>
    </row>
    <row r="381" spans="1:6" x14ac:dyDescent="0.2">
      <c r="A381" s="71">
        <v>40171</v>
      </c>
      <c r="B381" s="72">
        <v>0.25</v>
      </c>
      <c r="C381" s="71">
        <v>40171</v>
      </c>
      <c r="D381" s="72">
        <v>0</v>
      </c>
      <c r="E381" s="71">
        <v>31260</v>
      </c>
      <c r="F381" s="72">
        <v>7.9</v>
      </c>
    </row>
    <row r="382" spans="1:6" x14ac:dyDescent="0.2">
      <c r="A382" s="71">
        <v>40172</v>
      </c>
      <c r="B382" s="72">
        <v>0.25</v>
      </c>
      <c r="C382" s="71">
        <v>40172</v>
      </c>
      <c r="D382" s="72">
        <v>0</v>
      </c>
      <c r="E382" s="71">
        <v>31291</v>
      </c>
      <c r="F382" s="72">
        <v>7.92</v>
      </c>
    </row>
    <row r="383" spans="1:6" x14ac:dyDescent="0.2">
      <c r="A383" s="71">
        <v>40173</v>
      </c>
      <c r="B383" s="72">
        <v>0.25</v>
      </c>
      <c r="C383" s="71">
        <v>40173</v>
      </c>
      <c r="D383" s="72">
        <v>0</v>
      </c>
      <c r="E383" s="71">
        <v>31321</v>
      </c>
      <c r="F383" s="72">
        <v>7.99</v>
      </c>
    </row>
    <row r="384" spans="1:6" x14ac:dyDescent="0.2">
      <c r="A384" s="71">
        <v>40174</v>
      </c>
      <c r="B384" s="72">
        <v>0.25</v>
      </c>
      <c r="C384" s="71">
        <v>40174</v>
      </c>
      <c r="D384" s="72">
        <v>0</v>
      </c>
      <c r="E384" s="71">
        <v>31352</v>
      </c>
      <c r="F384" s="72">
        <v>8.0500000000000007</v>
      </c>
    </row>
    <row r="385" spans="1:6" x14ac:dyDescent="0.2">
      <c r="A385" s="71">
        <v>40175</v>
      </c>
      <c r="B385" s="72">
        <v>0.25</v>
      </c>
      <c r="C385" s="71">
        <v>40175</v>
      </c>
      <c r="D385" s="72">
        <v>0</v>
      </c>
      <c r="E385" s="71">
        <v>31382</v>
      </c>
      <c r="F385" s="72">
        <v>8.27</v>
      </c>
    </row>
    <row r="386" spans="1:6" x14ac:dyDescent="0.2">
      <c r="A386" s="71">
        <v>40176</v>
      </c>
      <c r="B386" s="72">
        <v>0.25</v>
      </c>
      <c r="C386" s="71">
        <v>40176</v>
      </c>
      <c r="D386" s="72">
        <v>0</v>
      </c>
      <c r="E386" s="71">
        <v>31413</v>
      </c>
      <c r="F386" s="72">
        <v>8.14</v>
      </c>
    </row>
    <row r="387" spans="1:6" x14ac:dyDescent="0.2">
      <c r="A387" s="71">
        <v>40177</v>
      </c>
      <c r="B387" s="72">
        <v>0.25</v>
      </c>
      <c r="C387" s="71">
        <v>40177</v>
      </c>
      <c r="D387" s="72">
        <v>0</v>
      </c>
      <c r="E387" s="71">
        <v>31444</v>
      </c>
      <c r="F387" s="72">
        <v>7.86</v>
      </c>
    </row>
    <row r="388" spans="1:6" x14ac:dyDescent="0.2">
      <c r="A388" s="71">
        <v>40178</v>
      </c>
      <c r="B388" s="72">
        <v>0.25</v>
      </c>
      <c r="C388" s="71">
        <v>40178</v>
      </c>
      <c r="D388" s="72">
        <v>0</v>
      </c>
      <c r="E388" s="71">
        <v>31472</v>
      </c>
      <c r="F388" s="72">
        <v>7.48</v>
      </c>
    </row>
    <row r="389" spans="1:6" x14ac:dyDescent="0.2">
      <c r="A389" s="71">
        <v>40179</v>
      </c>
      <c r="B389" s="72">
        <v>0.25</v>
      </c>
      <c r="C389" s="71">
        <v>40179</v>
      </c>
      <c r="D389" s="72">
        <v>0</v>
      </c>
      <c r="E389" s="71">
        <v>31503</v>
      </c>
      <c r="F389" s="72">
        <v>6.99</v>
      </c>
    </row>
    <row r="390" spans="1:6" x14ac:dyDescent="0.2">
      <c r="A390" s="71">
        <v>40180</v>
      </c>
      <c r="B390" s="72">
        <v>0.25</v>
      </c>
      <c r="C390" s="71">
        <v>40180</v>
      </c>
      <c r="D390" s="72">
        <v>0</v>
      </c>
      <c r="E390" s="71">
        <v>31533</v>
      </c>
      <c r="F390" s="72">
        <v>6.85</v>
      </c>
    </row>
    <row r="391" spans="1:6" x14ac:dyDescent="0.2">
      <c r="A391" s="71">
        <v>40181</v>
      </c>
      <c r="B391" s="72">
        <v>0.25</v>
      </c>
      <c r="C391" s="71">
        <v>40181</v>
      </c>
      <c r="D391" s="72">
        <v>0</v>
      </c>
      <c r="E391" s="71">
        <v>31564</v>
      </c>
      <c r="F391" s="72">
        <v>6.92</v>
      </c>
    </row>
    <row r="392" spans="1:6" x14ac:dyDescent="0.2">
      <c r="A392" s="71">
        <v>40182</v>
      </c>
      <c r="B392" s="72">
        <v>0.25</v>
      </c>
      <c r="C392" s="71">
        <v>40182</v>
      </c>
      <c r="D392" s="72">
        <v>0</v>
      </c>
      <c r="E392" s="71">
        <v>31594</v>
      </c>
      <c r="F392" s="72">
        <v>6.56</v>
      </c>
    </row>
    <row r="393" spans="1:6" x14ac:dyDescent="0.2">
      <c r="A393" s="71">
        <v>40183</v>
      </c>
      <c r="B393" s="72">
        <v>0.25</v>
      </c>
      <c r="C393" s="71">
        <v>40183</v>
      </c>
      <c r="D393" s="72">
        <v>0</v>
      </c>
      <c r="E393" s="71">
        <v>31625</v>
      </c>
      <c r="F393" s="72">
        <v>6.17</v>
      </c>
    </row>
    <row r="394" spans="1:6" x14ac:dyDescent="0.2">
      <c r="A394" s="71">
        <v>40184</v>
      </c>
      <c r="B394" s="72">
        <v>0.25</v>
      </c>
      <c r="C394" s="71">
        <v>40184</v>
      </c>
      <c r="D394" s="72">
        <v>0</v>
      </c>
      <c r="E394" s="71">
        <v>31656</v>
      </c>
      <c r="F394" s="72">
        <v>5.89</v>
      </c>
    </row>
    <row r="395" spans="1:6" x14ac:dyDescent="0.2">
      <c r="A395" s="71">
        <v>40185</v>
      </c>
      <c r="B395" s="72">
        <v>0.25</v>
      </c>
      <c r="C395" s="71">
        <v>40185</v>
      </c>
      <c r="D395" s="72">
        <v>0</v>
      </c>
      <c r="E395" s="71">
        <v>31686</v>
      </c>
      <c r="F395" s="72">
        <v>5.85</v>
      </c>
    </row>
    <row r="396" spans="1:6" x14ac:dyDescent="0.2">
      <c r="A396" s="71">
        <v>40186</v>
      </c>
      <c r="B396" s="72">
        <v>0.25</v>
      </c>
      <c r="C396" s="71">
        <v>40186</v>
      </c>
      <c r="D396" s="72">
        <v>0</v>
      </c>
      <c r="E396" s="71">
        <v>31717</v>
      </c>
      <c r="F396" s="72">
        <v>6.04</v>
      </c>
    </row>
    <row r="397" spans="1:6" x14ac:dyDescent="0.2">
      <c r="A397" s="71">
        <v>40187</v>
      </c>
      <c r="B397" s="72">
        <v>0.25</v>
      </c>
      <c r="C397" s="71">
        <v>40187</v>
      </c>
      <c r="D397" s="72">
        <v>0</v>
      </c>
      <c r="E397" s="71">
        <v>31747</v>
      </c>
      <c r="F397" s="72">
        <v>6.91</v>
      </c>
    </row>
    <row r="398" spans="1:6" x14ac:dyDescent="0.2">
      <c r="A398" s="71">
        <v>40188</v>
      </c>
      <c r="B398" s="72">
        <v>0.25</v>
      </c>
      <c r="C398" s="71">
        <v>40188</v>
      </c>
      <c r="D398" s="72">
        <v>0</v>
      </c>
      <c r="E398" s="71">
        <v>31778</v>
      </c>
      <c r="F398" s="72">
        <v>6.43</v>
      </c>
    </row>
    <row r="399" spans="1:6" x14ac:dyDescent="0.2">
      <c r="A399" s="71">
        <v>40189</v>
      </c>
      <c r="B399" s="72">
        <v>0.25</v>
      </c>
      <c r="C399" s="71">
        <v>40189</v>
      </c>
      <c r="D399" s="72">
        <v>0</v>
      </c>
      <c r="E399" s="71">
        <v>31809</v>
      </c>
      <c r="F399" s="72">
        <v>6.1</v>
      </c>
    </row>
    <row r="400" spans="1:6" x14ac:dyDescent="0.2">
      <c r="A400" s="71">
        <v>40190</v>
      </c>
      <c r="B400" s="72">
        <v>0.25</v>
      </c>
      <c r="C400" s="71">
        <v>40190</v>
      </c>
      <c r="D400" s="72">
        <v>0</v>
      </c>
      <c r="E400" s="71">
        <v>31837</v>
      </c>
      <c r="F400" s="72">
        <v>6.13</v>
      </c>
    </row>
    <row r="401" spans="1:6" x14ac:dyDescent="0.2">
      <c r="A401" s="71">
        <v>40191</v>
      </c>
      <c r="B401" s="72">
        <v>0.25</v>
      </c>
      <c r="C401" s="71">
        <v>40191</v>
      </c>
      <c r="D401" s="72">
        <v>0</v>
      </c>
      <c r="E401" s="71">
        <v>31868</v>
      </c>
      <c r="F401" s="72">
        <v>6.37</v>
      </c>
    </row>
    <row r="402" spans="1:6" x14ac:dyDescent="0.2">
      <c r="A402" s="71">
        <v>40192</v>
      </c>
      <c r="B402" s="72">
        <v>0.25</v>
      </c>
      <c r="C402" s="71">
        <v>40192</v>
      </c>
      <c r="D402" s="72">
        <v>0</v>
      </c>
      <c r="E402" s="71">
        <v>31898</v>
      </c>
      <c r="F402" s="72">
        <v>6.85</v>
      </c>
    </row>
    <row r="403" spans="1:6" x14ac:dyDescent="0.2">
      <c r="A403" s="71">
        <v>40193</v>
      </c>
      <c r="B403" s="72">
        <v>0.25</v>
      </c>
      <c r="C403" s="71">
        <v>40193</v>
      </c>
      <c r="D403" s="72">
        <v>0</v>
      </c>
      <c r="E403" s="71">
        <v>31929</v>
      </c>
      <c r="F403" s="72">
        <v>6.73</v>
      </c>
    </row>
    <row r="404" spans="1:6" x14ac:dyDescent="0.2">
      <c r="A404" s="71">
        <v>40194</v>
      </c>
      <c r="B404" s="72">
        <v>0.25</v>
      </c>
      <c r="C404" s="71">
        <v>40194</v>
      </c>
      <c r="D404" s="72">
        <v>0</v>
      </c>
      <c r="E404" s="71">
        <v>31959</v>
      </c>
      <c r="F404" s="72">
        <v>6.58</v>
      </c>
    </row>
    <row r="405" spans="1:6" x14ac:dyDescent="0.2">
      <c r="A405" s="71">
        <v>40195</v>
      </c>
      <c r="B405" s="72">
        <v>0.25</v>
      </c>
      <c r="C405" s="71">
        <v>40195</v>
      </c>
      <c r="D405" s="72">
        <v>0</v>
      </c>
      <c r="E405" s="71">
        <v>31990</v>
      </c>
      <c r="F405" s="72">
        <v>6.73</v>
      </c>
    </row>
    <row r="406" spans="1:6" x14ac:dyDescent="0.2">
      <c r="A406" s="71">
        <v>40196</v>
      </c>
      <c r="B406" s="72">
        <v>0.25</v>
      </c>
      <c r="C406" s="71">
        <v>40196</v>
      </c>
      <c r="D406" s="72">
        <v>0</v>
      </c>
      <c r="E406" s="71">
        <v>32021</v>
      </c>
      <c r="F406" s="72">
        <v>7.22</v>
      </c>
    </row>
    <row r="407" spans="1:6" x14ac:dyDescent="0.2">
      <c r="A407" s="71">
        <v>40197</v>
      </c>
      <c r="B407" s="72">
        <v>0.25</v>
      </c>
      <c r="C407" s="71">
        <v>40197</v>
      </c>
      <c r="D407" s="72">
        <v>0</v>
      </c>
      <c r="E407" s="71">
        <v>32051</v>
      </c>
      <c r="F407" s="72">
        <v>7.29</v>
      </c>
    </row>
    <row r="408" spans="1:6" x14ac:dyDescent="0.2">
      <c r="A408" s="71">
        <v>40198</v>
      </c>
      <c r="B408" s="72">
        <v>0.25</v>
      </c>
      <c r="C408" s="71">
        <v>40198</v>
      </c>
      <c r="D408" s="72">
        <v>0</v>
      </c>
      <c r="E408" s="71">
        <v>32082</v>
      </c>
      <c r="F408" s="72">
        <v>6.69</v>
      </c>
    </row>
    <row r="409" spans="1:6" x14ac:dyDescent="0.2">
      <c r="A409" s="71">
        <v>40199</v>
      </c>
      <c r="B409" s="72">
        <v>0.25</v>
      </c>
      <c r="C409" s="71">
        <v>40199</v>
      </c>
      <c r="D409" s="72">
        <v>0</v>
      </c>
      <c r="E409" s="71">
        <v>32112</v>
      </c>
      <c r="F409" s="72">
        <v>6.77</v>
      </c>
    </row>
    <row r="410" spans="1:6" x14ac:dyDescent="0.2">
      <c r="A410" s="71">
        <v>40200</v>
      </c>
      <c r="B410" s="72">
        <v>0.25</v>
      </c>
      <c r="C410" s="71">
        <v>40200</v>
      </c>
      <c r="D410" s="72">
        <v>0</v>
      </c>
      <c r="E410" s="71">
        <v>32143</v>
      </c>
      <c r="F410" s="72">
        <v>6.83</v>
      </c>
    </row>
    <row r="411" spans="1:6" x14ac:dyDescent="0.2">
      <c r="A411" s="71">
        <v>40201</v>
      </c>
      <c r="B411" s="72">
        <v>0.25</v>
      </c>
      <c r="C411" s="71">
        <v>40201</v>
      </c>
      <c r="D411" s="72">
        <v>0</v>
      </c>
      <c r="E411" s="71">
        <v>32174</v>
      </c>
      <c r="F411" s="72">
        <v>6.58</v>
      </c>
    </row>
    <row r="412" spans="1:6" x14ac:dyDescent="0.2">
      <c r="A412" s="71">
        <v>40202</v>
      </c>
      <c r="B412" s="72">
        <v>0.25</v>
      </c>
      <c r="C412" s="71">
        <v>40202</v>
      </c>
      <c r="D412" s="72">
        <v>0</v>
      </c>
      <c r="E412" s="71">
        <v>32203</v>
      </c>
      <c r="F412" s="72">
        <v>6.58</v>
      </c>
    </row>
    <row r="413" spans="1:6" x14ac:dyDescent="0.2">
      <c r="A413" s="71">
        <v>40203</v>
      </c>
      <c r="B413" s="72">
        <v>0.25</v>
      </c>
      <c r="C413" s="71">
        <v>40203</v>
      </c>
      <c r="D413" s="72">
        <v>0</v>
      </c>
      <c r="E413" s="71">
        <v>32234</v>
      </c>
      <c r="F413" s="72">
        <v>6.87</v>
      </c>
    </row>
    <row r="414" spans="1:6" x14ac:dyDescent="0.2">
      <c r="A414" s="71">
        <v>40204</v>
      </c>
      <c r="B414" s="72">
        <v>0.25</v>
      </c>
      <c r="C414" s="71">
        <v>40204</v>
      </c>
      <c r="D414" s="72">
        <v>0</v>
      </c>
      <c r="E414" s="71">
        <v>32264</v>
      </c>
      <c r="F414" s="72">
        <v>7.09</v>
      </c>
    </row>
    <row r="415" spans="1:6" x14ac:dyDescent="0.2">
      <c r="A415" s="71">
        <v>40205</v>
      </c>
      <c r="B415" s="72">
        <v>0.25</v>
      </c>
      <c r="C415" s="71">
        <v>40205</v>
      </c>
      <c r="D415" s="72">
        <v>0</v>
      </c>
      <c r="E415" s="71">
        <v>32295</v>
      </c>
      <c r="F415" s="72">
        <v>7.51</v>
      </c>
    </row>
    <row r="416" spans="1:6" x14ac:dyDescent="0.2">
      <c r="A416" s="71">
        <v>40206</v>
      </c>
      <c r="B416" s="72">
        <v>0.25</v>
      </c>
      <c r="C416" s="71">
        <v>40206</v>
      </c>
      <c r="D416" s="72">
        <v>0</v>
      </c>
      <c r="E416" s="71">
        <v>32325</v>
      </c>
      <c r="F416" s="72">
        <v>7.75</v>
      </c>
    </row>
    <row r="417" spans="1:6" x14ac:dyDescent="0.2">
      <c r="A417" s="71">
        <v>40207</v>
      </c>
      <c r="B417" s="72">
        <v>0.25</v>
      </c>
      <c r="C417" s="71">
        <v>40207</v>
      </c>
      <c r="D417" s="72">
        <v>0</v>
      </c>
      <c r="E417" s="71">
        <v>32356</v>
      </c>
      <c r="F417" s="72">
        <v>8.01</v>
      </c>
    </row>
    <row r="418" spans="1:6" x14ac:dyDescent="0.2">
      <c r="A418" s="71">
        <v>40208</v>
      </c>
      <c r="B418" s="72">
        <v>0.25</v>
      </c>
      <c r="C418" s="71">
        <v>40208</v>
      </c>
      <c r="D418" s="72">
        <v>0</v>
      </c>
      <c r="E418" s="71">
        <v>32387</v>
      </c>
      <c r="F418" s="72">
        <v>8.19</v>
      </c>
    </row>
    <row r="419" spans="1:6" x14ac:dyDescent="0.2">
      <c r="A419" s="71">
        <v>40209</v>
      </c>
      <c r="B419" s="72">
        <v>0.25</v>
      </c>
      <c r="C419" s="71">
        <v>40209</v>
      </c>
      <c r="D419" s="72">
        <v>0</v>
      </c>
      <c r="E419" s="71">
        <v>32417</v>
      </c>
      <c r="F419" s="72">
        <v>8.3000000000000007</v>
      </c>
    </row>
    <row r="420" spans="1:6" x14ac:dyDescent="0.2">
      <c r="A420" s="71">
        <v>40210</v>
      </c>
      <c r="B420" s="72">
        <v>0.25</v>
      </c>
      <c r="C420" s="71">
        <v>40210</v>
      </c>
      <c r="D420" s="72">
        <v>0</v>
      </c>
      <c r="E420" s="71">
        <v>32448</v>
      </c>
      <c r="F420" s="72">
        <v>8.35</v>
      </c>
    </row>
    <row r="421" spans="1:6" x14ac:dyDescent="0.2">
      <c r="A421" s="71">
        <v>40211</v>
      </c>
      <c r="B421" s="72">
        <v>0.25</v>
      </c>
      <c r="C421" s="71">
        <v>40211</v>
      </c>
      <c r="D421" s="72">
        <v>0</v>
      </c>
      <c r="E421" s="71">
        <v>32478</v>
      </c>
      <c r="F421" s="72">
        <v>8.76</v>
      </c>
    </row>
    <row r="422" spans="1:6" x14ac:dyDescent="0.2">
      <c r="A422" s="71">
        <v>40212</v>
      </c>
      <c r="B422" s="72">
        <v>0.25</v>
      </c>
      <c r="C422" s="71">
        <v>40212</v>
      </c>
      <c r="D422" s="72">
        <v>0</v>
      </c>
      <c r="E422" s="71">
        <v>32509</v>
      </c>
      <c r="F422" s="72">
        <v>9.1199999999999992</v>
      </c>
    </row>
    <row r="423" spans="1:6" x14ac:dyDescent="0.2">
      <c r="A423" s="71">
        <v>40213</v>
      </c>
      <c r="B423" s="72">
        <v>0.25</v>
      </c>
      <c r="C423" s="71">
        <v>40213</v>
      </c>
      <c r="D423" s="72">
        <v>0</v>
      </c>
      <c r="E423" s="71">
        <v>32540</v>
      </c>
      <c r="F423" s="72">
        <v>9.36</v>
      </c>
    </row>
    <row r="424" spans="1:6" x14ac:dyDescent="0.2">
      <c r="A424" s="71">
        <v>40214</v>
      </c>
      <c r="B424" s="72">
        <v>0.25</v>
      </c>
      <c r="C424" s="71">
        <v>40214</v>
      </c>
      <c r="D424" s="72">
        <v>0</v>
      </c>
      <c r="E424" s="71">
        <v>32568</v>
      </c>
      <c r="F424" s="72">
        <v>9.85</v>
      </c>
    </row>
    <row r="425" spans="1:6" x14ac:dyDescent="0.2">
      <c r="A425" s="71">
        <v>40215</v>
      </c>
      <c r="B425" s="72">
        <v>0.25</v>
      </c>
      <c r="C425" s="71">
        <v>40215</v>
      </c>
      <c r="D425" s="72">
        <v>0</v>
      </c>
      <c r="E425" s="71">
        <v>32599</v>
      </c>
      <c r="F425" s="72">
        <v>9.84</v>
      </c>
    </row>
    <row r="426" spans="1:6" x14ac:dyDescent="0.2">
      <c r="A426" s="71">
        <v>40216</v>
      </c>
      <c r="B426" s="72">
        <v>0.25</v>
      </c>
      <c r="C426" s="71">
        <v>40216</v>
      </c>
      <c r="D426" s="72">
        <v>0</v>
      </c>
      <c r="E426" s="71">
        <v>32629</v>
      </c>
      <c r="F426" s="72">
        <v>9.81</v>
      </c>
    </row>
    <row r="427" spans="1:6" x14ac:dyDescent="0.2">
      <c r="A427" s="71">
        <v>40217</v>
      </c>
      <c r="B427" s="72">
        <v>0.25</v>
      </c>
      <c r="C427" s="71">
        <v>40217</v>
      </c>
      <c r="D427" s="72">
        <v>0</v>
      </c>
      <c r="E427" s="71">
        <v>32660</v>
      </c>
      <c r="F427" s="72">
        <v>9.5299999999999994</v>
      </c>
    </row>
    <row r="428" spans="1:6" x14ac:dyDescent="0.2">
      <c r="A428" s="71">
        <v>40218</v>
      </c>
      <c r="B428" s="72">
        <v>0.25</v>
      </c>
      <c r="C428" s="71">
        <v>40218</v>
      </c>
      <c r="D428" s="72">
        <v>0</v>
      </c>
      <c r="E428" s="71">
        <v>32690</v>
      </c>
      <c r="F428" s="72">
        <v>9.24</v>
      </c>
    </row>
    <row r="429" spans="1:6" x14ac:dyDescent="0.2">
      <c r="A429" s="71">
        <v>40219</v>
      </c>
      <c r="B429" s="72">
        <v>0.25</v>
      </c>
      <c r="C429" s="71">
        <v>40219</v>
      </c>
      <c r="D429" s="72">
        <v>0</v>
      </c>
      <c r="E429" s="71">
        <v>32721</v>
      </c>
      <c r="F429" s="72">
        <v>8.99</v>
      </c>
    </row>
    <row r="430" spans="1:6" x14ac:dyDescent="0.2">
      <c r="A430" s="71">
        <v>40220</v>
      </c>
      <c r="B430" s="72">
        <v>0.25</v>
      </c>
      <c r="C430" s="71">
        <v>40220</v>
      </c>
      <c r="D430" s="72">
        <v>0</v>
      </c>
      <c r="E430" s="71">
        <v>32752</v>
      </c>
      <c r="F430" s="72">
        <v>9.02</v>
      </c>
    </row>
    <row r="431" spans="1:6" x14ac:dyDescent="0.2">
      <c r="A431" s="71">
        <v>40221</v>
      </c>
      <c r="B431" s="72">
        <v>0.25</v>
      </c>
      <c r="C431" s="71">
        <v>40221</v>
      </c>
      <c r="D431" s="72">
        <v>0</v>
      </c>
      <c r="E431" s="71">
        <v>32782</v>
      </c>
      <c r="F431" s="72">
        <v>8.84</v>
      </c>
    </row>
    <row r="432" spans="1:6" x14ac:dyDescent="0.2">
      <c r="A432" s="71">
        <v>40222</v>
      </c>
      <c r="B432" s="72">
        <v>0.25</v>
      </c>
      <c r="C432" s="71">
        <v>40222</v>
      </c>
      <c r="D432" s="72">
        <v>0</v>
      </c>
      <c r="E432" s="71">
        <v>32813</v>
      </c>
      <c r="F432" s="72">
        <v>8.5500000000000007</v>
      </c>
    </row>
    <row r="433" spans="1:6" x14ac:dyDescent="0.2">
      <c r="A433" s="71">
        <v>40223</v>
      </c>
      <c r="B433" s="72">
        <v>0.25</v>
      </c>
      <c r="C433" s="71">
        <v>40223</v>
      </c>
      <c r="D433" s="72">
        <v>0</v>
      </c>
      <c r="E433" s="71">
        <v>32843</v>
      </c>
      <c r="F433" s="72">
        <v>8.4499999999999993</v>
      </c>
    </row>
    <row r="434" spans="1:6" x14ac:dyDescent="0.2">
      <c r="A434" s="71">
        <v>40224</v>
      </c>
      <c r="B434" s="72">
        <v>0.25</v>
      </c>
      <c r="C434" s="71">
        <v>40224</v>
      </c>
      <c r="D434" s="72">
        <v>0</v>
      </c>
      <c r="E434" s="71">
        <v>32874</v>
      </c>
      <c r="F434" s="72">
        <v>8.23</v>
      </c>
    </row>
    <row r="435" spans="1:6" x14ac:dyDescent="0.2">
      <c r="A435" s="71">
        <v>40225</v>
      </c>
      <c r="B435" s="72">
        <v>0.25</v>
      </c>
      <c r="C435" s="71">
        <v>40225</v>
      </c>
      <c r="D435" s="72">
        <v>0</v>
      </c>
      <c r="E435" s="71">
        <v>32905</v>
      </c>
      <c r="F435" s="72">
        <v>8.24</v>
      </c>
    </row>
    <row r="436" spans="1:6" x14ac:dyDescent="0.2">
      <c r="A436" s="71">
        <v>40226</v>
      </c>
      <c r="B436" s="72">
        <v>0.25</v>
      </c>
      <c r="C436" s="71">
        <v>40226</v>
      </c>
      <c r="D436" s="72">
        <v>0</v>
      </c>
      <c r="E436" s="71">
        <v>32933</v>
      </c>
      <c r="F436" s="72">
        <v>8.2799999999999994</v>
      </c>
    </row>
    <row r="437" spans="1:6" x14ac:dyDescent="0.2">
      <c r="A437" s="71">
        <v>40227</v>
      </c>
      <c r="B437" s="72">
        <v>0.25</v>
      </c>
      <c r="C437" s="71">
        <v>40227</v>
      </c>
      <c r="D437" s="72">
        <v>0</v>
      </c>
      <c r="E437" s="71">
        <v>32964</v>
      </c>
      <c r="F437" s="72">
        <v>8.26</v>
      </c>
    </row>
    <row r="438" spans="1:6" x14ac:dyDescent="0.2">
      <c r="A438" s="71">
        <v>40228</v>
      </c>
      <c r="B438" s="72">
        <v>0.25</v>
      </c>
      <c r="C438" s="71">
        <v>40228</v>
      </c>
      <c r="D438" s="72">
        <v>0</v>
      </c>
      <c r="E438" s="71">
        <v>32994</v>
      </c>
      <c r="F438" s="72">
        <v>8.18</v>
      </c>
    </row>
    <row r="439" spans="1:6" x14ac:dyDescent="0.2">
      <c r="A439" s="71">
        <v>40229</v>
      </c>
      <c r="B439" s="72">
        <v>0.25</v>
      </c>
      <c r="C439" s="71">
        <v>40229</v>
      </c>
      <c r="D439" s="72">
        <v>0</v>
      </c>
      <c r="E439" s="71">
        <v>33025</v>
      </c>
      <c r="F439" s="72">
        <v>8.2899999999999991</v>
      </c>
    </row>
    <row r="440" spans="1:6" x14ac:dyDescent="0.2">
      <c r="A440" s="71">
        <v>40230</v>
      </c>
      <c r="B440" s="72">
        <v>0.25</v>
      </c>
      <c r="C440" s="71">
        <v>40230</v>
      </c>
      <c r="D440" s="72">
        <v>0</v>
      </c>
      <c r="E440" s="71">
        <v>33055</v>
      </c>
      <c r="F440" s="72">
        <v>8.15</v>
      </c>
    </row>
    <row r="441" spans="1:6" x14ac:dyDescent="0.2">
      <c r="A441" s="71">
        <v>40231</v>
      </c>
      <c r="B441" s="72">
        <v>0.25</v>
      </c>
      <c r="C441" s="71">
        <v>40231</v>
      </c>
      <c r="D441" s="72">
        <v>0</v>
      </c>
      <c r="E441" s="71">
        <v>33086</v>
      </c>
      <c r="F441" s="72">
        <v>8.1300000000000008</v>
      </c>
    </row>
    <row r="442" spans="1:6" x14ac:dyDescent="0.2">
      <c r="A442" s="71">
        <v>40232</v>
      </c>
      <c r="B442" s="72">
        <v>0.25</v>
      </c>
      <c r="C442" s="71">
        <v>40232</v>
      </c>
      <c r="D442" s="72">
        <v>0</v>
      </c>
      <c r="E442" s="71">
        <v>33117</v>
      </c>
      <c r="F442" s="72">
        <v>8.1999999999999993</v>
      </c>
    </row>
    <row r="443" spans="1:6" x14ac:dyDescent="0.2">
      <c r="A443" s="71">
        <v>40233</v>
      </c>
      <c r="B443" s="72">
        <v>0.25</v>
      </c>
      <c r="C443" s="71">
        <v>40233</v>
      </c>
      <c r="D443" s="72">
        <v>0</v>
      </c>
      <c r="E443" s="71">
        <v>33147</v>
      </c>
      <c r="F443" s="72">
        <v>8.11</v>
      </c>
    </row>
    <row r="444" spans="1:6" x14ac:dyDescent="0.2">
      <c r="A444" s="71">
        <v>40234</v>
      </c>
      <c r="B444" s="72">
        <v>0.25</v>
      </c>
      <c r="C444" s="71">
        <v>40234</v>
      </c>
      <c r="D444" s="72">
        <v>0</v>
      </c>
      <c r="E444" s="71">
        <v>33178</v>
      </c>
      <c r="F444" s="72">
        <v>7.81</v>
      </c>
    </row>
    <row r="445" spans="1:6" x14ac:dyDescent="0.2">
      <c r="A445" s="71">
        <v>40235</v>
      </c>
      <c r="B445" s="72">
        <v>0.25</v>
      </c>
      <c r="C445" s="71">
        <v>40235</v>
      </c>
      <c r="D445" s="72">
        <v>0</v>
      </c>
      <c r="E445" s="71">
        <v>33208</v>
      </c>
      <c r="F445" s="72">
        <v>7.31</v>
      </c>
    </row>
    <row r="446" spans="1:6" x14ac:dyDescent="0.2">
      <c r="A446" s="71">
        <v>40236</v>
      </c>
      <c r="B446" s="72">
        <v>0.25</v>
      </c>
      <c r="C446" s="71">
        <v>40236</v>
      </c>
      <c r="D446" s="72">
        <v>0</v>
      </c>
      <c r="E446" s="71">
        <v>33239</v>
      </c>
      <c r="F446" s="72">
        <v>6.91</v>
      </c>
    </row>
    <row r="447" spans="1:6" x14ac:dyDescent="0.2">
      <c r="A447" s="71">
        <v>40237</v>
      </c>
      <c r="B447" s="72">
        <v>0.25</v>
      </c>
      <c r="C447" s="71">
        <v>40237</v>
      </c>
      <c r="D447" s="72">
        <v>0</v>
      </c>
      <c r="E447" s="71">
        <v>33270</v>
      </c>
      <c r="F447" s="72">
        <v>6.25</v>
      </c>
    </row>
    <row r="448" spans="1:6" x14ac:dyDescent="0.2">
      <c r="A448" s="71">
        <v>40238</v>
      </c>
      <c r="B448" s="72">
        <v>0.25</v>
      </c>
      <c r="C448" s="71">
        <v>40238</v>
      </c>
      <c r="D448" s="72">
        <v>0</v>
      </c>
      <c r="E448" s="71">
        <v>33298</v>
      </c>
      <c r="F448" s="72">
        <v>6.12</v>
      </c>
    </row>
    <row r="449" spans="1:6" x14ac:dyDescent="0.2">
      <c r="A449" s="71">
        <v>40239</v>
      </c>
      <c r="B449" s="72">
        <v>0.25</v>
      </c>
      <c r="C449" s="71">
        <v>40239</v>
      </c>
      <c r="D449" s="72">
        <v>0</v>
      </c>
      <c r="E449" s="71">
        <v>33329</v>
      </c>
      <c r="F449" s="72">
        <v>5.91</v>
      </c>
    </row>
    <row r="450" spans="1:6" x14ac:dyDescent="0.2">
      <c r="A450" s="71">
        <v>40240</v>
      </c>
      <c r="B450" s="72">
        <v>0.25</v>
      </c>
      <c r="C450" s="71">
        <v>40240</v>
      </c>
      <c r="D450" s="72">
        <v>0</v>
      </c>
      <c r="E450" s="71">
        <v>33359</v>
      </c>
      <c r="F450" s="72">
        <v>5.78</v>
      </c>
    </row>
    <row r="451" spans="1:6" x14ac:dyDescent="0.2">
      <c r="A451" s="71">
        <v>40241</v>
      </c>
      <c r="B451" s="72">
        <v>0.25</v>
      </c>
      <c r="C451" s="71">
        <v>40241</v>
      </c>
      <c r="D451" s="72">
        <v>0</v>
      </c>
      <c r="E451" s="71">
        <v>33390</v>
      </c>
      <c r="F451" s="72">
        <v>5.9</v>
      </c>
    </row>
    <row r="452" spans="1:6" x14ac:dyDescent="0.2">
      <c r="A452" s="71">
        <v>40242</v>
      </c>
      <c r="B452" s="72">
        <v>0.25</v>
      </c>
      <c r="C452" s="71">
        <v>40242</v>
      </c>
      <c r="D452" s="72">
        <v>0</v>
      </c>
      <c r="E452" s="71">
        <v>33420</v>
      </c>
      <c r="F452" s="72">
        <v>5.82</v>
      </c>
    </row>
    <row r="453" spans="1:6" x14ac:dyDescent="0.2">
      <c r="A453" s="71">
        <v>40243</v>
      </c>
      <c r="B453" s="72">
        <v>0.25</v>
      </c>
      <c r="C453" s="71">
        <v>40243</v>
      </c>
      <c r="D453" s="72">
        <v>0</v>
      </c>
      <c r="E453" s="71">
        <v>33451</v>
      </c>
      <c r="F453" s="72">
        <v>5.66</v>
      </c>
    </row>
    <row r="454" spans="1:6" x14ac:dyDescent="0.2">
      <c r="A454" s="71">
        <v>40244</v>
      </c>
      <c r="B454" s="72">
        <v>0.25</v>
      </c>
      <c r="C454" s="71">
        <v>40244</v>
      </c>
      <c r="D454" s="72">
        <v>0</v>
      </c>
      <c r="E454" s="71">
        <v>33482</v>
      </c>
      <c r="F454" s="72">
        <v>5.45</v>
      </c>
    </row>
    <row r="455" spans="1:6" x14ac:dyDescent="0.2">
      <c r="A455" s="71">
        <v>40245</v>
      </c>
      <c r="B455" s="72">
        <v>0.25</v>
      </c>
      <c r="C455" s="71">
        <v>40245</v>
      </c>
      <c r="D455" s="72">
        <v>0</v>
      </c>
      <c r="E455" s="71">
        <v>33512</v>
      </c>
      <c r="F455" s="72">
        <v>5.21</v>
      </c>
    </row>
    <row r="456" spans="1:6" x14ac:dyDescent="0.2">
      <c r="A456" s="71">
        <v>40246</v>
      </c>
      <c r="B456" s="72">
        <v>0.25</v>
      </c>
      <c r="C456" s="71">
        <v>40246</v>
      </c>
      <c r="D456" s="72">
        <v>0</v>
      </c>
      <c r="E456" s="71">
        <v>33543</v>
      </c>
      <c r="F456" s="72">
        <v>4.8099999999999996</v>
      </c>
    </row>
    <row r="457" spans="1:6" x14ac:dyDescent="0.2">
      <c r="A457" s="71">
        <v>40247</v>
      </c>
      <c r="B457" s="72">
        <v>0.25</v>
      </c>
      <c r="C457" s="71">
        <v>40247</v>
      </c>
      <c r="D457" s="72">
        <v>0</v>
      </c>
      <c r="E457" s="71">
        <v>33573</v>
      </c>
      <c r="F457" s="72">
        <v>4.43</v>
      </c>
    </row>
    <row r="458" spans="1:6" x14ac:dyDescent="0.2">
      <c r="A458" s="71">
        <v>40248</v>
      </c>
      <c r="B458" s="72">
        <v>0.25</v>
      </c>
      <c r="C458" s="71">
        <v>40248</v>
      </c>
      <c r="D458" s="72">
        <v>0</v>
      </c>
      <c r="E458" s="71">
        <v>33604</v>
      </c>
      <c r="F458" s="72">
        <v>4.03</v>
      </c>
    </row>
    <row r="459" spans="1:6" x14ac:dyDescent="0.2">
      <c r="A459" s="71">
        <v>40249</v>
      </c>
      <c r="B459" s="72">
        <v>0.25</v>
      </c>
      <c r="C459" s="71">
        <v>40249</v>
      </c>
      <c r="D459" s="72">
        <v>0</v>
      </c>
      <c r="E459" s="71">
        <v>33635</v>
      </c>
      <c r="F459" s="72">
        <v>4.0599999999999996</v>
      </c>
    </row>
    <row r="460" spans="1:6" x14ac:dyDescent="0.2">
      <c r="A460" s="71">
        <v>40250</v>
      </c>
      <c r="B460" s="72">
        <v>0.25</v>
      </c>
      <c r="C460" s="71">
        <v>40250</v>
      </c>
      <c r="D460" s="72">
        <v>0</v>
      </c>
      <c r="E460" s="71">
        <v>33664</v>
      </c>
      <c r="F460" s="72">
        <v>3.98</v>
      </c>
    </row>
    <row r="461" spans="1:6" x14ac:dyDescent="0.2">
      <c r="A461" s="71">
        <v>40251</v>
      </c>
      <c r="B461" s="72">
        <v>0.25</v>
      </c>
      <c r="C461" s="71">
        <v>40251</v>
      </c>
      <c r="D461" s="72">
        <v>0</v>
      </c>
      <c r="E461" s="71">
        <v>33695</v>
      </c>
      <c r="F461" s="72">
        <v>3.73</v>
      </c>
    </row>
    <row r="462" spans="1:6" x14ac:dyDescent="0.2">
      <c r="A462" s="71">
        <v>40252</v>
      </c>
      <c r="B462" s="72">
        <v>0.25</v>
      </c>
      <c r="C462" s="71">
        <v>40252</v>
      </c>
      <c r="D462" s="72">
        <v>0</v>
      </c>
      <c r="E462" s="71">
        <v>33725</v>
      </c>
      <c r="F462" s="72">
        <v>3.82</v>
      </c>
    </row>
    <row r="463" spans="1:6" x14ac:dyDescent="0.2">
      <c r="A463" s="71">
        <v>40253</v>
      </c>
      <c r="B463" s="72">
        <v>0.25</v>
      </c>
      <c r="C463" s="71">
        <v>40253</v>
      </c>
      <c r="D463" s="72">
        <v>0</v>
      </c>
      <c r="E463" s="71">
        <v>33756</v>
      </c>
      <c r="F463" s="72">
        <v>3.76</v>
      </c>
    </row>
    <row r="464" spans="1:6" x14ac:dyDescent="0.2">
      <c r="A464" s="71">
        <v>40254</v>
      </c>
      <c r="B464" s="72">
        <v>0.25</v>
      </c>
      <c r="C464" s="71">
        <v>40254</v>
      </c>
      <c r="D464" s="72">
        <v>0</v>
      </c>
      <c r="E464" s="71">
        <v>33786</v>
      </c>
      <c r="F464" s="72">
        <v>3.25</v>
      </c>
    </row>
    <row r="465" spans="1:6" x14ac:dyDescent="0.2">
      <c r="A465" s="71">
        <v>40255</v>
      </c>
      <c r="B465" s="72">
        <v>0.25</v>
      </c>
      <c r="C465" s="71">
        <v>40255</v>
      </c>
      <c r="D465" s="72">
        <v>0</v>
      </c>
      <c r="E465" s="71">
        <v>33817</v>
      </c>
      <c r="F465" s="72">
        <v>3.3</v>
      </c>
    </row>
    <row r="466" spans="1:6" x14ac:dyDescent="0.2">
      <c r="A466" s="71">
        <v>40256</v>
      </c>
      <c r="B466" s="72">
        <v>0.25</v>
      </c>
      <c r="C466" s="71">
        <v>40256</v>
      </c>
      <c r="D466" s="72">
        <v>0</v>
      </c>
      <c r="E466" s="71">
        <v>33848</v>
      </c>
      <c r="F466" s="72">
        <v>3.22</v>
      </c>
    </row>
    <row r="467" spans="1:6" x14ac:dyDescent="0.2">
      <c r="A467" s="71">
        <v>40257</v>
      </c>
      <c r="B467" s="72">
        <v>0.25</v>
      </c>
      <c r="C467" s="71">
        <v>40257</v>
      </c>
      <c r="D467" s="72">
        <v>0</v>
      </c>
      <c r="E467" s="71">
        <v>33878</v>
      </c>
      <c r="F467" s="72">
        <v>3.1</v>
      </c>
    </row>
    <row r="468" spans="1:6" x14ac:dyDescent="0.2">
      <c r="A468" s="71">
        <v>40258</v>
      </c>
      <c r="B468" s="72">
        <v>0.25</v>
      </c>
      <c r="C468" s="71">
        <v>40258</v>
      </c>
      <c r="D468" s="72">
        <v>0</v>
      </c>
      <c r="E468" s="71">
        <v>33909</v>
      </c>
      <c r="F468" s="72">
        <v>3.09</v>
      </c>
    </row>
    <row r="469" spans="1:6" x14ac:dyDescent="0.2">
      <c r="A469" s="71">
        <v>40259</v>
      </c>
      <c r="B469" s="72">
        <v>0.25</v>
      </c>
      <c r="C469" s="71">
        <v>40259</v>
      </c>
      <c r="D469" s="72">
        <v>0</v>
      </c>
      <c r="E469" s="71">
        <v>33939</v>
      </c>
      <c r="F469" s="72">
        <v>2.92</v>
      </c>
    </row>
    <row r="470" spans="1:6" x14ac:dyDescent="0.2">
      <c r="A470" s="71">
        <v>40260</v>
      </c>
      <c r="B470" s="72">
        <v>0.25</v>
      </c>
      <c r="C470" s="71">
        <v>40260</v>
      </c>
      <c r="D470" s="72">
        <v>0</v>
      </c>
      <c r="E470" s="71">
        <v>33970</v>
      </c>
      <c r="F470" s="72">
        <v>3.02</v>
      </c>
    </row>
    <row r="471" spans="1:6" x14ac:dyDescent="0.2">
      <c r="A471" s="71">
        <v>40261</v>
      </c>
      <c r="B471" s="72">
        <v>0.25</v>
      </c>
      <c r="C471" s="71">
        <v>40261</v>
      </c>
      <c r="D471" s="72">
        <v>0</v>
      </c>
      <c r="E471" s="71">
        <v>34001</v>
      </c>
      <c r="F471" s="72">
        <v>3.03</v>
      </c>
    </row>
    <row r="472" spans="1:6" x14ac:dyDescent="0.2">
      <c r="A472" s="71">
        <v>40262</v>
      </c>
      <c r="B472" s="72">
        <v>0.25</v>
      </c>
      <c r="C472" s="71">
        <v>40262</v>
      </c>
      <c r="D472" s="72">
        <v>0</v>
      </c>
      <c r="E472" s="71">
        <v>34029</v>
      </c>
      <c r="F472" s="72">
        <v>3.07</v>
      </c>
    </row>
    <row r="473" spans="1:6" x14ac:dyDescent="0.2">
      <c r="A473" s="71">
        <v>40263</v>
      </c>
      <c r="B473" s="72">
        <v>0.25</v>
      </c>
      <c r="C473" s="71">
        <v>40263</v>
      </c>
      <c r="D473" s="72">
        <v>0</v>
      </c>
      <c r="E473" s="71">
        <v>34060</v>
      </c>
      <c r="F473" s="72">
        <v>2.96</v>
      </c>
    </row>
    <row r="474" spans="1:6" x14ac:dyDescent="0.2">
      <c r="A474" s="71">
        <v>40264</v>
      </c>
      <c r="B474" s="72">
        <v>0.25</v>
      </c>
      <c r="C474" s="71">
        <v>40264</v>
      </c>
      <c r="D474" s="72">
        <v>0</v>
      </c>
      <c r="E474" s="71">
        <v>34090</v>
      </c>
      <c r="F474" s="72">
        <v>3</v>
      </c>
    </row>
    <row r="475" spans="1:6" x14ac:dyDescent="0.2">
      <c r="A475" s="71">
        <v>40265</v>
      </c>
      <c r="B475" s="72">
        <v>0.25</v>
      </c>
      <c r="C475" s="71">
        <v>40265</v>
      </c>
      <c r="D475" s="72">
        <v>0</v>
      </c>
      <c r="E475" s="71">
        <v>34121</v>
      </c>
      <c r="F475" s="72">
        <v>3.04</v>
      </c>
    </row>
    <row r="476" spans="1:6" x14ac:dyDescent="0.2">
      <c r="A476" s="71">
        <v>40266</v>
      </c>
      <c r="B476" s="72">
        <v>0.25</v>
      </c>
      <c r="C476" s="71">
        <v>40266</v>
      </c>
      <c r="D476" s="72">
        <v>0</v>
      </c>
      <c r="E476" s="71">
        <v>34151</v>
      </c>
      <c r="F476" s="72">
        <v>3.06</v>
      </c>
    </row>
    <row r="477" spans="1:6" x14ac:dyDescent="0.2">
      <c r="A477" s="71">
        <v>40267</v>
      </c>
      <c r="B477" s="72">
        <v>0.25</v>
      </c>
      <c r="C477" s="71">
        <v>40267</v>
      </c>
      <c r="D477" s="72">
        <v>0</v>
      </c>
      <c r="E477" s="71">
        <v>34182</v>
      </c>
      <c r="F477" s="72">
        <v>3.03</v>
      </c>
    </row>
    <row r="478" spans="1:6" x14ac:dyDescent="0.2">
      <c r="A478" s="71">
        <v>40268</v>
      </c>
      <c r="B478" s="72">
        <v>0.25</v>
      </c>
      <c r="C478" s="71">
        <v>40268</v>
      </c>
      <c r="D478" s="72">
        <v>0</v>
      </c>
      <c r="E478" s="71">
        <v>34213</v>
      </c>
      <c r="F478" s="72">
        <v>3.09</v>
      </c>
    </row>
    <row r="479" spans="1:6" x14ac:dyDescent="0.2">
      <c r="A479" s="71">
        <v>40269</v>
      </c>
      <c r="B479" s="72">
        <v>0.25</v>
      </c>
      <c r="C479" s="71">
        <v>40269</v>
      </c>
      <c r="D479" s="72">
        <v>0</v>
      </c>
      <c r="E479" s="71">
        <v>34243</v>
      </c>
      <c r="F479" s="72">
        <v>2.99</v>
      </c>
    </row>
    <row r="480" spans="1:6" x14ac:dyDescent="0.2">
      <c r="A480" s="71">
        <v>40270</v>
      </c>
      <c r="B480" s="72">
        <v>0.25</v>
      </c>
      <c r="C480" s="71">
        <v>40270</v>
      </c>
      <c r="D480" s="72">
        <v>0</v>
      </c>
      <c r="E480" s="71">
        <v>34274</v>
      </c>
      <c r="F480" s="72">
        <v>3.02</v>
      </c>
    </row>
    <row r="481" spans="1:6" x14ac:dyDescent="0.2">
      <c r="A481" s="71">
        <v>40271</v>
      </c>
      <c r="B481" s="72">
        <v>0.25</v>
      </c>
      <c r="C481" s="71">
        <v>40271</v>
      </c>
      <c r="D481" s="72">
        <v>0</v>
      </c>
      <c r="E481" s="71">
        <v>34304</v>
      </c>
      <c r="F481" s="72">
        <v>2.96</v>
      </c>
    </row>
    <row r="482" spans="1:6" x14ac:dyDescent="0.2">
      <c r="A482" s="71">
        <v>40272</v>
      </c>
      <c r="B482" s="72">
        <v>0.25</v>
      </c>
      <c r="C482" s="71">
        <v>40272</v>
      </c>
      <c r="D482" s="72">
        <v>0</v>
      </c>
      <c r="E482" s="71">
        <v>34335</v>
      </c>
      <c r="F482" s="72">
        <v>3.05</v>
      </c>
    </row>
    <row r="483" spans="1:6" x14ac:dyDescent="0.2">
      <c r="A483" s="71">
        <v>40273</v>
      </c>
      <c r="B483" s="72">
        <v>0.25</v>
      </c>
      <c r="C483" s="71">
        <v>40273</v>
      </c>
      <c r="D483" s="72">
        <v>0</v>
      </c>
      <c r="E483" s="71">
        <v>34366</v>
      </c>
      <c r="F483" s="72">
        <v>3.25</v>
      </c>
    </row>
    <row r="484" spans="1:6" x14ac:dyDescent="0.2">
      <c r="A484" s="71">
        <v>40274</v>
      </c>
      <c r="B484" s="72">
        <v>0.25</v>
      </c>
      <c r="C484" s="71">
        <v>40274</v>
      </c>
      <c r="D484" s="72">
        <v>0</v>
      </c>
      <c r="E484" s="71">
        <v>34394</v>
      </c>
      <c r="F484" s="72">
        <v>3.34</v>
      </c>
    </row>
    <row r="485" spans="1:6" x14ac:dyDescent="0.2">
      <c r="A485" s="71">
        <v>40275</v>
      </c>
      <c r="B485" s="72">
        <v>0.25</v>
      </c>
      <c r="C485" s="71">
        <v>40275</v>
      </c>
      <c r="D485" s="72">
        <v>0</v>
      </c>
      <c r="E485" s="71">
        <v>34425</v>
      </c>
      <c r="F485" s="72">
        <v>3.56</v>
      </c>
    </row>
    <row r="486" spans="1:6" x14ac:dyDescent="0.2">
      <c r="A486" s="71">
        <v>40276</v>
      </c>
      <c r="B486" s="72">
        <v>0.25</v>
      </c>
      <c r="C486" s="71">
        <v>40276</v>
      </c>
      <c r="D486" s="72">
        <v>0</v>
      </c>
      <c r="E486" s="71">
        <v>34455</v>
      </c>
      <c r="F486" s="72">
        <v>4.01</v>
      </c>
    </row>
    <row r="487" spans="1:6" x14ac:dyDescent="0.2">
      <c r="A487" s="71">
        <v>40277</v>
      </c>
      <c r="B487" s="72">
        <v>0.25</v>
      </c>
      <c r="C487" s="71">
        <v>40277</v>
      </c>
      <c r="D487" s="72">
        <v>0</v>
      </c>
      <c r="E487" s="71">
        <v>34486</v>
      </c>
      <c r="F487" s="72">
        <v>4.25</v>
      </c>
    </row>
    <row r="488" spans="1:6" x14ac:dyDescent="0.2">
      <c r="A488" s="71">
        <v>40278</v>
      </c>
      <c r="B488" s="72">
        <v>0.25</v>
      </c>
      <c r="C488" s="71">
        <v>40278</v>
      </c>
      <c r="D488" s="72">
        <v>0</v>
      </c>
      <c r="E488" s="71">
        <v>34516</v>
      </c>
      <c r="F488" s="72">
        <v>4.26</v>
      </c>
    </row>
    <row r="489" spans="1:6" x14ac:dyDescent="0.2">
      <c r="A489" s="71">
        <v>40279</v>
      </c>
      <c r="B489" s="72">
        <v>0.25</v>
      </c>
      <c r="C489" s="71">
        <v>40279</v>
      </c>
      <c r="D489" s="72">
        <v>0</v>
      </c>
      <c r="E489" s="71">
        <v>34547</v>
      </c>
      <c r="F489" s="72">
        <v>4.47</v>
      </c>
    </row>
    <row r="490" spans="1:6" x14ac:dyDescent="0.2">
      <c r="A490" s="71">
        <v>40280</v>
      </c>
      <c r="B490" s="72">
        <v>0.25</v>
      </c>
      <c r="C490" s="71">
        <v>40280</v>
      </c>
      <c r="D490" s="72">
        <v>0</v>
      </c>
      <c r="E490" s="71">
        <v>34578</v>
      </c>
      <c r="F490" s="72">
        <v>4.7300000000000004</v>
      </c>
    </row>
    <row r="491" spans="1:6" x14ac:dyDescent="0.2">
      <c r="A491" s="71">
        <v>40281</v>
      </c>
      <c r="B491" s="72">
        <v>0.25</v>
      </c>
      <c r="C491" s="71">
        <v>40281</v>
      </c>
      <c r="D491" s="72">
        <v>0</v>
      </c>
      <c r="E491" s="71">
        <v>34608</v>
      </c>
      <c r="F491" s="72">
        <v>4.76</v>
      </c>
    </row>
    <row r="492" spans="1:6" x14ac:dyDescent="0.2">
      <c r="A492" s="71">
        <v>40282</v>
      </c>
      <c r="B492" s="72">
        <v>0.25</v>
      </c>
      <c r="C492" s="71">
        <v>40282</v>
      </c>
      <c r="D492" s="72">
        <v>0</v>
      </c>
      <c r="E492" s="71">
        <v>34639</v>
      </c>
      <c r="F492" s="72">
        <v>5.29</v>
      </c>
    </row>
    <row r="493" spans="1:6" x14ac:dyDescent="0.2">
      <c r="A493" s="71">
        <v>40283</v>
      </c>
      <c r="B493" s="72">
        <v>0.25</v>
      </c>
      <c r="C493" s="71">
        <v>40283</v>
      </c>
      <c r="D493" s="72">
        <v>0</v>
      </c>
      <c r="E493" s="71">
        <v>34669</v>
      </c>
      <c r="F493" s="72">
        <v>5.45</v>
      </c>
    </row>
    <row r="494" spans="1:6" x14ac:dyDescent="0.2">
      <c r="A494" s="71">
        <v>40284</v>
      </c>
      <c r="B494" s="72">
        <v>0.25</v>
      </c>
      <c r="C494" s="71">
        <v>40284</v>
      </c>
      <c r="D494" s="72">
        <v>0</v>
      </c>
      <c r="E494" s="71">
        <v>34700</v>
      </c>
      <c r="F494" s="72">
        <v>5.53</v>
      </c>
    </row>
    <row r="495" spans="1:6" x14ac:dyDescent="0.2">
      <c r="A495" s="71">
        <v>40285</v>
      </c>
      <c r="B495" s="72">
        <v>0.25</v>
      </c>
      <c r="C495" s="71">
        <v>40285</v>
      </c>
      <c r="D495" s="72">
        <v>0</v>
      </c>
      <c r="E495" s="71">
        <v>34731</v>
      </c>
      <c r="F495" s="72">
        <v>5.92</v>
      </c>
    </row>
    <row r="496" spans="1:6" x14ac:dyDescent="0.2">
      <c r="A496" s="71">
        <v>40286</v>
      </c>
      <c r="B496" s="72">
        <v>0.25</v>
      </c>
      <c r="C496" s="71">
        <v>40286</v>
      </c>
      <c r="D496" s="72">
        <v>0</v>
      </c>
      <c r="E496" s="71">
        <v>34759</v>
      </c>
      <c r="F496" s="72">
        <v>5.98</v>
      </c>
    </row>
    <row r="497" spans="1:6" x14ac:dyDescent="0.2">
      <c r="A497" s="71">
        <v>40287</v>
      </c>
      <c r="B497" s="72">
        <v>0.25</v>
      </c>
      <c r="C497" s="71">
        <v>40287</v>
      </c>
      <c r="D497" s="72">
        <v>0</v>
      </c>
      <c r="E497" s="71">
        <v>34790</v>
      </c>
      <c r="F497" s="72">
        <v>6.05</v>
      </c>
    </row>
    <row r="498" spans="1:6" x14ac:dyDescent="0.2">
      <c r="A498" s="71">
        <v>40288</v>
      </c>
      <c r="B498" s="72">
        <v>0.25</v>
      </c>
      <c r="C498" s="71">
        <v>40288</v>
      </c>
      <c r="D498" s="72">
        <v>0</v>
      </c>
      <c r="E498" s="71">
        <v>34820</v>
      </c>
      <c r="F498" s="72">
        <v>6.01</v>
      </c>
    </row>
    <row r="499" spans="1:6" x14ac:dyDescent="0.2">
      <c r="A499" s="71">
        <v>40289</v>
      </c>
      <c r="B499" s="72">
        <v>0.25</v>
      </c>
      <c r="C499" s="71">
        <v>40289</v>
      </c>
      <c r="D499" s="72">
        <v>0</v>
      </c>
      <c r="E499" s="71">
        <v>34851</v>
      </c>
      <c r="F499" s="72">
        <v>6</v>
      </c>
    </row>
    <row r="500" spans="1:6" x14ac:dyDescent="0.2">
      <c r="A500" s="71">
        <v>40290</v>
      </c>
      <c r="B500" s="72">
        <v>0.25</v>
      </c>
      <c r="C500" s="71">
        <v>40290</v>
      </c>
      <c r="D500" s="72">
        <v>0</v>
      </c>
      <c r="E500" s="71">
        <v>34881</v>
      </c>
      <c r="F500" s="72">
        <v>5.85</v>
      </c>
    </row>
    <row r="501" spans="1:6" x14ac:dyDescent="0.2">
      <c r="A501" s="71">
        <v>40291</v>
      </c>
      <c r="B501" s="72">
        <v>0.25</v>
      </c>
      <c r="C501" s="71">
        <v>40291</v>
      </c>
      <c r="D501" s="72">
        <v>0</v>
      </c>
      <c r="E501" s="71">
        <v>34912</v>
      </c>
      <c r="F501" s="72">
        <v>5.74</v>
      </c>
    </row>
    <row r="502" spans="1:6" x14ac:dyDescent="0.2">
      <c r="A502" s="71">
        <v>40292</v>
      </c>
      <c r="B502" s="72">
        <v>0.25</v>
      </c>
      <c r="C502" s="71">
        <v>40292</v>
      </c>
      <c r="D502" s="72">
        <v>0</v>
      </c>
      <c r="E502" s="71">
        <v>34943</v>
      </c>
      <c r="F502" s="72">
        <v>5.8</v>
      </c>
    </row>
    <row r="503" spans="1:6" x14ac:dyDescent="0.2">
      <c r="A503" s="71">
        <v>40293</v>
      </c>
      <c r="B503" s="72">
        <v>0.25</v>
      </c>
      <c r="C503" s="71">
        <v>40293</v>
      </c>
      <c r="D503" s="72">
        <v>0</v>
      </c>
      <c r="E503" s="71">
        <v>34973</v>
      </c>
      <c r="F503" s="72">
        <v>5.76</v>
      </c>
    </row>
    <row r="504" spans="1:6" x14ac:dyDescent="0.2">
      <c r="A504" s="71">
        <v>40294</v>
      </c>
      <c r="B504" s="72">
        <v>0.25</v>
      </c>
      <c r="C504" s="71">
        <v>40294</v>
      </c>
      <c r="D504" s="72">
        <v>0</v>
      </c>
      <c r="E504" s="71">
        <v>35004</v>
      </c>
      <c r="F504" s="72">
        <v>5.8</v>
      </c>
    </row>
    <row r="505" spans="1:6" x14ac:dyDescent="0.2">
      <c r="A505" s="71">
        <v>40295</v>
      </c>
      <c r="B505" s="72">
        <v>0.25</v>
      </c>
      <c r="C505" s="71">
        <v>40295</v>
      </c>
      <c r="D505" s="72">
        <v>0</v>
      </c>
      <c r="E505" s="71">
        <v>35034</v>
      </c>
      <c r="F505" s="72">
        <v>5.6</v>
      </c>
    </row>
    <row r="506" spans="1:6" x14ac:dyDescent="0.2">
      <c r="A506" s="71">
        <v>40296</v>
      </c>
      <c r="B506" s="72">
        <v>0.25</v>
      </c>
      <c r="C506" s="71">
        <v>40296</v>
      </c>
      <c r="D506" s="72">
        <v>0</v>
      </c>
      <c r="E506" s="71">
        <v>35065</v>
      </c>
      <c r="F506" s="72">
        <v>5.56</v>
      </c>
    </row>
    <row r="507" spans="1:6" x14ac:dyDescent="0.2">
      <c r="A507" s="71">
        <v>40297</v>
      </c>
      <c r="B507" s="72">
        <v>0.25</v>
      </c>
      <c r="C507" s="71">
        <v>40297</v>
      </c>
      <c r="D507" s="72">
        <v>0</v>
      </c>
      <c r="E507" s="71">
        <v>35096</v>
      </c>
      <c r="F507" s="72">
        <v>5.22</v>
      </c>
    </row>
    <row r="508" spans="1:6" x14ac:dyDescent="0.2">
      <c r="A508" s="71">
        <v>40298</v>
      </c>
      <c r="B508" s="72">
        <v>0.25</v>
      </c>
      <c r="C508" s="71">
        <v>40298</v>
      </c>
      <c r="D508" s="72">
        <v>0</v>
      </c>
      <c r="E508" s="71">
        <v>35125</v>
      </c>
      <c r="F508" s="72">
        <v>5.31</v>
      </c>
    </row>
    <row r="509" spans="1:6" x14ac:dyDescent="0.2">
      <c r="A509" s="71">
        <v>40299</v>
      </c>
      <c r="B509" s="72">
        <v>0.25</v>
      </c>
      <c r="C509" s="71">
        <v>40299</v>
      </c>
      <c r="D509" s="72">
        <v>0</v>
      </c>
      <c r="E509" s="71">
        <v>35156</v>
      </c>
      <c r="F509" s="72">
        <v>5.22</v>
      </c>
    </row>
    <row r="510" spans="1:6" x14ac:dyDescent="0.2">
      <c r="A510" s="71">
        <v>40300</v>
      </c>
      <c r="B510" s="72">
        <v>0.25</v>
      </c>
      <c r="C510" s="71">
        <v>40300</v>
      </c>
      <c r="D510" s="72">
        <v>0</v>
      </c>
      <c r="E510" s="71">
        <v>35186</v>
      </c>
      <c r="F510" s="72">
        <v>5.24</v>
      </c>
    </row>
    <row r="511" spans="1:6" x14ac:dyDescent="0.2">
      <c r="A511" s="71">
        <v>40301</v>
      </c>
      <c r="B511" s="72">
        <v>0.25</v>
      </c>
      <c r="C511" s="71">
        <v>40301</v>
      </c>
      <c r="D511" s="72">
        <v>0</v>
      </c>
      <c r="E511" s="71">
        <v>35217</v>
      </c>
      <c r="F511" s="72">
        <v>5.27</v>
      </c>
    </row>
    <row r="512" spans="1:6" x14ac:dyDescent="0.2">
      <c r="A512" s="71">
        <v>40302</v>
      </c>
      <c r="B512" s="72">
        <v>0.25</v>
      </c>
      <c r="C512" s="71">
        <v>40302</v>
      </c>
      <c r="D512" s="72">
        <v>0</v>
      </c>
      <c r="E512" s="71">
        <v>35247</v>
      </c>
      <c r="F512" s="72">
        <v>5.4</v>
      </c>
    </row>
    <row r="513" spans="1:6" x14ac:dyDescent="0.2">
      <c r="A513" s="71">
        <v>40303</v>
      </c>
      <c r="B513" s="72">
        <v>0.25</v>
      </c>
      <c r="C513" s="71">
        <v>40303</v>
      </c>
      <c r="D513" s="72">
        <v>0</v>
      </c>
      <c r="E513" s="71">
        <v>35278</v>
      </c>
      <c r="F513" s="72">
        <v>5.22</v>
      </c>
    </row>
    <row r="514" spans="1:6" x14ac:dyDescent="0.2">
      <c r="A514" s="71">
        <v>40304</v>
      </c>
      <c r="B514" s="72">
        <v>0.25</v>
      </c>
      <c r="C514" s="71">
        <v>40304</v>
      </c>
      <c r="D514" s="72">
        <v>0</v>
      </c>
      <c r="E514" s="71">
        <v>35309</v>
      </c>
      <c r="F514" s="72">
        <v>5.3</v>
      </c>
    </row>
    <row r="515" spans="1:6" x14ac:dyDescent="0.2">
      <c r="A515" s="71">
        <v>40305</v>
      </c>
      <c r="B515" s="72">
        <v>0.25</v>
      </c>
      <c r="C515" s="71">
        <v>40305</v>
      </c>
      <c r="D515" s="72">
        <v>0</v>
      </c>
      <c r="E515" s="71">
        <v>35339</v>
      </c>
      <c r="F515" s="72">
        <v>5.24</v>
      </c>
    </row>
    <row r="516" spans="1:6" x14ac:dyDescent="0.2">
      <c r="A516" s="71">
        <v>40306</v>
      </c>
      <c r="B516" s="72">
        <v>0.25</v>
      </c>
      <c r="C516" s="71">
        <v>40306</v>
      </c>
      <c r="D516" s="72">
        <v>0</v>
      </c>
      <c r="E516" s="71">
        <v>35370</v>
      </c>
      <c r="F516" s="72">
        <v>5.31</v>
      </c>
    </row>
    <row r="517" spans="1:6" x14ac:dyDescent="0.2">
      <c r="A517" s="71">
        <v>40307</v>
      </c>
      <c r="B517" s="72">
        <v>0.25</v>
      </c>
      <c r="C517" s="71">
        <v>40307</v>
      </c>
      <c r="D517" s="72">
        <v>0</v>
      </c>
      <c r="E517" s="71">
        <v>35400</v>
      </c>
      <c r="F517" s="72">
        <v>5.29</v>
      </c>
    </row>
    <row r="518" spans="1:6" x14ac:dyDescent="0.2">
      <c r="A518" s="71">
        <v>40308</v>
      </c>
      <c r="B518" s="72">
        <v>0.25</v>
      </c>
      <c r="C518" s="71">
        <v>40308</v>
      </c>
      <c r="D518" s="72">
        <v>0</v>
      </c>
      <c r="E518" s="71">
        <v>35431</v>
      </c>
      <c r="F518" s="72">
        <v>5.25</v>
      </c>
    </row>
    <row r="519" spans="1:6" x14ac:dyDescent="0.2">
      <c r="A519" s="71">
        <v>40309</v>
      </c>
      <c r="B519" s="72">
        <v>0.25</v>
      </c>
      <c r="C519" s="71">
        <v>40309</v>
      </c>
      <c r="D519" s="72">
        <v>0</v>
      </c>
      <c r="E519" s="71">
        <v>35462</v>
      </c>
      <c r="F519" s="72">
        <v>5.19</v>
      </c>
    </row>
    <row r="520" spans="1:6" x14ac:dyDescent="0.2">
      <c r="A520" s="71">
        <v>40310</v>
      </c>
      <c r="B520" s="72">
        <v>0.25</v>
      </c>
      <c r="C520" s="71">
        <v>40310</v>
      </c>
      <c r="D520" s="72">
        <v>0</v>
      </c>
      <c r="E520" s="71">
        <v>35490</v>
      </c>
      <c r="F520" s="72">
        <v>5.39</v>
      </c>
    </row>
    <row r="521" spans="1:6" x14ac:dyDescent="0.2">
      <c r="A521" s="71">
        <v>40311</v>
      </c>
      <c r="B521" s="72">
        <v>0.25</v>
      </c>
      <c r="C521" s="71">
        <v>40311</v>
      </c>
      <c r="D521" s="72">
        <v>0</v>
      </c>
      <c r="E521" s="71">
        <v>35521</v>
      </c>
      <c r="F521" s="72">
        <v>5.51</v>
      </c>
    </row>
    <row r="522" spans="1:6" x14ac:dyDescent="0.2">
      <c r="A522" s="71">
        <v>40312</v>
      </c>
      <c r="B522" s="72">
        <v>0.25</v>
      </c>
      <c r="C522" s="71">
        <v>40312</v>
      </c>
      <c r="D522" s="72">
        <v>0</v>
      </c>
      <c r="E522" s="71">
        <v>35551</v>
      </c>
      <c r="F522" s="72">
        <v>5.5</v>
      </c>
    </row>
    <row r="523" spans="1:6" x14ac:dyDescent="0.2">
      <c r="A523" s="71">
        <v>40313</v>
      </c>
      <c r="B523" s="72">
        <v>0.25</v>
      </c>
      <c r="C523" s="71">
        <v>40313</v>
      </c>
      <c r="D523" s="72">
        <v>0</v>
      </c>
      <c r="E523" s="71">
        <v>35582</v>
      </c>
      <c r="F523" s="72">
        <v>5.56</v>
      </c>
    </row>
    <row r="524" spans="1:6" x14ac:dyDescent="0.2">
      <c r="A524" s="71">
        <v>40314</v>
      </c>
      <c r="B524" s="72">
        <v>0.25</v>
      </c>
      <c r="C524" s="71">
        <v>40314</v>
      </c>
      <c r="D524" s="72">
        <v>0</v>
      </c>
      <c r="E524" s="71">
        <v>35612</v>
      </c>
      <c r="F524" s="72">
        <v>5.52</v>
      </c>
    </row>
    <row r="525" spans="1:6" x14ac:dyDescent="0.2">
      <c r="A525" s="71">
        <v>40315</v>
      </c>
      <c r="B525" s="72">
        <v>0.25</v>
      </c>
      <c r="C525" s="71">
        <v>40315</v>
      </c>
      <c r="D525" s="72">
        <v>0</v>
      </c>
      <c r="E525" s="71">
        <v>35643</v>
      </c>
      <c r="F525" s="72">
        <v>5.54</v>
      </c>
    </row>
    <row r="526" spans="1:6" x14ac:dyDescent="0.2">
      <c r="A526" s="71">
        <v>40316</v>
      </c>
      <c r="B526" s="72">
        <v>0.25</v>
      </c>
      <c r="C526" s="71">
        <v>40316</v>
      </c>
      <c r="D526" s="72">
        <v>0</v>
      </c>
      <c r="E526" s="71">
        <v>35674</v>
      </c>
      <c r="F526" s="72">
        <v>5.54</v>
      </c>
    </row>
    <row r="527" spans="1:6" x14ac:dyDescent="0.2">
      <c r="A527" s="71">
        <v>40317</v>
      </c>
      <c r="B527" s="72">
        <v>0.25</v>
      </c>
      <c r="C527" s="71">
        <v>40317</v>
      </c>
      <c r="D527" s="72">
        <v>0</v>
      </c>
      <c r="E527" s="71">
        <v>35704</v>
      </c>
      <c r="F527" s="72">
        <v>5.5</v>
      </c>
    </row>
    <row r="528" spans="1:6" x14ac:dyDescent="0.2">
      <c r="A528" s="71">
        <v>40318</v>
      </c>
      <c r="B528" s="72">
        <v>0.25</v>
      </c>
      <c r="C528" s="71">
        <v>40318</v>
      </c>
      <c r="D528" s="72">
        <v>0</v>
      </c>
      <c r="E528" s="71">
        <v>35735</v>
      </c>
      <c r="F528" s="72">
        <v>5.52</v>
      </c>
    </row>
    <row r="529" spans="1:6" x14ac:dyDescent="0.2">
      <c r="A529" s="71">
        <v>40319</v>
      </c>
      <c r="B529" s="72">
        <v>0.25</v>
      </c>
      <c r="C529" s="71">
        <v>40319</v>
      </c>
      <c r="D529" s="72">
        <v>0</v>
      </c>
      <c r="E529" s="71">
        <v>35765</v>
      </c>
      <c r="F529" s="72">
        <v>5.5</v>
      </c>
    </row>
    <row r="530" spans="1:6" x14ac:dyDescent="0.2">
      <c r="A530" s="71">
        <v>40320</v>
      </c>
      <c r="B530" s="72">
        <v>0.25</v>
      </c>
      <c r="C530" s="71">
        <v>40320</v>
      </c>
      <c r="D530" s="72">
        <v>0</v>
      </c>
      <c r="E530" s="71">
        <v>35796</v>
      </c>
      <c r="F530" s="72">
        <v>5.56</v>
      </c>
    </row>
    <row r="531" spans="1:6" x14ac:dyDescent="0.2">
      <c r="A531" s="71">
        <v>40321</v>
      </c>
      <c r="B531" s="72">
        <v>0.25</v>
      </c>
      <c r="C531" s="71">
        <v>40321</v>
      </c>
      <c r="D531" s="72">
        <v>0</v>
      </c>
      <c r="E531" s="71">
        <v>35827</v>
      </c>
      <c r="F531" s="72">
        <v>5.51</v>
      </c>
    </row>
    <row r="532" spans="1:6" x14ac:dyDescent="0.2">
      <c r="A532" s="71">
        <v>40322</v>
      </c>
      <c r="B532" s="72">
        <v>0.25</v>
      </c>
      <c r="C532" s="71">
        <v>40322</v>
      </c>
      <c r="D532" s="72">
        <v>0</v>
      </c>
      <c r="E532" s="71">
        <v>35855</v>
      </c>
      <c r="F532" s="72">
        <v>5.49</v>
      </c>
    </row>
    <row r="533" spans="1:6" x14ac:dyDescent="0.2">
      <c r="A533" s="71">
        <v>40323</v>
      </c>
      <c r="B533" s="72">
        <v>0.25</v>
      </c>
      <c r="C533" s="71">
        <v>40323</v>
      </c>
      <c r="D533" s="72">
        <v>0</v>
      </c>
      <c r="E533" s="71">
        <v>35886</v>
      </c>
      <c r="F533" s="72">
        <v>5.45</v>
      </c>
    </row>
    <row r="534" spans="1:6" x14ac:dyDescent="0.2">
      <c r="A534" s="71">
        <v>40324</v>
      </c>
      <c r="B534" s="72">
        <v>0.25</v>
      </c>
      <c r="C534" s="71">
        <v>40324</v>
      </c>
      <c r="D534" s="72">
        <v>0</v>
      </c>
      <c r="E534" s="71">
        <v>35916</v>
      </c>
      <c r="F534" s="72">
        <v>5.49</v>
      </c>
    </row>
    <row r="535" spans="1:6" x14ac:dyDescent="0.2">
      <c r="A535" s="71">
        <v>40325</v>
      </c>
      <c r="B535" s="72">
        <v>0.25</v>
      </c>
      <c r="C535" s="71">
        <v>40325</v>
      </c>
      <c r="D535" s="72">
        <v>0</v>
      </c>
      <c r="E535" s="71">
        <v>35947</v>
      </c>
      <c r="F535" s="72">
        <v>5.56</v>
      </c>
    </row>
    <row r="536" spans="1:6" x14ac:dyDescent="0.2">
      <c r="A536" s="71">
        <v>40326</v>
      </c>
      <c r="B536" s="72">
        <v>0.25</v>
      </c>
      <c r="C536" s="71">
        <v>40326</v>
      </c>
      <c r="D536" s="72">
        <v>0</v>
      </c>
      <c r="E536" s="71">
        <v>35977</v>
      </c>
      <c r="F536" s="72">
        <v>5.54</v>
      </c>
    </row>
    <row r="537" spans="1:6" x14ac:dyDescent="0.2">
      <c r="A537" s="71">
        <v>40327</v>
      </c>
      <c r="B537" s="72">
        <v>0.25</v>
      </c>
      <c r="C537" s="71">
        <v>40327</v>
      </c>
      <c r="D537" s="72">
        <v>0</v>
      </c>
      <c r="E537" s="71">
        <v>36008</v>
      </c>
      <c r="F537" s="72">
        <v>5.55</v>
      </c>
    </row>
    <row r="538" spans="1:6" x14ac:dyDescent="0.2">
      <c r="A538" s="71">
        <v>40328</v>
      </c>
      <c r="B538" s="72">
        <v>0.25</v>
      </c>
      <c r="C538" s="71">
        <v>40328</v>
      </c>
      <c r="D538" s="72">
        <v>0</v>
      </c>
      <c r="E538" s="71">
        <v>36039</v>
      </c>
      <c r="F538" s="72">
        <v>5.51</v>
      </c>
    </row>
    <row r="539" spans="1:6" x14ac:dyDescent="0.2">
      <c r="A539" s="71">
        <v>40329</v>
      </c>
      <c r="B539" s="72">
        <v>0.25</v>
      </c>
      <c r="C539" s="71">
        <v>40329</v>
      </c>
      <c r="D539" s="72">
        <v>0</v>
      </c>
      <c r="E539" s="71">
        <v>36069</v>
      </c>
      <c r="F539" s="72">
        <v>5.07</v>
      </c>
    </row>
    <row r="540" spans="1:6" x14ac:dyDescent="0.2">
      <c r="A540" s="71">
        <v>40330</v>
      </c>
      <c r="B540" s="72">
        <v>0.25</v>
      </c>
      <c r="C540" s="71">
        <v>40330</v>
      </c>
      <c r="D540" s="72">
        <v>0</v>
      </c>
      <c r="E540" s="71">
        <v>36100</v>
      </c>
      <c r="F540" s="72">
        <v>4.83</v>
      </c>
    </row>
    <row r="541" spans="1:6" x14ac:dyDescent="0.2">
      <c r="A541" s="71">
        <v>40331</v>
      </c>
      <c r="B541" s="72">
        <v>0.25</v>
      </c>
      <c r="C541" s="71">
        <v>40331</v>
      </c>
      <c r="D541" s="72">
        <v>0</v>
      </c>
      <c r="E541" s="71">
        <v>36130</v>
      </c>
      <c r="F541" s="72">
        <v>4.68</v>
      </c>
    </row>
    <row r="542" spans="1:6" x14ac:dyDescent="0.2">
      <c r="A542" s="71">
        <v>40332</v>
      </c>
      <c r="B542" s="72">
        <v>0.25</v>
      </c>
      <c r="C542" s="71">
        <v>40332</v>
      </c>
      <c r="D542" s="72">
        <v>0</v>
      </c>
      <c r="E542" s="71">
        <v>36161</v>
      </c>
      <c r="F542" s="72">
        <v>4.63</v>
      </c>
    </row>
    <row r="543" spans="1:6" x14ac:dyDescent="0.2">
      <c r="A543" s="71">
        <v>40333</v>
      </c>
      <c r="B543" s="72">
        <v>0.25</v>
      </c>
      <c r="C543" s="71">
        <v>40333</v>
      </c>
      <c r="D543" s="72">
        <v>0</v>
      </c>
      <c r="E543" s="71">
        <v>36192</v>
      </c>
      <c r="F543" s="72">
        <v>4.76</v>
      </c>
    </row>
    <row r="544" spans="1:6" x14ac:dyDescent="0.2">
      <c r="A544" s="71">
        <v>40334</v>
      </c>
      <c r="B544" s="72">
        <v>0.25</v>
      </c>
      <c r="C544" s="71">
        <v>40334</v>
      </c>
      <c r="D544" s="72">
        <v>0</v>
      </c>
      <c r="E544" s="71">
        <v>36220</v>
      </c>
      <c r="F544" s="72">
        <v>4.8099999999999996</v>
      </c>
    </row>
    <row r="545" spans="1:6" x14ac:dyDescent="0.2">
      <c r="A545" s="71">
        <v>40335</v>
      </c>
      <c r="B545" s="72">
        <v>0.25</v>
      </c>
      <c r="C545" s="71">
        <v>40335</v>
      </c>
      <c r="D545" s="72">
        <v>0</v>
      </c>
      <c r="E545" s="71">
        <v>36251</v>
      </c>
      <c r="F545" s="72">
        <v>4.74</v>
      </c>
    </row>
    <row r="546" spans="1:6" x14ac:dyDescent="0.2">
      <c r="A546" s="71">
        <v>40336</v>
      </c>
      <c r="B546" s="72">
        <v>0.25</v>
      </c>
      <c r="C546" s="71">
        <v>40336</v>
      </c>
      <c r="D546" s="72">
        <v>0</v>
      </c>
      <c r="E546" s="71">
        <v>36281</v>
      </c>
      <c r="F546" s="72">
        <v>4.74</v>
      </c>
    </row>
    <row r="547" spans="1:6" x14ac:dyDescent="0.2">
      <c r="A547" s="71">
        <v>40337</v>
      </c>
      <c r="B547" s="72">
        <v>0.25</v>
      </c>
      <c r="C547" s="71">
        <v>40337</v>
      </c>
      <c r="D547" s="72">
        <v>0</v>
      </c>
      <c r="E547" s="71">
        <v>36312</v>
      </c>
      <c r="F547" s="72">
        <v>4.76</v>
      </c>
    </row>
    <row r="548" spans="1:6" x14ac:dyDescent="0.2">
      <c r="A548" s="71">
        <v>40338</v>
      </c>
      <c r="B548" s="72">
        <v>0.25</v>
      </c>
      <c r="C548" s="71">
        <v>40338</v>
      </c>
      <c r="D548" s="72">
        <v>0</v>
      </c>
      <c r="E548" s="71">
        <v>36342</v>
      </c>
      <c r="F548" s="72">
        <v>4.99</v>
      </c>
    </row>
    <row r="549" spans="1:6" x14ac:dyDescent="0.2">
      <c r="A549" s="71">
        <v>40339</v>
      </c>
      <c r="B549" s="72">
        <v>0.25</v>
      </c>
      <c r="C549" s="71">
        <v>40339</v>
      </c>
      <c r="D549" s="72">
        <v>0</v>
      </c>
      <c r="E549" s="71">
        <v>36373</v>
      </c>
      <c r="F549" s="72">
        <v>5.07</v>
      </c>
    </row>
    <row r="550" spans="1:6" x14ac:dyDescent="0.2">
      <c r="A550" s="71">
        <v>40340</v>
      </c>
      <c r="B550" s="72">
        <v>0.25</v>
      </c>
      <c r="C550" s="71">
        <v>40340</v>
      </c>
      <c r="D550" s="72">
        <v>0</v>
      </c>
      <c r="E550" s="71">
        <v>36404</v>
      </c>
      <c r="F550" s="72">
        <v>5.22</v>
      </c>
    </row>
    <row r="551" spans="1:6" x14ac:dyDescent="0.2">
      <c r="A551" s="71">
        <v>40341</v>
      </c>
      <c r="B551" s="72">
        <v>0.25</v>
      </c>
      <c r="C551" s="71">
        <v>40341</v>
      </c>
      <c r="D551" s="72">
        <v>0</v>
      </c>
      <c r="E551" s="71">
        <v>36434</v>
      </c>
      <c r="F551" s="72">
        <v>5.2</v>
      </c>
    </row>
    <row r="552" spans="1:6" x14ac:dyDescent="0.2">
      <c r="A552" s="71">
        <v>40342</v>
      </c>
      <c r="B552" s="72">
        <v>0.25</v>
      </c>
      <c r="C552" s="71">
        <v>40342</v>
      </c>
      <c r="D552" s="72">
        <v>0</v>
      </c>
      <c r="E552" s="71">
        <v>36465</v>
      </c>
      <c r="F552" s="72">
        <v>5.42</v>
      </c>
    </row>
    <row r="553" spans="1:6" x14ac:dyDescent="0.2">
      <c r="A553" s="71">
        <v>40343</v>
      </c>
      <c r="B553" s="72">
        <v>0.25</v>
      </c>
      <c r="C553" s="71">
        <v>40343</v>
      </c>
      <c r="D553" s="72">
        <v>0</v>
      </c>
      <c r="E553" s="71">
        <v>36495</v>
      </c>
      <c r="F553" s="72">
        <v>5.3</v>
      </c>
    </row>
    <row r="554" spans="1:6" x14ac:dyDescent="0.2">
      <c r="A554" s="71">
        <v>40344</v>
      </c>
      <c r="B554" s="72">
        <v>0.25</v>
      </c>
      <c r="C554" s="71">
        <v>40344</v>
      </c>
      <c r="D554" s="72">
        <v>0</v>
      </c>
      <c r="E554" s="71">
        <v>36526</v>
      </c>
      <c r="F554" s="72">
        <v>5.45</v>
      </c>
    </row>
    <row r="555" spans="1:6" x14ac:dyDescent="0.2">
      <c r="A555" s="71">
        <v>40345</v>
      </c>
      <c r="B555" s="72">
        <v>0.25</v>
      </c>
      <c r="C555" s="71">
        <v>40345</v>
      </c>
      <c r="D555" s="72">
        <v>0</v>
      </c>
      <c r="E555" s="71">
        <v>36557</v>
      </c>
      <c r="F555" s="72">
        <v>5.73</v>
      </c>
    </row>
    <row r="556" spans="1:6" x14ac:dyDescent="0.2">
      <c r="A556" s="71">
        <v>40346</v>
      </c>
      <c r="B556" s="72">
        <v>0.25</v>
      </c>
      <c r="C556" s="71">
        <v>40346</v>
      </c>
      <c r="D556" s="72">
        <v>0</v>
      </c>
      <c r="E556" s="71">
        <v>36586</v>
      </c>
      <c r="F556" s="72">
        <v>5.85</v>
      </c>
    </row>
    <row r="557" spans="1:6" x14ac:dyDescent="0.2">
      <c r="A557" s="71">
        <v>40347</v>
      </c>
      <c r="B557" s="72">
        <v>0.25</v>
      </c>
      <c r="C557" s="71">
        <v>40347</v>
      </c>
      <c r="D557" s="72">
        <v>0</v>
      </c>
      <c r="E557" s="71">
        <v>36617</v>
      </c>
      <c r="F557" s="72">
        <v>6.02</v>
      </c>
    </row>
    <row r="558" spans="1:6" x14ac:dyDescent="0.2">
      <c r="A558" s="71">
        <v>40348</v>
      </c>
      <c r="B558" s="72">
        <v>0.25</v>
      </c>
      <c r="C558" s="71">
        <v>40348</v>
      </c>
      <c r="D558" s="72">
        <v>0</v>
      </c>
      <c r="E558" s="71">
        <v>36647</v>
      </c>
      <c r="F558" s="72">
        <v>6.27</v>
      </c>
    </row>
    <row r="559" spans="1:6" x14ac:dyDescent="0.2">
      <c r="A559" s="71">
        <v>40349</v>
      </c>
      <c r="B559" s="72">
        <v>0.25</v>
      </c>
      <c r="C559" s="71">
        <v>40349</v>
      </c>
      <c r="D559" s="72">
        <v>0</v>
      </c>
      <c r="E559" s="71">
        <v>36678</v>
      </c>
      <c r="F559" s="72">
        <v>6.53</v>
      </c>
    </row>
    <row r="560" spans="1:6" x14ac:dyDescent="0.2">
      <c r="A560" s="71">
        <v>40350</v>
      </c>
      <c r="B560" s="72">
        <v>0.25</v>
      </c>
      <c r="C560" s="71">
        <v>40350</v>
      </c>
      <c r="D560" s="72">
        <v>0</v>
      </c>
      <c r="E560" s="71">
        <v>36708</v>
      </c>
      <c r="F560" s="72">
        <v>6.54</v>
      </c>
    </row>
    <row r="561" spans="1:6" x14ac:dyDescent="0.2">
      <c r="A561" s="71">
        <v>40351</v>
      </c>
      <c r="B561" s="72">
        <v>0.25</v>
      </c>
      <c r="C561" s="71">
        <v>40351</v>
      </c>
      <c r="D561" s="72">
        <v>0</v>
      </c>
      <c r="E561" s="71">
        <v>36739</v>
      </c>
      <c r="F561" s="72">
        <v>6.5</v>
      </c>
    </row>
    <row r="562" spans="1:6" x14ac:dyDescent="0.2">
      <c r="A562" s="71">
        <v>40352</v>
      </c>
      <c r="B562" s="72">
        <v>0.25</v>
      </c>
      <c r="C562" s="71">
        <v>40352</v>
      </c>
      <c r="D562" s="72">
        <v>0</v>
      </c>
      <c r="E562" s="71">
        <v>36770</v>
      </c>
      <c r="F562" s="72">
        <v>6.52</v>
      </c>
    </row>
    <row r="563" spans="1:6" x14ac:dyDescent="0.2">
      <c r="A563" s="71">
        <v>40353</v>
      </c>
      <c r="B563" s="72">
        <v>0.25</v>
      </c>
      <c r="C563" s="71">
        <v>40353</v>
      </c>
      <c r="D563" s="72">
        <v>0</v>
      </c>
      <c r="E563" s="71">
        <v>36800</v>
      </c>
      <c r="F563" s="72">
        <v>6.51</v>
      </c>
    </row>
    <row r="564" spans="1:6" x14ac:dyDescent="0.2">
      <c r="A564" s="71">
        <v>40354</v>
      </c>
      <c r="B564" s="72">
        <v>0.25</v>
      </c>
      <c r="C564" s="71">
        <v>40354</v>
      </c>
      <c r="D564" s="72">
        <v>0</v>
      </c>
      <c r="E564" s="71">
        <v>36831</v>
      </c>
      <c r="F564" s="72">
        <v>6.51</v>
      </c>
    </row>
    <row r="565" spans="1:6" x14ac:dyDescent="0.2">
      <c r="A565" s="71">
        <v>40355</v>
      </c>
      <c r="B565" s="72">
        <v>0.25</v>
      </c>
      <c r="C565" s="71">
        <v>40355</v>
      </c>
      <c r="D565" s="72">
        <v>0</v>
      </c>
      <c r="E565" s="71">
        <v>36861</v>
      </c>
      <c r="F565" s="72">
        <v>6.4</v>
      </c>
    </row>
    <row r="566" spans="1:6" x14ac:dyDescent="0.2">
      <c r="A566" s="71">
        <v>40356</v>
      </c>
      <c r="B566" s="72">
        <v>0.25</v>
      </c>
      <c r="C566" s="71">
        <v>40356</v>
      </c>
      <c r="D566" s="72">
        <v>0</v>
      </c>
      <c r="E566" s="71">
        <v>36892</v>
      </c>
      <c r="F566" s="72">
        <v>5.98</v>
      </c>
    </row>
    <row r="567" spans="1:6" x14ac:dyDescent="0.2">
      <c r="A567" s="71">
        <v>40357</v>
      </c>
      <c r="B567" s="72">
        <v>0.25</v>
      </c>
      <c r="C567" s="71">
        <v>40357</v>
      </c>
      <c r="D567" s="72">
        <v>0</v>
      </c>
      <c r="E567" s="71">
        <v>36923</v>
      </c>
      <c r="F567" s="72">
        <v>5.49</v>
      </c>
    </row>
    <row r="568" spans="1:6" x14ac:dyDescent="0.2">
      <c r="A568" s="71">
        <v>40358</v>
      </c>
      <c r="B568" s="72">
        <v>0.25</v>
      </c>
      <c r="C568" s="71">
        <v>40358</v>
      </c>
      <c r="D568" s="72">
        <v>0</v>
      </c>
      <c r="E568" s="71">
        <v>36951</v>
      </c>
      <c r="F568" s="72">
        <v>5.31</v>
      </c>
    </row>
    <row r="569" spans="1:6" x14ac:dyDescent="0.2">
      <c r="A569" s="71">
        <v>40359</v>
      </c>
      <c r="B569" s="72">
        <v>0.25</v>
      </c>
      <c r="C569" s="71">
        <v>40359</v>
      </c>
      <c r="D569" s="72">
        <v>0</v>
      </c>
      <c r="E569" s="71">
        <v>36982</v>
      </c>
      <c r="F569" s="72">
        <v>4.8</v>
      </c>
    </row>
    <row r="570" spans="1:6" x14ac:dyDescent="0.2">
      <c r="A570" s="71">
        <v>40360</v>
      </c>
      <c r="B570" s="72">
        <v>0.25</v>
      </c>
      <c r="C570" s="71">
        <v>40360</v>
      </c>
      <c r="D570" s="72">
        <v>0</v>
      </c>
      <c r="E570" s="71">
        <v>37012</v>
      </c>
      <c r="F570" s="72">
        <v>4.21</v>
      </c>
    </row>
    <row r="571" spans="1:6" x14ac:dyDescent="0.2">
      <c r="A571" s="71">
        <v>40361</v>
      </c>
      <c r="B571" s="72">
        <v>0.25</v>
      </c>
      <c r="C571" s="71">
        <v>40361</v>
      </c>
      <c r="D571" s="72">
        <v>0</v>
      </c>
      <c r="E571" s="71">
        <v>37043</v>
      </c>
      <c r="F571" s="72">
        <v>3.97</v>
      </c>
    </row>
    <row r="572" spans="1:6" x14ac:dyDescent="0.2">
      <c r="A572" s="71">
        <v>40362</v>
      </c>
      <c r="B572" s="72">
        <v>0.25</v>
      </c>
      <c r="C572" s="71">
        <v>40362</v>
      </c>
      <c r="D572" s="72">
        <v>0</v>
      </c>
      <c r="E572" s="71">
        <v>37073</v>
      </c>
      <c r="F572" s="72">
        <v>3.77</v>
      </c>
    </row>
    <row r="573" spans="1:6" x14ac:dyDescent="0.2">
      <c r="A573" s="71">
        <v>40363</v>
      </c>
      <c r="B573" s="72">
        <v>0.25</v>
      </c>
      <c r="C573" s="71">
        <v>40363</v>
      </c>
      <c r="D573" s="72">
        <v>0</v>
      </c>
      <c r="E573" s="71">
        <v>37104</v>
      </c>
      <c r="F573" s="72">
        <v>3.65</v>
      </c>
    </row>
    <row r="574" spans="1:6" x14ac:dyDescent="0.2">
      <c r="A574" s="71">
        <v>40364</v>
      </c>
      <c r="B574" s="72">
        <v>0.25</v>
      </c>
      <c r="C574" s="71">
        <v>40364</v>
      </c>
      <c r="D574" s="72">
        <v>0</v>
      </c>
      <c r="E574" s="71">
        <v>37135</v>
      </c>
      <c r="F574" s="72">
        <v>3.07</v>
      </c>
    </row>
    <row r="575" spans="1:6" x14ac:dyDescent="0.2">
      <c r="A575" s="71">
        <v>40365</v>
      </c>
      <c r="B575" s="72">
        <v>0.25</v>
      </c>
      <c r="C575" s="71">
        <v>40365</v>
      </c>
      <c r="D575" s="72">
        <v>0</v>
      </c>
      <c r="E575" s="71">
        <v>37165</v>
      </c>
      <c r="F575" s="72">
        <v>2.4900000000000002</v>
      </c>
    </row>
    <row r="576" spans="1:6" x14ac:dyDescent="0.2">
      <c r="A576" s="71">
        <v>40366</v>
      </c>
      <c r="B576" s="72">
        <v>0.25</v>
      </c>
      <c r="C576" s="71">
        <v>40366</v>
      </c>
      <c r="D576" s="72">
        <v>0</v>
      </c>
      <c r="E576" s="71">
        <v>37196</v>
      </c>
      <c r="F576" s="72">
        <v>2.09</v>
      </c>
    </row>
    <row r="577" spans="1:6" x14ac:dyDescent="0.2">
      <c r="A577" s="71">
        <v>40367</v>
      </c>
      <c r="B577" s="72">
        <v>0.25</v>
      </c>
      <c r="C577" s="71">
        <v>40367</v>
      </c>
      <c r="D577" s="72">
        <v>0</v>
      </c>
      <c r="E577" s="71">
        <v>37226</v>
      </c>
      <c r="F577" s="72">
        <v>1.82</v>
      </c>
    </row>
    <row r="578" spans="1:6" x14ac:dyDescent="0.2">
      <c r="A578" s="71">
        <v>40368</v>
      </c>
      <c r="B578" s="72">
        <v>0.25</v>
      </c>
      <c r="C578" s="71">
        <v>40368</v>
      </c>
      <c r="D578" s="72">
        <v>0</v>
      </c>
      <c r="E578" s="71">
        <v>37257</v>
      </c>
      <c r="F578" s="72">
        <v>1.73</v>
      </c>
    </row>
    <row r="579" spans="1:6" x14ac:dyDescent="0.2">
      <c r="A579" s="71">
        <v>40369</v>
      </c>
      <c r="B579" s="72">
        <v>0.25</v>
      </c>
      <c r="C579" s="71">
        <v>40369</v>
      </c>
      <c r="D579" s="72">
        <v>0</v>
      </c>
      <c r="E579" s="71">
        <v>37288</v>
      </c>
      <c r="F579" s="72">
        <v>1.74</v>
      </c>
    </row>
    <row r="580" spans="1:6" x14ac:dyDescent="0.2">
      <c r="A580" s="71">
        <v>40370</v>
      </c>
      <c r="B580" s="72">
        <v>0.25</v>
      </c>
      <c r="C580" s="71">
        <v>40370</v>
      </c>
      <c r="D580" s="72">
        <v>0</v>
      </c>
      <c r="E580" s="71">
        <v>37316</v>
      </c>
      <c r="F580" s="72">
        <v>1.73</v>
      </c>
    </row>
    <row r="581" spans="1:6" x14ac:dyDescent="0.2">
      <c r="A581" s="71">
        <v>40371</v>
      </c>
      <c r="B581" s="72">
        <v>0.25</v>
      </c>
      <c r="C581" s="71">
        <v>40371</v>
      </c>
      <c r="D581" s="72">
        <v>0</v>
      </c>
      <c r="E581" s="71">
        <v>37347</v>
      </c>
      <c r="F581" s="72">
        <v>1.75</v>
      </c>
    </row>
    <row r="582" spans="1:6" x14ac:dyDescent="0.2">
      <c r="A582" s="71">
        <v>40372</v>
      </c>
      <c r="B582" s="72">
        <v>0.25</v>
      </c>
      <c r="C582" s="71">
        <v>40372</v>
      </c>
      <c r="D582" s="72">
        <v>0</v>
      </c>
      <c r="E582" s="71">
        <v>37377</v>
      </c>
      <c r="F582" s="72">
        <v>1.75</v>
      </c>
    </row>
    <row r="583" spans="1:6" x14ac:dyDescent="0.2">
      <c r="A583" s="71">
        <v>40373</v>
      </c>
      <c r="B583" s="72">
        <v>0.25</v>
      </c>
      <c r="C583" s="71">
        <v>40373</v>
      </c>
      <c r="D583" s="72">
        <v>0</v>
      </c>
      <c r="E583" s="71">
        <v>37408</v>
      </c>
      <c r="F583" s="72">
        <v>1.75</v>
      </c>
    </row>
    <row r="584" spans="1:6" x14ac:dyDescent="0.2">
      <c r="A584" s="71">
        <v>40374</v>
      </c>
      <c r="B584" s="72">
        <v>0.25</v>
      </c>
      <c r="C584" s="71">
        <v>40374</v>
      </c>
      <c r="D584" s="72">
        <v>0</v>
      </c>
      <c r="E584" s="71">
        <v>37438</v>
      </c>
      <c r="F584" s="72">
        <v>1.73</v>
      </c>
    </row>
    <row r="585" spans="1:6" x14ac:dyDescent="0.2">
      <c r="A585" s="71">
        <v>40375</v>
      </c>
      <c r="B585" s="72">
        <v>0.25</v>
      </c>
      <c r="C585" s="71">
        <v>40375</v>
      </c>
      <c r="D585" s="72">
        <v>0</v>
      </c>
      <c r="E585" s="71">
        <v>37469</v>
      </c>
      <c r="F585" s="72">
        <v>1.74</v>
      </c>
    </row>
    <row r="586" spans="1:6" x14ac:dyDescent="0.2">
      <c r="A586" s="71">
        <v>40376</v>
      </c>
      <c r="B586" s="72">
        <v>0.25</v>
      </c>
      <c r="C586" s="71">
        <v>40376</v>
      </c>
      <c r="D586" s="72">
        <v>0</v>
      </c>
      <c r="E586" s="71">
        <v>37500</v>
      </c>
      <c r="F586" s="72">
        <v>1.75</v>
      </c>
    </row>
    <row r="587" spans="1:6" x14ac:dyDescent="0.2">
      <c r="A587" s="71">
        <v>40377</v>
      </c>
      <c r="B587" s="72">
        <v>0.25</v>
      </c>
      <c r="C587" s="71">
        <v>40377</v>
      </c>
      <c r="D587" s="72">
        <v>0</v>
      </c>
      <c r="E587" s="71">
        <v>37530</v>
      </c>
      <c r="F587" s="72">
        <v>1.75</v>
      </c>
    </row>
    <row r="588" spans="1:6" x14ac:dyDescent="0.2">
      <c r="A588" s="71">
        <v>40378</v>
      </c>
      <c r="B588" s="72">
        <v>0.25</v>
      </c>
      <c r="C588" s="71">
        <v>40378</v>
      </c>
      <c r="D588" s="72">
        <v>0</v>
      </c>
      <c r="E588" s="71">
        <v>37561</v>
      </c>
      <c r="F588" s="72">
        <v>1.34</v>
      </c>
    </row>
    <row r="589" spans="1:6" x14ac:dyDescent="0.2">
      <c r="A589" s="71">
        <v>40379</v>
      </c>
      <c r="B589" s="72">
        <v>0.25</v>
      </c>
      <c r="C589" s="71">
        <v>40379</v>
      </c>
      <c r="D589" s="72">
        <v>0</v>
      </c>
      <c r="E589" s="71">
        <v>37591</v>
      </c>
      <c r="F589" s="72">
        <v>1.24</v>
      </c>
    </row>
    <row r="590" spans="1:6" x14ac:dyDescent="0.2">
      <c r="A590" s="71">
        <v>40380</v>
      </c>
      <c r="B590" s="72">
        <v>0.25</v>
      </c>
      <c r="C590" s="71">
        <v>40380</v>
      </c>
      <c r="D590" s="72">
        <v>0</v>
      </c>
      <c r="E590" s="71">
        <v>37622</v>
      </c>
      <c r="F590" s="72">
        <v>1.24</v>
      </c>
    </row>
    <row r="591" spans="1:6" x14ac:dyDescent="0.2">
      <c r="A591" s="71">
        <v>40381</v>
      </c>
      <c r="B591" s="72">
        <v>0.25</v>
      </c>
      <c r="C591" s="71">
        <v>40381</v>
      </c>
      <c r="D591" s="72">
        <v>0</v>
      </c>
      <c r="E591" s="71">
        <v>37653</v>
      </c>
      <c r="F591" s="72">
        <v>1.26</v>
      </c>
    </row>
    <row r="592" spans="1:6" x14ac:dyDescent="0.2">
      <c r="A592" s="71">
        <v>40382</v>
      </c>
      <c r="B592" s="72">
        <v>0.25</v>
      </c>
      <c r="C592" s="71">
        <v>40382</v>
      </c>
      <c r="D592" s="72">
        <v>0</v>
      </c>
      <c r="E592" s="71">
        <v>37681</v>
      </c>
      <c r="F592" s="72">
        <v>1.25</v>
      </c>
    </row>
    <row r="593" spans="1:6" x14ac:dyDescent="0.2">
      <c r="A593" s="71">
        <v>40383</v>
      </c>
      <c r="B593" s="72">
        <v>0.25</v>
      </c>
      <c r="C593" s="71">
        <v>40383</v>
      </c>
      <c r="D593" s="72">
        <v>0</v>
      </c>
      <c r="E593" s="71">
        <v>37712</v>
      </c>
      <c r="F593" s="72">
        <v>1.26</v>
      </c>
    </row>
    <row r="594" spans="1:6" x14ac:dyDescent="0.2">
      <c r="A594" s="71">
        <v>40384</v>
      </c>
      <c r="B594" s="72">
        <v>0.25</v>
      </c>
      <c r="C594" s="71">
        <v>40384</v>
      </c>
      <c r="D594" s="72">
        <v>0</v>
      </c>
      <c r="E594" s="71">
        <v>37742</v>
      </c>
      <c r="F594" s="72">
        <v>1.26</v>
      </c>
    </row>
    <row r="595" spans="1:6" x14ac:dyDescent="0.2">
      <c r="A595" s="71">
        <v>40385</v>
      </c>
      <c r="B595" s="72">
        <v>0.25</v>
      </c>
      <c r="C595" s="71">
        <v>40385</v>
      </c>
      <c r="D595" s="72">
        <v>0</v>
      </c>
      <c r="E595" s="71">
        <v>37773</v>
      </c>
      <c r="F595" s="72">
        <v>1.22</v>
      </c>
    </row>
    <row r="596" spans="1:6" x14ac:dyDescent="0.2">
      <c r="A596" s="71">
        <v>40386</v>
      </c>
      <c r="B596" s="72">
        <v>0.25</v>
      </c>
      <c r="C596" s="71">
        <v>40386</v>
      </c>
      <c r="D596" s="72">
        <v>0</v>
      </c>
      <c r="E596" s="71">
        <v>37803</v>
      </c>
      <c r="F596" s="72">
        <v>1.01</v>
      </c>
    </row>
    <row r="597" spans="1:6" x14ac:dyDescent="0.2">
      <c r="A597" s="71">
        <v>40387</v>
      </c>
      <c r="B597" s="72">
        <v>0.25</v>
      </c>
      <c r="C597" s="71">
        <v>40387</v>
      </c>
      <c r="D597" s="72">
        <v>0</v>
      </c>
      <c r="E597" s="71">
        <v>37834</v>
      </c>
      <c r="F597" s="72">
        <v>1.03</v>
      </c>
    </row>
    <row r="598" spans="1:6" x14ac:dyDescent="0.2">
      <c r="A598" s="71">
        <v>40388</v>
      </c>
      <c r="B598" s="72">
        <v>0.25</v>
      </c>
      <c r="C598" s="71">
        <v>40388</v>
      </c>
      <c r="D598" s="72">
        <v>0</v>
      </c>
      <c r="E598" s="71">
        <v>37865</v>
      </c>
      <c r="F598" s="72">
        <v>1.01</v>
      </c>
    </row>
    <row r="599" spans="1:6" x14ac:dyDescent="0.2">
      <c r="A599" s="71">
        <v>40389</v>
      </c>
      <c r="B599" s="72">
        <v>0.25</v>
      </c>
      <c r="C599" s="71">
        <v>40389</v>
      </c>
      <c r="D599" s="72">
        <v>0</v>
      </c>
      <c r="E599" s="71">
        <v>37895</v>
      </c>
      <c r="F599" s="72">
        <v>1.01</v>
      </c>
    </row>
    <row r="600" spans="1:6" x14ac:dyDescent="0.2">
      <c r="A600" s="71">
        <v>40390</v>
      </c>
      <c r="B600" s="72">
        <v>0.25</v>
      </c>
      <c r="C600" s="71">
        <v>40390</v>
      </c>
      <c r="D600" s="72">
        <v>0</v>
      </c>
      <c r="E600" s="71">
        <v>37926</v>
      </c>
      <c r="F600" s="72">
        <v>1</v>
      </c>
    </row>
    <row r="601" spans="1:6" x14ac:dyDescent="0.2">
      <c r="A601" s="71">
        <v>40391</v>
      </c>
      <c r="B601" s="72">
        <v>0.25</v>
      </c>
      <c r="C601" s="71">
        <v>40391</v>
      </c>
      <c r="D601" s="72">
        <v>0</v>
      </c>
      <c r="E601" s="71">
        <v>37956</v>
      </c>
      <c r="F601" s="72">
        <v>0.98</v>
      </c>
    </row>
    <row r="602" spans="1:6" x14ac:dyDescent="0.2">
      <c r="A602" s="71">
        <v>40392</v>
      </c>
      <c r="B602" s="72">
        <v>0.25</v>
      </c>
      <c r="C602" s="71">
        <v>40392</v>
      </c>
      <c r="D602" s="72">
        <v>0</v>
      </c>
      <c r="E602" s="71">
        <v>37987</v>
      </c>
      <c r="F602" s="72">
        <v>1</v>
      </c>
    </row>
    <row r="603" spans="1:6" x14ac:dyDescent="0.2">
      <c r="A603" s="71">
        <v>40393</v>
      </c>
      <c r="B603" s="72">
        <v>0.25</v>
      </c>
      <c r="C603" s="71">
        <v>40393</v>
      </c>
      <c r="D603" s="72">
        <v>0</v>
      </c>
      <c r="E603" s="71">
        <v>38018</v>
      </c>
      <c r="F603" s="72">
        <v>1.01</v>
      </c>
    </row>
    <row r="604" spans="1:6" x14ac:dyDescent="0.2">
      <c r="A604" s="71">
        <v>40394</v>
      </c>
      <c r="B604" s="72">
        <v>0.25</v>
      </c>
      <c r="C604" s="71">
        <v>40394</v>
      </c>
      <c r="D604" s="72">
        <v>0</v>
      </c>
      <c r="E604" s="71">
        <v>38047</v>
      </c>
      <c r="F604" s="72">
        <v>1</v>
      </c>
    </row>
    <row r="605" spans="1:6" x14ac:dyDescent="0.2">
      <c r="A605" s="71">
        <v>40395</v>
      </c>
      <c r="B605" s="72">
        <v>0.25</v>
      </c>
      <c r="C605" s="71">
        <v>40395</v>
      </c>
      <c r="D605" s="72">
        <v>0</v>
      </c>
      <c r="E605" s="71">
        <v>38078</v>
      </c>
      <c r="F605" s="72">
        <v>1</v>
      </c>
    </row>
    <row r="606" spans="1:6" x14ac:dyDescent="0.2">
      <c r="A606" s="71">
        <v>40396</v>
      </c>
      <c r="B606" s="72">
        <v>0.25</v>
      </c>
      <c r="C606" s="71">
        <v>40396</v>
      </c>
      <c r="D606" s="72">
        <v>0</v>
      </c>
      <c r="E606" s="71">
        <v>38108</v>
      </c>
      <c r="F606" s="72">
        <v>1</v>
      </c>
    </row>
    <row r="607" spans="1:6" x14ac:dyDescent="0.2">
      <c r="A607" s="71">
        <v>40397</v>
      </c>
      <c r="B607" s="72">
        <v>0.25</v>
      </c>
      <c r="C607" s="71">
        <v>40397</v>
      </c>
      <c r="D607" s="72">
        <v>0</v>
      </c>
      <c r="E607" s="71">
        <v>38139</v>
      </c>
      <c r="F607" s="72">
        <v>1.03</v>
      </c>
    </row>
    <row r="608" spans="1:6" x14ac:dyDescent="0.2">
      <c r="A608" s="71">
        <v>40398</v>
      </c>
      <c r="B608" s="72">
        <v>0.25</v>
      </c>
      <c r="C608" s="71">
        <v>40398</v>
      </c>
      <c r="D608" s="72">
        <v>0</v>
      </c>
      <c r="E608" s="71">
        <v>38169</v>
      </c>
      <c r="F608" s="72">
        <v>1.26</v>
      </c>
    </row>
    <row r="609" spans="1:6" x14ac:dyDescent="0.2">
      <c r="A609" s="71">
        <v>40399</v>
      </c>
      <c r="B609" s="72">
        <v>0.25</v>
      </c>
      <c r="C609" s="71">
        <v>40399</v>
      </c>
      <c r="D609" s="72">
        <v>0</v>
      </c>
      <c r="E609" s="71">
        <v>38200</v>
      </c>
      <c r="F609" s="72">
        <v>1.43</v>
      </c>
    </row>
    <row r="610" spans="1:6" x14ac:dyDescent="0.2">
      <c r="A610" s="71">
        <v>40400</v>
      </c>
      <c r="B610" s="72">
        <v>0.25</v>
      </c>
      <c r="C610" s="71">
        <v>40400</v>
      </c>
      <c r="D610" s="72">
        <v>0</v>
      </c>
      <c r="E610" s="71">
        <v>38231</v>
      </c>
      <c r="F610" s="72">
        <v>1.61</v>
      </c>
    </row>
    <row r="611" spans="1:6" x14ac:dyDescent="0.2">
      <c r="A611" s="71">
        <v>40401</v>
      </c>
      <c r="B611" s="72">
        <v>0.25</v>
      </c>
      <c r="C611" s="71">
        <v>40401</v>
      </c>
      <c r="D611" s="72">
        <v>0</v>
      </c>
      <c r="E611" s="71">
        <v>38261</v>
      </c>
      <c r="F611" s="72">
        <v>1.76</v>
      </c>
    </row>
    <row r="612" spans="1:6" x14ac:dyDescent="0.2">
      <c r="A612" s="71">
        <v>40402</v>
      </c>
      <c r="B612" s="72">
        <v>0.25</v>
      </c>
      <c r="C612" s="71">
        <v>40402</v>
      </c>
      <c r="D612" s="72">
        <v>0</v>
      </c>
      <c r="E612" s="71">
        <v>38292</v>
      </c>
      <c r="F612" s="72">
        <v>1.93</v>
      </c>
    </row>
    <row r="613" spans="1:6" x14ac:dyDescent="0.2">
      <c r="A613" s="71">
        <v>40403</v>
      </c>
      <c r="B613" s="72">
        <v>0.25</v>
      </c>
      <c r="C613" s="71">
        <v>40403</v>
      </c>
      <c r="D613" s="72">
        <v>0</v>
      </c>
      <c r="E613" s="71">
        <v>38322</v>
      </c>
      <c r="F613" s="72">
        <v>2.16</v>
      </c>
    </row>
    <row r="614" spans="1:6" x14ac:dyDescent="0.2">
      <c r="A614" s="71">
        <v>40404</v>
      </c>
      <c r="B614" s="72">
        <v>0.25</v>
      </c>
      <c r="C614" s="71">
        <v>40404</v>
      </c>
      <c r="D614" s="72">
        <v>0</v>
      </c>
      <c r="E614" s="71">
        <v>38353</v>
      </c>
      <c r="F614" s="72">
        <v>2.2799999999999998</v>
      </c>
    </row>
    <row r="615" spans="1:6" x14ac:dyDescent="0.2">
      <c r="A615" s="71">
        <v>40405</v>
      </c>
      <c r="B615" s="72">
        <v>0.25</v>
      </c>
      <c r="C615" s="71">
        <v>40405</v>
      </c>
      <c r="D615" s="72">
        <v>0</v>
      </c>
      <c r="E615" s="71">
        <v>38384</v>
      </c>
      <c r="F615" s="72">
        <v>2.5</v>
      </c>
    </row>
    <row r="616" spans="1:6" x14ac:dyDescent="0.2">
      <c r="A616" s="71">
        <v>40406</v>
      </c>
      <c r="B616" s="72">
        <v>0.25</v>
      </c>
      <c r="C616" s="71">
        <v>40406</v>
      </c>
      <c r="D616" s="72">
        <v>0</v>
      </c>
      <c r="E616" s="71">
        <v>38412</v>
      </c>
      <c r="F616" s="72">
        <v>2.63</v>
      </c>
    </row>
    <row r="617" spans="1:6" x14ac:dyDescent="0.2">
      <c r="A617" s="71">
        <v>40407</v>
      </c>
      <c r="B617" s="72">
        <v>0.25</v>
      </c>
      <c r="C617" s="71">
        <v>40407</v>
      </c>
      <c r="D617" s="72">
        <v>0</v>
      </c>
      <c r="E617" s="71">
        <v>38443</v>
      </c>
      <c r="F617" s="72">
        <v>2.79</v>
      </c>
    </row>
    <row r="618" spans="1:6" x14ac:dyDescent="0.2">
      <c r="A618" s="71">
        <v>40408</v>
      </c>
      <c r="B618" s="72">
        <v>0.25</v>
      </c>
      <c r="C618" s="71">
        <v>40408</v>
      </c>
      <c r="D618" s="72">
        <v>0</v>
      </c>
      <c r="E618" s="71">
        <v>38473</v>
      </c>
      <c r="F618" s="72">
        <v>3</v>
      </c>
    </row>
    <row r="619" spans="1:6" x14ac:dyDescent="0.2">
      <c r="A619" s="71">
        <v>40409</v>
      </c>
      <c r="B619" s="72">
        <v>0.25</v>
      </c>
      <c r="C619" s="71">
        <v>40409</v>
      </c>
      <c r="D619" s="72">
        <v>0</v>
      </c>
      <c r="E619" s="71">
        <v>38504</v>
      </c>
      <c r="F619" s="72">
        <v>3.04</v>
      </c>
    </row>
    <row r="620" spans="1:6" x14ac:dyDescent="0.2">
      <c r="A620" s="71">
        <v>40410</v>
      </c>
      <c r="B620" s="72">
        <v>0.25</v>
      </c>
      <c r="C620" s="71">
        <v>40410</v>
      </c>
      <c r="D620" s="72">
        <v>0</v>
      </c>
      <c r="E620" s="71">
        <v>38534</v>
      </c>
      <c r="F620" s="72">
        <v>3.26</v>
      </c>
    </row>
    <row r="621" spans="1:6" x14ac:dyDescent="0.2">
      <c r="A621" s="71">
        <v>40411</v>
      </c>
      <c r="B621" s="72">
        <v>0.25</v>
      </c>
      <c r="C621" s="71">
        <v>40411</v>
      </c>
      <c r="D621" s="72">
        <v>0</v>
      </c>
      <c r="E621" s="71">
        <v>38565</v>
      </c>
      <c r="F621" s="72">
        <v>3.5</v>
      </c>
    </row>
    <row r="622" spans="1:6" x14ac:dyDescent="0.2">
      <c r="A622" s="71">
        <v>40412</v>
      </c>
      <c r="B622" s="72">
        <v>0.25</v>
      </c>
      <c r="C622" s="71">
        <v>40412</v>
      </c>
      <c r="D622" s="72">
        <v>0</v>
      </c>
      <c r="E622" s="71">
        <v>38596</v>
      </c>
      <c r="F622" s="72">
        <v>3.62</v>
      </c>
    </row>
    <row r="623" spans="1:6" x14ac:dyDescent="0.2">
      <c r="A623" s="71">
        <v>40413</v>
      </c>
      <c r="B623" s="72">
        <v>0.25</v>
      </c>
      <c r="C623" s="71">
        <v>40413</v>
      </c>
      <c r="D623" s="72">
        <v>0</v>
      </c>
      <c r="E623" s="71">
        <v>38626</v>
      </c>
      <c r="F623" s="72">
        <v>3.78</v>
      </c>
    </row>
    <row r="624" spans="1:6" x14ac:dyDescent="0.2">
      <c r="A624" s="71">
        <v>40414</v>
      </c>
      <c r="B624" s="72">
        <v>0.25</v>
      </c>
      <c r="C624" s="71">
        <v>40414</v>
      </c>
      <c r="D624" s="72">
        <v>0</v>
      </c>
      <c r="E624" s="71">
        <v>38657</v>
      </c>
      <c r="F624" s="72">
        <v>4</v>
      </c>
    </row>
    <row r="625" spans="1:6" x14ac:dyDescent="0.2">
      <c r="A625" s="71">
        <v>40415</v>
      </c>
      <c r="B625" s="72">
        <v>0.25</v>
      </c>
      <c r="C625" s="71">
        <v>40415</v>
      </c>
      <c r="D625" s="72">
        <v>0</v>
      </c>
      <c r="E625" s="71">
        <v>38687</v>
      </c>
      <c r="F625" s="72">
        <v>4.16</v>
      </c>
    </row>
    <row r="626" spans="1:6" x14ac:dyDescent="0.2">
      <c r="A626" s="71">
        <v>40416</v>
      </c>
      <c r="B626" s="72">
        <v>0.25</v>
      </c>
      <c r="C626" s="71">
        <v>40416</v>
      </c>
      <c r="D626" s="72">
        <v>0</v>
      </c>
      <c r="E626" s="71">
        <v>38718</v>
      </c>
      <c r="F626" s="72">
        <v>4.29</v>
      </c>
    </row>
    <row r="627" spans="1:6" x14ac:dyDescent="0.2">
      <c r="A627" s="71">
        <v>40417</v>
      </c>
      <c r="B627" s="72">
        <v>0.25</v>
      </c>
      <c r="C627" s="71">
        <v>40417</v>
      </c>
      <c r="D627" s="72">
        <v>0</v>
      </c>
      <c r="E627" s="71">
        <v>38749</v>
      </c>
      <c r="F627" s="72">
        <v>4.49</v>
      </c>
    </row>
    <row r="628" spans="1:6" x14ac:dyDescent="0.2">
      <c r="A628" s="71">
        <v>40418</v>
      </c>
      <c r="B628" s="72">
        <v>0.25</v>
      </c>
      <c r="C628" s="71">
        <v>40418</v>
      </c>
      <c r="D628" s="72">
        <v>0</v>
      </c>
      <c r="E628" s="71">
        <v>38777</v>
      </c>
      <c r="F628" s="72">
        <v>4.59</v>
      </c>
    </row>
    <row r="629" spans="1:6" x14ac:dyDescent="0.2">
      <c r="A629" s="71">
        <v>40419</v>
      </c>
      <c r="B629" s="72">
        <v>0.25</v>
      </c>
      <c r="C629" s="71">
        <v>40419</v>
      </c>
      <c r="D629" s="72">
        <v>0</v>
      </c>
      <c r="E629" s="71">
        <v>38808</v>
      </c>
      <c r="F629" s="72">
        <v>4.79</v>
      </c>
    </row>
    <row r="630" spans="1:6" x14ac:dyDescent="0.2">
      <c r="A630" s="71">
        <v>40420</v>
      </c>
      <c r="B630" s="72">
        <v>0.25</v>
      </c>
      <c r="C630" s="71">
        <v>40420</v>
      </c>
      <c r="D630" s="72">
        <v>0</v>
      </c>
      <c r="E630" s="71">
        <v>38838</v>
      </c>
      <c r="F630" s="72">
        <v>4.9400000000000004</v>
      </c>
    </row>
    <row r="631" spans="1:6" x14ac:dyDescent="0.2">
      <c r="A631" s="71">
        <v>40421</v>
      </c>
      <c r="B631" s="72">
        <v>0.25</v>
      </c>
      <c r="C631" s="71">
        <v>40421</v>
      </c>
      <c r="D631" s="72">
        <v>0</v>
      </c>
      <c r="E631" s="71">
        <v>38869</v>
      </c>
      <c r="F631" s="72">
        <v>4.99</v>
      </c>
    </row>
    <row r="632" spans="1:6" x14ac:dyDescent="0.2">
      <c r="A632" s="71">
        <v>40422</v>
      </c>
      <c r="B632" s="72">
        <v>0.25</v>
      </c>
      <c r="C632" s="71">
        <v>40422</v>
      </c>
      <c r="D632" s="72">
        <v>0</v>
      </c>
      <c r="E632" s="71">
        <v>38899</v>
      </c>
      <c r="F632" s="72">
        <v>5.24</v>
      </c>
    </row>
    <row r="633" spans="1:6" x14ac:dyDescent="0.2">
      <c r="A633" s="71">
        <v>40423</v>
      </c>
      <c r="B633" s="72">
        <v>0.25</v>
      </c>
      <c r="C633" s="71">
        <v>40423</v>
      </c>
      <c r="D633" s="72">
        <v>0</v>
      </c>
      <c r="E633" s="71">
        <v>38930</v>
      </c>
      <c r="F633" s="72">
        <v>5.25</v>
      </c>
    </row>
    <row r="634" spans="1:6" x14ac:dyDescent="0.2">
      <c r="A634" s="71">
        <v>40424</v>
      </c>
      <c r="B634" s="72">
        <v>0.25</v>
      </c>
      <c r="C634" s="71">
        <v>40424</v>
      </c>
      <c r="D634" s="72">
        <v>0</v>
      </c>
      <c r="E634" s="71">
        <v>38961</v>
      </c>
      <c r="F634" s="72">
        <v>5.25</v>
      </c>
    </row>
    <row r="635" spans="1:6" x14ac:dyDescent="0.2">
      <c r="A635" s="71">
        <v>40425</v>
      </c>
      <c r="B635" s="72">
        <v>0.25</v>
      </c>
      <c r="C635" s="71">
        <v>40425</v>
      </c>
      <c r="D635" s="72">
        <v>0</v>
      </c>
      <c r="E635" s="71">
        <v>38991</v>
      </c>
      <c r="F635" s="72">
        <v>5.25</v>
      </c>
    </row>
    <row r="636" spans="1:6" x14ac:dyDescent="0.2">
      <c r="A636" s="71">
        <v>40426</v>
      </c>
      <c r="B636" s="72">
        <v>0.25</v>
      </c>
      <c r="C636" s="71">
        <v>40426</v>
      </c>
      <c r="D636" s="72">
        <v>0</v>
      </c>
      <c r="E636" s="71">
        <v>39022</v>
      </c>
      <c r="F636" s="72">
        <v>5.25</v>
      </c>
    </row>
    <row r="637" spans="1:6" x14ac:dyDescent="0.2">
      <c r="A637" s="71">
        <v>40427</v>
      </c>
      <c r="B637" s="72">
        <v>0.25</v>
      </c>
      <c r="C637" s="71">
        <v>40427</v>
      </c>
      <c r="D637" s="72">
        <v>0</v>
      </c>
      <c r="E637" s="71">
        <v>39052</v>
      </c>
      <c r="F637" s="72">
        <v>5.24</v>
      </c>
    </row>
    <row r="638" spans="1:6" x14ac:dyDescent="0.2">
      <c r="A638" s="71">
        <v>40428</v>
      </c>
      <c r="B638" s="72">
        <v>0.25</v>
      </c>
      <c r="C638" s="71">
        <v>40428</v>
      </c>
      <c r="D638" s="72">
        <v>0</v>
      </c>
      <c r="E638" s="71">
        <v>39083</v>
      </c>
      <c r="F638" s="72">
        <v>5.25</v>
      </c>
    </row>
    <row r="639" spans="1:6" x14ac:dyDescent="0.2">
      <c r="A639" s="71">
        <v>40429</v>
      </c>
      <c r="B639" s="72">
        <v>0.25</v>
      </c>
      <c r="C639" s="71">
        <v>40429</v>
      </c>
      <c r="D639" s="72">
        <v>0</v>
      </c>
      <c r="E639" s="71">
        <v>39114</v>
      </c>
      <c r="F639" s="72">
        <v>5.26</v>
      </c>
    </row>
    <row r="640" spans="1:6" x14ac:dyDescent="0.2">
      <c r="A640" s="71">
        <v>40430</v>
      </c>
      <c r="B640" s="72">
        <v>0.25</v>
      </c>
      <c r="C640" s="71">
        <v>40430</v>
      </c>
      <c r="D640" s="72">
        <v>0</v>
      </c>
      <c r="E640" s="71">
        <v>39142</v>
      </c>
      <c r="F640" s="72">
        <v>5.26</v>
      </c>
    </row>
    <row r="641" spans="1:6" x14ac:dyDescent="0.2">
      <c r="A641" s="71">
        <v>40431</v>
      </c>
      <c r="B641" s="72">
        <v>0.25</v>
      </c>
      <c r="C641" s="71">
        <v>40431</v>
      </c>
      <c r="D641" s="72">
        <v>0</v>
      </c>
      <c r="E641" s="71">
        <v>39173</v>
      </c>
      <c r="F641" s="72">
        <v>5.25</v>
      </c>
    </row>
    <row r="642" spans="1:6" x14ac:dyDescent="0.2">
      <c r="A642" s="71">
        <v>40432</v>
      </c>
      <c r="B642" s="72">
        <v>0.25</v>
      </c>
      <c r="C642" s="71">
        <v>40432</v>
      </c>
      <c r="D642" s="72">
        <v>0</v>
      </c>
      <c r="E642" s="71">
        <v>39203</v>
      </c>
      <c r="F642" s="72">
        <v>5.25</v>
      </c>
    </row>
    <row r="643" spans="1:6" x14ac:dyDescent="0.2">
      <c r="A643" s="71">
        <v>40433</v>
      </c>
      <c r="B643" s="72">
        <v>0.25</v>
      </c>
      <c r="C643" s="71">
        <v>40433</v>
      </c>
      <c r="D643" s="72">
        <v>0</v>
      </c>
      <c r="E643" s="71">
        <v>39234</v>
      </c>
      <c r="F643" s="72">
        <v>5.25</v>
      </c>
    </row>
    <row r="644" spans="1:6" x14ac:dyDescent="0.2">
      <c r="A644" s="71">
        <v>40434</v>
      </c>
      <c r="B644" s="72">
        <v>0.25</v>
      </c>
      <c r="C644" s="71">
        <v>40434</v>
      </c>
      <c r="D644" s="72">
        <v>0</v>
      </c>
      <c r="E644" s="71">
        <v>39264</v>
      </c>
      <c r="F644" s="72">
        <v>5.26</v>
      </c>
    </row>
    <row r="645" spans="1:6" x14ac:dyDescent="0.2">
      <c r="A645" s="71">
        <v>40435</v>
      </c>
      <c r="B645" s="72">
        <v>0.25</v>
      </c>
      <c r="C645" s="71">
        <v>40435</v>
      </c>
      <c r="D645" s="72">
        <v>0</v>
      </c>
      <c r="E645" s="71">
        <v>39295</v>
      </c>
      <c r="F645" s="72">
        <v>5.0199999999999996</v>
      </c>
    </row>
    <row r="646" spans="1:6" x14ac:dyDescent="0.2">
      <c r="A646" s="71">
        <v>40436</v>
      </c>
      <c r="B646" s="72">
        <v>0.25</v>
      </c>
      <c r="C646" s="71">
        <v>40436</v>
      </c>
      <c r="D646" s="72">
        <v>0</v>
      </c>
      <c r="E646" s="71">
        <v>39326</v>
      </c>
      <c r="F646" s="72">
        <v>4.9400000000000004</v>
      </c>
    </row>
    <row r="647" spans="1:6" x14ac:dyDescent="0.2">
      <c r="A647" s="71">
        <v>40437</v>
      </c>
      <c r="B647" s="72">
        <v>0.25</v>
      </c>
      <c r="C647" s="71">
        <v>40437</v>
      </c>
      <c r="D647" s="72">
        <v>0</v>
      </c>
      <c r="E647" s="71">
        <v>39356</v>
      </c>
      <c r="F647" s="72">
        <v>4.76</v>
      </c>
    </row>
    <row r="648" spans="1:6" x14ac:dyDescent="0.2">
      <c r="A648" s="71">
        <v>40438</v>
      </c>
      <c r="B648" s="72">
        <v>0.25</v>
      </c>
      <c r="C648" s="71">
        <v>40438</v>
      </c>
      <c r="D648" s="72">
        <v>0</v>
      </c>
      <c r="E648" s="71">
        <v>39387</v>
      </c>
      <c r="F648" s="72">
        <v>4.49</v>
      </c>
    </row>
    <row r="649" spans="1:6" x14ac:dyDescent="0.2">
      <c r="A649" s="71">
        <v>40439</v>
      </c>
      <c r="B649" s="72">
        <v>0.25</v>
      </c>
      <c r="C649" s="71">
        <v>40439</v>
      </c>
      <c r="D649" s="72">
        <v>0</v>
      </c>
      <c r="E649" s="71">
        <v>39417</v>
      </c>
      <c r="F649" s="72">
        <v>4.24</v>
      </c>
    </row>
    <row r="650" spans="1:6" x14ac:dyDescent="0.2">
      <c r="A650" s="71">
        <v>40440</v>
      </c>
      <c r="B650" s="72">
        <v>0.25</v>
      </c>
      <c r="C650" s="71">
        <v>40440</v>
      </c>
      <c r="D650" s="72">
        <v>0</v>
      </c>
      <c r="E650" s="71">
        <v>39448</v>
      </c>
      <c r="F650" s="72">
        <v>3.94</v>
      </c>
    </row>
    <row r="651" spans="1:6" x14ac:dyDescent="0.2">
      <c r="A651" s="71">
        <v>40441</v>
      </c>
      <c r="B651" s="72">
        <v>0.25</v>
      </c>
      <c r="C651" s="71">
        <v>40441</v>
      </c>
      <c r="D651" s="72">
        <v>0</v>
      </c>
      <c r="E651" s="71">
        <v>39479</v>
      </c>
      <c r="F651" s="72">
        <v>2.98</v>
      </c>
    </row>
    <row r="652" spans="1:6" x14ac:dyDescent="0.2">
      <c r="A652" s="71">
        <v>40442</v>
      </c>
      <c r="B652" s="72">
        <v>0.25</v>
      </c>
      <c r="C652" s="71">
        <v>40442</v>
      </c>
      <c r="D652" s="72">
        <v>0</v>
      </c>
      <c r="E652" s="71">
        <v>39508</v>
      </c>
      <c r="F652" s="72">
        <v>2.61</v>
      </c>
    </row>
    <row r="653" spans="1:6" x14ac:dyDescent="0.2">
      <c r="A653" s="71">
        <v>40443</v>
      </c>
      <c r="B653" s="72">
        <v>0.25</v>
      </c>
      <c r="C653" s="71">
        <v>40443</v>
      </c>
      <c r="D653" s="72">
        <v>0</v>
      </c>
      <c r="E653" s="71">
        <v>39539</v>
      </c>
      <c r="F653" s="72">
        <v>2.2799999999999998</v>
      </c>
    </row>
    <row r="654" spans="1:6" x14ac:dyDescent="0.2">
      <c r="A654" s="71">
        <v>40444</v>
      </c>
      <c r="B654" s="72">
        <v>0.25</v>
      </c>
      <c r="C654" s="71">
        <v>40444</v>
      </c>
      <c r="D654" s="72">
        <v>0</v>
      </c>
      <c r="E654" s="71">
        <v>39569</v>
      </c>
      <c r="F654" s="72">
        <v>1.98</v>
      </c>
    </row>
    <row r="655" spans="1:6" x14ac:dyDescent="0.2">
      <c r="A655" s="71">
        <v>40445</v>
      </c>
      <c r="B655" s="72">
        <v>0.25</v>
      </c>
      <c r="C655" s="71">
        <v>40445</v>
      </c>
      <c r="D655" s="72">
        <v>0</v>
      </c>
      <c r="E655" s="71">
        <v>39600</v>
      </c>
      <c r="F655" s="72">
        <v>2</v>
      </c>
    </row>
    <row r="656" spans="1:6" x14ac:dyDescent="0.2">
      <c r="A656" s="71">
        <v>40446</v>
      </c>
      <c r="B656" s="72">
        <v>0.25</v>
      </c>
      <c r="C656" s="71">
        <v>40446</v>
      </c>
      <c r="D656" s="72">
        <v>0</v>
      </c>
      <c r="E656" s="71">
        <v>39630</v>
      </c>
      <c r="F656" s="72">
        <v>2.0099999999999998</v>
      </c>
    </row>
    <row r="657" spans="1:6" x14ac:dyDescent="0.2">
      <c r="A657" s="71">
        <v>40447</v>
      </c>
      <c r="B657" s="72">
        <v>0.25</v>
      </c>
      <c r="C657" s="71">
        <v>40447</v>
      </c>
      <c r="D657" s="72">
        <v>0</v>
      </c>
      <c r="E657" s="71">
        <v>39661</v>
      </c>
      <c r="F657" s="72">
        <v>2</v>
      </c>
    </row>
    <row r="658" spans="1:6" x14ac:dyDescent="0.2">
      <c r="A658" s="71">
        <v>40448</v>
      </c>
      <c r="B658" s="72">
        <v>0.25</v>
      </c>
      <c r="C658" s="71">
        <v>40448</v>
      </c>
      <c r="D658" s="72">
        <v>0</v>
      </c>
      <c r="E658" s="71">
        <v>39692</v>
      </c>
      <c r="F658" s="72">
        <v>1.81</v>
      </c>
    </row>
    <row r="659" spans="1:6" x14ac:dyDescent="0.2">
      <c r="A659" s="71">
        <v>40449</v>
      </c>
      <c r="B659" s="72">
        <v>0.25</v>
      </c>
      <c r="C659" s="71">
        <v>40449</v>
      </c>
      <c r="D659" s="72">
        <v>0</v>
      </c>
      <c r="E659" s="71">
        <v>39722</v>
      </c>
      <c r="F659" s="72">
        <v>0.97</v>
      </c>
    </row>
    <row r="660" spans="1:6" x14ac:dyDescent="0.2">
      <c r="A660" s="71">
        <v>40450</v>
      </c>
      <c r="B660" s="72">
        <v>0.25</v>
      </c>
      <c r="C660" s="71">
        <v>40450</v>
      </c>
      <c r="D660" s="72">
        <v>0</v>
      </c>
      <c r="E660" s="71">
        <v>39753</v>
      </c>
      <c r="F660" s="72">
        <v>0.39</v>
      </c>
    </row>
    <row r="661" spans="1:6" x14ac:dyDescent="0.2">
      <c r="A661" s="71">
        <v>40451</v>
      </c>
      <c r="B661" s="72">
        <v>0.25</v>
      </c>
      <c r="C661" s="71">
        <v>40451</v>
      </c>
      <c r="D661" s="72">
        <v>0</v>
      </c>
      <c r="E661" s="71">
        <v>39783</v>
      </c>
      <c r="F661" s="72">
        <v>0.16</v>
      </c>
    </row>
    <row r="662" spans="1:6" x14ac:dyDescent="0.2">
      <c r="A662" s="71">
        <v>40452</v>
      </c>
      <c r="B662" s="72">
        <v>0.25</v>
      </c>
      <c r="C662" s="71">
        <v>40452</v>
      </c>
      <c r="D662" s="72">
        <v>0</v>
      </c>
      <c r="E662" s="71">
        <v>39814</v>
      </c>
      <c r="F662" s="72">
        <v>0.15</v>
      </c>
    </row>
    <row r="663" spans="1:6" x14ac:dyDescent="0.2">
      <c r="A663" s="71">
        <v>40453</v>
      </c>
      <c r="B663" s="72">
        <v>0.25</v>
      </c>
      <c r="C663" s="71">
        <v>40453</v>
      </c>
      <c r="D663" s="72">
        <v>0</v>
      </c>
      <c r="E663" s="71">
        <v>39845</v>
      </c>
      <c r="F663" s="72">
        <v>0.22</v>
      </c>
    </row>
    <row r="664" spans="1:6" x14ac:dyDescent="0.2">
      <c r="A664" s="71">
        <v>40454</v>
      </c>
      <c r="B664" s="72">
        <v>0.25</v>
      </c>
      <c r="C664" s="71">
        <v>40454</v>
      </c>
      <c r="D664" s="72">
        <v>0</v>
      </c>
      <c r="E664" s="71">
        <v>39873</v>
      </c>
      <c r="F664" s="72">
        <v>0.18</v>
      </c>
    </row>
    <row r="665" spans="1:6" x14ac:dyDescent="0.2">
      <c r="A665" s="71">
        <v>40455</v>
      </c>
      <c r="B665" s="72">
        <v>0.25</v>
      </c>
      <c r="C665" s="71">
        <v>40455</v>
      </c>
      <c r="D665" s="72">
        <v>0</v>
      </c>
      <c r="E665" s="71">
        <v>39904</v>
      </c>
      <c r="F665" s="72">
        <v>0.15</v>
      </c>
    </row>
    <row r="666" spans="1:6" x14ac:dyDescent="0.2">
      <c r="A666" s="71">
        <v>40456</v>
      </c>
      <c r="B666" s="72">
        <v>0.25</v>
      </c>
      <c r="C666" s="71">
        <v>40456</v>
      </c>
      <c r="D666" s="72">
        <v>0</v>
      </c>
      <c r="E666" s="71">
        <v>39934</v>
      </c>
      <c r="F666" s="72">
        <v>0.18</v>
      </c>
    </row>
    <row r="667" spans="1:6" x14ac:dyDescent="0.2">
      <c r="A667" s="71">
        <v>40457</v>
      </c>
      <c r="B667" s="72">
        <v>0.25</v>
      </c>
      <c r="C667" s="71">
        <v>40457</v>
      </c>
      <c r="D667" s="72">
        <v>0</v>
      </c>
      <c r="E667" s="71">
        <v>39965</v>
      </c>
      <c r="F667" s="72">
        <v>0.21</v>
      </c>
    </row>
    <row r="668" spans="1:6" x14ac:dyDescent="0.2">
      <c r="A668" s="71">
        <v>40458</v>
      </c>
      <c r="B668" s="72">
        <v>0.25</v>
      </c>
      <c r="C668" s="71">
        <v>40458</v>
      </c>
      <c r="D668" s="72">
        <v>0</v>
      </c>
      <c r="E668" s="71">
        <v>39995</v>
      </c>
      <c r="F668" s="72">
        <v>0.16</v>
      </c>
    </row>
    <row r="669" spans="1:6" x14ac:dyDescent="0.2">
      <c r="A669" s="71">
        <v>40459</v>
      </c>
      <c r="B669" s="72">
        <v>0.25</v>
      </c>
      <c r="C669" s="71">
        <v>40459</v>
      </c>
      <c r="D669" s="72">
        <v>0</v>
      </c>
      <c r="E669" s="71">
        <v>40026</v>
      </c>
      <c r="F669" s="72">
        <v>0.16</v>
      </c>
    </row>
    <row r="670" spans="1:6" x14ac:dyDescent="0.2">
      <c r="A670" s="71">
        <v>40460</v>
      </c>
      <c r="B670" s="72">
        <v>0.25</v>
      </c>
      <c r="C670" s="71">
        <v>40460</v>
      </c>
      <c r="D670" s="72">
        <v>0</v>
      </c>
      <c r="E670" s="71">
        <v>40057</v>
      </c>
      <c r="F670" s="72">
        <v>0.15</v>
      </c>
    </row>
    <row r="671" spans="1:6" x14ac:dyDescent="0.2">
      <c r="A671" s="71">
        <v>40461</v>
      </c>
      <c r="B671" s="72">
        <v>0.25</v>
      </c>
      <c r="C671" s="71">
        <v>40461</v>
      </c>
      <c r="D671" s="72">
        <v>0</v>
      </c>
      <c r="E671" s="71">
        <v>40087</v>
      </c>
      <c r="F671" s="72">
        <v>0.12</v>
      </c>
    </row>
    <row r="672" spans="1:6" x14ac:dyDescent="0.2">
      <c r="A672" s="71">
        <v>40462</v>
      </c>
      <c r="B672" s="72">
        <v>0.25</v>
      </c>
      <c r="C672" s="71">
        <v>40462</v>
      </c>
      <c r="D672" s="72">
        <v>0</v>
      </c>
      <c r="E672" s="71">
        <v>40118</v>
      </c>
      <c r="F672" s="72">
        <v>0.12</v>
      </c>
    </row>
    <row r="673" spans="1:6" x14ac:dyDescent="0.2">
      <c r="A673" s="71">
        <v>40463</v>
      </c>
      <c r="B673" s="72">
        <v>0.25</v>
      </c>
      <c r="C673" s="71">
        <v>40463</v>
      </c>
      <c r="D673" s="72">
        <v>0</v>
      </c>
      <c r="E673" s="71">
        <v>40148</v>
      </c>
      <c r="F673" s="72">
        <v>0.12</v>
      </c>
    </row>
    <row r="674" spans="1:6" x14ac:dyDescent="0.2">
      <c r="A674" s="71">
        <v>40464</v>
      </c>
      <c r="B674" s="72">
        <v>0.25</v>
      </c>
      <c r="C674" s="71">
        <v>40464</v>
      </c>
      <c r="D674" s="72">
        <v>0</v>
      </c>
      <c r="E674" s="71">
        <v>40179</v>
      </c>
      <c r="F674" s="72">
        <v>0.11</v>
      </c>
    </row>
    <row r="675" spans="1:6" x14ac:dyDescent="0.2">
      <c r="A675" s="71">
        <v>40465</v>
      </c>
      <c r="B675" s="72">
        <v>0.25</v>
      </c>
      <c r="C675" s="71">
        <v>40465</v>
      </c>
      <c r="D675" s="72">
        <v>0</v>
      </c>
      <c r="E675" s="71">
        <v>40210</v>
      </c>
      <c r="F675" s="72">
        <v>0.13</v>
      </c>
    </row>
    <row r="676" spans="1:6" x14ac:dyDescent="0.2">
      <c r="A676" s="71">
        <v>40466</v>
      </c>
      <c r="B676" s="72">
        <v>0.25</v>
      </c>
      <c r="C676" s="71">
        <v>40466</v>
      </c>
      <c r="D676" s="72">
        <v>0</v>
      </c>
      <c r="E676" s="71">
        <v>40238</v>
      </c>
      <c r="F676" s="72">
        <v>0.16</v>
      </c>
    </row>
    <row r="677" spans="1:6" x14ac:dyDescent="0.2">
      <c r="A677" s="71">
        <v>40467</v>
      </c>
      <c r="B677" s="72">
        <v>0.25</v>
      </c>
      <c r="C677" s="71">
        <v>40467</v>
      </c>
      <c r="D677" s="72">
        <v>0</v>
      </c>
      <c r="E677" s="71">
        <v>40269</v>
      </c>
      <c r="F677" s="72">
        <v>0.2</v>
      </c>
    </row>
    <row r="678" spans="1:6" x14ac:dyDescent="0.2">
      <c r="A678" s="71">
        <v>40468</v>
      </c>
      <c r="B678" s="72">
        <v>0.25</v>
      </c>
      <c r="C678" s="71">
        <v>40468</v>
      </c>
      <c r="D678" s="72">
        <v>0</v>
      </c>
      <c r="E678" s="71">
        <v>40299</v>
      </c>
      <c r="F678" s="72">
        <v>0.2</v>
      </c>
    </row>
    <row r="679" spans="1:6" x14ac:dyDescent="0.2">
      <c r="A679" s="71">
        <v>40469</v>
      </c>
      <c r="B679" s="72">
        <v>0.25</v>
      </c>
      <c r="C679" s="71">
        <v>40469</v>
      </c>
      <c r="D679" s="72">
        <v>0</v>
      </c>
      <c r="E679" s="71">
        <v>40330</v>
      </c>
      <c r="F679" s="72">
        <v>0.18</v>
      </c>
    </row>
    <row r="680" spans="1:6" x14ac:dyDescent="0.2">
      <c r="A680" s="71">
        <v>40470</v>
      </c>
      <c r="B680" s="72">
        <v>0.25</v>
      </c>
      <c r="C680" s="71">
        <v>40470</v>
      </c>
      <c r="D680" s="72">
        <v>0</v>
      </c>
      <c r="E680" s="71">
        <v>40360</v>
      </c>
      <c r="F680" s="72">
        <v>0.18</v>
      </c>
    </row>
    <row r="681" spans="1:6" x14ac:dyDescent="0.2">
      <c r="A681" s="71">
        <v>40471</v>
      </c>
      <c r="B681" s="72">
        <v>0.25</v>
      </c>
      <c r="C681" s="71">
        <v>40471</v>
      </c>
      <c r="D681" s="72">
        <v>0</v>
      </c>
      <c r="E681" s="71">
        <v>40391</v>
      </c>
      <c r="F681" s="72">
        <v>0.19</v>
      </c>
    </row>
    <row r="682" spans="1:6" x14ac:dyDescent="0.2">
      <c r="A682" s="71">
        <v>40472</v>
      </c>
      <c r="B682" s="72">
        <v>0.25</v>
      </c>
      <c r="C682" s="71">
        <v>40472</v>
      </c>
      <c r="D682" s="72">
        <v>0</v>
      </c>
      <c r="E682" s="71">
        <v>40422</v>
      </c>
      <c r="F682" s="72">
        <v>0.19</v>
      </c>
    </row>
    <row r="683" spans="1:6" x14ac:dyDescent="0.2">
      <c r="A683" s="71">
        <v>40473</v>
      </c>
      <c r="B683" s="72">
        <v>0.25</v>
      </c>
      <c r="C683" s="71">
        <v>40473</v>
      </c>
      <c r="D683" s="72">
        <v>0</v>
      </c>
      <c r="E683" s="71">
        <v>40452</v>
      </c>
      <c r="F683" s="72">
        <v>0.19</v>
      </c>
    </row>
    <row r="684" spans="1:6" x14ac:dyDescent="0.2">
      <c r="A684" s="71">
        <v>40474</v>
      </c>
      <c r="B684" s="72">
        <v>0.25</v>
      </c>
      <c r="C684" s="71">
        <v>40474</v>
      </c>
      <c r="D684" s="72">
        <v>0</v>
      </c>
      <c r="E684" s="71">
        <v>40483</v>
      </c>
      <c r="F684" s="72">
        <v>0.19</v>
      </c>
    </row>
    <row r="685" spans="1:6" x14ac:dyDescent="0.2">
      <c r="A685" s="71">
        <v>40475</v>
      </c>
      <c r="B685" s="72">
        <v>0.25</v>
      </c>
      <c r="C685" s="71">
        <v>40475</v>
      </c>
      <c r="D685" s="72">
        <v>0</v>
      </c>
      <c r="E685" s="71">
        <v>40513</v>
      </c>
      <c r="F685" s="72">
        <v>0.18</v>
      </c>
    </row>
    <row r="686" spans="1:6" x14ac:dyDescent="0.2">
      <c r="A686" s="71">
        <v>40476</v>
      </c>
      <c r="B686" s="72">
        <v>0.25</v>
      </c>
      <c r="C686" s="71">
        <v>40476</v>
      </c>
      <c r="D686" s="72">
        <v>0</v>
      </c>
      <c r="E686" s="71">
        <v>40544</v>
      </c>
      <c r="F686" s="72">
        <v>0.17</v>
      </c>
    </row>
    <row r="687" spans="1:6" x14ac:dyDescent="0.2">
      <c r="A687" s="71">
        <v>40477</v>
      </c>
      <c r="B687" s="72">
        <v>0.25</v>
      </c>
      <c r="C687" s="71">
        <v>40477</v>
      </c>
      <c r="D687" s="72">
        <v>0</v>
      </c>
      <c r="E687" s="71">
        <v>40575</v>
      </c>
      <c r="F687" s="72">
        <v>0.16</v>
      </c>
    </row>
    <row r="688" spans="1:6" x14ac:dyDescent="0.2">
      <c r="A688" s="71">
        <v>40478</v>
      </c>
      <c r="B688" s="72">
        <v>0.25</v>
      </c>
      <c r="C688" s="71">
        <v>40478</v>
      </c>
      <c r="D688" s="72">
        <v>0</v>
      </c>
      <c r="E688" s="71">
        <v>40603</v>
      </c>
      <c r="F688" s="72">
        <v>0.14000000000000001</v>
      </c>
    </row>
    <row r="689" spans="1:6" x14ac:dyDescent="0.2">
      <c r="A689" s="71">
        <v>40479</v>
      </c>
      <c r="B689" s="72">
        <v>0.25</v>
      </c>
      <c r="C689" s="71">
        <v>40479</v>
      </c>
      <c r="D689" s="72">
        <v>0</v>
      </c>
      <c r="E689" s="71">
        <v>40634</v>
      </c>
      <c r="F689" s="72">
        <v>0.1</v>
      </c>
    </row>
    <row r="690" spans="1:6" x14ac:dyDescent="0.2">
      <c r="A690" s="71">
        <v>40480</v>
      </c>
      <c r="B690" s="72">
        <v>0.25</v>
      </c>
      <c r="C690" s="71">
        <v>40480</v>
      </c>
      <c r="D690" s="72">
        <v>0</v>
      </c>
      <c r="E690" s="71">
        <v>40664</v>
      </c>
      <c r="F690" s="72">
        <v>0.09</v>
      </c>
    </row>
    <row r="691" spans="1:6" x14ac:dyDescent="0.2">
      <c r="A691" s="71">
        <v>40481</v>
      </c>
      <c r="B691" s="72">
        <v>0.25</v>
      </c>
      <c r="C691" s="71">
        <v>40481</v>
      </c>
      <c r="D691" s="72">
        <v>0</v>
      </c>
      <c r="E691" s="71">
        <v>40695</v>
      </c>
      <c r="F691" s="72">
        <v>0.09</v>
      </c>
    </row>
    <row r="692" spans="1:6" x14ac:dyDescent="0.2">
      <c r="A692" s="71">
        <v>40482</v>
      </c>
      <c r="B692" s="72">
        <v>0.25</v>
      </c>
      <c r="C692" s="71">
        <v>40482</v>
      </c>
      <c r="D692" s="72">
        <v>0</v>
      </c>
      <c r="E692" s="71">
        <v>40725</v>
      </c>
      <c r="F692" s="72">
        <v>7.0000000000000007E-2</v>
      </c>
    </row>
    <row r="693" spans="1:6" x14ac:dyDescent="0.2">
      <c r="A693" s="71">
        <v>40483</v>
      </c>
      <c r="B693" s="72">
        <v>0.25</v>
      </c>
      <c r="C693" s="71">
        <v>40483</v>
      </c>
      <c r="D693" s="72">
        <v>0</v>
      </c>
      <c r="E693" s="71">
        <v>40756</v>
      </c>
      <c r="F693" s="72">
        <v>0.1</v>
      </c>
    </row>
    <row r="694" spans="1:6" x14ac:dyDescent="0.2">
      <c r="A694" s="71">
        <v>40484</v>
      </c>
      <c r="B694" s="72">
        <v>0.25</v>
      </c>
      <c r="C694" s="71">
        <v>40484</v>
      </c>
      <c r="D694" s="72">
        <v>0</v>
      </c>
      <c r="E694" s="71">
        <v>40787</v>
      </c>
      <c r="F694" s="72">
        <v>0.08</v>
      </c>
    </row>
    <row r="695" spans="1:6" x14ac:dyDescent="0.2">
      <c r="A695" s="71">
        <v>40485</v>
      </c>
      <c r="B695" s="72">
        <v>0.25</v>
      </c>
      <c r="C695" s="71">
        <v>40485</v>
      </c>
      <c r="D695" s="72">
        <v>0</v>
      </c>
      <c r="E695" s="71">
        <v>40817</v>
      </c>
      <c r="F695" s="72">
        <v>7.0000000000000007E-2</v>
      </c>
    </row>
    <row r="696" spans="1:6" x14ac:dyDescent="0.2">
      <c r="A696" s="71">
        <v>40486</v>
      </c>
      <c r="B696" s="72">
        <v>0.25</v>
      </c>
      <c r="C696" s="71">
        <v>40486</v>
      </c>
      <c r="D696" s="72">
        <v>0</v>
      </c>
      <c r="E696" s="71">
        <v>40848</v>
      </c>
      <c r="F696" s="72">
        <v>0.08</v>
      </c>
    </row>
    <row r="697" spans="1:6" x14ac:dyDescent="0.2">
      <c r="A697" s="71">
        <v>40487</v>
      </c>
      <c r="B697" s="72">
        <v>0.25</v>
      </c>
      <c r="C697" s="71">
        <v>40487</v>
      </c>
      <c r="D697" s="72">
        <v>0</v>
      </c>
      <c r="E697" s="71">
        <v>40878</v>
      </c>
      <c r="F697" s="72">
        <v>7.0000000000000007E-2</v>
      </c>
    </row>
    <row r="698" spans="1:6" x14ac:dyDescent="0.2">
      <c r="A698" s="71">
        <v>40488</v>
      </c>
      <c r="B698" s="72">
        <v>0.25</v>
      </c>
      <c r="C698" s="71">
        <v>40488</v>
      </c>
      <c r="D698" s="72">
        <v>0</v>
      </c>
      <c r="E698" s="71">
        <v>40909</v>
      </c>
      <c r="F698" s="72">
        <v>0.08</v>
      </c>
    </row>
    <row r="699" spans="1:6" x14ac:dyDescent="0.2">
      <c r="A699" s="71">
        <v>40489</v>
      </c>
      <c r="B699" s="72">
        <v>0.25</v>
      </c>
      <c r="C699" s="71">
        <v>40489</v>
      </c>
      <c r="D699" s="72">
        <v>0</v>
      </c>
      <c r="E699" s="71">
        <v>40940</v>
      </c>
      <c r="F699" s="72">
        <v>0.1</v>
      </c>
    </row>
    <row r="700" spans="1:6" x14ac:dyDescent="0.2">
      <c r="A700" s="71">
        <v>40490</v>
      </c>
      <c r="B700" s="72">
        <v>0.25</v>
      </c>
      <c r="C700" s="71">
        <v>40490</v>
      </c>
      <c r="D700" s="72">
        <v>0</v>
      </c>
      <c r="E700" s="71">
        <v>40969</v>
      </c>
      <c r="F700" s="72">
        <v>0.13</v>
      </c>
    </row>
    <row r="701" spans="1:6" x14ac:dyDescent="0.2">
      <c r="A701" s="71">
        <v>40491</v>
      </c>
      <c r="B701" s="72">
        <v>0.25</v>
      </c>
      <c r="C701" s="71">
        <v>40491</v>
      </c>
      <c r="D701" s="72">
        <v>0</v>
      </c>
      <c r="E701" s="71">
        <v>41000</v>
      </c>
      <c r="F701" s="72">
        <v>0.14000000000000001</v>
      </c>
    </row>
    <row r="702" spans="1:6" x14ac:dyDescent="0.2">
      <c r="A702" s="71">
        <v>40492</v>
      </c>
      <c r="B702" s="72">
        <v>0.25</v>
      </c>
      <c r="C702" s="71">
        <v>40492</v>
      </c>
      <c r="D702" s="72">
        <v>0</v>
      </c>
      <c r="E702" s="71">
        <v>41030</v>
      </c>
      <c r="F702" s="72">
        <v>0.16</v>
      </c>
    </row>
    <row r="703" spans="1:6" x14ac:dyDescent="0.2">
      <c r="A703" s="71">
        <v>40493</v>
      </c>
      <c r="B703" s="72">
        <v>0.25</v>
      </c>
      <c r="C703" s="71">
        <v>40493</v>
      </c>
      <c r="D703" s="72">
        <v>0</v>
      </c>
      <c r="E703" s="71">
        <v>41061</v>
      </c>
      <c r="F703" s="72">
        <v>0.16</v>
      </c>
    </row>
    <row r="704" spans="1:6" x14ac:dyDescent="0.2">
      <c r="A704" s="71">
        <v>40494</v>
      </c>
      <c r="B704" s="72">
        <v>0.25</v>
      </c>
      <c r="C704" s="71">
        <v>40494</v>
      </c>
      <c r="D704" s="72">
        <v>0</v>
      </c>
      <c r="E704" s="71">
        <v>41091</v>
      </c>
      <c r="F704" s="72">
        <v>0.16</v>
      </c>
    </row>
    <row r="705" spans="1:6" x14ac:dyDescent="0.2">
      <c r="A705" s="71">
        <v>40495</v>
      </c>
      <c r="B705" s="72">
        <v>0.25</v>
      </c>
      <c r="C705" s="71">
        <v>40495</v>
      </c>
      <c r="D705" s="72">
        <v>0</v>
      </c>
      <c r="E705" s="71">
        <v>41122</v>
      </c>
      <c r="F705" s="72">
        <v>0.13</v>
      </c>
    </row>
    <row r="706" spans="1:6" x14ac:dyDescent="0.2">
      <c r="A706" s="71">
        <v>40496</v>
      </c>
      <c r="B706" s="72">
        <v>0.25</v>
      </c>
      <c r="C706" s="71">
        <v>40496</v>
      </c>
      <c r="D706" s="72">
        <v>0</v>
      </c>
      <c r="E706" s="71">
        <v>41153</v>
      </c>
      <c r="F706" s="72">
        <v>0.14000000000000001</v>
      </c>
    </row>
    <row r="707" spans="1:6" x14ac:dyDescent="0.2">
      <c r="A707" s="71">
        <v>40497</v>
      </c>
      <c r="B707" s="72">
        <v>0.25</v>
      </c>
      <c r="C707" s="71">
        <v>40497</v>
      </c>
      <c r="D707" s="72">
        <v>0</v>
      </c>
      <c r="E707" s="71">
        <v>41183</v>
      </c>
      <c r="F707" s="72">
        <v>0.16</v>
      </c>
    </row>
    <row r="708" spans="1:6" x14ac:dyDescent="0.2">
      <c r="A708" s="71">
        <v>40498</v>
      </c>
      <c r="B708" s="72">
        <v>0.25</v>
      </c>
      <c r="C708" s="71">
        <v>40498</v>
      </c>
      <c r="D708" s="72">
        <v>0</v>
      </c>
      <c r="E708" s="71">
        <v>41214</v>
      </c>
      <c r="F708" s="72">
        <v>0.16</v>
      </c>
    </row>
    <row r="709" spans="1:6" x14ac:dyDescent="0.2">
      <c r="A709" s="71">
        <v>40499</v>
      </c>
      <c r="B709" s="72">
        <v>0.25</v>
      </c>
      <c r="C709" s="71">
        <v>40499</v>
      </c>
      <c r="D709" s="72">
        <v>0</v>
      </c>
      <c r="E709" s="71">
        <v>41244</v>
      </c>
      <c r="F709" s="72">
        <v>0.16</v>
      </c>
    </row>
    <row r="710" spans="1:6" x14ac:dyDescent="0.2">
      <c r="A710" s="71">
        <v>40500</v>
      </c>
      <c r="B710" s="72">
        <v>0.25</v>
      </c>
      <c r="C710" s="71">
        <v>40500</v>
      </c>
      <c r="D710" s="72">
        <v>0</v>
      </c>
      <c r="E710" s="71">
        <v>41275</v>
      </c>
      <c r="F710" s="72">
        <v>0.14000000000000001</v>
      </c>
    </row>
    <row r="711" spans="1:6" x14ac:dyDescent="0.2">
      <c r="A711" s="71">
        <v>40501</v>
      </c>
      <c r="B711" s="72">
        <v>0.25</v>
      </c>
      <c r="C711" s="71">
        <v>40501</v>
      </c>
      <c r="D711" s="72">
        <v>0</v>
      </c>
      <c r="E711" s="71">
        <v>41306</v>
      </c>
      <c r="F711" s="72">
        <v>0.15</v>
      </c>
    </row>
    <row r="712" spans="1:6" x14ac:dyDescent="0.2">
      <c r="A712" s="71">
        <v>40502</v>
      </c>
      <c r="B712" s="72">
        <v>0.25</v>
      </c>
      <c r="C712" s="71">
        <v>40502</v>
      </c>
      <c r="D712" s="72">
        <v>0</v>
      </c>
      <c r="E712" s="71">
        <v>41334</v>
      </c>
      <c r="F712" s="72">
        <v>0.14000000000000001</v>
      </c>
    </row>
    <row r="713" spans="1:6" x14ac:dyDescent="0.2">
      <c r="A713" s="71">
        <v>40503</v>
      </c>
      <c r="B713" s="72">
        <v>0.25</v>
      </c>
      <c r="C713" s="71">
        <v>40503</v>
      </c>
      <c r="D713" s="72">
        <v>0</v>
      </c>
      <c r="E713" s="71">
        <v>41365</v>
      </c>
      <c r="F713" s="72">
        <v>0.15</v>
      </c>
    </row>
    <row r="714" spans="1:6" x14ac:dyDescent="0.2">
      <c r="A714" s="71">
        <v>40504</v>
      </c>
      <c r="B714" s="72">
        <v>0.25</v>
      </c>
      <c r="C714" s="71">
        <v>40504</v>
      </c>
      <c r="D714" s="72">
        <v>0</v>
      </c>
      <c r="E714" s="71">
        <v>41395</v>
      </c>
      <c r="F714" s="72">
        <v>0.11</v>
      </c>
    </row>
    <row r="715" spans="1:6" x14ac:dyDescent="0.2">
      <c r="A715" s="71">
        <v>40505</v>
      </c>
      <c r="B715" s="72">
        <v>0.25</v>
      </c>
      <c r="C715" s="71">
        <v>40505</v>
      </c>
      <c r="D715" s="72">
        <v>0</v>
      </c>
      <c r="E715" s="71">
        <v>41426</v>
      </c>
      <c r="F715" s="72">
        <v>0.09</v>
      </c>
    </row>
    <row r="716" spans="1:6" x14ac:dyDescent="0.2">
      <c r="A716" s="71">
        <v>40506</v>
      </c>
      <c r="B716" s="72">
        <v>0.25</v>
      </c>
      <c r="C716" s="71">
        <v>40506</v>
      </c>
      <c r="D716" s="72">
        <v>0</v>
      </c>
      <c r="E716" s="71">
        <v>41456</v>
      </c>
      <c r="F716" s="72">
        <v>0.09</v>
      </c>
    </row>
    <row r="717" spans="1:6" x14ac:dyDescent="0.2">
      <c r="A717" s="71">
        <v>40507</v>
      </c>
      <c r="B717" s="72">
        <v>0.25</v>
      </c>
      <c r="C717" s="71">
        <v>40507</v>
      </c>
      <c r="D717" s="72">
        <v>0</v>
      </c>
      <c r="E717" s="71">
        <v>41487</v>
      </c>
      <c r="F717" s="72">
        <v>0.08</v>
      </c>
    </row>
    <row r="718" spans="1:6" x14ac:dyDescent="0.2">
      <c r="A718" s="71">
        <v>40508</v>
      </c>
      <c r="B718" s="72">
        <v>0.25</v>
      </c>
      <c r="C718" s="71">
        <v>40508</v>
      </c>
      <c r="D718" s="72">
        <v>0</v>
      </c>
      <c r="E718" s="71">
        <v>41518</v>
      </c>
      <c r="F718" s="72">
        <v>0.08</v>
      </c>
    </row>
    <row r="719" spans="1:6" x14ac:dyDescent="0.2">
      <c r="A719" s="71">
        <v>40509</v>
      </c>
      <c r="B719" s="72">
        <v>0.25</v>
      </c>
      <c r="C719" s="71">
        <v>40509</v>
      </c>
      <c r="D719" s="72">
        <v>0</v>
      </c>
      <c r="E719" s="71">
        <v>41548</v>
      </c>
      <c r="F719" s="72">
        <v>0.09</v>
      </c>
    </row>
    <row r="720" spans="1:6" x14ac:dyDescent="0.2">
      <c r="A720" s="71">
        <v>40510</v>
      </c>
      <c r="B720" s="72">
        <v>0.25</v>
      </c>
      <c r="C720" s="71">
        <v>40510</v>
      </c>
      <c r="D720" s="72">
        <v>0</v>
      </c>
      <c r="E720" s="71">
        <v>41579</v>
      </c>
      <c r="F720" s="72">
        <v>0.08</v>
      </c>
    </row>
    <row r="721" spans="1:6" x14ac:dyDescent="0.2">
      <c r="A721" s="71">
        <v>40511</v>
      </c>
      <c r="B721" s="72">
        <v>0.25</v>
      </c>
      <c r="C721" s="71">
        <v>40511</v>
      </c>
      <c r="D721" s="72">
        <v>0</v>
      </c>
      <c r="E721" s="71">
        <v>41609</v>
      </c>
      <c r="F721" s="72">
        <v>0.09</v>
      </c>
    </row>
    <row r="722" spans="1:6" x14ac:dyDescent="0.2">
      <c r="A722" s="71">
        <v>40512</v>
      </c>
      <c r="B722" s="72">
        <v>0.25</v>
      </c>
      <c r="C722" s="71">
        <v>40512</v>
      </c>
      <c r="D722" s="72">
        <v>0</v>
      </c>
      <c r="E722" s="71">
        <v>41640</v>
      </c>
      <c r="F722" s="72">
        <v>7.0000000000000007E-2</v>
      </c>
    </row>
    <row r="723" spans="1:6" x14ac:dyDescent="0.2">
      <c r="A723" s="71">
        <v>40513</v>
      </c>
      <c r="B723" s="72">
        <v>0.25</v>
      </c>
      <c r="C723" s="71">
        <v>40513</v>
      </c>
      <c r="D723" s="72">
        <v>0</v>
      </c>
      <c r="E723" s="71">
        <v>41671</v>
      </c>
      <c r="F723" s="72">
        <v>7.0000000000000007E-2</v>
      </c>
    </row>
    <row r="724" spans="1:6" x14ac:dyDescent="0.2">
      <c r="A724" s="71">
        <v>40514</v>
      </c>
      <c r="B724" s="72">
        <v>0.25</v>
      </c>
      <c r="C724" s="71">
        <v>40514</v>
      </c>
      <c r="D724" s="72">
        <v>0</v>
      </c>
      <c r="E724" s="71">
        <v>41699</v>
      </c>
      <c r="F724" s="72">
        <v>0.08</v>
      </c>
    </row>
    <row r="725" spans="1:6" x14ac:dyDescent="0.2">
      <c r="A725" s="71">
        <v>40515</v>
      </c>
      <c r="B725" s="72">
        <v>0.25</v>
      </c>
      <c r="C725" s="71">
        <v>40515</v>
      </c>
      <c r="D725" s="72">
        <v>0</v>
      </c>
      <c r="E725" s="71">
        <v>41730</v>
      </c>
      <c r="F725" s="72">
        <v>0.09</v>
      </c>
    </row>
    <row r="726" spans="1:6" x14ac:dyDescent="0.2">
      <c r="A726" s="71">
        <v>40516</v>
      </c>
      <c r="B726" s="72">
        <v>0.25</v>
      </c>
      <c r="C726" s="71">
        <v>40516</v>
      </c>
      <c r="D726" s="72">
        <v>0</v>
      </c>
      <c r="E726" s="71">
        <v>41760</v>
      </c>
      <c r="F726" s="72">
        <v>0.09</v>
      </c>
    </row>
    <row r="727" spans="1:6" x14ac:dyDescent="0.2">
      <c r="A727" s="71">
        <v>40517</v>
      </c>
      <c r="B727" s="72">
        <v>0.25</v>
      </c>
      <c r="C727" s="71">
        <v>40517</v>
      </c>
      <c r="D727" s="72">
        <v>0</v>
      </c>
      <c r="E727" s="71">
        <v>41791</v>
      </c>
      <c r="F727" s="72">
        <v>0.1</v>
      </c>
    </row>
    <row r="728" spans="1:6" x14ac:dyDescent="0.2">
      <c r="A728" s="71">
        <v>40518</v>
      </c>
      <c r="B728" s="72">
        <v>0.25</v>
      </c>
      <c r="C728" s="71">
        <v>40518</v>
      </c>
      <c r="D728" s="72">
        <v>0</v>
      </c>
      <c r="E728" s="71">
        <v>41821</v>
      </c>
      <c r="F728" s="72">
        <v>0.09</v>
      </c>
    </row>
    <row r="729" spans="1:6" x14ac:dyDescent="0.2">
      <c r="A729" s="71">
        <v>40519</v>
      </c>
      <c r="B729" s="72">
        <v>0.25</v>
      </c>
      <c r="C729" s="71">
        <v>40519</v>
      </c>
      <c r="D729" s="72">
        <v>0</v>
      </c>
      <c r="E729" s="71">
        <v>41852</v>
      </c>
      <c r="F729" s="72">
        <v>0.09</v>
      </c>
    </row>
    <row r="730" spans="1:6" x14ac:dyDescent="0.2">
      <c r="A730" s="71">
        <v>40520</v>
      </c>
      <c r="B730" s="72">
        <v>0.25</v>
      </c>
      <c r="C730" s="71">
        <v>40520</v>
      </c>
      <c r="D730" s="72">
        <v>0</v>
      </c>
      <c r="E730" s="71">
        <v>41883</v>
      </c>
      <c r="F730" s="72">
        <v>0.09</v>
      </c>
    </row>
    <row r="731" spans="1:6" x14ac:dyDescent="0.2">
      <c r="A731" s="71">
        <v>40521</v>
      </c>
      <c r="B731" s="72">
        <v>0.25</v>
      </c>
      <c r="C731" s="71">
        <v>40521</v>
      </c>
      <c r="D731" s="72">
        <v>0</v>
      </c>
      <c r="E731" s="71">
        <v>41913</v>
      </c>
      <c r="F731" s="72">
        <v>0.09</v>
      </c>
    </row>
    <row r="732" spans="1:6" x14ac:dyDescent="0.2">
      <c r="A732" s="71">
        <v>40522</v>
      </c>
      <c r="B732" s="72">
        <v>0.25</v>
      </c>
      <c r="C732" s="71">
        <v>40522</v>
      </c>
      <c r="D732" s="72">
        <v>0</v>
      </c>
      <c r="E732" s="71">
        <v>41944</v>
      </c>
      <c r="F732" s="72">
        <v>0.09</v>
      </c>
    </row>
    <row r="733" spans="1:6" x14ac:dyDescent="0.2">
      <c r="A733" s="71">
        <v>40523</v>
      </c>
      <c r="B733" s="72">
        <v>0.25</v>
      </c>
      <c r="C733" s="71">
        <v>40523</v>
      </c>
      <c r="D733" s="72">
        <v>0</v>
      </c>
      <c r="E733" s="71">
        <v>41974</v>
      </c>
      <c r="F733" s="72">
        <v>0.12</v>
      </c>
    </row>
    <row r="734" spans="1:6" x14ac:dyDescent="0.2">
      <c r="A734" s="71">
        <v>40524</v>
      </c>
      <c r="B734" s="72">
        <v>0.25</v>
      </c>
      <c r="C734" s="71">
        <v>40524</v>
      </c>
      <c r="D734" s="72">
        <v>0</v>
      </c>
      <c r="E734" s="71">
        <v>42005</v>
      </c>
      <c r="F734" s="72">
        <v>0.11</v>
      </c>
    </row>
    <row r="735" spans="1:6" x14ac:dyDescent="0.2">
      <c r="A735" s="71">
        <v>40525</v>
      </c>
      <c r="B735" s="72">
        <v>0.25</v>
      </c>
      <c r="C735" s="71">
        <v>40525</v>
      </c>
      <c r="D735" s="72">
        <v>0</v>
      </c>
      <c r="E735" s="71">
        <v>42036</v>
      </c>
      <c r="F735" s="72">
        <v>0.11</v>
      </c>
    </row>
    <row r="736" spans="1:6" x14ac:dyDescent="0.2">
      <c r="A736" s="71">
        <v>40526</v>
      </c>
      <c r="B736" s="72">
        <v>0.25</v>
      </c>
      <c r="C736" s="71">
        <v>40526</v>
      </c>
      <c r="D736" s="72">
        <v>0</v>
      </c>
      <c r="E736" s="71">
        <v>42064</v>
      </c>
      <c r="F736" s="72">
        <v>0.11</v>
      </c>
    </row>
    <row r="737" spans="1:6" x14ac:dyDescent="0.2">
      <c r="A737" s="71">
        <v>40527</v>
      </c>
      <c r="B737" s="72">
        <v>0.25</v>
      </c>
      <c r="C737" s="71">
        <v>40527</v>
      </c>
      <c r="D737" s="72">
        <v>0</v>
      </c>
      <c r="E737" s="71">
        <v>42095</v>
      </c>
      <c r="F737" s="72">
        <v>0.12</v>
      </c>
    </row>
    <row r="738" spans="1:6" x14ac:dyDescent="0.2">
      <c r="A738" s="71">
        <v>40528</v>
      </c>
      <c r="B738" s="72">
        <v>0.25</v>
      </c>
      <c r="C738" s="71">
        <v>40528</v>
      </c>
      <c r="D738" s="72">
        <v>0</v>
      </c>
      <c r="E738" s="71">
        <v>42125</v>
      </c>
      <c r="F738" s="72">
        <v>0.12</v>
      </c>
    </row>
    <row r="739" spans="1:6" x14ac:dyDescent="0.2">
      <c r="A739" s="71">
        <v>40529</v>
      </c>
      <c r="B739" s="72">
        <v>0.25</v>
      </c>
      <c r="C739" s="71">
        <v>40529</v>
      </c>
      <c r="D739" s="72">
        <v>0</v>
      </c>
      <c r="E739" s="71">
        <v>42156</v>
      </c>
      <c r="F739" s="72">
        <v>0.13</v>
      </c>
    </row>
    <row r="740" spans="1:6" x14ac:dyDescent="0.2">
      <c r="A740" s="71">
        <v>40530</v>
      </c>
      <c r="B740" s="72">
        <v>0.25</v>
      </c>
      <c r="C740" s="71">
        <v>40530</v>
      </c>
      <c r="D740" s="72">
        <v>0</v>
      </c>
      <c r="E740" s="71">
        <v>42186</v>
      </c>
      <c r="F740" s="72">
        <v>0.13</v>
      </c>
    </row>
    <row r="741" spans="1:6" x14ac:dyDescent="0.2">
      <c r="A741" s="71">
        <v>40531</v>
      </c>
      <c r="B741" s="72">
        <v>0.25</v>
      </c>
      <c r="C741" s="71">
        <v>40531</v>
      </c>
      <c r="D741" s="72">
        <v>0</v>
      </c>
      <c r="E741" s="71">
        <v>42217</v>
      </c>
      <c r="F741" s="72">
        <v>0.14000000000000001</v>
      </c>
    </row>
    <row r="742" spans="1:6" x14ac:dyDescent="0.2">
      <c r="A742" s="71">
        <v>40532</v>
      </c>
      <c r="B742" s="72">
        <v>0.25</v>
      </c>
      <c r="C742" s="71">
        <v>40532</v>
      </c>
      <c r="D742" s="72">
        <v>0</v>
      </c>
      <c r="E742" s="71">
        <v>42248</v>
      </c>
      <c r="F742" s="72">
        <v>0.14000000000000001</v>
      </c>
    </row>
    <row r="743" spans="1:6" x14ac:dyDescent="0.2">
      <c r="A743" s="71">
        <v>40533</v>
      </c>
      <c r="B743" s="72">
        <v>0.25</v>
      </c>
      <c r="C743" s="71">
        <v>40533</v>
      </c>
      <c r="D743" s="72">
        <v>0</v>
      </c>
      <c r="E743" s="71">
        <v>42278</v>
      </c>
      <c r="F743" s="72">
        <v>0.12</v>
      </c>
    </row>
    <row r="744" spans="1:6" x14ac:dyDescent="0.2">
      <c r="A744" s="71">
        <v>40534</v>
      </c>
      <c r="B744" s="72">
        <v>0.25</v>
      </c>
      <c r="C744" s="71">
        <v>40534</v>
      </c>
      <c r="D744" s="72">
        <v>0</v>
      </c>
      <c r="E744" s="71">
        <v>42309</v>
      </c>
      <c r="F744" s="72">
        <v>0.12</v>
      </c>
    </row>
    <row r="745" spans="1:6" x14ac:dyDescent="0.2">
      <c r="A745" s="71">
        <v>40535</v>
      </c>
      <c r="B745" s="72">
        <v>0.25</v>
      </c>
      <c r="C745" s="71">
        <v>40535</v>
      </c>
      <c r="D745" s="72">
        <v>0</v>
      </c>
      <c r="E745" s="71">
        <v>42339</v>
      </c>
      <c r="F745" s="72">
        <v>0.24</v>
      </c>
    </row>
    <row r="746" spans="1:6" x14ac:dyDescent="0.2">
      <c r="A746" s="71">
        <v>40536</v>
      </c>
      <c r="B746" s="72">
        <v>0.25</v>
      </c>
      <c r="C746" s="71">
        <v>40536</v>
      </c>
      <c r="D746" s="72">
        <v>0</v>
      </c>
      <c r="E746" s="71">
        <v>42370</v>
      </c>
      <c r="F746" s="72">
        <v>0.34</v>
      </c>
    </row>
    <row r="747" spans="1:6" x14ac:dyDescent="0.2">
      <c r="A747" s="71">
        <v>40537</v>
      </c>
      <c r="B747" s="72">
        <v>0.25</v>
      </c>
      <c r="C747" s="71">
        <v>40537</v>
      </c>
      <c r="D747" s="72">
        <v>0</v>
      </c>
      <c r="E747" s="71">
        <v>42401</v>
      </c>
      <c r="F747" s="72">
        <v>0.38</v>
      </c>
    </row>
    <row r="748" spans="1:6" x14ac:dyDescent="0.2">
      <c r="A748" s="71">
        <v>40538</v>
      </c>
      <c r="B748" s="72">
        <v>0.25</v>
      </c>
      <c r="C748" s="71">
        <v>40538</v>
      </c>
      <c r="D748" s="72">
        <v>0</v>
      </c>
      <c r="E748" s="71">
        <v>42430</v>
      </c>
      <c r="F748" s="72">
        <v>0.36</v>
      </c>
    </row>
    <row r="749" spans="1:6" x14ac:dyDescent="0.2">
      <c r="A749" s="71">
        <v>40539</v>
      </c>
      <c r="B749" s="72">
        <v>0.25</v>
      </c>
      <c r="C749" s="71">
        <v>40539</v>
      </c>
      <c r="D749" s="72">
        <v>0</v>
      </c>
      <c r="E749" s="71">
        <v>42461</v>
      </c>
      <c r="F749" s="72">
        <v>0.37</v>
      </c>
    </row>
    <row r="750" spans="1:6" x14ac:dyDescent="0.2">
      <c r="A750" s="71">
        <v>40540</v>
      </c>
      <c r="B750" s="72">
        <v>0.25</v>
      </c>
      <c r="C750" s="71">
        <v>40540</v>
      </c>
      <c r="D750" s="72">
        <v>0</v>
      </c>
      <c r="E750" s="71">
        <v>42491</v>
      </c>
      <c r="F750" s="72">
        <v>0.37</v>
      </c>
    </row>
    <row r="751" spans="1:6" x14ac:dyDescent="0.2">
      <c r="A751" s="71">
        <v>40541</v>
      </c>
      <c r="B751" s="72">
        <v>0.25</v>
      </c>
      <c r="C751" s="71">
        <v>40541</v>
      </c>
      <c r="D751" s="72">
        <v>0</v>
      </c>
      <c r="E751" s="71">
        <v>42522</v>
      </c>
      <c r="F751" s="72">
        <v>0.38</v>
      </c>
    </row>
    <row r="752" spans="1:6" x14ac:dyDescent="0.2">
      <c r="A752" s="71">
        <v>40542</v>
      </c>
      <c r="B752" s="72">
        <v>0.25</v>
      </c>
      <c r="C752" s="71">
        <v>40542</v>
      </c>
      <c r="D752" s="72">
        <v>0</v>
      </c>
      <c r="E752" s="71">
        <v>42552</v>
      </c>
      <c r="F752" s="72">
        <v>0.39</v>
      </c>
    </row>
    <row r="753" spans="1:6" x14ac:dyDescent="0.2">
      <c r="A753" s="71">
        <v>40543</v>
      </c>
      <c r="B753" s="72">
        <v>0.25</v>
      </c>
      <c r="C753" s="71">
        <v>40543</v>
      </c>
      <c r="D753" s="72">
        <v>0</v>
      </c>
      <c r="E753" s="71">
        <v>42583</v>
      </c>
      <c r="F753" s="72">
        <v>0.4</v>
      </c>
    </row>
    <row r="754" spans="1:6" x14ac:dyDescent="0.2">
      <c r="A754" s="71">
        <v>40544</v>
      </c>
      <c r="B754" s="72">
        <v>0.25</v>
      </c>
      <c r="C754" s="71">
        <v>40544</v>
      </c>
      <c r="D754" s="72">
        <v>0</v>
      </c>
      <c r="E754" s="71">
        <v>42614</v>
      </c>
      <c r="F754" s="72">
        <v>0.4</v>
      </c>
    </row>
    <row r="755" spans="1:6" x14ac:dyDescent="0.2">
      <c r="A755" s="71">
        <v>40545</v>
      </c>
      <c r="B755" s="72">
        <v>0.25</v>
      </c>
      <c r="C755" s="71">
        <v>40545</v>
      </c>
      <c r="D755" s="72">
        <v>0</v>
      </c>
      <c r="E755" s="71">
        <v>42644</v>
      </c>
      <c r="F755" s="72">
        <v>0.4</v>
      </c>
    </row>
    <row r="756" spans="1:6" x14ac:dyDescent="0.2">
      <c r="A756" s="71">
        <v>40546</v>
      </c>
      <c r="B756" s="72">
        <v>0.25</v>
      </c>
      <c r="C756" s="71">
        <v>40546</v>
      </c>
      <c r="D756" s="72">
        <v>0</v>
      </c>
      <c r="E756" s="71">
        <v>42675</v>
      </c>
      <c r="F756" s="72">
        <v>0.41</v>
      </c>
    </row>
    <row r="757" spans="1:6" x14ac:dyDescent="0.2">
      <c r="A757" s="71">
        <v>40547</v>
      </c>
      <c r="B757" s="72">
        <v>0.25</v>
      </c>
      <c r="C757" s="71">
        <v>40547</v>
      </c>
      <c r="D757" s="72">
        <v>0</v>
      </c>
      <c r="E757" s="71">
        <v>42705</v>
      </c>
      <c r="F757" s="72">
        <v>0.54</v>
      </c>
    </row>
    <row r="758" spans="1:6" x14ac:dyDescent="0.2">
      <c r="A758" s="71">
        <v>40548</v>
      </c>
      <c r="B758" s="72">
        <v>0.25</v>
      </c>
      <c r="C758" s="71">
        <v>40548</v>
      </c>
      <c r="D758" s="72">
        <v>0</v>
      </c>
      <c r="E758" s="71">
        <v>42736</v>
      </c>
      <c r="F758" s="72">
        <v>0.65</v>
      </c>
    </row>
    <row r="759" spans="1:6" x14ac:dyDescent="0.2">
      <c r="A759" s="71">
        <v>40549</v>
      </c>
      <c r="B759" s="72">
        <v>0.25</v>
      </c>
      <c r="C759" s="71">
        <v>40549</v>
      </c>
      <c r="D759" s="72">
        <v>0</v>
      </c>
    </row>
    <row r="760" spans="1:6" x14ac:dyDescent="0.2">
      <c r="A760" s="71">
        <v>40550</v>
      </c>
      <c r="B760" s="72">
        <v>0.25</v>
      </c>
      <c r="C760" s="71">
        <v>40550</v>
      </c>
      <c r="D760" s="72">
        <v>0</v>
      </c>
    </row>
    <row r="761" spans="1:6" x14ac:dyDescent="0.2">
      <c r="A761" s="71">
        <v>40551</v>
      </c>
      <c r="B761" s="72">
        <v>0.25</v>
      </c>
      <c r="C761" s="71">
        <v>40551</v>
      </c>
      <c r="D761" s="72">
        <v>0</v>
      </c>
    </row>
    <row r="762" spans="1:6" x14ac:dyDescent="0.2">
      <c r="A762" s="71">
        <v>40552</v>
      </c>
      <c r="B762" s="72">
        <v>0.25</v>
      </c>
      <c r="C762" s="71">
        <v>40552</v>
      </c>
      <c r="D762" s="72">
        <v>0</v>
      </c>
    </row>
    <row r="763" spans="1:6" x14ac:dyDescent="0.2">
      <c r="A763" s="71">
        <v>40553</v>
      </c>
      <c r="B763" s="72">
        <v>0.25</v>
      </c>
      <c r="C763" s="71">
        <v>40553</v>
      </c>
      <c r="D763" s="72">
        <v>0</v>
      </c>
    </row>
    <row r="764" spans="1:6" x14ac:dyDescent="0.2">
      <c r="A764" s="71">
        <v>40554</v>
      </c>
      <c r="B764" s="72">
        <v>0.25</v>
      </c>
      <c r="C764" s="71">
        <v>40554</v>
      </c>
      <c r="D764" s="72">
        <v>0</v>
      </c>
    </row>
    <row r="765" spans="1:6" x14ac:dyDescent="0.2">
      <c r="A765" s="71">
        <v>40555</v>
      </c>
      <c r="B765" s="72">
        <v>0.25</v>
      </c>
      <c r="C765" s="71">
        <v>40555</v>
      </c>
      <c r="D765" s="72">
        <v>0</v>
      </c>
    </row>
    <row r="766" spans="1:6" x14ac:dyDescent="0.2">
      <c r="A766" s="71">
        <v>40556</v>
      </c>
      <c r="B766" s="72">
        <v>0.25</v>
      </c>
      <c r="C766" s="71">
        <v>40556</v>
      </c>
      <c r="D766" s="72">
        <v>0</v>
      </c>
    </row>
    <row r="767" spans="1:6" x14ac:dyDescent="0.2">
      <c r="A767" s="71">
        <v>40557</v>
      </c>
      <c r="B767" s="72">
        <v>0.25</v>
      </c>
      <c r="C767" s="71">
        <v>40557</v>
      </c>
      <c r="D767" s="72">
        <v>0</v>
      </c>
    </row>
    <row r="768" spans="1:6" x14ac:dyDescent="0.2">
      <c r="A768" s="71">
        <v>40558</v>
      </c>
      <c r="B768" s="72">
        <v>0.25</v>
      </c>
      <c r="C768" s="71">
        <v>40558</v>
      </c>
      <c r="D768" s="72">
        <v>0</v>
      </c>
    </row>
    <row r="769" spans="1:4" x14ac:dyDescent="0.2">
      <c r="A769" s="71">
        <v>40559</v>
      </c>
      <c r="B769" s="72">
        <v>0.25</v>
      </c>
      <c r="C769" s="71">
        <v>40559</v>
      </c>
      <c r="D769" s="72">
        <v>0</v>
      </c>
    </row>
    <row r="770" spans="1:4" x14ac:dyDescent="0.2">
      <c r="A770" s="71">
        <v>40560</v>
      </c>
      <c r="B770" s="72">
        <v>0.25</v>
      </c>
      <c r="C770" s="71">
        <v>40560</v>
      </c>
      <c r="D770" s="72">
        <v>0</v>
      </c>
    </row>
    <row r="771" spans="1:4" x14ac:dyDescent="0.2">
      <c r="A771" s="71">
        <v>40561</v>
      </c>
      <c r="B771" s="72">
        <v>0.25</v>
      </c>
      <c r="C771" s="71">
        <v>40561</v>
      </c>
      <c r="D771" s="72">
        <v>0</v>
      </c>
    </row>
    <row r="772" spans="1:4" x14ac:dyDescent="0.2">
      <c r="A772" s="71">
        <v>40562</v>
      </c>
      <c r="B772" s="72">
        <v>0.25</v>
      </c>
      <c r="C772" s="71">
        <v>40562</v>
      </c>
      <c r="D772" s="72">
        <v>0</v>
      </c>
    </row>
    <row r="773" spans="1:4" x14ac:dyDescent="0.2">
      <c r="A773" s="71">
        <v>40563</v>
      </c>
      <c r="B773" s="72">
        <v>0.25</v>
      </c>
      <c r="C773" s="71">
        <v>40563</v>
      </c>
      <c r="D773" s="72">
        <v>0</v>
      </c>
    </row>
    <row r="774" spans="1:4" x14ac:dyDescent="0.2">
      <c r="A774" s="71">
        <v>40564</v>
      </c>
      <c r="B774" s="72">
        <v>0.25</v>
      </c>
      <c r="C774" s="71">
        <v>40564</v>
      </c>
      <c r="D774" s="72">
        <v>0</v>
      </c>
    </row>
    <row r="775" spans="1:4" x14ac:dyDescent="0.2">
      <c r="A775" s="71">
        <v>40565</v>
      </c>
      <c r="B775" s="72">
        <v>0.25</v>
      </c>
      <c r="C775" s="71">
        <v>40565</v>
      </c>
      <c r="D775" s="72">
        <v>0</v>
      </c>
    </row>
    <row r="776" spans="1:4" x14ac:dyDescent="0.2">
      <c r="A776" s="71">
        <v>40566</v>
      </c>
      <c r="B776" s="72">
        <v>0.25</v>
      </c>
      <c r="C776" s="71">
        <v>40566</v>
      </c>
      <c r="D776" s="72">
        <v>0</v>
      </c>
    </row>
    <row r="777" spans="1:4" x14ac:dyDescent="0.2">
      <c r="A777" s="71">
        <v>40567</v>
      </c>
      <c r="B777" s="72">
        <v>0.25</v>
      </c>
      <c r="C777" s="71">
        <v>40567</v>
      </c>
      <c r="D777" s="72">
        <v>0</v>
      </c>
    </row>
    <row r="778" spans="1:4" x14ac:dyDescent="0.2">
      <c r="A778" s="71">
        <v>40568</v>
      </c>
      <c r="B778" s="72">
        <v>0.25</v>
      </c>
      <c r="C778" s="71">
        <v>40568</v>
      </c>
      <c r="D778" s="72">
        <v>0</v>
      </c>
    </row>
    <row r="779" spans="1:4" x14ac:dyDescent="0.2">
      <c r="A779" s="71">
        <v>40569</v>
      </c>
      <c r="B779" s="72">
        <v>0.25</v>
      </c>
      <c r="C779" s="71">
        <v>40569</v>
      </c>
      <c r="D779" s="72">
        <v>0</v>
      </c>
    </row>
    <row r="780" spans="1:4" x14ac:dyDescent="0.2">
      <c r="A780" s="71">
        <v>40570</v>
      </c>
      <c r="B780" s="72">
        <v>0.25</v>
      </c>
      <c r="C780" s="71">
        <v>40570</v>
      </c>
      <c r="D780" s="72">
        <v>0</v>
      </c>
    </row>
    <row r="781" spans="1:4" x14ac:dyDescent="0.2">
      <c r="A781" s="71">
        <v>40571</v>
      </c>
      <c r="B781" s="72">
        <v>0.25</v>
      </c>
      <c r="C781" s="71">
        <v>40571</v>
      </c>
      <c r="D781" s="72">
        <v>0</v>
      </c>
    </row>
    <row r="782" spans="1:4" x14ac:dyDescent="0.2">
      <c r="A782" s="71">
        <v>40572</v>
      </c>
      <c r="B782" s="72">
        <v>0.25</v>
      </c>
      <c r="C782" s="71">
        <v>40572</v>
      </c>
      <c r="D782" s="72">
        <v>0</v>
      </c>
    </row>
    <row r="783" spans="1:4" x14ac:dyDescent="0.2">
      <c r="A783" s="71">
        <v>40573</v>
      </c>
      <c r="B783" s="72">
        <v>0.25</v>
      </c>
      <c r="C783" s="71">
        <v>40573</v>
      </c>
      <c r="D783" s="72">
        <v>0</v>
      </c>
    </row>
    <row r="784" spans="1:4" x14ac:dyDescent="0.2">
      <c r="A784" s="71">
        <v>40574</v>
      </c>
      <c r="B784" s="72">
        <v>0.25</v>
      </c>
      <c r="C784" s="71">
        <v>40574</v>
      </c>
      <c r="D784" s="72">
        <v>0</v>
      </c>
    </row>
    <row r="785" spans="1:4" x14ac:dyDescent="0.2">
      <c r="A785" s="71">
        <v>40575</v>
      </c>
      <c r="B785" s="72">
        <v>0.25</v>
      </c>
      <c r="C785" s="71">
        <v>40575</v>
      </c>
      <c r="D785" s="72">
        <v>0</v>
      </c>
    </row>
    <row r="786" spans="1:4" x14ac:dyDescent="0.2">
      <c r="A786" s="71">
        <v>40576</v>
      </c>
      <c r="B786" s="72">
        <v>0.25</v>
      </c>
      <c r="C786" s="71">
        <v>40576</v>
      </c>
      <c r="D786" s="72">
        <v>0</v>
      </c>
    </row>
    <row r="787" spans="1:4" x14ac:dyDescent="0.2">
      <c r="A787" s="71">
        <v>40577</v>
      </c>
      <c r="B787" s="72">
        <v>0.25</v>
      </c>
      <c r="C787" s="71">
        <v>40577</v>
      </c>
      <c r="D787" s="72">
        <v>0</v>
      </c>
    </row>
    <row r="788" spans="1:4" x14ac:dyDescent="0.2">
      <c r="A788" s="71">
        <v>40578</v>
      </c>
      <c r="B788" s="72">
        <v>0.25</v>
      </c>
      <c r="C788" s="71">
        <v>40578</v>
      </c>
      <c r="D788" s="72">
        <v>0</v>
      </c>
    </row>
    <row r="789" spans="1:4" x14ac:dyDescent="0.2">
      <c r="A789" s="71">
        <v>40579</v>
      </c>
      <c r="B789" s="72">
        <v>0.25</v>
      </c>
      <c r="C789" s="71">
        <v>40579</v>
      </c>
      <c r="D789" s="72">
        <v>0</v>
      </c>
    </row>
    <row r="790" spans="1:4" x14ac:dyDescent="0.2">
      <c r="A790" s="71">
        <v>40580</v>
      </c>
      <c r="B790" s="72">
        <v>0.25</v>
      </c>
      <c r="C790" s="71">
        <v>40580</v>
      </c>
      <c r="D790" s="72">
        <v>0</v>
      </c>
    </row>
    <row r="791" spans="1:4" x14ac:dyDescent="0.2">
      <c r="A791" s="71">
        <v>40581</v>
      </c>
      <c r="B791" s="72">
        <v>0.25</v>
      </c>
      <c r="C791" s="71">
        <v>40581</v>
      </c>
      <c r="D791" s="72">
        <v>0</v>
      </c>
    </row>
    <row r="792" spans="1:4" x14ac:dyDescent="0.2">
      <c r="A792" s="71">
        <v>40582</v>
      </c>
      <c r="B792" s="72">
        <v>0.25</v>
      </c>
      <c r="C792" s="71">
        <v>40582</v>
      </c>
      <c r="D792" s="72">
        <v>0</v>
      </c>
    </row>
    <row r="793" spans="1:4" x14ac:dyDescent="0.2">
      <c r="A793" s="71">
        <v>40583</v>
      </c>
      <c r="B793" s="72">
        <v>0.25</v>
      </c>
      <c r="C793" s="71">
        <v>40583</v>
      </c>
      <c r="D793" s="72">
        <v>0</v>
      </c>
    </row>
    <row r="794" spans="1:4" x14ac:dyDescent="0.2">
      <c r="A794" s="71">
        <v>40584</v>
      </c>
      <c r="B794" s="72">
        <v>0.25</v>
      </c>
      <c r="C794" s="71">
        <v>40584</v>
      </c>
      <c r="D794" s="72">
        <v>0</v>
      </c>
    </row>
    <row r="795" spans="1:4" x14ac:dyDescent="0.2">
      <c r="A795" s="71">
        <v>40585</v>
      </c>
      <c r="B795" s="72">
        <v>0.25</v>
      </c>
      <c r="C795" s="71">
        <v>40585</v>
      </c>
      <c r="D795" s="72">
        <v>0</v>
      </c>
    </row>
    <row r="796" spans="1:4" x14ac:dyDescent="0.2">
      <c r="A796" s="71">
        <v>40586</v>
      </c>
      <c r="B796" s="72">
        <v>0.25</v>
      </c>
      <c r="C796" s="71">
        <v>40586</v>
      </c>
      <c r="D796" s="72">
        <v>0</v>
      </c>
    </row>
    <row r="797" spans="1:4" x14ac:dyDescent="0.2">
      <c r="A797" s="71">
        <v>40587</v>
      </c>
      <c r="B797" s="72">
        <v>0.25</v>
      </c>
      <c r="C797" s="71">
        <v>40587</v>
      </c>
      <c r="D797" s="72">
        <v>0</v>
      </c>
    </row>
    <row r="798" spans="1:4" x14ac:dyDescent="0.2">
      <c r="A798" s="71">
        <v>40588</v>
      </c>
      <c r="B798" s="72">
        <v>0.25</v>
      </c>
      <c r="C798" s="71">
        <v>40588</v>
      </c>
      <c r="D798" s="72">
        <v>0</v>
      </c>
    </row>
    <row r="799" spans="1:4" x14ac:dyDescent="0.2">
      <c r="A799" s="71">
        <v>40589</v>
      </c>
      <c r="B799" s="72">
        <v>0.25</v>
      </c>
      <c r="C799" s="71">
        <v>40589</v>
      </c>
      <c r="D799" s="72">
        <v>0</v>
      </c>
    </row>
    <row r="800" spans="1:4" x14ac:dyDescent="0.2">
      <c r="A800" s="71">
        <v>40590</v>
      </c>
      <c r="B800" s="72">
        <v>0.25</v>
      </c>
      <c r="C800" s="71">
        <v>40590</v>
      </c>
      <c r="D800" s="72">
        <v>0</v>
      </c>
    </row>
    <row r="801" spans="1:4" x14ac:dyDescent="0.2">
      <c r="A801" s="71">
        <v>40591</v>
      </c>
      <c r="B801" s="72">
        <v>0.25</v>
      </c>
      <c r="C801" s="71">
        <v>40591</v>
      </c>
      <c r="D801" s="72">
        <v>0</v>
      </c>
    </row>
    <row r="802" spans="1:4" x14ac:dyDescent="0.2">
      <c r="A802" s="71">
        <v>40592</v>
      </c>
      <c r="B802" s="72">
        <v>0.25</v>
      </c>
      <c r="C802" s="71">
        <v>40592</v>
      </c>
      <c r="D802" s="72">
        <v>0</v>
      </c>
    </row>
    <row r="803" spans="1:4" x14ac:dyDescent="0.2">
      <c r="A803" s="71">
        <v>40593</v>
      </c>
      <c r="B803" s="72">
        <v>0.25</v>
      </c>
      <c r="C803" s="71">
        <v>40593</v>
      </c>
      <c r="D803" s="72">
        <v>0</v>
      </c>
    </row>
    <row r="804" spans="1:4" x14ac:dyDescent="0.2">
      <c r="A804" s="71">
        <v>40594</v>
      </c>
      <c r="B804" s="72">
        <v>0.25</v>
      </c>
      <c r="C804" s="71">
        <v>40594</v>
      </c>
      <c r="D804" s="72">
        <v>0</v>
      </c>
    </row>
    <row r="805" spans="1:4" x14ac:dyDescent="0.2">
      <c r="A805" s="71">
        <v>40595</v>
      </c>
      <c r="B805" s="72">
        <v>0.25</v>
      </c>
      <c r="C805" s="71">
        <v>40595</v>
      </c>
      <c r="D805" s="72">
        <v>0</v>
      </c>
    </row>
    <row r="806" spans="1:4" x14ac:dyDescent="0.2">
      <c r="A806" s="71">
        <v>40596</v>
      </c>
      <c r="B806" s="72">
        <v>0.25</v>
      </c>
      <c r="C806" s="71">
        <v>40596</v>
      </c>
      <c r="D806" s="72">
        <v>0</v>
      </c>
    </row>
    <row r="807" spans="1:4" x14ac:dyDescent="0.2">
      <c r="A807" s="71">
        <v>40597</v>
      </c>
      <c r="B807" s="72">
        <v>0.25</v>
      </c>
      <c r="C807" s="71">
        <v>40597</v>
      </c>
      <c r="D807" s="72">
        <v>0</v>
      </c>
    </row>
    <row r="808" spans="1:4" x14ac:dyDescent="0.2">
      <c r="A808" s="71">
        <v>40598</v>
      </c>
      <c r="B808" s="72">
        <v>0.25</v>
      </c>
      <c r="C808" s="71">
        <v>40598</v>
      </c>
      <c r="D808" s="72">
        <v>0</v>
      </c>
    </row>
    <row r="809" spans="1:4" x14ac:dyDescent="0.2">
      <c r="A809" s="71">
        <v>40599</v>
      </c>
      <c r="B809" s="72">
        <v>0.25</v>
      </c>
      <c r="C809" s="71">
        <v>40599</v>
      </c>
      <c r="D809" s="72">
        <v>0</v>
      </c>
    </row>
    <row r="810" spans="1:4" x14ac:dyDescent="0.2">
      <c r="A810" s="71">
        <v>40600</v>
      </c>
      <c r="B810" s="72">
        <v>0.25</v>
      </c>
      <c r="C810" s="71">
        <v>40600</v>
      </c>
      <c r="D810" s="72">
        <v>0</v>
      </c>
    </row>
    <row r="811" spans="1:4" x14ac:dyDescent="0.2">
      <c r="A811" s="71">
        <v>40601</v>
      </c>
      <c r="B811" s="72">
        <v>0.25</v>
      </c>
      <c r="C811" s="71">
        <v>40601</v>
      </c>
      <c r="D811" s="72">
        <v>0</v>
      </c>
    </row>
    <row r="812" spans="1:4" x14ac:dyDescent="0.2">
      <c r="A812" s="71">
        <v>40602</v>
      </c>
      <c r="B812" s="72">
        <v>0.25</v>
      </c>
      <c r="C812" s="71">
        <v>40602</v>
      </c>
      <c r="D812" s="72">
        <v>0</v>
      </c>
    </row>
    <row r="813" spans="1:4" x14ac:dyDescent="0.2">
      <c r="A813" s="71">
        <v>40603</v>
      </c>
      <c r="B813" s="72">
        <v>0.25</v>
      </c>
      <c r="C813" s="71">
        <v>40603</v>
      </c>
      <c r="D813" s="72">
        <v>0</v>
      </c>
    </row>
    <row r="814" spans="1:4" x14ac:dyDescent="0.2">
      <c r="A814" s="71">
        <v>40604</v>
      </c>
      <c r="B814" s="72">
        <v>0.25</v>
      </c>
      <c r="C814" s="71">
        <v>40604</v>
      </c>
      <c r="D814" s="72">
        <v>0</v>
      </c>
    </row>
    <row r="815" spans="1:4" x14ac:dyDescent="0.2">
      <c r="A815" s="71">
        <v>40605</v>
      </c>
      <c r="B815" s="72">
        <v>0.25</v>
      </c>
      <c r="C815" s="71">
        <v>40605</v>
      </c>
      <c r="D815" s="72">
        <v>0</v>
      </c>
    </row>
    <row r="816" spans="1:4" x14ac:dyDescent="0.2">
      <c r="A816" s="71">
        <v>40606</v>
      </c>
      <c r="B816" s="72">
        <v>0.25</v>
      </c>
      <c r="C816" s="71">
        <v>40606</v>
      </c>
      <c r="D816" s="72">
        <v>0</v>
      </c>
    </row>
    <row r="817" spans="1:4" x14ac:dyDescent="0.2">
      <c r="A817" s="71">
        <v>40607</v>
      </c>
      <c r="B817" s="72">
        <v>0.25</v>
      </c>
      <c r="C817" s="71">
        <v>40607</v>
      </c>
      <c r="D817" s="72">
        <v>0</v>
      </c>
    </row>
    <row r="818" spans="1:4" x14ac:dyDescent="0.2">
      <c r="A818" s="71">
        <v>40608</v>
      </c>
      <c r="B818" s="72">
        <v>0.25</v>
      </c>
      <c r="C818" s="71">
        <v>40608</v>
      </c>
      <c r="D818" s="72">
        <v>0</v>
      </c>
    </row>
    <row r="819" spans="1:4" x14ac:dyDescent="0.2">
      <c r="A819" s="71">
        <v>40609</v>
      </c>
      <c r="B819" s="72">
        <v>0.25</v>
      </c>
      <c r="C819" s="71">
        <v>40609</v>
      </c>
      <c r="D819" s="72">
        <v>0</v>
      </c>
    </row>
    <row r="820" spans="1:4" x14ac:dyDescent="0.2">
      <c r="A820" s="71">
        <v>40610</v>
      </c>
      <c r="B820" s="72">
        <v>0.25</v>
      </c>
      <c r="C820" s="71">
        <v>40610</v>
      </c>
      <c r="D820" s="72">
        <v>0</v>
      </c>
    </row>
    <row r="821" spans="1:4" x14ac:dyDescent="0.2">
      <c r="A821" s="71">
        <v>40611</v>
      </c>
      <c r="B821" s="72">
        <v>0.25</v>
      </c>
      <c r="C821" s="71">
        <v>40611</v>
      </c>
      <c r="D821" s="72">
        <v>0</v>
      </c>
    </row>
    <row r="822" spans="1:4" x14ac:dyDescent="0.2">
      <c r="A822" s="71">
        <v>40612</v>
      </c>
      <c r="B822" s="72">
        <v>0.25</v>
      </c>
      <c r="C822" s="71">
        <v>40612</v>
      </c>
      <c r="D822" s="72">
        <v>0</v>
      </c>
    </row>
    <row r="823" spans="1:4" x14ac:dyDescent="0.2">
      <c r="A823" s="71">
        <v>40613</v>
      </c>
      <c r="B823" s="72">
        <v>0.25</v>
      </c>
      <c r="C823" s="71">
        <v>40613</v>
      </c>
      <c r="D823" s="72">
        <v>0</v>
      </c>
    </row>
    <row r="824" spans="1:4" x14ac:dyDescent="0.2">
      <c r="A824" s="71">
        <v>40614</v>
      </c>
      <c r="B824" s="72">
        <v>0.25</v>
      </c>
      <c r="C824" s="71">
        <v>40614</v>
      </c>
      <c r="D824" s="72">
        <v>0</v>
      </c>
    </row>
    <row r="825" spans="1:4" x14ac:dyDescent="0.2">
      <c r="A825" s="71">
        <v>40615</v>
      </c>
      <c r="B825" s="72">
        <v>0.25</v>
      </c>
      <c r="C825" s="71">
        <v>40615</v>
      </c>
      <c r="D825" s="72">
        <v>0</v>
      </c>
    </row>
    <row r="826" spans="1:4" x14ac:dyDescent="0.2">
      <c r="A826" s="71">
        <v>40616</v>
      </c>
      <c r="B826" s="72">
        <v>0.25</v>
      </c>
      <c r="C826" s="71">
        <v>40616</v>
      </c>
      <c r="D826" s="72">
        <v>0</v>
      </c>
    </row>
    <row r="827" spans="1:4" x14ac:dyDescent="0.2">
      <c r="A827" s="71">
        <v>40617</v>
      </c>
      <c r="B827" s="72">
        <v>0.25</v>
      </c>
      <c r="C827" s="71">
        <v>40617</v>
      </c>
      <c r="D827" s="72">
        <v>0</v>
      </c>
    </row>
    <row r="828" spans="1:4" x14ac:dyDescent="0.2">
      <c r="A828" s="71">
        <v>40618</v>
      </c>
      <c r="B828" s="72">
        <v>0.25</v>
      </c>
      <c r="C828" s="71">
        <v>40618</v>
      </c>
      <c r="D828" s="72">
        <v>0</v>
      </c>
    </row>
    <row r="829" spans="1:4" x14ac:dyDescent="0.2">
      <c r="A829" s="71">
        <v>40619</v>
      </c>
      <c r="B829" s="72">
        <v>0.25</v>
      </c>
      <c r="C829" s="71">
        <v>40619</v>
      </c>
      <c r="D829" s="72">
        <v>0</v>
      </c>
    </row>
    <row r="830" spans="1:4" x14ac:dyDescent="0.2">
      <c r="A830" s="71">
        <v>40620</v>
      </c>
      <c r="B830" s="72">
        <v>0.25</v>
      </c>
      <c r="C830" s="71">
        <v>40620</v>
      </c>
      <c r="D830" s="72">
        <v>0</v>
      </c>
    </row>
    <row r="831" spans="1:4" x14ac:dyDescent="0.2">
      <c r="A831" s="71">
        <v>40621</v>
      </c>
      <c r="B831" s="72">
        <v>0.25</v>
      </c>
      <c r="C831" s="71">
        <v>40621</v>
      </c>
      <c r="D831" s="72">
        <v>0</v>
      </c>
    </row>
    <row r="832" spans="1:4" x14ac:dyDescent="0.2">
      <c r="A832" s="71">
        <v>40622</v>
      </c>
      <c r="B832" s="72">
        <v>0.25</v>
      </c>
      <c r="C832" s="71">
        <v>40622</v>
      </c>
      <c r="D832" s="72">
        <v>0</v>
      </c>
    </row>
    <row r="833" spans="1:4" x14ac:dyDescent="0.2">
      <c r="A833" s="71">
        <v>40623</v>
      </c>
      <c r="B833" s="72">
        <v>0.25</v>
      </c>
      <c r="C833" s="71">
        <v>40623</v>
      </c>
      <c r="D833" s="72">
        <v>0</v>
      </c>
    </row>
    <row r="834" spans="1:4" x14ac:dyDescent="0.2">
      <c r="A834" s="71">
        <v>40624</v>
      </c>
      <c r="B834" s="72">
        <v>0.25</v>
      </c>
      <c r="C834" s="71">
        <v>40624</v>
      </c>
      <c r="D834" s="72">
        <v>0</v>
      </c>
    </row>
    <row r="835" spans="1:4" x14ac:dyDescent="0.2">
      <c r="A835" s="71">
        <v>40625</v>
      </c>
      <c r="B835" s="72">
        <v>0.25</v>
      </c>
      <c r="C835" s="71">
        <v>40625</v>
      </c>
      <c r="D835" s="72">
        <v>0</v>
      </c>
    </row>
    <row r="836" spans="1:4" x14ac:dyDescent="0.2">
      <c r="A836" s="71">
        <v>40626</v>
      </c>
      <c r="B836" s="72">
        <v>0.25</v>
      </c>
      <c r="C836" s="71">
        <v>40626</v>
      </c>
      <c r="D836" s="72">
        <v>0</v>
      </c>
    </row>
    <row r="837" spans="1:4" x14ac:dyDescent="0.2">
      <c r="A837" s="71">
        <v>40627</v>
      </c>
      <c r="B837" s="72">
        <v>0.25</v>
      </c>
      <c r="C837" s="71">
        <v>40627</v>
      </c>
      <c r="D837" s="72">
        <v>0</v>
      </c>
    </row>
    <row r="838" spans="1:4" x14ac:dyDescent="0.2">
      <c r="A838" s="71">
        <v>40628</v>
      </c>
      <c r="B838" s="72">
        <v>0.25</v>
      </c>
      <c r="C838" s="71">
        <v>40628</v>
      </c>
      <c r="D838" s="72">
        <v>0</v>
      </c>
    </row>
    <row r="839" spans="1:4" x14ac:dyDescent="0.2">
      <c r="A839" s="71">
        <v>40629</v>
      </c>
      <c r="B839" s="72">
        <v>0.25</v>
      </c>
      <c r="C839" s="71">
        <v>40629</v>
      </c>
      <c r="D839" s="72">
        <v>0</v>
      </c>
    </row>
    <row r="840" spans="1:4" x14ac:dyDescent="0.2">
      <c r="A840" s="71">
        <v>40630</v>
      </c>
      <c r="B840" s="72">
        <v>0.25</v>
      </c>
      <c r="C840" s="71">
        <v>40630</v>
      </c>
      <c r="D840" s="72">
        <v>0</v>
      </c>
    </row>
    <row r="841" spans="1:4" x14ac:dyDescent="0.2">
      <c r="A841" s="71">
        <v>40631</v>
      </c>
      <c r="B841" s="72">
        <v>0.25</v>
      </c>
      <c r="C841" s="71">
        <v>40631</v>
      </c>
      <c r="D841" s="72">
        <v>0</v>
      </c>
    </row>
    <row r="842" spans="1:4" x14ac:dyDescent="0.2">
      <c r="A842" s="71">
        <v>40632</v>
      </c>
      <c r="B842" s="72">
        <v>0.25</v>
      </c>
      <c r="C842" s="71">
        <v>40632</v>
      </c>
      <c r="D842" s="72">
        <v>0</v>
      </c>
    </row>
    <row r="843" spans="1:4" x14ac:dyDescent="0.2">
      <c r="A843" s="71">
        <v>40633</v>
      </c>
      <c r="B843" s="72">
        <v>0.25</v>
      </c>
      <c r="C843" s="71">
        <v>40633</v>
      </c>
      <c r="D843" s="72">
        <v>0</v>
      </c>
    </row>
    <row r="844" spans="1:4" x14ac:dyDescent="0.2">
      <c r="A844" s="71">
        <v>40634</v>
      </c>
      <c r="B844" s="72">
        <v>0.25</v>
      </c>
      <c r="C844" s="71">
        <v>40634</v>
      </c>
      <c r="D844" s="72">
        <v>0</v>
      </c>
    </row>
    <row r="845" spans="1:4" x14ac:dyDescent="0.2">
      <c r="A845" s="71">
        <v>40635</v>
      </c>
      <c r="B845" s="72">
        <v>0.25</v>
      </c>
      <c r="C845" s="71">
        <v>40635</v>
      </c>
      <c r="D845" s="72">
        <v>0</v>
      </c>
    </row>
    <row r="846" spans="1:4" x14ac:dyDescent="0.2">
      <c r="A846" s="71">
        <v>40636</v>
      </c>
      <c r="B846" s="72">
        <v>0.25</v>
      </c>
      <c r="C846" s="71">
        <v>40636</v>
      </c>
      <c r="D846" s="72">
        <v>0</v>
      </c>
    </row>
    <row r="847" spans="1:4" x14ac:dyDescent="0.2">
      <c r="A847" s="71">
        <v>40637</v>
      </c>
      <c r="B847" s="72">
        <v>0.25</v>
      </c>
      <c r="C847" s="71">
        <v>40637</v>
      </c>
      <c r="D847" s="72">
        <v>0</v>
      </c>
    </row>
    <row r="848" spans="1:4" x14ac:dyDescent="0.2">
      <c r="A848" s="71">
        <v>40638</v>
      </c>
      <c r="B848" s="72">
        <v>0.25</v>
      </c>
      <c r="C848" s="71">
        <v>40638</v>
      </c>
      <c r="D848" s="72">
        <v>0</v>
      </c>
    </row>
    <row r="849" spans="1:4" x14ac:dyDescent="0.2">
      <c r="A849" s="71">
        <v>40639</v>
      </c>
      <c r="B849" s="72">
        <v>0.25</v>
      </c>
      <c r="C849" s="71">
        <v>40639</v>
      </c>
      <c r="D849" s="72">
        <v>0</v>
      </c>
    </row>
    <row r="850" spans="1:4" x14ac:dyDescent="0.2">
      <c r="A850" s="71">
        <v>40640</v>
      </c>
      <c r="B850" s="72">
        <v>0.25</v>
      </c>
      <c r="C850" s="71">
        <v>40640</v>
      </c>
      <c r="D850" s="72">
        <v>0</v>
      </c>
    </row>
    <row r="851" spans="1:4" x14ac:dyDescent="0.2">
      <c r="A851" s="71">
        <v>40641</v>
      </c>
      <c r="B851" s="72">
        <v>0.25</v>
      </c>
      <c r="C851" s="71">
        <v>40641</v>
      </c>
      <c r="D851" s="72">
        <v>0</v>
      </c>
    </row>
    <row r="852" spans="1:4" x14ac:dyDescent="0.2">
      <c r="A852" s="71">
        <v>40642</v>
      </c>
      <c r="B852" s="72">
        <v>0.25</v>
      </c>
      <c r="C852" s="71">
        <v>40642</v>
      </c>
      <c r="D852" s="72">
        <v>0</v>
      </c>
    </row>
    <row r="853" spans="1:4" x14ac:dyDescent="0.2">
      <c r="A853" s="71">
        <v>40643</v>
      </c>
      <c r="B853" s="72">
        <v>0.25</v>
      </c>
      <c r="C853" s="71">
        <v>40643</v>
      </c>
      <c r="D853" s="72">
        <v>0</v>
      </c>
    </row>
    <row r="854" spans="1:4" x14ac:dyDescent="0.2">
      <c r="A854" s="71">
        <v>40644</v>
      </c>
      <c r="B854" s="72">
        <v>0.25</v>
      </c>
      <c r="C854" s="71">
        <v>40644</v>
      </c>
      <c r="D854" s="72">
        <v>0</v>
      </c>
    </row>
    <row r="855" spans="1:4" x14ac:dyDescent="0.2">
      <c r="A855" s="71">
        <v>40645</v>
      </c>
      <c r="B855" s="72">
        <v>0.25</v>
      </c>
      <c r="C855" s="71">
        <v>40645</v>
      </c>
      <c r="D855" s="72">
        <v>0</v>
      </c>
    </row>
    <row r="856" spans="1:4" x14ac:dyDescent="0.2">
      <c r="A856" s="71">
        <v>40646</v>
      </c>
      <c r="B856" s="72">
        <v>0.25</v>
      </c>
      <c r="C856" s="71">
        <v>40646</v>
      </c>
      <c r="D856" s="72">
        <v>0</v>
      </c>
    </row>
    <row r="857" spans="1:4" x14ac:dyDescent="0.2">
      <c r="A857" s="71">
        <v>40647</v>
      </c>
      <c r="B857" s="72">
        <v>0.25</v>
      </c>
      <c r="C857" s="71">
        <v>40647</v>
      </c>
      <c r="D857" s="72">
        <v>0</v>
      </c>
    </row>
    <row r="858" spans="1:4" x14ac:dyDescent="0.2">
      <c r="A858" s="71">
        <v>40648</v>
      </c>
      <c r="B858" s="72">
        <v>0.25</v>
      </c>
      <c r="C858" s="71">
        <v>40648</v>
      </c>
      <c r="D858" s="72">
        <v>0</v>
      </c>
    </row>
    <row r="859" spans="1:4" x14ac:dyDescent="0.2">
      <c r="A859" s="71">
        <v>40649</v>
      </c>
      <c r="B859" s="72">
        <v>0.25</v>
      </c>
      <c r="C859" s="71">
        <v>40649</v>
      </c>
      <c r="D859" s="72">
        <v>0</v>
      </c>
    </row>
    <row r="860" spans="1:4" x14ac:dyDescent="0.2">
      <c r="A860" s="71">
        <v>40650</v>
      </c>
      <c r="B860" s="72">
        <v>0.25</v>
      </c>
      <c r="C860" s="71">
        <v>40650</v>
      </c>
      <c r="D860" s="72">
        <v>0</v>
      </c>
    </row>
    <row r="861" spans="1:4" x14ac:dyDescent="0.2">
      <c r="A861" s="71">
        <v>40651</v>
      </c>
      <c r="B861" s="72">
        <v>0.25</v>
      </c>
      <c r="C861" s="71">
        <v>40651</v>
      </c>
      <c r="D861" s="72">
        <v>0</v>
      </c>
    </row>
    <row r="862" spans="1:4" x14ac:dyDescent="0.2">
      <c r="A862" s="71">
        <v>40652</v>
      </c>
      <c r="B862" s="72">
        <v>0.25</v>
      </c>
      <c r="C862" s="71">
        <v>40652</v>
      </c>
      <c r="D862" s="72">
        <v>0</v>
      </c>
    </row>
    <row r="863" spans="1:4" x14ac:dyDescent="0.2">
      <c r="A863" s="71">
        <v>40653</v>
      </c>
      <c r="B863" s="72">
        <v>0.25</v>
      </c>
      <c r="C863" s="71">
        <v>40653</v>
      </c>
      <c r="D863" s="72">
        <v>0</v>
      </c>
    </row>
    <row r="864" spans="1:4" x14ac:dyDescent="0.2">
      <c r="A864" s="71">
        <v>40654</v>
      </c>
      <c r="B864" s="72">
        <v>0.25</v>
      </c>
      <c r="C864" s="71">
        <v>40654</v>
      </c>
      <c r="D864" s="72">
        <v>0</v>
      </c>
    </row>
    <row r="865" spans="1:4" x14ac:dyDescent="0.2">
      <c r="A865" s="71">
        <v>40655</v>
      </c>
      <c r="B865" s="72">
        <v>0.25</v>
      </c>
      <c r="C865" s="71">
        <v>40655</v>
      </c>
      <c r="D865" s="72">
        <v>0</v>
      </c>
    </row>
    <row r="866" spans="1:4" x14ac:dyDescent="0.2">
      <c r="A866" s="71">
        <v>40656</v>
      </c>
      <c r="B866" s="72">
        <v>0.25</v>
      </c>
      <c r="C866" s="71">
        <v>40656</v>
      </c>
      <c r="D866" s="72">
        <v>0</v>
      </c>
    </row>
    <row r="867" spans="1:4" x14ac:dyDescent="0.2">
      <c r="A867" s="71">
        <v>40657</v>
      </c>
      <c r="B867" s="72">
        <v>0.25</v>
      </c>
      <c r="C867" s="71">
        <v>40657</v>
      </c>
      <c r="D867" s="72">
        <v>0</v>
      </c>
    </row>
    <row r="868" spans="1:4" x14ac:dyDescent="0.2">
      <c r="A868" s="71">
        <v>40658</v>
      </c>
      <c r="B868" s="72">
        <v>0.25</v>
      </c>
      <c r="C868" s="71">
        <v>40658</v>
      </c>
      <c r="D868" s="72">
        <v>0</v>
      </c>
    </row>
    <row r="869" spans="1:4" x14ac:dyDescent="0.2">
      <c r="A869" s="71">
        <v>40659</v>
      </c>
      <c r="B869" s="72">
        <v>0.25</v>
      </c>
      <c r="C869" s="71">
        <v>40659</v>
      </c>
      <c r="D869" s="72">
        <v>0</v>
      </c>
    </row>
    <row r="870" spans="1:4" x14ac:dyDescent="0.2">
      <c r="A870" s="71">
        <v>40660</v>
      </c>
      <c r="B870" s="72">
        <v>0.25</v>
      </c>
      <c r="C870" s="71">
        <v>40660</v>
      </c>
      <c r="D870" s="72">
        <v>0</v>
      </c>
    </row>
    <row r="871" spans="1:4" x14ac:dyDescent="0.2">
      <c r="A871" s="71">
        <v>40661</v>
      </c>
      <c r="B871" s="72">
        <v>0.25</v>
      </c>
      <c r="C871" s="71">
        <v>40661</v>
      </c>
      <c r="D871" s="72">
        <v>0</v>
      </c>
    </row>
    <row r="872" spans="1:4" x14ac:dyDescent="0.2">
      <c r="A872" s="71">
        <v>40662</v>
      </c>
      <c r="B872" s="72">
        <v>0.25</v>
      </c>
      <c r="C872" s="71">
        <v>40662</v>
      </c>
      <c r="D872" s="72">
        <v>0</v>
      </c>
    </row>
    <row r="873" spans="1:4" x14ac:dyDescent="0.2">
      <c r="A873" s="71">
        <v>40663</v>
      </c>
      <c r="B873" s="72">
        <v>0.25</v>
      </c>
      <c r="C873" s="71">
        <v>40663</v>
      </c>
      <c r="D873" s="72">
        <v>0</v>
      </c>
    </row>
    <row r="874" spans="1:4" x14ac:dyDescent="0.2">
      <c r="A874" s="71">
        <v>40664</v>
      </c>
      <c r="B874" s="72">
        <v>0.25</v>
      </c>
      <c r="C874" s="71">
        <v>40664</v>
      </c>
      <c r="D874" s="72">
        <v>0</v>
      </c>
    </row>
    <row r="875" spans="1:4" x14ac:dyDescent="0.2">
      <c r="A875" s="71">
        <v>40665</v>
      </c>
      <c r="B875" s="72">
        <v>0.25</v>
      </c>
      <c r="C875" s="71">
        <v>40665</v>
      </c>
      <c r="D875" s="72">
        <v>0</v>
      </c>
    </row>
    <row r="876" spans="1:4" x14ac:dyDescent="0.2">
      <c r="A876" s="71">
        <v>40666</v>
      </c>
      <c r="B876" s="72">
        <v>0.25</v>
      </c>
      <c r="C876" s="71">
        <v>40666</v>
      </c>
      <c r="D876" s="72">
        <v>0</v>
      </c>
    </row>
    <row r="877" spans="1:4" x14ac:dyDescent="0.2">
      <c r="A877" s="71">
        <v>40667</v>
      </c>
      <c r="B877" s="72">
        <v>0.25</v>
      </c>
      <c r="C877" s="71">
        <v>40667</v>
      </c>
      <c r="D877" s="72">
        <v>0</v>
      </c>
    </row>
    <row r="878" spans="1:4" x14ac:dyDescent="0.2">
      <c r="A878" s="71">
        <v>40668</v>
      </c>
      <c r="B878" s="72">
        <v>0.25</v>
      </c>
      <c r="C878" s="71">
        <v>40668</v>
      </c>
      <c r="D878" s="72">
        <v>0</v>
      </c>
    </row>
    <row r="879" spans="1:4" x14ac:dyDescent="0.2">
      <c r="A879" s="71">
        <v>40669</v>
      </c>
      <c r="B879" s="72">
        <v>0.25</v>
      </c>
      <c r="C879" s="71">
        <v>40669</v>
      </c>
      <c r="D879" s="72">
        <v>0</v>
      </c>
    </row>
    <row r="880" spans="1:4" x14ac:dyDescent="0.2">
      <c r="A880" s="71">
        <v>40670</v>
      </c>
      <c r="B880" s="72">
        <v>0.25</v>
      </c>
      <c r="C880" s="71">
        <v>40670</v>
      </c>
      <c r="D880" s="72">
        <v>0</v>
      </c>
    </row>
    <row r="881" spans="1:4" x14ac:dyDescent="0.2">
      <c r="A881" s="71">
        <v>40671</v>
      </c>
      <c r="B881" s="72">
        <v>0.25</v>
      </c>
      <c r="C881" s="71">
        <v>40671</v>
      </c>
      <c r="D881" s="72">
        <v>0</v>
      </c>
    </row>
    <row r="882" spans="1:4" x14ac:dyDescent="0.2">
      <c r="A882" s="71">
        <v>40672</v>
      </c>
      <c r="B882" s="72">
        <v>0.25</v>
      </c>
      <c r="C882" s="71">
        <v>40672</v>
      </c>
      <c r="D882" s="72">
        <v>0</v>
      </c>
    </row>
    <row r="883" spans="1:4" x14ac:dyDescent="0.2">
      <c r="A883" s="71">
        <v>40673</v>
      </c>
      <c r="B883" s="72">
        <v>0.25</v>
      </c>
      <c r="C883" s="71">
        <v>40673</v>
      </c>
      <c r="D883" s="72">
        <v>0</v>
      </c>
    </row>
    <row r="884" spans="1:4" x14ac:dyDescent="0.2">
      <c r="A884" s="71">
        <v>40674</v>
      </c>
      <c r="B884" s="72">
        <v>0.25</v>
      </c>
      <c r="C884" s="71">
        <v>40674</v>
      </c>
      <c r="D884" s="72">
        <v>0</v>
      </c>
    </row>
    <row r="885" spans="1:4" x14ac:dyDescent="0.2">
      <c r="A885" s="71">
        <v>40675</v>
      </c>
      <c r="B885" s="72">
        <v>0.25</v>
      </c>
      <c r="C885" s="71">
        <v>40675</v>
      </c>
      <c r="D885" s="72">
        <v>0</v>
      </c>
    </row>
    <row r="886" spans="1:4" x14ac:dyDescent="0.2">
      <c r="A886" s="71">
        <v>40676</v>
      </c>
      <c r="B886" s="72">
        <v>0.25</v>
      </c>
      <c r="C886" s="71">
        <v>40676</v>
      </c>
      <c r="D886" s="72">
        <v>0</v>
      </c>
    </row>
    <row r="887" spans="1:4" x14ac:dyDescent="0.2">
      <c r="A887" s="71">
        <v>40677</v>
      </c>
      <c r="B887" s="72">
        <v>0.25</v>
      </c>
      <c r="C887" s="71">
        <v>40677</v>
      </c>
      <c r="D887" s="72">
        <v>0</v>
      </c>
    </row>
    <row r="888" spans="1:4" x14ac:dyDescent="0.2">
      <c r="A888" s="71">
        <v>40678</v>
      </c>
      <c r="B888" s="72">
        <v>0.25</v>
      </c>
      <c r="C888" s="71">
        <v>40678</v>
      </c>
      <c r="D888" s="72">
        <v>0</v>
      </c>
    </row>
    <row r="889" spans="1:4" x14ac:dyDescent="0.2">
      <c r="A889" s="71">
        <v>40679</v>
      </c>
      <c r="B889" s="72">
        <v>0.25</v>
      </c>
      <c r="C889" s="71">
        <v>40679</v>
      </c>
      <c r="D889" s="72">
        <v>0</v>
      </c>
    </row>
    <row r="890" spans="1:4" x14ac:dyDescent="0.2">
      <c r="A890" s="71">
        <v>40680</v>
      </c>
      <c r="B890" s="72">
        <v>0.25</v>
      </c>
      <c r="C890" s="71">
        <v>40680</v>
      </c>
      <c r="D890" s="72">
        <v>0</v>
      </c>
    </row>
    <row r="891" spans="1:4" x14ac:dyDescent="0.2">
      <c r="A891" s="71">
        <v>40681</v>
      </c>
      <c r="B891" s="72">
        <v>0.25</v>
      </c>
      <c r="C891" s="71">
        <v>40681</v>
      </c>
      <c r="D891" s="72">
        <v>0</v>
      </c>
    </row>
    <row r="892" spans="1:4" x14ac:dyDescent="0.2">
      <c r="A892" s="71">
        <v>40682</v>
      </c>
      <c r="B892" s="72">
        <v>0.25</v>
      </c>
      <c r="C892" s="71">
        <v>40682</v>
      </c>
      <c r="D892" s="72">
        <v>0</v>
      </c>
    </row>
    <row r="893" spans="1:4" x14ac:dyDescent="0.2">
      <c r="A893" s="71">
        <v>40683</v>
      </c>
      <c r="B893" s="72">
        <v>0.25</v>
      </c>
      <c r="C893" s="71">
        <v>40683</v>
      </c>
      <c r="D893" s="72">
        <v>0</v>
      </c>
    </row>
    <row r="894" spans="1:4" x14ac:dyDescent="0.2">
      <c r="A894" s="71">
        <v>40684</v>
      </c>
      <c r="B894" s="72">
        <v>0.25</v>
      </c>
      <c r="C894" s="71">
        <v>40684</v>
      </c>
      <c r="D894" s="72">
        <v>0</v>
      </c>
    </row>
    <row r="895" spans="1:4" x14ac:dyDescent="0.2">
      <c r="A895" s="71">
        <v>40685</v>
      </c>
      <c r="B895" s="72">
        <v>0.25</v>
      </c>
      <c r="C895" s="71">
        <v>40685</v>
      </c>
      <c r="D895" s="72">
        <v>0</v>
      </c>
    </row>
    <row r="896" spans="1:4" x14ac:dyDescent="0.2">
      <c r="A896" s="71">
        <v>40686</v>
      </c>
      <c r="B896" s="72">
        <v>0.25</v>
      </c>
      <c r="C896" s="71">
        <v>40686</v>
      </c>
      <c r="D896" s="72">
        <v>0</v>
      </c>
    </row>
    <row r="897" spans="1:4" x14ac:dyDescent="0.2">
      <c r="A897" s="71">
        <v>40687</v>
      </c>
      <c r="B897" s="72">
        <v>0.25</v>
      </c>
      <c r="C897" s="71">
        <v>40687</v>
      </c>
      <c r="D897" s="72">
        <v>0</v>
      </c>
    </row>
    <row r="898" spans="1:4" x14ac:dyDescent="0.2">
      <c r="A898" s="71">
        <v>40688</v>
      </c>
      <c r="B898" s="72">
        <v>0.25</v>
      </c>
      <c r="C898" s="71">
        <v>40688</v>
      </c>
      <c r="D898" s="72">
        <v>0</v>
      </c>
    </row>
    <row r="899" spans="1:4" x14ac:dyDescent="0.2">
      <c r="A899" s="71">
        <v>40689</v>
      </c>
      <c r="B899" s="72">
        <v>0.25</v>
      </c>
      <c r="C899" s="71">
        <v>40689</v>
      </c>
      <c r="D899" s="72">
        <v>0</v>
      </c>
    </row>
    <row r="900" spans="1:4" x14ac:dyDescent="0.2">
      <c r="A900" s="71">
        <v>40690</v>
      </c>
      <c r="B900" s="72">
        <v>0.25</v>
      </c>
      <c r="C900" s="71">
        <v>40690</v>
      </c>
      <c r="D900" s="72">
        <v>0</v>
      </c>
    </row>
    <row r="901" spans="1:4" x14ac:dyDescent="0.2">
      <c r="A901" s="71">
        <v>40691</v>
      </c>
      <c r="B901" s="72">
        <v>0.25</v>
      </c>
      <c r="C901" s="71">
        <v>40691</v>
      </c>
      <c r="D901" s="72">
        <v>0</v>
      </c>
    </row>
    <row r="902" spans="1:4" x14ac:dyDescent="0.2">
      <c r="A902" s="71">
        <v>40692</v>
      </c>
      <c r="B902" s="72">
        <v>0.25</v>
      </c>
      <c r="C902" s="71">
        <v>40692</v>
      </c>
      <c r="D902" s="72">
        <v>0</v>
      </c>
    </row>
    <row r="903" spans="1:4" x14ac:dyDescent="0.2">
      <c r="A903" s="71">
        <v>40693</v>
      </c>
      <c r="B903" s="72">
        <v>0.25</v>
      </c>
      <c r="C903" s="71">
        <v>40693</v>
      </c>
      <c r="D903" s="72">
        <v>0</v>
      </c>
    </row>
    <row r="904" spans="1:4" x14ac:dyDescent="0.2">
      <c r="A904" s="71">
        <v>40694</v>
      </c>
      <c r="B904" s="72">
        <v>0.25</v>
      </c>
      <c r="C904" s="71">
        <v>40694</v>
      </c>
      <c r="D904" s="72">
        <v>0</v>
      </c>
    </row>
    <row r="905" spans="1:4" x14ac:dyDescent="0.2">
      <c r="A905" s="71">
        <v>40695</v>
      </c>
      <c r="B905" s="72">
        <v>0.25</v>
      </c>
      <c r="C905" s="71">
        <v>40695</v>
      </c>
      <c r="D905" s="72">
        <v>0</v>
      </c>
    </row>
    <row r="906" spans="1:4" x14ac:dyDescent="0.2">
      <c r="A906" s="71">
        <v>40696</v>
      </c>
      <c r="B906" s="72">
        <v>0.25</v>
      </c>
      <c r="C906" s="71">
        <v>40696</v>
      </c>
      <c r="D906" s="72">
        <v>0</v>
      </c>
    </row>
    <row r="907" spans="1:4" x14ac:dyDescent="0.2">
      <c r="A907" s="71">
        <v>40697</v>
      </c>
      <c r="B907" s="72">
        <v>0.25</v>
      </c>
      <c r="C907" s="71">
        <v>40697</v>
      </c>
      <c r="D907" s="72">
        <v>0</v>
      </c>
    </row>
    <row r="908" spans="1:4" x14ac:dyDescent="0.2">
      <c r="A908" s="71">
        <v>40698</v>
      </c>
      <c r="B908" s="72">
        <v>0.25</v>
      </c>
      <c r="C908" s="71">
        <v>40698</v>
      </c>
      <c r="D908" s="72">
        <v>0</v>
      </c>
    </row>
    <row r="909" spans="1:4" x14ac:dyDescent="0.2">
      <c r="A909" s="71">
        <v>40699</v>
      </c>
      <c r="B909" s="72">
        <v>0.25</v>
      </c>
      <c r="C909" s="71">
        <v>40699</v>
      </c>
      <c r="D909" s="72">
        <v>0</v>
      </c>
    </row>
    <row r="910" spans="1:4" x14ac:dyDescent="0.2">
      <c r="A910" s="71">
        <v>40700</v>
      </c>
      <c r="B910" s="72">
        <v>0.25</v>
      </c>
      <c r="C910" s="71">
        <v>40700</v>
      </c>
      <c r="D910" s="72">
        <v>0</v>
      </c>
    </row>
    <row r="911" spans="1:4" x14ac:dyDescent="0.2">
      <c r="A911" s="71">
        <v>40701</v>
      </c>
      <c r="B911" s="72">
        <v>0.25</v>
      </c>
      <c r="C911" s="71">
        <v>40701</v>
      </c>
      <c r="D911" s="72">
        <v>0</v>
      </c>
    </row>
    <row r="912" spans="1:4" x14ac:dyDescent="0.2">
      <c r="A912" s="71">
        <v>40702</v>
      </c>
      <c r="B912" s="72">
        <v>0.25</v>
      </c>
      <c r="C912" s="71">
        <v>40702</v>
      </c>
      <c r="D912" s="72">
        <v>0</v>
      </c>
    </row>
    <row r="913" spans="1:4" x14ac:dyDescent="0.2">
      <c r="A913" s="71">
        <v>40703</v>
      </c>
      <c r="B913" s="72">
        <v>0.25</v>
      </c>
      <c r="C913" s="71">
        <v>40703</v>
      </c>
      <c r="D913" s="72">
        <v>0</v>
      </c>
    </row>
    <row r="914" spans="1:4" x14ac:dyDescent="0.2">
      <c r="A914" s="71">
        <v>40704</v>
      </c>
      <c r="B914" s="72">
        <v>0.25</v>
      </c>
      <c r="C914" s="71">
        <v>40704</v>
      </c>
      <c r="D914" s="72">
        <v>0</v>
      </c>
    </row>
    <row r="915" spans="1:4" x14ac:dyDescent="0.2">
      <c r="A915" s="71">
        <v>40705</v>
      </c>
      <c r="B915" s="72">
        <v>0.25</v>
      </c>
      <c r="C915" s="71">
        <v>40705</v>
      </c>
      <c r="D915" s="72">
        <v>0</v>
      </c>
    </row>
    <row r="916" spans="1:4" x14ac:dyDescent="0.2">
      <c r="A916" s="71">
        <v>40706</v>
      </c>
      <c r="B916" s="72">
        <v>0.25</v>
      </c>
      <c r="C916" s="71">
        <v>40706</v>
      </c>
      <c r="D916" s="72">
        <v>0</v>
      </c>
    </row>
    <row r="917" spans="1:4" x14ac:dyDescent="0.2">
      <c r="A917" s="71">
        <v>40707</v>
      </c>
      <c r="B917" s="72">
        <v>0.25</v>
      </c>
      <c r="C917" s="71">
        <v>40707</v>
      </c>
      <c r="D917" s="72">
        <v>0</v>
      </c>
    </row>
    <row r="918" spans="1:4" x14ac:dyDescent="0.2">
      <c r="A918" s="71">
        <v>40708</v>
      </c>
      <c r="B918" s="72">
        <v>0.25</v>
      </c>
      <c r="C918" s="71">
        <v>40708</v>
      </c>
      <c r="D918" s="72">
        <v>0</v>
      </c>
    </row>
    <row r="919" spans="1:4" x14ac:dyDescent="0.2">
      <c r="A919" s="71">
        <v>40709</v>
      </c>
      <c r="B919" s="72">
        <v>0.25</v>
      </c>
      <c r="C919" s="71">
        <v>40709</v>
      </c>
      <c r="D919" s="72">
        <v>0</v>
      </c>
    </row>
    <row r="920" spans="1:4" x14ac:dyDescent="0.2">
      <c r="A920" s="71">
        <v>40710</v>
      </c>
      <c r="B920" s="72">
        <v>0.25</v>
      </c>
      <c r="C920" s="71">
        <v>40710</v>
      </c>
      <c r="D920" s="72">
        <v>0</v>
      </c>
    </row>
    <row r="921" spans="1:4" x14ac:dyDescent="0.2">
      <c r="A921" s="71">
        <v>40711</v>
      </c>
      <c r="B921" s="72">
        <v>0.25</v>
      </c>
      <c r="C921" s="71">
        <v>40711</v>
      </c>
      <c r="D921" s="72">
        <v>0</v>
      </c>
    </row>
    <row r="922" spans="1:4" x14ac:dyDescent="0.2">
      <c r="A922" s="71">
        <v>40712</v>
      </c>
      <c r="B922" s="72">
        <v>0.25</v>
      </c>
      <c r="C922" s="71">
        <v>40712</v>
      </c>
      <c r="D922" s="72">
        <v>0</v>
      </c>
    </row>
    <row r="923" spans="1:4" x14ac:dyDescent="0.2">
      <c r="A923" s="71">
        <v>40713</v>
      </c>
      <c r="B923" s="72">
        <v>0.25</v>
      </c>
      <c r="C923" s="71">
        <v>40713</v>
      </c>
      <c r="D923" s="72">
        <v>0</v>
      </c>
    </row>
    <row r="924" spans="1:4" x14ac:dyDescent="0.2">
      <c r="A924" s="71">
        <v>40714</v>
      </c>
      <c r="B924" s="72">
        <v>0.25</v>
      </c>
      <c r="C924" s="71">
        <v>40714</v>
      </c>
      <c r="D924" s="72">
        <v>0</v>
      </c>
    </row>
    <row r="925" spans="1:4" x14ac:dyDescent="0.2">
      <c r="A925" s="71">
        <v>40715</v>
      </c>
      <c r="B925" s="72">
        <v>0.25</v>
      </c>
      <c r="C925" s="71">
        <v>40715</v>
      </c>
      <c r="D925" s="72">
        <v>0</v>
      </c>
    </row>
    <row r="926" spans="1:4" x14ac:dyDescent="0.2">
      <c r="A926" s="71">
        <v>40716</v>
      </c>
      <c r="B926" s="72">
        <v>0.25</v>
      </c>
      <c r="C926" s="71">
        <v>40716</v>
      </c>
      <c r="D926" s="72">
        <v>0</v>
      </c>
    </row>
    <row r="927" spans="1:4" x14ac:dyDescent="0.2">
      <c r="A927" s="71">
        <v>40717</v>
      </c>
      <c r="B927" s="72">
        <v>0.25</v>
      </c>
      <c r="C927" s="71">
        <v>40717</v>
      </c>
      <c r="D927" s="72">
        <v>0</v>
      </c>
    </row>
    <row r="928" spans="1:4" x14ac:dyDescent="0.2">
      <c r="A928" s="71">
        <v>40718</v>
      </c>
      <c r="B928" s="72">
        <v>0.25</v>
      </c>
      <c r="C928" s="71">
        <v>40718</v>
      </c>
      <c r="D928" s="72">
        <v>0</v>
      </c>
    </row>
    <row r="929" spans="1:4" x14ac:dyDescent="0.2">
      <c r="A929" s="71">
        <v>40719</v>
      </c>
      <c r="B929" s="72">
        <v>0.25</v>
      </c>
      <c r="C929" s="71">
        <v>40719</v>
      </c>
      <c r="D929" s="72">
        <v>0</v>
      </c>
    </row>
    <row r="930" spans="1:4" x14ac:dyDescent="0.2">
      <c r="A930" s="71">
        <v>40720</v>
      </c>
      <c r="B930" s="72">
        <v>0.25</v>
      </c>
      <c r="C930" s="71">
        <v>40720</v>
      </c>
      <c r="D930" s="72">
        <v>0</v>
      </c>
    </row>
    <row r="931" spans="1:4" x14ac:dyDescent="0.2">
      <c r="A931" s="71">
        <v>40721</v>
      </c>
      <c r="B931" s="72">
        <v>0.25</v>
      </c>
      <c r="C931" s="71">
        <v>40721</v>
      </c>
      <c r="D931" s="72">
        <v>0</v>
      </c>
    </row>
    <row r="932" spans="1:4" x14ac:dyDescent="0.2">
      <c r="A932" s="71">
        <v>40722</v>
      </c>
      <c r="B932" s="72">
        <v>0.25</v>
      </c>
      <c r="C932" s="71">
        <v>40722</v>
      </c>
      <c r="D932" s="72">
        <v>0</v>
      </c>
    </row>
    <row r="933" spans="1:4" x14ac:dyDescent="0.2">
      <c r="A933" s="71">
        <v>40723</v>
      </c>
      <c r="B933" s="72">
        <v>0.25</v>
      </c>
      <c r="C933" s="71">
        <v>40723</v>
      </c>
      <c r="D933" s="72">
        <v>0</v>
      </c>
    </row>
    <row r="934" spans="1:4" x14ac:dyDescent="0.2">
      <c r="A934" s="71">
        <v>40724</v>
      </c>
      <c r="B934" s="72">
        <v>0.25</v>
      </c>
      <c r="C934" s="71">
        <v>40724</v>
      </c>
      <c r="D934" s="72">
        <v>0</v>
      </c>
    </row>
    <row r="935" spans="1:4" x14ac:dyDescent="0.2">
      <c r="A935" s="71">
        <v>40725</v>
      </c>
      <c r="B935" s="72">
        <v>0.25</v>
      </c>
      <c r="C935" s="71">
        <v>40725</v>
      </c>
      <c r="D935" s="72">
        <v>0</v>
      </c>
    </row>
    <row r="936" spans="1:4" x14ac:dyDescent="0.2">
      <c r="A936" s="71">
        <v>40726</v>
      </c>
      <c r="B936" s="72">
        <v>0.25</v>
      </c>
      <c r="C936" s="71">
        <v>40726</v>
      </c>
      <c r="D936" s="72">
        <v>0</v>
      </c>
    </row>
    <row r="937" spans="1:4" x14ac:dyDescent="0.2">
      <c r="A937" s="71">
        <v>40727</v>
      </c>
      <c r="B937" s="72">
        <v>0.25</v>
      </c>
      <c r="C937" s="71">
        <v>40727</v>
      </c>
      <c r="D937" s="72">
        <v>0</v>
      </c>
    </row>
    <row r="938" spans="1:4" x14ac:dyDescent="0.2">
      <c r="A938" s="71">
        <v>40728</v>
      </c>
      <c r="B938" s="72">
        <v>0.25</v>
      </c>
      <c r="C938" s="71">
        <v>40728</v>
      </c>
      <c r="D938" s="72">
        <v>0</v>
      </c>
    </row>
    <row r="939" spans="1:4" x14ac:dyDescent="0.2">
      <c r="A939" s="71">
        <v>40729</v>
      </c>
      <c r="B939" s="72">
        <v>0.25</v>
      </c>
      <c r="C939" s="71">
        <v>40729</v>
      </c>
      <c r="D939" s="72">
        <v>0</v>
      </c>
    </row>
    <row r="940" spans="1:4" x14ac:dyDescent="0.2">
      <c r="A940" s="71">
        <v>40730</v>
      </c>
      <c r="B940" s="72">
        <v>0.25</v>
      </c>
      <c r="C940" s="71">
        <v>40730</v>
      </c>
      <c r="D940" s="72">
        <v>0</v>
      </c>
    </row>
    <row r="941" spans="1:4" x14ac:dyDescent="0.2">
      <c r="A941" s="71">
        <v>40731</v>
      </c>
      <c r="B941" s="72">
        <v>0.25</v>
      </c>
      <c r="C941" s="71">
        <v>40731</v>
      </c>
      <c r="D941" s="72">
        <v>0</v>
      </c>
    </row>
    <row r="942" spans="1:4" x14ac:dyDescent="0.2">
      <c r="A942" s="71">
        <v>40732</v>
      </c>
      <c r="B942" s="72">
        <v>0.25</v>
      </c>
      <c r="C942" s="71">
        <v>40732</v>
      </c>
      <c r="D942" s="72">
        <v>0</v>
      </c>
    </row>
    <row r="943" spans="1:4" x14ac:dyDescent="0.2">
      <c r="A943" s="71">
        <v>40733</v>
      </c>
      <c r="B943" s="72">
        <v>0.25</v>
      </c>
      <c r="C943" s="71">
        <v>40733</v>
      </c>
      <c r="D943" s="72">
        <v>0</v>
      </c>
    </row>
    <row r="944" spans="1:4" x14ac:dyDescent="0.2">
      <c r="A944" s="71">
        <v>40734</v>
      </c>
      <c r="B944" s="72">
        <v>0.25</v>
      </c>
      <c r="C944" s="71">
        <v>40734</v>
      </c>
      <c r="D944" s="72">
        <v>0</v>
      </c>
    </row>
    <row r="945" spans="1:4" x14ac:dyDescent="0.2">
      <c r="A945" s="71">
        <v>40735</v>
      </c>
      <c r="B945" s="72">
        <v>0.25</v>
      </c>
      <c r="C945" s="71">
        <v>40735</v>
      </c>
      <c r="D945" s="72">
        <v>0</v>
      </c>
    </row>
    <row r="946" spans="1:4" x14ac:dyDescent="0.2">
      <c r="A946" s="71">
        <v>40736</v>
      </c>
      <c r="B946" s="72">
        <v>0.25</v>
      </c>
      <c r="C946" s="71">
        <v>40736</v>
      </c>
      <c r="D946" s="72">
        <v>0</v>
      </c>
    </row>
    <row r="947" spans="1:4" x14ac:dyDescent="0.2">
      <c r="A947" s="71">
        <v>40737</v>
      </c>
      <c r="B947" s="72">
        <v>0.25</v>
      </c>
      <c r="C947" s="71">
        <v>40737</v>
      </c>
      <c r="D947" s="72">
        <v>0</v>
      </c>
    </row>
    <row r="948" spans="1:4" x14ac:dyDescent="0.2">
      <c r="A948" s="71">
        <v>40738</v>
      </c>
      <c r="B948" s="72">
        <v>0.25</v>
      </c>
      <c r="C948" s="71">
        <v>40738</v>
      </c>
      <c r="D948" s="72">
        <v>0</v>
      </c>
    </row>
    <row r="949" spans="1:4" x14ac:dyDescent="0.2">
      <c r="A949" s="71">
        <v>40739</v>
      </c>
      <c r="B949" s="72">
        <v>0.25</v>
      </c>
      <c r="C949" s="71">
        <v>40739</v>
      </c>
      <c r="D949" s="72">
        <v>0</v>
      </c>
    </row>
    <row r="950" spans="1:4" x14ac:dyDescent="0.2">
      <c r="A950" s="71">
        <v>40740</v>
      </c>
      <c r="B950" s="72">
        <v>0.25</v>
      </c>
      <c r="C950" s="71">
        <v>40740</v>
      </c>
      <c r="D950" s="72">
        <v>0</v>
      </c>
    </row>
    <row r="951" spans="1:4" x14ac:dyDescent="0.2">
      <c r="A951" s="71">
        <v>40741</v>
      </c>
      <c r="B951" s="72">
        <v>0.25</v>
      </c>
      <c r="C951" s="71">
        <v>40741</v>
      </c>
      <c r="D951" s="72">
        <v>0</v>
      </c>
    </row>
    <row r="952" spans="1:4" x14ac:dyDescent="0.2">
      <c r="A952" s="71">
        <v>40742</v>
      </c>
      <c r="B952" s="72">
        <v>0.25</v>
      </c>
      <c r="C952" s="71">
        <v>40742</v>
      </c>
      <c r="D952" s="72">
        <v>0</v>
      </c>
    </row>
    <row r="953" spans="1:4" x14ac:dyDescent="0.2">
      <c r="A953" s="71">
        <v>40743</v>
      </c>
      <c r="B953" s="72">
        <v>0.25</v>
      </c>
      <c r="C953" s="71">
        <v>40743</v>
      </c>
      <c r="D953" s="72">
        <v>0</v>
      </c>
    </row>
    <row r="954" spans="1:4" x14ac:dyDescent="0.2">
      <c r="A954" s="71">
        <v>40744</v>
      </c>
      <c r="B954" s="72">
        <v>0.25</v>
      </c>
      <c r="C954" s="71">
        <v>40744</v>
      </c>
      <c r="D954" s="72">
        <v>0</v>
      </c>
    </row>
    <row r="955" spans="1:4" x14ac:dyDescent="0.2">
      <c r="A955" s="71">
        <v>40745</v>
      </c>
      <c r="B955" s="72">
        <v>0.25</v>
      </c>
      <c r="C955" s="71">
        <v>40745</v>
      </c>
      <c r="D955" s="72">
        <v>0</v>
      </c>
    </row>
    <row r="956" spans="1:4" x14ac:dyDescent="0.2">
      <c r="A956" s="71">
        <v>40746</v>
      </c>
      <c r="B956" s="72">
        <v>0.25</v>
      </c>
      <c r="C956" s="71">
        <v>40746</v>
      </c>
      <c r="D956" s="72">
        <v>0</v>
      </c>
    </row>
    <row r="957" spans="1:4" x14ac:dyDescent="0.2">
      <c r="A957" s="71">
        <v>40747</v>
      </c>
      <c r="B957" s="72">
        <v>0.25</v>
      </c>
      <c r="C957" s="71">
        <v>40747</v>
      </c>
      <c r="D957" s="72">
        <v>0</v>
      </c>
    </row>
    <row r="958" spans="1:4" x14ac:dyDescent="0.2">
      <c r="A958" s="71">
        <v>40748</v>
      </c>
      <c r="B958" s="72">
        <v>0.25</v>
      </c>
      <c r="C958" s="71">
        <v>40748</v>
      </c>
      <c r="D958" s="72">
        <v>0</v>
      </c>
    </row>
    <row r="959" spans="1:4" x14ac:dyDescent="0.2">
      <c r="A959" s="71">
        <v>40749</v>
      </c>
      <c r="B959" s="72">
        <v>0.25</v>
      </c>
      <c r="C959" s="71">
        <v>40749</v>
      </c>
      <c r="D959" s="72">
        <v>0</v>
      </c>
    </row>
    <row r="960" spans="1:4" x14ac:dyDescent="0.2">
      <c r="A960" s="71">
        <v>40750</v>
      </c>
      <c r="B960" s="72">
        <v>0.25</v>
      </c>
      <c r="C960" s="71">
        <v>40750</v>
      </c>
      <c r="D960" s="72">
        <v>0</v>
      </c>
    </row>
    <row r="961" spans="1:4" x14ac:dyDescent="0.2">
      <c r="A961" s="71">
        <v>40751</v>
      </c>
      <c r="B961" s="72">
        <v>0.25</v>
      </c>
      <c r="C961" s="71">
        <v>40751</v>
      </c>
      <c r="D961" s="72">
        <v>0</v>
      </c>
    </row>
    <row r="962" spans="1:4" x14ac:dyDescent="0.2">
      <c r="A962" s="71">
        <v>40752</v>
      </c>
      <c r="B962" s="72">
        <v>0.25</v>
      </c>
      <c r="C962" s="71">
        <v>40752</v>
      </c>
      <c r="D962" s="72">
        <v>0</v>
      </c>
    </row>
    <row r="963" spans="1:4" x14ac:dyDescent="0.2">
      <c r="A963" s="71">
        <v>40753</v>
      </c>
      <c r="B963" s="72">
        <v>0.25</v>
      </c>
      <c r="C963" s="71">
        <v>40753</v>
      </c>
      <c r="D963" s="72">
        <v>0</v>
      </c>
    </row>
    <row r="964" spans="1:4" x14ac:dyDescent="0.2">
      <c r="A964" s="71">
        <v>40754</v>
      </c>
      <c r="B964" s="72">
        <v>0.25</v>
      </c>
      <c r="C964" s="71">
        <v>40754</v>
      </c>
      <c r="D964" s="72">
        <v>0</v>
      </c>
    </row>
    <row r="965" spans="1:4" x14ac:dyDescent="0.2">
      <c r="A965" s="71">
        <v>40755</v>
      </c>
      <c r="B965" s="72">
        <v>0.25</v>
      </c>
      <c r="C965" s="71">
        <v>40755</v>
      </c>
      <c r="D965" s="72">
        <v>0</v>
      </c>
    </row>
    <row r="966" spans="1:4" x14ac:dyDescent="0.2">
      <c r="A966" s="71">
        <v>40756</v>
      </c>
      <c r="B966" s="72">
        <v>0.25</v>
      </c>
      <c r="C966" s="71">
        <v>40756</v>
      </c>
      <c r="D966" s="72">
        <v>0</v>
      </c>
    </row>
    <row r="967" spans="1:4" x14ac:dyDescent="0.2">
      <c r="A967" s="71">
        <v>40757</v>
      </c>
      <c r="B967" s="72">
        <v>0.25</v>
      </c>
      <c r="C967" s="71">
        <v>40757</v>
      </c>
      <c r="D967" s="72">
        <v>0</v>
      </c>
    </row>
    <row r="968" spans="1:4" x14ac:dyDescent="0.2">
      <c r="A968" s="71">
        <v>40758</v>
      </c>
      <c r="B968" s="72">
        <v>0.25</v>
      </c>
      <c r="C968" s="71">
        <v>40758</v>
      </c>
      <c r="D968" s="72">
        <v>0</v>
      </c>
    </row>
    <row r="969" spans="1:4" x14ac:dyDescent="0.2">
      <c r="A969" s="71">
        <v>40759</v>
      </c>
      <c r="B969" s="72">
        <v>0.25</v>
      </c>
      <c r="C969" s="71">
        <v>40759</v>
      </c>
      <c r="D969" s="72">
        <v>0</v>
      </c>
    </row>
    <row r="970" spans="1:4" x14ac:dyDescent="0.2">
      <c r="A970" s="71">
        <v>40760</v>
      </c>
      <c r="B970" s="72">
        <v>0.25</v>
      </c>
      <c r="C970" s="71">
        <v>40760</v>
      </c>
      <c r="D970" s="72">
        <v>0</v>
      </c>
    </row>
    <row r="971" spans="1:4" x14ac:dyDescent="0.2">
      <c r="A971" s="71">
        <v>40761</v>
      </c>
      <c r="B971" s="72">
        <v>0.25</v>
      </c>
      <c r="C971" s="71">
        <v>40761</v>
      </c>
      <c r="D971" s="72">
        <v>0</v>
      </c>
    </row>
    <row r="972" spans="1:4" x14ac:dyDescent="0.2">
      <c r="A972" s="71">
        <v>40762</v>
      </c>
      <c r="B972" s="72">
        <v>0.25</v>
      </c>
      <c r="C972" s="71">
        <v>40762</v>
      </c>
      <c r="D972" s="72">
        <v>0</v>
      </c>
    </row>
    <row r="973" spans="1:4" x14ac:dyDescent="0.2">
      <c r="A973" s="71">
        <v>40763</v>
      </c>
      <c r="B973" s="72">
        <v>0.25</v>
      </c>
      <c r="C973" s="71">
        <v>40763</v>
      </c>
      <c r="D973" s="72">
        <v>0</v>
      </c>
    </row>
    <row r="974" spans="1:4" x14ac:dyDescent="0.2">
      <c r="A974" s="71">
        <v>40764</v>
      </c>
      <c r="B974" s="72">
        <v>0.25</v>
      </c>
      <c r="C974" s="71">
        <v>40764</v>
      </c>
      <c r="D974" s="72">
        <v>0</v>
      </c>
    </row>
    <row r="975" spans="1:4" x14ac:dyDescent="0.2">
      <c r="A975" s="71">
        <v>40765</v>
      </c>
      <c r="B975" s="72">
        <v>0.25</v>
      </c>
      <c r="C975" s="71">
        <v>40765</v>
      </c>
      <c r="D975" s="72">
        <v>0</v>
      </c>
    </row>
    <row r="976" spans="1:4" x14ac:dyDescent="0.2">
      <c r="A976" s="71">
        <v>40766</v>
      </c>
      <c r="B976" s="72">
        <v>0.25</v>
      </c>
      <c r="C976" s="71">
        <v>40766</v>
      </c>
      <c r="D976" s="72">
        <v>0</v>
      </c>
    </row>
    <row r="977" spans="1:4" x14ac:dyDescent="0.2">
      <c r="A977" s="71">
        <v>40767</v>
      </c>
      <c r="B977" s="72">
        <v>0.25</v>
      </c>
      <c r="C977" s="71">
        <v>40767</v>
      </c>
      <c r="D977" s="72">
        <v>0</v>
      </c>
    </row>
    <row r="978" spans="1:4" x14ac:dyDescent="0.2">
      <c r="A978" s="71">
        <v>40768</v>
      </c>
      <c r="B978" s="72">
        <v>0.25</v>
      </c>
      <c r="C978" s="71">
        <v>40768</v>
      </c>
      <c r="D978" s="72">
        <v>0</v>
      </c>
    </row>
    <row r="979" spans="1:4" x14ac:dyDescent="0.2">
      <c r="A979" s="71">
        <v>40769</v>
      </c>
      <c r="B979" s="72">
        <v>0.25</v>
      </c>
      <c r="C979" s="71">
        <v>40769</v>
      </c>
      <c r="D979" s="72">
        <v>0</v>
      </c>
    </row>
    <row r="980" spans="1:4" x14ac:dyDescent="0.2">
      <c r="A980" s="71">
        <v>40770</v>
      </c>
      <c r="B980" s="72">
        <v>0.25</v>
      </c>
      <c r="C980" s="71">
        <v>40770</v>
      </c>
      <c r="D980" s="72">
        <v>0</v>
      </c>
    </row>
    <row r="981" spans="1:4" x14ac:dyDescent="0.2">
      <c r="A981" s="71">
        <v>40771</v>
      </c>
      <c r="B981" s="72">
        <v>0.25</v>
      </c>
      <c r="C981" s="71">
        <v>40771</v>
      </c>
      <c r="D981" s="72">
        <v>0</v>
      </c>
    </row>
    <row r="982" spans="1:4" x14ac:dyDescent="0.2">
      <c r="A982" s="71">
        <v>40772</v>
      </c>
      <c r="B982" s="72">
        <v>0.25</v>
      </c>
      <c r="C982" s="71">
        <v>40772</v>
      </c>
      <c r="D982" s="72">
        <v>0</v>
      </c>
    </row>
    <row r="983" spans="1:4" x14ac:dyDescent="0.2">
      <c r="A983" s="71">
        <v>40773</v>
      </c>
      <c r="B983" s="72">
        <v>0.25</v>
      </c>
      <c r="C983" s="71">
        <v>40773</v>
      </c>
      <c r="D983" s="72">
        <v>0</v>
      </c>
    </row>
    <row r="984" spans="1:4" x14ac:dyDescent="0.2">
      <c r="A984" s="71">
        <v>40774</v>
      </c>
      <c r="B984" s="72">
        <v>0.25</v>
      </c>
      <c r="C984" s="71">
        <v>40774</v>
      </c>
      <c r="D984" s="72">
        <v>0</v>
      </c>
    </row>
    <row r="985" spans="1:4" x14ac:dyDescent="0.2">
      <c r="A985" s="71">
        <v>40775</v>
      </c>
      <c r="B985" s="72">
        <v>0.25</v>
      </c>
      <c r="C985" s="71">
        <v>40775</v>
      </c>
      <c r="D985" s="72">
        <v>0</v>
      </c>
    </row>
    <row r="986" spans="1:4" x14ac:dyDescent="0.2">
      <c r="A986" s="71">
        <v>40776</v>
      </c>
      <c r="B986" s="72">
        <v>0.25</v>
      </c>
      <c r="C986" s="71">
        <v>40776</v>
      </c>
      <c r="D986" s="72">
        <v>0</v>
      </c>
    </row>
    <row r="987" spans="1:4" x14ac:dyDescent="0.2">
      <c r="A987" s="71">
        <v>40777</v>
      </c>
      <c r="B987" s="72">
        <v>0.25</v>
      </c>
      <c r="C987" s="71">
        <v>40777</v>
      </c>
      <c r="D987" s="72">
        <v>0</v>
      </c>
    </row>
    <row r="988" spans="1:4" x14ac:dyDescent="0.2">
      <c r="A988" s="71">
        <v>40778</v>
      </c>
      <c r="B988" s="72">
        <v>0.25</v>
      </c>
      <c r="C988" s="71">
        <v>40778</v>
      </c>
      <c r="D988" s="72">
        <v>0</v>
      </c>
    </row>
    <row r="989" spans="1:4" x14ac:dyDescent="0.2">
      <c r="A989" s="71">
        <v>40779</v>
      </c>
      <c r="B989" s="72">
        <v>0.25</v>
      </c>
      <c r="C989" s="71">
        <v>40779</v>
      </c>
      <c r="D989" s="72">
        <v>0</v>
      </c>
    </row>
    <row r="990" spans="1:4" x14ac:dyDescent="0.2">
      <c r="A990" s="71">
        <v>40780</v>
      </c>
      <c r="B990" s="72">
        <v>0.25</v>
      </c>
      <c r="C990" s="71">
        <v>40780</v>
      </c>
      <c r="D990" s="72">
        <v>0</v>
      </c>
    </row>
    <row r="991" spans="1:4" x14ac:dyDescent="0.2">
      <c r="A991" s="71">
        <v>40781</v>
      </c>
      <c r="B991" s="72">
        <v>0.25</v>
      </c>
      <c r="C991" s="71">
        <v>40781</v>
      </c>
      <c r="D991" s="72">
        <v>0</v>
      </c>
    </row>
    <row r="992" spans="1:4" x14ac:dyDescent="0.2">
      <c r="A992" s="71">
        <v>40782</v>
      </c>
      <c r="B992" s="72">
        <v>0.25</v>
      </c>
      <c r="C992" s="71">
        <v>40782</v>
      </c>
      <c r="D992" s="72">
        <v>0</v>
      </c>
    </row>
    <row r="993" spans="1:4" x14ac:dyDescent="0.2">
      <c r="A993" s="71">
        <v>40783</v>
      </c>
      <c r="B993" s="72">
        <v>0.25</v>
      </c>
      <c r="C993" s="71">
        <v>40783</v>
      </c>
      <c r="D993" s="72">
        <v>0</v>
      </c>
    </row>
    <row r="994" spans="1:4" x14ac:dyDescent="0.2">
      <c r="A994" s="71">
        <v>40784</v>
      </c>
      <c r="B994" s="72">
        <v>0.25</v>
      </c>
      <c r="C994" s="71">
        <v>40784</v>
      </c>
      <c r="D994" s="72">
        <v>0</v>
      </c>
    </row>
    <row r="995" spans="1:4" x14ac:dyDescent="0.2">
      <c r="A995" s="71">
        <v>40785</v>
      </c>
      <c r="B995" s="72">
        <v>0.25</v>
      </c>
      <c r="C995" s="71">
        <v>40785</v>
      </c>
      <c r="D995" s="72">
        <v>0</v>
      </c>
    </row>
    <row r="996" spans="1:4" x14ac:dyDescent="0.2">
      <c r="A996" s="71">
        <v>40786</v>
      </c>
      <c r="B996" s="72">
        <v>0.25</v>
      </c>
      <c r="C996" s="71">
        <v>40786</v>
      </c>
      <c r="D996" s="72">
        <v>0</v>
      </c>
    </row>
    <row r="997" spans="1:4" x14ac:dyDescent="0.2">
      <c r="A997" s="71">
        <v>40787</v>
      </c>
      <c r="B997" s="72">
        <v>0.25</v>
      </c>
      <c r="C997" s="71">
        <v>40787</v>
      </c>
      <c r="D997" s="72">
        <v>0</v>
      </c>
    </row>
    <row r="998" spans="1:4" x14ac:dyDescent="0.2">
      <c r="A998" s="71">
        <v>40788</v>
      </c>
      <c r="B998" s="72">
        <v>0.25</v>
      </c>
      <c r="C998" s="71">
        <v>40788</v>
      </c>
      <c r="D998" s="72">
        <v>0</v>
      </c>
    </row>
    <row r="999" spans="1:4" x14ac:dyDescent="0.2">
      <c r="A999" s="71">
        <v>40789</v>
      </c>
      <c r="B999" s="72">
        <v>0.25</v>
      </c>
      <c r="C999" s="71">
        <v>40789</v>
      </c>
      <c r="D999" s="72">
        <v>0</v>
      </c>
    </row>
    <row r="1000" spans="1:4" x14ac:dyDescent="0.2">
      <c r="A1000" s="71">
        <v>40790</v>
      </c>
      <c r="B1000" s="72">
        <v>0.25</v>
      </c>
      <c r="C1000" s="71">
        <v>40790</v>
      </c>
      <c r="D1000" s="72">
        <v>0</v>
      </c>
    </row>
    <row r="1001" spans="1:4" x14ac:dyDescent="0.2">
      <c r="A1001" s="71">
        <v>40791</v>
      </c>
      <c r="B1001" s="72">
        <v>0.25</v>
      </c>
      <c r="C1001" s="71">
        <v>40791</v>
      </c>
      <c r="D1001" s="72">
        <v>0</v>
      </c>
    </row>
    <row r="1002" spans="1:4" x14ac:dyDescent="0.2">
      <c r="A1002" s="71">
        <v>40792</v>
      </c>
      <c r="B1002" s="72">
        <v>0.25</v>
      </c>
      <c r="C1002" s="71">
        <v>40792</v>
      </c>
      <c r="D1002" s="72">
        <v>0</v>
      </c>
    </row>
    <row r="1003" spans="1:4" x14ac:dyDescent="0.2">
      <c r="A1003" s="71">
        <v>40793</v>
      </c>
      <c r="B1003" s="72">
        <v>0.25</v>
      </c>
      <c r="C1003" s="71">
        <v>40793</v>
      </c>
      <c r="D1003" s="72">
        <v>0</v>
      </c>
    </row>
    <row r="1004" spans="1:4" x14ac:dyDescent="0.2">
      <c r="A1004" s="71">
        <v>40794</v>
      </c>
      <c r="B1004" s="72">
        <v>0.25</v>
      </c>
      <c r="C1004" s="71">
        <v>40794</v>
      </c>
      <c r="D1004" s="72">
        <v>0</v>
      </c>
    </row>
    <row r="1005" spans="1:4" x14ac:dyDescent="0.2">
      <c r="A1005" s="71">
        <v>40795</v>
      </c>
      <c r="B1005" s="72">
        <v>0.25</v>
      </c>
      <c r="C1005" s="71">
        <v>40795</v>
      </c>
      <c r="D1005" s="72">
        <v>0</v>
      </c>
    </row>
    <row r="1006" spans="1:4" x14ac:dyDescent="0.2">
      <c r="A1006" s="71">
        <v>40796</v>
      </c>
      <c r="B1006" s="72">
        <v>0.25</v>
      </c>
      <c r="C1006" s="71">
        <v>40796</v>
      </c>
      <c r="D1006" s="72">
        <v>0</v>
      </c>
    </row>
    <row r="1007" spans="1:4" x14ac:dyDescent="0.2">
      <c r="A1007" s="71">
        <v>40797</v>
      </c>
      <c r="B1007" s="72">
        <v>0.25</v>
      </c>
      <c r="C1007" s="71">
        <v>40797</v>
      </c>
      <c r="D1007" s="72">
        <v>0</v>
      </c>
    </row>
    <row r="1008" spans="1:4" x14ac:dyDescent="0.2">
      <c r="A1008" s="71">
        <v>40798</v>
      </c>
      <c r="B1008" s="72">
        <v>0.25</v>
      </c>
      <c r="C1008" s="71">
        <v>40798</v>
      </c>
      <c r="D1008" s="72">
        <v>0</v>
      </c>
    </row>
    <row r="1009" spans="1:4" x14ac:dyDescent="0.2">
      <c r="A1009" s="71">
        <v>40799</v>
      </c>
      <c r="B1009" s="72">
        <v>0.25</v>
      </c>
      <c r="C1009" s="71">
        <v>40799</v>
      </c>
      <c r="D1009" s="72">
        <v>0</v>
      </c>
    </row>
    <row r="1010" spans="1:4" x14ac:dyDescent="0.2">
      <c r="A1010" s="71">
        <v>40800</v>
      </c>
      <c r="B1010" s="72">
        <v>0.25</v>
      </c>
      <c r="C1010" s="71">
        <v>40800</v>
      </c>
      <c r="D1010" s="72">
        <v>0</v>
      </c>
    </row>
    <row r="1011" spans="1:4" x14ac:dyDescent="0.2">
      <c r="A1011" s="71">
        <v>40801</v>
      </c>
      <c r="B1011" s="72">
        <v>0.25</v>
      </c>
      <c r="C1011" s="71">
        <v>40801</v>
      </c>
      <c r="D1011" s="72">
        <v>0</v>
      </c>
    </row>
    <row r="1012" spans="1:4" x14ac:dyDescent="0.2">
      <c r="A1012" s="71">
        <v>40802</v>
      </c>
      <c r="B1012" s="72">
        <v>0.25</v>
      </c>
      <c r="C1012" s="71">
        <v>40802</v>
      </c>
      <c r="D1012" s="72">
        <v>0</v>
      </c>
    </row>
    <row r="1013" spans="1:4" x14ac:dyDescent="0.2">
      <c r="A1013" s="71">
        <v>40803</v>
      </c>
      <c r="B1013" s="72">
        <v>0.25</v>
      </c>
      <c r="C1013" s="71">
        <v>40803</v>
      </c>
      <c r="D1013" s="72">
        <v>0</v>
      </c>
    </row>
    <row r="1014" spans="1:4" x14ac:dyDescent="0.2">
      <c r="A1014" s="71">
        <v>40804</v>
      </c>
      <c r="B1014" s="72">
        <v>0.25</v>
      </c>
      <c r="C1014" s="71">
        <v>40804</v>
      </c>
      <c r="D1014" s="72">
        <v>0</v>
      </c>
    </row>
    <row r="1015" spans="1:4" x14ac:dyDescent="0.2">
      <c r="A1015" s="71">
        <v>40805</v>
      </c>
      <c r="B1015" s="72">
        <v>0.25</v>
      </c>
      <c r="C1015" s="71">
        <v>40805</v>
      </c>
      <c r="D1015" s="72">
        <v>0</v>
      </c>
    </row>
    <row r="1016" spans="1:4" x14ac:dyDescent="0.2">
      <c r="A1016" s="71">
        <v>40806</v>
      </c>
      <c r="B1016" s="72">
        <v>0.25</v>
      </c>
      <c r="C1016" s="71">
        <v>40806</v>
      </c>
      <c r="D1016" s="72">
        <v>0</v>
      </c>
    </row>
    <row r="1017" spans="1:4" x14ac:dyDescent="0.2">
      <c r="A1017" s="71">
        <v>40807</v>
      </c>
      <c r="B1017" s="72">
        <v>0.25</v>
      </c>
      <c r="C1017" s="71">
        <v>40807</v>
      </c>
      <c r="D1017" s="72">
        <v>0</v>
      </c>
    </row>
    <row r="1018" spans="1:4" x14ac:dyDescent="0.2">
      <c r="A1018" s="71">
        <v>40808</v>
      </c>
      <c r="B1018" s="72">
        <v>0.25</v>
      </c>
      <c r="C1018" s="71">
        <v>40808</v>
      </c>
      <c r="D1018" s="72">
        <v>0</v>
      </c>
    </row>
    <row r="1019" spans="1:4" x14ac:dyDescent="0.2">
      <c r="A1019" s="71">
        <v>40809</v>
      </c>
      <c r="B1019" s="72">
        <v>0.25</v>
      </c>
      <c r="C1019" s="71">
        <v>40809</v>
      </c>
      <c r="D1019" s="72">
        <v>0</v>
      </c>
    </row>
    <row r="1020" spans="1:4" x14ac:dyDescent="0.2">
      <c r="A1020" s="71">
        <v>40810</v>
      </c>
      <c r="B1020" s="72">
        <v>0.25</v>
      </c>
      <c r="C1020" s="71">
        <v>40810</v>
      </c>
      <c r="D1020" s="72">
        <v>0</v>
      </c>
    </row>
    <row r="1021" spans="1:4" x14ac:dyDescent="0.2">
      <c r="A1021" s="71">
        <v>40811</v>
      </c>
      <c r="B1021" s="72">
        <v>0.25</v>
      </c>
      <c r="C1021" s="71">
        <v>40811</v>
      </c>
      <c r="D1021" s="72">
        <v>0</v>
      </c>
    </row>
    <row r="1022" spans="1:4" x14ac:dyDescent="0.2">
      <c r="A1022" s="71">
        <v>40812</v>
      </c>
      <c r="B1022" s="72">
        <v>0.25</v>
      </c>
      <c r="C1022" s="71">
        <v>40812</v>
      </c>
      <c r="D1022" s="72">
        <v>0</v>
      </c>
    </row>
    <row r="1023" spans="1:4" x14ac:dyDescent="0.2">
      <c r="A1023" s="71">
        <v>40813</v>
      </c>
      <c r="B1023" s="72">
        <v>0.25</v>
      </c>
      <c r="C1023" s="71">
        <v>40813</v>
      </c>
      <c r="D1023" s="72">
        <v>0</v>
      </c>
    </row>
    <row r="1024" spans="1:4" x14ac:dyDescent="0.2">
      <c r="A1024" s="71">
        <v>40814</v>
      </c>
      <c r="B1024" s="72">
        <v>0.25</v>
      </c>
      <c r="C1024" s="71">
        <v>40814</v>
      </c>
      <c r="D1024" s="72">
        <v>0</v>
      </c>
    </row>
    <row r="1025" spans="1:4" x14ac:dyDescent="0.2">
      <c r="A1025" s="71">
        <v>40815</v>
      </c>
      <c r="B1025" s="72">
        <v>0.25</v>
      </c>
      <c r="C1025" s="71">
        <v>40815</v>
      </c>
      <c r="D1025" s="72">
        <v>0</v>
      </c>
    </row>
    <row r="1026" spans="1:4" x14ac:dyDescent="0.2">
      <c r="A1026" s="71">
        <v>40816</v>
      </c>
      <c r="B1026" s="72">
        <v>0.25</v>
      </c>
      <c r="C1026" s="71">
        <v>40816</v>
      </c>
      <c r="D1026" s="72">
        <v>0</v>
      </c>
    </row>
    <row r="1027" spans="1:4" x14ac:dyDescent="0.2">
      <c r="A1027" s="71">
        <v>40817</v>
      </c>
      <c r="B1027" s="72">
        <v>0.25</v>
      </c>
      <c r="C1027" s="71">
        <v>40817</v>
      </c>
      <c r="D1027" s="72">
        <v>0</v>
      </c>
    </row>
    <row r="1028" spans="1:4" x14ac:dyDescent="0.2">
      <c r="A1028" s="71">
        <v>40818</v>
      </c>
      <c r="B1028" s="72">
        <v>0.25</v>
      </c>
      <c r="C1028" s="71">
        <v>40818</v>
      </c>
      <c r="D1028" s="72">
        <v>0</v>
      </c>
    </row>
    <row r="1029" spans="1:4" x14ac:dyDescent="0.2">
      <c r="A1029" s="71">
        <v>40819</v>
      </c>
      <c r="B1029" s="72">
        <v>0.25</v>
      </c>
      <c r="C1029" s="71">
        <v>40819</v>
      </c>
      <c r="D1029" s="72">
        <v>0</v>
      </c>
    </row>
    <row r="1030" spans="1:4" x14ac:dyDescent="0.2">
      <c r="A1030" s="71">
        <v>40820</v>
      </c>
      <c r="B1030" s="72">
        <v>0.25</v>
      </c>
      <c r="C1030" s="71">
        <v>40820</v>
      </c>
      <c r="D1030" s="72">
        <v>0</v>
      </c>
    </row>
    <row r="1031" spans="1:4" x14ac:dyDescent="0.2">
      <c r="A1031" s="71">
        <v>40821</v>
      </c>
      <c r="B1031" s="72">
        <v>0.25</v>
      </c>
      <c r="C1031" s="71">
        <v>40821</v>
      </c>
      <c r="D1031" s="72">
        <v>0</v>
      </c>
    </row>
    <row r="1032" spans="1:4" x14ac:dyDescent="0.2">
      <c r="A1032" s="71">
        <v>40822</v>
      </c>
      <c r="B1032" s="72">
        <v>0.25</v>
      </c>
      <c r="C1032" s="71">
        <v>40822</v>
      </c>
      <c r="D1032" s="72">
        <v>0</v>
      </c>
    </row>
    <row r="1033" spans="1:4" x14ac:dyDescent="0.2">
      <c r="A1033" s="71">
        <v>40823</v>
      </c>
      <c r="B1033" s="72">
        <v>0.25</v>
      </c>
      <c r="C1033" s="71">
        <v>40823</v>
      </c>
      <c r="D1033" s="72">
        <v>0</v>
      </c>
    </row>
    <row r="1034" spans="1:4" x14ac:dyDescent="0.2">
      <c r="A1034" s="71">
        <v>40824</v>
      </c>
      <c r="B1034" s="72">
        <v>0.25</v>
      </c>
      <c r="C1034" s="71">
        <v>40824</v>
      </c>
      <c r="D1034" s="72">
        <v>0</v>
      </c>
    </row>
    <row r="1035" spans="1:4" x14ac:dyDescent="0.2">
      <c r="A1035" s="71">
        <v>40825</v>
      </c>
      <c r="B1035" s="72">
        <v>0.25</v>
      </c>
      <c r="C1035" s="71">
        <v>40825</v>
      </c>
      <c r="D1035" s="72">
        <v>0</v>
      </c>
    </row>
    <row r="1036" spans="1:4" x14ac:dyDescent="0.2">
      <c r="A1036" s="71">
        <v>40826</v>
      </c>
      <c r="B1036" s="72">
        <v>0.25</v>
      </c>
      <c r="C1036" s="71">
        <v>40826</v>
      </c>
      <c r="D1036" s="72">
        <v>0</v>
      </c>
    </row>
    <row r="1037" spans="1:4" x14ac:dyDescent="0.2">
      <c r="A1037" s="71">
        <v>40827</v>
      </c>
      <c r="B1037" s="72">
        <v>0.25</v>
      </c>
      <c r="C1037" s="71">
        <v>40827</v>
      </c>
      <c r="D1037" s="72">
        <v>0</v>
      </c>
    </row>
    <row r="1038" spans="1:4" x14ac:dyDescent="0.2">
      <c r="A1038" s="71">
        <v>40828</v>
      </c>
      <c r="B1038" s="72">
        <v>0.25</v>
      </c>
      <c r="C1038" s="71">
        <v>40828</v>
      </c>
      <c r="D1038" s="72">
        <v>0</v>
      </c>
    </row>
    <row r="1039" spans="1:4" x14ac:dyDescent="0.2">
      <c r="A1039" s="71">
        <v>40829</v>
      </c>
      <c r="B1039" s="72">
        <v>0.25</v>
      </c>
      <c r="C1039" s="71">
        <v>40829</v>
      </c>
      <c r="D1039" s="72">
        <v>0</v>
      </c>
    </row>
    <row r="1040" spans="1:4" x14ac:dyDescent="0.2">
      <c r="A1040" s="71">
        <v>40830</v>
      </c>
      <c r="B1040" s="72">
        <v>0.25</v>
      </c>
      <c r="C1040" s="71">
        <v>40830</v>
      </c>
      <c r="D1040" s="72">
        <v>0</v>
      </c>
    </row>
    <row r="1041" spans="1:4" x14ac:dyDescent="0.2">
      <c r="A1041" s="71">
        <v>40831</v>
      </c>
      <c r="B1041" s="72">
        <v>0.25</v>
      </c>
      <c r="C1041" s="71">
        <v>40831</v>
      </c>
      <c r="D1041" s="72">
        <v>0</v>
      </c>
    </row>
    <row r="1042" spans="1:4" x14ac:dyDescent="0.2">
      <c r="A1042" s="71">
        <v>40832</v>
      </c>
      <c r="B1042" s="72">
        <v>0.25</v>
      </c>
      <c r="C1042" s="71">
        <v>40832</v>
      </c>
      <c r="D1042" s="72">
        <v>0</v>
      </c>
    </row>
    <row r="1043" spans="1:4" x14ac:dyDescent="0.2">
      <c r="A1043" s="71">
        <v>40833</v>
      </c>
      <c r="B1043" s="72">
        <v>0.25</v>
      </c>
      <c r="C1043" s="71">
        <v>40833</v>
      </c>
      <c r="D1043" s="72">
        <v>0</v>
      </c>
    </row>
    <row r="1044" spans="1:4" x14ac:dyDescent="0.2">
      <c r="A1044" s="71">
        <v>40834</v>
      </c>
      <c r="B1044" s="72">
        <v>0.25</v>
      </c>
      <c r="C1044" s="71">
        <v>40834</v>
      </c>
      <c r="D1044" s="72">
        <v>0</v>
      </c>
    </row>
    <row r="1045" spans="1:4" x14ac:dyDescent="0.2">
      <c r="A1045" s="71">
        <v>40835</v>
      </c>
      <c r="B1045" s="72">
        <v>0.25</v>
      </c>
      <c r="C1045" s="71">
        <v>40835</v>
      </c>
      <c r="D1045" s="72">
        <v>0</v>
      </c>
    </row>
    <row r="1046" spans="1:4" x14ac:dyDescent="0.2">
      <c r="A1046" s="71">
        <v>40836</v>
      </c>
      <c r="B1046" s="72">
        <v>0.25</v>
      </c>
      <c r="C1046" s="71">
        <v>40836</v>
      </c>
      <c r="D1046" s="72">
        <v>0</v>
      </c>
    </row>
    <row r="1047" spans="1:4" x14ac:dyDescent="0.2">
      <c r="A1047" s="71">
        <v>40837</v>
      </c>
      <c r="B1047" s="72">
        <v>0.25</v>
      </c>
      <c r="C1047" s="71">
        <v>40837</v>
      </c>
      <c r="D1047" s="72">
        <v>0</v>
      </c>
    </row>
    <row r="1048" spans="1:4" x14ac:dyDescent="0.2">
      <c r="A1048" s="71">
        <v>40838</v>
      </c>
      <c r="B1048" s="72">
        <v>0.25</v>
      </c>
      <c r="C1048" s="71">
        <v>40838</v>
      </c>
      <c r="D1048" s="72">
        <v>0</v>
      </c>
    </row>
    <row r="1049" spans="1:4" x14ac:dyDescent="0.2">
      <c r="A1049" s="71">
        <v>40839</v>
      </c>
      <c r="B1049" s="72">
        <v>0.25</v>
      </c>
      <c r="C1049" s="71">
        <v>40839</v>
      </c>
      <c r="D1049" s="72">
        <v>0</v>
      </c>
    </row>
    <row r="1050" spans="1:4" x14ac:dyDescent="0.2">
      <c r="A1050" s="71">
        <v>40840</v>
      </c>
      <c r="B1050" s="72">
        <v>0.25</v>
      </c>
      <c r="C1050" s="71">
        <v>40840</v>
      </c>
      <c r="D1050" s="72">
        <v>0</v>
      </c>
    </row>
    <row r="1051" spans="1:4" x14ac:dyDescent="0.2">
      <c r="A1051" s="71">
        <v>40841</v>
      </c>
      <c r="B1051" s="72">
        <v>0.25</v>
      </c>
      <c r="C1051" s="71">
        <v>40841</v>
      </c>
      <c r="D1051" s="72">
        <v>0</v>
      </c>
    </row>
    <row r="1052" spans="1:4" x14ac:dyDescent="0.2">
      <c r="A1052" s="71">
        <v>40842</v>
      </c>
      <c r="B1052" s="72">
        <v>0.25</v>
      </c>
      <c r="C1052" s="71">
        <v>40842</v>
      </c>
      <c r="D1052" s="72">
        <v>0</v>
      </c>
    </row>
    <row r="1053" spans="1:4" x14ac:dyDescent="0.2">
      <c r="A1053" s="71">
        <v>40843</v>
      </c>
      <c r="B1053" s="72">
        <v>0.25</v>
      </c>
      <c r="C1053" s="71">
        <v>40843</v>
      </c>
      <c r="D1053" s="72">
        <v>0</v>
      </c>
    </row>
    <row r="1054" spans="1:4" x14ac:dyDescent="0.2">
      <c r="A1054" s="71">
        <v>40844</v>
      </c>
      <c r="B1054" s="72">
        <v>0.25</v>
      </c>
      <c r="C1054" s="71">
        <v>40844</v>
      </c>
      <c r="D1054" s="72">
        <v>0</v>
      </c>
    </row>
    <row r="1055" spans="1:4" x14ac:dyDescent="0.2">
      <c r="A1055" s="71">
        <v>40845</v>
      </c>
      <c r="B1055" s="72">
        <v>0.25</v>
      </c>
      <c r="C1055" s="71">
        <v>40845</v>
      </c>
      <c r="D1055" s="72">
        <v>0</v>
      </c>
    </row>
    <row r="1056" spans="1:4" x14ac:dyDescent="0.2">
      <c r="A1056" s="71">
        <v>40846</v>
      </c>
      <c r="B1056" s="72">
        <v>0.25</v>
      </c>
      <c r="C1056" s="71">
        <v>40846</v>
      </c>
      <c r="D1056" s="72">
        <v>0</v>
      </c>
    </row>
    <row r="1057" spans="1:4" x14ac:dyDescent="0.2">
      <c r="A1057" s="71">
        <v>40847</v>
      </c>
      <c r="B1057" s="72">
        <v>0.25</v>
      </c>
      <c r="C1057" s="71">
        <v>40847</v>
      </c>
      <c r="D1057" s="72">
        <v>0</v>
      </c>
    </row>
    <row r="1058" spans="1:4" x14ac:dyDescent="0.2">
      <c r="A1058" s="71">
        <v>40848</v>
      </c>
      <c r="B1058" s="72">
        <v>0.25</v>
      </c>
      <c r="C1058" s="71">
        <v>40848</v>
      </c>
      <c r="D1058" s="72">
        <v>0</v>
      </c>
    </row>
    <row r="1059" spans="1:4" x14ac:dyDescent="0.2">
      <c r="A1059" s="71">
        <v>40849</v>
      </c>
      <c r="B1059" s="72">
        <v>0.25</v>
      </c>
      <c r="C1059" s="71">
        <v>40849</v>
      </c>
      <c r="D1059" s="72">
        <v>0</v>
      </c>
    </row>
    <row r="1060" spans="1:4" x14ac:dyDescent="0.2">
      <c r="A1060" s="71">
        <v>40850</v>
      </c>
      <c r="B1060" s="72">
        <v>0.25</v>
      </c>
      <c r="C1060" s="71">
        <v>40850</v>
      </c>
      <c r="D1060" s="72">
        <v>0</v>
      </c>
    </row>
    <row r="1061" spans="1:4" x14ac:dyDescent="0.2">
      <c r="A1061" s="71">
        <v>40851</v>
      </c>
      <c r="B1061" s="72">
        <v>0.25</v>
      </c>
      <c r="C1061" s="71">
        <v>40851</v>
      </c>
      <c r="D1061" s="72">
        <v>0</v>
      </c>
    </row>
    <row r="1062" spans="1:4" x14ac:dyDescent="0.2">
      <c r="A1062" s="71">
        <v>40852</v>
      </c>
      <c r="B1062" s="72">
        <v>0.25</v>
      </c>
      <c r="C1062" s="71">
        <v>40852</v>
      </c>
      <c r="D1062" s="72">
        <v>0</v>
      </c>
    </row>
    <row r="1063" spans="1:4" x14ac:dyDescent="0.2">
      <c r="A1063" s="71">
        <v>40853</v>
      </c>
      <c r="B1063" s="72">
        <v>0.25</v>
      </c>
      <c r="C1063" s="71">
        <v>40853</v>
      </c>
      <c r="D1063" s="72">
        <v>0</v>
      </c>
    </row>
    <row r="1064" spans="1:4" x14ac:dyDescent="0.2">
      <c r="A1064" s="71">
        <v>40854</v>
      </c>
      <c r="B1064" s="72">
        <v>0.25</v>
      </c>
      <c r="C1064" s="71">
        <v>40854</v>
      </c>
      <c r="D1064" s="72">
        <v>0</v>
      </c>
    </row>
    <row r="1065" spans="1:4" x14ac:dyDescent="0.2">
      <c r="A1065" s="71">
        <v>40855</v>
      </c>
      <c r="B1065" s="72">
        <v>0.25</v>
      </c>
      <c r="C1065" s="71">
        <v>40855</v>
      </c>
      <c r="D1065" s="72">
        <v>0</v>
      </c>
    </row>
    <row r="1066" spans="1:4" x14ac:dyDescent="0.2">
      <c r="A1066" s="71">
        <v>40856</v>
      </c>
      <c r="B1066" s="72">
        <v>0.25</v>
      </c>
      <c r="C1066" s="71">
        <v>40856</v>
      </c>
      <c r="D1066" s="72">
        <v>0</v>
      </c>
    </row>
    <row r="1067" spans="1:4" x14ac:dyDescent="0.2">
      <c r="A1067" s="71">
        <v>40857</v>
      </c>
      <c r="B1067" s="72">
        <v>0.25</v>
      </c>
      <c r="C1067" s="71">
        <v>40857</v>
      </c>
      <c r="D1067" s="72">
        <v>0</v>
      </c>
    </row>
    <row r="1068" spans="1:4" x14ac:dyDescent="0.2">
      <c r="A1068" s="71">
        <v>40858</v>
      </c>
      <c r="B1068" s="72">
        <v>0.25</v>
      </c>
      <c r="C1068" s="71">
        <v>40858</v>
      </c>
      <c r="D1068" s="72">
        <v>0</v>
      </c>
    </row>
    <row r="1069" spans="1:4" x14ac:dyDescent="0.2">
      <c r="A1069" s="71">
        <v>40859</v>
      </c>
      <c r="B1069" s="72">
        <v>0.25</v>
      </c>
      <c r="C1069" s="71">
        <v>40859</v>
      </c>
      <c r="D1069" s="72">
        <v>0</v>
      </c>
    </row>
    <row r="1070" spans="1:4" x14ac:dyDescent="0.2">
      <c r="A1070" s="71">
        <v>40860</v>
      </c>
      <c r="B1070" s="72">
        <v>0.25</v>
      </c>
      <c r="C1070" s="71">
        <v>40860</v>
      </c>
      <c r="D1070" s="72">
        <v>0</v>
      </c>
    </row>
    <row r="1071" spans="1:4" x14ac:dyDescent="0.2">
      <c r="A1071" s="71">
        <v>40861</v>
      </c>
      <c r="B1071" s="72">
        <v>0.25</v>
      </c>
      <c r="C1071" s="71">
        <v>40861</v>
      </c>
      <c r="D1071" s="72">
        <v>0</v>
      </c>
    </row>
    <row r="1072" spans="1:4" x14ac:dyDescent="0.2">
      <c r="A1072" s="71">
        <v>40862</v>
      </c>
      <c r="B1072" s="72">
        <v>0.25</v>
      </c>
      <c r="C1072" s="71">
        <v>40862</v>
      </c>
      <c r="D1072" s="72">
        <v>0</v>
      </c>
    </row>
    <row r="1073" spans="1:4" x14ac:dyDescent="0.2">
      <c r="A1073" s="71">
        <v>40863</v>
      </c>
      <c r="B1073" s="72">
        <v>0.25</v>
      </c>
      <c r="C1073" s="71">
        <v>40863</v>
      </c>
      <c r="D1073" s="72">
        <v>0</v>
      </c>
    </row>
    <row r="1074" spans="1:4" x14ac:dyDescent="0.2">
      <c r="A1074" s="71">
        <v>40864</v>
      </c>
      <c r="B1074" s="72">
        <v>0.25</v>
      </c>
      <c r="C1074" s="71">
        <v>40864</v>
      </c>
      <c r="D1074" s="72">
        <v>0</v>
      </c>
    </row>
    <row r="1075" spans="1:4" x14ac:dyDescent="0.2">
      <c r="A1075" s="71">
        <v>40865</v>
      </c>
      <c r="B1075" s="72">
        <v>0.25</v>
      </c>
      <c r="C1075" s="71">
        <v>40865</v>
      </c>
      <c r="D1075" s="72">
        <v>0</v>
      </c>
    </row>
    <row r="1076" spans="1:4" x14ac:dyDescent="0.2">
      <c r="A1076" s="71">
        <v>40866</v>
      </c>
      <c r="B1076" s="72">
        <v>0.25</v>
      </c>
      <c r="C1076" s="71">
        <v>40866</v>
      </c>
      <c r="D1076" s="72">
        <v>0</v>
      </c>
    </row>
    <row r="1077" spans="1:4" x14ac:dyDescent="0.2">
      <c r="A1077" s="71">
        <v>40867</v>
      </c>
      <c r="B1077" s="72">
        <v>0.25</v>
      </c>
      <c r="C1077" s="71">
        <v>40867</v>
      </c>
      <c r="D1077" s="72">
        <v>0</v>
      </c>
    </row>
    <row r="1078" spans="1:4" x14ac:dyDescent="0.2">
      <c r="A1078" s="71">
        <v>40868</v>
      </c>
      <c r="B1078" s="72">
        <v>0.25</v>
      </c>
      <c r="C1078" s="71">
        <v>40868</v>
      </c>
      <c r="D1078" s="72">
        <v>0</v>
      </c>
    </row>
    <row r="1079" spans="1:4" x14ac:dyDescent="0.2">
      <c r="A1079" s="71">
        <v>40869</v>
      </c>
      <c r="B1079" s="72">
        <v>0.25</v>
      </c>
      <c r="C1079" s="71">
        <v>40869</v>
      </c>
      <c r="D1079" s="72">
        <v>0</v>
      </c>
    </row>
    <row r="1080" spans="1:4" x14ac:dyDescent="0.2">
      <c r="A1080" s="71">
        <v>40870</v>
      </c>
      <c r="B1080" s="72">
        <v>0.25</v>
      </c>
      <c r="C1080" s="71">
        <v>40870</v>
      </c>
      <c r="D1080" s="72">
        <v>0</v>
      </c>
    </row>
    <row r="1081" spans="1:4" x14ac:dyDescent="0.2">
      <c r="A1081" s="71">
        <v>40871</v>
      </c>
      <c r="B1081" s="72">
        <v>0.25</v>
      </c>
      <c r="C1081" s="71">
        <v>40871</v>
      </c>
      <c r="D1081" s="72">
        <v>0</v>
      </c>
    </row>
    <row r="1082" spans="1:4" x14ac:dyDescent="0.2">
      <c r="A1082" s="71">
        <v>40872</v>
      </c>
      <c r="B1082" s="72">
        <v>0.25</v>
      </c>
      <c r="C1082" s="71">
        <v>40872</v>
      </c>
      <c r="D1082" s="72">
        <v>0</v>
      </c>
    </row>
    <row r="1083" spans="1:4" x14ac:dyDescent="0.2">
      <c r="A1083" s="71">
        <v>40873</v>
      </c>
      <c r="B1083" s="72">
        <v>0.25</v>
      </c>
      <c r="C1083" s="71">
        <v>40873</v>
      </c>
      <c r="D1083" s="72">
        <v>0</v>
      </c>
    </row>
    <row r="1084" spans="1:4" x14ac:dyDescent="0.2">
      <c r="A1084" s="71">
        <v>40874</v>
      </c>
      <c r="B1084" s="72">
        <v>0.25</v>
      </c>
      <c r="C1084" s="71">
        <v>40874</v>
      </c>
      <c r="D1084" s="72">
        <v>0</v>
      </c>
    </row>
    <row r="1085" spans="1:4" x14ac:dyDescent="0.2">
      <c r="A1085" s="71">
        <v>40875</v>
      </c>
      <c r="B1085" s="72">
        <v>0.25</v>
      </c>
      <c r="C1085" s="71">
        <v>40875</v>
      </c>
      <c r="D1085" s="72">
        <v>0</v>
      </c>
    </row>
    <row r="1086" spans="1:4" x14ac:dyDescent="0.2">
      <c r="A1086" s="71">
        <v>40876</v>
      </c>
      <c r="B1086" s="72">
        <v>0.25</v>
      </c>
      <c r="C1086" s="71">
        <v>40876</v>
      </c>
      <c r="D1086" s="72">
        <v>0</v>
      </c>
    </row>
    <row r="1087" spans="1:4" x14ac:dyDescent="0.2">
      <c r="A1087" s="71">
        <v>40877</v>
      </c>
      <c r="B1087" s="72">
        <v>0.25</v>
      </c>
      <c r="C1087" s="71">
        <v>40877</v>
      </c>
      <c r="D1087" s="72">
        <v>0</v>
      </c>
    </row>
    <row r="1088" spans="1:4" x14ac:dyDescent="0.2">
      <c r="A1088" s="71">
        <v>40878</v>
      </c>
      <c r="B1088" s="72">
        <v>0.25</v>
      </c>
      <c r="C1088" s="71">
        <v>40878</v>
      </c>
      <c r="D1088" s="72">
        <v>0</v>
      </c>
    </row>
    <row r="1089" spans="1:4" x14ac:dyDescent="0.2">
      <c r="A1089" s="71">
        <v>40879</v>
      </c>
      <c r="B1089" s="72">
        <v>0.25</v>
      </c>
      <c r="C1089" s="71">
        <v>40879</v>
      </c>
      <c r="D1089" s="72">
        <v>0</v>
      </c>
    </row>
    <row r="1090" spans="1:4" x14ac:dyDescent="0.2">
      <c r="A1090" s="71">
        <v>40880</v>
      </c>
      <c r="B1090" s="72">
        <v>0.25</v>
      </c>
      <c r="C1090" s="71">
        <v>40880</v>
      </c>
      <c r="D1090" s="72">
        <v>0</v>
      </c>
    </row>
    <row r="1091" spans="1:4" x14ac:dyDescent="0.2">
      <c r="A1091" s="71">
        <v>40881</v>
      </c>
      <c r="B1091" s="72">
        <v>0.25</v>
      </c>
      <c r="C1091" s="71">
        <v>40881</v>
      </c>
      <c r="D1091" s="72">
        <v>0</v>
      </c>
    </row>
    <row r="1092" spans="1:4" x14ac:dyDescent="0.2">
      <c r="A1092" s="71">
        <v>40882</v>
      </c>
      <c r="B1092" s="72">
        <v>0.25</v>
      </c>
      <c r="C1092" s="71">
        <v>40882</v>
      </c>
      <c r="D1092" s="72">
        <v>0</v>
      </c>
    </row>
    <row r="1093" spans="1:4" x14ac:dyDescent="0.2">
      <c r="A1093" s="71">
        <v>40883</v>
      </c>
      <c r="B1093" s="72">
        <v>0.25</v>
      </c>
      <c r="C1093" s="71">
        <v>40883</v>
      </c>
      <c r="D1093" s="72">
        <v>0</v>
      </c>
    </row>
    <row r="1094" spans="1:4" x14ac:dyDescent="0.2">
      <c r="A1094" s="71">
        <v>40884</v>
      </c>
      <c r="B1094" s="72">
        <v>0.25</v>
      </c>
      <c r="C1094" s="71">
        <v>40884</v>
      </c>
      <c r="D1094" s="72">
        <v>0</v>
      </c>
    </row>
    <row r="1095" spans="1:4" x14ac:dyDescent="0.2">
      <c r="A1095" s="71">
        <v>40885</v>
      </c>
      <c r="B1095" s="72">
        <v>0.25</v>
      </c>
      <c r="C1095" s="71">
        <v>40885</v>
      </c>
      <c r="D1095" s="72">
        <v>0</v>
      </c>
    </row>
    <row r="1096" spans="1:4" x14ac:dyDescent="0.2">
      <c r="A1096" s="71">
        <v>40886</v>
      </c>
      <c r="B1096" s="72">
        <v>0.25</v>
      </c>
      <c r="C1096" s="71">
        <v>40886</v>
      </c>
      <c r="D1096" s="72">
        <v>0</v>
      </c>
    </row>
    <row r="1097" spans="1:4" x14ac:dyDescent="0.2">
      <c r="A1097" s="71">
        <v>40887</v>
      </c>
      <c r="B1097" s="72">
        <v>0.25</v>
      </c>
      <c r="C1097" s="71">
        <v>40887</v>
      </c>
      <c r="D1097" s="72">
        <v>0</v>
      </c>
    </row>
    <row r="1098" spans="1:4" x14ac:dyDescent="0.2">
      <c r="A1098" s="71">
        <v>40888</v>
      </c>
      <c r="B1098" s="72">
        <v>0.25</v>
      </c>
      <c r="C1098" s="71">
        <v>40888</v>
      </c>
      <c r="D1098" s="72">
        <v>0</v>
      </c>
    </row>
    <row r="1099" spans="1:4" x14ac:dyDescent="0.2">
      <c r="A1099" s="71">
        <v>40889</v>
      </c>
      <c r="B1099" s="72">
        <v>0.25</v>
      </c>
      <c r="C1099" s="71">
        <v>40889</v>
      </c>
      <c r="D1099" s="72">
        <v>0</v>
      </c>
    </row>
    <row r="1100" spans="1:4" x14ac:dyDescent="0.2">
      <c r="A1100" s="71">
        <v>40890</v>
      </c>
      <c r="B1100" s="72">
        <v>0.25</v>
      </c>
      <c r="C1100" s="71">
        <v>40890</v>
      </c>
      <c r="D1100" s="72">
        <v>0</v>
      </c>
    </row>
    <row r="1101" spans="1:4" x14ac:dyDescent="0.2">
      <c r="A1101" s="71">
        <v>40891</v>
      </c>
      <c r="B1101" s="72">
        <v>0.25</v>
      </c>
      <c r="C1101" s="71">
        <v>40891</v>
      </c>
      <c r="D1101" s="72">
        <v>0</v>
      </c>
    </row>
    <row r="1102" spans="1:4" x14ac:dyDescent="0.2">
      <c r="A1102" s="71">
        <v>40892</v>
      </c>
      <c r="B1102" s="72">
        <v>0.25</v>
      </c>
      <c r="C1102" s="71">
        <v>40892</v>
      </c>
      <c r="D1102" s="72">
        <v>0</v>
      </c>
    </row>
    <row r="1103" spans="1:4" x14ac:dyDescent="0.2">
      <c r="A1103" s="71">
        <v>40893</v>
      </c>
      <c r="B1103" s="72">
        <v>0.25</v>
      </c>
      <c r="C1103" s="71">
        <v>40893</v>
      </c>
      <c r="D1103" s="72">
        <v>0</v>
      </c>
    </row>
    <row r="1104" spans="1:4" x14ac:dyDescent="0.2">
      <c r="A1104" s="71">
        <v>40894</v>
      </c>
      <c r="B1104" s="72">
        <v>0.25</v>
      </c>
      <c r="C1104" s="71">
        <v>40894</v>
      </c>
      <c r="D1104" s="72">
        <v>0</v>
      </c>
    </row>
    <row r="1105" spans="1:4" x14ac:dyDescent="0.2">
      <c r="A1105" s="71">
        <v>40895</v>
      </c>
      <c r="B1105" s="72">
        <v>0.25</v>
      </c>
      <c r="C1105" s="71">
        <v>40895</v>
      </c>
      <c r="D1105" s="72">
        <v>0</v>
      </c>
    </row>
    <row r="1106" spans="1:4" x14ac:dyDescent="0.2">
      <c r="A1106" s="71">
        <v>40896</v>
      </c>
      <c r="B1106" s="72">
        <v>0.25</v>
      </c>
      <c r="C1106" s="71">
        <v>40896</v>
      </c>
      <c r="D1106" s="72">
        <v>0</v>
      </c>
    </row>
    <row r="1107" spans="1:4" x14ac:dyDescent="0.2">
      <c r="A1107" s="71">
        <v>40897</v>
      </c>
      <c r="B1107" s="72">
        <v>0.25</v>
      </c>
      <c r="C1107" s="71">
        <v>40897</v>
      </c>
      <c r="D1107" s="72">
        <v>0</v>
      </c>
    </row>
    <row r="1108" spans="1:4" x14ac:dyDescent="0.2">
      <c r="A1108" s="71">
        <v>40898</v>
      </c>
      <c r="B1108" s="72">
        <v>0.25</v>
      </c>
      <c r="C1108" s="71">
        <v>40898</v>
      </c>
      <c r="D1108" s="72">
        <v>0</v>
      </c>
    </row>
    <row r="1109" spans="1:4" x14ac:dyDescent="0.2">
      <c r="A1109" s="71">
        <v>40899</v>
      </c>
      <c r="B1109" s="72">
        <v>0.25</v>
      </c>
      <c r="C1109" s="71">
        <v>40899</v>
      </c>
      <c r="D1109" s="72">
        <v>0</v>
      </c>
    </row>
    <row r="1110" spans="1:4" x14ac:dyDescent="0.2">
      <c r="A1110" s="71">
        <v>40900</v>
      </c>
      <c r="B1110" s="72">
        <v>0.25</v>
      </c>
      <c r="C1110" s="71">
        <v>40900</v>
      </c>
      <c r="D1110" s="72">
        <v>0</v>
      </c>
    </row>
    <row r="1111" spans="1:4" x14ac:dyDescent="0.2">
      <c r="A1111" s="71">
        <v>40901</v>
      </c>
      <c r="B1111" s="72">
        <v>0.25</v>
      </c>
      <c r="C1111" s="71">
        <v>40901</v>
      </c>
      <c r="D1111" s="72">
        <v>0</v>
      </c>
    </row>
    <row r="1112" spans="1:4" x14ac:dyDescent="0.2">
      <c r="A1112" s="71">
        <v>40902</v>
      </c>
      <c r="B1112" s="72">
        <v>0.25</v>
      </c>
      <c r="C1112" s="71">
        <v>40902</v>
      </c>
      <c r="D1112" s="72">
        <v>0</v>
      </c>
    </row>
    <row r="1113" spans="1:4" x14ac:dyDescent="0.2">
      <c r="A1113" s="71">
        <v>40903</v>
      </c>
      <c r="B1113" s="72">
        <v>0.25</v>
      </c>
      <c r="C1113" s="71">
        <v>40903</v>
      </c>
      <c r="D1113" s="72">
        <v>0</v>
      </c>
    </row>
    <row r="1114" spans="1:4" x14ac:dyDescent="0.2">
      <c r="A1114" s="71">
        <v>40904</v>
      </c>
      <c r="B1114" s="72">
        <v>0.25</v>
      </c>
      <c r="C1114" s="71">
        <v>40904</v>
      </c>
      <c r="D1114" s="72">
        <v>0</v>
      </c>
    </row>
    <row r="1115" spans="1:4" x14ac:dyDescent="0.2">
      <c r="A1115" s="71">
        <v>40905</v>
      </c>
      <c r="B1115" s="72">
        <v>0.25</v>
      </c>
      <c r="C1115" s="71">
        <v>40905</v>
      </c>
      <c r="D1115" s="72">
        <v>0</v>
      </c>
    </row>
    <row r="1116" spans="1:4" x14ac:dyDescent="0.2">
      <c r="A1116" s="71">
        <v>40906</v>
      </c>
      <c r="B1116" s="72">
        <v>0.25</v>
      </c>
      <c r="C1116" s="71">
        <v>40906</v>
      </c>
      <c r="D1116" s="72">
        <v>0</v>
      </c>
    </row>
    <row r="1117" spans="1:4" x14ac:dyDescent="0.2">
      <c r="A1117" s="71">
        <v>40907</v>
      </c>
      <c r="B1117" s="72">
        <v>0.25</v>
      </c>
      <c r="C1117" s="71">
        <v>40907</v>
      </c>
      <c r="D1117" s="72">
        <v>0</v>
      </c>
    </row>
    <row r="1118" spans="1:4" x14ac:dyDescent="0.2">
      <c r="A1118" s="71">
        <v>40908</v>
      </c>
      <c r="B1118" s="72">
        <v>0.25</v>
      </c>
      <c r="C1118" s="71">
        <v>40908</v>
      </c>
      <c r="D1118" s="72">
        <v>0</v>
      </c>
    </row>
    <row r="1119" spans="1:4" x14ac:dyDescent="0.2">
      <c r="A1119" s="71">
        <v>40909</v>
      </c>
      <c r="B1119" s="72">
        <v>0.25</v>
      </c>
      <c r="C1119" s="71">
        <v>40909</v>
      </c>
      <c r="D1119" s="72">
        <v>0</v>
      </c>
    </row>
    <row r="1120" spans="1:4" x14ac:dyDescent="0.2">
      <c r="A1120" s="71">
        <v>40910</v>
      </c>
      <c r="B1120" s="72">
        <v>0.25</v>
      </c>
      <c r="C1120" s="71">
        <v>40910</v>
      </c>
      <c r="D1120" s="72">
        <v>0</v>
      </c>
    </row>
    <row r="1121" spans="1:4" x14ac:dyDescent="0.2">
      <c r="A1121" s="71">
        <v>40911</v>
      </c>
      <c r="B1121" s="72">
        <v>0.25</v>
      </c>
      <c r="C1121" s="71">
        <v>40911</v>
      </c>
      <c r="D1121" s="72">
        <v>0</v>
      </c>
    </row>
    <row r="1122" spans="1:4" x14ac:dyDescent="0.2">
      <c r="A1122" s="71">
        <v>40912</v>
      </c>
      <c r="B1122" s="72">
        <v>0.25</v>
      </c>
      <c r="C1122" s="71">
        <v>40912</v>
      </c>
      <c r="D1122" s="72">
        <v>0</v>
      </c>
    </row>
    <row r="1123" spans="1:4" x14ac:dyDescent="0.2">
      <c r="A1123" s="71">
        <v>40913</v>
      </c>
      <c r="B1123" s="72">
        <v>0.25</v>
      </c>
      <c r="C1123" s="71">
        <v>40913</v>
      </c>
      <c r="D1123" s="72">
        <v>0</v>
      </c>
    </row>
    <row r="1124" spans="1:4" x14ac:dyDescent="0.2">
      <c r="A1124" s="71">
        <v>40914</v>
      </c>
      <c r="B1124" s="72">
        <v>0.25</v>
      </c>
      <c r="C1124" s="71">
        <v>40914</v>
      </c>
      <c r="D1124" s="72">
        <v>0</v>
      </c>
    </row>
    <row r="1125" spans="1:4" x14ac:dyDescent="0.2">
      <c r="A1125" s="71">
        <v>40915</v>
      </c>
      <c r="B1125" s="72">
        <v>0.25</v>
      </c>
      <c r="C1125" s="71">
        <v>40915</v>
      </c>
      <c r="D1125" s="72">
        <v>0</v>
      </c>
    </row>
    <row r="1126" spans="1:4" x14ac:dyDescent="0.2">
      <c r="A1126" s="71">
        <v>40916</v>
      </c>
      <c r="B1126" s="72">
        <v>0.25</v>
      </c>
      <c r="C1126" s="71">
        <v>40916</v>
      </c>
      <c r="D1126" s="72">
        <v>0</v>
      </c>
    </row>
    <row r="1127" spans="1:4" x14ac:dyDescent="0.2">
      <c r="A1127" s="71">
        <v>40917</v>
      </c>
      <c r="B1127" s="72">
        <v>0.25</v>
      </c>
      <c r="C1127" s="71">
        <v>40917</v>
      </c>
      <c r="D1127" s="72">
        <v>0</v>
      </c>
    </row>
    <row r="1128" spans="1:4" x14ac:dyDescent="0.2">
      <c r="A1128" s="71">
        <v>40918</v>
      </c>
      <c r="B1128" s="72">
        <v>0.25</v>
      </c>
      <c r="C1128" s="71">
        <v>40918</v>
      </c>
      <c r="D1128" s="72">
        <v>0</v>
      </c>
    </row>
    <row r="1129" spans="1:4" x14ac:dyDescent="0.2">
      <c r="A1129" s="71">
        <v>40919</v>
      </c>
      <c r="B1129" s="72">
        <v>0.25</v>
      </c>
      <c r="C1129" s="71">
        <v>40919</v>
      </c>
      <c r="D1129" s="72">
        <v>0</v>
      </c>
    </row>
    <row r="1130" spans="1:4" x14ac:dyDescent="0.2">
      <c r="A1130" s="71">
        <v>40920</v>
      </c>
      <c r="B1130" s="72">
        <v>0.25</v>
      </c>
      <c r="C1130" s="71">
        <v>40920</v>
      </c>
      <c r="D1130" s="72">
        <v>0</v>
      </c>
    </row>
    <row r="1131" spans="1:4" x14ac:dyDescent="0.2">
      <c r="A1131" s="71">
        <v>40921</v>
      </c>
      <c r="B1131" s="72">
        <v>0.25</v>
      </c>
      <c r="C1131" s="71">
        <v>40921</v>
      </c>
      <c r="D1131" s="72">
        <v>0</v>
      </c>
    </row>
    <row r="1132" spans="1:4" x14ac:dyDescent="0.2">
      <c r="A1132" s="71">
        <v>40922</v>
      </c>
      <c r="B1132" s="72">
        <v>0.25</v>
      </c>
      <c r="C1132" s="71">
        <v>40922</v>
      </c>
      <c r="D1132" s="72">
        <v>0</v>
      </c>
    </row>
    <row r="1133" spans="1:4" x14ac:dyDescent="0.2">
      <c r="A1133" s="71">
        <v>40923</v>
      </c>
      <c r="B1133" s="72">
        <v>0.25</v>
      </c>
      <c r="C1133" s="71">
        <v>40923</v>
      </c>
      <c r="D1133" s="72">
        <v>0</v>
      </c>
    </row>
    <row r="1134" spans="1:4" x14ac:dyDescent="0.2">
      <c r="A1134" s="71">
        <v>40924</v>
      </c>
      <c r="B1134" s="72">
        <v>0.25</v>
      </c>
      <c r="C1134" s="71">
        <v>40924</v>
      </c>
      <c r="D1134" s="72">
        <v>0</v>
      </c>
    </row>
    <row r="1135" spans="1:4" x14ac:dyDescent="0.2">
      <c r="A1135" s="71">
        <v>40925</v>
      </c>
      <c r="B1135" s="72">
        <v>0.25</v>
      </c>
      <c r="C1135" s="71">
        <v>40925</v>
      </c>
      <c r="D1135" s="72">
        <v>0</v>
      </c>
    </row>
    <row r="1136" spans="1:4" x14ac:dyDescent="0.2">
      <c r="A1136" s="71">
        <v>40926</v>
      </c>
      <c r="B1136" s="72">
        <v>0.25</v>
      </c>
      <c r="C1136" s="71">
        <v>40926</v>
      </c>
      <c r="D1136" s="72">
        <v>0</v>
      </c>
    </row>
    <row r="1137" spans="1:4" x14ac:dyDescent="0.2">
      <c r="A1137" s="71">
        <v>40927</v>
      </c>
      <c r="B1137" s="72">
        <v>0.25</v>
      </c>
      <c r="C1137" s="71">
        <v>40927</v>
      </c>
      <c r="D1137" s="72">
        <v>0</v>
      </c>
    </row>
    <row r="1138" spans="1:4" x14ac:dyDescent="0.2">
      <c r="A1138" s="71">
        <v>40928</v>
      </c>
      <c r="B1138" s="72">
        <v>0.25</v>
      </c>
      <c r="C1138" s="71">
        <v>40928</v>
      </c>
      <c r="D1138" s="72">
        <v>0</v>
      </c>
    </row>
    <row r="1139" spans="1:4" x14ac:dyDescent="0.2">
      <c r="A1139" s="71">
        <v>40929</v>
      </c>
      <c r="B1139" s="72">
        <v>0.25</v>
      </c>
      <c r="C1139" s="71">
        <v>40929</v>
      </c>
      <c r="D1139" s="72">
        <v>0</v>
      </c>
    </row>
    <row r="1140" spans="1:4" x14ac:dyDescent="0.2">
      <c r="A1140" s="71">
        <v>40930</v>
      </c>
      <c r="B1140" s="72">
        <v>0.25</v>
      </c>
      <c r="C1140" s="71">
        <v>40930</v>
      </c>
      <c r="D1140" s="72">
        <v>0</v>
      </c>
    </row>
    <row r="1141" spans="1:4" x14ac:dyDescent="0.2">
      <c r="A1141" s="71">
        <v>40931</v>
      </c>
      <c r="B1141" s="72">
        <v>0.25</v>
      </c>
      <c r="C1141" s="71">
        <v>40931</v>
      </c>
      <c r="D1141" s="72">
        <v>0</v>
      </c>
    </row>
    <row r="1142" spans="1:4" x14ac:dyDescent="0.2">
      <c r="A1142" s="71">
        <v>40932</v>
      </c>
      <c r="B1142" s="72">
        <v>0.25</v>
      </c>
      <c r="C1142" s="71">
        <v>40932</v>
      </c>
      <c r="D1142" s="72">
        <v>0</v>
      </c>
    </row>
    <row r="1143" spans="1:4" x14ac:dyDescent="0.2">
      <c r="A1143" s="71">
        <v>40933</v>
      </c>
      <c r="B1143" s="72">
        <v>0.25</v>
      </c>
      <c r="C1143" s="71">
        <v>40933</v>
      </c>
      <c r="D1143" s="72">
        <v>0</v>
      </c>
    </row>
    <row r="1144" spans="1:4" x14ac:dyDescent="0.2">
      <c r="A1144" s="71">
        <v>40934</v>
      </c>
      <c r="B1144" s="72">
        <v>0.25</v>
      </c>
      <c r="C1144" s="71">
        <v>40934</v>
      </c>
      <c r="D1144" s="72">
        <v>0</v>
      </c>
    </row>
    <row r="1145" spans="1:4" x14ac:dyDescent="0.2">
      <c r="A1145" s="71">
        <v>40935</v>
      </c>
      <c r="B1145" s="72">
        <v>0.25</v>
      </c>
      <c r="C1145" s="71">
        <v>40935</v>
      </c>
      <c r="D1145" s="72">
        <v>0</v>
      </c>
    </row>
    <row r="1146" spans="1:4" x14ac:dyDescent="0.2">
      <c r="A1146" s="71">
        <v>40936</v>
      </c>
      <c r="B1146" s="72">
        <v>0.25</v>
      </c>
      <c r="C1146" s="71">
        <v>40936</v>
      </c>
      <c r="D1146" s="72">
        <v>0</v>
      </c>
    </row>
    <row r="1147" spans="1:4" x14ac:dyDescent="0.2">
      <c r="A1147" s="71">
        <v>40937</v>
      </c>
      <c r="B1147" s="72">
        <v>0.25</v>
      </c>
      <c r="C1147" s="71">
        <v>40937</v>
      </c>
      <c r="D1147" s="72">
        <v>0</v>
      </c>
    </row>
    <row r="1148" spans="1:4" x14ac:dyDescent="0.2">
      <c r="A1148" s="71">
        <v>40938</v>
      </c>
      <c r="B1148" s="72">
        <v>0.25</v>
      </c>
      <c r="C1148" s="71">
        <v>40938</v>
      </c>
      <c r="D1148" s="72">
        <v>0</v>
      </c>
    </row>
    <row r="1149" spans="1:4" x14ac:dyDescent="0.2">
      <c r="A1149" s="71">
        <v>40939</v>
      </c>
      <c r="B1149" s="72">
        <v>0.25</v>
      </c>
      <c r="C1149" s="71">
        <v>40939</v>
      </c>
      <c r="D1149" s="72">
        <v>0</v>
      </c>
    </row>
    <row r="1150" spans="1:4" x14ac:dyDescent="0.2">
      <c r="A1150" s="71">
        <v>40940</v>
      </c>
      <c r="B1150" s="72">
        <v>0.25</v>
      </c>
      <c r="C1150" s="71">
        <v>40940</v>
      </c>
      <c r="D1150" s="72">
        <v>0</v>
      </c>
    </row>
    <row r="1151" spans="1:4" x14ac:dyDescent="0.2">
      <c r="A1151" s="71">
        <v>40941</v>
      </c>
      <c r="B1151" s="72">
        <v>0.25</v>
      </c>
      <c r="C1151" s="71">
        <v>40941</v>
      </c>
      <c r="D1151" s="72">
        <v>0</v>
      </c>
    </row>
    <row r="1152" spans="1:4" x14ac:dyDescent="0.2">
      <c r="A1152" s="71">
        <v>40942</v>
      </c>
      <c r="B1152" s="72">
        <v>0.25</v>
      </c>
      <c r="C1152" s="71">
        <v>40942</v>
      </c>
      <c r="D1152" s="72">
        <v>0</v>
      </c>
    </row>
    <row r="1153" spans="1:4" x14ac:dyDescent="0.2">
      <c r="A1153" s="71">
        <v>40943</v>
      </c>
      <c r="B1153" s="72">
        <v>0.25</v>
      </c>
      <c r="C1153" s="71">
        <v>40943</v>
      </c>
      <c r="D1153" s="72">
        <v>0</v>
      </c>
    </row>
    <row r="1154" spans="1:4" x14ac:dyDescent="0.2">
      <c r="A1154" s="71">
        <v>40944</v>
      </c>
      <c r="B1154" s="72">
        <v>0.25</v>
      </c>
      <c r="C1154" s="71">
        <v>40944</v>
      </c>
      <c r="D1154" s="72">
        <v>0</v>
      </c>
    </row>
    <row r="1155" spans="1:4" x14ac:dyDescent="0.2">
      <c r="A1155" s="71">
        <v>40945</v>
      </c>
      <c r="B1155" s="72">
        <v>0.25</v>
      </c>
      <c r="C1155" s="71">
        <v>40945</v>
      </c>
      <c r="D1155" s="72">
        <v>0</v>
      </c>
    </row>
    <row r="1156" spans="1:4" x14ac:dyDescent="0.2">
      <c r="A1156" s="71">
        <v>40946</v>
      </c>
      <c r="B1156" s="72">
        <v>0.25</v>
      </c>
      <c r="C1156" s="71">
        <v>40946</v>
      </c>
      <c r="D1156" s="72">
        <v>0</v>
      </c>
    </row>
    <row r="1157" spans="1:4" x14ac:dyDescent="0.2">
      <c r="A1157" s="71">
        <v>40947</v>
      </c>
      <c r="B1157" s="72">
        <v>0.25</v>
      </c>
      <c r="C1157" s="71">
        <v>40947</v>
      </c>
      <c r="D1157" s="72">
        <v>0</v>
      </c>
    </row>
    <row r="1158" spans="1:4" x14ac:dyDescent="0.2">
      <c r="A1158" s="71">
        <v>40948</v>
      </c>
      <c r="B1158" s="72">
        <v>0.25</v>
      </c>
      <c r="C1158" s="71">
        <v>40948</v>
      </c>
      <c r="D1158" s="72">
        <v>0</v>
      </c>
    </row>
    <row r="1159" spans="1:4" x14ac:dyDescent="0.2">
      <c r="A1159" s="71">
        <v>40949</v>
      </c>
      <c r="B1159" s="72">
        <v>0.25</v>
      </c>
      <c r="C1159" s="71">
        <v>40949</v>
      </c>
      <c r="D1159" s="72">
        <v>0</v>
      </c>
    </row>
    <row r="1160" spans="1:4" x14ac:dyDescent="0.2">
      <c r="A1160" s="71">
        <v>40950</v>
      </c>
      <c r="B1160" s="72">
        <v>0.25</v>
      </c>
      <c r="C1160" s="71">
        <v>40950</v>
      </c>
      <c r="D1160" s="72">
        <v>0</v>
      </c>
    </row>
    <row r="1161" spans="1:4" x14ac:dyDescent="0.2">
      <c r="A1161" s="71">
        <v>40951</v>
      </c>
      <c r="B1161" s="72">
        <v>0.25</v>
      </c>
      <c r="C1161" s="71">
        <v>40951</v>
      </c>
      <c r="D1161" s="72">
        <v>0</v>
      </c>
    </row>
    <row r="1162" spans="1:4" x14ac:dyDescent="0.2">
      <c r="A1162" s="71">
        <v>40952</v>
      </c>
      <c r="B1162" s="72">
        <v>0.25</v>
      </c>
      <c r="C1162" s="71">
        <v>40952</v>
      </c>
      <c r="D1162" s="72">
        <v>0</v>
      </c>
    </row>
    <row r="1163" spans="1:4" x14ac:dyDescent="0.2">
      <c r="A1163" s="71">
        <v>40953</v>
      </c>
      <c r="B1163" s="72">
        <v>0.25</v>
      </c>
      <c r="C1163" s="71">
        <v>40953</v>
      </c>
      <c r="D1163" s="72">
        <v>0</v>
      </c>
    </row>
    <row r="1164" spans="1:4" x14ac:dyDescent="0.2">
      <c r="A1164" s="71">
        <v>40954</v>
      </c>
      <c r="B1164" s="72">
        <v>0.25</v>
      </c>
      <c r="C1164" s="71">
        <v>40954</v>
      </c>
      <c r="D1164" s="72">
        <v>0</v>
      </c>
    </row>
    <row r="1165" spans="1:4" x14ac:dyDescent="0.2">
      <c r="A1165" s="71">
        <v>40955</v>
      </c>
      <c r="B1165" s="72">
        <v>0.25</v>
      </c>
      <c r="C1165" s="71">
        <v>40955</v>
      </c>
      <c r="D1165" s="72">
        <v>0</v>
      </c>
    </row>
    <row r="1166" spans="1:4" x14ac:dyDescent="0.2">
      <c r="A1166" s="71">
        <v>40956</v>
      </c>
      <c r="B1166" s="72">
        <v>0.25</v>
      </c>
      <c r="C1166" s="71">
        <v>40956</v>
      </c>
      <c r="D1166" s="72">
        <v>0</v>
      </c>
    </row>
    <row r="1167" spans="1:4" x14ac:dyDescent="0.2">
      <c r="A1167" s="71">
        <v>40957</v>
      </c>
      <c r="B1167" s="72">
        <v>0.25</v>
      </c>
      <c r="C1167" s="71">
        <v>40957</v>
      </c>
      <c r="D1167" s="72">
        <v>0</v>
      </c>
    </row>
    <row r="1168" spans="1:4" x14ac:dyDescent="0.2">
      <c r="A1168" s="71">
        <v>40958</v>
      </c>
      <c r="B1168" s="72">
        <v>0.25</v>
      </c>
      <c r="C1168" s="71">
        <v>40958</v>
      </c>
      <c r="D1168" s="72">
        <v>0</v>
      </c>
    </row>
    <row r="1169" spans="1:4" x14ac:dyDescent="0.2">
      <c r="A1169" s="71">
        <v>40959</v>
      </c>
      <c r="B1169" s="72">
        <v>0.25</v>
      </c>
      <c r="C1169" s="71">
        <v>40959</v>
      </c>
      <c r="D1169" s="72">
        <v>0</v>
      </c>
    </row>
    <row r="1170" spans="1:4" x14ac:dyDescent="0.2">
      <c r="A1170" s="71">
        <v>40960</v>
      </c>
      <c r="B1170" s="72">
        <v>0.25</v>
      </c>
      <c r="C1170" s="71">
        <v>40960</v>
      </c>
      <c r="D1170" s="72">
        <v>0</v>
      </c>
    </row>
    <row r="1171" spans="1:4" x14ac:dyDescent="0.2">
      <c r="A1171" s="71">
        <v>40961</v>
      </c>
      <c r="B1171" s="72">
        <v>0.25</v>
      </c>
      <c r="C1171" s="71">
        <v>40961</v>
      </c>
      <c r="D1171" s="72">
        <v>0</v>
      </c>
    </row>
    <row r="1172" spans="1:4" x14ac:dyDescent="0.2">
      <c r="A1172" s="71">
        <v>40962</v>
      </c>
      <c r="B1172" s="72">
        <v>0.25</v>
      </c>
      <c r="C1172" s="71">
        <v>40962</v>
      </c>
      <c r="D1172" s="72">
        <v>0</v>
      </c>
    </row>
    <row r="1173" spans="1:4" x14ac:dyDescent="0.2">
      <c r="A1173" s="71">
        <v>40963</v>
      </c>
      <c r="B1173" s="72">
        <v>0.25</v>
      </c>
      <c r="C1173" s="71">
        <v>40963</v>
      </c>
      <c r="D1173" s="72">
        <v>0</v>
      </c>
    </row>
    <row r="1174" spans="1:4" x14ac:dyDescent="0.2">
      <c r="A1174" s="71">
        <v>40964</v>
      </c>
      <c r="B1174" s="72">
        <v>0.25</v>
      </c>
      <c r="C1174" s="71">
        <v>40964</v>
      </c>
      <c r="D1174" s="72">
        <v>0</v>
      </c>
    </row>
    <row r="1175" spans="1:4" x14ac:dyDescent="0.2">
      <c r="A1175" s="71">
        <v>40965</v>
      </c>
      <c r="B1175" s="72">
        <v>0.25</v>
      </c>
      <c r="C1175" s="71">
        <v>40965</v>
      </c>
      <c r="D1175" s="72">
        <v>0</v>
      </c>
    </row>
    <row r="1176" spans="1:4" x14ac:dyDescent="0.2">
      <c r="A1176" s="71">
        <v>40966</v>
      </c>
      <c r="B1176" s="72">
        <v>0.25</v>
      </c>
      <c r="C1176" s="71">
        <v>40966</v>
      </c>
      <c r="D1176" s="72">
        <v>0</v>
      </c>
    </row>
    <row r="1177" spans="1:4" x14ac:dyDescent="0.2">
      <c r="A1177" s="71">
        <v>40967</v>
      </c>
      <c r="B1177" s="72">
        <v>0.25</v>
      </c>
      <c r="C1177" s="71">
        <v>40967</v>
      </c>
      <c r="D1177" s="72">
        <v>0</v>
      </c>
    </row>
    <row r="1178" spans="1:4" x14ac:dyDescent="0.2">
      <c r="A1178" s="71">
        <v>40968</v>
      </c>
      <c r="B1178" s="72">
        <v>0.25</v>
      </c>
      <c r="C1178" s="71">
        <v>40968</v>
      </c>
      <c r="D1178" s="72">
        <v>0</v>
      </c>
    </row>
    <row r="1179" spans="1:4" x14ac:dyDescent="0.2">
      <c r="A1179" s="71">
        <v>40969</v>
      </c>
      <c r="B1179" s="72">
        <v>0.25</v>
      </c>
      <c r="C1179" s="71">
        <v>40969</v>
      </c>
      <c r="D1179" s="72">
        <v>0</v>
      </c>
    </row>
    <row r="1180" spans="1:4" x14ac:dyDescent="0.2">
      <c r="A1180" s="71">
        <v>40970</v>
      </c>
      <c r="B1180" s="72">
        <v>0.25</v>
      </c>
      <c r="C1180" s="71">
        <v>40970</v>
      </c>
      <c r="D1180" s="72">
        <v>0</v>
      </c>
    </row>
    <row r="1181" spans="1:4" x14ac:dyDescent="0.2">
      <c r="A1181" s="71">
        <v>40971</v>
      </c>
      <c r="B1181" s="72">
        <v>0.25</v>
      </c>
      <c r="C1181" s="71">
        <v>40971</v>
      </c>
      <c r="D1181" s="72">
        <v>0</v>
      </c>
    </row>
    <row r="1182" spans="1:4" x14ac:dyDescent="0.2">
      <c r="A1182" s="71">
        <v>40972</v>
      </c>
      <c r="B1182" s="72">
        <v>0.25</v>
      </c>
      <c r="C1182" s="71">
        <v>40972</v>
      </c>
      <c r="D1182" s="72">
        <v>0</v>
      </c>
    </row>
    <row r="1183" spans="1:4" x14ac:dyDescent="0.2">
      <c r="A1183" s="71">
        <v>40973</v>
      </c>
      <c r="B1183" s="72">
        <v>0.25</v>
      </c>
      <c r="C1183" s="71">
        <v>40973</v>
      </c>
      <c r="D1183" s="72">
        <v>0</v>
      </c>
    </row>
    <row r="1184" spans="1:4" x14ac:dyDescent="0.2">
      <c r="A1184" s="71">
        <v>40974</v>
      </c>
      <c r="B1184" s="72">
        <v>0.25</v>
      </c>
      <c r="C1184" s="71">
        <v>40974</v>
      </c>
      <c r="D1184" s="72">
        <v>0</v>
      </c>
    </row>
    <row r="1185" spans="1:4" x14ac:dyDescent="0.2">
      <c r="A1185" s="71">
        <v>40975</v>
      </c>
      <c r="B1185" s="72">
        <v>0.25</v>
      </c>
      <c r="C1185" s="71">
        <v>40975</v>
      </c>
      <c r="D1185" s="72">
        <v>0</v>
      </c>
    </row>
    <row r="1186" spans="1:4" x14ac:dyDescent="0.2">
      <c r="A1186" s="71">
        <v>40976</v>
      </c>
      <c r="B1186" s="72">
        <v>0.25</v>
      </c>
      <c r="C1186" s="71">
        <v>40976</v>
      </c>
      <c r="D1186" s="72">
        <v>0</v>
      </c>
    </row>
    <row r="1187" spans="1:4" x14ac:dyDescent="0.2">
      <c r="A1187" s="71">
        <v>40977</v>
      </c>
      <c r="B1187" s="72">
        <v>0.25</v>
      </c>
      <c r="C1187" s="71">
        <v>40977</v>
      </c>
      <c r="D1187" s="72">
        <v>0</v>
      </c>
    </row>
    <row r="1188" spans="1:4" x14ac:dyDescent="0.2">
      <c r="A1188" s="71">
        <v>40978</v>
      </c>
      <c r="B1188" s="72">
        <v>0.25</v>
      </c>
      <c r="C1188" s="71">
        <v>40978</v>
      </c>
      <c r="D1188" s="72">
        <v>0</v>
      </c>
    </row>
    <row r="1189" spans="1:4" x14ac:dyDescent="0.2">
      <c r="A1189" s="71">
        <v>40979</v>
      </c>
      <c r="B1189" s="72">
        <v>0.25</v>
      </c>
      <c r="C1189" s="71">
        <v>40979</v>
      </c>
      <c r="D1189" s="72">
        <v>0</v>
      </c>
    </row>
    <row r="1190" spans="1:4" x14ac:dyDescent="0.2">
      <c r="A1190" s="71">
        <v>40980</v>
      </c>
      <c r="B1190" s="72">
        <v>0.25</v>
      </c>
      <c r="C1190" s="71">
        <v>40980</v>
      </c>
      <c r="D1190" s="72">
        <v>0</v>
      </c>
    </row>
    <row r="1191" spans="1:4" x14ac:dyDescent="0.2">
      <c r="A1191" s="71">
        <v>40981</v>
      </c>
      <c r="B1191" s="72">
        <v>0.25</v>
      </c>
      <c r="C1191" s="71">
        <v>40981</v>
      </c>
      <c r="D1191" s="72">
        <v>0</v>
      </c>
    </row>
    <row r="1192" spans="1:4" x14ac:dyDescent="0.2">
      <c r="A1192" s="71">
        <v>40982</v>
      </c>
      <c r="B1192" s="72">
        <v>0.25</v>
      </c>
      <c r="C1192" s="71">
        <v>40982</v>
      </c>
      <c r="D1192" s="72">
        <v>0</v>
      </c>
    </row>
    <row r="1193" spans="1:4" x14ac:dyDescent="0.2">
      <c r="A1193" s="71">
        <v>40983</v>
      </c>
      <c r="B1193" s="72">
        <v>0.25</v>
      </c>
      <c r="C1193" s="71">
        <v>40983</v>
      </c>
      <c r="D1193" s="72">
        <v>0</v>
      </c>
    </row>
    <row r="1194" spans="1:4" x14ac:dyDescent="0.2">
      <c r="A1194" s="71">
        <v>40984</v>
      </c>
      <c r="B1194" s="72">
        <v>0.25</v>
      </c>
      <c r="C1194" s="71">
        <v>40984</v>
      </c>
      <c r="D1194" s="72">
        <v>0</v>
      </c>
    </row>
    <row r="1195" spans="1:4" x14ac:dyDescent="0.2">
      <c r="A1195" s="71">
        <v>40985</v>
      </c>
      <c r="B1195" s="72">
        <v>0.25</v>
      </c>
      <c r="C1195" s="71">
        <v>40985</v>
      </c>
      <c r="D1195" s="72">
        <v>0</v>
      </c>
    </row>
    <row r="1196" spans="1:4" x14ac:dyDescent="0.2">
      <c r="A1196" s="71">
        <v>40986</v>
      </c>
      <c r="B1196" s="72">
        <v>0.25</v>
      </c>
      <c r="C1196" s="71">
        <v>40986</v>
      </c>
      <c r="D1196" s="72">
        <v>0</v>
      </c>
    </row>
    <row r="1197" spans="1:4" x14ac:dyDescent="0.2">
      <c r="A1197" s="71">
        <v>40987</v>
      </c>
      <c r="B1197" s="72">
        <v>0.25</v>
      </c>
      <c r="C1197" s="71">
        <v>40987</v>
      </c>
      <c r="D1197" s="72">
        <v>0</v>
      </c>
    </row>
    <row r="1198" spans="1:4" x14ac:dyDescent="0.2">
      <c r="A1198" s="71">
        <v>40988</v>
      </c>
      <c r="B1198" s="72">
        <v>0.25</v>
      </c>
      <c r="C1198" s="71">
        <v>40988</v>
      </c>
      <c r="D1198" s="72">
        <v>0</v>
      </c>
    </row>
    <row r="1199" spans="1:4" x14ac:dyDescent="0.2">
      <c r="A1199" s="71">
        <v>40989</v>
      </c>
      <c r="B1199" s="72">
        <v>0.25</v>
      </c>
      <c r="C1199" s="71">
        <v>40989</v>
      </c>
      <c r="D1199" s="72">
        <v>0</v>
      </c>
    </row>
    <row r="1200" spans="1:4" x14ac:dyDescent="0.2">
      <c r="A1200" s="71">
        <v>40990</v>
      </c>
      <c r="B1200" s="72">
        <v>0.25</v>
      </c>
      <c r="C1200" s="71">
        <v>40990</v>
      </c>
      <c r="D1200" s="72">
        <v>0</v>
      </c>
    </row>
    <row r="1201" spans="1:4" x14ac:dyDescent="0.2">
      <c r="A1201" s="71">
        <v>40991</v>
      </c>
      <c r="B1201" s="72">
        <v>0.25</v>
      </c>
      <c r="C1201" s="71">
        <v>40991</v>
      </c>
      <c r="D1201" s="72">
        <v>0</v>
      </c>
    </row>
    <row r="1202" spans="1:4" x14ac:dyDescent="0.2">
      <c r="A1202" s="71">
        <v>40992</v>
      </c>
      <c r="B1202" s="72">
        <v>0.25</v>
      </c>
      <c r="C1202" s="71">
        <v>40992</v>
      </c>
      <c r="D1202" s="72">
        <v>0</v>
      </c>
    </row>
    <row r="1203" spans="1:4" x14ac:dyDescent="0.2">
      <c r="A1203" s="71">
        <v>40993</v>
      </c>
      <c r="B1203" s="72">
        <v>0.25</v>
      </c>
      <c r="C1203" s="71">
        <v>40993</v>
      </c>
      <c r="D1203" s="72">
        <v>0</v>
      </c>
    </row>
    <row r="1204" spans="1:4" x14ac:dyDescent="0.2">
      <c r="A1204" s="71">
        <v>40994</v>
      </c>
      <c r="B1204" s="72">
        <v>0.25</v>
      </c>
      <c r="C1204" s="71">
        <v>40994</v>
      </c>
      <c r="D1204" s="72">
        <v>0</v>
      </c>
    </row>
    <row r="1205" spans="1:4" x14ac:dyDescent="0.2">
      <c r="A1205" s="71">
        <v>40995</v>
      </c>
      <c r="B1205" s="72">
        <v>0.25</v>
      </c>
      <c r="C1205" s="71">
        <v>40995</v>
      </c>
      <c r="D1205" s="72">
        <v>0</v>
      </c>
    </row>
    <row r="1206" spans="1:4" x14ac:dyDescent="0.2">
      <c r="A1206" s="71">
        <v>40996</v>
      </c>
      <c r="B1206" s="72">
        <v>0.25</v>
      </c>
      <c r="C1206" s="71">
        <v>40996</v>
      </c>
      <c r="D1206" s="72">
        <v>0</v>
      </c>
    </row>
    <row r="1207" spans="1:4" x14ac:dyDescent="0.2">
      <c r="A1207" s="71">
        <v>40997</v>
      </c>
      <c r="B1207" s="72">
        <v>0.25</v>
      </c>
      <c r="C1207" s="71">
        <v>40997</v>
      </c>
      <c r="D1207" s="72">
        <v>0</v>
      </c>
    </row>
    <row r="1208" spans="1:4" x14ac:dyDescent="0.2">
      <c r="A1208" s="71">
        <v>40998</v>
      </c>
      <c r="B1208" s="72">
        <v>0.25</v>
      </c>
      <c r="C1208" s="71">
        <v>40998</v>
      </c>
      <c r="D1208" s="72">
        <v>0</v>
      </c>
    </row>
    <row r="1209" spans="1:4" x14ac:dyDescent="0.2">
      <c r="A1209" s="71">
        <v>40999</v>
      </c>
      <c r="B1209" s="72">
        <v>0.25</v>
      </c>
      <c r="C1209" s="71">
        <v>40999</v>
      </c>
      <c r="D1209" s="72">
        <v>0</v>
      </c>
    </row>
    <row r="1210" spans="1:4" x14ac:dyDescent="0.2">
      <c r="A1210" s="71">
        <v>41000</v>
      </c>
      <c r="B1210" s="72">
        <v>0.25</v>
      </c>
      <c r="C1210" s="71">
        <v>41000</v>
      </c>
      <c r="D1210" s="72">
        <v>0</v>
      </c>
    </row>
    <row r="1211" spans="1:4" x14ac:dyDescent="0.2">
      <c r="A1211" s="71">
        <v>41001</v>
      </c>
      <c r="B1211" s="72">
        <v>0.25</v>
      </c>
      <c r="C1211" s="71">
        <v>41001</v>
      </c>
      <c r="D1211" s="72">
        <v>0</v>
      </c>
    </row>
    <row r="1212" spans="1:4" x14ac:dyDescent="0.2">
      <c r="A1212" s="71">
        <v>41002</v>
      </c>
      <c r="B1212" s="72">
        <v>0.25</v>
      </c>
      <c r="C1212" s="71">
        <v>41002</v>
      </c>
      <c r="D1212" s="72">
        <v>0</v>
      </c>
    </row>
    <row r="1213" spans="1:4" x14ac:dyDescent="0.2">
      <c r="A1213" s="71">
        <v>41003</v>
      </c>
      <c r="B1213" s="72">
        <v>0.25</v>
      </c>
      <c r="C1213" s="71">
        <v>41003</v>
      </c>
      <c r="D1213" s="72">
        <v>0</v>
      </c>
    </row>
    <row r="1214" spans="1:4" x14ac:dyDescent="0.2">
      <c r="A1214" s="71">
        <v>41004</v>
      </c>
      <c r="B1214" s="72">
        <v>0.25</v>
      </c>
      <c r="C1214" s="71">
        <v>41004</v>
      </c>
      <c r="D1214" s="72">
        <v>0</v>
      </c>
    </row>
    <row r="1215" spans="1:4" x14ac:dyDescent="0.2">
      <c r="A1215" s="71">
        <v>41005</v>
      </c>
      <c r="B1215" s="72">
        <v>0.25</v>
      </c>
      <c r="C1215" s="71">
        <v>41005</v>
      </c>
      <c r="D1215" s="72">
        <v>0</v>
      </c>
    </row>
    <row r="1216" spans="1:4" x14ac:dyDescent="0.2">
      <c r="A1216" s="71">
        <v>41006</v>
      </c>
      <c r="B1216" s="72">
        <v>0.25</v>
      </c>
      <c r="C1216" s="71">
        <v>41006</v>
      </c>
      <c r="D1216" s="72">
        <v>0</v>
      </c>
    </row>
    <row r="1217" spans="1:4" x14ac:dyDescent="0.2">
      <c r="A1217" s="71">
        <v>41007</v>
      </c>
      <c r="B1217" s="72">
        <v>0.25</v>
      </c>
      <c r="C1217" s="71">
        <v>41007</v>
      </c>
      <c r="D1217" s="72">
        <v>0</v>
      </c>
    </row>
    <row r="1218" spans="1:4" x14ac:dyDescent="0.2">
      <c r="A1218" s="71">
        <v>41008</v>
      </c>
      <c r="B1218" s="72">
        <v>0.25</v>
      </c>
      <c r="C1218" s="71">
        <v>41008</v>
      </c>
      <c r="D1218" s="72">
        <v>0</v>
      </c>
    </row>
    <row r="1219" spans="1:4" x14ac:dyDescent="0.2">
      <c r="A1219" s="71">
        <v>41009</v>
      </c>
      <c r="B1219" s="72">
        <v>0.25</v>
      </c>
      <c r="C1219" s="71">
        <v>41009</v>
      </c>
      <c r="D1219" s="72">
        <v>0</v>
      </c>
    </row>
    <row r="1220" spans="1:4" x14ac:dyDescent="0.2">
      <c r="A1220" s="71">
        <v>41010</v>
      </c>
      <c r="B1220" s="72">
        <v>0.25</v>
      </c>
      <c r="C1220" s="71">
        <v>41010</v>
      </c>
      <c r="D1220" s="72">
        <v>0</v>
      </c>
    </row>
    <row r="1221" spans="1:4" x14ac:dyDescent="0.2">
      <c r="A1221" s="71">
        <v>41011</v>
      </c>
      <c r="B1221" s="72">
        <v>0.25</v>
      </c>
      <c r="C1221" s="71">
        <v>41011</v>
      </c>
      <c r="D1221" s="72">
        <v>0</v>
      </c>
    </row>
    <row r="1222" spans="1:4" x14ac:dyDescent="0.2">
      <c r="A1222" s="71">
        <v>41012</v>
      </c>
      <c r="B1222" s="72">
        <v>0.25</v>
      </c>
      <c r="C1222" s="71">
        <v>41012</v>
      </c>
      <c r="D1222" s="72">
        <v>0</v>
      </c>
    </row>
    <row r="1223" spans="1:4" x14ac:dyDescent="0.2">
      <c r="A1223" s="71">
        <v>41013</v>
      </c>
      <c r="B1223" s="72">
        <v>0.25</v>
      </c>
      <c r="C1223" s="71">
        <v>41013</v>
      </c>
      <c r="D1223" s="72">
        <v>0</v>
      </c>
    </row>
    <row r="1224" spans="1:4" x14ac:dyDescent="0.2">
      <c r="A1224" s="71">
        <v>41014</v>
      </c>
      <c r="B1224" s="72">
        <v>0.25</v>
      </c>
      <c r="C1224" s="71">
        <v>41014</v>
      </c>
      <c r="D1224" s="72">
        <v>0</v>
      </c>
    </row>
    <row r="1225" spans="1:4" x14ac:dyDescent="0.2">
      <c r="A1225" s="71">
        <v>41015</v>
      </c>
      <c r="B1225" s="72">
        <v>0.25</v>
      </c>
      <c r="C1225" s="71">
        <v>41015</v>
      </c>
      <c r="D1225" s="72">
        <v>0</v>
      </c>
    </row>
    <row r="1226" spans="1:4" x14ac:dyDescent="0.2">
      <c r="A1226" s="71">
        <v>41016</v>
      </c>
      <c r="B1226" s="72">
        <v>0.25</v>
      </c>
      <c r="C1226" s="71">
        <v>41016</v>
      </c>
      <c r="D1226" s="72">
        <v>0</v>
      </c>
    </row>
    <row r="1227" spans="1:4" x14ac:dyDescent="0.2">
      <c r="A1227" s="71">
        <v>41017</v>
      </c>
      <c r="B1227" s="72">
        <v>0.25</v>
      </c>
      <c r="C1227" s="71">
        <v>41017</v>
      </c>
      <c r="D1227" s="72">
        <v>0</v>
      </c>
    </row>
    <row r="1228" spans="1:4" x14ac:dyDescent="0.2">
      <c r="A1228" s="71">
        <v>41018</v>
      </c>
      <c r="B1228" s="72">
        <v>0.25</v>
      </c>
      <c r="C1228" s="71">
        <v>41018</v>
      </c>
      <c r="D1228" s="72">
        <v>0</v>
      </c>
    </row>
    <row r="1229" spans="1:4" x14ac:dyDescent="0.2">
      <c r="A1229" s="71">
        <v>41019</v>
      </c>
      <c r="B1229" s="72">
        <v>0.25</v>
      </c>
      <c r="C1229" s="71">
        <v>41019</v>
      </c>
      <c r="D1229" s="72">
        <v>0</v>
      </c>
    </row>
    <row r="1230" spans="1:4" x14ac:dyDescent="0.2">
      <c r="A1230" s="71">
        <v>41020</v>
      </c>
      <c r="B1230" s="72">
        <v>0.25</v>
      </c>
      <c r="C1230" s="71">
        <v>41020</v>
      </c>
      <c r="D1230" s="72">
        <v>0</v>
      </c>
    </row>
    <row r="1231" spans="1:4" x14ac:dyDescent="0.2">
      <c r="A1231" s="71">
        <v>41021</v>
      </c>
      <c r="B1231" s="72">
        <v>0.25</v>
      </c>
      <c r="C1231" s="71">
        <v>41021</v>
      </c>
      <c r="D1231" s="72">
        <v>0</v>
      </c>
    </row>
    <row r="1232" spans="1:4" x14ac:dyDescent="0.2">
      <c r="A1232" s="71">
        <v>41022</v>
      </c>
      <c r="B1232" s="72">
        <v>0.25</v>
      </c>
      <c r="C1232" s="71">
        <v>41022</v>
      </c>
      <c r="D1232" s="72">
        <v>0</v>
      </c>
    </row>
    <row r="1233" spans="1:4" x14ac:dyDescent="0.2">
      <c r="A1233" s="71">
        <v>41023</v>
      </c>
      <c r="B1233" s="72">
        <v>0.25</v>
      </c>
      <c r="C1233" s="71">
        <v>41023</v>
      </c>
      <c r="D1233" s="72">
        <v>0</v>
      </c>
    </row>
    <row r="1234" spans="1:4" x14ac:dyDescent="0.2">
      <c r="A1234" s="71">
        <v>41024</v>
      </c>
      <c r="B1234" s="72">
        <v>0.25</v>
      </c>
      <c r="C1234" s="71">
        <v>41024</v>
      </c>
      <c r="D1234" s="72">
        <v>0</v>
      </c>
    </row>
    <row r="1235" spans="1:4" x14ac:dyDescent="0.2">
      <c r="A1235" s="71">
        <v>41025</v>
      </c>
      <c r="B1235" s="72">
        <v>0.25</v>
      </c>
      <c r="C1235" s="71">
        <v>41025</v>
      </c>
      <c r="D1235" s="72">
        <v>0</v>
      </c>
    </row>
    <row r="1236" spans="1:4" x14ac:dyDescent="0.2">
      <c r="A1236" s="71">
        <v>41026</v>
      </c>
      <c r="B1236" s="72">
        <v>0.25</v>
      </c>
      <c r="C1236" s="71">
        <v>41026</v>
      </c>
      <c r="D1236" s="72">
        <v>0</v>
      </c>
    </row>
    <row r="1237" spans="1:4" x14ac:dyDescent="0.2">
      <c r="A1237" s="71">
        <v>41027</v>
      </c>
      <c r="B1237" s="72">
        <v>0.25</v>
      </c>
      <c r="C1237" s="71">
        <v>41027</v>
      </c>
      <c r="D1237" s="72">
        <v>0</v>
      </c>
    </row>
    <row r="1238" spans="1:4" x14ac:dyDescent="0.2">
      <c r="A1238" s="71">
        <v>41028</v>
      </c>
      <c r="B1238" s="72">
        <v>0.25</v>
      </c>
      <c r="C1238" s="71">
        <v>41028</v>
      </c>
      <c r="D1238" s="72">
        <v>0</v>
      </c>
    </row>
    <row r="1239" spans="1:4" x14ac:dyDescent="0.2">
      <c r="A1239" s="71">
        <v>41029</v>
      </c>
      <c r="B1239" s="72">
        <v>0.25</v>
      </c>
      <c r="C1239" s="71">
        <v>41029</v>
      </c>
      <c r="D1239" s="72">
        <v>0</v>
      </c>
    </row>
    <row r="1240" spans="1:4" x14ac:dyDescent="0.2">
      <c r="A1240" s="71">
        <v>41030</v>
      </c>
      <c r="B1240" s="72">
        <v>0.25</v>
      </c>
      <c r="C1240" s="71">
        <v>41030</v>
      </c>
      <c r="D1240" s="72">
        <v>0</v>
      </c>
    </row>
    <row r="1241" spans="1:4" x14ac:dyDescent="0.2">
      <c r="A1241" s="71">
        <v>41031</v>
      </c>
      <c r="B1241" s="72">
        <v>0.25</v>
      </c>
      <c r="C1241" s="71">
        <v>41031</v>
      </c>
      <c r="D1241" s="72">
        <v>0</v>
      </c>
    </row>
    <row r="1242" spans="1:4" x14ac:dyDescent="0.2">
      <c r="A1242" s="71">
        <v>41032</v>
      </c>
      <c r="B1242" s="72">
        <v>0.25</v>
      </c>
      <c r="C1242" s="71">
        <v>41032</v>
      </c>
      <c r="D1242" s="72">
        <v>0</v>
      </c>
    </row>
    <row r="1243" spans="1:4" x14ac:dyDescent="0.2">
      <c r="A1243" s="71">
        <v>41033</v>
      </c>
      <c r="B1243" s="72">
        <v>0.25</v>
      </c>
      <c r="C1243" s="71">
        <v>41033</v>
      </c>
      <c r="D1243" s="72">
        <v>0</v>
      </c>
    </row>
    <row r="1244" spans="1:4" x14ac:dyDescent="0.2">
      <c r="A1244" s="71">
        <v>41034</v>
      </c>
      <c r="B1244" s="72">
        <v>0.25</v>
      </c>
      <c r="C1244" s="71">
        <v>41034</v>
      </c>
      <c r="D1244" s="72">
        <v>0</v>
      </c>
    </row>
    <row r="1245" spans="1:4" x14ac:dyDescent="0.2">
      <c r="A1245" s="71">
        <v>41035</v>
      </c>
      <c r="B1245" s="72">
        <v>0.25</v>
      </c>
      <c r="C1245" s="71">
        <v>41035</v>
      </c>
      <c r="D1245" s="72">
        <v>0</v>
      </c>
    </row>
    <row r="1246" spans="1:4" x14ac:dyDescent="0.2">
      <c r="A1246" s="71">
        <v>41036</v>
      </c>
      <c r="B1246" s="72">
        <v>0.25</v>
      </c>
      <c r="C1246" s="71">
        <v>41036</v>
      </c>
      <c r="D1246" s="72">
        <v>0</v>
      </c>
    </row>
    <row r="1247" spans="1:4" x14ac:dyDescent="0.2">
      <c r="A1247" s="71">
        <v>41037</v>
      </c>
      <c r="B1247" s="72">
        <v>0.25</v>
      </c>
      <c r="C1247" s="71">
        <v>41037</v>
      </c>
      <c r="D1247" s="72">
        <v>0</v>
      </c>
    </row>
    <row r="1248" spans="1:4" x14ac:dyDescent="0.2">
      <c r="A1248" s="71">
        <v>41038</v>
      </c>
      <c r="B1248" s="72">
        <v>0.25</v>
      </c>
      <c r="C1248" s="71">
        <v>41038</v>
      </c>
      <c r="D1248" s="72">
        <v>0</v>
      </c>
    </row>
    <row r="1249" spans="1:4" x14ac:dyDescent="0.2">
      <c r="A1249" s="71">
        <v>41039</v>
      </c>
      <c r="B1249" s="72">
        <v>0.25</v>
      </c>
      <c r="C1249" s="71">
        <v>41039</v>
      </c>
      <c r="D1249" s="72">
        <v>0</v>
      </c>
    </row>
    <row r="1250" spans="1:4" x14ac:dyDescent="0.2">
      <c r="A1250" s="71">
        <v>41040</v>
      </c>
      <c r="B1250" s="72">
        <v>0.25</v>
      </c>
      <c r="C1250" s="71">
        <v>41040</v>
      </c>
      <c r="D1250" s="72">
        <v>0</v>
      </c>
    </row>
    <row r="1251" spans="1:4" x14ac:dyDescent="0.2">
      <c r="A1251" s="71">
        <v>41041</v>
      </c>
      <c r="B1251" s="72">
        <v>0.25</v>
      </c>
      <c r="C1251" s="71">
        <v>41041</v>
      </c>
      <c r="D1251" s="72">
        <v>0</v>
      </c>
    </row>
    <row r="1252" spans="1:4" x14ac:dyDescent="0.2">
      <c r="A1252" s="71">
        <v>41042</v>
      </c>
      <c r="B1252" s="72">
        <v>0.25</v>
      </c>
      <c r="C1252" s="71">
        <v>41042</v>
      </c>
      <c r="D1252" s="72">
        <v>0</v>
      </c>
    </row>
    <row r="1253" spans="1:4" x14ac:dyDescent="0.2">
      <c r="A1253" s="71">
        <v>41043</v>
      </c>
      <c r="B1253" s="72">
        <v>0.25</v>
      </c>
      <c r="C1253" s="71">
        <v>41043</v>
      </c>
      <c r="D1253" s="72">
        <v>0</v>
      </c>
    </row>
    <row r="1254" spans="1:4" x14ac:dyDescent="0.2">
      <c r="A1254" s="71">
        <v>41044</v>
      </c>
      <c r="B1254" s="72">
        <v>0.25</v>
      </c>
      <c r="C1254" s="71">
        <v>41044</v>
      </c>
      <c r="D1254" s="72">
        <v>0</v>
      </c>
    </row>
    <row r="1255" spans="1:4" x14ac:dyDescent="0.2">
      <c r="A1255" s="71">
        <v>41045</v>
      </c>
      <c r="B1255" s="72">
        <v>0.25</v>
      </c>
      <c r="C1255" s="71">
        <v>41045</v>
      </c>
      <c r="D1255" s="72">
        <v>0</v>
      </c>
    </row>
    <row r="1256" spans="1:4" x14ac:dyDescent="0.2">
      <c r="A1256" s="71">
        <v>41046</v>
      </c>
      <c r="B1256" s="72">
        <v>0.25</v>
      </c>
      <c r="C1256" s="71">
        <v>41046</v>
      </c>
      <c r="D1256" s="72">
        <v>0</v>
      </c>
    </row>
    <row r="1257" spans="1:4" x14ac:dyDescent="0.2">
      <c r="A1257" s="71">
        <v>41047</v>
      </c>
      <c r="B1257" s="72">
        <v>0.25</v>
      </c>
      <c r="C1257" s="71">
        <v>41047</v>
      </c>
      <c r="D1257" s="72">
        <v>0</v>
      </c>
    </row>
    <row r="1258" spans="1:4" x14ac:dyDescent="0.2">
      <c r="A1258" s="71">
        <v>41048</v>
      </c>
      <c r="B1258" s="72">
        <v>0.25</v>
      </c>
      <c r="C1258" s="71">
        <v>41048</v>
      </c>
      <c r="D1258" s="72">
        <v>0</v>
      </c>
    </row>
    <row r="1259" spans="1:4" x14ac:dyDescent="0.2">
      <c r="A1259" s="71">
        <v>41049</v>
      </c>
      <c r="B1259" s="72">
        <v>0.25</v>
      </c>
      <c r="C1259" s="71">
        <v>41049</v>
      </c>
      <c r="D1259" s="72">
        <v>0</v>
      </c>
    </row>
    <row r="1260" spans="1:4" x14ac:dyDescent="0.2">
      <c r="A1260" s="71">
        <v>41050</v>
      </c>
      <c r="B1260" s="72">
        <v>0.25</v>
      </c>
      <c r="C1260" s="71">
        <v>41050</v>
      </c>
      <c r="D1260" s="72">
        <v>0</v>
      </c>
    </row>
    <row r="1261" spans="1:4" x14ac:dyDescent="0.2">
      <c r="A1261" s="71">
        <v>41051</v>
      </c>
      <c r="B1261" s="72">
        <v>0.25</v>
      </c>
      <c r="C1261" s="71">
        <v>41051</v>
      </c>
      <c r="D1261" s="72">
        <v>0</v>
      </c>
    </row>
    <row r="1262" spans="1:4" x14ac:dyDescent="0.2">
      <c r="A1262" s="71">
        <v>41052</v>
      </c>
      <c r="B1262" s="72">
        <v>0.25</v>
      </c>
      <c r="C1262" s="71">
        <v>41052</v>
      </c>
      <c r="D1262" s="72">
        <v>0</v>
      </c>
    </row>
    <row r="1263" spans="1:4" x14ac:dyDescent="0.2">
      <c r="A1263" s="71">
        <v>41053</v>
      </c>
      <c r="B1263" s="72">
        <v>0.25</v>
      </c>
      <c r="C1263" s="71">
        <v>41053</v>
      </c>
      <c r="D1263" s="72">
        <v>0</v>
      </c>
    </row>
    <row r="1264" spans="1:4" x14ac:dyDescent="0.2">
      <c r="A1264" s="71">
        <v>41054</v>
      </c>
      <c r="B1264" s="72">
        <v>0.25</v>
      </c>
      <c r="C1264" s="71">
        <v>41054</v>
      </c>
      <c r="D1264" s="72">
        <v>0</v>
      </c>
    </row>
    <row r="1265" spans="1:4" x14ac:dyDescent="0.2">
      <c r="A1265" s="71">
        <v>41055</v>
      </c>
      <c r="B1265" s="72">
        <v>0.25</v>
      </c>
      <c r="C1265" s="71">
        <v>41055</v>
      </c>
      <c r="D1265" s="72">
        <v>0</v>
      </c>
    </row>
    <row r="1266" spans="1:4" x14ac:dyDescent="0.2">
      <c r="A1266" s="71">
        <v>41056</v>
      </c>
      <c r="B1266" s="72">
        <v>0.25</v>
      </c>
      <c r="C1266" s="71">
        <v>41056</v>
      </c>
      <c r="D1266" s="72">
        <v>0</v>
      </c>
    </row>
    <row r="1267" spans="1:4" x14ac:dyDescent="0.2">
      <c r="A1267" s="71">
        <v>41057</v>
      </c>
      <c r="B1267" s="72">
        <v>0.25</v>
      </c>
      <c r="C1267" s="71">
        <v>41057</v>
      </c>
      <c r="D1267" s="72">
        <v>0</v>
      </c>
    </row>
    <row r="1268" spans="1:4" x14ac:dyDescent="0.2">
      <c r="A1268" s="71">
        <v>41058</v>
      </c>
      <c r="B1268" s="72">
        <v>0.25</v>
      </c>
      <c r="C1268" s="71">
        <v>41058</v>
      </c>
      <c r="D1268" s="72">
        <v>0</v>
      </c>
    </row>
    <row r="1269" spans="1:4" x14ac:dyDescent="0.2">
      <c r="A1269" s="71">
        <v>41059</v>
      </c>
      <c r="B1269" s="72">
        <v>0.25</v>
      </c>
      <c r="C1269" s="71">
        <v>41059</v>
      </c>
      <c r="D1269" s="72">
        <v>0</v>
      </c>
    </row>
    <row r="1270" spans="1:4" x14ac:dyDescent="0.2">
      <c r="A1270" s="71">
        <v>41060</v>
      </c>
      <c r="B1270" s="72">
        <v>0.25</v>
      </c>
      <c r="C1270" s="71">
        <v>41060</v>
      </c>
      <c r="D1270" s="72">
        <v>0</v>
      </c>
    </row>
    <row r="1271" spans="1:4" x14ac:dyDescent="0.2">
      <c r="A1271" s="71">
        <v>41061</v>
      </c>
      <c r="B1271" s="72">
        <v>0.25</v>
      </c>
      <c r="C1271" s="71">
        <v>41061</v>
      </c>
      <c r="D1271" s="72">
        <v>0</v>
      </c>
    </row>
    <row r="1272" spans="1:4" x14ac:dyDescent="0.2">
      <c r="A1272" s="71">
        <v>41062</v>
      </c>
      <c r="B1272" s="72">
        <v>0.25</v>
      </c>
      <c r="C1272" s="71">
        <v>41062</v>
      </c>
      <c r="D1272" s="72">
        <v>0</v>
      </c>
    </row>
    <row r="1273" spans="1:4" x14ac:dyDescent="0.2">
      <c r="A1273" s="71">
        <v>41063</v>
      </c>
      <c r="B1273" s="72">
        <v>0.25</v>
      </c>
      <c r="C1273" s="71">
        <v>41063</v>
      </c>
      <c r="D1273" s="72">
        <v>0</v>
      </c>
    </row>
    <row r="1274" spans="1:4" x14ac:dyDescent="0.2">
      <c r="A1274" s="71">
        <v>41064</v>
      </c>
      <c r="B1274" s="72">
        <v>0.25</v>
      </c>
      <c r="C1274" s="71">
        <v>41064</v>
      </c>
      <c r="D1274" s="72">
        <v>0</v>
      </c>
    </row>
    <row r="1275" spans="1:4" x14ac:dyDescent="0.2">
      <c r="A1275" s="71">
        <v>41065</v>
      </c>
      <c r="B1275" s="72">
        <v>0.25</v>
      </c>
      <c r="C1275" s="71">
        <v>41065</v>
      </c>
      <c r="D1275" s="72">
        <v>0</v>
      </c>
    </row>
    <row r="1276" spans="1:4" x14ac:dyDescent="0.2">
      <c r="A1276" s="71">
        <v>41066</v>
      </c>
      <c r="B1276" s="72">
        <v>0.25</v>
      </c>
      <c r="C1276" s="71">
        <v>41066</v>
      </c>
      <c r="D1276" s="72">
        <v>0</v>
      </c>
    </row>
    <row r="1277" spans="1:4" x14ac:dyDescent="0.2">
      <c r="A1277" s="71">
        <v>41067</v>
      </c>
      <c r="B1277" s="72">
        <v>0.25</v>
      </c>
      <c r="C1277" s="71">
        <v>41067</v>
      </c>
      <c r="D1277" s="72">
        <v>0</v>
      </c>
    </row>
    <row r="1278" spans="1:4" x14ac:dyDescent="0.2">
      <c r="A1278" s="71">
        <v>41068</v>
      </c>
      <c r="B1278" s="72">
        <v>0.25</v>
      </c>
      <c r="C1278" s="71">
        <v>41068</v>
      </c>
      <c r="D1278" s="72">
        <v>0</v>
      </c>
    </row>
    <row r="1279" spans="1:4" x14ac:dyDescent="0.2">
      <c r="A1279" s="71">
        <v>41069</v>
      </c>
      <c r="B1279" s="72">
        <v>0.25</v>
      </c>
      <c r="C1279" s="71">
        <v>41069</v>
      </c>
      <c r="D1279" s="72">
        <v>0</v>
      </c>
    </row>
    <row r="1280" spans="1:4" x14ac:dyDescent="0.2">
      <c r="A1280" s="71">
        <v>41070</v>
      </c>
      <c r="B1280" s="72">
        <v>0.25</v>
      </c>
      <c r="C1280" s="71">
        <v>41070</v>
      </c>
      <c r="D1280" s="72">
        <v>0</v>
      </c>
    </row>
    <row r="1281" spans="1:4" x14ac:dyDescent="0.2">
      <c r="A1281" s="71">
        <v>41071</v>
      </c>
      <c r="B1281" s="72">
        <v>0.25</v>
      </c>
      <c r="C1281" s="71">
        <v>41071</v>
      </c>
      <c r="D1281" s="72">
        <v>0</v>
      </c>
    </row>
    <row r="1282" spans="1:4" x14ac:dyDescent="0.2">
      <c r="A1282" s="71">
        <v>41072</v>
      </c>
      <c r="B1282" s="72">
        <v>0.25</v>
      </c>
      <c r="C1282" s="71">
        <v>41072</v>
      </c>
      <c r="D1282" s="72">
        <v>0</v>
      </c>
    </row>
    <row r="1283" spans="1:4" x14ac:dyDescent="0.2">
      <c r="A1283" s="71">
        <v>41073</v>
      </c>
      <c r="B1283" s="72">
        <v>0.25</v>
      </c>
      <c r="C1283" s="71">
        <v>41073</v>
      </c>
      <c r="D1283" s="72">
        <v>0</v>
      </c>
    </row>
    <row r="1284" spans="1:4" x14ac:dyDescent="0.2">
      <c r="A1284" s="71">
        <v>41074</v>
      </c>
      <c r="B1284" s="72">
        <v>0.25</v>
      </c>
      <c r="C1284" s="71">
        <v>41074</v>
      </c>
      <c r="D1284" s="72">
        <v>0</v>
      </c>
    </row>
    <row r="1285" spans="1:4" x14ac:dyDescent="0.2">
      <c r="A1285" s="71">
        <v>41075</v>
      </c>
      <c r="B1285" s="72">
        <v>0.25</v>
      </c>
      <c r="C1285" s="71">
        <v>41075</v>
      </c>
      <c r="D1285" s="72">
        <v>0</v>
      </c>
    </row>
    <row r="1286" spans="1:4" x14ac:dyDescent="0.2">
      <c r="A1286" s="71">
        <v>41076</v>
      </c>
      <c r="B1286" s="72">
        <v>0.25</v>
      </c>
      <c r="C1286" s="71">
        <v>41076</v>
      </c>
      <c r="D1286" s="72">
        <v>0</v>
      </c>
    </row>
    <row r="1287" spans="1:4" x14ac:dyDescent="0.2">
      <c r="A1287" s="71">
        <v>41077</v>
      </c>
      <c r="B1287" s="72">
        <v>0.25</v>
      </c>
      <c r="C1287" s="71">
        <v>41077</v>
      </c>
      <c r="D1287" s="72">
        <v>0</v>
      </c>
    </row>
    <row r="1288" spans="1:4" x14ac:dyDescent="0.2">
      <c r="A1288" s="71">
        <v>41078</v>
      </c>
      <c r="B1288" s="72">
        <v>0.25</v>
      </c>
      <c r="C1288" s="71">
        <v>41078</v>
      </c>
      <c r="D1288" s="72">
        <v>0</v>
      </c>
    </row>
    <row r="1289" spans="1:4" x14ac:dyDescent="0.2">
      <c r="A1289" s="71">
        <v>41079</v>
      </c>
      <c r="B1289" s="72">
        <v>0.25</v>
      </c>
      <c r="C1289" s="71">
        <v>41079</v>
      </c>
      <c r="D1289" s="72">
        <v>0</v>
      </c>
    </row>
    <row r="1290" spans="1:4" x14ac:dyDescent="0.2">
      <c r="A1290" s="71">
        <v>41080</v>
      </c>
      <c r="B1290" s="72">
        <v>0.25</v>
      </c>
      <c r="C1290" s="71">
        <v>41080</v>
      </c>
      <c r="D1290" s="72">
        <v>0</v>
      </c>
    </row>
    <row r="1291" spans="1:4" x14ac:dyDescent="0.2">
      <c r="A1291" s="71">
        <v>41081</v>
      </c>
      <c r="B1291" s="72">
        <v>0.25</v>
      </c>
      <c r="C1291" s="71">
        <v>41081</v>
      </c>
      <c r="D1291" s="72">
        <v>0</v>
      </c>
    </row>
    <row r="1292" spans="1:4" x14ac:dyDescent="0.2">
      <c r="A1292" s="71">
        <v>41082</v>
      </c>
      <c r="B1292" s="72">
        <v>0.25</v>
      </c>
      <c r="C1292" s="71">
        <v>41082</v>
      </c>
      <c r="D1292" s="72">
        <v>0</v>
      </c>
    </row>
    <row r="1293" spans="1:4" x14ac:dyDescent="0.2">
      <c r="A1293" s="71">
        <v>41083</v>
      </c>
      <c r="B1293" s="72">
        <v>0.25</v>
      </c>
      <c r="C1293" s="71">
        <v>41083</v>
      </c>
      <c r="D1293" s="72">
        <v>0</v>
      </c>
    </row>
    <row r="1294" spans="1:4" x14ac:dyDescent="0.2">
      <c r="A1294" s="71">
        <v>41084</v>
      </c>
      <c r="B1294" s="72">
        <v>0.25</v>
      </c>
      <c r="C1294" s="71">
        <v>41084</v>
      </c>
      <c r="D1294" s="72">
        <v>0</v>
      </c>
    </row>
    <row r="1295" spans="1:4" x14ac:dyDescent="0.2">
      <c r="A1295" s="71">
        <v>41085</v>
      </c>
      <c r="B1295" s="72">
        <v>0.25</v>
      </c>
      <c r="C1295" s="71">
        <v>41085</v>
      </c>
      <c r="D1295" s="72">
        <v>0</v>
      </c>
    </row>
    <row r="1296" spans="1:4" x14ac:dyDescent="0.2">
      <c r="A1296" s="71">
        <v>41086</v>
      </c>
      <c r="B1296" s="72">
        <v>0.25</v>
      </c>
      <c r="C1296" s="71">
        <v>41086</v>
      </c>
      <c r="D1296" s="72">
        <v>0</v>
      </c>
    </row>
    <row r="1297" spans="1:4" x14ac:dyDescent="0.2">
      <c r="A1297" s="71">
        <v>41087</v>
      </c>
      <c r="B1297" s="72">
        <v>0.25</v>
      </c>
      <c r="C1297" s="71">
        <v>41087</v>
      </c>
      <c r="D1297" s="72">
        <v>0</v>
      </c>
    </row>
    <row r="1298" spans="1:4" x14ac:dyDescent="0.2">
      <c r="A1298" s="71">
        <v>41088</v>
      </c>
      <c r="B1298" s="72">
        <v>0.25</v>
      </c>
      <c r="C1298" s="71">
        <v>41088</v>
      </c>
      <c r="D1298" s="72">
        <v>0</v>
      </c>
    </row>
    <row r="1299" spans="1:4" x14ac:dyDescent="0.2">
      <c r="A1299" s="71">
        <v>41089</v>
      </c>
      <c r="B1299" s="72">
        <v>0.25</v>
      </c>
      <c r="C1299" s="71">
        <v>41089</v>
      </c>
      <c r="D1299" s="72">
        <v>0</v>
      </c>
    </row>
    <row r="1300" spans="1:4" x14ac:dyDescent="0.2">
      <c r="A1300" s="71">
        <v>41090</v>
      </c>
      <c r="B1300" s="72">
        <v>0.25</v>
      </c>
      <c r="C1300" s="71">
        <v>41090</v>
      </c>
      <c r="D1300" s="72">
        <v>0</v>
      </c>
    </row>
    <row r="1301" spans="1:4" x14ac:dyDescent="0.2">
      <c r="A1301" s="71">
        <v>41091</v>
      </c>
      <c r="B1301" s="72">
        <v>0.25</v>
      </c>
      <c r="C1301" s="71">
        <v>41091</v>
      </c>
      <c r="D1301" s="72">
        <v>0</v>
      </c>
    </row>
    <row r="1302" spans="1:4" x14ac:dyDescent="0.2">
      <c r="A1302" s="71">
        <v>41092</v>
      </c>
      <c r="B1302" s="72">
        <v>0.25</v>
      </c>
      <c r="C1302" s="71">
        <v>41092</v>
      </c>
      <c r="D1302" s="72">
        <v>0</v>
      </c>
    </row>
    <row r="1303" spans="1:4" x14ac:dyDescent="0.2">
      <c r="A1303" s="71">
        <v>41093</v>
      </c>
      <c r="B1303" s="72">
        <v>0.25</v>
      </c>
      <c r="C1303" s="71">
        <v>41093</v>
      </c>
      <c r="D1303" s="72">
        <v>0</v>
      </c>
    </row>
    <row r="1304" spans="1:4" x14ac:dyDescent="0.2">
      <c r="A1304" s="71">
        <v>41094</v>
      </c>
      <c r="B1304" s="72">
        <v>0.25</v>
      </c>
      <c r="C1304" s="71">
        <v>41094</v>
      </c>
      <c r="D1304" s="72">
        <v>0</v>
      </c>
    </row>
    <row r="1305" spans="1:4" x14ac:dyDescent="0.2">
      <c r="A1305" s="71">
        <v>41095</v>
      </c>
      <c r="B1305" s="72">
        <v>0.25</v>
      </c>
      <c r="C1305" s="71">
        <v>41095</v>
      </c>
      <c r="D1305" s="72">
        <v>0</v>
      </c>
    </row>
    <row r="1306" spans="1:4" x14ac:dyDescent="0.2">
      <c r="A1306" s="71">
        <v>41096</v>
      </c>
      <c r="B1306" s="72">
        <v>0.25</v>
      </c>
      <c r="C1306" s="71">
        <v>41096</v>
      </c>
      <c r="D1306" s="72">
        <v>0</v>
      </c>
    </row>
    <row r="1307" spans="1:4" x14ac:dyDescent="0.2">
      <c r="A1307" s="71">
        <v>41097</v>
      </c>
      <c r="B1307" s="72">
        <v>0.25</v>
      </c>
      <c r="C1307" s="71">
        <v>41097</v>
      </c>
      <c r="D1307" s="72">
        <v>0</v>
      </c>
    </row>
    <row r="1308" spans="1:4" x14ac:dyDescent="0.2">
      <c r="A1308" s="71">
        <v>41098</v>
      </c>
      <c r="B1308" s="72">
        <v>0.25</v>
      </c>
      <c r="C1308" s="71">
        <v>41098</v>
      </c>
      <c r="D1308" s="72">
        <v>0</v>
      </c>
    </row>
    <row r="1309" spans="1:4" x14ac:dyDescent="0.2">
      <c r="A1309" s="71">
        <v>41099</v>
      </c>
      <c r="B1309" s="72">
        <v>0.25</v>
      </c>
      <c r="C1309" s="71">
        <v>41099</v>
      </c>
      <c r="D1309" s="72">
        <v>0</v>
      </c>
    </row>
    <row r="1310" spans="1:4" x14ac:dyDescent="0.2">
      <c r="A1310" s="71">
        <v>41100</v>
      </c>
      <c r="B1310" s="72">
        <v>0.25</v>
      </c>
      <c r="C1310" s="71">
        <v>41100</v>
      </c>
      <c r="D1310" s="72">
        <v>0</v>
      </c>
    </row>
    <row r="1311" spans="1:4" x14ac:dyDescent="0.2">
      <c r="A1311" s="71">
        <v>41101</v>
      </c>
      <c r="B1311" s="72">
        <v>0.25</v>
      </c>
      <c r="C1311" s="71">
        <v>41101</v>
      </c>
      <c r="D1311" s="72">
        <v>0</v>
      </c>
    </row>
    <row r="1312" spans="1:4" x14ac:dyDescent="0.2">
      <c r="A1312" s="71">
        <v>41102</v>
      </c>
      <c r="B1312" s="72">
        <v>0.25</v>
      </c>
      <c r="C1312" s="71">
        <v>41102</v>
      </c>
      <c r="D1312" s="72">
        <v>0</v>
      </c>
    </row>
    <row r="1313" spans="1:4" x14ac:dyDescent="0.2">
      <c r="A1313" s="71">
        <v>41103</v>
      </c>
      <c r="B1313" s="72">
        <v>0.25</v>
      </c>
      <c r="C1313" s="71">
        <v>41103</v>
      </c>
      <c r="D1313" s="72">
        <v>0</v>
      </c>
    </row>
    <row r="1314" spans="1:4" x14ac:dyDescent="0.2">
      <c r="A1314" s="71">
        <v>41104</v>
      </c>
      <c r="B1314" s="72">
        <v>0.25</v>
      </c>
      <c r="C1314" s="71">
        <v>41104</v>
      </c>
      <c r="D1314" s="72">
        <v>0</v>
      </c>
    </row>
    <row r="1315" spans="1:4" x14ac:dyDescent="0.2">
      <c r="A1315" s="71">
        <v>41105</v>
      </c>
      <c r="B1315" s="72">
        <v>0.25</v>
      </c>
      <c r="C1315" s="71">
        <v>41105</v>
      </c>
      <c r="D1315" s="72">
        <v>0</v>
      </c>
    </row>
    <row r="1316" spans="1:4" x14ac:dyDescent="0.2">
      <c r="A1316" s="71">
        <v>41106</v>
      </c>
      <c r="B1316" s="72">
        <v>0.25</v>
      </c>
      <c r="C1316" s="71">
        <v>41106</v>
      </c>
      <c r="D1316" s="72">
        <v>0</v>
      </c>
    </row>
    <row r="1317" spans="1:4" x14ac:dyDescent="0.2">
      <c r="A1317" s="71">
        <v>41107</v>
      </c>
      <c r="B1317" s="72">
        <v>0.25</v>
      </c>
      <c r="C1317" s="71">
        <v>41107</v>
      </c>
      <c r="D1317" s="72">
        <v>0</v>
      </c>
    </row>
    <row r="1318" spans="1:4" x14ac:dyDescent="0.2">
      <c r="A1318" s="71">
        <v>41108</v>
      </c>
      <c r="B1318" s="72">
        <v>0.25</v>
      </c>
      <c r="C1318" s="71">
        <v>41108</v>
      </c>
      <c r="D1318" s="72">
        <v>0</v>
      </c>
    </row>
    <row r="1319" spans="1:4" x14ac:dyDescent="0.2">
      <c r="A1319" s="71">
        <v>41109</v>
      </c>
      <c r="B1319" s="72">
        <v>0.25</v>
      </c>
      <c r="C1319" s="71">
        <v>41109</v>
      </c>
      <c r="D1319" s="72">
        <v>0</v>
      </c>
    </row>
    <row r="1320" spans="1:4" x14ac:dyDescent="0.2">
      <c r="A1320" s="71">
        <v>41110</v>
      </c>
      <c r="B1320" s="72">
        <v>0.25</v>
      </c>
      <c r="C1320" s="71">
        <v>41110</v>
      </c>
      <c r="D1320" s="72">
        <v>0</v>
      </c>
    </row>
    <row r="1321" spans="1:4" x14ac:dyDescent="0.2">
      <c r="A1321" s="71">
        <v>41111</v>
      </c>
      <c r="B1321" s="72">
        <v>0.25</v>
      </c>
      <c r="C1321" s="71">
        <v>41111</v>
      </c>
      <c r="D1321" s="72">
        <v>0</v>
      </c>
    </row>
    <row r="1322" spans="1:4" x14ac:dyDescent="0.2">
      <c r="A1322" s="71">
        <v>41112</v>
      </c>
      <c r="B1322" s="72">
        <v>0.25</v>
      </c>
      <c r="C1322" s="71">
        <v>41112</v>
      </c>
      <c r="D1322" s="72">
        <v>0</v>
      </c>
    </row>
    <row r="1323" spans="1:4" x14ac:dyDescent="0.2">
      <c r="A1323" s="71">
        <v>41113</v>
      </c>
      <c r="B1323" s="72">
        <v>0.25</v>
      </c>
      <c r="C1323" s="71">
        <v>41113</v>
      </c>
      <c r="D1323" s="72">
        <v>0</v>
      </c>
    </row>
    <row r="1324" spans="1:4" x14ac:dyDescent="0.2">
      <c r="A1324" s="71">
        <v>41114</v>
      </c>
      <c r="B1324" s="72">
        <v>0.25</v>
      </c>
      <c r="C1324" s="71">
        <v>41114</v>
      </c>
      <c r="D1324" s="72">
        <v>0</v>
      </c>
    </row>
    <row r="1325" spans="1:4" x14ac:dyDescent="0.2">
      <c r="A1325" s="71">
        <v>41115</v>
      </c>
      <c r="B1325" s="72">
        <v>0.25</v>
      </c>
      <c r="C1325" s="71">
        <v>41115</v>
      </c>
      <c r="D1325" s="72">
        <v>0</v>
      </c>
    </row>
    <row r="1326" spans="1:4" x14ac:dyDescent="0.2">
      <c r="A1326" s="71">
        <v>41116</v>
      </c>
      <c r="B1326" s="72">
        <v>0.25</v>
      </c>
      <c r="C1326" s="71">
        <v>41116</v>
      </c>
      <c r="D1326" s="72">
        <v>0</v>
      </c>
    </row>
    <row r="1327" spans="1:4" x14ac:dyDescent="0.2">
      <c r="A1327" s="71">
        <v>41117</v>
      </c>
      <c r="B1327" s="72">
        <v>0.25</v>
      </c>
      <c r="C1327" s="71">
        <v>41117</v>
      </c>
      <c r="D1327" s="72">
        <v>0</v>
      </c>
    </row>
    <row r="1328" spans="1:4" x14ac:dyDescent="0.2">
      <c r="A1328" s="71">
        <v>41118</v>
      </c>
      <c r="B1328" s="72">
        <v>0.25</v>
      </c>
      <c r="C1328" s="71">
        <v>41118</v>
      </c>
      <c r="D1328" s="72">
        <v>0</v>
      </c>
    </row>
    <row r="1329" spans="1:4" x14ac:dyDescent="0.2">
      <c r="A1329" s="71">
        <v>41119</v>
      </c>
      <c r="B1329" s="72">
        <v>0.25</v>
      </c>
      <c r="C1329" s="71">
        <v>41119</v>
      </c>
      <c r="D1329" s="72">
        <v>0</v>
      </c>
    </row>
    <row r="1330" spans="1:4" x14ac:dyDescent="0.2">
      <c r="A1330" s="71">
        <v>41120</v>
      </c>
      <c r="B1330" s="72">
        <v>0.25</v>
      </c>
      <c r="C1330" s="71">
        <v>41120</v>
      </c>
      <c r="D1330" s="72">
        <v>0</v>
      </c>
    </row>
    <row r="1331" spans="1:4" x14ac:dyDescent="0.2">
      <c r="A1331" s="71">
        <v>41121</v>
      </c>
      <c r="B1331" s="72">
        <v>0.25</v>
      </c>
      <c r="C1331" s="71">
        <v>41121</v>
      </c>
      <c r="D1331" s="72">
        <v>0</v>
      </c>
    </row>
    <row r="1332" spans="1:4" x14ac:dyDescent="0.2">
      <c r="A1332" s="71">
        <v>41122</v>
      </c>
      <c r="B1332" s="72">
        <v>0.25</v>
      </c>
      <c r="C1332" s="71">
        <v>41122</v>
      </c>
      <c r="D1332" s="72">
        <v>0</v>
      </c>
    </row>
    <row r="1333" spans="1:4" x14ac:dyDescent="0.2">
      <c r="A1333" s="71">
        <v>41123</v>
      </c>
      <c r="B1333" s="72">
        <v>0.25</v>
      </c>
      <c r="C1333" s="71">
        <v>41123</v>
      </c>
      <c r="D1333" s="72">
        <v>0</v>
      </c>
    </row>
    <row r="1334" spans="1:4" x14ac:dyDescent="0.2">
      <c r="A1334" s="71">
        <v>41124</v>
      </c>
      <c r="B1334" s="72">
        <v>0.25</v>
      </c>
      <c r="C1334" s="71">
        <v>41124</v>
      </c>
      <c r="D1334" s="72">
        <v>0</v>
      </c>
    </row>
    <row r="1335" spans="1:4" x14ac:dyDescent="0.2">
      <c r="A1335" s="71">
        <v>41125</v>
      </c>
      <c r="B1335" s="72">
        <v>0.25</v>
      </c>
      <c r="C1335" s="71">
        <v>41125</v>
      </c>
      <c r="D1335" s="72">
        <v>0</v>
      </c>
    </row>
    <row r="1336" spans="1:4" x14ac:dyDescent="0.2">
      <c r="A1336" s="71">
        <v>41126</v>
      </c>
      <c r="B1336" s="72">
        <v>0.25</v>
      </c>
      <c r="C1336" s="71">
        <v>41126</v>
      </c>
      <c r="D1336" s="72">
        <v>0</v>
      </c>
    </row>
    <row r="1337" spans="1:4" x14ac:dyDescent="0.2">
      <c r="A1337" s="71">
        <v>41127</v>
      </c>
      <c r="B1337" s="72">
        <v>0.25</v>
      </c>
      <c r="C1337" s="71">
        <v>41127</v>
      </c>
      <c r="D1337" s="72">
        <v>0</v>
      </c>
    </row>
    <row r="1338" spans="1:4" x14ac:dyDescent="0.2">
      <c r="A1338" s="71">
        <v>41128</v>
      </c>
      <c r="B1338" s="72">
        <v>0.25</v>
      </c>
      <c r="C1338" s="71">
        <v>41128</v>
      </c>
      <c r="D1338" s="72">
        <v>0</v>
      </c>
    </row>
    <row r="1339" spans="1:4" x14ac:dyDescent="0.2">
      <c r="A1339" s="71">
        <v>41129</v>
      </c>
      <c r="B1339" s="72">
        <v>0.25</v>
      </c>
      <c r="C1339" s="71">
        <v>41129</v>
      </c>
      <c r="D1339" s="72">
        <v>0</v>
      </c>
    </row>
    <row r="1340" spans="1:4" x14ac:dyDescent="0.2">
      <c r="A1340" s="71">
        <v>41130</v>
      </c>
      <c r="B1340" s="72">
        <v>0.25</v>
      </c>
      <c r="C1340" s="71">
        <v>41130</v>
      </c>
      <c r="D1340" s="72">
        <v>0</v>
      </c>
    </row>
    <row r="1341" spans="1:4" x14ac:dyDescent="0.2">
      <c r="A1341" s="71">
        <v>41131</v>
      </c>
      <c r="B1341" s="72">
        <v>0.25</v>
      </c>
      <c r="C1341" s="71">
        <v>41131</v>
      </c>
      <c r="D1341" s="72">
        <v>0</v>
      </c>
    </row>
    <row r="1342" spans="1:4" x14ac:dyDescent="0.2">
      <c r="A1342" s="71">
        <v>41132</v>
      </c>
      <c r="B1342" s="72">
        <v>0.25</v>
      </c>
      <c r="C1342" s="71">
        <v>41132</v>
      </c>
      <c r="D1342" s="72">
        <v>0</v>
      </c>
    </row>
    <row r="1343" spans="1:4" x14ac:dyDescent="0.2">
      <c r="A1343" s="71">
        <v>41133</v>
      </c>
      <c r="B1343" s="72">
        <v>0.25</v>
      </c>
      <c r="C1343" s="71">
        <v>41133</v>
      </c>
      <c r="D1343" s="72">
        <v>0</v>
      </c>
    </row>
    <row r="1344" spans="1:4" x14ac:dyDescent="0.2">
      <c r="A1344" s="71">
        <v>41134</v>
      </c>
      <c r="B1344" s="72">
        <v>0.25</v>
      </c>
      <c r="C1344" s="71">
        <v>41134</v>
      </c>
      <c r="D1344" s="72">
        <v>0</v>
      </c>
    </row>
    <row r="1345" spans="1:4" x14ac:dyDescent="0.2">
      <c r="A1345" s="71">
        <v>41135</v>
      </c>
      <c r="B1345" s="72">
        <v>0.25</v>
      </c>
      <c r="C1345" s="71">
        <v>41135</v>
      </c>
      <c r="D1345" s="72">
        <v>0</v>
      </c>
    </row>
    <row r="1346" spans="1:4" x14ac:dyDescent="0.2">
      <c r="A1346" s="71">
        <v>41136</v>
      </c>
      <c r="B1346" s="72">
        <v>0.25</v>
      </c>
      <c r="C1346" s="71">
        <v>41136</v>
      </c>
      <c r="D1346" s="72">
        <v>0</v>
      </c>
    </row>
    <row r="1347" spans="1:4" x14ac:dyDescent="0.2">
      <c r="A1347" s="71">
        <v>41137</v>
      </c>
      <c r="B1347" s="72">
        <v>0.25</v>
      </c>
      <c r="C1347" s="71">
        <v>41137</v>
      </c>
      <c r="D1347" s="72">
        <v>0</v>
      </c>
    </row>
    <row r="1348" spans="1:4" x14ac:dyDescent="0.2">
      <c r="A1348" s="71">
        <v>41138</v>
      </c>
      <c r="B1348" s="72">
        <v>0.25</v>
      </c>
      <c r="C1348" s="71">
        <v>41138</v>
      </c>
      <c r="D1348" s="72">
        <v>0</v>
      </c>
    </row>
    <row r="1349" spans="1:4" x14ac:dyDescent="0.2">
      <c r="A1349" s="71">
        <v>41139</v>
      </c>
      <c r="B1349" s="72">
        <v>0.25</v>
      </c>
      <c r="C1349" s="71">
        <v>41139</v>
      </c>
      <c r="D1349" s="72">
        <v>0</v>
      </c>
    </row>
    <row r="1350" spans="1:4" x14ac:dyDescent="0.2">
      <c r="A1350" s="71">
        <v>41140</v>
      </c>
      <c r="B1350" s="72">
        <v>0.25</v>
      </c>
      <c r="C1350" s="71">
        <v>41140</v>
      </c>
      <c r="D1350" s="72">
        <v>0</v>
      </c>
    </row>
    <row r="1351" spans="1:4" x14ac:dyDescent="0.2">
      <c r="A1351" s="71">
        <v>41141</v>
      </c>
      <c r="B1351" s="72">
        <v>0.25</v>
      </c>
      <c r="C1351" s="71">
        <v>41141</v>
      </c>
      <c r="D1351" s="72">
        <v>0</v>
      </c>
    </row>
    <row r="1352" spans="1:4" x14ac:dyDescent="0.2">
      <c r="A1352" s="71">
        <v>41142</v>
      </c>
      <c r="B1352" s="72">
        <v>0.25</v>
      </c>
      <c r="C1352" s="71">
        <v>41142</v>
      </c>
      <c r="D1352" s="72">
        <v>0</v>
      </c>
    </row>
    <row r="1353" spans="1:4" x14ac:dyDescent="0.2">
      <c r="A1353" s="71">
        <v>41143</v>
      </c>
      <c r="B1353" s="72">
        <v>0.25</v>
      </c>
      <c r="C1353" s="71">
        <v>41143</v>
      </c>
      <c r="D1353" s="72">
        <v>0</v>
      </c>
    </row>
    <row r="1354" spans="1:4" x14ac:dyDescent="0.2">
      <c r="A1354" s="71">
        <v>41144</v>
      </c>
      <c r="B1354" s="72">
        <v>0.25</v>
      </c>
      <c r="C1354" s="71">
        <v>41144</v>
      </c>
      <c r="D1354" s="72">
        <v>0</v>
      </c>
    </row>
    <row r="1355" spans="1:4" x14ac:dyDescent="0.2">
      <c r="A1355" s="71">
        <v>41145</v>
      </c>
      <c r="B1355" s="72">
        <v>0.25</v>
      </c>
      <c r="C1355" s="71">
        <v>41145</v>
      </c>
      <c r="D1355" s="72">
        <v>0</v>
      </c>
    </row>
    <row r="1356" spans="1:4" x14ac:dyDescent="0.2">
      <c r="A1356" s="71">
        <v>41146</v>
      </c>
      <c r="B1356" s="72">
        <v>0.25</v>
      </c>
      <c r="C1356" s="71">
        <v>41146</v>
      </c>
      <c r="D1356" s="72">
        <v>0</v>
      </c>
    </row>
    <row r="1357" spans="1:4" x14ac:dyDescent="0.2">
      <c r="A1357" s="71">
        <v>41147</v>
      </c>
      <c r="B1357" s="72">
        <v>0.25</v>
      </c>
      <c r="C1357" s="71">
        <v>41147</v>
      </c>
      <c r="D1357" s="72">
        <v>0</v>
      </c>
    </row>
    <row r="1358" spans="1:4" x14ac:dyDescent="0.2">
      <c r="A1358" s="71">
        <v>41148</v>
      </c>
      <c r="B1358" s="72">
        <v>0.25</v>
      </c>
      <c r="C1358" s="71">
        <v>41148</v>
      </c>
      <c r="D1358" s="72">
        <v>0</v>
      </c>
    </row>
    <row r="1359" spans="1:4" x14ac:dyDescent="0.2">
      <c r="A1359" s="71">
        <v>41149</v>
      </c>
      <c r="B1359" s="72">
        <v>0.25</v>
      </c>
      <c r="C1359" s="71">
        <v>41149</v>
      </c>
      <c r="D1359" s="72">
        <v>0</v>
      </c>
    </row>
    <row r="1360" spans="1:4" x14ac:dyDescent="0.2">
      <c r="A1360" s="71">
        <v>41150</v>
      </c>
      <c r="B1360" s="72">
        <v>0.25</v>
      </c>
      <c r="C1360" s="71">
        <v>41150</v>
      </c>
      <c r="D1360" s="72">
        <v>0</v>
      </c>
    </row>
    <row r="1361" spans="1:4" x14ac:dyDescent="0.2">
      <c r="A1361" s="71">
        <v>41151</v>
      </c>
      <c r="B1361" s="72">
        <v>0.25</v>
      </c>
      <c r="C1361" s="71">
        <v>41151</v>
      </c>
      <c r="D1361" s="72">
        <v>0</v>
      </c>
    </row>
    <row r="1362" spans="1:4" x14ac:dyDescent="0.2">
      <c r="A1362" s="71">
        <v>41152</v>
      </c>
      <c r="B1362" s="72">
        <v>0.25</v>
      </c>
      <c r="C1362" s="71">
        <v>41152</v>
      </c>
      <c r="D1362" s="72">
        <v>0</v>
      </c>
    </row>
    <row r="1363" spans="1:4" x14ac:dyDescent="0.2">
      <c r="A1363" s="71">
        <v>41153</v>
      </c>
      <c r="B1363" s="72">
        <v>0.25</v>
      </c>
      <c r="C1363" s="71">
        <v>41153</v>
      </c>
      <c r="D1363" s="72">
        <v>0</v>
      </c>
    </row>
    <row r="1364" spans="1:4" x14ac:dyDescent="0.2">
      <c r="A1364" s="71">
        <v>41154</v>
      </c>
      <c r="B1364" s="72">
        <v>0.25</v>
      </c>
      <c r="C1364" s="71">
        <v>41154</v>
      </c>
      <c r="D1364" s="72">
        <v>0</v>
      </c>
    </row>
    <row r="1365" spans="1:4" x14ac:dyDescent="0.2">
      <c r="A1365" s="71">
        <v>41155</v>
      </c>
      <c r="B1365" s="72">
        <v>0.25</v>
      </c>
      <c r="C1365" s="71">
        <v>41155</v>
      </c>
      <c r="D1365" s="72">
        <v>0</v>
      </c>
    </row>
    <row r="1366" spans="1:4" x14ac:dyDescent="0.2">
      <c r="A1366" s="71">
        <v>41156</v>
      </c>
      <c r="B1366" s="72">
        <v>0.25</v>
      </c>
      <c r="C1366" s="71">
        <v>41156</v>
      </c>
      <c r="D1366" s="72">
        <v>0</v>
      </c>
    </row>
    <row r="1367" spans="1:4" x14ac:dyDescent="0.2">
      <c r="A1367" s="71">
        <v>41157</v>
      </c>
      <c r="B1367" s="72">
        <v>0.25</v>
      </c>
      <c r="C1367" s="71">
        <v>41157</v>
      </c>
      <c r="D1367" s="72">
        <v>0</v>
      </c>
    </row>
    <row r="1368" spans="1:4" x14ac:dyDescent="0.2">
      <c r="A1368" s="71">
        <v>41158</v>
      </c>
      <c r="B1368" s="72">
        <v>0.25</v>
      </c>
      <c r="C1368" s="71">
        <v>41158</v>
      </c>
      <c r="D1368" s="72">
        <v>0</v>
      </c>
    </row>
    <row r="1369" spans="1:4" x14ac:dyDescent="0.2">
      <c r="A1369" s="71">
        <v>41159</v>
      </c>
      <c r="B1369" s="72">
        <v>0.25</v>
      </c>
      <c r="C1369" s="71">
        <v>41159</v>
      </c>
      <c r="D1369" s="72">
        <v>0</v>
      </c>
    </row>
    <row r="1370" spans="1:4" x14ac:dyDescent="0.2">
      <c r="A1370" s="71">
        <v>41160</v>
      </c>
      <c r="B1370" s="72">
        <v>0.25</v>
      </c>
      <c r="C1370" s="71">
        <v>41160</v>
      </c>
      <c r="D1370" s="72">
        <v>0</v>
      </c>
    </row>
    <row r="1371" spans="1:4" x14ac:dyDescent="0.2">
      <c r="A1371" s="71">
        <v>41161</v>
      </c>
      <c r="B1371" s="72">
        <v>0.25</v>
      </c>
      <c r="C1371" s="71">
        <v>41161</v>
      </c>
      <c r="D1371" s="72">
        <v>0</v>
      </c>
    </row>
    <row r="1372" spans="1:4" x14ac:dyDescent="0.2">
      <c r="A1372" s="71">
        <v>41162</v>
      </c>
      <c r="B1372" s="72">
        <v>0.25</v>
      </c>
      <c r="C1372" s="71">
        <v>41162</v>
      </c>
      <c r="D1372" s="72">
        <v>0</v>
      </c>
    </row>
    <row r="1373" spans="1:4" x14ac:dyDescent="0.2">
      <c r="A1373" s="71">
        <v>41163</v>
      </c>
      <c r="B1373" s="72">
        <v>0.25</v>
      </c>
      <c r="C1373" s="71">
        <v>41163</v>
      </c>
      <c r="D1373" s="72">
        <v>0</v>
      </c>
    </row>
    <row r="1374" spans="1:4" x14ac:dyDescent="0.2">
      <c r="A1374" s="71">
        <v>41164</v>
      </c>
      <c r="B1374" s="72">
        <v>0.25</v>
      </c>
      <c r="C1374" s="71">
        <v>41164</v>
      </c>
      <c r="D1374" s="72">
        <v>0</v>
      </c>
    </row>
    <row r="1375" spans="1:4" x14ac:dyDescent="0.2">
      <c r="A1375" s="71">
        <v>41165</v>
      </c>
      <c r="B1375" s="72">
        <v>0.25</v>
      </c>
      <c r="C1375" s="71">
        <v>41165</v>
      </c>
      <c r="D1375" s="72">
        <v>0</v>
      </c>
    </row>
    <row r="1376" spans="1:4" x14ac:dyDescent="0.2">
      <c r="A1376" s="71">
        <v>41166</v>
      </c>
      <c r="B1376" s="72">
        <v>0.25</v>
      </c>
      <c r="C1376" s="71">
        <v>41166</v>
      </c>
      <c r="D1376" s="72">
        <v>0</v>
      </c>
    </row>
    <row r="1377" spans="1:4" x14ac:dyDescent="0.2">
      <c r="A1377" s="71">
        <v>41167</v>
      </c>
      <c r="B1377" s="72">
        <v>0.25</v>
      </c>
      <c r="C1377" s="71">
        <v>41167</v>
      </c>
      <c r="D1377" s="72">
        <v>0</v>
      </c>
    </row>
    <row r="1378" spans="1:4" x14ac:dyDescent="0.2">
      <c r="A1378" s="71">
        <v>41168</v>
      </c>
      <c r="B1378" s="72">
        <v>0.25</v>
      </c>
      <c r="C1378" s="71">
        <v>41168</v>
      </c>
      <c r="D1378" s="72">
        <v>0</v>
      </c>
    </row>
    <row r="1379" spans="1:4" x14ac:dyDescent="0.2">
      <c r="A1379" s="71">
        <v>41169</v>
      </c>
      <c r="B1379" s="72">
        <v>0.25</v>
      </c>
      <c r="C1379" s="71">
        <v>41169</v>
      </c>
      <c r="D1379" s="72">
        <v>0</v>
      </c>
    </row>
    <row r="1380" spans="1:4" x14ac:dyDescent="0.2">
      <c r="A1380" s="71">
        <v>41170</v>
      </c>
      <c r="B1380" s="72">
        <v>0.25</v>
      </c>
      <c r="C1380" s="71">
        <v>41170</v>
      </c>
      <c r="D1380" s="72">
        <v>0</v>
      </c>
    </row>
    <row r="1381" spans="1:4" x14ac:dyDescent="0.2">
      <c r="A1381" s="71">
        <v>41171</v>
      </c>
      <c r="B1381" s="72">
        <v>0.25</v>
      </c>
      <c r="C1381" s="71">
        <v>41171</v>
      </c>
      <c r="D1381" s="72">
        <v>0</v>
      </c>
    </row>
    <row r="1382" spans="1:4" x14ac:dyDescent="0.2">
      <c r="A1382" s="71">
        <v>41172</v>
      </c>
      <c r="B1382" s="72">
        <v>0.25</v>
      </c>
      <c r="C1382" s="71">
        <v>41172</v>
      </c>
      <c r="D1382" s="72">
        <v>0</v>
      </c>
    </row>
    <row r="1383" spans="1:4" x14ac:dyDescent="0.2">
      <c r="A1383" s="71">
        <v>41173</v>
      </c>
      <c r="B1383" s="72">
        <v>0.25</v>
      </c>
      <c r="C1383" s="71">
        <v>41173</v>
      </c>
      <c r="D1383" s="72">
        <v>0</v>
      </c>
    </row>
    <row r="1384" spans="1:4" x14ac:dyDescent="0.2">
      <c r="A1384" s="71">
        <v>41174</v>
      </c>
      <c r="B1384" s="72">
        <v>0.25</v>
      </c>
      <c r="C1384" s="71">
        <v>41174</v>
      </c>
      <c r="D1384" s="72">
        <v>0</v>
      </c>
    </row>
    <row r="1385" spans="1:4" x14ac:dyDescent="0.2">
      <c r="A1385" s="71">
        <v>41175</v>
      </c>
      <c r="B1385" s="72">
        <v>0.25</v>
      </c>
      <c r="C1385" s="71">
        <v>41175</v>
      </c>
      <c r="D1385" s="72">
        <v>0</v>
      </c>
    </row>
    <row r="1386" spans="1:4" x14ac:dyDescent="0.2">
      <c r="A1386" s="71">
        <v>41176</v>
      </c>
      <c r="B1386" s="72">
        <v>0.25</v>
      </c>
      <c r="C1386" s="71">
        <v>41176</v>
      </c>
      <c r="D1386" s="72">
        <v>0</v>
      </c>
    </row>
    <row r="1387" spans="1:4" x14ac:dyDescent="0.2">
      <c r="A1387" s="71">
        <v>41177</v>
      </c>
      <c r="B1387" s="72">
        <v>0.25</v>
      </c>
      <c r="C1387" s="71">
        <v>41177</v>
      </c>
      <c r="D1387" s="72">
        <v>0</v>
      </c>
    </row>
    <row r="1388" spans="1:4" x14ac:dyDescent="0.2">
      <c r="A1388" s="71">
        <v>41178</v>
      </c>
      <c r="B1388" s="72">
        <v>0.25</v>
      </c>
      <c r="C1388" s="71">
        <v>41178</v>
      </c>
      <c r="D1388" s="72">
        <v>0</v>
      </c>
    </row>
    <row r="1389" spans="1:4" x14ac:dyDescent="0.2">
      <c r="A1389" s="71">
        <v>41179</v>
      </c>
      <c r="B1389" s="72">
        <v>0.25</v>
      </c>
      <c r="C1389" s="71">
        <v>41179</v>
      </c>
      <c r="D1389" s="72">
        <v>0</v>
      </c>
    </row>
    <row r="1390" spans="1:4" x14ac:dyDescent="0.2">
      <c r="A1390" s="71">
        <v>41180</v>
      </c>
      <c r="B1390" s="72">
        <v>0.25</v>
      </c>
      <c r="C1390" s="71">
        <v>41180</v>
      </c>
      <c r="D1390" s="72">
        <v>0</v>
      </c>
    </row>
    <row r="1391" spans="1:4" x14ac:dyDescent="0.2">
      <c r="A1391" s="71">
        <v>41181</v>
      </c>
      <c r="B1391" s="72">
        <v>0.25</v>
      </c>
      <c r="C1391" s="71">
        <v>41181</v>
      </c>
      <c r="D1391" s="72">
        <v>0</v>
      </c>
    </row>
    <row r="1392" spans="1:4" x14ac:dyDescent="0.2">
      <c r="A1392" s="71">
        <v>41182</v>
      </c>
      <c r="B1392" s="72">
        <v>0.25</v>
      </c>
      <c r="C1392" s="71">
        <v>41182</v>
      </c>
      <c r="D1392" s="72">
        <v>0</v>
      </c>
    </row>
    <row r="1393" spans="1:4" x14ac:dyDescent="0.2">
      <c r="A1393" s="71">
        <v>41183</v>
      </c>
      <c r="B1393" s="72">
        <v>0.25</v>
      </c>
      <c r="C1393" s="71">
        <v>41183</v>
      </c>
      <c r="D1393" s="72">
        <v>0</v>
      </c>
    </row>
    <row r="1394" spans="1:4" x14ac:dyDescent="0.2">
      <c r="A1394" s="71">
        <v>41184</v>
      </c>
      <c r="B1394" s="72">
        <v>0.25</v>
      </c>
      <c r="C1394" s="71">
        <v>41184</v>
      </c>
      <c r="D1394" s="72">
        <v>0</v>
      </c>
    </row>
    <row r="1395" spans="1:4" x14ac:dyDescent="0.2">
      <c r="A1395" s="71">
        <v>41185</v>
      </c>
      <c r="B1395" s="72">
        <v>0.25</v>
      </c>
      <c r="C1395" s="71">
        <v>41185</v>
      </c>
      <c r="D1395" s="72">
        <v>0</v>
      </c>
    </row>
    <row r="1396" spans="1:4" x14ac:dyDescent="0.2">
      <c r="A1396" s="71">
        <v>41186</v>
      </c>
      <c r="B1396" s="72">
        <v>0.25</v>
      </c>
      <c r="C1396" s="71">
        <v>41186</v>
      </c>
      <c r="D1396" s="72">
        <v>0</v>
      </c>
    </row>
    <row r="1397" spans="1:4" x14ac:dyDescent="0.2">
      <c r="A1397" s="71">
        <v>41187</v>
      </c>
      <c r="B1397" s="72">
        <v>0.25</v>
      </c>
      <c r="C1397" s="71">
        <v>41187</v>
      </c>
      <c r="D1397" s="72">
        <v>0</v>
      </c>
    </row>
    <row r="1398" spans="1:4" x14ac:dyDescent="0.2">
      <c r="A1398" s="71">
        <v>41188</v>
      </c>
      <c r="B1398" s="72">
        <v>0.25</v>
      </c>
      <c r="C1398" s="71">
        <v>41188</v>
      </c>
      <c r="D1398" s="72">
        <v>0</v>
      </c>
    </row>
    <row r="1399" spans="1:4" x14ac:dyDescent="0.2">
      <c r="A1399" s="71">
        <v>41189</v>
      </c>
      <c r="B1399" s="72">
        <v>0.25</v>
      </c>
      <c r="C1399" s="71">
        <v>41189</v>
      </c>
      <c r="D1399" s="72">
        <v>0</v>
      </c>
    </row>
    <row r="1400" spans="1:4" x14ac:dyDescent="0.2">
      <c r="A1400" s="71">
        <v>41190</v>
      </c>
      <c r="B1400" s="72">
        <v>0.25</v>
      </c>
      <c r="C1400" s="71">
        <v>41190</v>
      </c>
      <c r="D1400" s="72">
        <v>0</v>
      </c>
    </row>
    <row r="1401" spans="1:4" x14ac:dyDescent="0.2">
      <c r="A1401" s="71">
        <v>41191</v>
      </c>
      <c r="B1401" s="72">
        <v>0.25</v>
      </c>
      <c r="C1401" s="71">
        <v>41191</v>
      </c>
      <c r="D1401" s="72">
        <v>0</v>
      </c>
    </row>
    <row r="1402" spans="1:4" x14ac:dyDescent="0.2">
      <c r="A1402" s="71">
        <v>41192</v>
      </c>
      <c r="B1402" s="72">
        <v>0.25</v>
      </c>
      <c r="C1402" s="71">
        <v>41192</v>
      </c>
      <c r="D1402" s="72">
        <v>0</v>
      </c>
    </row>
    <row r="1403" spans="1:4" x14ac:dyDescent="0.2">
      <c r="A1403" s="71">
        <v>41193</v>
      </c>
      <c r="B1403" s="72">
        <v>0.25</v>
      </c>
      <c r="C1403" s="71">
        <v>41193</v>
      </c>
      <c r="D1403" s="72">
        <v>0</v>
      </c>
    </row>
    <row r="1404" spans="1:4" x14ac:dyDescent="0.2">
      <c r="A1404" s="71">
        <v>41194</v>
      </c>
      <c r="B1404" s="72">
        <v>0.25</v>
      </c>
      <c r="C1404" s="71">
        <v>41194</v>
      </c>
      <c r="D1404" s="72">
        <v>0</v>
      </c>
    </row>
    <row r="1405" spans="1:4" x14ac:dyDescent="0.2">
      <c r="A1405" s="71">
        <v>41195</v>
      </c>
      <c r="B1405" s="72">
        <v>0.25</v>
      </c>
      <c r="C1405" s="71">
        <v>41195</v>
      </c>
      <c r="D1405" s="72">
        <v>0</v>
      </c>
    </row>
    <row r="1406" spans="1:4" x14ac:dyDescent="0.2">
      <c r="A1406" s="71">
        <v>41196</v>
      </c>
      <c r="B1406" s="72">
        <v>0.25</v>
      </c>
      <c r="C1406" s="71">
        <v>41196</v>
      </c>
      <c r="D1406" s="72">
        <v>0</v>
      </c>
    </row>
    <row r="1407" spans="1:4" x14ac:dyDescent="0.2">
      <c r="A1407" s="71">
        <v>41197</v>
      </c>
      <c r="B1407" s="72">
        <v>0.25</v>
      </c>
      <c r="C1407" s="71">
        <v>41197</v>
      </c>
      <c r="D1407" s="72">
        <v>0</v>
      </c>
    </row>
    <row r="1408" spans="1:4" x14ac:dyDescent="0.2">
      <c r="A1408" s="71">
        <v>41198</v>
      </c>
      <c r="B1408" s="72">
        <v>0.25</v>
      </c>
      <c r="C1408" s="71">
        <v>41198</v>
      </c>
      <c r="D1408" s="72">
        <v>0</v>
      </c>
    </row>
    <row r="1409" spans="1:4" x14ac:dyDescent="0.2">
      <c r="A1409" s="71">
        <v>41199</v>
      </c>
      <c r="B1409" s="72">
        <v>0.25</v>
      </c>
      <c r="C1409" s="71">
        <v>41199</v>
      </c>
      <c r="D1409" s="72">
        <v>0</v>
      </c>
    </row>
    <row r="1410" spans="1:4" x14ac:dyDescent="0.2">
      <c r="A1410" s="71">
        <v>41200</v>
      </c>
      <c r="B1410" s="72">
        <v>0.25</v>
      </c>
      <c r="C1410" s="71">
        <v>41200</v>
      </c>
      <c r="D1410" s="72">
        <v>0</v>
      </c>
    </row>
    <row r="1411" spans="1:4" x14ac:dyDescent="0.2">
      <c r="A1411" s="71">
        <v>41201</v>
      </c>
      <c r="B1411" s="72">
        <v>0.25</v>
      </c>
      <c r="C1411" s="71">
        <v>41201</v>
      </c>
      <c r="D1411" s="72">
        <v>0</v>
      </c>
    </row>
    <row r="1412" spans="1:4" x14ac:dyDescent="0.2">
      <c r="A1412" s="71">
        <v>41202</v>
      </c>
      <c r="B1412" s="72">
        <v>0.25</v>
      </c>
      <c r="C1412" s="71">
        <v>41202</v>
      </c>
      <c r="D1412" s="72">
        <v>0</v>
      </c>
    </row>
    <row r="1413" spans="1:4" x14ac:dyDescent="0.2">
      <c r="A1413" s="71">
        <v>41203</v>
      </c>
      <c r="B1413" s="72">
        <v>0.25</v>
      </c>
      <c r="C1413" s="71">
        <v>41203</v>
      </c>
      <c r="D1413" s="72">
        <v>0</v>
      </c>
    </row>
    <row r="1414" spans="1:4" x14ac:dyDescent="0.2">
      <c r="A1414" s="71">
        <v>41204</v>
      </c>
      <c r="B1414" s="72">
        <v>0.25</v>
      </c>
      <c r="C1414" s="71">
        <v>41204</v>
      </c>
      <c r="D1414" s="72">
        <v>0</v>
      </c>
    </row>
    <row r="1415" spans="1:4" x14ac:dyDescent="0.2">
      <c r="A1415" s="71">
        <v>41205</v>
      </c>
      <c r="B1415" s="72">
        <v>0.25</v>
      </c>
      <c r="C1415" s="71">
        <v>41205</v>
      </c>
      <c r="D1415" s="72">
        <v>0</v>
      </c>
    </row>
    <row r="1416" spans="1:4" x14ac:dyDescent="0.2">
      <c r="A1416" s="71">
        <v>41206</v>
      </c>
      <c r="B1416" s="72">
        <v>0.25</v>
      </c>
      <c r="C1416" s="71">
        <v>41206</v>
      </c>
      <c r="D1416" s="72">
        <v>0</v>
      </c>
    </row>
    <row r="1417" spans="1:4" x14ac:dyDescent="0.2">
      <c r="A1417" s="71">
        <v>41207</v>
      </c>
      <c r="B1417" s="72">
        <v>0.25</v>
      </c>
      <c r="C1417" s="71">
        <v>41207</v>
      </c>
      <c r="D1417" s="72">
        <v>0</v>
      </c>
    </row>
    <row r="1418" spans="1:4" x14ac:dyDescent="0.2">
      <c r="A1418" s="71">
        <v>41208</v>
      </c>
      <c r="B1418" s="72">
        <v>0.25</v>
      </c>
      <c r="C1418" s="71">
        <v>41208</v>
      </c>
      <c r="D1418" s="72">
        <v>0</v>
      </c>
    </row>
    <row r="1419" spans="1:4" x14ac:dyDescent="0.2">
      <c r="A1419" s="71">
        <v>41209</v>
      </c>
      <c r="B1419" s="72">
        <v>0.25</v>
      </c>
      <c r="C1419" s="71">
        <v>41209</v>
      </c>
      <c r="D1419" s="72">
        <v>0</v>
      </c>
    </row>
    <row r="1420" spans="1:4" x14ac:dyDescent="0.2">
      <c r="A1420" s="71">
        <v>41210</v>
      </c>
      <c r="B1420" s="72">
        <v>0.25</v>
      </c>
      <c r="C1420" s="71">
        <v>41210</v>
      </c>
      <c r="D1420" s="72">
        <v>0</v>
      </c>
    </row>
    <row r="1421" spans="1:4" x14ac:dyDescent="0.2">
      <c r="A1421" s="71">
        <v>41211</v>
      </c>
      <c r="B1421" s="72">
        <v>0.25</v>
      </c>
      <c r="C1421" s="71">
        <v>41211</v>
      </c>
      <c r="D1421" s="72">
        <v>0</v>
      </c>
    </row>
    <row r="1422" spans="1:4" x14ac:dyDescent="0.2">
      <c r="A1422" s="71">
        <v>41212</v>
      </c>
      <c r="B1422" s="72">
        <v>0.25</v>
      </c>
      <c r="C1422" s="71">
        <v>41212</v>
      </c>
      <c r="D1422" s="72">
        <v>0</v>
      </c>
    </row>
    <row r="1423" spans="1:4" x14ac:dyDescent="0.2">
      <c r="A1423" s="71">
        <v>41213</v>
      </c>
      <c r="B1423" s="72">
        <v>0.25</v>
      </c>
      <c r="C1423" s="71">
        <v>41213</v>
      </c>
      <c r="D1423" s="72">
        <v>0</v>
      </c>
    </row>
    <row r="1424" spans="1:4" x14ac:dyDescent="0.2">
      <c r="A1424" s="71">
        <v>41214</v>
      </c>
      <c r="B1424" s="72">
        <v>0.25</v>
      </c>
      <c r="C1424" s="71">
        <v>41214</v>
      </c>
      <c r="D1424" s="72">
        <v>0</v>
      </c>
    </row>
    <row r="1425" spans="1:4" x14ac:dyDescent="0.2">
      <c r="A1425" s="71">
        <v>41215</v>
      </c>
      <c r="B1425" s="72">
        <v>0.25</v>
      </c>
      <c r="C1425" s="71">
        <v>41215</v>
      </c>
      <c r="D1425" s="72">
        <v>0</v>
      </c>
    </row>
    <row r="1426" spans="1:4" x14ac:dyDescent="0.2">
      <c r="A1426" s="71">
        <v>41216</v>
      </c>
      <c r="B1426" s="72">
        <v>0.25</v>
      </c>
      <c r="C1426" s="71">
        <v>41216</v>
      </c>
      <c r="D1426" s="72">
        <v>0</v>
      </c>
    </row>
    <row r="1427" spans="1:4" x14ac:dyDescent="0.2">
      <c r="A1427" s="71">
        <v>41217</v>
      </c>
      <c r="B1427" s="72">
        <v>0.25</v>
      </c>
      <c r="C1427" s="71">
        <v>41217</v>
      </c>
      <c r="D1427" s="72">
        <v>0</v>
      </c>
    </row>
    <row r="1428" spans="1:4" x14ac:dyDescent="0.2">
      <c r="A1428" s="71">
        <v>41218</v>
      </c>
      <c r="B1428" s="72">
        <v>0.25</v>
      </c>
      <c r="C1428" s="71">
        <v>41218</v>
      </c>
      <c r="D1428" s="72">
        <v>0</v>
      </c>
    </row>
    <row r="1429" spans="1:4" x14ac:dyDescent="0.2">
      <c r="A1429" s="71">
        <v>41219</v>
      </c>
      <c r="B1429" s="72">
        <v>0.25</v>
      </c>
      <c r="C1429" s="71">
        <v>41219</v>
      </c>
      <c r="D1429" s="72">
        <v>0</v>
      </c>
    </row>
    <row r="1430" spans="1:4" x14ac:dyDescent="0.2">
      <c r="A1430" s="71">
        <v>41220</v>
      </c>
      <c r="B1430" s="72">
        <v>0.25</v>
      </c>
      <c r="C1430" s="71">
        <v>41220</v>
      </c>
      <c r="D1430" s="72">
        <v>0</v>
      </c>
    </row>
    <row r="1431" spans="1:4" x14ac:dyDescent="0.2">
      <c r="A1431" s="71">
        <v>41221</v>
      </c>
      <c r="B1431" s="72">
        <v>0.25</v>
      </c>
      <c r="C1431" s="71">
        <v>41221</v>
      </c>
      <c r="D1431" s="72">
        <v>0</v>
      </c>
    </row>
    <row r="1432" spans="1:4" x14ac:dyDescent="0.2">
      <c r="A1432" s="71">
        <v>41222</v>
      </c>
      <c r="B1432" s="72">
        <v>0.25</v>
      </c>
      <c r="C1432" s="71">
        <v>41222</v>
      </c>
      <c r="D1432" s="72">
        <v>0</v>
      </c>
    </row>
    <row r="1433" spans="1:4" x14ac:dyDescent="0.2">
      <c r="A1433" s="71">
        <v>41223</v>
      </c>
      <c r="B1433" s="72">
        <v>0.25</v>
      </c>
      <c r="C1433" s="71">
        <v>41223</v>
      </c>
      <c r="D1433" s="72">
        <v>0</v>
      </c>
    </row>
    <row r="1434" spans="1:4" x14ac:dyDescent="0.2">
      <c r="A1434" s="71">
        <v>41224</v>
      </c>
      <c r="B1434" s="72">
        <v>0.25</v>
      </c>
      <c r="C1434" s="71">
        <v>41224</v>
      </c>
      <c r="D1434" s="72">
        <v>0</v>
      </c>
    </row>
    <row r="1435" spans="1:4" x14ac:dyDescent="0.2">
      <c r="A1435" s="71">
        <v>41225</v>
      </c>
      <c r="B1435" s="72">
        <v>0.25</v>
      </c>
      <c r="C1435" s="71">
        <v>41225</v>
      </c>
      <c r="D1435" s="72">
        <v>0</v>
      </c>
    </row>
    <row r="1436" spans="1:4" x14ac:dyDescent="0.2">
      <c r="A1436" s="71">
        <v>41226</v>
      </c>
      <c r="B1436" s="72">
        <v>0.25</v>
      </c>
      <c r="C1436" s="71">
        <v>41226</v>
      </c>
      <c r="D1436" s="72">
        <v>0</v>
      </c>
    </row>
    <row r="1437" spans="1:4" x14ac:dyDescent="0.2">
      <c r="A1437" s="71">
        <v>41227</v>
      </c>
      <c r="B1437" s="72">
        <v>0.25</v>
      </c>
      <c r="C1437" s="71">
        <v>41227</v>
      </c>
      <c r="D1437" s="72">
        <v>0</v>
      </c>
    </row>
    <row r="1438" spans="1:4" x14ac:dyDescent="0.2">
      <c r="A1438" s="71">
        <v>41228</v>
      </c>
      <c r="B1438" s="72">
        <v>0.25</v>
      </c>
      <c r="C1438" s="71">
        <v>41228</v>
      </c>
      <c r="D1438" s="72">
        <v>0</v>
      </c>
    </row>
    <row r="1439" spans="1:4" x14ac:dyDescent="0.2">
      <c r="A1439" s="71">
        <v>41229</v>
      </c>
      <c r="B1439" s="72">
        <v>0.25</v>
      </c>
      <c r="C1439" s="71">
        <v>41229</v>
      </c>
      <c r="D1439" s="72">
        <v>0</v>
      </c>
    </row>
    <row r="1440" spans="1:4" x14ac:dyDescent="0.2">
      <c r="A1440" s="71">
        <v>41230</v>
      </c>
      <c r="B1440" s="72">
        <v>0.25</v>
      </c>
      <c r="C1440" s="71">
        <v>41230</v>
      </c>
      <c r="D1440" s="72">
        <v>0</v>
      </c>
    </row>
    <row r="1441" spans="1:4" x14ac:dyDescent="0.2">
      <c r="A1441" s="71">
        <v>41231</v>
      </c>
      <c r="B1441" s="72">
        <v>0.25</v>
      </c>
      <c r="C1441" s="71">
        <v>41231</v>
      </c>
      <c r="D1441" s="72">
        <v>0</v>
      </c>
    </row>
    <row r="1442" spans="1:4" x14ac:dyDescent="0.2">
      <c r="A1442" s="71">
        <v>41232</v>
      </c>
      <c r="B1442" s="72">
        <v>0.25</v>
      </c>
      <c r="C1442" s="71">
        <v>41232</v>
      </c>
      <c r="D1442" s="72">
        <v>0</v>
      </c>
    </row>
    <row r="1443" spans="1:4" x14ac:dyDescent="0.2">
      <c r="A1443" s="71">
        <v>41233</v>
      </c>
      <c r="B1443" s="72">
        <v>0.25</v>
      </c>
      <c r="C1443" s="71">
        <v>41233</v>
      </c>
      <c r="D1443" s="72">
        <v>0</v>
      </c>
    </row>
    <row r="1444" spans="1:4" x14ac:dyDescent="0.2">
      <c r="A1444" s="71">
        <v>41234</v>
      </c>
      <c r="B1444" s="72">
        <v>0.25</v>
      </c>
      <c r="C1444" s="71">
        <v>41234</v>
      </c>
      <c r="D1444" s="72">
        <v>0</v>
      </c>
    </row>
    <row r="1445" spans="1:4" x14ac:dyDescent="0.2">
      <c r="A1445" s="71">
        <v>41235</v>
      </c>
      <c r="B1445" s="72">
        <v>0.25</v>
      </c>
      <c r="C1445" s="71">
        <v>41235</v>
      </c>
      <c r="D1445" s="72">
        <v>0</v>
      </c>
    </row>
    <row r="1446" spans="1:4" x14ac:dyDescent="0.2">
      <c r="A1446" s="71">
        <v>41236</v>
      </c>
      <c r="B1446" s="72">
        <v>0.25</v>
      </c>
      <c r="C1446" s="71">
        <v>41236</v>
      </c>
      <c r="D1446" s="72">
        <v>0</v>
      </c>
    </row>
    <row r="1447" spans="1:4" x14ac:dyDescent="0.2">
      <c r="A1447" s="71">
        <v>41237</v>
      </c>
      <c r="B1447" s="72">
        <v>0.25</v>
      </c>
      <c r="C1447" s="71">
        <v>41237</v>
      </c>
      <c r="D1447" s="72">
        <v>0</v>
      </c>
    </row>
    <row r="1448" spans="1:4" x14ac:dyDescent="0.2">
      <c r="A1448" s="71">
        <v>41238</v>
      </c>
      <c r="B1448" s="72">
        <v>0.25</v>
      </c>
      <c r="C1448" s="71">
        <v>41238</v>
      </c>
      <c r="D1448" s="72">
        <v>0</v>
      </c>
    </row>
    <row r="1449" spans="1:4" x14ac:dyDescent="0.2">
      <c r="A1449" s="71">
        <v>41239</v>
      </c>
      <c r="B1449" s="72">
        <v>0.25</v>
      </c>
      <c r="C1449" s="71">
        <v>41239</v>
      </c>
      <c r="D1449" s="72">
        <v>0</v>
      </c>
    </row>
    <row r="1450" spans="1:4" x14ac:dyDescent="0.2">
      <c r="A1450" s="71">
        <v>41240</v>
      </c>
      <c r="B1450" s="72">
        <v>0.25</v>
      </c>
      <c r="C1450" s="71">
        <v>41240</v>
      </c>
      <c r="D1450" s="72">
        <v>0</v>
      </c>
    </row>
    <row r="1451" spans="1:4" x14ac:dyDescent="0.2">
      <c r="A1451" s="71">
        <v>41241</v>
      </c>
      <c r="B1451" s="72">
        <v>0.25</v>
      </c>
      <c r="C1451" s="71">
        <v>41241</v>
      </c>
      <c r="D1451" s="72">
        <v>0</v>
      </c>
    </row>
    <row r="1452" spans="1:4" x14ac:dyDescent="0.2">
      <c r="A1452" s="71">
        <v>41242</v>
      </c>
      <c r="B1452" s="72">
        <v>0.25</v>
      </c>
      <c r="C1452" s="71">
        <v>41242</v>
      </c>
      <c r="D1452" s="72">
        <v>0</v>
      </c>
    </row>
    <row r="1453" spans="1:4" x14ac:dyDescent="0.2">
      <c r="A1453" s="71">
        <v>41243</v>
      </c>
      <c r="B1453" s="72">
        <v>0.25</v>
      </c>
      <c r="C1453" s="71">
        <v>41243</v>
      </c>
      <c r="D1453" s="72">
        <v>0</v>
      </c>
    </row>
    <row r="1454" spans="1:4" x14ac:dyDescent="0.2">
      <c r="A1454" s="71">
        <v>41244</v>
      </c>
      <c r="B1454" s="72">
        <v>0.25</v>
      </c>
      <c r="C1454" s="71">
        <v>41244</v>
      </c>
      <c r="D1454" s="72">
        <v>0</v>
      </c>
    </row>
    <row r="1455" spans="1:4" x14ac:dyDescent="0.2">
      <c r="A1455" s="71">
        <v>41245</v>
      </c>
      <c r="B1455" s="72">
        <v>0.25</v>
      </c>
      <c r="C1455" s="71">
        <v>41245</v>
      </c>
      <c r="D1455" s="72">
        <v>0</v>
      </c>
    </row>
    <row r="1456" spans="1:4" x14ac:dyDescent="0.2">
      <c r="A1456" s="71">
        <v>41246</v>
      </c>
      <c r="B1456" s="72">
        <v>0.25</v>
      </c>
      <c r="C1456" s="71">
        <v>41246</v>
      </c>
      <c r="D1456" s="72">
        <v>0</v>
      </c>
    </row>
    <row r="1457" spans="1:4" x14ac:dyDescent="0.2">
      <c r="A1457" s="71">
        <v>41247</v>
      </c>
      <c r="B1457" s="72">
        <v>0.25</v>
      </c>
      <c r="C1457" s="71">
        <v>41247</v>
      </c>
      <c r="D1457" s="72">
        <v>0</v>
      </c>
    </row>
    <row r="1458" spans="1:4" x14ac:dyDescent="0.2">
      <c r="A1458" s="71">
        <v>41248</v>
      </c>
      <c r="B1458" s="72">
        <v>0.25</v>
      </c>
      <c r="C1458" s="71">
        <v>41248</v>
      </c>
      <c r="D1458" s="72">
        <v>0</v>
      </c>
    </row>
    <row r="1459" spans="1:4" x14ac:dyDescent="0.2">
      <c r="A1459" s="71">
        <v>41249</v>
      </c>
      <c r="B1459" s="72">
        <v>0.25</v>
      </c>
      <c r="C1459" s="71">
        <v>41249</v>
      </c>
      <c r="D1459" s="72">
        <v>0</v>
      </c>
    </row>
    <row r="1460" spans="1:4" x14ac:dyDescent="0.2">
      <c r="A1460" s="71">
        <v>41250</v>
      </c>
      <c r="B1460" s="72">
        <v>0.25</v>
      </c>
      <c r="C1460" s="71">
        <v>41250</v>
      </c>
      <c r="D1460" s="72">
        <v>0</v>
      </c>
    </row>
    <row r="1461" spans="1:4" x14ac:dyDescent="0.2">
      <c r="A1461" s="71">
        <v>41251</v>
      </c>
      <c r="B1461" s="72">
        <v>0.25</v>
      </c>
      <c r="C1461" s="71">
        <v>41251</v>
      </c>
      <c r="D1461" s="72">
        <v>0</v>
      </c>
    </row>
    <row r="1462" spans="1:4" x14ac:dyDescent="0.2">
      <c r="A1462" s="71">
        <v>41252</v>
      </c>
      <c r="B1462" s="72">
        <v>0.25</v>
      </c>
      <c r="C1462" s="71">
        <v>41252</v>
      </c>
      <c r="D1462" s="72">
        <v>0</v>
      </c>
    </row>
    <row r="1463" spans="1:4" x14ac:dyDescent="0.2">
      <c r="A1463" s="71">
        <v>41253</v>
      </c>
      <c r="B1463" s="72">
        <v>0.25</v>
      </c>
      <c r="C1463" s="71">
        <v>41253</v>
      </c>
      <c r="D1463" s="72">
        <v>0</v>
      </c>
    </row>
    <row r="1464" spans="1:4" x14ac:dyDescent="0.2">
      <c r="A1464" s="71">
        <v>41254</v>
      </c>
      <c r="B1464" s="72">
        <v>0.25</v>
      </c>
      <c r="C1464" s="71">
        <v>41254</v>
      </c>
      <c r="D1464" s="72">
        <v>0</v>
      </c>
    </row>
    <row r="1465" spans="1:4" x14ac:dyDescent="0.2">
      <c r="A1465" s="71">
        <v>41255</v>
      </c>
      <c r="B1465" s="72">
        <v>0.25</v>
      </c>
      <c r="C1465" s="71">
        <v>41255</v>
      </c>
      <c r="D1465" s="72">
        <v>0</v>
      </c>
    </row>
    <row r="1466" spans="1:4" x14ac:dyDescent="0.2">
      <c r="A1466" s="71">
        <v>41256</v>
      </c>
      <c r="B1466" s="72">
        <v>0.25</v>
      </c>
      <c r="C1466" s="71">
        <v>41256</v>
      </c>
      <c r="D1466" s="72">
        <v>0</v>
      </c>
    </row>
    <row r="1467" spans="1:4" x14ac:dyDescent="0.2">
      <c r="A1467" s="71">
        <v>41257</v>
      </c>
      <c r="B1467" s="72">
        <v>0.25</v>
      </c>
      <c r="C1467" s="71">
        <v>41257</v>
      </c>
      <c r="D1467" s="72">
        <v>0</v>
      </c>
    </row>
    <row r="1468" spans="1:4" x14ac:dyDescent="0.2">
      <c r="A1468" s="71">
        <v>41258</v>
      </c>
      <c r="B1468" s="72">
        <v>0.25</v>
      </c>
      <c r="C1468" s="71">
        <v>41258</v>
      </c>
      <c r="D1468" s="72">
        <v>0</v>
      </c>
    </row>
    <row r="1469" spans="1:4" x14ac:dyDescent="0.2">
      <c r="A1469" s="71">
        <v>41259</v>
      </c>
      <c r="B1469" s="72">
        <v>0.25</v>
      </c>
      <c r="C1469" s="71">
        <v>41259</v>
      </c>
      <c r="D1469" s="72">
        <v>0</v>
      </c>
    </row>
    <row r="1470" spans="1:4" x14ac:dyDescent="0.2">
      <c r="A1470" s="71">
        <v>41260</v>
      </c>
      <c r="B1470" s="72">
        <v>0.25</v>
      </c>
      <c r="C1470" s="71">
        <v>41260</v>
      </c>
      <c r="D1470" s="72">
        <v>0</v>
      </c>
    </row>
    <row r="1471" spans="1:4" x14ac:dyDescent="0.2">
      <c r="A1471" s="71">
        <v>41261</v>
      </c>
      <c r="B1471" s="72">
        <v>0.25</v>
      </c>
      <c r="C1471" s="71">
        <v>41261</v>
      </c>
      <c r="D1471" s="72">
        <v>0</v>
      </c>
    </row>
    <row r="1472" spans="1:4" x14ac:dyDescent="0.2">
      <c r="A1472" s="71">
        <v>41262</v>
      </c>
      <c r="B1472" s="72">
        <v>0.25</v>
      </c>
      <c r="C1472" s="71">
        <v>41262</v>
      </c>
      <c r="D1472" s="72">
        <v>0</v>
      </c>
    </row>
    <row r="1473" spans="1:4" x14ac:dyDescent="0.2">
      <c r="A1473" s="71">
        <v>41263</v>
      </c>
      <c r="B1473" s="72">
        <v>0.25</v>
      </c>
      <c r="C1473" s="71">
        <v>41263</v>
      </c>
      <c r="D1473" s="72">
        <v>0</v>
      </c>
    </row>
    <row r="1474" spans="1:4" x14ac:dyDescent="0.2">
      <c r="A1474" s="71">
        <v>41264</v>
      </c>
      <c r="B1474" s="72">
        <v>0.25</v>
      </c>
      <c r="C1474" s="71">
        <v>41264</v>
      </c>
      <c r="D1474" s="72">
        <v>0</v>
      </c>
    </row>
    <row r="1475" spans="1:4" x14ac:dyDescent="0.2">
      <c r="A1475" s="71">
        <v>41265</v>
      </c>
      <c r="B1475" s="72">
        <v>0.25</v>
      </c>
      <c r="C1475" s="71">
        <v>41265</v>
      </c>
      <c r="D1475" s="72">
        <v>0</v>
      </c>
    </row>
    <row r="1476" spans="1:4" x14ac:dyDescent="0.2">
      <c r="A1476" s="71">
        <v>41266</v>
      </c>
      <c r="B1476" s="72">
        <v>0.25</v>
      </c>
      <c r="C1476" s="71">
        <v>41266</v>
      </c>
      <c r="D1476" s="72">
        <v>0</v>
      </c>
    </row>
    <row r="1477" spans="1:4" x14ac:dyDescent="0.2">
      <c r="A1477" s="71">
        <v>41267</v>
      </c>
      <c r="B1477" s="72">
        <v>0.25</v>
      </c>
      <c r="C1477" s="71">
        <v>41267</v>
      </c>
      <c r="D1477" s="72">
        <v>0</v>
      </c>
    </row>
    <row r="1478" spans="1:4" x14ac:dyDescent="0.2">
      <c r="A1478" s="71">
        <v>41268</v>
      </c>
      <c r="B1478" s="72">
        <v>0.25</v>
      </c>
      <c r="C1478" s="71">
        <v>41268</v>
      </c>
      <c r="D1478" s="72">
        <v>0</v>
      </c>
    </row>
    <row r="1479" spans="1:4" x14ac:dyDescent="0.2">
      <c r="A1479" s="71">
        <v>41269</v>
      </c>
      <c r="B1479" s="72">
        <v>0.25</v>
      </c>
      <c r="C1479" s="71">
        <v>41269</v>
      </c>
      <c r="D1479" s="72">
        <v>0</v>
      </c>
    </row>
    <row r="1480" spans="1:4" x14ac:dyDescent="0.2">
      <c r="A1480" s="71">
        <v>41270</v>
      </c>
      <c r="B1480" s="72">
        <v>0.25</v>
      </c>
      <c r="C1480" s="71">
        <v>41270</v>
      </c>
      <c r="D1480" s="72">
        <v>0</v>
      </c>
    </row>
    <row r="1481" spans="1:4" x14ac:dyDescent="0.2">
      <c r="A1481" s="71">
        <v>41271</v>
      </c>
      <c r="B1481" s="72">
        <v>0.25</v>
      </c>
      <c r="C1481" s="71">
        <v>41271</v>
      </c>
      <c r="D1481" s="72">
        <v>0</v>
      </c>
    </row>
    <row r="1482" spans="1:4" x14ac:dyDescent="0.2">
      <c r="A1482" s="71">
        <v>41272</v>
      </c>
      <c r="B1482" s="72">
        <v>0.25</v>
      </c>
      <c r="C1482" s="71">
        <v>41272</v>
      </c>
      <c r="D1482" s="72">
        <v>0</v>
      </c>
    </row>
    <row r="1483" spans="1:4" x14ac:dyDescent="0.2">
      <c r="A1483" s="71">
        <v>41273</v>
      </c>
      <c r="B1483" s="72">
        <v>0.25</v>
      </c>
      <c r="C1483" s="71">
        <v>41273</v>
      </c>
      <c r="D1483" s="72">
        <v>0</v>
      </c>
    </row>
    <row r="1484" spans="1:4" x14ac:dyDescent="0.2">
      <c r="A1484" s="71">
        <v>41274</v>
      </c>
      <c r="B1484" s="72">
        <v>0.25</v>
      </c>
      <c r="C1484" s="71">
        <v>41274</v>
      </c>
      <c r="D1484" s="72">
        <v>0</v>
      </c>
    </row>
    <row r="1485" spans="1:4" x14ac:dyDescent="0.2">
      <c r="A1485" s="71">
        <v>41275</v>
      </c>
      <c r="B1485" s="72">
        <v>0.25</v>
      </c>
      <c r="C1485" s="71">
        <v>41275</v>
      </c>
      <c r="D1485" s="72">
        <v>0</v>
      </c>
    </row>
    <row r="1486" spans="1:4" x14ac:dyDescent="0.2">
      <c r="A1486" s="71">
        <v>41276</v>
      </c>
      <c r="B1486" s="72">
        <v>0.25</v>
      </c>
      <c r="C1486" s="71">
        <v>41276</v>
      </c>
      <c r="D1486" s="72">
        <v>0</v>
      </c>
    </row>
    <row r="1487" spans="1:4" x14ac:dyDescent="0.2">
      <c r="A1487" s="71">
        <v>41277</v>
      </c>
      <c r="B1487" s="72">
        <v>0.25</v>
      </c>
      <c r="C1487" s="71">
        <v>41277</v>
      </c>
      <c r="D1487" s="72">
        <v>0</v>
      </c>
    </row>
    <row r="1488" spans="1:4" x14ac:dyDescent="0.2">
      <c r="A1488" s="71">
        <v>41278</v>
      </c>
      <c r="B1488" s="72">
        <v>0.25</v>
      </c>
      <c r="C1488" s="71">
        <v>41278</v>
      </c>
      <c r="D1488" s="72">
        <v>0</v>
      </c>
    </row>
    <row r="1489" spans="1:4" x14ac:dyDescent="0.2">
      <c r="A1489" s="71">
        <v>41279</v>
      </c>
      <c r="B1489" s="72">
        <v>0.25</v>
      </c>
      <c r="C1489" s="71">
        <v>41279</v>
      </c>
      <c r="D1489" s="72">
        <v>0</v>
      </c>
    </row>
    <row r="1490" spans="1:4" x14ac:dyDescent="0.2">
      <c r="A1490" s="71">
        <v>41280</v>
      </c>
      <c r="B1490" s="72">
        <v>0.25</v>
      </c>
      <c r="C1490" s="71">
        <v>41280</v>
      </c>
      <c r="D1490" s="72">
        <v>0</v>
      </c>
    </row>
    <row r="1491" spans="1:4" x14ac:dyDescent="0.2">
      <c r="A1491" s="71">
        <v>41281</v>
      </c>
      <c r="B1491" s="72">
        <v>0.25</v>
      </c>
      <c r="C1491" s="71">
        <v>41281</v>
      </c>
      <c r="D1491" s="72">
        <v>0</v>
      </c>
    </row>
    <row r="1492" spans="1:4" x14ac:dyDescent="0.2">
      <c r="A1492" s="71">
        <v>41282</v>
      </c>
      <c r="B1492" s="72">
        <v>0.25</v>
      </c>
      <c r="C1492" s="71">
        <v>41282</v>
      </c>
      <c r="D1492" s="72">
        <v>0</v>
      </c>
    </row>
    <row r="1493" spans="1:4" x14ac:dyDescent="0.2">
      <c r="A1493" s="71">
        <v>41283</v>
      </c>
      <c r="B1493" s="72">
        <v>0.25</v>
      </c>
      <c r="C1493" s="71">
        <v>41283</v>
      </c>
      <c r="D1493" s="72">
        <v>0</v>
      </c>
    </row>
    <row r="1494" spans="1:4" x14ac:dyDescent="0.2">
      <c r="A1494" s="71">
        <v>41284</v>
      </c>
      <c r="B1494" s="72">
        <v>0.25</v>
      </c>
      <c r="C1494" s="71">
        <v>41284</v>
      </c>
      <c r="D1494" s="72">
        <v>0</v>
      </c>
    </row>
    <row r="1495" spans="1:4" x14ac:dyDescent="0.2">
      <c r="A1495" s="71">
        <v>41285</v>
      </c>
      <c r="B1495" s="72">
        <v>0.25</v>
      </c>
      <c r="C1495" s="71">
        <v>41285</v>
      </c>
      <c r="D1495" s="72">
        <v>0</v>
      </c>
    </row>
    <row r="1496" spans="1:4" x14ac:dyDescent="0.2">
      <c r="A1496" s="71">
        <v>41286</v>
      </c>
      <c r="B1496" s="72">
        <v>0.25</v>
      </c>
      <c r="C1496" s="71">
        <v>41286</v>
      </c>
      <c r="D1496" s="72">
        <v>0</v>
      </c>
    </row>
    <row r="1497" spans="1:4" x14ac:dyDescent="0.2">
      <c r="A1497" s="71">
        <v>41287</v>
      </c>
      <c r="B1497" s="72">
        <v>0.25</v>
      </c>
      <c r="C1497" s="71">
        <v>41287</v>
      </c>
      <c r="D1497" s="72">
        <v>0</v>
      </c>
    </row>
    <row r="1498" spans="1:4" x14ac:dyDescent="0.2">
      <c r="A1498" s="71">
        <v>41288</v>
      </c>
      <c r="B1498" s="72">
        <v>0.25</v>
      </c>
      <c r="C1498" s="71">
        <v>41288</v>
      </c>
      <c r="D1498" s="72">
        <v>0</v>
      </c>
    </row>
    <row r="1499" spans="1:4" x14ac:dyDescent="0.2">
      <c r="A1499" s="71">
        <v>41289</v>
      </c>
      <c r="B1499" s="72">
        <v>0.25</v>
      </c>
      <c r="C1499" s="71">
        <v>41289</v>
      </c>
      <c r="D1499" s="72">
        <v>0</v>
      </c>
    </row>
    <row r="1500" spans="1:4" x14ac:dyDescent="0.2">
      <c r="A1500" s="71">
        <v>41290</v>
      </c>
      <c r="B1500" s="72">
        <v>0.25</v>
      </c>
      <c r="C1500" s="71">
        <v>41290</v>
      </c>
      <c r="D1500" s="72">
        <v>0</v>
      </c>
    </row>
    <row r="1501" spans="1:4" x14ac:dyDescent="0.2">
      <c r="A1501" s="71">
        <v>41291</v>
      </c>
      <c r="B1501" s="72">
        <v>0.25</v>
      </c>
      <c r="C1501" s="71">
        <v>41291</v>
      </c>
      <c r="D1501" s="72">
        <v>0</v>
      </c>
    </row>
    <row r="1502" spans="1:4" x14ac:dyDescent="0.2">
      <c r="A1502" s="71">
        <v>41292</v>
      </c>
      <c r="B1502" s="72">
        <v>0.25</v>
      </c>
      <c r="C1502" s="71">
        <v>41292</v>
      </c>
      <c r="D1502" s="72">
        <v>0</v>
      </c>
    </row>
    <row r="1503" spans="1:4" x14ac:dyDescent="0.2">
      <c r="A1503" s="71">
        <v>41293</v>
      </c>
      <c r="B1503" s="72">
        <v>0.25</v>
      </c>
      <c r="C1503" s="71">
        <v>41293</v>
      </c>
      <c r="D1503" s="72">
        <v>0</v>
      </c>
    </row>
    <row r="1504" spans="1:4" x14ac:dyDescent="0.2">
      <c r="A1504" s="71">
        <v>41294</v>
      </c>
      <c r="B1504" s="72">
        <v>0.25</v>
      </c>
      <c r="C1504" s="71">
        <v>41294</v>
      </c>
      <c r="D1504" s="72">
        <v>0</v>
      </c>
    </row>
    <row r="1505" spans="1:4" x14ac:dyDescent="0.2">
      <c r="A1505" s="71">
        <v>41295</v>
      </c>
      <c r="B1505" s="72">
        <v>0.25</v>
      </c>
      <c r="C1505" s="71">
        <v>41295</v>
      </c>
      <c r="D1505" s="72">
        <v>0</v>
      </c>
    </row>
    <row r="1506" spans="1:4" x14ac:dyDescent="0.2">
      <c r="A1506" s="71">
        <v>41296</v>
      </c>
      <c r="B1506" s="72">
        <v>0.25</v>
      </c>
      <c r="C1506" s="71">
        <v>41296</v>
      </c>
      <c r="D1506" s="72">
        <v>0</v>
      </c>
    </row>
    <row r="1507" spans="1:4" x14ac:dyDescent="0.2">
      <c r="A1507" s="71">
        <v>41297</v>
      </c>
      <c r="B1507" s="72">
        <v>0.25</v>
      </c>
      <c r="C1507" s="71">
        <v>41297</v>
      </c>
      <c r="D1507" s="72">
        <v>0</v>
      </c>
    </row>
    <row r="1508" spans="1:4" x14ac:dyDescent="0.2">
      <c r="A1508" s="71">
        <v>41298</v>
      </c>
      <c r="B1508" s="72">
        <v>0.25</v>
      </c>
      <c r="C1508" s="71">
        <v>41298</v>
      </c>
      <c r="D1508" s="72">
        <v>0</v>
      </c>
    </row>
    <row r="1509" spans="1:4" x14ac:dyDescent="0.2">
      <c r="A1509" s="71">
        <v>41299</v>
      </c>
      <c r="B1509" s="72">
        <v>0.25</v>
      </c>
      <c r="C1509" s="71">
        <v>41299</v>
      </c>
      <c r="D1509" s="72">
        <v>0</v>
      </c>
    </row>
    <row r="1510" spans="1:4" x14ac:dyDescent="0.2">
      <c r="A1510" s="71">
        <v>41300</v>
      </c>
      <c r="B1510" s="72">
        <v>0.25</v>
      </c>
      <c r="C1510" s="71">
        <v>41300</v>
      </c>
      <c r="D1510" s="72">
        <v>0</v>
      </c>
    </row>
    <row r="1511" spans="1:4" x14ac:dyDescent="0.2">
      <c r="A1511" s="71">
        <v>41301</v>
      </c>
      <c r="B1511" s="72">
        <v>0.25</v>
      </c>
      <c r="C1511" s="71">
        <v>41301</v>
      </c>
      <c r="D1511" s="72">
        <v>0</v>
      </c>
    </row>
    <row r="1512" spans="1:4" x14ac:dyDescent="0.2">
      <c r="A1512" s="71">
        <v>41302</v>
      </c>
      <c r="B1512" s="72">
        <v>0.25</v>
      </c>
      <c r="C1512" s="71">
        <v>41302</v>
      </c>
      <c r="D1512" s="72">
        <v>0</v>
      </c>
    </row>
    <row r="1513" spans="1:4" x14ac:dyDescent="0.2">
      <c r="A1513" s="71">
        <v>41303</v>
      </c>
      <c r="B1513" s="72">
        <v>0.25</v>
      </c>
      <c r="C1513" s="71">
        <v>41303</v>
      </c>
      <c r="D1513" s="72">
        <v>0</v>
      </c>
    </row>
    <row r="1514" spans="1:4" x14ac:dyDescent="0.2">
      <c r="A1514" s="71">
        <v>41304</v>
      </c>
      <c r="B1514" s="72">
        <v>0.25</v>
      </c>
      <c r="C1514" s="71">
        <v>41304</v>
      </c>
      <c r="D1514" s="72">
        <v>0</v>
      </c>
    </row>
    <row r="1515" spans="1:4" x14ac:dyDescent="0.2">
      <c r="A1515" s="71">
        <v>41305</v>
      </c>
      <c r="B1515" s="72">
        <v>0.25</v>
      </c>
      <c r="C1515" s="71">
        <v>41305</v>
      </c>
      <c r="D1515" s="72">
        <v>0</v>
      </c>
    </row>
    <row r="1516" spans="1:4" x14ac:dyDescent="0.2">
      <c r="A1516" s="71">
        <v>41306</v>
      </c>
      <c r="B1516" s="72">
        <v>0.25</v>
      </c>
      <c r="C1516" s="71">
        <v>41306</v>
      </c>
      <c r="D1516" s="72">
        <v>0</v>
      </c>
    </row>
    <row r="1517" spans="1:4" x14ac:dyDescent="0.2">
      <c r="A1517" s="71">
        <v>41307</v>
      </c>
      <c r="B1517" s="72">
        <v>0.25</v>
      </c>
      <c r="C1517" s="71">
        <v>41307</v>
      </c>
      <c r="D1517" s="72">
        <v>0</v>
      </c>
    </row>
    <row r="1518" spans="1:4" x14ac:dyDescent="0.2">
      <c r="A1518" s="71">
        <v>41308</v>
      </c>
      <c r="B1518" s="72">
        <v>0.25</v>
      </c>
      <c r="C1518" s="71">
        <v>41308</v>
      </c>
      <c r="D1518" s="72">
        <v>0</v>
      </c>
    </row>
    <row r="1519" spans="1:4" x14ac:dyDescent="0.2">
      <c r="A1519" s="71">
        <v>41309</v>
      </c>
      <c r="B1519" s="72">
        <v>0.25</v>
      </c>
      <c r="C1519" s="71">
        <v>41309</v>
      </c>
      <c r="D1519" s="72">
        <v>0</v>
      </c>
    </row>
    <row r="1520" spans="1:4" x14ac:dyDescent="0.2">
      <c r="A1520" s="71">
        <v>41310</v>
      </c>
      <c r="B1520" s="72">
        <v>0.25</v>
      </c>
      <c r="C1520" s="71">
        <v>41310</v>
      </c>
      <c r="D1520" s="72">
        <v>0</v>
      </c>
    </row>
    <row r="1521" spans="1:4" x14ac:dyDescent="0.2">
      <c r="A1521" s="71">
        <v>41311</v>
      </c>
      <c r="B1521" s="72">
        <v>0.25</v>
      </c>
      <c r="C1521" s="71">
        <v>41311</v>
      </c>
      <c r="D1521" s="72">
        <v>0</v>
      </c>
    </row>
    <row r="1522" spans="1:4" x14ac:dyDescent="0.2">
      <c r="A1522" s="71">
        <v>41312</v>
      </c>
      <c r="B1522" s="72">
        <v>0.25</v>
      </c>
      <c r="C1522" s="71">
        <v>41312</v>
      </c>
      <c r="D1522" s="72">
        <v>0</v>
      </c>
    </row>
    <row r="1523" spans="1:4" x14ac:dyDescent="0.2">
      <c r="A1523" s="71">
        <v>41313</v>
      </c>
      <c r="B1523" s="72">
        <v>0.25</v>
      </c>
      <c r="C1523" s="71">
        <v>41313</v>
      </c>
      <c r="D1523" s="72">
        <v>0</v>
      </c>
    </row>
    <row r="1524" spans="1:4" x14ac:dyDescent="0.2">
      <c r="A1524" s="71">
        <v>41314</v>
      </c>
      <c r="B1524" s="72">
        <v>0.25</v>
      </c>
      <c r="C1524" s="71">
        <v>41314</v>
      </c>
      <c r="D1524" s="72">
        <v>0</v>
      </c>
    </row>
    <row r="1525" spans="1:4" x14ac:dyDescent="0.2">
      <c r="A1525" s="71">
        <v>41315</v>
      </c>
      <c r="B1525" s="72">
        <v>0.25</v>
      </c>
      <c r="C1525" s="71">
        <v>41315</v>
      </c>
      <c r="D1525" s="72">
        <v>0</v>
      </c>
    </row>
    <row r="1526" spans="1:4" x14ac:dyDescent="0.2">
      <c r="A1526" s="71">
        <v>41316</v>
      </c>
      <c r="B1526" s="72">
        <v>0.25</v>
      </c>
      <c r="C1526" s="71">
        <v>41316</v>
      </c>
      <c r="D1526" s="72">
        <v>0</v>
      </c>
    </row>
    <row r="1527" spans="1:4" x14ac:dyDescent="0.2">
      <c r="A1527" s="71">
        <v>41317</v>
      </c>
      <c r="B1527" s="72">
        <v>0.25</v>
      </c>
      <c r="C1527" s="71">
        <v>41317</v>
      </c>
      <c r="D1527" s="72">
        <v>0</v>
      </c>
    </row>
    <row r="1528" spans="1:4" x14ac:dyDescent="0.2">
      <c r="A1528" s="71">
        <v>41318</v>
      </c>
      <c r="B1528" s="72">
        <v>0.25</v>
      </c>
      <c r="C1528" s="71">
        <v>41318</v>
      </c>
      <c r="D1528" s="72">
        <v>0</v>
      </c>
    </row>
    <row r="1529" spans="1:4" x14ac:dyDescent="0.2">
      <c r="A1529" s="71">
        <v>41319</v>
      </c>
      <c r="B1529" s="72">
        <v>0.25</v>
      </c>
      <c r="C1529" s="71">
        <v>41319</v>
      </c>
      <c r="D1529" s="72">
        <v>0</v>
      </c>
    </row>
    <row r="1530" spans="1:4" x14ac:dyDescent="0.2">
      <c r="A1530" s="71">
        <v>41320</v>
      </c>
      <c r="B1530" s="72">
        <v>0.25</v>
      </c>
      <c r="C1530" s="71">
        <v>41320</v>
      </c>
      <c r="D1530" s="72">
        <v>0</v>
      </c>
    </row>
    <row r="1531" spans="1:4" x14ac:dyDescent="0.2">
      <c r="A1531" s="71">
        <v>41321</v>
      </c>
      <c r="B1531" s="72">
        <v>0.25</v>
      </c>
      <c r="C1531" s="71">
        <v>41321</v>
      </c>
      <c r="D1531" s="72">
        <v>0</v>
      </c>
    </row>
    <row r="1532" spans="1:4" x14ac:dyDescent="0.2">
      <c r="A1532" s="71">
        <v>41322</v>
      </c>
      <c r="B1532" s="72">
        <v>0.25</v>
      </c>
      <c r="C1532" s="71">
        <v>41322</v>
      </c>
      <c r="D1532" s="72">
        <v>0</v>
      </c>
    </row>
    <row r="1533" spans="1:4" x14ac:dyDescent="0.2">
      <c r="A1533" s="71">
        <v>41323</v>
      </c>
      <c r="B1533" s="72">
        <v>0.25</v>
      </c>
      <c r="C1533" s="71">
        <v>41323</v>
      </c>
      <c r="D1533" s="72">
        <v>0</v>
      </c>
    </row>
    <row r="1534" spans="1:4" x14ac:dyDescent="0.2">
      <c r="A1534" s="71">
        <v>41324</v>
      </c>
      <c r="B1534" s="72">
        <v>0.25</v>
      </c>
      <c r="C1534" s="71">
        <v>41324</v>
      </c>
      <c r="D1534" s="72">
        <v>0</v>
      </c>
    </row>
    <row r="1535" spans="1:4" x14ac:dyDescent="0.2">
      <c r="A1535" s="71">
        <v>41325</v>
      </c>
      <c r="B1535" s="72">
        <v>0.25</v>
      </c>
      <c r="C1535" s="71">
        <v>41325</v>
      </c>
      <c r="D1535" s="72">
        <v>0</v>
      </c>
    </row>
    <row r="1536" spans="1:4" x14ac:dyDescent="0.2">
      <c r="A1536" s="71">
        <v>41326</v>
      </c>
      <c r="B1536" s="72">
        <v>0.25</v>
      </c>
      <c r="C1536" s="71">
        <v>41326</v>
      </c>
      <c r="D1536" s="72">
        <v>0</v>
      </c>
    </row>
    <row r="1537" spans="1:4" x14ac:dyDescent="0.2">
      <c r="A1537" s="71">
        <v>41327</v>
      </c>
      <c r="B1537" s="72">
        <v>0.25</v>
      </c>
      <c r="C1537" s="71">
        <v>41327</v>
      </c>
      <c r="D1537" s="72">
        <v>0</v>
      </c>
    </row>
    <row r="1538" spans="1:4" x14ac:dyDescent="0.2">
      <c r="A1538" s="71">
        <v>41328</v>
      </c>
      <c r="B1538" s="72">
        <v>0.25</v>
      </c>
      <c r="C1538" s="71">
        <v>41328</v>
      </c>
      <c r="D1538" s="72">
        <v>0</v>
      </c>
    </row>
    <row r="1539" spans="1:4" x14ac:dyDescent="0.2">
      <c r="A1539" s="71">
        <v>41329</v>
      </c>
      <c r="B1539" s="72">
        <v>0.25</v>
      </c>
      <c r="C1539" s="71">
        <v>41329</v>
      </c>
      <c r="D1539" s="72">
        <v>0</v>
      </c>
    </row>
    <row r="1540" spans="1:4" x14ac:dyDescent="0.2">
      <c r="A1540" s="71">
        <v>41330</v>
      </c>
      <c r="B1540" s="72">
        <v>0.25</v>
      </c>
      <c r="C1540" s="71">
        <v>41330</v>
      </c>
      <c r="D1540" s="72">
        <v>0</v>
      </c>
    </row>
    <row r="1541" spans="1:4" x14ac:dyDescent="0.2">
      <c r="A1541" s="71">
        <v>41331</v>
      </c>
      <c r="B1541" s="72">
        <v>0.25</v>
      </c>
      <c r="C1541" s="71">
        <v>41331</v>
      </c>
      <c r="D1541" s="72">
        <v>0</v>
      </c>
    </row>
    <row r="1542" spans="1:4" x14ac:dyDescent="0.2">
      <c r="A1542" s="71">
        <v>41332</v>
      </c>
      <c r="B1542" s="72">
        <v>0.25</v>
      </c>
      <c r="C1542" s="71">
        <v>41332</v>
      </c>
      <c r="D1542" s="72">
        <v>0</v>
      </c>
    </row>
    <row r="1543" spans="1:4" x14ac:dyDescent="0.2">
      <c r="A1543" s="71">
        <v>41333</v>
      </c>
      <c r="B1543" s="72">
        <v>0.25</v>
      </c>
      <c r="C1543" s="71">
        <v>41333</v>
      </c>
      <c r="D1543" s="72">
        <v>0</v>
      </c>
    </row>
    <row r="1544" spans="1:4" x14ac:dyDescent="0.2">
      <c r="A1544" s="71">
        <v>41334</v>
      </c>
      <c r="B1544" s="72">
        <v>0.25</v>
      </c>
      <c r="C1544" s="71">
        <v>41334</v>
      </c>
      <c r="D1544" s="72">
        <v>0</v>
      </c>
    </row>
    <row r="1545" spans="1:4" x14ac:dyDescent="0.2">
      <c r="A1545" s="71">
        <v>41335</v>
      </c>
      <c r="B1545" s="72">
        <v>0.25</v>
      </c>
      <c r="C1545" s="71">
        <v>41335</v>
      </c>
      <c r="D1545" s="72">
        <v>0</v>
      </c>
    </row>
    <row r="1546" spans="1:4" x14ac:dyDescent="0.2">
      <c r="A1546" s="71">
        <v>41336</v>
      </c>
      <c r="B1546" s="72">
        <v>0.25</v>
      </c>
      <c r="C1546" s="71">
        <v>41336</v>
      </c>
      <c r="D1546" s="72">
        <v>0</v>
      </c>
    </row>
    <row r="1547" spans="1:4" x14ac:dyDescent="0.2">
      <c r="A1547" s="71">
        <v>41337</v>
      </c>
      <c r="B1547" s="72">
        <v>0.25</v>
      </c>
      <c r="C1547" s="71">
        <v>41337</v>
      </c>
      <c r="D1547" s="72">
        <v>0</v>
      </c>
    </row>
    <row r="1548" spans="1:4" x14ac:dyDescent="0.2">
      <c r="A1548" s="71">
        <v>41338</v>
      </c>
      <c r="B1548" s="72">
        <v>0.25</v>
      </c>
      <c r="C1548" s="71">
        <v>41338</v>
      </c>
      <c r="D1548" s="72">
        <v>0</v>
      </c>
    </row>
    <row r="1549" spans="1:4" x14ac:dyDescent="0.2">
      <c r="A1549" s="71">
        <v>41339</v>
      </c>
      <c r="B1549" s="72">
        <v>0.25</v>
      </c>
      <c r="C1549" s="71">
        <v>41339</v>
      </c>
      <c r="D1549" s="72">
        <v>0</v>
      </c>
    </row>
    <row r="1550" spans="1:4" x14ac:dyDescent="0.2">
      <c r="A1550" s="71">
        <v>41340</v>
      </c>
      <c r="B1550" s="72">
        <v>0.25</v>
      </c>
      <c r="C1550" s="71">
        <v>41340</v>
      </c>
      <c r="D1550" s="72">
        <v>0</v>
      </c>
    </row>
    <row r="1551" spans="1:4" x14ac:dyDescent="0.2">
      <c r="A1551" s="71">
        <v>41341</v>
      </c>
      <c r="B1551" s="72">
        <v>0.25</v>
      </c>
      <c r="C1551" s="71">
        <v>41341</v>
      </c>
      <c r="D1551" s="72">
        <v>0</v>
      </c>
    </row>
    <row r="1552" spans="1:4" x14ac:dyDescent="0.2">
      <c r="A1552" s="71">
        <v>41342</v>
      </c>
      <c r="B1552" s="72">
        <v>0.25</v>
      </c>
      <c r="C1552" s="71">
        <v>41342</v>
      </c>
      <c r="D1552" s="72">
        <v>0</v>
      </c>
    </row>
    <row r="1553" spans="1:4" x14ac:dyDescent="0.2">
      <c r="A1553" s="71">
        <v>41343</v>
      </c>
      <c r="B1553" s="72">
        <v>0.25</v>
      </c>
      <c r="C1553" s="71">
        <v>41343</v>
      </c>
      <c r="D1553" s="72">
        <v>0</v>
      </c>
    </row>
    <row r="1554" spans="1:4" x14ac:dyDescent="0.2">
      <c r="A1554" s="71">
        <v>41344</v>
      </c>
      <c r="B1554" s="72">
        <v>0.25</v>
      </c>
      <c r="C1554" s="71">
        <v>41344</v>
      </c>
      <c r="D1554" s="72">
        <v>0</v>
      </c>
    </row>
    <row r="1555" spans="1:4" x14ac:dyDescent="0.2">
      <c r="A1555" s="71">
        <v>41345</v>
      </c>
      <c r="B1555" s="72">
        <v>0.25</v>
      </c>
      <c r="C1555" s="71">
        <v>41345</v>
      </c>
      <c r="D1555" s="72">
        <v>0</v>
      </c>
    </row>
    <row r="1556" spans="1:4" x14ac:dyDescent="0.2">
      <c r="A1556" s="71">
        <v>41346</v>
      </c>
      <c r="B1556" s="72">
        <v>0.25</v>
      </c>
      <c r="C1556" s="71">
        <v>41346</v>
      </c>
      <c r="D1556" s="72">
        <v>0</v>
      </c>
    </row>
    <row r="1557" spans="1:4" x14ac:dyDescent="0.2">
      <c r="A1557" s="71">
        <v>41347</v>
      </c>
      <c r="B1557" s="72">
        <v>0.25</v>
      </c>
      <c r="C1557" s="71">
        <v>41347</v>
      </c>
      <c r="D1557" s="72">
        <v>0</v>
      </c>
    </row>
    <row r="1558" spans="1:4" x14ac:dyDescent="0.2">
      <c r="A1558" s="71">
        <v>41348</v>
      </c>
      <c r="B1558" s="72">
        <v>0.25</v>
      </c>
      <c r="C1558" s="71">
        <v>41348</v>
      </c>
      <c r="D1558" s="72">
        <v>0</v>
      </c>
    </row>
    <row r="1559" spans="1:4" x14ac:dyDescent="0.2">
      <c r="A1559" s="71">
        <v>41349</v>
      </c>
      <c r="B1559" s="72">
        <v>0.25</v>
      </c>
      <c r="C1559" s="71">
        <v>41349</v>
      </c>
      <c r="D1559" s="72">
        <v>0</v>
      </c>
    </row>
    <row r="1560" spans="1:4" x14ac:dyDescent="0.2">
      <c r="A1560" s="71">
        <v>41350</v>
      </c>
      <c r="B1560" s="72">
        <v>0.25</v>
      </c>
      <c r="C1560" s="71">
        <v>41350</v>
      </c>
      <c r="D1560" s="72">
        <v>0</v>
      </c>
    </row>
    <row r="1561" spans="1:4" x14ac:dyDescent="0.2">
      <c r="A1561" s="71">
        <v>41351</v>
      </c>
      <c r="B1561" s="72">
        <v>0.25</v>
      </c>
      <c r="C1561" s="71">
        <v>41351</v>
      </c>
      <c r="D1561" s="72">
        <v>0</v>
      </c>
    </row>
    <row r="1562" spans="1:4" x14ac:dyDescent="0.2">
      <c r="A1562" s="71">
        <v>41352</v>
      </c>
      <c r="B1562" s="72">
        <v>0.25</v>
      </c>
      <c r="C1562" s="71">
        <v>41352</v>
      </c>
      <c r="D1562" s="72">
        <v>0</v>
      </c>
    </row>
    <row r="1563" spans="1:4" x14ac:dyDescent="0.2">
      <c r="A1563" s="71">
        <v>41353</v>
      </c>
      <c r="B1563" s="72">
        <v>0.25</v>
      </c>
      <c r="C1563" s="71">
        <v>41353</v>
      </c>
      <c r="D1563" s="72">
        <v>0</v>
      </c>
    </row>
    <row r="1564" spans="1:4" x14ac:dyDescent="0.2">
      <c r="A1564" s="71">
        <v>41354</v>
      </c>
      <c r="B1564" s="72">
        <v>0.25</v>
      </c>
      <c r="C1564" s="71">
        <v>41354</v>
      </c>
      <c r="D1564" s="72">
        <v>0</v>
      </c>
    </row>
    <row r="1565" spans="1:4" x14ac:dyDescent="0.2">
      <c r="A1565" s="71">
        <v>41355</v>
      </c>
      <c r="B1565" s="72">
        <v>0.25</v>
      </c>
      <c r="C1565" s="71">
        <v>41355</v>
      </c>
      <c r="D1565" s="72">
        <v>0</v>
      </c>
    </row>
    <row r="1566" spans="1:4" x14ac:dyDescent="0.2">
      <c r="A1566" s="71">
        <v>41356</v>
      </c>
      <c r="B1566" s="72">
        <v>0.25</v>
      </c>
      <c r="C1566" s="71">
        <v>41356</v>
      </c>
      <c r="D1566" s="72">
        <v>0</v>
      </c>
    </row>
    <row r="1567" spans="1:4" x14ac:dyDescent="0.2">
      <c r="A1567" s="71">
        <v>41357</v>
      </c>
      <c r="B1567" s="72">
        <v>0.25</v>
      </c>
      <c r="C1567" s="71">
        <v>41357</v>
      </c>
      <c r="D1567" s="72">
        <v>0</v>
      </c>
    </row>
    <row r="1568" spans="1:4" x14ac:dyDescent="0.2">
      <c r="A1568" s="71">
        <v>41358</v>
      </c>
      <c r="B1568" s="72">
        <v>0.25</v>
      </c>
      <c r="C1568" s="71">
        <v>41358</v>
      </c>
      <c r="D1568" s="72">
        <v>0</v>
      </c>
    </row>
    <row r="1569" spans="1:4" x14ac:dyDescent="0.2">
      <c r="A1569" s="71">
        <v>41359</v>
      </c>
      <c r="B1569" s="72">
        <v>0.25</v>
      </c>
      <c r="C1569" s="71">
        <v>41359</v>
      </c>
      <c r="D1569" s="72">
        <v>0</v>
      </c>
    </row>
    <row r="1570" spans="1:4" x14ac:dyDescent="0.2">
      <c r="A1570" s="71">
        <v>41360</v>
      </c>
      <c r="B1570" s="72">
        <v>0.25</v>
      </c>
      <c r="C1570" s="71">
        <v>41360</v>
      </c>
      <c r="D1570" s="72">
        <v>0</v>
      </c>
    </row>
    <row r="1571" spans="1:4" x14ac:dyDescent="0.2">
      <c r="A1571" s="71">
        <v>41361</v>
      </c>
      <c r="B1571" s="72">
        <v>0.25</v>
      </c>
      <c r="C1571" s="71">
        <v>41361</v>
      </c>
      <c r="D1571" s="72">
        <v>0</v>
      </c>
    </row>
    <row r="1572" spans="1:4" x14ac:dyDescent="0.2">
      <c r="A1572" s="71">
        <v>41362</v>
      </c>
      <c r="B1572" s="72">
        <v>0.25</v>
      </c>
      <c r="C1572" s="71">
        <v>41362</v>
      </c>
      <c r="D1572" s="72">
        <v>0</v>
      </c>
    </row>
    <row r="1573" spans="1:4" x14ac:dyDescent="0.2">
      <c r="A1573" s="71">
        <v>41363</v>
      </c>
      <c r="B1573" s="72">
        <v>0.25</v>
      </c>
      <c r="C1573" s="71">
        <v>41363</v>
      </c>
      <c r="D1573" s="72">
        <v>0</v>
      </c>
    </row>
    <row r="1574" spans="1:4" x14ac:dyDescent="0.2">
      <c r="A1574" s="71">
        <v>41364</v>
      </c>
      <c r="B1574" s="72">
        <v>0.25</v>
      </c>
      <c r="C1574" s="71">
        <v>41364</v>
      </c>
      <c r="D1574" s="72">
        <v>0</v>
      </c>
    </row>
    <row r="1575" spans="1:4" x14ac:dyDescent="0.2">
      <c r="A1575" s="71">
        <v>41365</v>
      </c>
      <c r="B1575" s="72">
        <v>0.25</v>
      </c>
      <c r="C1575" s="71">
        <v>41365</v>
      </c>
      <c r="D1575" s="72">
        <v>0</v>
      </c>
    </row>
    <row r="1576" spans="1:4" x14ac:dyDescent="0.2">
      <c r="A1576" s="71">
        <v>41366</v>
      </c>
      <c r="B1576" s="72">
        <v>0.25</v>
      </c>
      <c r="C1576" s="71">
        <v>41366</v>
      </c>
      <c r="D1576" s="72">
        <v>0</v>
      </c>
    </row>
    <row r="1577" spans="1:4" x14ac:dyDescent="0.2">
      <c r="A1577" s="71">
        <v>41367</v>
      </c>
      <c r="B1577" s="72">
        <v>0.25</v>
      </c>
      <c r="C1577" s="71">
        <v>41367</v>
      </c>
      <c r="D1577" s="72">
        <v>0</v>
      </c>
    </row>
    <row r="1578" spans="1:4" x14ac:dyDescent="0.2">
      <c r="A1578" s="71">
        <v>41368</v>
      </c>
      <c r="B1578" s="72">
        <v>0.25</v>
      </c>
      <c r="C1578" s="71">
        <v>41368</v>
      </c>
      <c r="D1578" s="72">
        <v>0</v>
      </c>
    </row>
    <row r="1579" spans="1:4" x14ac:dyDescent="0.2">
      <c r="A1579" s="71">
        <v>41369</v>
      </c>
      <c r="B1579" s="72">
        <v>0.25</v>
      </c>
      <c r="C1579" s="71">
        <v>41369</v>
      </c>
      <c r="D1579" s="72">
        <v>0</v>
      </c>
    </row>
    <row r="1580" spans="1:4" x14ac:dyDescent="0.2">
      <c r="A1580" s="71">
        <v>41370</v>
      </c>
      <c r="B1580" s="72">
        <v>0.25</v>
      </c>
      <c r="C1580" s="71">
        <v>41370</v>
      </c>
      <c r="D1580" s="72">
        <v>0</v>
      </c>
    </row>
    <row r="1581" spans="1:4" x14ac:dyDescent="0.2">
      <c r="A1581" s="71">
        <v>41371</v>
      </c>
      <c r="B1581" s="72">
        <v>0.25</v>
      </c>
      <c r="C1581" s="71">
        <v>41371</v>
      </c>
      <c r="D1581" s="72">
        <v>0</v>
      </c>
    </row>
    <row r="1582" spans="1:4" x14ac:dyDescent="0.2">
      <c r="A1582" s="71">
        <v>41372</v>
      </c>
      <c r="B1582" s="72">
        <v>0.25</v>
      </c>
      <c r="C1582" s="71">
        <v>41372</v>
      </c>
      <c r="D1582" s="72">
        <v>0</v>
      </c>
    </row>
    <row r="1583" spans="1:4" x14ac:dyDescent="0.2">
      <c r="A1583" s="71">
        <v>41373</v>
      </c>
      <c r="B1583" s="72">
        <v>0.25</v>
      </c>
      <c r="C1583" s="71">
        <v>41373</v>
      </c>
      <c r="D1583" s="72">
        <v>0</v>
      </c>
    </row>
    <row r="1584" spans="1:4" x14ac:dyDescent="0.2">
      <c r="A1584" s="71">
        <v>41374</v>
      </c>
      <c r="B1584" s="72">
        <v>0.25</v>
      </c>
      <c r="C1584" s="71">
        <v>41374</v>
      </c>
      <c r="D1584" s="72">
        <v>0</v>
      </c>
    </row>
    <row r="1585" spans="1:4" x14ac:dyDescent="0.2">
      <c r="A1585" s="71">
        <v>41375</v>
      </c>
      <c r="B1585" s="72">
        <v>0.25</v>
      </c>
      <c r="C1585" s="71">
        <v>41375</v>
      </c>
      <c r="D1585" s="72">
        <v>0</v>
      </c>
    </row>
    <row r="1586" spans="1:4" x14ac:dyDescent="0.2">
      <c r="A1586" s="71">
        <v>41376</v>
      </c>
      <c r="B1586" s="72">
        <v>0.25</v>
      </c>
      <c r="C1586" s="71">
        <v>41376</v>
      </c>
      <c r="D1586" s="72">
        <v>0</v>
      </c>
    </row>
    <row r="1587" spans="1:4" x14ac:dyDescent="0.2">
      <c r="A1587" s="71">
        <v>41377</v>
      </c>
      <c r="B1587" s="72">
        <v>0.25</v>
      </c>
      <c r="C1587" s="71">
        <v>41377</v>
      </c>
      <c r="D1587" s="72">
        <v>0</v>
      </c>
    </row>
    <row r="1588" spans="1:4" x14ac:dyDescent="0.2">
      <c r="A1588" s="71">
        <v>41378</v>
      </c>
      <c r="B1588" s="72">
        <v>0.25</v>
      </c>
      <c r="C1588" s="71">
        <v>41378</v>
      </c>
      <c r="D1588" s="72">
        <v>0</v>
      </c>
    </row>
    <row r="1589" spans="1:4" x14ac:dyDescent="0.2">
      <c r="A1589" s="71">
        <v>41379</v>
      </c>
      <c r="B1589" s="72">
        <v>0.25</v>
      </c>
      <c r="C1589" s="71">
        <v>41379</v>
      </c>
      <c r="D1589" s="72">
        <v>0</v>
      </c>
    </row>
    <row r="1590" spans="1:4" x14ac:dyDescent="0.2">
      <c r="A1590" s="71">
        <v>41380</v>
      </c>
      <c r="B1590" s="72">
        <v>0.25</v>
      </c>
      <c r="C1590" s="71">
        <v>41380</v>
      </c>
      <c r="D1590" s="72">
        <v>0</v>
      </c>
    </row>
    <row r="1591" spans="1:4" x14ac:dyDescent="0.2">
      <c r="A1591" s="71">
        <v>41381</v>
      </c>
      <c r="B1591" s="72">
        <v>0.25</v>
      </c>
      <c r="C1591" s="71">
        <v>41381</v>
      </c>
      <c r="D1591" s="72">
        <v>0</v>
      </c>
    </row>
    <row r="1592" spans="1:4" x14ac:dyDescent="0.2">
      <c r="A1592" s="71">
        <v>41382</v>
      </c>
      <c r="B1592" s="72">
        <v>0.25</v>
      </c>
      <c r="C1592" s="71">
        <v>41382</v>
      </c>
      <c r="D1592" s="72">
        <v>0</v>
      </c>
    </row>
    <row r="1593" spans="1:4" x14ac:dyDescent="0.2">
      <c r="A1593" s="71">
        <v>41383</v>
      </c>
      <c r="B1593" s="72">
        <v>0.25</v>
      </c>
      <c r="C1593" s="71">
        <v>41383</v>
      </c>
      <c r="D1593" s="72">
        <v>0</v>
      </c>
    </row>
    <row r="1594" spans="1:4" x14ac:dyDescent="0.2">
      <c r="A1594" s="71">
        <v>41384</v>
      </c>
      <c r="B1594" s="72">
        <v>0.25</v>
      </c>
      <c r="C1594" s="71">
        <v>41384</v>
      </c>
      <c r="D1594" s="72">
        <v>0</v>
      </c>
    </row>
    <row r="1595" spans="1:4" x14ac:dyDescent="0.2">
      <c r="A1595" s="71">
        <v>41385</v>
      </c>
      <c r="B1595" s="72">
        <v>0.25</v>
      </c>
      <c r="C1595" s="71">
        <v>41385</v>
      </c>
      <c r="D1595" s="72">
        <v>0</v>
      </c>
    </row>
    <row r="1596" spans="1:4" x14ac:dyDescent="0.2">
      <c r="A1596" s="71">
        <v>41386</v>
      </c>
      <c r="B1596" s="72">
        <v>0.25</v>
      </c>
      <c r="C1596" s="71">
        <v>41386</v>
      </c>
      <c r="D1596" s="72">
        <v>0</v>
      </c>
    </row>
    <row r="1597" spans="1:4" x14ac:dyDescent="0.2">
      <c r="A1597" s="71">
        <v>41387</v>
      </c>
      <c r="B1597" s="72">
        <v>0.25</v>
      </c>
      <c r="C1597" s="71">
        <v>41387</v>
      </c>
      <c r="D1597" s="72">
        <v>0</v>
      </c>
    </row>
    <row r="1598" spans="1:4" x14ac:dyDescent="0.2">
      <c r="A1598" s="71">
        <v>41388</v>
      </c>
      <c r="B1598" s="72">
        <v>0.25</v>
      </c>
      <c r="C1598" s="71">
        <v>41388</v>
      </c>
      <c r="D1598" s="72">
        <v>0</v>
      </c>
    </row>
    <row r="1599" spans="1:4" x14ac:dyDescent="0.2">
      <c r="A1599" s="71">
        <v>41389</v>
      </c>
      <c r="B1599" s="72">
        <v>0.25</v>
      </c>
      <c r="C1599" s="71">
        <v>41389</v>
      </c>
      <c r="D1599" s="72">
        <v>0</v>
      </c>
    </row>
    <row r="1600" spans="1:4" x14ac:dyDescent="0.2">
      <c r="A1600" s="71">
        <v>41390</v>
      </c>
      <c r="B1600" s="72">
        <v>0.25</v>
      </c>
      <c r="C1600" s="71">
        <v>41390</v>
      </c>
      <c r="D1600" s="72">
        <v>0</v>
      </c>
    </row>
    <row r="1601" spans="1:4" x14ac:dyDescent="0.2">
      <c r="A1601" s="71">
        <v>41391</v>
      </c>
      <c r="B1601" s="72">
        <v>0.25</v>
      </c>
      <c r="C1601" s="71">
        <v>41391</v>
      </c>
      <c r="D1601" s="72">
        <v>0</v>
      </c>
    </row>
    <row r="1602" spans="1:4" x14ac:dyDescent="0.2">
      <c r="A1602" s="71">
        <v>41392</v>
      </c>
      <c r="B1602" s="72">
        <v>0.25</v>
      </c>
      <c r="C1602" s="71">
        <v>41392</v>
      </c>
      <c r="D1602" s="72">
        <v>0</v>
      </c>
    </row>
    <row r="1603" spans="1:4" x14ac:dyDescent="0.2">
      <c r="A1603" s="71">
        <v>41393</v>
      </c>
      <c r="B1603" s="72">
        <v>0.25</v>
      </c>
      <c r="C1603" s="71">
        <v>41393</v>
      </c>
      <c r="D1603" s="72">
        <v>0</v>
      </c>
    </row>
    <row r="1604" spans="1:4" x14ac:dyDescent="0.2">
      <c r="A1604" s="71">
        <v>41394</v>
      </c>
      <c r="B1604" s="72">
        <v>0.25</v>
      </c>
      <c r="C1604" s="71">
        <v>41394</v>
      </c>
      <c r="D1604" s="72">
        <v>0</v>
      </c>
    </row>
    <row r="1605" spans="1:4" x14ac:dyDescent="0.2">
      <c r="A1605" s="71">
        <v>41395</v>
      </c>
      <c r="B1605" s="72">
        <v>0.25</v>
      </c>
      <c r="C1605" s="71">
        <v>41395</v>
      </c>
      <c r="D1605" s="72">
        <v>0</v>
      </c>
    </row>
    <row r="1606" spans="1:4" x14ac:dyDescent="0.2">
      <c r="A1606" s="71">
        <v>41396</v>
      </c>
      <c r="B1606" s="72">
        <v>0.25</v>
      </c>
      <c r="C1606" s="71">
        <v>41396</v>
      </c>
      <c r="D1606" s="72">
        <v>0</v>
      </c>
    </row>
    <row r="1607" spans="1:4" x14ac:dyDescent="0.2">
      <c r="A1607" s="71">
        <v>41397</v>
      </c>
      <c r="B1607" s="72">
        <v>0.25</v>
      </c>
      <c r="C1607" s="71">
        <v>41397</v>
      </c>
      <c r="D1607" s="72">
        <v>0</v>
      </c>
    </row>
    <row r="1608" spans="1:4" x14ac:dyDescent="0.2">
      <c r="A1608" s="71">
        <v>41398</v>
      </c>
      <c r="B1608" s="72">
        <v>0.25</v>
      </c>
      <c r="C1608" s="71">
        <v>41398</v>
      </c>
      <c r="D1608" s="72">
        <v>0</v>
      </c>
    </row>
    <row r="1609" spans="1:4" x14ac:dyDescent="0.2">
      <c r="A1609" s="71">
        <v>41399</v>
      </c>
      <c r="B1609" s="72">
        <v>0.25</v>
      </c>
      <c r="C1609" s="71">
        <v>41399</v>
      </c>
      <c r="D1609" s="72">
        <v>0</v>
      </c>
    </row>
    <row r="1610" spans="1:4" x14ac:dyDescent="0.2">
      <c r="A1610" s="71">
        <v>41400</v>
      </c>
      <c r="B1610" s="72">
        <v>0.25</v>
      </c>
      <c r="C1610" s="71">
        <v>41400</v>
      </c>
      <c r="D1610" s="72">
        <v>0</v>
      </c>
    </row>
    <row r="1611" spans="1:4" x14ac:dyDescent="0.2">
      <c r="A1611" s="71">
        <v>41401</v>
      </c>
      <c r="B1611" s="72">
        <v>0.25</v>
      </c>
      <c r="C1611" s="71">
        <v>41401</v>
      </c>
      <c r="D1611" s="72">
        <v>0</v>
      </c>
    </row>
    <row r="1612" spans="1:4" x14ac:dyDescent="0.2">
      <c r="A1612" s="71">
        <v>41402</v>
      </c>
      <c r="B1612" s="72">
        <v>0.25</v>
      </c>
      <c r="C1612" s="71">
        <v>41402</v>
      </c>
      <c r="D1612" s="72">
        <v>0</v>
      </c>
    </row>
    <row r="1613" spans="1:4" x14ac:dyDescent="0.2">
      <c r="A1613" s="71">
        <v>41403</v>
      </c>
      <c r="B1613" s="72">
        <v>0.25</v>
      </c>
      <c r="C1613" s="71">
        <v>41403</v>
      </c>
      <c r="D1613" s="72">
        <v>0</v>
      </c>
    </row>
    <row r="1614" spans="1:4" x14ac:dyDescent="0.2">
      <c r="A1614" s="71">
        <v>41404</v>
      </c>
      <c r="B1614" s="72">
        <v>0.25</v>
      </c>
      <c r="C1614" s="71">
        <v>41404</v>
      </c>
      <c r="D1614" s="72">
        <v>0</v>
      </c>
    </row>
    <row r="1615" spans="1:4" x14ac:dyDescent="0.2">
      <c r="A1615" s="71">
        <v>41405</v>
      </c>
      <c r="B1615" s="72">
        <v>0.25</v>
      </c>
      <c r="C1615" s="71">
        <v>41405</v>
      </c>
      <c r="D1615" s="72">
        <v>0</v>
      </c>
    </row>
    <row r="1616" spans="1:4" x14ac:dyDescent="0.2">
      <c r="A1616" s="71">
        <v>41406</v>
      </c>
      <c r="B1616" s="72">
        <v>0.25</v>
      </c>
      <c r="C1616" s="71">
        <v>41406</v>
      </c>
      <c r="D1616" s="72">
        <v>0</v>
      </c>
    </row>
    <row r="1617" spans="1:4" x14ac:dyDescent="0.2">
      <c r="A1617" s="71">
        <v>41407</v>
      </c>
      <c r="B1617" s="72">
        <v>0.25</v>
      </c>
      <c r="C1617" s="71">
        <v>41407</v>
      </c>
      <c r="D1617" s="72">
        <v>0</v>
      </c>
    </row>
    <row r="1618" spans="1:4" x14ac:dyDescent="0.2">
      <c r="A1618" s="71">
        <v>41408</v>
      </c>
      <c r="B1618" s="72">
        <v>0.25</v>
      </c>
      <c r="C1618" s="71">
        <v>41408</v>
      </c>
      <c r="D1618" s="72">
        <v>0</v>
      </c>
    </row>
    <row r="1619" spans="1:4" x14ac:dyDescent="0.2">
      <c r="A1619" s="71">
        <v>41409</v>
      </c>
      <c r="B1619" s="72">
        <v>0.25</v>
      </c>
      <c r="C1619" s="71">
        <v>41409</v>
      </c>
      <c r="D1619" s="72">
        <v>0</v>
      </c>
    </row>
    <row r="1620" spans="1:4" x14ac:dyDescent="0.2">
      <c r="A1620" s="71">
        <v>41410</v>
      </c>
      <c r="B1620" s="72">
        <v>0.25</v>
      </c>
      <c r="C1620" s="71">
        <v>41410</v>
      </c>
      <c r="D1620" s="72">
        <v>0</v>
      </c>
    </row>
    <row r="1621" spans="1:4" x14ac:dyDescent="0.2">
      <c r="A1621" s="71">
        <v>41411</v>
      </c>
      <c r="B1621" s="72">
        <v>0.25</v>
      </c>
      <c r="C1621" s="71">
        <v>41411</v>
      </c>
      <c r="D1621" s="72">
        <v>0</v>
      </c>
    </row>
    <row r="1622" spans="1:4" x14ac:dyDescent="0.2">
      <c r="A1622" s="71">
        <v>41412</v>
      </c>
      <c r="B1622" s="72">
        <v>0.25</v>
      </c>
      <c r="C1622" s="71">
        <v>41412</v>
      </c>
      <c r="D1622" s="72">
        <v>0</v>
      </c>
    </row>
    <row r="1623" spans="1:4" x14ac:dyDescent="0.2">
      <c r="A1623" s="71">
        <v>41413</v>
      </c>
      <c r="B1623" s="72">
        <v>0.25</v>
      </c>
      <c r="C1623" s="71">
        <v>41413</v>
      </c>
      <c r="D1623" s="72">
        <v>0</v>
      </c>
    </row>
    <row r="1624" spans="1:4" x14ac:dyDescent="0.2">
      <c r="A1624" s="71">
        <v>41414</v>
      </c>
      <c r="B1624" s="72">
        <v>0.25</v>
      </c>
      <c r="C1624" s="71">
        <v>41414</v>
      </c>
      <c r="D1624" s="72">
        <v>0</v>
      </c>
    </row>
    <row r="1625" spans="1:4" x14ac:dyDescent="0.2">
      <c r="A1625" s="71">
        <v>41415</v>
      </c>
      <c r="B1625" s="72">
        <v>0.25</v>
      </c>
      <c r="C1625" s="71">
        <v>41415</v>
      </c>
      <c r="D1625" s="72">
        <v>0</v>
      </c>
    </row>
    <row r="1626" spans="1:4" x14ac:dyDescent="0.2">
      <c r="A1626" s="71">
        <v>41416</v>
      </c>
      <c r="B1626" s="72">
        <v>0.25</v>
      </c>
      <c r="C1626" s="71">
        <v>41416</v>
      </c>
      <c r="D1626" s="72">
        <v>0</v>
      </c>
    </row>
    <row r="1627" spans="1:4" x14ac:dyDescent="0.2">
      <c r="A1627" s="71">
        <v>41417</v>
      </c>
      <c r="B1627" s="72">
        <v>0.25</v>
      </c>
      <c r="C1627" s="71">
        <v>41417</v>
      </c>
      <c r="D1627" s="72">
        <v>0</v>
      </c>
    </row>
    <row r="1628" spans="1:4" x14ac:dyDescent="0.2">
      <c r="A1628" s="71">
        <v>41418</v>
      </c>
      <c r="B1628" s="72">
        <v>0.25</v>
      </c>
      <c r="C1628" s="71">
        <v>41418</v>
      </c>
      <c r="D1628" s="72">
        <v>0</v>
      </c>
    </row>
    <row r="1629" spans="1:4" x14ac:dyDescent="0.2">
      <c r="A1629" s="71">
        <v>41419</v>
      </c>
      <c r="B1629" s="72">
        <v>0.25</v>
      </c>
      <c r="C1629" s="71">
        <v>41419</v>
      </c>
      <c r="D1629" s="72">
        <v>0</v>
      </c>
    </row>
    <row r="1630" spans="1:4" x14ac:dyDescent="0.2">
      <c r="A1630" s="71">
        <v>41420</v>
      </c>
      <c r="B1630" s="72">
        <v>0.25</v>
      </c>
      <c r="C1630" s="71">
        <v>41420</v>
      </c>
      <c r="D1630" s="72">
        <v>0</v>
      </c>
    </row>
    <row r="1631" spans="1:4" x14ac:dyDescent="0.2">
      <c r="A1631" s="71">
        <v>41421</v>
      </c>
      <c r="B1631" s="72">
        <v>0.25</v>
      </c>
      <c r="C1631" s="71">
        <v>41421</v>
      </c>
      <c r="D1631" s="72">
        <v>0</v>
      </c>
    </row>
    <row r="1632" spans="1:4" x14ac:dyDescent="0.2">
      <c r="A1632" s="71">
        <v>41422</v>
      </c>
      <c r="B1632" s="72">
        <v>0.25</v>
      </c>
      <c r="C1632" s="71">
        <v>41422</v>
      </c>
      <c r="D1632" s="72">
        <v>0</v>
      </c>
    </row>
    <row r="1633" spans="1:4" x14ac:dyDescent="0.2">
      <c r="A1633" s="71">
        <v>41423</v>
      </c>
      <c r="B1633" s="72">
        <v>0.25</v>
      </c>
      <c r="C1633" s="71">
        <v>41423</v>
      </c>
      <c r="D1633" s="72">
        <v>0</v>
      </c>
    </row>
    <row r="1634" spans="1:4" x14ac:dyDescent="0.2">
      <c r="A1634" s="71">
        <v>41424</v>
      </c>
      <c r="B1634" s="72">
        <v>0.25</v>
      </c>
      <c r="C1634" s="71">
        <v>41424</v>
      </c>
      <c r="D1634" s="72">
        <v>0</v>
      </c>
    </row>
    <row r="1635" spans="1:4" x14ac:dyDescent="0.2">
      <c r="A1635" s="71">
        <v>41425</v>
      </c>
      <c r="B1635" s="72">
        <v>0.25</v>
      </c>
      <c r="C1635" s="71">
        <v>41425</v>
      </c>
      <c r="D1635" s="72">
        <v>0</v>
      </c>
    </row>
    <row r="1636" spans="1:4" x14ac:dyDescent="0.2">
      <c r="A1636" s="71">
        <v>41426</v>
      </c>
      <c r="B1636" s="72">
        <v>0.25</v>
      </c>
      <c r="C1636" s="71">
        <v>41426</v>
      </c>
      <c r="D1636" s="72">
        <v>0</v>
      </c>
    </row>
    <row r="1637" spans="1:4" x14ac:dyDescent="0.2">
      <c r="A1637" s="71">
        <v>41427</v>
      </c>
      <c r="B1637" s="72">
        <v>0.25</v>
      </c>
      <c r="C1637" s="71">
        <v>41427</v>
      </c>
      <c r="D1637" s="72">
        <v>0</v>
      </c>
    </row>
    <row r="1638" spans="1:4" x14ac:dyDescent="0.2">
      <c r="A1638" s="71">
        <v>41428</v>
      </c>
      <c r="B1638" s="72">
        <v>0.25</v>
      </c>
      <c r="C1638" s="71">
        <v>41428</v>
      </c>
      <c r="D1638" s="72">
        <v>0</v>
      </c>
    </row>
    <row r="1639" spans="1:4" x14ac:dyDescent="0.2">
      <c r="A1639" s="71">
        <v>41429</v>
      </c>
      <c r="B1639" s="72">
        <v>0.25</v>
      </c>
      <c r="C1639" s="71">
        <v>41429</v>
      </c>
      <c r="D1639" s="72">
        <v>0</v>
      </c>
    </row>
    <row r="1640" spans="1:4" x14ac:dyDescent="0.2">
      <c r="A1640" s="71">
        <v>41430</v>
      </c>
      <c r="B1640" s="72">
        <v>0.25</v>
      </c>
      <c r="C1640" s="71">
        <v>41430</v>
      </c>
      <c r="D1640" s="72">
        <v>0</v>
      </c>
    </row>
    <row r="1641" spans="1:4" x14ac:dyDescent="0.2">
      <c r="A1641" s="71">
        <v>41431</v>
      </c>
      <c r="B1641" s="72">
        <v>0.25</v>
      </c>
      <c r="C1641" s="71">
        <v>41431</v>
      </c>
      <c r="D1641" s="72">
        <v>0</v>
      </c>
    </row>
    <row r="1642" spans="1:4" x14ac:dyDescent="0.2">
      <c r="A1642" s="71">
        <v>41432</v>
      </c>
      <c r="B1642" s="72">
        <v>0.25</v>
      </c>
      <c r="C1642" s="71">
        <v>41432</v>
      </c>
      <c r="D1642" s="72">
        <v>0</v>
      </c>
    </row>
    <row r="1643" spans="1:4" x14ac:dyDescent="0.2">
      <c r="A1643" s="71">
        <v>41433</v>
      </c>
      <c r="B1643" s="72">
        <v>0.25</v>
      </c>
      <c r="C1643" s="71">
        <v>41433</v>
      </c>
      <c r="D1643" s="72">
        <v>0</v>
      </c>
    </row>
    <row r="1644" spans="1:4" x14ac:dyDescent="0.2">
      <c r="A1644" s="71">
        <v>41434</v>
      </c>
      <c r="B1644" s="72">
        <v>0.25</v>
      </c>
      <c r="C1644" s="71">
        <v>41434</v>
      </c>
      <c r="D1644" s="72">
        <v>0</v>
      </c>
    </row>
    <row r="1645" spans="1:4" x14ac:dyDescent="0.2">
      <c r="A1645" s="71">
        <v>41435</v>
      </c>
      <c r="B1645" s="72">
        <v>0.25</v>
      </c>
      <c r="C1645" s="71">
        <v>41435</v>
      </c>
      <c r="D1645" s="72">
        <v>0</v>
      </c>
    </row>
    <row r="1646" spans="1:4" x14ac:dyDescent="0.2">
      <c r="A1646" s="71">
        <v>41436</v>
      </c>
      <c r="B1646" s="72">
        <v>0.25</v>
      </c>
      <c r="C1646" s="71">
        <v>41436</v>
      </c>
      <c r="D1646" s="72">
        <v>0</v>
      </c>
    </row>
    <row r="1647" spans="1:4" x14ac:dyDescent="0.2">
      <c r="A1647" s="71">
        <v>41437</v>
      </c>
      <c r="B1647" s="72">
        <v>0.25</v>
      </c>
      <c r="C1647" s="71">
        <v>41437</v>
      </c>
      <c r="D1647" s="72">
        <v>0</v>
      </c>
    </row>
    <row r="1648" spans="1:4" x14ac:dyDescent="0.2">
      <c r="A1648" s="71">
        <v>41438</v>
      </c>
      <c r="B1648" s="72">
        <v>0.25</v>
      </c>
      <c r="C1648" s="71">
        <v>41438</v>
      </c>
      <c r="D1648" s="72">
        <v>0</v>
      </c>
    </row>
    <row r="1649" spans="1:4" x14ac:dyDescent="0.2">
      <c r="A1649" s="71">
        <v>41439</v>
      </c>
      <c r="B1649" s="72">
        <v>0.25</v>
      </c>
      <c r="C1649" s="71">
        <v>41439</v>
      </c>
      <c r="D1649" s="72">
        <v>0</v>
      </c>
    </row>
    <row r="1650" spans="1:4" x14ac:dyDescent="0.2">
      <c r="A1650" s="71">
        <v>41440</v>
      </c>
      <c r="B1650" s="72">
        <v>0.25</v>
      </c>
      <c r="C1650" s="71">
        <v>41440</v>
      </c>
      <c r="D1650" s="72">
        <v>0</v>
      </c>
    </row>
    <row r="1651" spans="1:4" x14ac:dyDescent="0.2">
      <c r="A1651" s="71">
        <v>41441</v>
      </c>
      <c r="B1651" s="72">
        <v>0.25</v>
      </c>
      <c r="C1651" s="71">
        <v>41441</v>
      </c>
      <c r="D1651" s="72">
        <v>0</v>
      </c>
    </row>
    <row r="1652" spans="1:4" x14ac:dyDescent="0.2">
      <c r="A1652" s="71">
        <v>41442</v>
      </c>
      <c r="B1652" s="72">
        <v>0.25</v>
      </c>
      <c r="C1652" s="71">
        <v>41442</v>
      </c>
      <c r="D1652" s="72">
        <v>0</v>
      </c>
    </row>
    <row r="1653" spans="1:4" x14ac:dyDescent="0.2">
      <c r="A1653" s="71">
        <v>41443</v>
      </c>
      <c r="B1653" s="72">
        <v>0.25</v>
      </c>
      <c r="C1653" s="71">
        <v>41443</v>
      </c>
      <c r="D1653" s="72">
        <v>0</v>
      </c>
    </row>
    <row r="1654" spans="1:4" x14ac:dyDescent="0.2">
      <c r="A1654" s="71">
        <v>41444</v>
      </c>
      <c r="B1654" s="72">
        <v>0.25</v>
      </c>
      <c r="C1654" s="71">
        <v>41444</v>
      </c>
      <c r="D1654" s="72">
        <v>0</v>
      </c>
    </row>
    <row r="1655" spans="1:4" x14ac:dyDescent="0.2">
      <c r="A1655" s="71">
        <v>41445</v>
      </c>
      <c r="B1655" s="72">
        <v>0.25</v>
      </c>
      <c r="C1655" s="71">
        <v>41445</v>
      </c>
      <c r="D1655" s="72">
        <v>0</v>
      </c>
    </row>
    <row r="1656" spans="1:4" x14ac:dyDescent="0.2">
      <c r="A1656" s="71">
        <v>41446</v>
      </c>
      <c r="B1656" s="72">
        <v>0.25</v>
      </c>
      <c r="C1656" s="71">
        <v>41446</v>
      </c>
      <c r="D1656" s="72">
        <v>0</v>
      </c>
    </row>
    <row r="1657" spans="1:4" x14ac:dyDescent="0.2">
      <c r="A1657" s="71">
        <v>41447</v>
      </c>
      <c r="B1657" s="72">
        <v>0.25</v>
      </c>
      <c r="C1657" s="71">
        <v>41447</v>
      </c>
      <c r="D1657" s="72">
        <v>0</v>
      </c>
    </row>
    <row r="1658" spans="1:4" x14ac:dyDescent="0.2">
      <c r="A1658" s="71">
        <v>41448</v>
      </c>
      <c r="B1658" s="72">
        <v>0.25</v>
      </c>
      <c r="C1658" s="71">
        <v>41448</v>
      </c>
      <c r="D1658" s="72">
        <v>0</v>
      </c>
    </row>
    <row r="1659" spans="1:4" x14ac:dyDescent="0.2">
      <c r="A1659" s="71">
        <v>41449</v>
      </c>
      <c r="B1659" s="72">
        <v>0.25</v>
      </c>
      <c r="C1659" s="71">
        <v>41449</v>
      </c>
      <c r="D1659" s="72">
        <v>0</v>
      </c>
    </row>
    <row r="1660" spans="1:4" x14ac:dyDescent="0.2">
      <c r="A1660" s="71">
        <v>41450</v>
      </c>
      <c r="B1660" s="72">
        <v>0.25</v>
      </c>
      <c r="C1660" s="71">
        <v>41450</v>
      </c>
      <c r="D1660" s="72">
        <v>0</v>
      </c>
    </row>
    <row r="1661" spans="1:4" x14ac:dyDescent="0.2">
      <c r="A1661" s="71">
        <v>41451</v>
      </c>
      <c r="B1661" s="72">
        <v>0.25</v>
      </c>
      <c r="C1661" s="71">
        <v>41451</v>
      </c>
      <c r="D1661" s="72">
        <v>0</v>
      </c>
    </row>
    <row r="1662" spans="1:4" x14ac:dyDescent="0.2">
      <c r="A1662" s="71">
        <v>41452</v>
      </c>
      <c r="B1662" s="72">
        <v>0.25</v>
      </c>
      <c r="C1662" s="71">
        <v>41452</v>
      </c>
      <c r="D1662" s="72">
        <v>0</v>
      </c>
    </row>
    <row r="1663" spans="1:4" x14ac:dyDescent="0.2">
      <c r="A1663" s="71">
        <v>41453</v>
      </c>
      <c r="B1663" s="72">
        <v>0.25</v>
      </c>
      <c r="C1663" s="71">
        <v>41453</v>
      </c>
      <c r="D1663" s="72">
        <v>0</v>
      </c>
    </row>
    <row r="1664" spans="1:4" x14ac:dyDescent="0.2">
      <c r="A1664" s="71">
        <v>41454</v>
      </c>
      <c r="B1664" s="72">
        <v>0.25</v>
      </c>
      <c r="C1664" s="71">
        <v>41454</v>
      </c>
      <c r="D1664" s="72">
        <v>0</v>
      </c>
    </row>
    <row r="1665" spans="1:4" x14ac:dyDescent="0.2">
      <c r="A1665" s="71">
        <v>41455</v>
      </c>
      <c r="B1665" s="72">
        <v>0.25</v>
      </c>
      <c r="C1665" s="71">
        <v>41455</v>
      </c>
      <c r="D1665" s="72">
        <v>0</v>
      </c>
    </row>
    <row r="1666" spans="1:4" x14ac:dyDescent="0.2">
      <c r="A1666" s="71">
        <v>41456</v>
      </c>
      <c r="B1666" s="72">
        <v>0.25</v>
      </c>
      <c r="C1666" s="71">
        <v>41456</v>
      </c>
      <c r="D1666" s="72">
        <v>0</v>
      </c>
    </row>
    <row r="1667" spans="1:4" x14ac:dyDescent="0.2">
      <c r="A1667" s="71">
        <v>41457</v>
      </c>
      <c r="B1667" s="72">
        <v>0.25</v>
      </c>
      <c r="C1667" s="71">
        <v>41457</v>
      </c>
      <c r="D1667" s="72">
        <v>0</v>
      </c>
    </row>
    <row r="1668" spans="1:4" x14ac:dyDescent="0.2">
      <c r="A1668" s="71">
        <v>41458</v>
      </c>
      <c r="B1668" s="72">
        <v>0.25</v>
      </c>
      <c r="C1668" s="71">
        <v>41458</v>
      </c>
      <c r="D1668" s="72">
        <v>0</v>
      </c>
    </row>
    <row r="1669" spans="1:4" x14ac:dyDescent="0.2">
      <c r="A1669" s="71">
        <v>41459</v>
      </c>
      <c r="B1669" s="72">
        <v>0.25</v>
      </c>
      <c r="C1669" s="71">
        <v>41459</v>
      </c>
      <c r="D1669" s="72">
        <v>0</v>
      </c>
    </row>
    <row r="1670" spans="1:4" x14ac:dyDescent="0.2">
      <c r="A1670" s="71">
        <v>41460</v>
      </c>
      <c r="B1670" s="72">
        <v>0.25</v>
      </c>
      <c r="C1670" s="71">
        <v>41460</v>
      </c>
      <c r="D1670" s="72">
        <v>0</v>
      </c>
    </row>
    <row r="1671" spans="1:4" x14ac:dyDescent="0.2">
      <c r="A1671" s="71">
        <v>41461</v>
      </c>
      <c r="B1671" s="72">
        <v>0.25</v>
      </c>
      <c r="C1671" s="71">
        <v>41461</v>
      </c>
      <c r="D1671" s="72">
        <v>0</v>
      </c>
    </row>
    <row r="1672" spans="1:4" x14ac:dyDescent="0.2">
      <c r="A1672" s="71">
        <v>41462</v>
      </c>
      <c r="B1672" s="72">
        <v>0.25</v>
      </c>
      <c r="C1672" s="71">
        <v>41462</v>
      </c>
      <c r="D1672" s="72">
        <v>0</v>
      </c>
    </row>
    <row r="1673" spans="1:4" x14ac:dyDescent="0.2">
      <c r="A1673" s="71">
        <v>41463</v>
      </c>
      <c r="B1673" s="72">
        <v>0.25</v>
      </c>
      <c r="C1673" s="71">
        <v>41463</v>
      </c>
      <c r="D1673" s="72">
        <v>0</v>
      </c>
    </row>
    <row r="1674" spans="1:4" x14ac:dyDescent="0.2">
      <c r="A1674" s="71">
        <v>41464</v>
      </c>
      <c r="B1674" s="72">
        <v>0.25</v>
      </c>
      <c r="C1674" s="71">
        <v>41464</v>
      </c>
      <c r="D1674" s="72">
        <v>0</v>
      </c>
    </row>
    <row r="1675" spans="1:4" x14ac:dyDescent="0.2">
      <c r="A1675" s="71">
        <v>41465</v>
      </c>
      <c r="B1675" s="72">
        <v>0.25</v>
      </c>
      <c r="C1675" s="71">
        <v>41465</v>
      </c>
      <c r="D1675" s="72">
        <v>0</v>
      </c>
    </row>
    <row r="1676" spans="1:4" x14ac:dyDescent="0.2">
      <c r="A1676" s="71">
        <v>41466</v>
      </c>
      <c r="B1676" s="72">
        <v>0.25</v>
      </c>
      <c r="C1676" s="71">
        <v>41466</v>
      </c>
      <c r="D1676" s="72">
        <v>0</v>
      </c>
    </row>
    <row r="1677" spans="1:4" x14ac:dyDescent="0.2">
      <c r="A1677" s="71">
        <v>41467</v>
      </c>
      <c r="B1677" s="72">
        <v>0.25</v>
      </c>
      <c r="C1677" s="71">
        <v>41467</v>
      </c>
      <c r="D1677" s="72">
        <v>0</v>
      </c>
    </row>
    <row r="1678" spans="1:4" x14ac:dyDescent="0.2">
      <c r="A1678" s="71">
        <v>41468</v>
      </c>
      <c r="B1678" s="72">
        <v>0.25</v>
      </c>
      <c r="C1678" s="71">
        <v>41468</v>
      </c>
      <c r="D1678" s="72">
        <v>0</v>
      </c>
    </row>
    <row r="1679" spans="1:4" x14ac:dyDescent="0.2">
      <c r="A1679" s="71">
        <v>41469</v>
      </c>
      <c r="B1679" s="72">
        <v>0.25</v>
      </c>
      <c r="C1679" s="71">
        <v>41469</v>
      </c>
      <c r="D1679" s="72">
        <v>0</v>
      </c>
    </row>
    <row r="1680" spans="1:4" x14ac:dyDescent="0.2">
      <c r="A1680" s="71">
        <v>41470</v>
      </c>
      <c r="B1680" s="72">
        <v>0.25</v>
      </c>
      <c r="C1680" s="71">
        <v>41470</v>
      </c>
      <c r="D1680" s="72">
        <v>0</v>
      </c>
    </row>
    <row r="1681" spans="1:4" x14ac:dyDescent="0.2">
      <c r="A1681" s="71">
        <v>41471</v>
      </c>
      <c r="B1681" s="72">
        <v>0.25</v>
      </c>
      <c r="C1681" s="71">
        <v>41471</v>
      </c>
      <c r="D1681" s="72">
        <v>0</v>
      </c>
    </row>
    <row r="1682" spans="1:4" x14ac:dyDescent="0.2">
      <c r="A1682" s="71">
        <v>41472</v>
      </c>
      <c r="B1682" s="72">
        <v>0.25</v>
      </c>
      <c r="C1682" s="71">
        <v>41472</v>
      </c>
      <c r="D1682" s="72">
        <v>0</v>
      </c>
    </row>
    <row r="1683" spans="1:4" x14ac:dyDescent="0.2">
      <c r="A1683" s="71">
        <v>41473</v>
      </c>
      <c r="B1683" s="72">
        <v>0.25</v>
      </c>
      <c r="C1683" s="71">
        <v>41473</v>
      </c>
      <c r="D1683" s="72">
        <v>0</v>
      </c>
    </row>
    <row r="1684" spans="1:4" x14ac:dyDescent="0.2">
      <c r="A1684" s="71">
        <v>41474</v>
      </c>
      <c r="B1684" s="72">
        <v>0.25</v>
      </c>
      <c r="C1684" s="71">
        <v>41474</v>
      </c>
      <c r="D1684" s="72">
        <v>0</v>
      </c>
    </row>
    <row r="1685" spans="1:4" x14ac:dyDescent="0.2">
      <c r="A1685" s="71">
        <v>41475</v>
      </c>
      <c r="B1685" s="72">
        <v>0.25</v>
      </c>
      <c r="C1685" s="71">
        <v>41475</v>
      </c>
      <c r="D1685" s="72">
        <v>0</v>
      </c>
    </row>
    <row r="1686" spans="1:4" x14ac:dyDescent="0.2">
      <c r="A1686" s="71">
        <v>41476</v>
      </c>
      <c r="B1686" s="72">
        <v>0.25</v>
      </c>
      <c r="C1686" s="71">
        <v>41476</v>
      </c>
      <c r="D1686" s="72">
        <v>0</v>
      </c>
    </row>
    <row r="1687" spans="1:4" x14ac:dyDescent="0.2">
      <c r="A1687" s="71">
        <v>41477</v>
      </c>
      <c r="B1687" s="72">
        <v>0.25</v>
      </c>
      <c r="C1687" s="71">
        <v>41477</v>
      </c>
      <c r="D1687" s="72">
        <v>0</v>
      </c>
    </row>
    <row r="1688" spans="1:4" x14ac:dyDescent="0.2">
      <c r="A1688" s="71">
        <v>41478</v>
      </c>
      <c r="B1688" s="72">
        <v>0.25</v>
      </c>
      <c r="C1688" s="71">
        <v>41478</v>
      </c>
      <c r="D1688" s="72">
        <v>0</v>
      </c>
    </row>
    <row r="1689" spans="1:4" x14ac:dyDescent="0.2">
      <c r="A1689" s="71">
        <v>41479</v>
      </c>
      <c r="B1689" s="72">
        <v>0.25</v>
      </c>
      <c r="C1689" s="71">
        <v>41479</v>
      </c>
      <c r="D1689" s="72">
        <v>0</v>
      </c>
    </row>
    <row r="1690" spans="1:4" x14ac:dyDescent="0.2">
      <c r="A1690" s="71">
        <v>41480</v>
      </c>
      <c r="B1690" s="72">
        <v>0.25</v>
      </c>
      <c r="C1690" s="71">
        <v>41480</v>
      </c>
      <c r="D1690" s="72">
        <v>0</v>
      </c>
    </row>
    <row r="1691" spans="1:4" x14ac:dyDescent="0.2">
      <c r="A1691" s="71">
        <v>41481</v>
      </c>
      <c r="B1691" s="72">
        <v>0.25</v>
      </c>
      <c r="C1691" s="71">
        <v>41481</v>
      </c>
      <c r="D1691" s="72">
        <v>0</v>
      </c>
    </row>
    <row r="1692" spans="1:4" x14ac:dyDescent="0.2">
      <c r="A1692" s="71">
        <v>41482</v>
      </c>
      <c r="B1692" s="72">
        <v>0.25</v>
      </c>
      <c r="C1692" s="71">
        <v>41482</v>
      </c>
      <c r="D1692" s="72">
        <v>0</v>
      </c>
    </row>
    <row r="1693" spans="1:4" x14ac:dyDescent="0.2">
      <c r="A1693" s="71">
        <v>41483</v>
      </c>
      <c r="B1693" s="72">
        <v>0.25</v>
      </c>
      <c r="C1693" s="71">
        <v>41483</v>
      </c>
      <c r="D1693" s="72">
        <v>0</v>
      </c>
    </row>
    <row r="1694" spans="1:4" x14ac:dyDescent="0.2">
      <c r="A1694" s="71">
        <v>41484</v>
      </c>
      <c r="B1694" s="72">
        <v>0.25</v>
      </c>
      <c r="C1694" s="71">
        <v>41484</v>
      </c>
      <c r="D1694" s="72">
        <v>0</v>
      </c>
    </row>
    <row r="1695" spans="1:4" x14ac:dyDescent="0.2">
      <c r="A1695" s="71">
        <v>41485</v>
      </c>
      <c r="B1695" s="72">
        <v>0.25</v>
      </c>
      <c r="C1695" s="71">
        <v>41485</v>
      </c>
      <c r="D1695" s="72">
        <v>0</v>
      </c>
    </row>
    <row r="1696" spans="1:4" x14ac:dyDescent="0.2">
      <c r="A1696" s="71">
        <v>41486</v>
      </c>
      <c r="B1696" s="72">
        <v>0.25</v>
      </c>
      <c r="C1696" s="71">
        <v>41486</v>
      </c>
      <c r="D1696" s="72">
        <v>0</v>
      </c>
    </row>
    <row r="1697" spans="1:4" x14ac:dyDescent="0.2">
      <c r="A1697" s="71">
        <v>41487</v>
      </c>
      <c r="B1697" s="72">
        <v>0.25</v>
      </c>
      <c r="C1697" s="71">
        <v>41487</v>
      </c>
      <c r="D1697" s="72">
        <v>0</v>
      </c>
    </row>
    <row r="1698" spans="1:4" x14ac:dyDescent="0.2">
      <c r="A1698" s="71">
        <v>41488</v>
      </c>
      <c r="B1698" s="72">
        <v>0.25</v>
      </c>
      <c r="C1698" s="71">
        <v>41488</v>
      </c>
      <c r="D1698" s="72">
        <v>0</v>
      </c>
    </row>
    <row r="1699" spans="1:4" x14ac:dyDescent="0.2">
      <c r="A1699" s="71">
        <v>41489</v>
      </c>
      <c r="B1699" s="72">
        <v>0.25</v>
      </c>
      <c r="C1699" s="71">
        <v>41489</v>
      </c>
      <c r="D1699" s="72">
        <v>0</v>
      </c>
    </row>
    <row r="1700" spans="1:4" x14ac:dyDescent="0.2">
      <c r="A1700" s="71">
        <v>41490</v>
      </c>
      <c r="B1700" s="72">
        <v>0.25</v>
      </c>
      <c r="C1700" s="71">
        <v>41490</v>
      </c>
      <c r="D1700" s="72">
        <v>0</v>
      </c>
    </row>
    <row r="1701" spans="1:4" x14ac:dyDescent="0.2">
      <c r="A1701" s="71">
        <v>41491</v>
      </c>
      <c r="B1701" s="72">
        <v>0.25</v>
      </c>
      <c r="C1701" s="71">
        <v>41491</v>
      </c>
      <c r="D1701" s="72">
        <v>0</v>
      </c>
    </row>
    <row r="1702" spans="1:4" x14ac:dyDescent="0.2">
      <c r="A1702" s="71">
        <v>41492</v>
      </c>
      <c r="B1702" s="72">
        <v>0.25</v>
      </c>
      <c r="C1702" s="71">
        <v>41492</v>
      </c>
      <c r="D1702" s="72">
        <v>0</v>
      </c>
    </row>
    <row r="1703" spans="1:4" x14ac:dyDescent="0.2">
      <c r="A1703" s="71">
        <v>41493</v>
      </c>
      <c r="B1703" s="72">
        <v>0.25</v>
      </c>
      <c r="C1703" s="71">
        <v>41493</v>
      </c>
      <c r="D1703" s="72">
        <v>0</v>
      </c>
    </row>
    <row r="1704" spans="1:4" x14ac:dyDescent="0.2">
      <c r="A1704" s="71">
        <v>41494</v>
      </c>
      <c r="B1704" s="72">
        <v>0.25</v>
      </c>
      <c r="C1704" s="71">
        <v>41494</v>
      </c>
      <c r="D1704" s="72">
        <v>0</v>
      </c>
    </row>
    <row r="1705" spans="1:4" x14ac:dyDescent="0.2">
      <c r="A1705" s="71">
        <v>41495</v>
      </c>
      <c r="B1705" s="72">
        <v>0.25</v>
      </c>
      <c r="C1705" s="71">
        <v>41495</v>
      </c>
      <c r="D1705" s="72">
        <v>0</v>
      </c>
    </row>
    <row r="1706" spans="1:4" x14ac:dyDescent="0.2">
      <c r="A1706" s="71">
        <v>41496</v>
      </c>
      <c r="B1706" s="72">
        <v>0.25</v>
      </c>
      <c r="C1706" s="71">
        <v>41496</v>
      </c>
      <c r="D1706" s="72">
        <v>0</v>
      </c>
    </row>
    <row r="1707" spans="1:4" x14ac:dyDescent="0.2">
      <c r="A1707" s="71">
        <v>41497</v>
      </c>
      <c r="B1707" s="72">
        <v>0.25</v>
      </c>
      <c r="C1707" s="71">
        <v>41497</v>
      </c>
      <c r="D1707" s="72">
        <v>0</v>
      </c>
    </row>
    <row r="1708" spans="1:4" x14ac:dyDescent="0.2">
      <c r="A1708" s="71">
        <v>41498</v>
      </c>
      <c r="B1708" s="72">
        <v>0.25</v>
      </c>
      <c r="C1708" s="71">
        <v>41498</v>
      </c>
      <c r="D1708" s="72">
        <v>0</v>
      </c>
    </row>
    <row r="1709" spans="1:4" x14ac:dyDescent="0.2">
      <c r="A1709" s="71">
        <v>41499</v>
      </c>
      <c r="B1709" s="72">
        <v>0.25</v>
      </c>
      <c r="C1709" s="71">
        <v>41499</v>
      </c>
      <c r="D1709" s="72">
        <v>0</v>
      </c>
    </row>
    <row r="1710" spans="1:4" x14ac:dyDescent="0.2">
      <c r="A1710" s="71">
        <v>41500</v>
      </c>
      <c r="B1710" s="72">
        <v>0.25</v>
      </c>
      <c r="C1710" s="71">
        <v>41500</v>
      </c>
      <c r="D1710" s="72">
        <v>0</v>
      </c>
    </row>
    <row r="1711" spans="1:4" x14ac:dyDescent="0.2">
      <c r="A1711" s="71">
        <v>41501</v>
      </c>
      <c r="B1711" s="72">
        <v>0.25</v>
      </c>
      <c r="C1711" s="71">
        <v>41501</v>
      </c>
      <c r="D1711" s="72">
        <v>0</v>
      </c>
    </row>
    <row r="1712" spans="1:4" x14ac:dyDescent="0.2">
      <c r="A1712" s="71">
        <v>41502</v>
      </c>
      <c r="B1712" s="72">
        <v>0.25</v>
      </c>
      <c r="C1712" s="71">
        <v>41502</v>
      </c>
      <c r="D1712" s="72">
        <v>0</v>
      </c>
    </row>
    <row r="1713" spans="1:4" x14ac:dyDescent="0.2">
      <c r="A1713" s="71">
        <v>41503</v>
      </c>
      <c r="B1713" s="72">
        <v>0.25</v>
      </c>
      <c r="C1713" s="71">
        <v>41503</v>
      </c>
      <c r="D1713" s="72">
        <v>0</v>
      </c>
    </row>
    <row r="1714" spans="1:4" x14ac:dyDescent="0.2">
      <c r="A1714" s="71">
        <v>41504</v>
      </c>
      <c r="B1714" s="72">
        <v>0.25</v>
      </c>
      <c r="C1714" s="71">
        <v>41504</v>
      </c>
      <c r="D1714" s="72">
        <v>0</v>
      </c>
    </row>
    <row r="1715" spans="1:4" x14ac:dyDescent="0.2">
      <c r="A1715" s="71">
        <v>41505</v>
      </c>
      <c r="B1715" s="72">
        <v>0.25</v>
      </c>
      <c r="C1715" s="71">
        <v>41505</v>
      </c>
      <c r="D1715" s="72">
        <v>0</v>
      </c>
    </row>
    <row r="1716" spans="1:4" x14ac:dyDescent="0.2">
      <c r="A1716" s="71">
        <v>41506</v>
      </c>
      <c r="B1716" s="72">
        <v>0.25</v>
      </c>
      <c r="C1716" s="71">
        <v>41506</v>
      </c>
      <c r="D1716" s="72">
        <v>0</v>
      </c>
    </row>
    <row r="1717" spans="1:4" x14ac:dyDescent="0.2">
      <c r="A1717" s="71">
        <v>41507</v>
      </c>
      <c r="B1717" s="72">
        <v>0.25</v>
      </c>
      <c r="C1717" s="71">
        <v>41507</v>
      </c>
      <c r="D1717" s="72">
        <v>0</v>
      </c>
    </row>
    <row r="1718" spans="1:4" x14ac:dyDescent="0.2">
      <c r="A1718" s="71">
        <v>41508</v>
      </c>
      <c r="B1718" s="72">
        <v>0.25</v>
      </c>
      <c r="C1718" s="71">
        <v>41508</v>
      </c>
      <c r="D1718" s="72">
        <v>0</v>
      </c>
    </row>
    <row r="1719" spans="1:4" x14ac:dyDescent="0.2">
      <c r="A1719" s="71">
        <v>41509</v>
      </c>
      <c r="B1719" s="72">
        <v>0.25</v>
      </c>
      <c r="C1719" s="71">
        <v>41509</v>
      </c>
      <c r="D1719" s="72">
        <v>0</v>
      </c>
    </row>
    <row r="1720" spans="1:4" x14ac:dyDescent="0.2">
      <c r="A1720" s="71">
        <v>41510</v>
      </c>
      <c r="B1720" s="72">
        <v>0.25</v>
      </c>
      <c r="C1720" s="71">
        <v>41510</v>
      </c>
      <c r="D1720" s="72">
        <v>0</v>
      </c>
    </row>
    <row r="1721" spans="1:4" x14ac:dyDescent="0.2">
      <c r="A1721" s="71">
        <v>41511</v>
      </c>
      <c r="B1721" s="72">
        <v>0.25</v>
      </c>
      <c r="C1721" s="71">
        <v>41511</v>
      </c>
      <c r="D1721" s="72">
        <v>0</v>
      </c>
    </row>
    <row r="1722" spans="1:4" x14ac:dyDescent="0.2">
      <c r="A1722" s="71">
        <v>41512</v>
      </c>
      <c r="B1722" s="72">
        <v>0.25</v>
      </c>
      <c r="C1722" s="71">
        <v>41512</v>
      </c>
      <c r="D1722" s="72">
        <v>0</v>
      </c>
    </row>
    <row r="1723" spans="1:4" x14ac:dyDescent="0.2">
      <c r="A1723" s="71">
        <v>41513</v>
      </c>
      <c r="B1723" s="72">
        <v>0.25</v>
      </c>
      <c r="C1723" s="71">
        <v>41513</v>
      </c>
      <c r="D1723" s="72">
        <v>0</v>
      </c>
    </row>
    <row r="1724" spans="1:4" x14ac:dyDescent="0.2">
      <c r="A1724" s="71">
        <v>41514</v>
      </c>
      <c r="B1724" s="72">
        <v>0.25</v>
      </c>
      <c r="C1724" s="71">
        <v>41514</v>
      </c>
      <c r="D1724" s="72">
        <v>0</v>
      </c>
    </row>
    <row r="1725" spans="1:4" x14ac:dyDescent="0.2">
      <c r="A1725" s="71">
        <v>41515</v>
      </c>
      <c r="B1725" s="72">
        <v>0.25</v>
      </c>
      <c r="C1725" s="71">
        <v>41515</v>
      </c>
      <c r="D1725" s="72">
        <v>0</v>
      </c>
    </row>
    <row r="1726" spans="1:4" x14ac:dyDescent="0.2">
      <c r="A1726" s="71">
        <v>41516</v>
      </c>
      <c r="B1726" s="72">
        <v>0.25</v>
      </c>
      <c r="C1726" s="71">
        <v>41516</v>
      </c>
      <c r="D1726" s="72">
        <v>0</v>
      </c>
    </row>
    <row r="1727" spans="1:4" x14ac:dyDescent="0.2">
      <c r="A1727" s="71">
        <v>41517</v>
      </c>
      <c r="B1727" s="72">
        <v>0.25</v>
      </c>
      <c r="C1727" s="71">
        <v>41517</v>
      </c>
      <c r="D1727" s="72">
        <v>0</v>
      </c>
    </row>
    <row r="1728" spans="1:4" x14ac:dyDescent="0.2">
      <c r="A1728" s="71">
        <v>41518</v>
      </c>
      <c r="B1728" s="72">
        <v>0.25</v>
      </c>
      <c r="C1728" s="71">
        <v>41518</v>
      </c>
      <c r="D1728" s="72">
        <v>0</v>
      </c>
    </row>
    <row r="1729" spans="1:4" x14ac:dyDescent="0.2">
      <c r="A1729" s="71">
        <v>41519</v>
      </c>
      <c r="B1729" s="72">
        <v>0.25</v>
      </c>
      <c r="C1729" s="71">
        <v>41519</v>
      </c>
      <c r="D1729" s="72">
        <v>0</v>
      </c>
    </row>
    <row r="1730" spans="1:4" x14ac:dyDescent="0.2">
      <c r="A1730" s="71">
        <v>41520</v>
      </c>
      <c r="B1730" s="72">
        <v>0.25</v>
      </c>
      <c r="C1730" s="71">
        <v>41520</v>
      </c>
      <c r="D1730" s="72">
        <v>0</v>
      </c>
    </row>
    <row r="1731" spans="1:4" x14ac:dyDescent="0.2">
      <c r="A1731" s="71">
        <v>41521</v>
      </c>
      <c r="B1731" s="72">
        <v>0.25</v>
      </c>
      <c r="C1731" s="71">
        <v>41521</v>
      </c>
      <c r="D1731" s="72">
        <v>0</v>
      </c>
    </row>
    <row r="1732" spans="1:4" x14ac:dyDescent="0.2">
      <c r="A1732" s="71">
        <v>41522</v>
      </c>
      <c r="B1732" s="72">
        <v>0.25</v>
      </c>
      <c r="C1732" s="71">
        <v>41522</v>
      </c>
      <c r="D1732" s="72">
        <v>0</v>
      </c>
    </row>
    <row r="1733" spans="1:4" x14ac:dyDescent="0.2">
      <c r="A1733" s="71">
        <v>41523</v>
      </c>
      <c r="B1733" s="72">
        <v>0.25</v>
      </c>
      <c r="C1733" s="71">
        <v>41523</v>
      </c>
      <c r="D1733" s="72">
        <v>0</v>
      </c>
    </row>
    <row r="1734" spans="1:4" x14ac:dyDescent="0.2">
      <c r="A1734" s="71">
        <v>41524</v>
      </c>
      <c r="B1734" s="72">
        <v>0.25</v>
      </c>
      <c r="C1734" s="71">
        <v>41524</v>
      </c>
      <c r="D1734" s="72">
        <v>0</v>
      </c>
    </row>
    <row r="1735" spans="1:4" x14ac:dyDescent="0.2">
      <c r="A1735" s="71">
        <v>41525</v>
      </c>
      <c r="B1735" s="72">
        <v>0.25</v>
      </c>
      <c r="C1735" s="71">
        <v>41525</v>
      </c>
      <c r="D1735" s="72">
        <v>0</v>
      </c>
    </row>
    <row r="1736" spans="1:4" x14ac:dyDescent="0.2">
      <c r="A1736" s="71">
        <v>41526</v>
      </c>
      <c r="B1736" s="72">
        <v>0.25</v>
      </c>
      <c r="C1736" s="71">
        <v>41526</v>
      </c>
      <c r="D1736" s="72">
        <v>0</v>
      </c>
    </row>
    <row r="1737" spans="1:4" x14ac:dyDescent="0.2">
      <c r="A1737" s="71">
        <v>41527</v>
      </c>
      <c r="B1737" s="72">
        <v>0.25</v>
      </c>
      <c r="C1737" s="71">
        <v>41527</v>
      </c>
      <c r="D1737" s="72">
        <v>0</v>
      </c>
    </row>
    <row r="1738" spans="1:4" x14ac:dyDescent="0.2">
      <c r="A1738" s="71">
        <v>41528</v>
      </c>
      <c r="B1738" s="72">
        <v>0.25</v>
      </c>
      <c r="C1738" s="71">
        <v>41528</v>
      </c>
      <c r="D1738" s="72">
        <v>0</v>
      </c>
    </row>
    <row r="1739" spans="1:4" x14ac:dyDescent="0.2">
      <c r="A1739" s="71">
        <v>41529</v>
      </c>
      <c r="B1739" s="72">
        <v>0.25</v>
      </c>
      <c r="C1739" s="71">
        <v>41529</v>
      </c>
      <c r="D1739" s="72">
        <v>0</v>
      </c>
    </row>
    <row r="1740" spans="1:4" x14ac:dyDescent="0.2">
      <c r="A1740" s="71">
        <v>41530</v>
      </c>
      <c r="B1740" s="72">
        <v>0.25</v>
      </c>
      <c r="C1740" s="71">
        <v>41530</v>
      </c>
      <c r="D1740" s="72">
        <v>0</v>
      </c>
    </row>
    <row r="1741" spans="1:4" x14ac:dyDescent="0.2">
      <c r="A1741" s="71">
        <v>41531</v>
      </c>
      <c r="B1741" s="72">
        <v>0.25</v>
      </c>
      <c r="C1741" s="71">
        <v>41531</v>
      </c>
      <c r="D1741" s="72">
        <v>0</v>
      </c>
    </row>
    <row r="1742" spans="1:4" x14ac:dyDescent="0.2">
      <c r="A1742" s="71">
        <v>41532</v>
      </c>
      <c r="B1742" s="72">
        <v>0.25</v>
      </c>
      <c r="C1742" s="71">
        <v>41532</v>
      </c>
      <c r="D1742" s="72">
        <v>0</v>
      </c>
    </row>
    <row r="1743" spans="1:4" x14ac:dyDescent="0.2">
      <c r="A1743" s="71">
        <v>41533</v>
      </c>
      <c r="B1743" s="72">
        <v>0.25</v>
      </c>
      <c r="C1743" s="71">
        <v>41533</v>
      </c>
      <c r="D1743" s="72">
        <v>0</v>
      </c>
    </row>
    <row r="1744" spans="1:4" x14ac:dyDescent="0.2">
      <c r="A1744" s="71">
        <v>41534</v>
      </c>
      <c r="B1744" s="72">
        <v>0.25</v>
      </c>
      <c r="C1744" s="71">
        <v>41534</v>
      </c>
      <c r="D1744" s="72">
        <v>0</v>
      </c>
    </row>
    <row r="1745" spans="1:4" x14ac:dyDescent="0.2">
      <c r="A1745" s="71">
        <v>41535</v>
      </c>
      <c r="B1745" s="72">
        <v>0.25</v>
      </c>
      <c r="C1745" s="71">
        <v>41535</v>
      </c>
      <c r="D1745" s="72">
        <v>0</v>
      </c>
    </row>
    <row r="1746" spans="1:4" x14ac:dyDescent="0.2">
      <c r="A1746" s="71">
        <v>41536</v>
      </c>
      <c r="B1746" s="72">
        <v>0.25</v>
      </c>
      <c r="C1746" s="71">
        <v>41536</v>
      </c>
      <c r="D1746" s="72">
        <v>0</v>
      </c>
    </row>
    <row r="1747" spans="1:4" x14ac:dyDescent="0.2">
      <c r="A1747" s="71">
        <v>41537</v>
      </c>
      <c r="B1747" s="72">
        <v>0.25</v>
      </c>
      <c r="C1747" s="71">
        <v>41537</v>
      </c>
      <c r="D1747" s="72">
        <v>0</v>
      </c>
    </row>
    <row r="1748" spans="1:4" x14ac:dyDescent="0.2">
      <c r="A1748" s="71">
        <v>41538</v>
      </c>
      <c r="B1748" s="72">
        <v>0.25</v>
      </c>
      <c r="C1748" s="71">
        <v>41538</v>
      </c>
      <c r="D1748" s="72">
        <v>0</v>
      </c>
    </row>
    <row r="1749" spans="1:4" x14ac:dyDescent="0.2">
      <c r="A1749" s="71">
        <v>41539</v>
      </c>
      <c r="B1749" s="72">
        <v>0.25</v>
      </c>
      <c r="C1749" s="71">
        <v>41539</v>
      </c>
      <c r="D1749" s="72">
        <v>0</v>
      </c>
    </row>
    <row r="1750" spans="1:4" x14ac:dyDescent="0.2">
      <c r="A1750" s="71">
        <v>41540</v>
      </c>
      <c r="B1750" s="72">
        <v>0.25</v>
      </c>
      <c r="C1750" s="71">
        <v>41540</v>
      </c>
      <c r="D1750" s="72">
        <v>0</v>
      </c>
    </row>
    <row r="1751" spans="1:4" x14ac:dyDescent="0.2">
      <c r="A1751" s="71">
        <v>41541</v>
      </c>
      <c r="B1751" s="72">
        <v>0.25</v>
      </c>
      <c r="C1751" s="71">
        <v>41541</v>
      </c>
      <c r="D1751" s="72">
        <v>0</v>
      </c>
    </row>
    <row r="1752" spans="1:4" x14ac:dyDescent="0.2">
      <c r="A1752" s="71">
        <v>41542</v>
      </c>
      <c r="B1752" s="72">
        <v>0.25</v>
      </c>
      <c r="C1752" s="71">
        <v>41542</v>
      </c>
      <c r="D1752" s="72">
        <v>0</v>
      </c>
    </row>
    <row r="1753" spans="1:4" x14ac:dyDescent="0.2">
      <c r="A1753" s="71">
        <v>41543</v>
      </c>
      <c r="B1753" s="72">
        <v>0.25</v>
      </c>
      <c r="C1753" s="71">
        <v>41543</v>
      </c>
      <c r="D1753" s="72">
        <v>0</v>
      </c>
    </row>
    <row r="1754" spans="1:4" x14ac:dyDescent="0.2">
      <c r="A1754" s="71">
        <v>41544</v>
      </c>
      <c r="B1754" s="72">
        <v>0.25</v>
      </c>
      <c r="C1754" s="71">
        <v>41544</v>
      </c>
      <c r="D1754" s="72">
        <v>0</v>
      </c>
    </row>
    <row r="1755" spans="1:4" x14ac:dyDescent="0.2">
      <c r="A1755" s="71">
        <v>41545</v>
      </c>
      <c r="B1755" s="72">
        <v>0.25</v>
      </c>
      <c r="C1755" s="71">
        <v>41545</v>
      </c>
      <c r="D1755" s="72">
        <v>0</v>
      </c>
    </row>
    <row r="1756" spans="1:4" x14ac:dyDescent="0.2">
      <c r="A1756" s="71">
        <v>41546</v>
      </c>
      <c r="B1756" s="72">
        <v>0.25</v>
      </c>
      <c r="C1756" s="71">
        <v>41546</v>
      </c>
      <c r="D1756" s="72">
        <v>0</v>
      </c>
    </row>
    <row r="1757" spans="1:4" x14ac:dyDescent="0.2">
      <c r="A1757" s="71">
        <v>41547</v>
      </c>
      <c r="B1757" s="72">
        <v>0.25</v>
      </c>
      <c r="C1757" s="71">
        <v>41547</v>
      </c>
      <c r="D1757" s="72">
        <v>0</v>
      </c>
    </row>
    <row r="1758" spans="1:4" x14ac:dyDescent="0.2">
      <c r="A1758" s="71">
        <v>41548</v>
      </c>
      <c r="B1758" s="72">
        <v>0.25</v>
      </c>
      <c r="C1758" s="71">
        <v>41548</v>
      </c>
      <c r="D1758" s="72">
        <v>0</v>
      </c>
    </row>
    <row r="1759" spans="1:4" x14ac:dyDescent="0.2">
      <c r="A1759" s="71">
        <v>41549</v>
      </c>
      <c r="B1759" s="72">
        <v>0.25</v>
      </c>
      <c r="C1759" s="71">
        <v>41549</v>
      </c>
      <c r="D1759" s="72">
        <v>0</v>
      </c>
    </row>
    <row r="1760" spans="1:4" x14ac:dyDescent="0.2">
      <c r="A1760" s="71">
        <v>41550</v>
      </c>
      <c r="B1760" s="72">
        <v>0.25</v>
      </c>
      <c r="C1760" s="71">
        <v>41550</v>
      </c>
      <c r="D1760" s="72">
        <v>0</v>
      </c>
    </row>
    <row r="1761" spans="1:4" x14ac:dyDescent="0.2">
      <c r="A1761" s="71">
        <v>41551</v>
      </c>
      <c r="B1761" s="72">
        <v>0.25</v>
      </c>
      <c r="C1761" s="71">
        <v>41551</v>
      </c>
      <c r="D1761" s="72">
        <v>0</v>
      </c>
    </row>
    <row r="1762" spans="1:4" x14ac:dyDescent="0.2">
      <c r="A1762" s="71">
        <v>41552</v>
      </c>
      <c r="B1762" s="72">
        <v>0.25</v>
      </c>
      <c r="C1762" s="71">
        <v>41552</v>
      </c>
      <c r="D1762" s="72">
        <v>0</v>
      </c>
    </row>
    <row r="1763" spans="1:4" x14ac:dyDescent="0.2">
      <c r="A1763" s="71">
        <v>41553</v>
      </c>
      <c r="B1763" s="72">
        <v>0.25</v>
      </c>
      <c r="C1763" s="71">
        <v>41553</v>
      </c>
      <c r="D1763" s="72">
        <v>0</v>
      </c>
    </row>
    <row r="1764" spans="1:4" x14ac:dyDescent="0.2">
      <c r="A1764" s="71">
        <v>41554</v>
      </c>
      <c r="B1764" s="72">
        <v>0.25</v>
      </c>
      <c r="C1764" s="71">
        <v>41554</v>
      </c>
      <c r="D1764" s="72">
        <v>0</v>
      </c>
    </row>
    <row r="1765" spans="1:4" x14ac:dyDescent="0.2">
      <c r="A1765" s="71">
        <v>41555</v>
      </c>
      <c r="B1765" s="72">
        <v>0.25</v>
      </c>
      <c r="C1765" s="71">
        <v>41555</v>
      </c>
      <c r="D1765" s="72">
        <v>0</v>
      </c>
    </row>
    <row r="1766" spans="1:4" x14ac:dyDescent="0.2">
      <c r="A1766" s="71">
        <v>41556</v>
      </c>
      <c r="B1766" s="72">
        <v>0.25</v>
      </c>
      <c r="C1766" s="71">
        <v>41556</v>
      </c>
      <c r="D1766" s="72">
        <v>0</v>
      </c>
    </row>
    <row r="1767" spans="1:4" x14ac:dyDescent="0.2">
      <c r="A1767" s="71">
        <v>41557</v>
      </c>
      <c r="B1767" s="72">
        <v>0.25</v>
      </c>
      <c r="C1767" s="71">
        <v>41557</v>
      </c>
      <c r="D1767" s="72">
        <v>0</v>
      </c>
    </row>
    <row r="1768" spans="1:4" x14ac:dyDescent="0.2">
      <c r="A1768" s="71">
        <v>41558</v>
      </c>
      <c r="B1768" s="72">
        <v>0.25</v>
      </c>
      <c r="C1768" s="71">
        <v>41558</v>
      </c>
      <c r="D1768" s="72">
        <v>0</v>
      </c>
    </row>
    <row r="1769" spans="1:4" x14ac:dyDescent="0.2">
      <c r="A1769" s="71">
        <v>41559</v>
      </c>
      <c r="B1769" s="72">
        <v>0.25</v>
      </c>
      <c r="C1769" s="71">
        <v>41559</v>
      </c>
      <c r="D1769" s="72">
        <v>0</v>
      </c>
    </row>
    <row r="1770" spans="1:4" x14ac:dyDescent="0.2">
      <c r="A1770" s="71">
        <v>41560</v>
      </c>
      <c r="B1770" s="72">
        <v>0.25</v>
      </c>
      <c r="C1770" s="71">
        <v>41560</v>
      </c>
      <c r="D1770" s="72">
        <v>0</v>
      </c>
    </row>
    <row r="1771" spans="1:4" x14ac:dyDescent="0.2">
      <c r="A1771" s="71">
        <v>41561</v>
      </c>
      <c r="B1771" s="72">
        <v>0.25</v>
      </c>
      <c r="C1771" s="71">
        <v>41561</v>
      </c>
      <c r="D1771" s="72">
        <v>0</v>
      </c>
    </row>
    <row r="1772" spans="1:4" x14ac:dyDescent="0.2">
      <c r="A1772" s="71">
        <v>41562</v>
      </c>
      <c r="B1772" s="72">
        <v>0.25</v>
      </c>
      <c r="C1772" s="71">
        <v>41562</v>
      </c>
      <c r="D1772" s="72">
        <v>0</v>
      </c>
    </row>
    <row r="1773" spans="1:4" x14ac:dyDescent="0.2">
      <c r="A1773" s="71">
        <v>41563</v>
      </c>
      <c r="B1773" s="72">
        <v>0.25</v>
      </c>
      <c r="C1773" s="71">
        <v>41563</v>
      </c>
      <c r="D1773" s="72">
        <v>0</v>
      </c>
    </row>
    <row r="1774" spans="1:4" x14ac:dyDescent="0.2">
      <c r="A1774" s="71">
        <v>41564</v>
      </c>
      <c r="B1774" s="72">
        <v>0.25</v>
      </c>
      <c r="C1774" s="71">
        <v>41564</v>
      </c>
      <c r="D1774" s="72">
        <v>0</v>
      </c>
    </row>
    <row r="1775" spans="1:4" x14ac:dyDescent="0.2">
      <c r="A1775" s="71">
        <v>41565</v>
      </c>
      <c r="B1775" s="72">
        <v>0.25</v>
      </c>
      <c r="C1775" s="71">
        <v>41565</v>
      </c>
      <c r="D1775" s="72">
        <v>0</v>
      </c>
    </row>
    <row r="1776" spans="1:4" x14ac:dyDescent="0.2">
      <c r="A1776" s="71">
        <v>41566</v>
      </c>
      <c r="B1776" s="72">
        <v>0.25</v>
      </c>
      <c r="C1776" s="71">
        <v>41566</v>
      </c>
      <c r="D1776" s="72">
        <v>0</v>
      </c>
    </row>
    <row r="1777" spans="1:4" x14ac:dyDescent="0.2">
      <c r="A1777" s="71">
        <v>41567</v>
      </c>
      <c r="B1777" s="72">
        <v>0.25</v>
      </c>
      <c r="C1777" s="71">
        <v>41567</v>
      </c>
      <c r="D1777" s="72">
        <v>0</v>
      </c>
    </row>
    <row r="1778" spans="1:4" x14ac:dyDescent="0.2">
      <c r="A1778" s="71">
        <v>41568</v>
      </c>
      <c r="B1778" s="72">
        <v>0.25</v>
      </c>
      <c r="C1778" s="71">
        <v>41568</v>
      </c>
      <c r="D1778" s="72">
        <v>0</v>
      </c>
    </row>
    <row r="1779" spans="1:4" x14ac:dyDescent="0.2">
      <c r="A1779" s="71">
        <v>41569</v>
      </c>
      <c r="B1779" s="72">
        <v>0.25</v>
      </c>
      <c r="C1779" s="71">
        <v>41569</v>
      </c>
      <c r="D1779" s="72">
        <v>0</v>
      </c>
    </row>
    <row r="1780" spans="1:4" x14ac:dyDescent="0.2">
      <c r="A1780" s="71">
        <v>41570</v>
      </c>
      <c r="B1780" s="72">
        <v>0.25</v>
      </c>
      <c r="C1780" s="71">
        <v>41570</v>
      </c>
      <c r="D1780" s="72">
        <v>0</v>
      </c>
    </row>
    <row r="1781" spans="1:4" x14ac:dyDescent="0.2">
      <c r="A1781" s="71">
        <v>41571</v>
      </c>
      <c r="B1781" s="72">
        <v>0.25</v>
      </c>
      <c r="C1781" s="71">
        <v>41571</v>
      </c>
      <c r="D1781" s="72">
        <v>0</v>
      </c>
    </row>
    <row r="1782" spans="1:4" x14ac:dyDescent="0.2">
      <c r="A1782" s="71">
        <v>41572</v>
      </c>
      <c r="B1782" s="72">
        <v>0.25</v>
      </c>
      <c r="C1782" s="71">
        <v>41572</v>
      </c>
      <c r="D1782" s="72">
        <v>0</v>
      </c>
    </row>
    <row r="1783" spans="1:4" x14ac:dyDescent="0.2">
      <c r="A1783" s="71">
        <v>41573</v>
      </c>
      <c r="B1783" s="72">
        <v>0.25</v>
      </c>
      <c r="C1783" s="71">
        <v>41573</v>
      </c>
      <c r="D1783" s="72">
        <v>0</v>
      </c>
    </row>
    <row r="1784" spans="1:4" x14ac:dyDescent="0.2">
      <c r="A1784" s="71">
        <v>41574</v>
      </c>
      <c r="B1784" s="72">
        <v>0.25</v>
      </c>
      <c r="C1784" s="71">
        <v>41574</v>
      </c>
      <c r="D1784" s="72">
        <v>0</v>
      </c>
    </row>
    <row r="1785" spans="1:4" x14ac:dyDescent="0.2">
      <c r="A1785" s="71">
        <v>41575</v>
      </c>
      <c r="B1785" s="72">
        <v>0.25</v>
      </c>
      <c r="C1785" s="71">
        <v>41575</v>
      </c>
      <c r="D1785" s="72">
        <v>0</v>
      </c>
    </row>
    <row r="1786" spans="1:4" x14ac:dyDescent="0.2">
      <c r="A1786" s="71">
        <v>41576</v>
      </c>
      <c r="B1786" s="72">
        <v>0.25</v>
      </c>
      <c r="C1786" s="71">
        <v>41576</v>
      </c>
      <c r="D1786" s="72">
        <v>0</v>
      </c>
    </row>
    <row r="1787" spans="1:4" x14ac:dyDescent="0.2">
      <c r="A1787" s="71">
        <v>41577</v>
      </c>
      <c r="B1787" s="72">
        <v>0.25</v>
      </c>
      <c r="C1787" s="71">
        <v>41577</v>
      </c>
      <c r="D1787" s="72">
        <v>0</v>
      </c>
    </row>
    <row r="1788" spans="1:4" x14ac:dyDescent="0.2">
      <c r="A1788" s="71">
        <v>41578</v>
      </c>
      <c r="B1788" s="72">
        <v>0.25</v>
      </c>
      <c r="C1788" s="71">
        <v>41578</v>
      </c>
      <c r="D1788" s="72">
        <v>0</v>
      </c>
    </row>
    <row r="1789" spans="1:4" x14ac:dyDescent="0.2">
      <c r="A1789" s="71">
        <v>41579</v>
      </c>
      <c r="B1789" s="72">
        <v>0.25</v>
      </c>
      <c r="C1789" s="71">
        <v>41579</v>
      </c>
      <c r="D1789" s="72">
        <v>0</v>
      </c>
    </row>
    <row r="1790" spans="1:4" x14ac:dyDescent="0.2">
      <c r="A1790" s="71">
        <v>41580</v>
      </c>
      <c r="B1790" s="72">
        <v>0.25</v>
      </c>
      <c r="C1790" s="71">
        <v>41580</v>
      </c>
      <c r="D1790" s="72">
        <v>0</v>
      </c>
    </row>
    <row r="1791" spans="1:4" x14ac:dyDescent="0.2">
      <c r="A1791" s="71">
        <v>41581</v>
      </c>
      <c r="B1791" s="72">
        <v>0.25</v>
      </c>
      <c r="C1791" s="71">
        <v>41581</v>
      </c>
      <c r="D1791" s="72">
        <v>0</v>
      </c>
    </row>
    <row r="1792" spans="1:4" x14ac:dyDescent="0.2">
      <c r="A1792" s="71">
        <v>41582</v>
      </c>
      <c r="B1792" s="72">
        <v>0.25</v>
      </c>
      <c r="C1792" s="71">
        <v>41582</v>
      </c>
      <c r="D1792" s="72">
        <v>0</v>
      </c>
    </row>
    <row r="1793" spans="1:4" x14ac:dyDescent="0.2">
      <c r="A1793" s="71">
        <v>41583</v>
      </c>
      <c r="B1793" s="72">
        <v>0.25</v>
      </c>
      <c r="C1793" s="71">
        <v>41583</v>
      </c>
      <c r="D1793" s="72">
        <v>0</v>
      </c>
    </row>
    <row r="1794" spans="1:4" x14ac:dyDescent="0.2">
      <c r="A1794" s="71">
        <v>41584</v>
      </c>
      <c r="B1794" s="72">
        <v>0.25</v>
      </c>
      <c r="C1794" s="71">
        <v>41584</v>
      </c>
      <c r="D1794" s="72">
        <v>0</v>
      </c>
    </row>
    <row r="1795" spans="1:4" x14ac:dyDescent="0.2">
      <c r="A1795" s="71">
        <v>41585</v>
      </c>
      <c r="B1795" s="72">
        <v>0.25</v>
      </c>
      <c r="C1795" s="71">
        <v>41585</v>
      </c>
      <c r="D1795" s="72">
        <v>0</v>
      </c>
    </row>
    <row r="1796" spans="1:4" x14ac:dyDescent="0.2">
      <c r="A1796" s="71">
        <v>41586</v>
      </c>
      <c r="B1796" s="72">
        <v>0.25</v>
      </c>
      <c r="C1796" s="71">
        <v>41586</v>
      </c>
      <c r="D1796" s="72">
        <v>0</v>
      </c>
    </row>
    <row r="1797" spans="1:4" x14ac:dyDescent="0.2">
      <c r="A1797" s="71">
        <v>41587</v>
      </c>
      <c r="B1797" s="72">
        <v>0.25</v>
      </c>
      <c r="C1797" s="71">
        <v>41587</v>
      </c>
      <c r="D1797" s="72">
        <v>0</v>
      </c>
    </row>
    <row r="1798" spans="1:4" x14ac:dyDescent="0.2">
      <c r="A1798" s="71">
        <v>41588</v>
      </c>
      <c r="B1798" s="72">
        <v>0.25</v>
      </c>
      <c r="C1798" s="71">
        <v>41588</v>
      </c>
      <c r="D1798" s="72">
        <v>0</v>
      </c>
    </row>
    <row r="1799" spans="1:4" x14ac:dyDescent="0.2">
      <c r="A1799" s="71">
        <v>41589</v>
      </c>
      <c r="B1799" s="72">
        <v>0.25</v>
      </c>
      <c r="C1799" s="71">
        <v>41589</v>
      </c>
      <c r="D1799" s="72">
        <v>0</v>
      </c>
    </row>
    <row r="1800" spans="1:4" x14ac:dyDescent="0.2">
      <c r="A1800" s="71">
        <v>41590</v>
      </c>
      <c r="B1800" s="72">
        <v>0.25</v>
      </c>
      <c r="C1800" s="71">
        <v>41590</v>
      </c>
      <c r="D1800" s="72">
        <v>0</v>
      </c>
    </row>
    <row r="1801" spans="1:4" x14ac:dyDescent="0.2">
      <c r="A1801" s="71">
        <v>41591</v>
      </c>
      <c r="B1801" s="72">
        <v>0.25</v>
      </c>
      <c r="C1801" s="71">
        <v>41591</v>
      </c>
      <c r="D1801" s="72">
        <v>0</v>
      </c>
    </row>
    <row r="1802" spans="1:4" x14ac:dyDescent="0.2">
      <c r="A1802" s="71">
        <v>41592</v>
      </c>
      <c r="B1802" s="72">
        <v>0.25</v>
      </c>
      <c r="C1802" s="71">
        <v>41592</v>
      </c>
      <c r="D1802" s="72">
        <v>0</v>
      </c>
    </row>
    <row r="1803" spans="1:4" x14ac:dyDescent="0.2">
      <c r="A1803" s="71">
        <v>41593</v>
      </c>
      <c r="B1803" s="72">
        <v>0.25</v>
      </c>
      <c r="C1803" s="71">
        <v>41593</v>
      </c>
      <c r="D1803" s="72">
        <v>0</v>
      </c>
    </row>
    <row r="1804" spans="1:4" x14ac:dyDescent="0.2">
      <c r="A1804" s="71">
        <v>41594</v>
      </c>
      <c r="B1804" s="72">
        <v>0.25</v>
      </c>
      <c r="C1804" s="71">
        <v>41594</v>
      </c>
      <c r="D1804" s="72">
        <v>0</v>
      </c>
    </row>
    <row r="1805" spans="1:4" x14ac:dyDescent="0.2">
      <c r="A1805" s="71">
        <v>41595</v>
      </c>
      <c r="B1805" s="72">
        <v>0.25</v>
      </c>
      <c r="C1805" s="71">
        <v>41595</v>
      </c>
      <c r="D1805" s="72">
        <v>0</v>
      </c>
    </row>
    <row r="1806" spans="1:4" x14ac:dyDescent="0.2">
      <c r="A1806" s="71">
        <v>41596</v>
      </c>
      <c r="B1806" s="72">
        <v>0.25</v>
      </c>
      <c r="C1806" s="71">
        <v>41596</v>
      </c>
      <c r="D1806" s="72">
        <v>0</v>
      </c>
    </row>
    <row r="1807" spans="1:4" x14ac:dyDescent="0.2">
      <c r="A1807" s="71">
        <v>41597</v>
      </c>
      <c r="B1807" s="72">
        <v>0.25</v>
      </c>
      <c r="C1807" s="71">
        <v>41597</v>
      </c>
      <c r="D1807" s="72">
        <v>0</v>
      </c>
    </row>
    <row r="1808" spans="1:4" x14ac:dyDescent="0.2">
      <c r="A1808" s="71">
        <v>41598</v>
      </c>
      <c r="B1808" s="72">
        <v>0.25</v>
      </c>
      <c r="C1808" s="71">
        <v>41598</v>
      </c>
      <c r="D1808" s="72">
        <v>0</v>
      </c>
    </row>
    <row r="1809" spans="1:4" x14ac:dyDescent="0.2">
      <c r="A1809" s="71">
        <v>41599</v>
      </c>
      <c r="B1809" s="72">
        <v>0.25</v>
      </c>
      <c r="C1809" s="71">
        <v>41599</v>
      </c>
      <c r="D1809" s="72">
        <v>0</v>
      </c>
    </row>
    <row r="1810" spans="1:4" x14ac:dyDescent="0.2">
      <c r="A1810" s="71">
        <v>41600</v>
      </c>
      <c r="B1810" s="72">
        <v>0.25</v>
      </c>
      <c r="C1810" s="71">
        <v>41600</v>
      </c>
      <c r="D1810" s="72">
        <v>0</v>
      </c>
    </row>
    <row r="1811" spans="1:4" x14ac:dyDescent="0.2">
      <c r="A1811" s="71">
        <v>41601</v>
      </c>
      <c r="B1811" s="72">
        <v>0.25</v>
      </c>
      <c r="C1811" s="71">
        <v>41601</v>
      </c>
      <c r="D1811" s="72">
        <v>0</v>
      </c>
    </row>
    <row r="1812" spans="1:4" x14ac:dyDescent="0.2">
      <c r="A1812" s="71">
        <v>41602</v>
      </c>
      <c r="B1812" s="72">
        <v>0.25</v>
      </c>
      <c r="C1812" s="71">
        <v>41602</v>
      </c>
      <c r="D1812" s="72">
        <v>0</v>
      </c>
    </row>
    <row r="1813" spans="1:4" x14ac:dyDescent="0.2">
      <c r="A1813" s="71">
        <v>41603</v>
      </c>
      <c r="B1813" s="72">
        <v>0.25</v>
      </c>
      <c r="C1813" s="71">
        <v>41603</v>
      </c>
      <c r="D1813" s="72">
        <v>0</v>
      </c>
    </row>
    <row r="1814" spans="1:4" x14ac:dyDescent="0.2">
      <c r="A1814" s="71">
        <v>41604</v>
      </c>
      <c r="B1814" s="72">
        <v>0.25</v>
      </c>
      <c r="C1814" s="71">
        <v>41604</v>
      </c>
      <c r="D1814" s="72">
        <v>0</v>
      </c>
    </row>
    <row r="1815" spans="1:4" x14ac:dyDescent="0.2">
      <c r="A1815" s="71">
        <v>41605</v>
      </c>
      <c r="B1815" s="72">
        <v>0.25</v>
      </c>
      <c r="C1815" s="71">
        <v>41605</v>
      </c>
      <c r="D1815" s="72">
        <v>0</v>
      </c>
    </row>
    <row r="1816" spans="1:4" x14ac:dyDescent="0.2">
      <c r="A1816" s="71">
        <v>41606</v>
      </c>
      <c r="B1816" s="72">
        <v>0.25</v>
      </c>
      <c r="C1816" s="71">
        <v>41606</v>
      </c>
      <c r="D1816" s="72">
        <v>0</v>
      </c>
    </row>
    <row r="1817" spans="1:4" x14ac:dyDescent="0.2">
      <c r="A1817" s="71">
        <v>41607</v>
      </c>
      <c r="B1817" s="72">
        <v>0.25</v>
      </c>
      <c r="C1817" s="71">
        <v>41607</v>
      </c>
      <c r="D1817" s="72">
        <v>0</v>
      </c>
    </row>
    <row r="1818" spans="1:4" x14ac:dyDescent="0.2">
      <c r="A1818" s="71">
        <v>41608</v>
      </c>
      <c r="B1818" s="72">
        <v>0.25</v>
      </c>
      <c r="C1818" s="71">
        <v>41608</v>
      </c>
      <c r="D1818" s="72">
        <v>0</v>
      </c>
    </row>
    <row r="1819" spans="1:4" x14ac:dyDescent="0.2">
      <c r="A1819" s="71">
        <v>41609</v>
      </c>
      <c r="B1819" s="72">
        <v>0.25</v>
      </c>
      <c r="C1819" s="71">
        <v>41609</v>
      </c>
      <c r="D1819" s="72">
        <v>0</v>
      </c>
    </row>
    <row r="1820" spans="1:4" x14ac:dyDescent="0.2">
      <c r="A1820" s="71">
        <v>41610</v>
      </c>
      <c r="B1820" s="72">
        <v>0.25</v>
      </c>
      <c r="C1820" s="71">
        <v>41610</v>
      </c>
      <c r="D1820" s="72">
        <v>0</v>
      </c>
    </row>
    <row r="1821" spans="1:4" x14ac:dyDescent="0.2">
      <c r="A1821" s="71">
        <v>41611</v>
      </c>
      <c r="B1821" s="72">
        <v>0.25</v>
      </c>
      <c r="C1821" s="71">
        <v>41611</v>
      </c>
      <c r="D1821" s="72">
        <v>0</v>
      </c>
    </row>
    <row r="1822" spans="1:4" x14ac:dyDescent="0.2">
      <c r="A1822" s="71">
        <v>41612</v>
      </c>
      <c r="B1822" s="72">
        <v>0.25</v>
      </c>
      <c r="C1822" s="71">
        <v>41612</v>
      </c>
      <c r="D1822" s="72">
        <v>0</v>
      </c>
    </row>
    <row r="1823" spans="1:4" x14ac:dyDescent="0.2">
      <c r="A1823" s="71">
        <v>41613</v>
      </c>
      <c r="B1823" s="72">
        <v>0.25</v>
      </c>
      <c r="C1823" s="71">
        <v>41613</v>
      </c>
      <c r="D1823" s="72">
        <v>0</v>
      </c>
    </row>
    <row r="1824" spans="1:4" x14ac:dyDescent="0.2">
      <c r="A1824" s="71">
        <v>41614</v>
      </c>
      <c r="B1824" s="72">
        <v>0.25</v>
      </c>
      <c r="C1824" s="71">
        <v>41614</v>
      </c>
      <c r="D1824" s="72">
        <v>0</v>
      </c>
    </row>
    <row r="1825" spans="1:4" x14ac:dyDescent="0.2">
      <c r="A1825" s="71">
        <v>41615</v>
      </c>
      <c r="B1825" s="72">
        <v>0.25</v>
      </c>
      <c r="C1825" s="71">
        <v>41615</v>
      </c>
      <c r="D1825" s="72">
        <v>0</v>
      </c>
    </row>
    <row r="1826" spans="1:4" x14ac:dyDescent="0.2">
      <c r="A1826" s="71">
        <v>41616</v>
      </c>
      <c r="B1826" s="72">
        <v>0.25</v>
      </c>
      <c r="C1826" s="71">
        <v>41616</v>
      </c>
      <c r="D1826" s="72">
        <v>0</v>
      </c>
    </row>
    <row r="1827" spans="1:4" x14ac:dyDescent="0.2">
      <c r="A1827" s="71">
        <v>41617</v>
      </c>
      <c r="B1827" s="72">
        <v>0.25</v>
      </c>
      <c r="C1827" s="71">
        <v>41617</v>
      </c>
      <c r="D1827" s="72">
        <v>0</v>
      </c>
    </row>
    <row r="1828" spans="1:4" x14ac:dyDescent="0.2">
      <c r="A1828" s="71">
        <v>41618</v>
      </c>
      <c r="B1828" s="72">
        <v>0.25</v>
      </c>
      <c r="C1828" s="71">
        <v>41618</v>
      </c>
      <c r="D1828" s="72">
        <v>0</v>
      </c>
    </row>
    <row r="1829" spans="1:4" x14ac:dyDescent="0.2">
      <c r="A1829" s="71">
        <v>41619</v>
      </c>
      <c r="B1829" s="72">
        <v>0.25</v>
      </c>
      <c r="C1829" s="71">
        <v>41619</v>
      </c>
      <c r="D1829" s="72">
        <v>0</v>
      </c>
    </row>
    <row r="1830" spans="1:4" x14ac:dyDescent="0.2">
      <c r="A1830" s="71">
        <v>41620</v>
      </c>
      <c r="B1830" s="72">
        <v>0.25</v>
      </c>
      <c r="C1830" s="71">
        <v>41620</v>
      </c>
      <c r="D1830" s="72">
        <v>0</v>
      </c>
    </row>
    <row r="1831" spans="1:4" x14ac:dyDescent="0.2">
      <c r="A1831" s="71">
        <v>41621</v>
      </c>
      <c r="B1831" s="72">
        <v>0.25</v>
      </c>
      <c r="C1831" s="71">
        <v>41621</v>
      </c>
      <c r="D1831" s="72">
        <v>0</v>
      </c>
    </row>
    <row r="1832" spans="1:4" x14ac:dyDescent="0.2">
      <c r="A1832" s="71">
        <v>41622</v>
      </c>
      <c r="B1832" s="72">
        <v>0.25</v>
      </c>
      <c r="C1832" s="71">
        <v>41622</v>
      </c>
      <c r="D1832" s="72">
        <v>0</v>
      </c>
    </row>
    <row r="1833" spans="1:4" x14ac:dyDescent="0.2">
      <c r="A1833" s="71">
        <v>41623</v>
      </c>
      <c r="B1833" s="72">
        <v>0.25</v>
      </c>
      <c r="C1833" s="71">
        <v>41623</v>
      </c>
      <c r="D1833" s="72">
        <v>0</v>
      </c>
    </row>
    <row r="1834" spans="1:4" x14ac:dyDescent="0.2">
      <c r="A1834" s="71">
        <v>41624</v>
      </c>
      <c r="B1834" s="72">
        <v>0.25</v>
      </c>
      <c r="C1834" s="71">
        <v>41624</v>
      </c>
      <c r="D1834" s="72">
        <v>0</v>
      </c>
    </row>
    <row r="1835" spans="1:4" x14ac:dyDescent="0.2">
      <c r="A1835" s="71">
        <v>41625</v>
      </c>
      <c r="B1835" s="72">
        <v>0.25</v>
      </c>
      <c r="C1835" s="71">
        <v>41625</v>
      </c>
      <c r="D1835" s="72">
        <v>0</v>
      </c>
    </row>
    <row r="1836" spans="1:4" x14ac:dyDescent="0.2">
      <c r="A1836" s="71">
        <v>41626</v>
      </c>
      <c r="B1836" s="72">
        <v>0.25</v>
      </c>
      <c r="C1836" s="71">
        <v>41626</v>
      </c>
      <c r="D1836" s="72">
        <v>0</v>
      </c>
    </row>
    <row r="1837" spans="1:4" x14ac:dyDescent="0.2">
      <c r="A1837" s="71">
        <v>41627</v>
      </c>
      <c r="B1837" s="72">
        <v>0.25</v>
      </c>
      <c r="C1837" s="71">
        <v>41627</v>
      </c>
      <c r="D1837" s="72">
        <v>0</v>
      </c>
    </row>
    <row r="1838" spans="1:4" x14ac:dyDescent="0.2">
      <c r="A1838" s="71">
        <v>41628</v>
      </c>
      <c r="B1838" s="72">
        <v>0.25</v>
      </c>
      <c r="C1838" s="71">
        <v>41628</v>
      </c>
      <c r="D1838" s="72">
        <v>0</v>
      </c>
    </row>
    <row r="1839" spans="1:4" x14ac:dyDescent="0.2">
      <c r="A1839" s="71">
        <v>41629</v>
      </c>
      <c r="B1839" s="72">
        <v>0.25</v>
      </c>
      <c r="C1839" s="71">
        <v>41629</v>
      </c>
      <c r="D1839" s="72">
        <v>0</v>
      </c>
    </row>
    <row r="1840" spans="1:4" x14ac:dyDescent="0.2">
      <c r="A1840" s="71">
        <v>41630</v>
      </c>
      <c r="B1840" s="72">
        <v>0.25</v>
      </c>
      <c r="C1840" s="71">
        <v>41630</v>
      </c>
      <c r="D1840" s="72">
        <v>0</v>
      </c>
    </row>
    <row r="1841" spans="1:4" x14ac:dyDescent="0.2">
      <c r="A1841" s="71">
        <v>41631</v>
      </c>
      <c r="B1841" s="72">
        <v>0.25</v>
      </c>
      <c r="C1841" s="71">
        <v>41631</v>
      </c>
      <c r="D1841" s="72">
        <v>0</v>
      </c>
    </row>
    <row r="1842" spans="1:4" x14ac:dyDescent="0.2">
      <c r="A1842" s="71">
        <v>41632</v>
      </c>
      <c r="B1842" s="72">
        <v>0.25</v>
      </c>
      <c r="C1842" s="71">
        <v>41632</v>
      </c>
      <c r="D1842" s="72">
        <v>0</v>
      </c>
    </row>
    <row r="1843" spans="1:4" x14ac:dyDescent="0.2">
      <c r="A1843" s="71">
        <v>41633</v>
      </c>
      <c r="B1843" s="72">
        <v>0.25</v>
      </c>
      <c r="C1843" s="71">
        <v>41633</v>
      </c>
      <c r="D1843" s="72">
        <v>0</v>
      </c>
    </row>
    <row r="1844" spans="1:4" x14ac:dyDescent="0.2">
      <c r="A1844" s="71">
        <v>41634</v>
      </c>
      <c r="B1844" s="72">
        <v>0.25</v>
      </c>
      <c r="C1844" s="71">
        <v>41634</v>
      </c>
      <c r="D1844" s="72">
        <v>0</v>
      </c>
    </row>
    <row r="1845" spans="1:4" x14ac:dyDescent="0.2">
      <c r="A1845" s="71">
        <v>41635</v>
      </c>
      <c r="B1845" s="72">
        <v>0.25</v>
      </c>
      <c r="C1845" s="71">
        <v>41635</v>
      </c>
      <c r="D1845" s="72">
        <v>0</v>
      </c>
    </row>
    <row r="1846" spans="1:4" x14ac:dyDescent="0.2">
      <c r="A1846" s="71">
        <v>41636</v>
      </c>
      <c r="B1846" s="72">
        <v>0.25</v>
      </c>
      <c r="C1846" s="71">
        <v>41636</v>
      </c>
      <c r="D1846" s="72">
        <v>0</v>
      </c>
    </row>
    <row r="1847" spans="1:4" x14ac:dyDescent="0.2">
      <c r="A1847" s="71">
        <v>41637</v>
      </c>
      <c r="B1847" s="72">
        <v>0.25</v>
      </c>
      <c r="C1847" s="71">
        <v>41637</v>
      </c>
      <c r="D1847" s="72">
        <v>0</v>
      </c>
    </row>
    <row r="1848" spans="1:4" x14ac:dyDescent="0.2">
      <c r="A1848" s="71">
        <v>41638</v>
      </c>
      <c r="B1848" s="72">
        <v>0.25</v>
      </c>
      <c r="C1848" s="71">
        <v>41638</v>
      </c>
      <c r="D1848" s="72">
        <v>0</v>
      </c>
    </row>
    <row r="1849" spans="1:4" x14ac:dyDescent="0.2">
      <c r="A1849" s="71">
        <v>41639</v>
      </c>
      <c r="B1849" s="72">
        <v>0.25</v>
      </c>
      <c r="C1849" s="71">
        <v>41639</v>
      </c>
      <c r="D1849" s="72">
        <v>0</v>
      </c>
    </row>
    <row r="1850" spans="1:4" x14ac:dyDescent="0.2">
      <c r="A1850" s="71">
        <v>41640</v>
      </c>
      <c r="B1850" s="72">
        <v>0.25</v>
      </c>
      <c r="C1850" s="71">
        <v>41640</v>
      </c>
      <c r="D1850" s="72">
        <v>0</v>
      </c>
    </row>
    <row r="1851" spans="1:4" x14ac:dyDescent="0.2">
      <c r="A1851" s="71">
        <v>41641</v>
      </c>
      <c r="B1851" s="72">
        <v>0.25</v>
      </c>
      <c r="C1851" s="71">
        <v>41641</v>
      </c>
      <c r="D1851" s="72">
        <v>0</v>
      </c>
    </row>
    <row r="1852" spans="1:4" x14ac:dyDescent="0.2">
      <c r="A1852" s="71">
        <v>41642</v>
      </c>
      <c r="B1852" s="72">
        <v>0.25</v>
      </c>
      <c r="C1852" s="71">
        <v>41642</v>
      </c>
      <c r="D1852" s="72">
        <v>0</v>
      </c>
    </row>
    <row r="1853" spans="1:4" x14ac:dyDescent="0.2">
      <c r="A1853" s="71">
        <v>41643</v>
      </c>
      <c r="B1853" s="72">
        <v>0.25</v>
      </c>
      <c r="C1853" s="71">
        <v>41643</v>
      </c>
      <c r="D1853" s="72">
        <v>0</v>
      </c>
    </row>
    <row r="1854" spans="1:4" x14ac:dyDescent="0.2">
      <c r="A1854" s="71">
        <v>41644</v>
      </c>
      <c r="B1854" s="72">
        <v>0.25</v>
      </c>
      <c r="C1854" s="71">
        <v>41644</v>
      </c>
      <c r="D1854" s="72">
        <v>0</v>
      </c>
    </row>
    <row r="1855" spans="1:4" x14ac:dyDescent="0.2">
      <c r="A1855" s="71">
        <v>41645</v>
      </c>
      <c r="B1855" s="72">
        <v>0.25</v>
      </c>
      <c r="C1855" s="71">
        <v>41645</v>
      </c>
      <c r="D1855" s="72">
        <v>0</v>
      </c>
    </row>
    <row r="1856" spans="1:4" x14ac:dyDescent="0.2">
      <c r="A1856" s="71">
        <v>41646</v>
      </c>
      <c r="B1856" s="72">
        <v>0.25</v>
      </c>
      <c r="C1856" s="71">
        <v>41646</v>
      </c>
      <c r="D1856" s="72">
        <v>0</v>
      </c>
    </row>
    <row r="1857" spans="1:4" x14ac:dyDescent="0.2">
      <c r="A1857" s="71">
        <v>41647</v>
      </c>
      <c r="B1857" s="72">
        <v>0.25</v>
      </c>
      <c r="C1857" s="71">
        <v>41647</v>
      </c>
      <c r="D1857" s="72">
        <v>0</v>
      </c>
    </row>
    <row r="1858" spans="1:4" x14ac:dyDescent="0.2">
      <c r="A1858" s="71">
        <v>41648</v>
      </c>
      <c r="B1858" s="72">
        <v>0.25</v>
      </c>
      <c r="C1858" s="71">
        <v>41648</v>
      </c>
      <c r="D1858" s="72">
        <v>0</v>
      </c>
    </row>
    <row r="1859" spans="1:4" x14ac:dyDescent="0.2">
      <c r="A1859" s="71">
        <v>41649</v>
      </c>
      <c r="B1859" s="72">
        <v>0.25</v>
      </c>
      <c r="C1859" s="71">
        <v>41649</v>
      </c>
      <c r="D1859" s="72">
        <v>0</v>
      </c>
    </row>
    <row r="1860" spans="1:4" x14ac:dyDescent="0.2">
      <c r="A1860" s="71">
        <v>41650</v>
      </c>
      <c r="B1860" s="72">
        <v>0.25</v>
      </c>
      <c r="C1860" s="71">
        <v>41650</v>
      </c>
      <c r="D1860" s="72">
        <v>0</v>
      </c>
    </row>
    <row r="1861" spans="1:4" x14ac:dyDescent="0.2">
      <c r="A1861" s="71">
        <v>41651</v>
      </c>
      <c r="B1861" s="72">
        <v>0.25</v>
      </c>
      <c r="C1861" s="71">
        <v>41651</v>
      </c>
      <c r="D1861" s="72">
        <v>0</v>
      </c>
    </row>
    <row r="1862" spans="1:4" x14ac:dyDescent="0.2">
      <c r="A1862" s="71">
        <v>41652</v>
      </c>
      <c r="B1862" s="72">
        <v>0.25</v>
      </c>
      <c r="C1862" s="71">
        <v>41652</v>
      </c>
      <c r="D1862" s="72">
        <v>0</v>
      </c>
    </row>
    <row r="1863" spans="1:4" x14ac:dyDescent="0.2">
      <c r="A1863" s="71">
        <v>41653</v>
      </c>
      <c r="B1863" s="72">
        <v>0.25</v>
      </c>
      <c r="C1863" s="71">
        <v>41653</v>
      </c>
      <c r="D1863" s="72">
        <v>0</v>
      </c>
    </row>
    <row r="1864" spans="1:4" x14ac:dyDescent="0.2">
      <c r="A1864" s="71">
        <v>41654</v>
      </c>
      <c r="B1864" s="72">
        <v>0.25</v>
      </c>
      <c r="C1864" s="71">
        <v>41654</v>
      </c>
      <c r="D1864" s="72">
        <v>0</v>
      </c>
    </row>
    <row r="1865" spans="1:4" x14ac:dyDescent="0.2">
      <c r="A1865" s="71">
        <v>41655</v>
      </c>
      <c r="B1865" s="72">
        <v>0.25</v>
      </c>
      <c r="C1865" s="71">
        <v>41655</v>
      </c>
      <c r="D1865" s="72">
        <v>0</v>
      </c>
    </row>
    <row r="1866" spans="1:4" x14ac:dyDescent="0.2">
      <c r="A1866" s="71">
        <v>41656</v>
      </c>
      <c r="B1866" s="72">
        <v>0.25</v>
      </c>
      <c r="C1866" s="71">
        <v>41656</v>
      </c>
      <c r="D1866" s="72">
        <v>0</v>
      </c>
    </row>
    <row r="1867" spans="1:4" x14ac:dyDescent="0.2">
      <c r="A1867" s="71">
        <v>41657</v>
      </c>
      <c r="B1867" s="72">
        <v>0.25</v>
      </c>
      <c r="C1867" s="71">
        <v>41657</v>
      </c>
      <c r="D1867" s="72">
        <v>0</v>
      </c>
    </row>
    <row r="1868" spans="1:4" x14ac:dyDescent="0.2">
      <c r="A1868" s="71">
        <v>41658</v>
      </c>
      <c r="B1868" s="72">
        <v>0.25</v>
      </c>
      <c r="C1868" s="71">
        <v>41658</v>
      </c>
      <c r="D1868" s="72">
        <v>0</v>
      </c>
    </row>
    <row r="1869" spans="1:4" x14ac:dyDescent="0.2">
      <c r="A1869" s="71">
        <v>41659</v>
      </c>
      <c r="B1869" s="72">
        <v>0.25</v>
      </c>
      <c r="C1869" s="71">
        <v>41659</v>
      </c>
      <c r="D1869" s="72">
        <v>0</v>
      </c>
    </row>
    <row r="1870" spans="1:4" x14ac:dyDescent="0.2">
      <c r="A1870" s="71">
        <v>41660</v>
      </c>
      <c r="B1870" s="72">
        <v>0.25</v>
      </c>
      <c r="C1870" s="71">
        <v>41660</v>
      </c>
      <c r="D1870" s="72">
        <v>0</v>
      </c>
    </row>
    <row r="1871" spans="1:4" x14ac:dyDescent="0.2">
      <c r="A1871" s="71">
        <v>41661</v>
      </c>
      <c r="B1871" s="72">
        <v>0.25</v>
      </c>
      <c r="C1871" s="71">
        <v>41661</v>
      </c>
      <c r="D1871" s="72">
        <v>0</v>
      </c>
    </row>
    <row r="1872" spans="1:4" x14ac:dyDescent="0.2">
      <c r="A1872" s="71">
        <v>41662</v>
      </c>
      <c r="B1872" s="72">
        <v>0.25</v>
      </c>
      <c r="C1872" s="71">
        <v>41662</v>
      </c>
      <c r="D1872" s="72">
        <v>0</v>
      </c>
    </row>
    <row r="1873" spans="1:4" x14ac:dyDescent="0.2">
      <c r="A1873" s="71">
        <v>41663</v>
      </c>
      <c r="B1873" s="72">
        <v>0.25</v>
      </c>
      <c r="C1873" s="71">
        <v>41663</v>
      </c>
      <c r="D1873" s="72">
        <v>0</v>
      </c>
    </row>
    <row r="1874" spans="1:4" x14ac:dyDescent="0.2">
      <c r="A1874" s="71">
        <v>41664</v>
      </c>
      <c r="B1874" s="72">
        <v>0.25</v>
      </c>
      <c r="C1874" s="71">
        <v>41664</v>
      </c>
      <c r="D1874" s="72">
        <v>0</v>
      </c>
    </row>
    <row r="1875" spans="1:4" x14ac:dyDescent="0.2">
      <c r="A1875" s="71">
        <v>41665</v>
      </c>
      <c r="B1875" s="72">
        <v>0.25</v>
      </c>
      <c r="C1875" s="71">
        <v>41665</v>
      </c>
      <c r="D1875" s="72">
        <v>0</v>
      </c>
    </row>
    <row r="1876" spans="1:4" x14ac:dyDescent="0.2">
      <c r="A1876" s="71">
        <v>41666</v>
      </c>
      <c r="B1876" s="72">
        <v>0.25</v>
      </c>
      <c r="C1876" s="71">
        <v>41666</v>
      </c>
      <c r="D1876" s="72">
        <v>0</v>
      </c>
    </row>
    <row r="1877" spans="1:4" x14ac:dyDescent="0.2">
      <c r="A1877" s="71">
        <v>41667</v>
      </c>
      <c r="B1877" s="72">
        <v>0.25</v>
      </c>
      <c r="C1877" s="71">
        <v>41667</v>
      </c>
      <c r="D1877" s="72">
        <v>0</v>
      </c>
    </row>
    <row r="1878" spans="1:4" x14ac:dyDescent="0.2">
      <c r="A1878" s="71">
        <v>41668</v>
      </c>
      <c r="B1878" s="72">
        <v>0.25</v>
      </c>
      <c r="C1878" s="71">
        <v>41668</v>
      </c>
      <c r="D1878" s="72">
        <v>0</v>
      </c>
    </row>
    <row r="1879" spans="1:4" x14ac:dyDescent="0.2">
      <c r="A1879" s="71">
        <v>41669</v>
      </c>
      <c r="B1879" s="72">
        <v>0.25</v>
      </c>
      <c r="C1879" s="71">
        <v>41669</v>
      </c>
      <c r="D1879" s="72">
        <v>0</v>
      </c>
    </row>
    <row r="1880" spans="1:4" x14ac:dyDescent="0.2">
      <c r="A1880" s="71">
        <v>41670</v>
      </c>
      <c r="B1880" s="72">
        <v>0.25</v>
      </c>
      <c r="C1880" s="71">
        <v>41670</v>
      </c>
      <c r="D1880" s="72">
        <v>0</v>
      </c>
    </row>
    <row r="1881" spans="1:4" x14ac:dyDescent="0.2">
      <c r="A1881" s="71">
        <v>41671</v>
      </c>
      <c r="B1881" s="72">
        <v>0.25</v>
      </c>
      <c r="C1881" s="71">
        <v>41671</v>
      </c>
      <c r="D1881" s="72">
        <v>0</v>
      </c>
    </row>
    <row r="1882" spans="1:4" x14ac:dyDescent="0.2">
      <c r="A1882" s="71">
        <v>41672</v>
      </c>
      <c r="B1882" s="72">
        <v>0.25</v>
      </c>
      <c r="C1882" s="71">
        <v>41672</v>
      </c>
      <c r="D1882" s="72">
        <v>0</v>
      </c>
    </row>
    <row r="1883" spans="1:4" x14ac:dyDescent="0.2">
      <c r="A1883" s="71">
        <v>41673</v>
      </c>
      <c r="B1883" s="72">
        <v>0.25</v>
      </c>
      <c r="C1883" s="71">
        <v>41673</v>
      </c>
      <c r="D1883" s="72">
        <v>0</v>
      </c>
    </row>
    <row r="1884" spans="1:4" x14ac:dyDescent="0.2">
      <c r="A1884" s="71">
        <v>41674</v>
      </c>
      <c r="B1884" s="72">
        <v>0.25</v>
      </c>
      <c r="C1884" s="71">
        <v>41674</v>
      </c>
      <c r="D1884" s="72">
        <v>0</v>
      </c>
    </row>
    <row r="1885" spans="1:4" x14ac:dyDescent="0.2">
      <c r="A1885" s="71">
        <v>41675</v>
      </c>
      <c r="B1885" s="72">
        <v>0.25</v>
      </c>
      <c r="C1885" s="71">
        <v>41675</v>
      </c>
      <c r="D1885" s="72">
        <v>0</v>
      </c>
    </row>
    <row r="1886" spans="1:4" x14ac:dyDescent="0.2">
      <c r="A1886" s="71">
        <v>41676</v>
      </c>
      <c r="B1886" s="72">
        <v>0.25</v>
      </c>
      <c r="C1886" s="71">
        <v>41676</v>
      </c>
      <c r="D1886" s="72">
        <v>0</v>
      </c>
    </row>
    <row r="1887" spans="1:4" x14ac:dyDescent="0.2">
      <c r="A1887" s="71">
        <v>41677</v>
      </c>
      <c r="B1887" s="72">
        <v>0.25</v>
      </c>
      <c r="C1887" s="71">
        <v>41677</v>
      </c>
      <c r="D1887" s="72">
        <v>0</v>
      </c>
    </row>
    <row r="1888" spans="1:4" x14ac:dyDescent="0.2">
      <c r="A1888" s="71">
        <v>41678</v>
      </c>
      <c r="B1888" s="72">
        <v>0.25</v>
      </c>
      <c r="C1888" s="71">
        <v>41678</v>
      </c>
      <c r="D1888" s="72">
        <v>0</v>
      </c>
    </row>
    <row r="1889" spans="1:4" x14ac:dyDescent="0.2">
      <c r="A1889" s="71">
        <v>41679</v>
      </c>
      <c r="B1889" s="72">
        <v>0.25</v>
      </c>
      <c r="C1889" s="71">
        <v>41679</v>
      </c>
      <c r="D1889" s="72">
        <v>0</v>
      </c>
    </row>
    <row r="1890" spans="1:4" x14ac:dyDescent="0.2">
      <c r="A1890" s="71">
        <v>41680</v>
      </c>
      <c r="B1890" s="72">
        <v>0.25</v>
      </c>
      <c r="C1890" s="71">
        <v>41680</v>
      </c>
      <c r="D1890" s="72">
        <v>0</v>
      </c>
    </row>
    <row r="1891" spans="1:4" x14ac:dyDescent="0.2">
      <c r="A1891" s="71">
        <v>41681</v>
      </c>
      <c r="B1891" s="72">
        <v>0.25</v>
      </c>
      <c r="C1891" s="71">
        <v>41681</v>
      </c>
      <c r="D1891" s="72">
        <v>0</v>
      </c>
    </row>
    <row r="1892" spans="1:4" x14ac:dyDescent="0.2">
      <c r="A1892" s="71">
        <v>41682</v>
      </c>
      <c r="B1892" s="72">
        <v>0.25</v>
      </c>
      <c r="C1892" s="71">
        <v>41682</v>
      </c>
      <c r="D1892" s="72">
        <v>0</v>
      </c>
    </row>
    <row r="1893" spans="1:4" x14ac:dyDescent="0.2">
      <c r="A1893" s="71">
        <v>41683</v>
      </c>
      <c r="B1893" s="72">
        <v>0.25</v>
      </c>
      <c r="C1893" s="71">
        <v>41683</v>
      </c>
      <c r="D1893" s="72">
        <v>0</v>
      </c>
    </row>
    <row r="1894" spans="1:4" x14ac:dyDescent="0.2">
      <c r="A1894" s="71">
        <v>41684</v>
      </c>
      <c r="B1894" s="72">
        <v>0.25</v>
      </c>
      <c r="C1894" s="71">
        <v>41684</v>
      </c>
      <c r="D1894" s="72">
        <v>0</v>
      </c>
    </row>
    <row r="1895" spans="1:4" x14ac:dyDescent="0.2">
      <c r="A1895" s="71">
        <v>41685</v>
      </c>
      <c r="B1895" s="72">
        <v>0.25</v>
      </c>
      <c r="C1895" s="71">
        <v>41685</v>
      </c>
      <c r="D1895" s="72">
        <v>0</v>
      </c>
    </row>
    <row r="1896" spans="1:4" x14ac:dyDescent="0.2">
      <c r="A1896" s="71">
        <v>41686</v>
      </c>
      <c r="B1896" s="72">
        <v>0.25</v>
      </c>
      <c r="C1896" s="71">
        <v>41686</v>
      </c>
      <c r="D1896" s="72">
        <v>0</v>
      </c>
    </row>
    <row r="1897" spans="1:4" x14ac:dyDescent="0.2">
      <c r="A1897" s="71">
        <v>41687</v>
      </c>
      <c r="B1897" s="72">
        <v>0.25</v>
      </c>
      <c r="C1897" s="71">
        <v>41687</v>
      </c>
      <c r="D1897" s="72">
        <v>0</v>
      </c>
    </row>
    <row r="1898" spans="1:4" x14ac:dyDescent="0.2">
      <c r="A1898" s="71">
        <v>41688</v>
      </c>
      <c r="B1898" s="72">
        <v>0.25</v>
      </c>
      <c r="C1898" s="71">
        <v>41688</v>
      </c>
      <c r="D1898" s="72">
        <v>0</v>
      </c>
    </row>
    <row r="1899" spans="1:4" x14ac:dyDescent="0.2">
      <c r="A1899" s="71">
        <v>41689</v>
      </c>
      <c r="B1899" s="72">
        <v>0.25</v>
      </c>
      <c r="C1899" s="71">
        <v>41689</v>
      </c>
      <c r="D1899" s="72">
        <v>0</v>
      </c>
    </row>
    <row r="1900" spans="1:4" x14ac:dyDescent="0.2">
      <c r="A1900" s="71">
        <v>41690</v>
      </c>
      <c r="B1900" s="72">
        <v>0.25</v>
      </c>
      <c r="C1900" s="71">
        <v>41690</v>
      </c>
      <c r="D1900" s="72">
        <v>0</v>
      </c>
    </row>
    <row r="1901" spans="1:4" x14ac:dyDescent="0.2">
      <c r="A1901" s="71">
        <v>41691</v>
      </c>
      <c r="B1901" s="72">
        <v>0.25</v>
      </c>
      <c r="C1901" s="71">
        <v>41691</v>
      </c>
      <c r="D1901" s="72">
        <v>0</v>
      </c>
    </row>
    <row r="1902" spans="1:4" x14ac:dyDescent="0.2">
      <c r="A1902" s="71">
        <v>41692</v>
      </c>
      <c r="B1902" s="72">
        <v>0.25</v>
      </c>
      <c r="C1902" s="71">
        <v>41692</v>
      </c>
      <c r="D1902" s="72">
        <v>0</v>
      </c>
    </row>
    <row r="1903" spans="1:4" x14ac:dyDescent="0.2">
      <c r="A1903" s="71">
        <v>41693</v>
      </c>
      <c r="B1903" s="72">
        <v>0.25</v>
      </c>
      <c r="C1903" s="71">
        <v>41693</v>
      </c>
      <c r="D1903" s="72">
        <v>0</v>
      </c>
    </row>
    <row r="1904" spans="1:4" x14ac:dyDescent="0.2">
      <c r="A1904" s="71">
        <v>41694</v>
      </c>
      <c r="B1904" s="72">
        <v>0.25</v>
      </c>
      <c r="C1904" s="71">
        <v>41694</v>
      </c>
      <c r="D1904" s="72">
        <v>0</v>
      </c>
    </row>
    <row r="1905" spans="1:4" x14ac:dyDescent="0.2">
      <c r="A1905" s="71">
        <v>41695</v>
      </c>
      <c r="B1905" s="72">
        <v>0.25</v>
      </c>
      <c r="C1905" s="71">
        <v>41695</v>
      </c>
      <c r="D1905" s="72">
        <v>0</v>
      </c>
    </row>
    <row r="1906" spans="1:4" x14ac:dyDescent="0.2">
      <c r="A1906" s="71">
        <v>41696</v>
      </c>
      <c r="B1906" s="72">
        <v>0.25</v>
      </c>
      <c r="C1906" s="71">
        <v>41696</v>
      </c>
      <c r="D1906" s="72">
        <v>0</v>
      </c>
    </row>
    <row r="1907" spans="1:4" x14ac:dyDescent="0.2">
      <c r="A1907" s="71">
        <v>41697</v>
      </c>
      <c r="B1907" s="72">
        <v>0.25</v>
      </c>
      <c r="C1907" s="71">
        <v>41697</v>
      </c>
      <c r="D1907" s="72">
        <v>0</v>
      </c>
    </row>
    <row r="1908" spans="1:4" x14ac:dyDescent="0.2">
      <c r="A1908" s="71">
        <v>41698</v>
      </c>
      <c r="B1908" s="72">
        <v>0.25</v>
      </c>
      <c r="C1908" s="71">
        <v>41698</v>
      </c>
      <c r="D1908" s="72">
        <v>0</v>
      </c>
    </row>
    <row r="1909" spans="1:4" x14ac:dyDescent="0.2">
      <c r="A1909" s="71">
        <v>41699</v>
      </c>
      <c r="B1909" s="72">
        <v>0.25</v>
      </c>
      <c r="C1909" s="71">
        <v>41699</v>
      </c>
      <c r="D1909" s="72">
        <v>0</v>
      </c>
    </row>
    <row r="1910" spans="1:4" x14ac:dyDescent="0.2">
      <c r="A1910" s="71">
        <v>41700</v>
      </c>
      <c r="B1910" s="72">
        <v>0.25</v>
      </c>
      <c r="C1910" s="71">
        <v>41700</v>
      </c>
      <c r="D1910" s="72">
        <v>0</v>
      </c>
    </row>
    <row r="1911" spans="1:4" x14ac:dyDescent="0.2">
      <c r="A1911" s="71">
        <v>41701</v>
      </c>
      <c r="B1911" s="72">
        <v>0.25</v>
      </c>
      <c r="C1911" s="71">
        <v>41701</v>
      </c>
      <c r="D1911" s="72">
        <v>0</v>
      </c>
    </row>
    <row r="1912" spans="1:4" x14ac:dyDescent="0.2">
      <c r="A1912" s="71">
        <v>41702</v>
      </c>
      <c r="B1912" s="72">
        <v>0.25</v>
      </c>
      <c r="C1912" s="71">
        <v>41702</v>
      </c>
      <c r="D1912" s="72">
        <v>0</v>
      </c>
    </row>
    <row r="1913" spans="1:4" x14ac:dyDescent="0.2">
      <c r="A1913" s="71">
        <v>41703</v>
      </c>
      <c r="B1913" s="72">
        <v>0.25</v>
      </c>
      <c r="C1913" s="71">
        <v>41703</v>
      </c>
      <c r="D1913" s="72">
        <v>0</v>
      </c>
    </row>
    <row r="1914" spans="1:4" x14ac:dyDescent="0.2">
      <c r="A1914" s="71">
        <v>41704</v>
      </c>
      <c r="B1914" s="72">
        <v>0.25</v>
      </c>
      <c r="C1914" s="71">
        <v>41704</v>
      </c>
      <c r="D1914" s="72">
        <v>0</v>
      </c>
    </row>
    <row r="1915" spans="1:4" x14ac:dyDescent="0.2">
      <c r="A1915" s="71">
        <v>41705</v>
      </c>
      <c r="B1915" s="72">
        <v>0.25</v>
      </c>
      <c r="C1915" s="71">
        <v>41705</v>
      </c>
      <c r="D1915" s="72">
        <v>0</v>
      </c>
    </row>
    <row r="1916" spans="1:4" x14ac:dyDescent="0.2">
      <c r="A1916" s="71">
        <v>41706</v>
      </c>
      <c r="B1916" s="72">
        <v>0.25</v>
      </c>
      <c r="C1916" s="71">
        <v>41706</v>
      </c>
      <c r="D1916" s="72">
        <v>0</v>
      </c>
    </row>
    <row r="1917" spans="1:4" x14ac:dyDescent="0.2">
      <c r="A1917" s="71">
        <v>41707</v>
      </c>
      <c r="B1917" s="72">
        <v>0.25</v>
      </c>
      <c r="C1917" s="71">
        <v>41707</v>
      </c>
      <c r="D1917" s="72">
        <v>0</v>
      </c>
    </row>
    <row r="1918" spans="1:4" x14ac:dyDescent="0.2">
      <c r="A1918" s="71">
        <v>41708</v>
      </c>
      <c r="B1918" s="72">
        <v>0.25</v>
      </c>
      <c r="C1918" s="71">
        <v>41708</v>
      </c>
      <c r="D1918" s="72">
        <v>0</v>
      </c>
    </row>
    <row r="1919" spans="1:4" x14ac:dyDescent="0.2">
      <c r="A1919" s="71">
        <v>41709</v>
      </c>
      <c r="B1919" s="72">
        <v>0.25</v>
      </c>
      <c r="C1919" s="71">
        <v>41709</v>
      </c>
      <c r="D1919" s="72">
        <v>0</v>
      </c>
    </row>
    <row r="1920" spans="1:4" x14ac:dyDescent="0.2">
      <c r="A1920" s="71">
        <v>41710</v>
      </c>
      <c r="B1920" s="72">
        <v>0.25</v>
      </c>
      <c r="C1920" s="71">
        <v>41710</v>
      </c>
      <c r="D1920" s="72">
        <v>0</v>
      </c>
    </row>
    <row r="1921" spans="1:4" x14ac:dyDescent="0.2">
      <c r="A1921" s="71">
        <v>41711</v>
      </c>
      <c r="B1921" s="72">
        <v>0.25</v>
      </c>
      <c r="C1921" s="71">
        <v>41711</v>
      </c>
      <c r="D1921" s="72">
        <v>0</v>
      </c>
    </row>
    <row r="1922" spans="1:4" x14ac:dyDescent="0.2">
      <c r="A1922" s="71">
        <v>41712</v>
      </c>
      <c r="B1922" s="72">
        <v>0.25</v>
      </c>
      <c r="C1922" s="71">
        <v>41712</v>
      </c>
      <c r="D1922" s="72">
        <v>0</v>
      </c>
    </row>
    <row r="1923" spans="1:4" x14ac:dyDescent="0.2">
      <c r="A1923" s="71">
        <v>41713</v>
      </c>
      <c r="B1923" s="72">
        <v>0.25</v>
      </c>
      <c r="C1923" s="71">
        <v>41713</v>
      </c>
      <c r="D1923" s="72">
        <v>0</v>
      </c>
    </row>
    <row r="1924" spans="1:4" x14ac:dyDescent="0.2">
      <c r="A1924" s="71">
        <v>41714</v>
      </c>
      <c r="B1924" s="72">
        <v>0.25</v>
      </c>
      <c r="C1924" s="71">
        <v>41714</v>
      </c>
      <c r="D1924" s="72">
        <v>0</v>
      </c>
    </row>
    <row r="1925" spans="1:4" x14ac:dyDescent="0.2">
      <c r="A1925" s="71">
        <v>41715</v>
      </c>
      <c r="B1925" s="72">
        <v>0.25</v>
      </c>
      <c r="C1925" s="71">
        <v>41715</v>
      </c>
      <c r="D1925" s="72">
        <v>0</v>
      </c>
    </row>
    <row r="1926" spans="1:4" x14ac:dyDescent="0.2">
      <c r="A1926" s="71">
        <v>41716</v>
      </c>
      <c r="B1926" s="72">
        <v>0.25</v>
      </c>
      <c r="C1926" s="71">
        <v>41716</v>
      </c>
      <c r="D1926" s="72">
        <v>0</v>
      </c>
    </row>
    <row r="1927" spans="1:4" x14ac:dyDescent="0.2">
      <c r="A1927" s="71">
        <v>41717</v>
      </c>
      <c r="B1927" s="72">
        <v>0.25</v>
      </c>
      <c r="C1927" s="71">
        <v>41717</v>
      </c>
      <c r="D1927" s="72">
        <v>0</v>
      </c>
    </row>
    <row r="1928" spans="1:4" x14ac:dyDescent="0.2">
      <c r="A1928" s="71">
        <v>41718</v>
      </c>
      <c r="B1928" s="72">
        <v>0.25</v>
      </c>
      <c r="C1928" s="71">
        <v>41718</v>
      </c>
      <c r="D1928" s="72">
        <v>0</v>
      </c>
    </row>
    <row r="1929" spans="1:4" x14ac:dyDescent="0.2">
      <c r="A1929" s="71">
        <v>41719</v>
      </c>
      <c r="B1929" s="72">
        <v>0.25</v>
      </c>
      <c r="C1929" s="71">
        <v>41719</v>
      </c>
      <c r="D1929" s="72">
        <v>0</v>
      </c>
    </row>
    <row r="1930" spans="1:4" x14ac:dyDescent="0.2">
      <c r="A1930" s="71">
        <v>41720</v>
      </c>
      <c r="B1930" s="72">
        <v>0.25</v>
      </c>
      <c r="C1930" s="71">
        <v>41720</v>
      </c>
      <c r="D1930" s="72">
        <v>0</v>
      </c>
    </row>
    <row r="1931" spans="1:4" x14ac:dyDescent="0.2">
      <c r="A1931" s="71">
        <v>41721</v>
      </c>
      <c r="B1931" s="72">
        <v>0.25</v>
      </c>
      <c r="C1931" s="71">
        <v>41721</v>
      </c>
      <c r="D1931" s="72">
        <v>0</v>
      </c>
    </row>
    <row r="1932" spans="1:4" x14ac:dyDescent="0.2">
      <c r="A1932" s="71">
        <v>41722</v>
      </c>
      <c r="B1932" s="72">
        <v>0.25</v>
      </c>
      <c r="C1932" s="71">
        <v>41722</v>
      </c>
      <c r="D1932" s="72">
        <v>0</v>
      </c>
    </row>
    <row r="1933" spans="1:4" x14ac:dyDescent="0.2">
      <c r="A1933" s="71">
        <v>41723</v>
      </c>
      <c r="B1933" s="72">
        <v>0.25</v>
      </c>
      <c r="C1933" s="71">
        <v>41723</v>
      </c>
      <c r="D1933" s="72">
        <v>0</v>
      </c>
    </row>
    <row r="1934" spans="1:4" x14ac:dyDescent="0.2">
      <c r="A1934" s="71">
        <v>41724</v>
      </c>
      <c r="B1934" s="72">
        <v>0.25</v>
      </c>
      <c r="C1934" s="71">
        <v>41724</v>
      </c>
      <c r="D1934" s="72">
        <v>0</v>
      </c>
    </row>
    <row r="1935" spans="1:4" x14ac:dyDescent="0.2">
      <c r="A1935" s="71">
        <v>41725</v>
      </c>
      <c r="B1935" s="72">
        <v>0.25</v>
      </c>
      <c r="C1935" s="71">
        <v>41725</v>
      </c>
      <c r="D1935" s="72">
        <v>0</v>
      </c>
    </row>
    <row r="1936" spans="1:4" x14ac:dyDescent="0.2">
      <c r="A1936" s="71">
        <v>41726</v>
      </c>
      <c r="B1936" s="72">
        <v>0.25</v>
      </c>
      <c r="C1936" s="71">
        <v>41726</v>
      </c>
      <c r="D1936" s="72">
        <v>0</v>
      </c>
    </row>
    <row r="1937" spans="1:4" x14ac:dyDescent="0.2">
      <c r="A1937" s="71">
        <v>41727</v>
      </c>
      <c r="B1937" s="72">
        <v>0.25</v>
      </c>
      <c r="C1937" s="71">
        <v>41727</v>
      </c>
      <c r="D1937" s="72">
        <v>0</v>
      </c>
    </row>
    <row r="1938" spans="1:4" x14ac:dyDescent="0.2">
      <c r="A1938" s="71">
        <v>41728</v>
      </c>
      <c r="B1938" s="72">
        <v>0.25</v>
      </c>
      <c r="C1938" s="71">
        <v>41728</v>
      </c>
      <c r="D1938" s="72">
        <v>0</v>
      </c>
    </row>
    <row r="1939" spans="1:4" x14ac:dyDescent="0.2">
      <c r="A1939" s="71">
        <v>41729</v>
      </c>
      <c r="B1939" s="72">
        <v>0.25</v>
      </c>
      <c r="C1939" s="71">
        <v>41729</v>
      </c>
      <c r="D1939" s="72">
        <v>0</v>
      </c>
    </row>
    <row r="1940" spans="1:4" x14ac:dyDescent="0.2">
      <c r="A1940" s="71">
        <v>41730</v>
      </c>
      <c r="B1940" s="72">
        <v>0.25</v>
      </c>
      <c r="C1940" s="71">
        <v>41730</v>
      </c>
      <c r="D1940" s="72">
        <v>0</v>
      </c>
    </row>
    <row r="1941" spans="1:4" x14ac:dyDescent="0.2">
      <c r="A1941" s="71">
        <v>41731</v>
      </c>
      <c r="B1941" s="72">
        <v>0.25</v>
      </c>
      <c r="C1941" s="71">
        <v>41731</v>
      </c>
      <c r="D1941" s="72">
        <v>0</v>
      </c>
    </row>
    <row r="1942" spans="1:4" x14ac:dyDescent="0.2">
      <c r="A1942" s="71">
        <v>41732</v>
      </c>
      <c r="B1942" s="72">
        <v>0.25</v>
      </c>
      <c r="C1942" s="71">
        <v>41732</v>
      </c>
      <c r="D1942" s="72">
        <v>0</v>
      </c>
    </row>
    <row r="1943" spans="1:4" x14ac:dyDescent="0.2">
      <c r="A1943" s="71">
        <v>41733</v>
      </c>
      <c r="B1943" s="72">
        <v>0.25</v>
      </c>
      <c r="C1943" s="71">
        <v>41733</v>
      </c>
      <c r="D1943" s="72">
        <v>0</v>
      </c>
    </row>
    <row r="1944" spans="1:4" x14ac:dyDescent="0.2">
      <c r="A1944" s="71">
        <v>41734</v>
      </c>
      <c r="B1944" s="72">
        <v>0.25</v>
      </c>
      <c r="C1944" s="71">
        <v>41734</v>
      </c>
      <c r="D1944" s="72">
        <v>0</v>
      </c>
    </row>
    <row r="1945" spans="1:4" x14ac:dyDescent="0.2">
      <c r="A1945" s="71">
        <v>41735</v>
      </c>
      <c r="B1945" s="72">
        <v>0.25</v>
      </c>
      <c r="C1945" s="71">
        <v>41735</v>
      </c>
      <c r="D1945" s="72">
        <v>0</v>
      </c>
    </row>
    <row r="1946" spans="1:4" x14ac:dyDescent="0.2">
      <c r="A1946" s="71">
        <v>41736</v>
      </c>
      <c r="B1946" s="72">
        <v>0.25</v>
      </c>
      <c r="C1946" s="71">
        <v>41736</v>
      </c>
      <c r="D1946" s="72">
        <v>0</v>
      </c>
    </row>
    <row r="1947" spans="1:4" x14ac:dyDescent="0.2">
      <c r="A1947" s="71">
        <v>41737</v>
      </c>
      <c r="B1947" s="72">
        <v>0.25</v>
      </c>
      <c r="C1947" s="71">
        <v>41737</v>
      </c>
      <c r="D1947" s="72">
        <v>0</v>
      </c>
    </row>
    <row r="1948" spans="1:4" x14ac:dyDescent="0.2">
      <c r="A1948" s="71">
        <v>41738</v>
      </c>
      <c r="B1948" s="72">
        <v>0.25</v>
      </c>
      <c r="C1948" s="71">
        <v>41738</v>
      </c>
      <c r="D1948" s="72">
        <v>0</v>
      </c>
    </row>
    <row r="1949" spans="1:4" x14ac:dyDescent="0.2">
      <c r="A1949" s="71">
        <v>41739</v>
      </c>
      <c r="B1949" s="72">
        <v>0.25</v>
      </c>
      <c r="C1949" s="71">
        <v>41739</v>
      </c>
      <c r="D1949" s="72">
        <v>0</v>
      </c>
    </row>
    <row r="1950" spans="1:4" x14ac:dyDescent="0.2">
      <c r="A1950" s="71">
        <v>41740</v>
      </c>
      <c r="B1950" s="72">
        <v>0.25</v>
      </c>
      <c r="C1950" s="71">
        <v>41740</v>
      </c>
      <c r="D1950" s="72">
        <v>0</v>
      </c>
    </row>
    <row r="1951" spans="1:4" x14ac:dyDescent="0.2">
      <c r="A1951" s="71">
        <v>41741</v>
      </c>
      <c r="B1951" s="72">
        <v>0.25</v>
      </c>
      <c r="C1951" s="71">
        <v>41741</v>
      </c>
      <c r="D1951" s="72">
        <v>0</v>
      </c>
    </row>
    <row r="1952" spans="1:4" x14ac:dyDescent="0.2">
      <c r="A1952" s="71">
        <v>41742</v>
      </c>
      <c r="B1952" s="72">
        <v>0.25</v>
      </c>
      <c r="C1952" s="71">
        <v>41742</v>
      </c>
      <c r="D1952" s="72">
        <v>0</v>
      </c>
    </row>
    <row r="1953" spans="1:4" x14ac:dyDescent="0.2">
      <c r="A1953" s="71">
        <v>41743</v>
      </c>
      <c r="B1953" s="72">
        <v>0.25</v>
      </c>
      <c r="C1953" s="71">
        <v>41743</v>
      </c>
      <c r="D1953" s="72">
        <v>0</v>
      </c>
    </row>
    <row r="1954" spans="1:4" x14ac:dyDescent="0.2">
      <c r="A1954" s="71">
        <v>41744</v>
      </c>
      <c r="B1954" s="72">
        <v>0.25</v>
      </c>
      <c r="C1954" s="71">
        <v>41744</v>
      </c>
      <c r="D1954" s="72">
        <v>0</v>
      </c>
    </row>
    <row r="1955" spans="1:4" x14ac:dyDescent="0.2">
      <c r="A1955" s="71">
        <v>41745</v>
      </c>
      <c r="B1955" s="72">
        <v>0.25</v>
      </c>
      <c r="C1955" s="71">
        <v>41745</v>
      </c>
      <c r="D1955" s="72">
        <v>0</v>
      </c>
    </row>
    <row r="1956" spans="1:4" x14ac:dyDescent="0.2">
      <c r="A1956" s="71">
        <v>41746</v>
      </c>
      <c r="B1956" s="72">
        <v>0.25</v>
      </c>
      <c r="C1956" s="71">
        <v>41746</v>
      </c>
      <c r="D1956" s="72">
        <v>0</v>
      </c>
    </row>
    <row r="1957" spans="1:4" x14ac:dyDescent="0.2">
      <c r="A1957" s="71">
        <v>41747</v>
      </c>
      <c r="B1957" s="72">
        <v>0.25</v>
      </c>
      <c r="C1957" s="71">
        <v>41747</v>
      </c>
      <c r="D1957" s="72">
        <v>0</v>
      </c>
    </row>
    <row r="1958" spans="1:4" x14ac:dyDescent="0.2">
      <c r="A1958" s="71">
        <v>41748</v>
      </c>
      <c r="B1958" s="72">
        <v>0.25</v>
      </c>
      <c r="C1958" s="71">
        <v>41748</v>
      </c>
      <c r="D1958" s="72">
        <v>0</v>
      </c>
    </row>
    <row r="1959" spans="1:4" x14ac:dyDescent="0.2">
      <c r="A1959" s="71">
        <v>41749</v>
      </c>
      <c r="B1959" s="72">
        <v>0.25</v>
      </c>
      <c r="C1959" s="71">
        <v>41749</v>
      </c>
      <c r="D1959" s="72">
        <v>0</v>
      </c>
    </row>
    <row r="1960" spans="1:4" x14ac:dyDescent="0.2">
      <c r="A1960" s="71">
        <v>41750</v>
      </c>
      <c r="B1960" s="72">
        <v>0.25</v>
      </c>
      <c r="C1960" s="71">
        <v>41750</v>
      </c>
      <c r="D1960" s="72">
        <v>0</v>
      </c>
    </row>
    <row r="1961" spans="1:4" x14ac:dyDescent="0.2">
      <c r="A1961" s="71">
        <v>41751</v>
      </c>
      <c r="B1961" s="72">
        <v>0.25</v>
      </c>
      <c r="C1961" s="71">
        <v>41751</v>
      </c>
      <c r="D1961" s="72">
        <v>0</v>
      </c>
    </row>
    <row r="1962" spans="1:4" x14ac:dyDescent="0.2">
      <c r="A1962" s="71">
        <v>41752</v>
      </c>
      <c r="B1962" s="72">
        <v>0.25</v>
      </c>
      <c r="C1962" s="71">
        <v>41752</v>
      </c>
      <c r="D1962" s="72">
        <v>0</v>
      </c>
    </row>
    <row r="1963" spans="1:4" x14ac:dyDescent="0.2">
      <c r="A1963" s="71">
        <v>41753</v>
      </c>
      <c r="B1963" s="72">
        <v>0.25</v>
      </c>
      <c r="C1963" s="71">
        <v>41753</v>
      </c>
      <c r="D1963" s="72">
        <v>0</v>
      </c>
    </row>
    <row r="1964" spans="1:4" x14ac:dyDescent="0.2">
      <c r="A1964" s="71">
        <v>41754</v>
      </c>
      <c r="B1964" s="72">
        <v>0.25</v>
      </c>
      <c r="C1964" s="71">
        <v>41754</v>
      </c>
      <c r="D1964" s="72">
        <v>0</v>
      </c>
    </row>
    <row r="1965" spans="1:4" x14ac:dyDescent="0.2">
      <c r="A1965" s="71">
        <v>41755</v>
      </c>
      <c r="B1965" s="72">
        <v>0.25</v>
      </c>
      <c r="C1965" s="71">
        <v>41755</v>
      </c>
      <c r="D1965" s="72">
        <v>0</v>
      </c>
    </row>
    <row r="1966" spans="1:4" x14ac:dyDescent="0.2">
      <c r="A1966" s="71">
        <v>41756</v>
      </c>
      <c r="B1966" s="72">
        <v>0.25</v>
      </c>
      <c r="C1966" s="71">
        <v>41756</v>
      </c>
      <c r="D1966" s="72">
        <v>0</v>
      </c>
    </row>
    <row r="1967" spans="1:4" x14ac:dyDescent="0.2">
      <c r="A1967" s="71">
        <v>41757</v>
      </c>
      <c r="B1967" s="72">
        <v>0.25</v>
      </c>
      <c r="C1967" s="71">
        <v>41757</v>
      </c>
      <c r="D1967" s="72">
        <v>0</v>
      </c>
    </row>
    <row r="1968" spans="1:4" x14ac:dyDescent="0.2">
      <c r="A1968" s="71">
        <v>41758</v>
      </c>
      <c r="B1968" s="72">
        <v>0.25</v>
      </c>
      <c r="C1968" s="71">
        <v>41758</v>
      </c>
      <c r="D1968" s="72">
        <v>0</v>
      </c>
    </row>
    <row r="1969" spans="1:4" x14ac:dyDescent="0.2">
      <c r="A1969" s="71">
        <v>41759</v>
      </c>
      <c r="B1969" s="72">
        <v>0.25</v>
      </c>
      <c r="C1969" s="71">
        <v>41759</v>
      </c>
      <c r="D1969" s="72">
        <v>0</v>
      </c>
    </row>
    <row r="1970" spans="1:4" x14ac:dyDescent="0.2">
      <c r="A1970" s="71">
        <v>41760</v>
      </c>
      <c r="B1970" s="72">
        <v>0.25</v>
      </c>
      <c r="C1970" s="71">
        <v>41760</v>
      </c>
      <c r="D1970" s="72">
        <v>0</v>
      </c>
    </row>
    <row r="1971" spans="1:4" x14ac:dyDescent="0.2">
      <c r="A1971" s="71">
        <v>41761</v>
      </c>
      <c r="B1971" s="72">
        <v>0.25</v>
      </c>
      <c r="C1971" s="71">
        <v>41761</v>
      </c>
      <c r="D1971" s="72">
        <v>0</v>
      </c>
    </row>
    <row r="1972" spans="1:4" x14ac:dyDescent="0.2">
      <c r="A1972" s="71">
        <v>41762</v>
      </c>
      <c r="B1972" s="72">
        <v>0.25</v>
      </c>
      <c r="C1972" s="71">
        <v>41762</v>
      </c>
      <c r="D1972" s="72">
        <v>0</v>
      </c>
    </row>
    <row r="1973" spans="1:4" x14ac:dyDescent="0.2">
      <c r="A1973" s="71">
        <v>41763</v>
      </c>
      <c r="B1973" s="72">
        <v>0.25</v>
      </c>
      <c r="C1973" s="71">
        <v>41763</v>
      </c>
      <c r="D1973" s="72">
        <v>0</v>
      </c>
    </row>
    <row r="1974" spans="1:4" x14ac:dyDescent="0.2">
      <c r="A1974" s="71">
        <v>41764</v>
      </c>
      <c r="B1974" s="72">
        <v>0.25</v>
      </c>
      <c r="C1974" s="71">
        <v>41764</v>
      </c>
      <c r="D1974" s="72">
        <v>0</v>
      </c>
    </row>
    <row r="1975" spans="1:4" x14ac:dyDescent="0.2">
      <c r="A1975" s="71">
        <v>41765</v>
      </c>
      <c r="B1975" s="72">
        <v>0.25</v>
      </c>
      <c r="C1975" s="71">
        <v>41765</v>
      </c>
      <c r="D1975" s="72">
        <v>0</v>
      </c>
    </row>
    <row r="1976" spans="1:4" x14ac:dyDescent="0.2">
      <c r="A1976" s="71">
        <v>41766</v>
      </c>
      <c r="B1976" s="72">
        <v>0.25</v>
      </c>
      <c r="C1976" s="71">
        <v>41766</v>
      </c>
      <c r="D1976" s="72">
        <v>0</v>
      </c>
    </row>
    <row r="1977" spans="1:4" x14ac:dyDescent="0.2">
      <c r="A1977" s="71">
        <v>41767</v>
      </c>
      <c r="B1977" s="72">
        <v>0.25</v>
      </c>
      <c r="C1977" s="71">
        <v>41767</v>
      </c>
      <c r="D1977" s="72">
        <v>0</v>
      </c>
    </row>
    <row r="1978" spans="1:4" x14ac:dyDescent="0.2">
      <c r="A1978" s="71">
        <v>41768</v>
      </c>
      <c r="B1978" s="72">
        <v>0.25</v>
      </c>
      <c r="C1978" s="71">
        <v>41768</v>
      </c>
      <c r="D1978" s="72">
        <v>0</v>
      </c>
    </row>
    <row r="1979" spans="1:4" x14ac:dyDescent="0.2">
      <c r="A1979" s="71">
        <v>41769</v>
      </c>
      <c r="B1979" s="72">
        <v>0.25</v>
      </c>
      <c r="C1979" s="71">
        <v>41769</v>
      </c>
      <c r="D1979" s="72">
        <v>0</v>
      </c>
    </row>
    <row r="1980" spans="1:4" x14ac:dyDescent="0.2">
      <c r="A1980" s="71">
        <v>41770</v>
      </c>
      <c r="B1980" s="72">
        <v>0.25</v>
      </c>
      <c r="C1980" s="71">
        <v>41770</v>
      </c>
      <c r="D1980" s="72">
        <v>0</v>
      </c>
    </row>
    <row r="1981" spans="1:4" x14ac:dyDescent="0.2">
      <c r="A1981" s="71">
        <v>41771</v>
      </c>
      <c r="B1981" s="72">
        <v>0.25</v>
      </c>
      <c r="C1981" s="71">
        <v>41771</v>
      </c>
      <c r="D1981" s="72">
        <v>0</v>
      </c>
    </row>
    <row r="1982" spans="1:4" x14ac:dyDescent="0.2">
      <c r="A1982" s="71">
        <v>41772</v>
      </c>
      <c r="B1982" s="72">
        <v>0.25</v>
      </c>
      <c r="C1982" s="71">
        <v>41772</v>
      </c>
      <c r="D1982" s="72">
        <v>0</v>
      </c>
    </row>
    <row r="1983" spans="1:4" x14ac:dyDescent="0.2">
      <c r="A1983" s="71">
        <v>41773</v>
      </c>
      <c r="B1983" s="72">
        <v>0.25</v>
      </c>
      <c r="C1983" s="71">
        <v>41773</v>
      </c>
      <c r="D1983" s="72">
        <v>0</v>
      </c>
    </row>
    <row r="1984" spans="1:4" x14ac:dyDescent="0.2">
      <c r="A1984" s="71">
        <v>41774</v>
      </c>
      <c r="B1984" s="72">
        <v>0.25</v>
      </c>
      <c r="C1984" s="71">
        <v>41774</v>
      </c>
      <c r="D1984" s="72">
        <v>0</v>
      </c>
    </row>
    <row r="1985" spans="1:4" x14ac:dyDescent="0.2">
      <c r="A1985" s="71">
        <v>41775</v>
      </c>
      <c r="B1985" s="72">
        <v>0.25</v>
      </c>
      <c r="C1985" s="71">
        <v>41775</v>
      </c>
      <c r="D1985" s="72">
        <v>0</v>
      </c>
    </row>
    <row r="1986" spans="1:4" x14ac:dyDescent="0.2">
      <c r="A1986" s="71">
        <v>41776</v>
      </c>
      <c r="B1986" s="72">
        <v>0.25</v>
      </c>
      <c r="C1986" s="71">
        <v>41776</v>
      </c>
      <c r="D1986" s="72">
        <v>0</v>
      </c>
    </row>
    <row r="1987" spans="1:4" x14ac:dyDescent="0.2">
      <c r="A1987" s="71">
        <v>41777</v>
      </c>
      <c r="B1987" s="72">
        <v>0.25</v>
      </c>
      <c r="C1987" s="71">
        <v>41777</v>
      </c>
      <c r="D1987" s="72">
        <v>0</v>
      </c>
    </row>
    <row r="1988" spans="1:4" x14ac:dyDescent="0.2">
      <c r="A1988" s="71">
        <v>41778</v>
      </c>
      <c r="B1988" s="72">
        <v>0.25</v>
      </c>
      <c r="C1988" s="71">
        <v>41778</v>
      </c>
      <c r="D1988" s="72">
        <v>0</v>
      </c>
    </row>
    <row r="1989" spans="1:4" x14ac:dyDescent="0.2">
      <c r="A1989" s="71">
        <v>41779</v>
      </c>
      <c r="B1989" s="72">
        <v>0.25</v>
      </c>
      <c r="C1989" s="71">
        <v>41779</v>
      </c>
      <c r="D1989" s="72">
        <v>0</v>
      </c>
    </row>
    <row r="1990" spans="1:4" x14ac:dyDescent="0.2">
      <c r="A1990" s="71">
        <v>41780</v>
      </c>
      <c r="B1990" s="72">
        <v>0.25</v>
      </c>
      <c r="C1990" s="71">
        <v>41780</v>
      </c>
      <c r="D1990" s="72">
        <v>0</v>
      </c>
    </row>
    <row r="1991" spans="1:4" x14ac:dyDescent="0.2">
      <c r="A1991" s="71">
        <v>41781</v>
      </c>
      <c r="B1991" s="72">
        <v>0.25</v>
      </c>
      <c r="C1991" s="71">
        <v>41781</v>
      </c>
      <c r="D1991" s="72">
        <v>0</v>
      </c>
    </row>
    <row r="1992" spans="1:4" x14ac:dyDescent="0.2">
      <c r="A1992" s="71">
        <v>41782</v>
      </c>
      <c r="B1992" s="72">
        <v>0.25</v>
      </c>
      <c r="C1992" s="71">
        <v>41782</v>
      </c>
      <c r="D1992" s="72">
        <v>0</v>
      </c>
    </row>
    <row r="1993" spans="1:4" x14ac:dyDescent="0.2">
      <c r="A1993" s="71">
        <v>41783</v>
      </c>
      <c r="B1993" s="72">
        <v>0.25</v>
      </c>
      <c r="C1993" s="71">
        <v>41783</v>
      </c>
      <c r="D1993" s="72">
        <v>0</v>
      </c>
    </row>
    <row r="1994" spans="1:4" x14ac:dyDescent="0.2">
      <c r="A1994" s="71">
        <v>41784</v>
      </c>
      <c r="B1994" s="72">
        <v>0.25</v>
      </c>
      <c r="C1994" s="71">
        <v>41784</v>
      </c>
      <c r="D1994" s="72">
        <v>0</v>
      </c>
    </row>
    <row r="1995" spans="1:4" x14ac:dyDescent="0.2">
      <c r="A1995" s="71">
        <v>41785</v>
      </c>
      <c r="B1995" s="72">
        <v>0.25</v>
      </c>
      <c r="C1995" s="71">
        <v>41785</v>
      </c>
      <c r="D1995" s="72">
        <v>0</v>
      </c>
    </row>
    <row r="1996" spans="1:4" x14ac:dyDescent="0.2">
      <c r="A1996" s="71">
        <v>41786</v>
      </c>
      <c r="B1996" s="72">
        <v>0.25</v>
      </c>
      <c r="C1996" s="71">
        <v>41786</v>
      </c>
      <c r="D1996" s="72">
        <v>0</v>
      </c>
    </row>
    <row r="1997" spans="1:4" x14ac:dyDescent="0.2">
      <c r="A1997" s="71">
        <v>41787</v>
      </c>
      <c r="B1997" s="72">
        <v>0.25</v>
      </c>
      <c r="C1997" s="71">
        <v>41787</v>
      </c>
      <c r="D1997" s="72">
        <v>0</v>
      </c>
    </row>
    <row r="1998" spans="1:4" x14ac:dyDescent="0.2">
      <c r="A1998" s="71">
        <v>41788</v>
      </c>
      <c r="B1998" s="72">
        <v>0.25</v>
      </c>
      <c r="C1998" s="71">
        <v>41788</v>
      </c>
      <c r="D1998" s="72">
        <v>0</v>
      </c>
    </row>
    <row r="1999" spans="1:4" x14ac:dyDescent="0.2">
      <c r="A1999" s="71">
        <v>41789</v>
      </c>
      <c r="B1999" s="72">
        <v>0.25</v>
      </c>
      <c r="C1999" s="71">
        <v>41789</v>
      </c>
      <c r="D1999" s="72">
        <v>0</v>
      </c>
    </row>
    <row r="2000" spans="1:4" x14ac:dyDescent="0.2">
      <c r="A2000" s="71">
        <v>41790</v>
      </c>
      <c r="B2000" s="72">
        <v>0.25</v>
      </c>
      <c r="C2000" s="71">
        <v>41790</v>
      </c>
      <c r="D2000" s="72">
        <v>0</v>
      </c>
    </row>
    <row r="2001" spans="1:4" x14ac:dyDescent="0.2">
      <c r="A2001" s="71">
        <v>41791</v>
      </c>
      <c r="B2001" s="72">
        <v>0.25</v>
      </c>
      <c r="C2001" s="71">
        <v>41791</v>
      </c>
      <c r="D2001" s="72">
        <v>0</v>
      </c>
    </row>
    <row r="2002" spans="1:4" x14ac:dyDescent="0.2">
      <c r="A2002" s="71">
        <v>41792</v>
      </c>
      <c r="B2002" s="72">
        <v>0.25</v>
      </c>
      <c r="C2002" s="71">
        <v>41792</v>
      </c>
      <c r="D2002" s="72">
        <v>0</v>
      </c>
    </row>
    <row r="2003" spans="1:4" x14ac:dyDescent="0.2">
      <c r="A2003" s="71">
        <v>41793</v>
      </c>
      <c r="B2003" s="72">
        <v>0.25</v>
      </c>
      <c r="C2003" s="71">
        <v>41793</v>
      </c>
      <c r="D2003" s="72">
        <v>0</v>
      </c>
    </row>
    <row r="2004" spans="1:4" x14ac:dyDescent="0.2">
      <c r="A2004" s="71">
        <v>41794</v>
      </c>
      <c r="B2004" s="72">
        <v>0.25</v>
      </c>
      <c r="C2004" s="71">
        <v>41794</v>
      </c>
      <c r="D2004" s="72">
        <v>0</v>
      </c>
    </row>
    <row r="2005" spans="1:4" x14ac:dyDescent="0.2">
      <c r="A2005" s="71">
        <v>41795</v>
      </c>
      <c r="B2005" s="72">
        <v>0.25</v>
      </c>
      <c r="C2005" s="71">
        <v>41795</v>
      </c>
      <c r="D2005" s="72">
        <v>0</v>
      </c>
    </row>
    <row r="2006" spans="1:4" x14ac:dyDescent="0.2">
      <c r="A2006" s="71">
        <v>41796</v>
      </c>
      <c r="B2006" s="72">
        <v>0.25</v>
      </c>
      <c r="C2006" s="71">
        <v>41796</v>
      </c>
      <c r="D2006" s="72">
        <v>0</v>
      </c>
    </row>
    <row r="2007" spans="1:4" x14ac:dyDescent="0.2">
      <c r="A2007" s="71">
        <v>41797</v>
      </c>
      <c r="B2007" s="72">
        <v>0.25</v>
      </c>
      <c r="C2007" s="71">
        <v>41797</v>
      </c>
      <c r="D2007" s="72">
        <v>0</v>
      </c>
    </row>
    <row r="2008" spans="1:4" x14ac:dyDescent="0.2">
      <c r="A2008" s="71">
        <v>41798</v>
      </c>
      <c r="B2008" s="72">
        <v>0.25</v>
      </c>
      <c r="C2008" s="71">
        <v>41798</v>
      </c>
      <c r="D2008" s="72">
        <v>0</v>
      </c>
    </row>
    <row r="2009" spans="1:4" x14ac:dyDescent="0.2">
      <c r="A2009" s="71">
        <v>41799</v>
      </c>
      <c r="B2009" s="72">
        <v>0.25</v>
      </c>
      <c r="C2009" s="71">
        <v>41799</v>
      </c>
      <c r="D2009" s="72">
        <v>0</v>
      </c>
    </row>
    <row r="2010" spans="1:4" x14ac:dyDescent="0.2">
      <c r="A2010" s="71">
        <v>41800</v>
      </c>
      <c r="B2010" s="72">
        <v>0.25</v>
      </c>
      <c r="C2010" s="71">
        <v>41800</v>
      </c>
      <c r="D2010" s="72">
        <v>0</v>
      </c>
    </row>
    <row r="2011" spans="1:4" x14ac:dyDescent="0.2">
      <c r="A2011" s="71">
        <v>41801</v>
      </c>
      <c r="B2011" s="72">
        <v>0.25</v>
      </c>
      <c r="C2011" s="71">
        <v>41801</v>
      </c>
      <c r="D2011" s="72">
        <v>0</v>
      </c>
    </row>
    <row r="2012" spans="1:4" x14ac:dyDescent="0.2">
      <c r="A2012" s="71">
        <v>41802</v>
      </c>
      <c r="B2012" s="72">
        <v>0.25</v>
      </c>
      <c r="C2012" s="71">
        <v>41802</v>
      </c>
      <c r="D2012" s="72">
        <v>0</v>
      </c>
    </row>
    <row r="2013" spans="1:4" x14ac:dyDescent="0.2">
      <c r="A2013" s="71">
        <v>41803</v>
      </c>
      <c r="B2013" s="72">
        <v>0.25</v>
      </c>
      <c r="C2013" s="71">
        <v>41803</v>
      </c>
      <c r="D2013" s="72">
        <v>0</v>
      </c>
    </row>
    <row r="2014" spans="1:4" x14ac:dyDescent="0.2">
      <c r="A2014" s="71">
        <v>41804</v>
      </c>
      <c r="B2014" s="72">
        <v>0.25</v>
      </c>
      <c r="C2014" s="71">
        <v>41804</v>
      </c>
      <c r="D2014" s="72">
        <v>0</v>
      </c>
    </row>
    <row r="2015" spans="1:4" x14ac:dyDescent="0.2">
      <c r="A2015" s="71">
        <v>41805</v>
      </c>
      <c r="B2015" s="72">
        <v>0.25</v>
      </c>
      <c r="C2015" s="71">
        <v>41805</v>
      </c>
      <c r="D2015" s="72">
        <v>0</v>
      </c>
    </row>
    <row r="2016" spans="1:4" x14ac:dyDescent="0.2">
      <c r="A2016" s="71">
        <v>41806</v>
      </c>
      <c r="B2016" s="72">
        <v>0.25</v>
      </c>
      <c r="C2016" s="71">
        <v>41806</v>
      </c>
      <c r="D2016" s="72">
        <v>0</v>
      </c>
    </row>
    <row r="2017" spans="1:4" x14ac:dyDescent="0.2">
      <c r="A2017" s="71">
        <v>41807</v>
      </c>
      <c r="B2017" s="72">
        <v>0.25</v>
      </c>
      <c r="C2017" s="71">
        <v>41807</v>
      </c>
      <c r="D2017" s="72">
        <v>0</v>
      </c>
    </row>
    <row r="2018" spans="1:4" x14ac:dyDescent="0.2">
      <c r="A2018" s="71">
        <v>41808</v>
      </c>
      <c r="B2018" s="72">
        <v>0.25</v>
      </c>
      <c r="C2018" s="71">
        <v>41808</v>
      </c>
      <c r="D2018" s="72">
        <v>0</v>
      </c>
    </row>
    <row r="2019" spans="1:4" x14ac:dyDescent="0.2">
      <c r="A2019" s="71">
        <v>41809</v>
      </c>
      <c r="B2019" s="72">
        <v>0.25</v>
      </c>
      <c r="C2019" s="71">
        <v>41809</v>
      </c>
      <c r="D2019" s="72">
        <v>0</v>
      </c>
    </row>
    <row r="2020" spans="1:4" x14ac:dyDescent="0.2">
      <c r="A2020" s="71">
        <v>41810</v>
      </c>
      <c r="B2020" s="72">
        <v>0.25</v>
      </c>
      <c r="C2020" s="71">
        <v>41810</v>
      </c>
      <c r="D2020" s="72">
        <v>0</v>
      </c>
    </row>
    <row r="2021" spans="1:4" x14ac:dyDescent="0.2">
      <c r="A2021" s="71">
        <v>41811</v>
      </c>
      <c r="B2021" s="72">
        <v>0.25</v>
      </c>
      <c r="C2021" s="71">
        <v>41811</v>
      </c>
      <c r="D2021" s="72">
        <v>0</v>
      </c>
    </row>
    <row r="2022" spans="1:4" x14ac:dyDescent="0.2">
      <c r="A2022" s="71">
        <v>41812</v>
      </c>
      <c r="B2022" s="72">
        <v>0.25</v>
      </c>
      <c r="C2022" s="71">
        <v>41812</v>
      </c>
      <c r="D2022" s="72">
        <v>0</v>
      </c>
    </row>
    <row r="2023" spans="1:4" x14ac:dyDescent="0.2">
      <c r="A2023" s="71">
        <v>41813</v>
      </c>
      <c r="B2023" s="72">
        <v>0.25</v>
      </c>
      <c r="C2023" s="71">
        <v>41813</v>
      </c>
      <c r="D2023" s="72">
        <v>0</v>
      </c>
    </row>
    <row r="2024" spans="1:4" x14ac:dyDescent="0.2">
      <c r="A2024" s="71">
        <v>41814</v>
      </c>
      <c r="B2024" s="72">
        <v>0.25</v>
      </c>
      <c r="C2024" s="71">
        <v>41814</v>
      </c>
      <c r="D2024" s="72">
        <v>0</v>
      </c>
    </row>
    <row r="2025" spans="1:4" x14ac:dyDescent="0.2">
      <c r="A2025" s="71">
        <v>41815</v>
      </c>
      <c r="B2025" s="72">
        <v>0.25</v>
      </c>
      <c r="C2025" s="71">
        <v>41815</v>
      </c>
      <c r="D2025" s="72">
        <v>0</v>
      </c>
    </row>
    <row r="2026" spans="1:4" x14ac:dyDescent="0.2">
      <c r="A2026" s="71">
        <v>41816</v>
      </c>
      <c r="B2026" s="72">
        <v>0.25</v>
      </c>
      <c r="C2026" s="71">
        <v>41816</v>
      </c>
      <c r="D2026" s="72">
        <v>0</v>
      </c>
    </row>
    <row r="2027" spans="1:4" x14ac:dyDescent="0.2">
      <c r="A2027" s="71">
        <v>41817</v>
      </c>
      <c r="B2027" s="72">
        <v>0.25</v>
      </c>
      <c r="C2027" s="71">
        <v>41817</v>
      </c>
      <c r="D2027" s="72">
        <v>0</v>
      </c>
    </row>
    <row r="2028" spans="1:4" x14ac:dyDescent="0.2">
      <c r="A2028" s="71">
        <v>41818</v>
      </c>
      <c r="B2028" s="72">
        <v>0.25</v>
      </c>
      <c r="C2028" s="71">
        <v>41818</v>
      </c>
      <c r="D2028" s="72">
        <v>0</v>
      </c>
    </row>
    <row r="2029" spans="1:4" x14ac:dyDescent="0.2">
      <c r="A2029" s="71">
        <v>41819</v>
      </c>
      <c r="B2029" s="72">
        <v>0.25</v>
      </c>
      <c r="C2029" s="71">
        <v>41819</v>
      </c>
      <c r="D2029" s="72">
        <v>0</v>
      </c>
    </row>
    <row r="2030" spans="1:4" x14ac:dyDescent="0.2">
      <c r="A2030" s="71">
        <v>41820</v>
      </c>
      <c r="B2030" s="72">
        <v>0.25</v>
      </c>
      <c r="C2030" s="71">
        <v>41820</v>
      </c>
      <c r="D2030" s="72">
        <v>0</v>
      </c>
    </row>
    <row r="2031" spans="1:4" x14ac:dyDescent="0.2">
      <c r="A2031" s="71">
        <v>41821</v>
      </c>
      <c r="B2031" s="72">
        <v>0.25</v>
      </c>
      <c r="C2031" s="71">
        <v>41821</v>
      </c>
      <c r="D2031" s="72">
        <v>0</v>
      </c>
    </row>
    <row r="2032" spans="1:4" x14ac:dyDescent="0.2">
      <c r="A2032" s="71">
        <v>41822</v>
      </c>
      <c r="B2032" s="72">
        <v>0.25</v>
      </c>
      <c r="C2032" s="71">
        <v>41822</v>
      </c>
      <c r="D2032" s="72">
        <v>0</v>
      </c>
    </row>
    <row r="2033" spans="1:4" x14ac:dyDescent="0.2">
      <c r="A2033" s="71">
        <v>41823</v>
      </c>
      <c r="B2033" s="72">
        <v>0.25</v>
      </c>
      <c r="C2033" s="71">
        <v>41823</v>
      </c>
      <c r="D2033" s="72">
        <v>0</v>
      </c>
    </row>
    <row r="2034" spans="1:4" x14ac:dyDescent="0.2">
      <c r="A2034" s="71">
        <v>41824</v>
      </c>
      <c r="B2034" s="72">
        <v>0.25</v>
      </c>
      <c r="C2034" s="71">
        <v>41824</v>
      </c>
      <c r="D2034" s="72">
        <v>0</v>
      </c>
    </row>
    <row r="2035" spans="1:4" x14ac:dyDescent="0.2">
      <c r="A2035" s="71">
        <v>41825</v>
      </c>
      <c r="B2035" s="72">
        <v>0.25</v>
      </c>
      <c r="C2035" s="71">
        <v>41825</v>
      </c>
      <c r="D2035" s="72">
        <v>0</v>
      </c>
    </row>
    <row r="2036" spans="1:4" x14ac:dyDescent="0.2">
      <c r="A2036" s="71">
        <v>41826</v>
      </c>
      <c r="B2036" s="72">
        <v>0.25</v>
      </c>
      <c r="C2036" s="71">
        <v>41826</v>
      </c>
      <c r="D2036" s="72">
        <v>0</v>
      </c>
    </row>
    <row r="2037" spans="1:4" x14ac:dyDescent="0.2">
      <c r="A2037" s="71">
        <v>41827</v>
      </c>
      <c r="B2037" s="72">
        <v>0.25</v>
      </c>
      <c r="C2037" s="71">
        <v>41827</v>
      </c>
      <c r="D2037" s="72">
        <v>0</v>
      </c>
    </row>
    <row r="2038" spans="1:4" x14ac:dyDescent="0.2">
      <c r="A2038" s="71">
        <v>41828</v>
      </c>
      <c r="B2038" s="72">
        <v>0.25</v>
      </c>
      <c r="C2038" s="71">
        <v>41828</v>
      </c>
      <c r="D2038" s="72">
        <v>0</v>
      </c>
    </row>
    <row r="2039" spans="1:4" x14ac:dyDescent="0.2">
      <c r="A2039" s="71">
        <v>41829</v>
      </c>
      <c r="B2039" s="72">
        <v>0.25</v>
      </c>
      <c r="C2039" s="71">
        <v>41829</v>
      </c>
      <c r="D2039" s="72">
        <v>0</v>
      </c>
    </row>
    <row r="2040" spans="1:4" x14ac:dyDescent="0.2">
      <c r="A2040" s="71">
        <v>41830</v>
      </c>
      <c r="B2040" s="72">
        <v>0.25</v>
      </c>
      <c r="C2040" s="71">
        <v>41830</v>
      </c>
      <c r="D2040" s="72">
        <v>0</v>
      </c>
    </row>
    <row r="2041" spans="1:4" x14ac:dyDescent="0.2">
      <c r="A2041" s="71">
        <v>41831</v>
      </c>
      <c r="B2041" s="72">
        <v>0.25</v>
      </c>
      <c r="C2041" s="71">
        <v>41831</v>
      </c>
      <c r="D2041" s="72">
        <v>0</v>
      </c>
    </row>
    <row r="2042" spans="1:4" x14ac:dyDescent="0.2">
      <c r="A2042" s="71">
        <v>41832</v>
      </c>
      <c r="B2042" s="72">
        <v>0.25</v>
      </c>
      <c r="C2042" s="71">
        <v>41832</v>
      </c>
      <c r="D2042" s="72">
        <v>0</v>
      </c>
    </row>
    <row r="2043" spans="1:4" x14ac:dyDescent="0.2">
      <c r="A2043" s="71">
        <v>41833</v>
      </c>
      <c r="B2043" s="72">
        <v>0.25</v>
      </c>
      <c r="C2043" s="71">
        <v>41833</v>
      </c>
      <c r="D2043" s="72">
        <v>0</v>
      </c>
    </row>
    <row r="2044" spans="1:4" x14ac:dyDescent="0.2">
      <c r="A2044" s="71">
        <v>41834</v>
      </c>
      <c r="B2044" s="72">
        <v>0.25</v>
      </c>
      <c r="C2044" s="71">
        <v>41834</v>
      </c>
      <c r="D2044" s="72">
        <v>0</v>
      </c>
    </row>
    <row r="2045" spans="1:4" x14ac:dyDescent="0.2">
      <c r="A2045" s="71">
        <v>41835</v>
      </c>
      <c r="B2045" s="72">
        <v>0.25</v>
      </c>
      <c r="C2045" s="71">
        <v>41835</v>
      </c>
      <c r="D2045" s="72">
        <v>0</v>
      </c>
    </row>
    <row r="2046" spans="1:4" x14ac:dyDescent="0.2">
      <c r="A2046" s="71">
        <v>41836</v>
      </c>
      <c r="B2046" s="72">
        <v>0.25</v>
      </c>
      <c r="C2046" s="71">
        <v>41836</v>
      </c>
      <c r="D2046" s="72">
        <v>0</v>
      </c>
    </row>
    <row r="2047" spans="1:4" x14ac:dyDescent="0.2">
      <c r="A2047" s="71">
        <v>41837</v>
      </c>
      <c r="B2047" s="72">
        <v>0.25</v>
      </c>
      <c r="C2047" s="71">
        <v>41837</v>
      </c>
      <c r="D2047" s="72">
        <v>0</v>
      </c>
    </row>
    <row r="2048" spans="1:4" x14ac:dyDescent="0.2">
      <c r="A2048" s="71">
        <v>41838</v>
      </c>
      <c r="B2048" s="72">
        <v>0.25</v>
      </c>
      <c r="C2048" s="71">
        <v>41838</v>
      </c>
      <c r="D2048" s="72">
        <v>0</v>
      </c>
    </row>
    <row r="2049" spans="1:4" x14ac:dyDescent="0.2">
      <c r="A2049" s="71">
        <v>41839</v>
      </c>
      <c r="B2049" s="72">
        <v>0.25</v>
      </c>
      <c r="C2049" s="71">
        <v>41839</v>
      </c>
      <c r="D2049" s="72">
        <v>0</v>
      </c>
    </row>
    <row r="2050" spans="1:4" x14ac:dyDescent="0.2">
      <c r="A2050" s="71">
        <v>41840</v>
      </c>
      <c r="B2050" s="72">
        <v>0.25</v>
      </c>
      <c r="C2050" s="71">
        <v>41840</v>
      </c>
      <c r="D2050" s="72">
        <v>0</v>
      </c>
    </row>
    <row r="2051" spans="1:4" x14ac:dyDescent="0.2">
      <c r="A2051" s="71">
        <v>41841</v>
      </c>
      <c r="B2051" s="72">
        <v>0.25</v>
      </c>
      <c r="C2051" s="71">
        <v>41841</v>
      </c>
      <c r="D2051" s="72">
        <v>0</v>
      </c>
    </row>
    <row r="2052" spans="1:4" x14ac:dyDescent="0.2">
      <c r="A2052" s="71">
        <v>41842</v>
      </c>
      <c r="B2052" s="72">
        <v>0.25</v>
      </c>
      <c r="C2052" s="71">
        <v>41842</v>
      </c>
      <c r="D2052" s="72">
        <v>0</v>
      </c>
    </row>
    <row r="2053" spans="1:4" x14ac:dyDescent="0.2">
      <c r="A2053" s="71">
        <v>41843</v>
      </c>
      <c r="B2053" s="72">
        <v>0.25</v>
      </c>
      <c r="C2053" s="71">
        <v>41843</v>
      </c>
      <c r="D2053" s="72">
        <v>0</v>
      </c>
    </row>
    <row r="2054" spans="1:4" x14ac:dyDescent="0.2">
      <c r="A2054" s="71">
        <v>41844</v>
      </c>
      <c r="B2054" s="72">
        <v>0.25</v>
      </c>
      <c r="C2054" s="71">
        <v>41844</v>
      </c>
      <c r="D2054" s="72">
        <v>0</v>
      </c>
    </row>
    <row r="2055" spans="1:4" x14ac:dyDescent="0.2">
      <c r="A2055" s="71">
        <v>41845</v>
      </c>
      <c r="B2055" s="72">
        <v>0.25</v>
      </c>
      <c r="C2055" s="71">
        <v>41845</v>
      </c>
      <c r="D2055" s="72">
        <v>0</v>
      </c>
    </row>
    <row r="2056" spans="1:4" x14ac:dyDescent="0.2">
      <c r="A2056" s="71">
        <v>41846</v>
      </c>
      <c r="B2056" s="72">
        <v>0.25</v>
      </c>
      <c r="C2056" s="71">
        <v>41846</v>
      </c>
      <c r="D2056" s="72">
        <v>0</v>
      </c>
    </row>
    <row r="2057" spans="1:4" x14ac:dyDescent="0.2">
      <c r="A2057" s="71">
        <v>41847</v>
      </c>
      <c r="B2057" s="72">
        <v>0.25</v>
      </c>
      <c r="C2057" s="71">
        <v>41847</v>
      </c>
      <c r="D2057" s="72">
        <v>0</v>
      </c>
    </row>
    <row r="2058" spans="1:4" x14ac:dyDescent="0.2">
      <c r="A2058" s="71">
        <v>41848</v>
      </c>
      <c r="B2058" s="72">
        <v>0.25</v>
      </c>
      <c r="C2058" s="71">
        <v>41848</v>
      </c>
      <c r="D2058" s="72">
        <v>0</v>
      </c>
    </row>
    <row r="2059" spans="1:4" x14ac:dyDescent="0.2">
      <c r="A2059" s="71">
        <v>41849</v>
      </c>
      <c r="B2059" s="72">
        <v>0.25</v>
      </c>
      <c r="C2059" s="71">
        <v>41849</v>
      </c>
      <c r="D2059" s="72">
        <v>0</v>
      </c>
    </row>
    <row r="2060" spans="1:4" x14ac:dyDescent="0.2">
      <c r="A2060" s="71">
        <v>41850</v>
      </c>
      <c r="B2060" s="72">
        <v>0.25</v>
      </c>
      <c r="C2060" s="71">
        <v>41850</v>
      </c>
      <c r="D2060" s="72">
        <v>0</v>
      </c>
    </row>
    <row r="2061" spans="1:4" x14ac:dyDescent="0.2">
      <c r="A2061" s="71">
        <v>41851</v>
      </c>
      <c r="B2061" s="72">
        <v>0.25</v>
      </c>
      <c r="C2061" s="71">
        <v>41851</v>
      </c>
      <c r="D2061" s="72">
        <v>0</v>
      </c>
    </row>
    <row r="2062" spans="1:4" x14ac:dyDescent="0.2">
      <c r="A2062" s="71">
        <v>41852</v>
      </c>
      <c r="B2062" s="72">
        <v>0.25</v>
      </c>
      <c r="C2062" s="71">
        <v>41852</v>
      </c>
      <c r="D2062" s="72">
        <v>0</v>
      </c>
    </row>
    <row r="2063" spans="1:4" x14ac:dyDescent="0.2">
      <c r="A2063" s="71">
        <v>41853</v>
      </c>
      <c r="B2063" s="72">
        <v>0.25</v>
      </c>
      <c r="C2063" s="71">
        <v>41853</v>
      </c>
      <c r="D2063" s="72">
        <v>0</v>
      </c>
    </row>
    <row r="2064" spans="1:4" x14ac:dyDescent="0.2">
      <c r="A2064" s="71">
        <v>41854</v>
      </c>
      <c r="B2064" s="72">
        <v>0.25</v>
      </c>
      <c r="C2064" s="71">
        <v>41854</v>
      </c>
      <c r="D2064" s="72">
        <v>0</v>
      </c>
    </row>
    <row r="2065" spans="1:4" x14ac:dyDescent="0.2">
      <c r="A2065" s="71">
        <v>41855</v>
      </c>
      <c r="B2065" s="72">
        <v>0.25</v>
      </c>
      <c r="C2065" s="71">
        <v>41855</v>
      </c>
      <c r="D2065" s="72">
        <v>0</v>
      </c>
    </row>
    <row r="2066" spans="1:4" x14ac:dyDescent="0.2">
      <c r="A2066" s="71">
        <v>41856</v>
      </c>
      <c r="B2066" s="72">
        <v>0.25</v>
      </c>
      <c r="C2066" s="71">
        <v>41856</v>
      </c>
      <c r="D2066" s="72">
        <v>0</v>
      </c>
    </row>
    <row r="2067" spans="1:4" x14ac:dyDescent="0.2">
      <c r="A2067" s="71">
        <v>41857</v>
      </c>
      <c r="B2067" s="72">
        <v>0.25</v>
      </c>
      <c r="C2067" s="71">
        <v>41857</v>
      </c>
      <c r="D2067" s="72">
        <v>0</v>
      </c>
    </row>
    <row r="2068" spans="1:4" x14ac:dyDescent="0.2">
      <c r="A2068" s="71">
        <v>41858</v>
      </c>
      <c r="B2068" s="72">
        <v>0.25</v>
      </c>
      <c r="C2068" s="71">
        <v>41858</v>
      </c>
      <c r="D2068" s="72">
        <v>0</v>
      </c>
    </row>
    <row r="2069" spans="1:4" x14ac:dyDescent="0.2">
      <c r="A2069" s="71">
        <v>41859</v>
      </c>
      <c r="B2069" s="72">
        <v>0.25</v>
      </c>
      <c r="C2069" s="71">
        <v>41859</v>
      </c>
      <c r="D2069" s="72">
        <v>0</v>
      </c>
    </row>
    <row r="2070" spans="1:4" x14ac:dyDescent="0.2">
      <c r="A2070" s="71">
        <v>41860</v>
      </c>
      <c r="B2070" s="72">
        <v>0.25</v>
      </c>
      <c r="C2070" s="71">
        <v>41860</v>
      </c>
      <c r="D2070" s="72">
        <v>0</v>
      </c>
    </row>
    <row r="2071" spans="1:4" x14ac:dyDescent="0.2">
      <c r="A2071" s="71">
        <v>41861</v>
      </c>
      <c r="B2071" s="72">
        <v>0.25</v>
      </c>
      <c r="C2071" s="71">
        <v>41861</v>
      </c>
      <c r="D2071" s="72">
        <v>0</v>
      </c>
    </row>
    <row r="2072" spans="1:4" x14ac:dyDescent="0.2">
      <c r="A2072" s="71">
        <v>41862</v>
      </c>
      <c r="B2072" s="72">
        <v>0.25</v>
      </c>
      <c r="C2072" s="71">
        <v>41862</v>
      </c>
      <c r="D2072" s="72">
        <v>0</v>
      </c>
    </row>
    <row r="2073" spans="1:4" x14ac:dyDescent="0.2">
      <c r="A2073" s="71">
        <v>41863</v>
      </c>
      <c r="B2073" s="72">
        <v>0.25</v>
      </c>
      <c r="C2073" s="71">
        <v>41863</v>
      </c>
      <c r="D2073" s="72">
        <v>0</v>
      </c>
    </row>
    <row r="2074" spans="1:4" x14ac:dyDescent="0.2">
      <c r="A2074" s="71">
        <v>41864</v>
      </c>
      <c r="B2074" s="72">
        <v>0.25</v>
      </c>
      <c r="C2074" s="71">
        <v>41864</v>
      </c>
      <c r="D2074" s="72">
        <v>0</v>
      </c>
    </row>
    <row r="2075" spans="1:4" x14ac:dyDescent="0.2">
      <c r="A2075" s="71">
        <v>41865</v>
      </c>
      <c r="B2075" s="72">
        <v>0.25</v>
      </c>
      <c r="C2075" s="71">
        <v>41865</v>
      </c>
      <c r="D2075" s="72">
        <v>0</v>
      </c>
    </row>
    <row r="2076" spans="1:4" x14ac:dyDescent="0.2">
      <c r="A2076" s="71">
        <v>41866</v>
      </c>
      <c r="B2076" s="72">
        <v>0.25</v>
      </c>
      <c r="C2076" s="71">
        <v>41866</v>
      </c>
      <c r="D2076" s="72">
        <v>0</v>
      </c>
    </row>
    <row r="2077" spans="1:4" x14ac:dyDescent="0.2">
      <c r="A2077" s="71">
        <v>41867</v>
      </c>
      <c r="B2077" s="72">
        <v>0.25</v>
      </c>
      <c r="C2077" s="71">
        <v>41867</v>
      </c>
      <c r="D2077" s="72">
        <v>0</v>
      </c>
    </row>
    <row r="2078" spans="1:4" x14ac:dyDescent="0.2">
      <c r="A2078" s="71">
        <v>41868</v>
      </c>
      <c r="B2078" s="72">
        <v>0.25</v>
      </c>
      <c r="C2078" s="71">
        <v>41868</v>
      </c>
      <c r="D2078" s="72">
        <v>0</v>
      </c>
    </row>
    <row r="2079" spans="1:4" x14ac:dyDescent="0.2">
      <c r="A2079" s="71">
        <v>41869</v>
      </c>
      <c r="B2079" s="72">
        <v>0.25</v>
      </c>
      <c r="C2079" s="71">
        <v>41869</v>
      </c>
      <c r="D2079" s="72">
        <v>0</v>
      </c>
    </row>
    <row r="2080" spans="1:4" x14ac:dyDescent="0.2">
      <c r="A2080" s="71">
        <v>41870</v>
      </c>
      <c r="B2080" s="72">
        <v>0.25</v>
      </c>
      <c r="C2080" s="71">
        <v>41870</v>
      </c>
      <c r="D2080" s="72">
        <v>0</v>
      </c>
    </row>
    <row r="2081" spans="1:4" x14ac:dyDescent="0.2">
      <c r="A2081" s="71">
        <v>41871</v>
      </c>
      <c r="B2081" s="72">
        <v>0.25</v>
      </c>
      <c r="C2081" s="71">
        <v>41871</v>
      </c>
      <c r="D2081" s="72">
        <v>0</v>
      </c>
    </row>
    <row r="2082" spans="1:4" x14ac:dyDescent="0.2">
      <c r="A2082" s="71">
        <v>41872</v>
      </c>
      <c r="B2082" s="72">
        <v>0.25</v>
      </c>
      <c r="C2082" s="71">
        <v>41872</v>
      </c>
      <c r="D2082" s="72">
        <v>0</v>
      </c>
    </row>
    <row r="2083" spans="1:4" x14ac:dyDescent="0.2">
      <c r="A2083" s="71">
        <v>41873</v>
      </c>
      <c r="B2083" s="72">
        <v>0.25</v>
      </c>
      <c r="C2083" s="71">
        <v>41873</v>
      </c>
      <c r="D2083" s="72">
        <v>0</v>
      </c>
    </row>
    <row r="2084" spans="1:4" x14ac:dyDescent="0.2">
      <c r="A2084" s="71">
        <v>41874</v>
      </c>
      <c r="B2084" s="72">
        <v>0.25</v>
      </c>
      <c r="C2084" s="71">
        <v>41874</v>
      </c>
      <c r="D2084" s="72">
        <v>0</v>
      </c>
    </row>
    <row r="2085" spans="1:4" x14ac:dyDescent="0.2">
      <c r="A2085" s="71">
        <v>41875</v>
      </c>
      <c r="B2085" s="72">
        <v>0.25</v>
      </c>
      <c r="C2085" s="71">
        <v>41875</v>
      </c>
      <c r="D2085" s="72">
        <v>0</v>
      </c>
    </row>
    <row r="2086" spans="1:4" x14ac:dyDescent="0.2">
      <c r="A2086" s="71">
        <v>41876</v>
      </c>
      <c r="B2086" s="72">
        <v>0.25</v>
      </c>
      <c r="C2086" s="71">
        <v>41876</v>
      </c>
      <c r="D2086" s="72">
        <v>0</v>
      </c>
    </row>
    <row r="2087" spans="1:4" x14ac:dyDescent="0.2">
      <c r="A2087" s="71">
        <v>41877</v>
      </c>
      <c r="B2087" s="72">
        <v>0.25</v>
      </c>
      <c r="C2087" s="71">
        <v>41877</v>
      </c>
      <c r="D2087" s="72">
        <v>0</v>
      </c>
    </row>
    <row r="2088" spans="1:4" x14ac:dyDescent="0.2">
      <c r="A2088" s="71">
        <v>41878</v>
      </c>
      <c r="B2088" s="72">
        <v>0.25</v>
      </c>
      <c r="C2088" s="71">
        <v>41878</v>
      </c>
      <c r="D2088" s="72">
        <v>0</v>
      </c>
    </row>
    <row r="2089" spans="1:4" x14ac:dyDescent="0.2">
      <c r="A2089" s="71">
        <v>41879</v>
      </c>
      <c r="B2089" s="72">
        <v>0.25</v>
      </c>
      <c r="C2089" s="71">
        <v>41879</v>
      </c>
      <c r="D2089" s="72">
        <v>0</v>
      </c>
    </row>
    <row r="2090" spans="1:4" x14ac:dyDescent="0.2">
      <c r="A2090" s="71">
        <v>41880</v>
      </c>
      <c r="B2090" s="72">
        <v>0.25</v>
      </c>
      <c r="C2090" s="71">
        <v>41880</v>
      </c>
      <c r="D2090" s="72">
        <v>0</v>
      </c>
    </row>
    <row r="2091" spans="1:4" x14ac:dyDescent="0.2">
      <c r="A2091" s="71">
        <v>41881</v>
      </c>
      <c r="B2091" s="72">
        <v>0.25</v>
      </c>
      <c r="C2091" s="71">
        <v>41881</v>
      </c>
      <c r="D2091" s="72">
        <v>0</v>
      </c>
    </row>
    <row r="2092" spans="1:4" x14ac:dyDescent="0.2">
      <c r="A2092" s="71">
        <v>41882</v>
      </c>
      <c r="B2092" s="72">
        <v>0.25</v>
      </c>
      <c r="C2092" s="71">
        <v>41882</v>
      </c>
      <c r="D2092" s="72">
        <v>0</v>
      </c>
    </row>
    <row r="2093" spans="1:4" x14ac:dyDescent="0.2">
      <c r="A2093" s="71">
        <v>41883</v>
      </c>
      <c r="B2093" s="72">
        <v>0.25</v>
      </c>
      <c r="C2093" s="71">
        <v>41883</v>
      </c>
      <c r="D2093" s="72">
        <v>0</v>
      </c>
    </row>
    <row r="2094" spans="1:4" x14ac:dyDescent="0.2">
      <c r="A2094" s="71">
        <v>41884</v>
      </c>
      <c r="B2094" s="72">
        <v>0.25</v>
      </c>
      <c r="C2094" s="71">
        <v>41884</v>
      </c>
      <c r="D2094" s="72">
        <v>0</v>
      </c>
    </row>
    <row r="2095" spans="1:4" x14ac:dyDescent="0.2">
      <c r="A2095" s="71">
        <v>41885</v>
      </c>
      <c r="B2095" s="72">
        <v>0.25</v>
      </c>
      <c r="C2095" s="71">
        <v>41885</v>
      </c>
      <c r="D2095" s="72">
        <v>0</v>
      </c>
    </row>
    <row r="2096" spans="1:4" x14ac:dyDescent="0.2">
      <c r="A2096" s="71">
        <v>41886</v>
      </c>
      <c r="B2096" s="72">
        <v>0.25</v>
      </c>
      <c r="C2096" s="71">
        <v>41886</v>
      </c>
      <c r="D2096" s="72">
        <v>0</v>
      </c>
    </row>
    <row r="2097" spans="1:4" x14ac:dyDescent="0.2">
      <c r="A2097" s="71">
        <v>41887</v>
      </c>
      <c r="B2097" s="72">
        <v>0.25</v>
      </c>
      <c r="C2097" s="71">
        <v>41887</v>
      </c>
      <c r="D2097" s="72">
        <v>0</v>
      </c>
    </row>
    <row r="2098" spans="1:4" x14ac:dyDescent="0.2">
      <c r="A2098" s="71">
        <v>41888</v>
      </c>
      <c r="B2098" s="72">
        <v>0.25</v>
      </c>
      <c r="C2098" s="71">
        <v>41888</v>
      </c>
      <c r="D2098" s="72">
        <v>0</v>
      </c>
    </row>
    <row r="2099" spans="1:4" x14ac:dyDescent="0.2">
      <c r="A2099" s="71">
        <v>41889</v>
      </c>
      <c r="B2099" s="72">
        <v>0.25</v>
      </c>
      <c r="C2099" s="71">
        <v>41889</v>
      </c>
      <c r="D2099" s="72">
        <v>0</v>
      </c>
    </row>
    <row r="2100" spans="1:4" x14ac:dyDescent="0.2">
      <c r="A2100" s="71">
        <v>41890</v>
      </c>
      <c r="B2100" s="72">
        <v>0.25</v>
      </c>
      <c r="C2100" s="71">
        <v>41890</v>
      </c>
      <c r="D2100" s="72">
        <v>0</v>
      </c>
    </row>
    <row r="2101" spans="1:4" x14ac:dyDescent="0.2">
      <c r="A2101" s="71">
        <v>41891</v>
      </c>
      <c r="B2101" s="72">
        <v>0.25</v>
      </c>
      <c r="C2101" s="71">
        <v>41891</v>
      </c>
      <c r="D2101" s="72">
        <v>0</v>
      </c>
    </row>
    <row r="2102" spans="1:4" x14ac:dyDescent="0.2">
      <c r="A2102" s="71">
        <v>41892</v>
      </c>
      <c r="B2102" s="72">
        <v>0.25</v>
      </c>
      <c r="C2102" s="71">
        <v>41892</v>
      </c>
      <c r="D2102" s="72">
        <v>0</v>
      </c>
    </row>
    <row r="2103" spans="1:4" x14ac:dyDescent="0.2">
      <c r="A2103" s="71">
        <v>41893</v>
      </c>
      <c r="B2103" s="72">
        <v>0.25</v>
      </c>
      <c r="C2103" s="71">
        <v>41893</v>
      </c>
      <c r="D2103" s="72">
        <v>0</v>
      </c>
    </row>
    <row r="2104" spans="1:4" x14ac:dyDescent="0.2">
      <c r="A2104" s="71">
        <v>41894</v>
      </c>
      <c r="B2104" s="72">
        <v>0.25</v>
      </c>
      <c r="C2104" s="71">
        <v>41894</v>
      </c>
      <c r="D2104" s="72">
        <v>0</v>
      </c>
    </row>
    <row r="2105" spans="1:4" x14ac:dyDescent="0.2">
      <c r="A2105" s="71">
        <v>41895</v>
      </c>
      <c r="B2105" s="72">
        <v>0.25</v>
      </c>
      <c r="C2105" s="71">
        <v>41895</v>
      </c>
      <c r="D2105" s="72">
        <v>0</v>
      </c>
    </row>
    <row r="2106" spans="1:4" x14ac:dyDescent="0.2">
      <c r="A2106" s="71">
        <v>41896</v>
      </c>
      <c r="B2106" s="72">
        <v>0.25</v>
      </c>
      <c r="C2106" s="71">
        <v>41896</v>
      </c>
      <c r="D2106" s="72">
        <v>0</v>
      </c>
    </row>
    <row r="2107" spans="1:4" x14ac:dyDescent="0.2">
      <c r="A2107" s="71">
        <v>41897</v>
      </c>
      <c r="B2107" s="72">
        <v>0.25</v>
      </c>
      <c r="C2107" s="71">
        <v>41897</v>
      </c>
      <c r="D2107" s="72">
        <v>0</v>
      </c>
    </row>
    <row r="2108" spans="1:4" x14ac:dyDescent="0.2">
      <c r="A2108" s="71">
        <v>41898</v>
      </c>
      <c r="B2108" s="72">
        <v>0.25</v>
      </c>
      <c r="C2108" s="71">
        <v>41898</v>
      </c>
      <c r="D2108" s="72">
        <v>0</v>
      </c>
    </row>
    <row r="2109" spans="1:4" x14ac:dyDescent="0.2">
      <c r="A2109" s="71">
        <v>41899</v>
      </c>
      <c r="B2109" s="72">
        <v>0.25</v>
      </c>
      <c r="C2109" s="71">
        <v>41899</v>
      </c>
      <c r="D2109" s="72">
        <v>0</v>
      </c>
    </row>
    <row r="2110" spans="1:4" x14ac:dyDescent="0.2">
      <c r="A2110" s="71">
        <v>41900</v>
      </c>
      <c r="B2110" s="72">
        <v>0.25</v>
      </c>
      <c r="C2110" s="71">
        <v>41900</v>
      </c>
      <c r="D2110" s="72">
        <v>0</v>
      </c>
    </row>
    <row r="2111" spans="1:4" x14ac:dyDescent="0.2">
      <c r="A2111" s="71">
        <v>41901</v>
      </c>
      <c r="B2111" s="72">
        <v>0.25</v>
      </c>
      <c r="C2111" s="71">
        <v>41901</v>
      </c>
      <c r="D2111" s="72">
        <v>0</v>
      </c>
    </row>
    <row r="2112" spans="1:4" x14ac:dyDescent="0.2">
      <c r="A2112" s="71">
        <v>41902</v>
      </c>
      <c r="B2112" s="72">
        <v>0.25</v>
      </c>
      <c r="C2112" s="71">
        <v>41902</v>
      </c>
      <c r="D2112" s="72">
        <v>0</v>
      </c>
    </row>
    <row r="2113" spans="1:4" x14ac:dyDescent="0.2">
      <c r="A2113" s="71">
        <v>41903</v>
      </c>
      <c r="B2113" s="72">
        <v>0.25</v>
      </c>
      <c r="C2113" s="71">
        <v>41903</v>
      </c>
      <c r="D2113" s="72">
        <v>0</v>
      </c>
    </row>
    <row r="2114" spans="1:4" x14ac:dyDescent="0.2">
      <c r="A2114" s="71">
        <v>41904</v>
      </c>
      <c r="B2114" s="72">
        <v>0.25</v>
      </c>
      <c r="C2114" s="71">
        <v>41904</v>
      </c>
      <c r="D2114" s="72">
        <v>0</v>
      </c>
    </row>
    <row r="2115" spans="1:4" x14ac:dyDescent="0.2">
      <c r="A2115" s="71">
        <v>41905</v>
      </c>
      <c r="B2115" s="72">
        <v>0.25</v>
      </c>
      <c r="C2115" s="71">
        <v>41905</v>
      </c>
      <c r="D2115" s="72">
        <v>0</v>
      </c>
    </row>
    <row r="2116" spans="1:4" x14ac:dyDescent="0.2">
      <c r="A2116" s="71">
        <v>41906</v>
      </c>
      <c r="B2116" s="72">
        <v>0.25</v>
      </c>
      <c r="C2116" s="71">
        <v>41906</v>
      </c>
      <c r="D2116" s="72">
        <v>0</v>
      </c>
    </row>
    <row r="2117" spans="1:4" x14ac:dyDescent="0.2">
      <c r="A2117" s="71">
        <v>41907</v>
      </c>
      <c r="B2117" s="72">
        <v>0.25</v>
      </c>
      <c r="C2117" s="71">
        <v>41907</v>
      </c>
      <c r="D2117" s="72">
        <v>0</v>
      </c>
    </row>
    <row r="2118" spans="1:4" x14ac:dyDescent="0.2">
      <c r="A2118" s="71">
        <v>41908</v>
      </c>
      <c r="B2118" s="72">
        <v>0.25</v>
      </c>
      <c r="C2118" s="71">
        <v>41908</v>
      </c>
      <c r="D2118" s="72">
        <v>0</v>
      </c>
    </row>
    <row r="2119" spans="1:4" x14ac:dyDescent="0.2">
      <c r="A2119" s="71">
        <v>41909</v>
      </c>
      <c r="B2119" s="72">
        <v>0.25</v>
      </c>
      <c r="C2119" s="71">
        <v>41909</v>
      </c>
      <c r="D2119" s="72">
        <v>0</v>
      </c>
    </row>
    <row r="2120" spans="1:4" x14ac:dyDescent="0.2">
      <c r="A2120" s="71">
        <v>41910</v>
      </c>
      <c r="B2120" s="72">
        <v>0.25</v>
      </c>
      <c r="C2120" s="71">
        <v>41910</v>
      </c>
      <c r="D2120" s="72">
        <v>0</v>
      </c>
    </row>
    <row r="2121" spans="1:4" x14ac:dyDescent="0.2">
      <c r="A2121" s="71">
        <v>41911</v>
      </c>
      <c r="B2121" s="72">
        <v>0.25</v>
      </c>
      <c r="C2121" s="71">
        <v>41911</v>
      </c>
      <c r="D2121" s="72">
        <v>0</v>
      </c>
    </row>
    <row r="2122" spans="1:4" x14ac:dyDescent="0.2">
      <c r="A2122" s="71">
        <v>41912</v>
      </c>
      <c r="B2122" s="72">
        <v>0.25</v>
      </c>
      <c r="C2122" s="71">
        <v>41912</v>
      </c>
      <c r="D2122" s="72">
        <v>0</v>
      </c>
    </row>
    <row r="2123" spans="1:4" x14ac:dyDescent="0.2">
      <c r="A2123" s="71">
        <v>41913</v>
      </c>
      <c r="B2123" s="72">
        <v>0.25</v>
      </c>
      <c r="C2123" s="71">
        <v>41913</v>
      </c>
      <c r="D2123" s="72">
        <v>0</v>
      </c>
    </row>
    <row r="2124" spans="1:4" x14ac:dyDescent="0.2">
      <c r="A2124" s="71">
        <v>41914</v>
      </c>
      <c r="B2124" s="72">
        <v>0.25</v>
      </c>
      <c r="C2124" s="71">
        <v>41914</v>
      </c>
      <c r="D2124" s="72">
        <v>0</v>
      </c>
    </row>
    <row r="2125" spans="1:4" x14ac:dyDescent="0.2">
      <c r="A2125" s="71">
        <v>41915</v>
      </c>
      <c r="B2125" s="72">
        <v>0.25</v>
      </c>
      <c r="C2125" s="71">
        <v>41915</v>
      </c>
      <c r="D2125" s="72">
        <v>0</v>
      </c>
    </row>
    <row r="2126" spans="1:4" x14ac:dyDescent="0.2">
      <c r="A2126" s="71">
        <v>41916</v>
      </c>
      <c r="B2126" s="72">
        <v>0.25</v>
      </c>
      <c r="C2126" s="71">
        <v>41916</v>
      </c>
      <c r="D2126" s="72">
        <v>0</v>
      </c>
    </row>
    <row r="2127" spans="1:4" x14ac:dyDescent="0.2">
      <c r="A2127" s="71">
        <v>41917</v>
      </c>
      <c r="B2127" s="72">
        <v>0.25</v>
      </c>
      <c r="C2127" s="71">
        <v>41917</v>
      </c>
      <c r="D2127" s="72">
        <v>0</v>
      </c>
    </row>
    <row r="2128" spans="1:4" x14ac:dyDescent="0.2">
      <c r="A2128" s="71">
        <v>41918</v>
      </c>
      <c r="B2128" s="72">
        <v>0.25</v>
      </c>
      <c r="C2128" s="71">
        <v>41918</v>
      </c>
      <c r="D2128" s="72">
        <v>0</v>
      </c>
    </row>
    <row r="2129" spans="1:4" x14ac:dyDescent="0.2">
      <c r="A2129" s="71">
        <v>41919</v>
      </c>
      <c r="B2129" s="72">
        <v>0.25</v>
      </c>
      <c r="C2129" s="71">
        <v>41919</v>
      </c>
      <c r="D2129" s="72">
        <v>0</v>
      </c>
    </row>
    <row r="2130" spans="1:4" x14ac:dyDescent="0.2">
      <c r="A2130" s="71">
        <v>41920</v>
      </c>
      <c r="B2130" s="72">
        <v>0.25</v>
      </c>
      <c r="C2130" s="71">
        <v>41920</v>
      </c>
      <c r="D2130" s="72">
        <v>0</v>
      </c>
    </row>
    <row r="2131" spans="1:4" x14ac:dyDescent="0.2">
      <c r="A2131" s="71">
        <v>41921</v>
      </c>
      <c r="B2131" s="72">
        <v>0.25</v>
      </c>
      <c r="C2131" s="71">
        <v>41921</v>
      </c>
      <c r="D2131" s="72">
        <v>0</v>
      </c>
    </row>
    <row r="2132" spans="1:4" x14ac:dyDescent="0.2">
      <c r="A2132" s="71">
        <v>41922</v>
      </c>
      <c r="B2132" s="72">
        <v>0.25</v>
      </c>
      <c r="C2132" s="71">
        <v>41922</v>
      </c>
      <c r="D2132" s="72">
        <v>0</v>
      </c>
    </row>
    <row r="2133" spans="1:4" x14ac:dyDescent="0.2">
      <c r="A2133" s="71">
        <v>41923</v>
      </c>
      <c r="B2133" s="72">
        <v>0.25</v>
      </c>
      <c r="C2133" s="71">
        <v>41923</v>
      </c>
      <c r="D2133" s="72">
        <v>0</v>
      </c>
    </row>
    <row r="2134" spans="1:4" x14ac:dyDescent="0.2">
      <c r="A2134" s="71">
        <v>41924</v>
      </c>
      <c r="B2134" s="72">
        <v>0.25</v>
      </c>
      <c r="C2134" s="71">
        <v>41924</v>
      </c>
      <c r="D2134" s="72">
        <v>0</v>
      </c>
    </row>
    <row r="2135" spans="1:4" x14ac:dyDescent="0.2">
      <c r="A2135" s="71">
        <v>41925</v>
      </c>
      <c r="B2135" s="72">
        <v>0.25</v>
      </c>
      <c r="C2135" s="71">
        <v>41925</v>
      </c>
      <c r="D2135" s="72">
        <v>0</v>
      </c>
    </row>
    <row r="2136" spans="1:4" x14ac:dyDescent="0.2">
      <c r="A2136" s="71">
        <v>41926</v>
      </c>
      <c r="B2136" s="72">
        <v>0.25</v>
      </c>
      <c r="C2136" s="71">
        <v>41926</v>
      </c>
      <c r="D2136" s="72">
        <v>0</v>
      </c>
    </row>
    <row r="2137" spans="1:4" x14ac:dyDescent="0.2">
      <c r="A2137" s="71">
        <v>41927</v>
      </c>
      <c r="B2137" s="72">
        <v>0.25</v>
      </c>
      <c r="C2137" s="71">
        <v>41927</v>
      </c>
      <c r="D2137" s="72">
        <v>0</v>
      </c>
    </row>
    <row r="2138" spans="1:4" x14ac:dyDescent="0.2">
      <c r="A2138" s="71">
        <v>41928</v>
      </c>
      <c r="B2138" s="72">
        <v>0.25</v>
      </c>
      <c r="C2138" s="71">
        <v>41928</v>
      </c>
      <c r="D2138" s="72">
        <v>0</v>
      </c>
    </row>
    <row r="2139" spans="1:4" x14ac:dyDescent="0.2">
      <c r="A2139" s="71">
        <v>41929</v>
      </c>
      <c r="B2139" s="72">
        <v>0.25</v>
      </c>
      <c r="C2139" s="71">
        <v>41929</v>
      </c>
      <c r="D2139" s="72">
        <v>0</v>
      </c>
    </row>
    <row r="2140" spans="1:4" x14ac:dyDescent="0.2">
      <c r="A2140" s="71">
        <v>41930</v>
      </c>
      <c r="B2140" s="72">
        <v>0.25</v>
      </c>
      <c r="C2140" s="71">
        <v>41930</v>
      </c>
      <c r="D2140" s="72">
        <v>0</v>
      </c>
    </row>
    <row r="2141" spans="1:4" x14ac:dyDescent="0.2">
      <c r="A2141" s="71">
        <v>41931</v>
      </c>
      <c r="B2141" s="72">
        <v>0.25</v>
      </c>
      <c r="C2141" s="71">
        <v>41931</v>
      </c>
      <c r="D2141" s="72">
        <v>0</v>
      </c>
    </row>
    <row r="2142" spans="1:4" x14ac:dyDescent="0.2">
      <c r="A2142" s="71">
        <v>41932</v>
      </c>
      <c r="B2142" s="72">
        <v>0.25</v>
      </c>
      <c r="C2142" s="71">
        <v>41932</v>
      </c>
      <c r="D2142" s="72">
        <v>0</v>
      </c>
    </row>
    <row r="2143" spans="1:4" x14ac:dyDescent="0.2">
      <c r="A2143" s="71">
        <v>41933</v>
      </c>
      <c r="B2143" s="72">
        <v>0.25</v>
      </c>
      <c r="C2143" s="71">
        <v>41933</v>
      </c>
      <c r="D2143" s="72">
        <v>0</v>
      </c>
    </row>
    <row r="2144" spans="1:4" x14ac:dyDescent="0.2">
      <c r="A2144" s="71">
        <v>41934</v>
      </c>
      <c r="B2144" s="72">
        <v>0.25</v>
      </c>
      <c r="C2144" s="71">
        <v>41934</v>
      </c>
      <c r="D2144" s="72">
        <v>0</v>
      </c>
    </row>
    <row r="2145" spans="1:4" x14ac:dyDescent="0.2">
      <c r="A2145" s="71">
        <v>41935</v>
      </c>
      <c r="B2145" s="72">
        <v>0.25</v>
      </c>
      <c r="C2145" s="71">
        <v>41935</v>
      </c>
      <c r="D2145" s="72">
        <v>0</v>
      </c>
    </row>
    <row r="2146" spans="1:4" x14ac:dyDescent="0.2">
      <c r="A2146" s="71">
        <v>41936</v>
      </c>
      <c r="B2146" s="72">
        <v>0.25</v>
      </c>
      <c r="C2146" s="71">
        <v>41936</v>
      </c>
      <c r="D2146" s="72">
        <v>0</v>
      </c>
    </row>
    <row r="2147" spans="1:4" x14ac:dyDescent="0.2">
      <c r="A2147" s="71">
        <v>41937</v>
      </c>
      <c r="B2147" s="72">
        <v>0.25</v>
      </c>
      <c r="C2147" s="71">
        <v>41937</v>
      </c>
      <c r="D2147" s="72">
        <v>0</v>
      </c>
    </row>
    <row r="2148" spans="1:4" x14ac:dyDescent="0.2">
      <c r="A2148" s="71">
        <v>41938</v>
      </c>
      <c r="B2148" s="72">
        <v>0.25</v>
      </c>
      <c r="C2148" s="71">
        <v>41938</v>
      </c>
      <c r="D2148" s="72">
        <v>0</v>
      </c>
    </row>
    <row r="2149" spans="1:4" x14ac:dyDescent="0.2">
      <c r="A2149" s="71">
        <v>41939</v>
      </c>
      <c r="B2149" s="72">
        <v>0.25</v>
      </c>
      <c r="C2149" s="71">
        <v>41939</v>
      </c>
      <c r="D2149" s="72">
        <v>0</v>
      </c>
    </row>
    <row r="2150" spans="1:4" x14ac:dyDescent="0.2">
      <c r="A2150" s="71">
        <v>41940</v>
      </c>
      <c r="B2150" s="72">
        <v>0.25</v>
      </c>
      <c r="C2150" s="71">
        <v>41940</v>
      </c>
      <c r="D2150" s="72">
        <v>0</v>
      </c>
    </row>
    <row r="2151" spans="1:4" x14ac:dyDescent="0.2">
      <c r="A2151" s="71">
        <v>41941</v>
      </c>
      <c r="B2151" s="72">
        <v>0.25</v>
      </c>
      <c r="C2151" s="71">
        <v>41941</v>
      </c>
      <c r="D2151" s="72">
        <v>0</v>
      </c>
    </row>
    <row r="2152" spans="1:4" x14ac:dyDescent="0.2">
      <c r="A2152" s="71">
        <v>41942</v>
      </c>
      <c r="B2152" s="72">
        <v>0.25</v>
      </c>
      <c r="C2152" s="71">
        <v>41942</v>
      </c>
      <c r="D2152" s="72">
        <v>0</v>
      </c>
    </row>
    <row r="2153" spans="1:4" x14ac:dyDescent="0.2">
      <c r="A2153" s="71">
        <v>41943</v>
      </c>
      <c r="B2153" s="72">
        <v>0.25</v>
      </c>
      <c r="C2153" s="71">
        <v>41943</v>
      </c>
      <c r="D2153" s="72">
        <v>0</v>
      </c>
    </row>
    <row r="2154" spans="1:4" x14ac:dyDescent="0.2">
      <c r="A2154" s="71">
        <v>41944</v>
      </c>
      <c r="B2154" s="72">
        <v>0.25</v>
      </c>
      <c r="C2154" s="71">
        <v>41944</v>
      </c>
      <c r="D2154" s="72">
        <v>0</v>
      </c>
    </row>
    <row r="2155" spans="1:4" x14ac:dyDescent="0.2">
      <c r="A2155" s="71">
        <v>41945</v>
      </c>
      <c r="B2155" s="72">
        <v>0.25</v>
      </c>
      <c r="C2155" s="71">
        <v>41945</v>
      </c>
      <c r="D2155" s="72">
        <v>0</v>
      </c>
    </row>
    <row r="2156" spans="1:4" x14ac:dyDescent="0.2">
      <c r="A2156" s="71">
        <v>41946</v>
      </c>
      <c r="B2156" s="72">
        <v>0.25</v>
      </c>
      <c r="C2156" s="71">
        <v>41946</v>
      </c>
      <c r="D2156" s="72">
        <v>0</v>
      </c>
    </row>
    <row r="2157" spans="1:4" x14ac:dyDescent="0.2">
      <c r="A2157" s="71">
        <v>41947</v>
      </c>
      <c r="B2157" s="72">
        <v>0.25</v>
      </c>
      <c r="C2157" s="71">
        <v>41947</v>
      </c>
      <c r="D2157" s="72">
        <v>0</v>
      </c>
    </row>
    <row r="2158" spans="1:4" x14ac:dyDescent="0.2">
      <c r="A2158" s="71">
        <v>41948</v>
      </c>
      <c r="B2158" s="72">
        <v>0.25</v>
      </c>
      <c r="C2158" s="71">
        <v>41948</v>
      </c>
      <c r="D2158" s="72">
        <v>0</v>
      </c>
    </row>
    <row r="2159" spans="1:4" x14ac:dyDescent="0.2">
      <c r="A2159" s="71">
        <v>41949</v>
      </c>
      <c r="B2159" s="72">
        <v>0.25</v>
      </c>
      <c r="C2159" s="71">
        <v>41949</v>
      </c>
      <c r="D2159" s="72">
        <v>0</v>
      </c>
    </row>
    <row r="2160" spans="1:4" x14ac:dyDescent="0.2">
      <c r="A2160" s="71">
        <v>41950</v>
      </c>
      <c r="B2160" s="72">
        <v>0.25</v>
      </c>
      <c r="C2160" s="71">
        <v>41950</v>
      </c>
      <c r="D2160" s="72">
        <v>0</v>
      </c>
    </row>
    <row r="2161" spans="1:4" x14ac:dyDescent="0.2">
      <c r="A2161" s="71">
        <v>41951</v>
      </c>
      <c r="B2161" s="72">
        <v>0.25</v>
      </c>
      <c r="C2161" s="71">
        <v>41951</v>
      </c>
      <c r="D2161" s="72">
        <v>0</v>
      </c>
    </row>
    <row r="2162" spans="1:4" x14ac:dyDescent="0.2">
      <c r="A2162" s="71">
        <v>41952</v>
      </c>
      <c r="B2162" s="72">
        <v>0.25</v>
      </c>
      <c r="C2162" s="71">
        <v>41952</v>
      </c>
      <c r="D2162" s="72">
        <v>0</v>
      </c>
    </row>
    <row r="2163" spans="1:4" x14ac:dyDescent="0.2">
      <c r="A2163" s="71">
        <v>41953</v>
      </c>
      <c r="B2163" s="72">
        <v>0.25</v>
      </c>
      <c r="C2163" s="71">
        <v>41953</v>
      </c>
      <c r="D2163" s="72">
        <v>0</v>
      </c>
    </row>
    <row r="2164" spans="1:4" x14ac:dyDescent="0.2">
      <c r="A2164" s="71">
        <v>41954</v>
      </c>
      <c r="B2164" s="72">
        <v>0.25</v>
      </c>
      <c r="C2164" s="71">
        <v>41954</v>
      </c>
      <c r="D2164" s="72">
        <v>0</v>
      </c>
    </row>
    <row r="2165" spans="1:4" x14ac:dyDescent="0.2">
      <c r="A2165" s="71">
        <v>41955</v>
      </c>
      <c r="B2165" s="72">
        <v>0.25</v>
      </c>
      <c r="C2165" s="71">
        <v>41955</v>
      </c>
      <c r="D2165" s="72">
        <v>0</v>
      </c>
    </row>
    <row r="2166" spans="1:4" x14ac:dyDescent="0.2">
      <c r="A2166" s="71">
        <v>41956</v>
      </c>
      <c r="B2166" s="72">
        <v>0.25</v>
      </c>
      <c r="C2166" s="71">
        <v>41956</v>
      </c>
      <c r="D2166" s="72">
        <v>0</v>
      </c>
    </row>
    <row r="2167" spans="1:4" x14ac:dyDescent="0.2">
      <c r="A2167" s="71">
        <v>41957</v>
      </c>
      <c r="B2167" s="72">
        <v>0.25</v>
      </c>
      <c r="C2167" s="71">
        <v>41957</v>
      </c>
      <c r="D2167" s="72">
        <v>0</v>
      </c>
    </row>
    <row r="2168" spans="1:4" x14ac:dyDescent="0.2">
      <c r="A2168" s="71">
        <v>41958</v>
      </c>
      <c r="B2168" s="72">
        <v>0.25</v>
      </c>
      <c r="C2168" s="71">
        <v>41958</v>
      </c>
      <c r="D2168" s="72">
        <v>0</v>
      </c>
    </row>
    <row r="2169" spans="1:4" x14ac:dyDescent="0.2">
      <c r="A2169" s="71">
        <v>41959</v>
      </c>
      <c r="B2169" s="72">
        <v>0.25</v>
      </c>
      <c r="C2169" s="71">
        <v>41959</v>
      </c>
      <c r="D2169" s="72">
        <v>0</v>
      </c>
    </row>
    <row r="2170" spans="1:4" x14ac:dyDescent="0.2">
      <c r="A2170" s="71">
        <v>41960</v>
      </c>
      <c r="B2170" s="72">
        <v>0.25</v>
      </c>
      <c r="C2170" s="71">
        <v>41960</v>
      </c>
      <c r="D2170" s="72">
        <v>0</v>
      </c>
    </row>
    <row r="2171" spans="1:4" x14ac:dyDescent="0.2">
      <c r="A2171" s="71">
        <v>41961</v>
      </c>
      <c r="B2171" s="72">
        <v>0.25</v>
      </c>
      <c r="C2171" s="71">
        <v>41961</v>
      </c>
      <c r="D2171" s="72">
        <v>0</v>
      </c>
    </row>
    <row r="2172" spans="1:4" x14ac:dyDescent="0.2">
      <c r="A2172" s="71">
        <v>41962</v>
      </c>
      <c r="B2172" s="72">
        <v>0.25</v>
      </c>
      <c r="C2172" s="71">
        <v>41962</v>
      </c>
      <c r="D2172" s="72">
        <v>0</v>
      </c>
    </row>
    <row r="2173" spans="1:4" x14ac:dyDescent="0.2">
      <c r="A2173" s="71">
        <v>41963</v>
      </c>
      <c r="B2173" s="72">
        <v>0.25</v>
      </c>
      <c r="C2173" s="71">
        <v>41963</v>
      </c>
      <c r="D2173" s="72">
        <v>0</v>
      </c>
    </row>
    <row r="2174" spans="1:4" x14ac:dyDescent="0.2">
      <c r="A2174" s="71">
        <v>41964</v>
      </c>
      <c r="B2174" s="72">
        <v>0.25</v>
      </c>
      <c r="C2174" s="71">
        <v>41964</v>
      </c>
      <c r="D2174" s="72">
        <v>0</v>
      </c>
    </row>
    <row r="2175" spans="1:4" x14ac:dyDescent="0.2">
      <c r="A2175" s="71">
        <v>41965</v>
      </c>
      <c r="B2175" s="72">
        <v>0.25</v>
      </c>
      <c r="C2175" s="71">
        <v>41965</v>
      </c>
      <c r="D2175" s="72">
        <v>0</v>
      </c>
    </row>
    <row r="2176" spans="1:4" x14ac:dyDescent="0.2">
      <c r="A2176" s="71">
        <v>41966</v>
      </c>
      <c r="B2176" s="72">
        <v>0.25</v>
      </c>
      <c r="C2176" s="71">
        <v>41966</v>
      </c>
      <c r="D2176" s="72">
        <v>0</v>
      </c>
    </row>
    <row r="2177" spans="1:4" x14ac:dyDescent="0.2">
      <c r="A2177" s="71">
        <v>41967</v>
      </c>
      <c r="B2177" s="72">
        <v>0.25</v>
      </c>
      <c r="C2177" s="71">
        <v>41967</v>
      </c>
      <c r="D2177" s="72">
        <v>0</v>
      </c>
    </row>
    <row r="2178" spans="1:4" x14ac:dyDescent="0.2">
      <c r="A2178" s="71">
        <v>41968</v>
      </c>
      <c r="B2178" s="72">
        <v>0.25</v>
      </c>
      <c r="C2178" s="71">
        <v>41968</v>
      </c>
      <c r="D2178" s="72">
        <v>0</v>
      </c>
    </row>
    <row r="2179" spans="1:4" x14ac:dyDescent="0.2">
      <c r="A2179" s="71">
        <v>41969</v>
      </c>
      <c r="B2179" s="72">
        <v>0.25</v>
      </c>
      <c r="C2179" s="71">
        <v>41969</v>
      </c>
      <c r="D2179" s="72">
        <v>0</v>
      </c>
    </row>
    <row r="2180" spans="1:4" x14ac:dyDescent="0.2">
      <c r="A2180" s="71">
        <v>41970</v>
      </c>
      <c r="B2180" s="72">
        <v>0.25</v>
      </c>
      <c r="C2180" s="71">
        <v>41970</v>
      </c>
      <c r="D2180" s="72">
        <v>0</v>
      </c>
    </row>
    <row r="2181" spans="1:4" x14ac:dyDescent="0.2">
      <c r="A2181" s="71">
        <v>41971</v>
      </c>
      <c r="B2181" s="72">
        <v>0.25</v>
      </c>
      <c r="C2181" s="71">
        <v>41971</v>
      </c>
      <c r="D2181" s="72">
        <v>0</v>
      </c>
    </row>
    <row r="2182" spans="1:4" x14ac:dyDescent="0.2">
      <c r="A2182" s="71">
        <v>41972</v>
      </c>
      <c r="B2182" s="72">
        <v>0.25</v>
      </c>
      <c r="C2182" s="71">
        <v>41972</v>
      </c>
      <c r="D2182" s="72">
        <v>0</v>
      </c>
    </row>
    <row r="2183" spans="1:4" x14ac:dyDescent="0.2">
      <c r="A2183" s="71">
        <v>41973</v>
      </c>
      <c r="B2183" s="72">
        <v>0.25</v>
      </c>
      <c r="C2183" s="71">
        <v>41973</v>
      </c>
      <c r="D2183" s="72">
        <v>0</v>
      </c>
    </row>
    <row r="2184" spans="1:4" x14ac:dyDescent="0.2">
      <c r="A2184" s="71">
        <v>41974</v>
      </c>
      <c r="B2184" s="72">
        <v>0.25</v>
      </c>
      <c r="C2184" s="71">
        <v>41974</v>
      </c>
      <c r="D2184" s="72">
        <v>0</v>
      </c>
    </row>
    <row r="2185" spans="1:4" x14ac:dyDescent="0.2">
      <c r="A2185" s="71">
        <v>41975</v>
      </c>
      <c r="B2185" s="72">
        <v>0.25</v>
      </c>
      <c r="C2185" s="71">
        <v>41975</v>
      </c>
      <c r="D2185" s="72">
        <v>0</v>
      </c>
    </row>
    <row r="2186" spans="1:4" x14ac:dyDescent="0.2">
      <c r="A2186" s="71">
        <v>41976</v>
      </c>
      <c r="B2186" s="72">
        <v>0.25</v>
      </c>
      <c r="C2186" s="71">
        <v>41976</v>
      </c>
      <c r="D2186" s="72">
        <v>0</v>
      </c>
    </row>
    <row r="2187" spans="1:4" x14ac:dyDescent="0.2">
      <c r="A2187" s="71">
        <v>41977</v>
      </c>
      <c r="B2187" s="72">
        <v>0.25</v>
      </c>
      <c r="C2187" s="71">
        <v>41977</v>
      </c>
      <c r="D2187" s="72">
        <v>0</v>
      </c>
    </row>
    <row r="2188" spans="1:4" x14ac:dyDescent="0.2">
      <c r="A2188" s="71">
        <v>41978</v>
      </c>
      <c r="B2188" s="72">
        <v>0.25</v>
      </c>
      <c r="C2188" s="71">
        <v>41978</v>
      </c>
      <c r="D2188" s="72">
        <v>0</v>
      </c>
    </row>
    <row r="2189" spans="1:4" x14ac:dyDescent="0.2">
      <c r="A2189" s="71">
        <v>41979</v>
      </c>
      <c r="B2189" s="72">
        <v>0.25</v>
      </c>
      <c r="C2189" s="71">
        <v>41979</v>
      </c>
      <c r="D2189" s="72">
        <v>0</v>
      </c>
    </row>
    <row r="2190" spans="1:4" x14ac:dyDescent="0.2">
      <c r="A2190" s="71">
        <v>41980</v>
      </c>
      <c r="B2190" s="72">
        <v>0.25</v>
      </c>
      <c r="C2190" s="71">
        <v>41980</v>
      </c>
      <c r="D2190" s="72">
        <v>0</v>
      </c>
    </row>
    <row r="2191" spans="1:4" x14ac:dyDescent="0.2">
      <c r="A2191" s="71">
        <v>41981</v>
      </c>
      <c r="B2191" s="72">
        <v>0.25</v>
      </c>
      <c r="C2191" s="71">
        <v>41981</v>
      </c>
      <c r="D2191" s="72">
        <v>0</v>
      </c>
    </row>
    <row r="2192" spans="1:4" x14ac:dyDescent="0.2">
      <c r="A2192" s="71">
        <v>41982</v>
      </c>
      <c r="B2192" s="72">
        <v>0.25</v>
      </c>
      <c r="C2192" s="71">
        <v>41982</v>
      </c>
      <c r="D2192" s="72">
        <v>0</v>
      </c>
    </row>
    <row r="2193" spans="1:4" x14ac:dyDescent="0.2">
      <c r="A2193" s="71">
        <v>41983</v>
      </c>
      <c r="B2193" s="72">
        <v>0.25</v>
      </c>
      <c r="C2193" s="71">
        <v>41983</v>
      </c>
      <c r="D2193" s="72">
        <v>0</v>
      </c>
    </row>
    <row r="2194" spans="1:4" x14ac:dyDescent="0.2">
      <c r="A2194" s="71">
        <v>41984</v>
      </c>
      <c r="B2194" s="72">
        <v>0.25</v>
      </c>
      <c r="C2194" s="71">
        <v>41984</v>
      </c>
      <c r="D2194" s="72">
        <v>0</v>
      </c>
    </row>
    <row r="2195" spans="1:4" x14ac:dyDescent="0.2">
      <c r="A2195" s="71">
        <v>41985</v>
      </c>
      <c r="B2195" s="72">
        <v>0.25</v>
      </c>
      <c r="C2195" s="71">
        <v>41985</v>
      </c>
      <c r="D2195" s="72">
        <v>0</v>
      </c>
    </row>
    <row r="2196" spans="1:4" x14ac:dyDescent="0.2">
      <c r="A2196" s="71">
        <v>41986</v>
      </c>
      <c r="B2196" s="72">
        <v>0.25</v>
      </c>
      <c r="C2196" s="71">
        <v>41986</v>
      </c>
      <c r="D2196" s="72">
        <v>0</v>
      </c>
    </row>
    <row r="2197" spans="1:4" x14ac:dyDescent="0.2">
      <c r="A2197" s="71">
        <v>41987</v>
      </c>
      <c r="B2197" s="72">
        <v>0.25</v>
      </c>
      <c r="C2197" s="71">
        <v>41987</v>
      </c>
      <c r="D2197" s="72">
        <v>0</v>
      </c>
    </row>
    <row r="2198" spans="1:4" x14ac:dyDescent="0.2">
      <c r="A2198" s="71">
        <v>41988</v>
      </c>
      <c r="B2198" s="72">
        <v>0.25</v>
      </c>
      <c r="C2198" s="71">
        <v>41988</v>
      </c>
      <c r="D2198" s="72">
        <v>0</v>
      </c>
    </row>
    <row r="2199" spans="1:4" x14ac:dyDescent="0.2">
      <c r="A2199" s="71">
        <v>41989</v>
      </c>
      <c r="B2199" s="72">
        <v>0.25</v>
      </c>
      <c r="C2199" s="71">
        <v>41989</v>
      </c>
      <c r="D2199" s="72">
        <v>0</v>
      </c>
    </row>
    <row r="2200" spans="1:4" x14ac:dyDescent="0.2">
      <c r="A2200" s="71">
        <v>41990</v>
      </c>
      <c r="B2200" s="72">
        <v>0.25</v>
      </c>
      <c r="C2200" s="71">
        <v>41990</v>
      </c>
      <c r="D2200" s="72">
        <v>0</v>
      </c>
    </row>
    <row r="2201" spans="1:4" x14ac:dyDescent="0.2">
      <c r="A2201" s="71">
        <v>41991</v>
      </c>
      <c r="B2201" s="72">
        <v>0.25</v>
      </c>
      <c r="C2201" s="71">
        <v>41991</v>
      </c>
      <c r="D2201" s="72">
        <v>0</v>
      </c>
    </row>
    <row r="2202" spans="1:4" x14ac:dyDescent="0.2">
      <c r="A2202" s="71">
        <v>41992</v>
      </c>
      <c r="B2202" s="72">
        <v>0.25</v>
      </c>
      <c r="C2202" s="71">
        <v>41992</v>
      </c>
      <c r="D2202" s="72">
        <v>0</v>
      </c>
    </row>
    <row r="2203" spans="1:4" x14ac:dyDescent="0.2">
      <c r="A2203" s="71">
        <v>41993</v>
      </c>
      <c r="B2203" s="72">
        <v>0.25</v>
      </c>
      <c r="C2203" s="71">
        <v>41993</v>
      </c>
      <c r="D2203" s="72">
        <v>0</v>
      </c>
    </row>
    <row r="2204" spans="1:4" x14ac:dyDescent="0.2">
      <c r="A2204" s="71">
        <v>41994</v>
      </c>
      <c r="B2204" s="72">
        <v>0.25</v>
      </c>
      <c r="C2204" s="71">
        <v>41994</v>
      </c>
      <c r="D2204" s="72">
        <v>0</v>
      </c>
    </row>
    <row r="2205" spans="1:4" x14ac:dyDescent="0.2">
      <c r="A2205" s="71">
        <v>41995</v>
      </c>
      <c r="B2205" s="72">
        <v>0.25</v>
      </c>
      <c r="C2205" s="71">
        <v>41995</v>
      </c>
      <c r="D2205" s="72">
        <v>0</v>
      </c>
    </row>
    <row r="2206" spans="1:4" x14ac:dyDescent="0.2">
      <c r="A2206" s="71">
        <v>41996</v>
      </c>
      <c r="B2206" s="72">
        <v>0.25</v>
      </c>
      <c r="C2206" s="71">
        <v>41996</v>
      </c>
      <c r="D2206" s="72">
        <v>0</v>
      </c>
    </row>
    <row r="2207" spans="1:4" x14ac:dyDescent="0.2">
      <c r="A2207" s="71">
        <v>41997</v>
      </c>
      <c r="B2207" s="72">
        <v>0.25</v>
      </c>
      <c r="C2207" s="71">
        <v>41997</v>
      </c>
      <c r="D2207" s="72">
        <v>0</v>
      </c>
    </row>
    <row r="2208" spans="1:4" x14ac:dyDescent="0.2">
      <c r="A2208" s="71">
        <v>41998</v>
      </c>
      <c r="B2208" s="72">
        <v>0.25</v>
      </c>
      <c r="C2208" s="71">
        <v>41998</v>
      </c>
      <c r="D2208" s="72">
        <v>0</v>
      </c>
    </row>
    <row r="2209" spans="1:4" x14ac:dyDescent="0.2">
      <c r="A2209" s="71">
        <v>41999</v>
      </c>
      <c r="B2209" s="72">
        <v>0.25</v>
      </c>
      <c r="C2209" s="71">
        <v>41999</v>
      </c>
      <c r="D2209" s="72">
        <v>0</v>
      </c>
    </row>
    <row r="2210" spans="1:4" x14ac:dyDescent="0.2">
      <c r="A2210" s="71">
        <v>42000</v>
      </c>
      <c r="B2210" s="72">
        <v>0.25</v>
      </c>
      <c r="C2210" s="71">
        <v>42000</v>
      </c>
      <c r="D2210" s="72">
        <v>0</v>
      </c>
    </row>
    <row r="2211" spans="1:4" x14ac:dyDescent="0.2">
      <c r="A2211" s="71">
        <v>42001</v>
      </c>
      <c r="B2211" s="72">
        <v>0.25</v>
      </c>
      <c r="C2211" s="71">
        <v>42001</v>
      </c>
      <c r="D2211" s="72">
        <v>0</v>
      </c>
    </row>
    <row r="2212" spans="1:4" x14ac:dyDescent="0.2">
      <c r="A2212" s="71">
        <v>42002</v>
      </c>
      <c r="B2212" s="72">
        <v>0.25</v>
      </c>
      <c r="C2212" s="71">
        <v>42002</v>
      </c>
      <c r="D2212" s="72">
        <v>0</v>
      </c>
    </row>
    <row r="2213" spans="1:4" x14ac:dyDescent="0.2">
      <c r="A2213" s="71">
        <v>42003</v>
      </c>
      <c r="B2213" s="72">
        <v>0.25</v>
      </c>
      <c r="C2213" s="71">
        <v>42003</v>
      </c>
      <c r="D2213" s="72">
        <v>0</v>
      </c>
    </row>
    <row r="2214" spans="1:4" x14ac:dyDescent="0.2">
      <c r="A2214" s="71">
        <v>42004</v>
      </c>
      <c r="B2214" s="72">
        <v>0.25</v>
      </c>
      <c r="C2214" s="71">
        <v>42004</v>
      </c>
      <c r="D2214" s="72">
        <v>0</v>
      </c>
    </row>
    <row r="2215" spans="1:4" x14ac:dyDescent="0.2">
      <c r="A2215" s="71">
        <v>42005</v>
      </c>
      <c r="B2215" s="72">
        <v>0.25</v>
      </c>
      <c r="C2215" s="71">
        <v>42005</v>
      </c>
      <c r="D2215" s="72">
        <v>0</v>
      </c>
    </row>
    <row r="2216" spans="1:4" x14ac:dyDescent="0.2">
      <c r="A2216" s="71">
        <v>42006</v>
      </c>
      <c r="B2216" s="72">
        <v>0.25</v>
      </c>
      <c r="C2216" s="71">
        <v>42006</v>
      </c>
      <c r="D2216" s="72">
        <v>0</v>
      </c>
    </row>
    <row r="2217" spans="1:4" x14ac:dyDescent="0.2">
      <c r="A2217" s="71">
        <v>42007</v>
      </c>
      <c r="B2217" s="72">
        <v>0.25</v>
      </c>
      <c r="C2217" s="71">
        <v>42007</v>
      </c>
      <c r="D2217" s="72">
        <v>0</v>
      </c>
    </row>
    <row r="2218" spans="1:4" x14ac:dyDescent="0.2">
      <c r="A2218" s="71">
        <v>42008</v>
      </c>
      <c r="B2218" s="72">
        <v>0.25</v>
      </c>
      <c r="C2218" s="71">
        <v>42008</v>
      </c>
      <c r="D2218" s="72">
        <v>0</v>
      </c>
    </row>
    <row r="2219" spans="1:4" x14ac:dyDescent="0.2">
      <c r="A2219" s="71">
        <v>42009</v>
      </c>
      <c r="B2219" s="72">
        <v>0.25</v>
      </c>
      <c r="C2219" s="71">
        <v>42009</v>
      </c>
      <c r="D2219" s="72">
        <v>0</v>
      </c>
    </row>
    <row r="2220" spans="1:4" x14ac:dyDescent="0.2">
      <c r="A2220" s="71">
        <v>42010</v>
      </c>
      <c r="B2220" s="72">
        <v>0.25</v>
      </c>
      <c r="C2220" s="71">
        <v>42010</v>
      </c>
      <c r="D2220" s="72">
        <v>0</v>
      </c>
    </row>
    <row r="2221" spans="1:4" x14ac:dyDescent="0.2">
      <c r="A2221" s="71">
        <v>42011</v>
      </c>
      <c r="B2221" s="72">
        <v>0.25</v>
      </c>
      <c r="C2221" s="71">
        <v>42011</v>
      </c>
      <c r="D2221" s="72">
        <v>0</v>
      </c>
    </row>
    <row r="2222" spans="1:4" x14ac:dyDescent="0.2">
      <c r="A2222" s="71">
        <v>42012</v>
      </c>
      <c r="B2222" s="72">
        <v>0.25</v>
      </c>
      <c r="C2222" s="71">
        <v>42012</v>
      </c>
      <c r="D2222" s="72">
        <v>0</v>
      </c>
    </row>
    <row r="2223" spans="1:4" x14ac:dyDescent="0.2">
      <c r="A2223" s="71">
        <v>42013</v>
      </c>
      <c r="B2223" s="72">
        <v>0.25</v>
      </c>
      <c r="C2223" s="71">
        <v>42013</v>
      </c>
      <c r="D2223" s="72">
        <v>0</v>
      </c>
    </row>
    <row r="2224" spans="1:4" x14ac:dyDescent="0.2">
      <c r="A2224" s="71">
        <v>42014</v>
      </c>
      <c r="B2224" s="72">
        <v>0.25</v>
      </c>
      <c r="C2224" s="71">
        <v>42014</v>
      </c>
      <c r="D2224" s="72">
        <v>0</v>
      </c>
    </row>
    <row r="2225" spans="1:4" x14ac:dyDescent="0.2">
      <c r="A2225" s="71">
        <v>42015</v>
      </c>
      <c r="B2225" s="72">
        <v>0.25</v>
      </c>
      <c r="C2225" s="71">
        <v>42015</v>
      </c>
      <c r="D2225" s="72">
        <v>0</v>
      </c>
    </row>
    <row r="2226" spans="1:4" x14ac:dyDescent="0.2">
      <c r="A2226" s="71">
        <v>42016</v>
      </c>
      <c r="B2226" s="72">
        <v>0.25</v>
      </c>
      <c r="C2226" s="71">
        <v>42016</v>
      </c>
      <c r="D2226" s="72">
        <v>0</v>
      </c>
    </row>
    <row r="2227" spans="1:4" x14ac:dyDescent="0.2">
      <c r="A2227" s="71">
        <v>42017</v>
      </c>
      <c r="B2227" s="72">
        <v>0.25</v>
      </c>
      <c r="C2227" s="71">
        <v>42017</v>
      </c>
      <c r="D2227" s="72">
        <v>0</v>
      </c>
    </row>
    <row r="2228" spans="1:4" x14ac:dyDescent="0.2">
      <c r="A2228" s="71">
        <v>42018</v>
      </c>
      <c r="B2228" s="72">
        <v>0.25</v>
      </c>
      <c r="C2228" s="71">
        <v>42018</v>
      </c>
      <c r="D2228" s="72">
        <v>0</v>
      </c>
    </row>
    <row r="2229" spans="1:4" x14ac:dyDescent="0.2">
      <c r="A2229" s="71">
        <v>42019</v>
      </c>
      <c r="B2229" s="72">
        <v>0.25</v>
      </c>
      <c r="C2229" s="71">
        <v>42019</v>
      </c>
      <c r="D2229" s="72">
        <v>0</v>
      </c>
    </row>
    <row r="2230" spans="1:4" x14ac:dyDescent="0.2">
      <c r="A2230" s="71">
        <v>42020</v>
      </c>
      <c r="B2230" s="72">
        <v>0.25</v>
      </c>
      <c r="C2230" s="71">
        <v>42020</v>
      </c>
      <c r="D2230" s="72">
        <v>0</v>
      </c>
    </row>
    <row r="2231" spans="1:4" x14ac:dyDescent="0.2">
      <c r="A2231" s="71">
        <v>42021</v>
      </c>
      <c r="B2231" s="72">
        <v>0.25</v>
      </c>
      <c r="C2231" s="71">
        <v>42021</v>
      </c>
      <c r="D2231" s="72">
        <v>0</v>
      </c>
    </row>
    <row r="2232" spans="1:4" x14ac:dyDescent="0.2">
      <c r="A2232" s="71">
        <v>42022</v>
      </c>
      <c r="B2232" s="72">
        <v>0.25</v>
      </c>
      <c r="C2232" s="71">
        <v>42022</v>
      </c>
      <c r="D2232" s="72">
        <v>0</v>
      </c>
    </row>
    <row r="2233" spans="1:4" x14ac:dyDescent="0.2">
      <c r="A2233" s="71">
        <v>42023</v>
      </c>
      <c r="B2233" s="72">
        <v>0.25</v>
      </c>
      <c r="C2233" s="71">
        <v>42023</v>
      </c>
      <c r="D2233" s="72">
        <v>0</v>
      </c>
    </row>
    <row r="2234" spans="1:4" x14ac:dyDescent="0.2">
      <c r="A2234" s="71">
        <v>42024</v>
      </c>
      <c r="B2234" s="72">
        <v>0.25</v>
      </c>
      <c r="C2234" s="71">
        <v>42024</v>
      </c>
      <c r="D2234" s="72">
        <v>0</v>
      </c>
    </row>
    <row r="2235" spans="1:4" x14ac:dyDescent="0.2">
      <c r="A2235" s="71">
        <v>42025</v>
      </c>
      <c r="B2235" s="72">
        <v>0.25</v>
      </c>
      <c r="C2235" s="71">
        <v>42025</v>
      </c>
      <c r="D2235" s="72">
        <v>0</v>
      </c>
    </row>
    <row r="2236" spans="1:4" x14ac:dyDescent="0.2">
      <c r="A2236" s="71">
        <v>42026</v>
      </c>
      <c r="B2236" s="72">
        <v>0.25</v>
      </c>
      <c r="C2236" s="71">
        <v>42026</v>
      </c>
      <c r="D2236" s="72">
        <v>0</v>
      </c>
    </row>
    <row r="2237" spans="1:4" x14ac:dyDescent="0.2">
      <c r="A2237" s="71">
        <v>42027</v>
      </c>
      <c r="B2237" s="72">
        <v>0.25</v>
      </c>
      <c r="C2237" s="71">
        <v>42027</v>
      </c>
      <c r="D2237" s="72">
        <v>0</v>
      </c>
    </row>
    <row r="2238" spans="1:4" x14ac:dyDescent="0.2">
      <c r="A2238" s="71">
        <v>42028</v>
      </c>
      <c r="B2238" s="72">
        <v>0.25</v>
      </c>
      <c r="C2238" s="71">
        <v>42028</v>
      </c>
      <c r="D2238" s="72">
        <v>0</v>
      </c>
    </row>
    <row r="2239" spans="1:4" x14ac:dyDescent="0.2">
      <c r="A2239" s="71">
        <v>42029</v>
      </c>
      <c r="B2239" s="72">
        <v>0.25</v>
      </c>
      <c r="C2239" s="71">
        <v>42029</v>
      </c>
      <c r="D2239" s="72">
        <v>0</v>
      </c>
    </row>
    <row r="2240" spans="1:4" x14ac:dyDescent="0.2">
      <c r="A2240" s="71">
        <v>42030</v>
      </c>
      <c r="B2240" s="72">
        <v>0.25</v>
      </c>
      <c r="C2240" s="71">
        <v>42030</v>
      </c>
      <c r="D2240" s="72">
        <v>0</v>
      </c>
    </row>
    <row r="2241" spans="1:4" x14ac:dyDescent="0.2">
      <c r="A2241" s="71">
        <v>42031</v>
      </c>
      <c r="B2241" s="72">
        <v>0.25</v>
      </c>
      <c r="C2241" s="71">
        <v>42031</v>
      </c>
      <c r="D2241" s="72">
        <v>0</v>
      </c>
    </row>
    <row r="2242" spans="1:4" x14ac:dyDescent="0.2">
      <c r="A2242" s="71">
        <v>42032</v>
      </c>
      <c r="B2242" s="72">
        <v>0.25</v>
      </c>
      <c r="C2242" s="71">
        <v>42032</v>
      </c>
      <c r="D2242" s="72">
        <v>0</v>
      </c>
    </row>
    <row r="2243" spans="1:4" x14ac:dyDescent="0.2">
      <c r="A2243" s="71">
        <v>42033</v>
      </c>
      <c r="B2243" s="72">
        <v>0.25</v>
      </c>
      <c r="C2243" s="71">
        <v>42033</v>
      </c>
      <c r="D2243" s="72">
        <v>0</v>
      </c>
    </row>
    <row r="2244" spans="1:4" x14ac:dyDescent="0.2">
      <c r="A2244" s="71">
        <v>42034</v>
      </c>
      <c r="B2244" s="72">
        <v>0.25</v>
      </c>
      <c r="C2244" s="71">
        <v>42034</v>
      </c>
      <c r="D2244" s="72">
        <v>0</v>
      </c>
    </row>
    <row r="2245" spans="1:4" x14ac:dyDescent="0.2">
      <c r="A2245" s="71">
        <v>42035</v>
      </c>
      <c r="B2245" s="72">
        <v>0.25</v>
      </c>
      <c r="C2245" s="71">
        <v>42035</v>
      </c>
      <c r="D2245" s="72">
        <v>0</v>
      </c>
    </row>
    <row r="2246" spans="1:4" x14ac:dyDescent="0.2">
      <c r="A2246" s="71">
        <v>42036</v>
      </c>
      <c r="B2246" s="72">
        <v>0.25</v>
      </c>
      <c r="C2246" s="71">
        <v>42036</v>
      </c>
      <c r="D2246" s="72">
        <v>0</v>
      </c>
    </row>
    <row r="2247" spans="1:4" x14ac:dyDescent="0.2">
      <c r="A2247" s="71">
        <v>42037</v>
      </c>
      <c r="B2247" s="72">
        <v>0.25</v>
      </c>
      <c r="C2247" s="71">
        <v>42037</v>
      </c>
      <c r="D2247" s="72">
        <v>0</v>
      </c>
    </row>
    <row r="2248" spans="1:4" x14ac:dyDescent="0.2">
      <c r="A2248" s="71">
        <v>42038</v>
      </c>
      <c r="B2248" s="72">
        <v>0.25</v>
      </c>
      <c r="C2248" s="71">
        <v>42038</v>
      </c>
      <c r="D2248" s="72">
        <v>0</v>
      </c>
    </row>
    <row r="2249" spans="1:4" x14ac:dyDescent="0.2">
      <c r="A2249" s="71">
        <v>42039</v>
      </c>
      <c r="B2249" s="72">
        <v>0.25</v>
      </c>
      <c r="C2249" s="71">
        <v>42039</v>
      </c>
      <c r="D2249" s="72">
        <v>0</v>
      </c>
    </row>
    <row r="2250" spans="1:4" x14ac:dyDescent="0.2">
      <c r="A2250" s="71">
        <v>42040</v>
      </c>
      <c r="B2250" s="72">
        <v>0.25</v>
      </c>
      <c r="C2250" s="71">
        <v>42040</v>
      </c>
      <c r="D2250" s="72">
        <v>0</v>
      </c>
    </row>
    <row r="2251" spans="1:4" x14ac:dyDescent="0.2">
      <c r="A2251" s="71">
        <v>42041</v>
      </c>
      <c r="B2251" s="72">
        <v>0.25</v>
      </c>
      <c r="C2251" s="71">
        <v>42041</v>
      </c>
      <c r="D2251" s="72">
        <v>0</v>
      </c>
    </row>
    <row r="2252" spans="1:4" x14ac:dyDescent="0.2">
      <c r="A2252" s="71">
        <v>42042</v>
      </c>
      <c r="B2252" s="72">
        <v>0.25</v>
      </c>
      <c r="C2252" s="71">
        <v>42042</v>
      </c>
      <c r="D2252" s="72">
        <v>0</v>
      </c>
    </row>
    <row r="2253" spans="1:4" x14ac:dyDescent="0.2">
      <c r="A2253" s="71">
        <v>42043</v>
      </c>
      <c r="B2253" s="72">
        <v>0.25</v>
      </c>
      <c r="C2253" s="71">
        <v>42043</v>
      </c>
      <c r="D2253" s="72">
        <v>0</v>
      </c>
    </row>
    <row r="2254" spans="1:4" x14ac:dyDescent="0.2">
      <c r="A2254" s="71">
        <v>42044</v>
      </c>
      <c r="B2254" s="72">
        <v>0.25</v>
      </c>
      <c r="C2254" s="71">
        <v>42044</v>
      </c>
      <c r="D2254" s="72">
        <v>0</v>
      </c>
    </row>
    <row r="2255" spans="1:4" x14ac:dyDescent="0.2">
      <c r="A2255" s="71">
        <v>42045</v>
      </c>
      <c r="B2255" s="72">
        <v>0.25</v>
      </c>
      <c r="C2255" s="71">
        <v>42045</v>
      </c>
      <c r="D2255" s="72">
        <v>0</v>
      </c>
    </row>
    <row r="2256" spans="1:4" x14ac:dyDescent="0.2">
      <c r="A2256" s="71">
        <v>42046</v>
      </c>
      <c r="B2256" s="72">
        <v>0.25</v>
      </c>
      <c r="C2256" s="71">
        <v>42046</v>
      </c>
      <c r="D2256" s="72">
        <v>0</v>
      </c>
    </row>
    <row r="2257" spans="1:4" x14ac:dyDescent="0.2">
      <c r="A2257" s="71">
        <v>42047</v>
      </c>
      <c r="B2257" s="72">
        <v>0.25</v>
      </c>
      <c r="C2257" s="71">
        <v>42047</v>
      </c>
      <c r="D2257" s="72">
        <v>0</v>
      </c>
    </row>
    <row r="2258" spans="1:4" x14ac:dyDescent="0.2">
      <c r="A2258" s="71">
        <v>42048</v>
      </c>
      <c r="B2258" s="72">
        <v>0.25</v>
      </c>
      <c r="C2258" s="71">
        <v>42048</v>
      </c>
      <c r="D2258" s="72">
        <v>0</v>
      </c>
    </row>
    <row r="2259" spans="1:4" x14ac:dyDescent="0.2">
      <c r="A2259" s="71">
        <v>42049</v>
      </c>
      <c r="B2259" s="72">
        <v>0.25</v>
      </c>
      <c r="C2259" s="71">
        <v>42049</v>
      </c>
      <c r="D2259" s="72">
        <v>0</v>
      </c>
    </row>
    <row r="2260" spans="1:4" x14ac:dyDescent="0.2">
      <c r="A2260" s="71">
        <v>42050</v>
      </c>
      <c r="B2260" s="72">
        <v>0.25</v>
      </c>
      <c r="C2260" s="71">
        <v>42050</v>
      </c>
      <c r="D2260" s="72">
        <v>0</v>
      </c>
    </row>
    <row r="2261" spans="1:4" x14ac:dyDescent="0.2">
      <c r="A2261" s="71">
        <v>42051</v>
      </c>
      <c r="B2261" s="72">
        <v>0.25</v>
      </c>
      <c r="C2261" s="71">
        <v>42051</v>
      </c>
      <c r="D2261" s="72">
        <v>0</v>
      </c>
    </row>
    <row r="2262" spans="1:4" x14ac:dyDescent="0.2">
      <c r="A2262" s="71">
        <v>42052</v>
      </c>
      <c r="B2262" s="72">
        <v>0.25</v>
      </c>
      <c r="C2262" s="71">
        <v>42052</v>
      </c>
      <c r="D2262" s="72">
        <v>0</v>
      </c>
    </row>
    <row r="2263" spans="1:4" x14ac:dyDescent="0.2">
      <c r="A2263" s="71">
        <v>42053</v>
      </c>
      <c r="B2263" s="72">
        <v>0.25</v>
      </c>
      <c r="C2263" s="71">
        <v>42053</v>
      </c>
      <c r="D2263" s="72">
        <v>0</v>
      </c>
    </row>
    <row r="2264" spans="1:4" x14ac:dyDescent="0.2">
      <c r="A2264" s="71">
        <v>42054</v>
      </c>
      <c r="B2264" s="72">
        <v>0.25</v>
      </c>
      <c r="C2264" s="71">
        <v>42054</v>
      </c>
      <c r="D2264" s="72">
        <v>0</v>
      </c>
    </row>
    <row r="2265" spans="1:4" x14ac:dyDescent="0.2">
      <c r="A2265" s="71">
        <v>42055</v>
      </c>
      <c r="B2265" s="72">
        <v>0.25</v>
      </c>
      <c r="C2265" s="71">
        <v>42055</v>
      </c>
      <c r="D2265" s="72">
        <v>0</v>
      </c>
    </row>
    <row r="2266" spans="1:4" x14ac:dyDescent="0.2">
      <c r="A2266" s="71">
        <v>42056</v>
      </c>
      <c r="B2266" s="72">
        <v>0.25</v>
      </c>
      <c r="C2266" s="71">
        <v>42056</v>
      </c>
      <c r="D2266" s="72">
        <v>0</v>
      </c>
    </row>
    <row r="2267" spans="1:4" x14ac:dyDescent="0.2">
      <c r="A2267" s="71">
        <v>42057</v>
      </c>
      <c r="B2267" s="72">
        <v>0.25</v>
      </c>
      <c r="C2267" s="71">
        <v>42057</v>
      </c>
      <c r="D2267" s="72">
        <v>0</v>
      </c>
    </row>
    <row r="2268" spans="1:4" x14ac:dyDescent="0.2">
      <c r="A2268" s="71">
        <v>42058</v>
      </c>
      <c r="B2268" s="72">
        <v>0.25</v>
      </c>
      <c r="C2268" s="71">
        <v>42058</v>
      </c>
      <c r="D2268" s="72">
        <v>0</v>
      </c>
    </row>
    <row r="2269" spans="1:4" x14ac:dyDescent="0.2">
      <c r="A2269" s="71">
        <v>42059</v>
      </c>
      <c r="B2269" s="72">
        <v>0.25</v>
      </c>
      <c r="C2269" s="71">
        <v>42059</v>
      </c>
      <c r="D2269" s="72">
        <v>0</v>
      </c>
    </row>
    <row r="2270" spans="1:4" x14ac:dyDescent="0.2">
      <c r="A2270" s="71">
        <v>42060</v>
      </c>
      <c r="B2270" s="72">
        <v>0.25</v>
      </c>
      <c r="C2270" s="71">
        <v>42060</v>
      </c>
      <c r="D2270" s="72">
        <v>0</v>
      </c>
    </row>
    <row r="2271" spans="1:4" x14ac:dyDescent="0.2">
      <c r="A2271" s="71">
        <v>42061</v>
      </c>
      <c r="B2271" s="72">
        <v>0.25</v>
      </c>
      <c r="C2271" s="71">
        <v>42061</v>
      </c>
      <c r="D2271" s="72">
        <v>0</v>
      </c>
    </row>
    <row r="2272" spans="1:4" x14ac:dyDescent="0.2">
      <c r="A2272" s="71">
        <v>42062</v>
      </c>
      <c r="B2272" s="72">
        <v>0.25</v>
      </c>
      <c r="C2272" s="71">
        <v>42062</v>
      </c>
      <c r="D2272" s="72">
        <v>0</v>
      </c>
    </row>
    <row r="2273" spans="1:4" x14ac:dyDescent="0.2">
      <c r="A2273" s="71">
        <v>42063</v>
      </c>
      <c r="B2273" s="72">
        <v>0.25</v>
      </c>
      <c r="C2273" s="71">
        <v>42063</v>
      </c>
      <c r="D2273" s="72">
        <v>0</v>
      </c>
    </row>
    <row r="2274" spans="1:4" x14ac:dyDescent="0.2">
      <c r="A2274" s="71">
        <v>42064</v>
      </c>
      <c r="B2274" s="72">
        <v>0.25</v>
      </c>
      <c r="C2274" s="71">
        <v>42064</v>
      </c>
      <c r="D2274" s="72">
        <v>0</v>
      </c>
    </row>
    <row r="2275" spans="1:4" x14ac:dyDescent="0.2">
      <c r="A2275" s="71">
        <v>42065</v>
      </c>
      <c r="B2275" s="72">
        <v>0.25</v>
      </c>
      <c r="C2275" s="71">
        <v>42065</v>
      </c>
      <c r="D2275" s="72">
        <v>0</v>
      </c>
    </row>
    <row r="2276" spans="1:4" x14ac:dyDescent="0.2">
      <c r="A2276" s="71">
        <v>42066</v>
      </c>
      <c r="B2276" s="72">
        <v>0.25</v>
      </c>
      <c r="C2276" s="71">
        <v>42066</v>
      </c>
      <c r="D2276" s="72">
        <v>0</v>
      </c>
    </row>
    <row r="2277" spans="1:4" x14ac:dyDescent="0.2">
      <c r="A2277" s="71">
        <v>42067</v>
      </c>
      <c r="B2277" s="72">
        <v>0.25</v>
      </c>
      <c r="C2277" s="71">
        <v>42067</v>
      </c>
      <c r="D2277" s="72">
        <v>0</v>
      </c>
    </row>
    <row r="2278" spans="1:4" x14ac:dyDescent="0.2">
      <c r="A2278" s="71">
        <v>42068</v>
      </c>
      <c r="B2278" s="72">
        <v>0.25</v>
      </c>
      <c r="C2278" s="71">
        <v>42068</v>
      </c>
      <c r="D2278" s="72">
        <v>0</v>
      </c>
    </row>
    <row r="2279" spans="1:4" x14ac:dyDescent="0.2">
      <c r="A2279" s="71">
        <v>42069</v>
      </c>
      <c r="B2279" s="72">
        <v>0.25</v>
      </c>
      <c r="C2279" s="71">
        <v>42069</v>
      </c>
      <c r="D2279" s="72">
        <v>0</v>
      </c>
    </row>
    <row r="2280" spans="1:4" x14ac:dyDescent="0.2">
      <c r="A2280" s="71">
        <v>42070</v>
      </c>
      <c r="B2280" s="72">
        <v>0.25</v>
      </c>
      <c r="C2280" s="71">
        <v>42070</v>
      </c>
      <c r="D2280" s="72">
        <v>0</v>
      </c>
    </row>
    <row r="2281" spans="1:4" x14ac:dyDescent="0.2">
      <c r="A2281" s="71">
        <v>42071</v>
      </c>
      <c r="B2281" s="72">
        <v>0.25</v>
      </c>
      <c r="C2281" s="71">
        <v>42071</v>
      </c>
      <c r="D2281" s="72">
        <v>0</v>
      </c>
    </row>
    <row r="2282" spans="1:4" x14ac:dyDescent="0.2">
      <c r="A2282" s="71">
        <v>42072</v>
      </c>
      <c r="B2282" s="72">
        <v>0.25</v>
      </c>
      <c r="C2282" s="71">
        <v>42072</v>
      </c>
      <c r="D2282" s="72">
        <v>0</v>
      </c>
    </row>
    <row r="2283" spans="1:4" x14ac:dyDescent="0.2">
      <c r="A2283" s="71">
        <v>42073</v>
      </c>
      <c r="B2283" s="72">
        <v>0.25</v>
      </c>
      <c r="C2283" s="71">
        <v>42073</v>
      </c>
      <c r="D2283" s="72">
        <v>0</v>
      </c>
    </row>
    <row r="2284" spans="1:4" x14ac:dyDescent="0.2">
      <c r="A2284" s="71">
        <v>42074</v>
      </c>
      <c r="B2284" s="72">
        <v>0.25</v>
      </c>
      <c r="C2284" s="71">
        <v>42074</v>
      </c>
      <c r="D2284" s="72">
        <v>0</v>
      </c>
    </row>
    <row r="2285" spans="1:4" x14ac:dyDescent="0.2">
      <c r="A2285" s="71">
        <v>42075</v>
      </c>
      <c r="B2285" s="72">
        <v>0.25</v>
      </c>
      <c r="C2285" s="71">
        <v>42075</v>
      </c>
      <c r="D2285" s="72">
        <v>0</v>
      </c>
    </row>
    <row r="2286" spans="1:4" x14ac:dyDescent="0.2">
      <c r="A2286" s="71">
        <v>42076</v>
      </c>
      <c r="B2286" s="72">
        <v>0.25</v>
      </c>
      <c r="C2286" s="71">
        <v>42076</v>
      </c>
      <c r="D2286" s="72">
        <v>0</v>
      </c>
    </row>
    <row r="2287" spans="1:4" x14ac:dyDescent="0.2">
      <c r="A2287" s="71">
        <v>42077</v>
      </c>
      <c r="B2287" s="72">
        <v>0.25</v>
      </c>
      <c r="C2287" s="71">
        <v>42077</v>
      </c>
      <c r="D2287" s="72">
        <v>0</v>
      </c>
    </row>
    <row r="2288" spans="1:4" x14ac:dyDescent="0.2">
      <c r="A2288" s="71">
        <v>42078</v>
      </c>
      <c r="B2288" s="72">
        <v>0.25</v>
      </c>
      <c r="C2288" s="71">
        <v>42078</v>
      </c>
      <c r="D2288" s="72">
        <v>0</v>
      </c>
    </row>
    <row r="2289" spans="1:4" x14ac:dyDescent="0.2">
      <c r="A2289" s="71">
        <v>42079</v>
      </c>
      <c r="B2289" s="72">
        <v>0.25</v>
      </c>
      <c r="C2289" s="71">
        <v>42079</v>
      </c>
      <c r="D2289" s="72">
        <v>0</v>
      </c>
    </row>
    <row r="2290" spans="1:4" x14ac:dyDescent="0.2">
      <c r="A2290" s="71">
        <v>42080</v>
      </c>
      <c r="B2290" s="72">
        <v>0.25</v>
      </c>
      <c r="C2290" s="71">
        <v>42080</v>
      </c>
      <c r="D2290" s="72">
        <v>0</v>
      </c>
    </row>
    <row r="2291" spans="1:4" x14ac:dyDescent="0.2">
      <c r="A2291" s="71">
        <v>42081</v>
      </c>
      <c r="B2291" s="72">
        <v>0.25</v>
      </c>
      <c r="C2291" s="71">
        <v>42081</v>
      </c>
      <c r="D2291" s="72">
        <v>0</v>
      </c>
    </row>
    <row r="2292" spans="1:4" x14ac:dyDescent="0.2">
      <c r="A2292" s="71">
        <v>42082</v>
      </c>
      <c r="B2292" s="72">
        <v>0.25</v>
      </c>
      <c r="C2292" s="71">
        <v>42082</v>
      </c>
      <c r="D2292" s="72">
        <v>0</v>
      </c>
    </row>
    <row r="2293" spans="1:4" x14ac:dyDescent="0.2">
      <c r="A2293" s="71">
        <v>42083</v>
      </c>
      <c r="B2293" s="72">
        <v>0.25</v>
      </c>
      <c r="C2293" s="71">
        <v>42083</v>
      </c>
      <c r="D2293" s="72">
        <v>0</v>
      </c>
    </row>
    <row r="2294" spans="1:4" x14ac:dyDescent="0.2">
      <c r="A2294" s="71">
        <v>42084</v>
      </c>
      <c r="B2294" s="72">
        <v>0.25</v>
      </c>
      <c r="C2294" s="71">
        <v>42084</v>
      </c>
      <c r="D2294" s="72">
        <v>0</v>
      </c>
    </row>
    <row r="2295" spans="1:4" x14ac:dyDescent="0.2">
      <c r="A2295" s="71">
        <v>42085</v>
      </c>
      <c r="B2295" s="72">
        <v>0.25</v>
      </c>
      <c r="C2295" s="71">
        <v>42085</v>
      </c>
      <c r="D2295" s="72">
        <v>0</v>
      </c>
    </row>
    <row r="2296" spans="1:4" x14ac:dyDescent="0.2">
      <c r="A2296" s="71">
        <v>42086</v>
      </c>
      <c r="B2296" s="72">
        <v>0.25</v>
      </c>
      <c r="C2296" s="71">
        <v>42086</v>
      </c>
      <c r="D2296" s="72">
        <v>0</v>
      </c>
    </row>
    <row r="2297" spans="1:4" x14ac:dyDescent="0.2">
      <c r="A2297" s="71">
        <v>42087</v>
      </c>
      <c r="B2297" s="72">
        <v>0.25</v>
      </c>
      <c r="C2297" s="71">
        <v>42087</v>
      </c>
      <c r="D2297" s="72">
        <v>0</v>
      </c>
    </row>
    <row r="2298" spans="1:4" x14ac:dyDescent="0.2">
      <c r="A2298" s="71">
        <v>42088</v>
      </c>
      <c r="B2298" s="72">
        <v>0.25</v>
      </c>
      <c r="C2298" s="71">
        <v>42088</v>
      </c>
      <c r="D2298" s="72">
        <v>0</v>
      </c>
    </row>
    <row r="2299" spans="1:4" x14ac:dyDescent="0.2">
      <c r="A2299" s="71">
        <v>42089</v>
      </c>
      <c r="B2299" s="72">
        <v>0.25</v>
      </c>
      <c r="C2299" s="71">
        <v>42089</v>
      </c>
      <c r="D2299" s="72">
        <v>0</v>
      </c>
    </row>
    <row r="2300" spans="1:4" x14ac:dyDescent="0.2">
      <c r="A2300" s="71">
        <v>42090</v>
      </c>
      <c r="B2300" s="72">
        <v>0.25</v>
      </c>
      <c r="C2300" s="71">
        <v>42090</v>
      </c>
      <c r="D2300" s="72">
        <v>0</v>
      </c>
    </row>
    <row r="2301" spans="1:4" x14ac:dyDescent="0.2">
      <c r="A2301" s="71">
        <v>42091</v>
      </c>
      <c r="B2301" s="72">
        <v>0.25</v>
      </c>
      <c r="C2301" s="71">
        <v>42091</v>
      </c>
      <c r="D2301" s="72">
        <v>0</v>
      </c>
    </row>
    <row r="2302" spans="1:4" x14ac:dyDescent="0.2">
      <c r="A2302" s="71">
        <v>42092</v>
      </c>
      <c r="B2302" s="72">
        <v>0.25</v>
      </c>
      <c r="C2302" s="71">
        <v>42092</v>
      </c>
      <c r="D2302" s="72">
        <v>0</v>
      </c>
    </row>
    <row r="2303" spans="1:4" x14ac:dyDescent="0.2">
      <c r="A2303" s="71">
        <v>42093</v>
      </c>
      <c r="B2303" s="72">
        <v>0.25</v>
      </c>
      <c r="C2303" s="71">
        <v>42093</v>
      </c>
      <c r="D2303" s="72">
        <v>0</v>
      </c>
    </row>
    <row r="2304" spans="1:4" x14ac:dyDescent="0.2">
      <c r="A2304" s="71">
        <v>42094</v>
      </c>
      <c r="B2304" s="72">
        <v>0.25</v>
      </c>
      <c r="C2304" s="71">
        <v>42094</v>
      </c>
      <c r="D2304" s="72">
        <v>0</v>
      </c>
    </row>
    <row r="2305" spans="1:4" x14ac:dyDescent="0.2">
      <c r="A2305" s="71">
        <v>42095</v>
      </c>
      <c r="B2305" s="72">
        <v>0.25</v>
      </c>
      <c r="C2305" s="71">
        <v>42095</v>
      </c>
      <c r="D2305" s="72">
        <v>0</v>
      </c>
    </row>
    <row r="2306" spans="1:4" x14ac:dyDescent="0.2">
      <c r="A2306" s="71">
        <v>42096</v>
      </c>
      <c r="B2306" s="72">
        <v>0.25</v>
      </c>
      <c r="C2306" s="71">
        <v>42096</v>
      </c>
      <c r="D2306" s="72">
        <v>0</v>
      </c>
    </row>
    <row r="2307" spans="1:4" x14ac:dyDescent="0.2">
      <c r="A2307" s="71">
        <v>42097</v>
      </c>
      <c r="B2307" s="72">
        <v>0.25</v>
      </c>
      <c r="C2307" s="71">
        <v>42097</v>
      </c>
      <c r="D2307" s="72">
        <v>0</v>
      </c>
    </row>
    <row r="2308" spans="1:4" x14ac:dyDescent="0.2">
      <c r="A2308" s="71">
        <v>42098</v>
      </c>
      <c r="B2308" s="72">
        <v>0.25</v>
      </c>
      <c r="C2308" s="71">
        <v>42098</v>
      </c>
      <c r="D2308" s="72">
        <v>0</v>
      </c>
    </row>
    <row r="2309" spans="1:4" x14ac:dyDescent="0.2">
      <c r="A2309" s="71">
        <v>42099</v>
      </c>
      <c r="B2309" s="72">
        <v>0.25</v>
      </c>
      <c r="C2309" s="71">
        <v>42099</v>
      </c>
      <c r="D2309" s="72">
        <v>0</v>
      </c>
    </row>
    <row r="2310" spans="1:4" x14ac:dyDescent="0.2">
      <c r="A2310" s="71">
        <v>42100</v>
      </c>
      <c r="B2310" s="72">
        <v>0.25</v>
      </c>
      <c r="C2310" s="71">
        <v>42100</v>
      </c>
      <c r="D2310" s="72">
        <v>0</v>
      </c>
    </row>
    <row r="2311" spans="1:4" x14ac:dyDescent="0.2">
      <c r="A2311" s="71">
        <v>42101</v>
      </c>
      <c r="B2311" s="72">
        <v>0.25</v>
      </c>
      <c r="C2311" s="71">
        <v>42101</v>
      </c>
      <c r="D2311" s="72">
        <v>0</v>
      </c>
    </row>
    <row r="2312" spans="1:4" x14ac:dyDescent="0.2">
      <c r="A2312" s="71">
        <v>42102</v>
      </c>
      <c r="B2312" s="72">
        <v>0.25</v>
      </c>
      <c r="C2312" s="71">
        <v>42102</v>
      </c>
      <c r="D2312" s="72">
        <v>0</v>
      </c>
    </row>
    <row r="2313" spans="1:4" x14ac:dyDescent="0.2">
      <c r="A2313" s="71">
        <v>42103</v>
      </c>
      <c r="B2313" s="72">
        <v>0.25</v>
      </c>
      <c r="C2313" s="71">
        <v>42103</v>
      </c>
      <c r="D2313" s="72">
        <v>0</v>
      </c>
    </row>
    <row r="2314" spans="1:4" x14ac:dyDescent="0.2">
      <c r="A2314" s="71">
        <v>42104</v>
      </c>
      <c r="B2314" s="72">
        <v>0.25</v>
      </c>
      <c r="C2314" s="71">
        <v>42104</v>
      </c>
      <c r="D2314" s="72">
        <v>0</v>
      </c>
    </row>
    <row r="2315" spans="1:4" x14ac:dyDescent="0.2">
      <c r="A2315" s="71">
        <v>42105</v>
      </c>
      <c r="B2315" s="72">
        <v>0.25</v>
      </c>
      <c r="C2315" s="71">
        <v>42105</v>
      </c>
      <c r="D2315" s="72">
        <v>0</v>
      </c>
    </row>
    <row r="2316" spans="1:4" x14ac:dyDescent="0.2">
      <c r="A2316" s="71">
        <v>42106</v>
      </c>
      <c r="B2316" s="72">
        <v>0.25</v>
      </c>
      <c r="C2316" s="71">
        <v>42106</v>
      </c>
      <c r="D2316" s="72">
        <v>0</v>
      </c>
    </row>
    <row r="2317" spans="1:4" x14ac:dyDescent="0.2">
      <c r="A2317" s="71">
        <v>42107</v>
      </c>
      <c r="B2317" s="72">
        <v>0.25</v>
      </c>
      <c r="C2317" s="71">
        <v>42107</v>
      </c>
      <c r="D2317" s="72">
        <v>0</v>
      </c>
    </row>
    <row r="2318" spans="1:4" x14ac:dyDescent="0.2">
      <c r="A2318" s="71">
        <v>42108</v>
      </c>
      <c r="B2318" s="72">
        <v>0.25</v>
      </c>
      <c r="C2318" s="71">
        <v>42108</v>
      </c>
      <c r="D2318" s="72">
        <v>0</v>
      </c>
    </row>
    <row r="2319" spans="1:4" x14ac:dyDescent="0.2">
      <c r="A2319" s="71">
        <v>42109</v>
      </c>
      <c r="B2319" s="72">
        <v>0.25</v>
      </c>
      <c r="C2319" s="71">
        <v>42109</v>
      </c>
      <c r="D2319" s="72">
        <v>0</v>
      </c>
    </row>
    <row r="2320" spans="1:4" x14ac:dyDescent="0.2">
      <c r="A2320" s="71">
        <v>42110</v>
      </c>
      <c r="B2320" s="72">
        <v>0.25</v>
      </c>
      <c r="C2320" s="71">
        <v>42110</v>
      </c>
      <c r="D2320" s="72">
        <v>0</v>
      </c>
    </row>
    <row r="2321" spans="1:4" x14ac:dyDescent="0.2">
      <c r="A2321" s="71">
        <v>42111</v>
      </c>
      <c r="B2321" s="72">
        <v>0.25</v>
      </c>
      <c r="C2321" s="71">
        <v>42111</v>
      </c>
      <c r="D2321" s="72">
        <v>0</v>
      </c>
    </row>
    <row r="2322" spans="1:4" x14ac:dyDescent="0.2">
      <c r="A2322" s="71">
        <v>42112</v>
      </c>
      <c r="B2322" s="72">
        <v>0.25</v>
      </c>
      <c r="C2322" s="71">
        <v>42112</v>
      </c>
      <c r="D2322" s="72">
        <v>0</v>
      </c>
    </row>
    <row r="2323" spans="1:4" x14ac:dyDescent="0.2">
      <c r="A2323" s="71">
        <v>42113</v>
      </c>
      <c r="B2323" s="72">
        <v>0.25</v>
      </c>
      <c r="C2323" s="71">
        <v>42113</v>
      </c>
      <c r="D2323" s="72">
        <v>0</v>
      </c>
    </row>
    <row r="2324" spans="1:4" x14ac:dyDescent="0.2">
      <c r="A2324" s="71">
        <v>42114</v>
      </c>
      <c r="B2324" s="72">
        <v>0.25</v>
      </c>
      <c r="C2324" s="71">
        <v>42114</v>
      </c>
      <c r="D2324" s="72">
        <v>0</v>
      </c>
    </row>
    <row r="2325" spans="1:4" x14ac:dyDescent="0.2">
      <c r="A2325" s="71">
        <v>42115</v>
      </c>
      <c r="B2325" s="72">
        <v>0.25</v>
      </c>
      <c r="C2325" s="71">
        <v>42115</v>
      </c>
      <c r="D2325" s="72">
        <v>0</v>
      </c>
    </row>
    <row r="2326" spans="1:4" x14ac:dyDescent="0.2">
      <c r="A2326" s="71">
        <v>42116</v>
      </c>
      <c r="B2326" s="72">
        <v>0.25</v>
      </c>
      <c r="C2326" s="71">
        <v>42116</v>
      </c>
      <c r="D2326" s="72">
        <v>0</v>
      </c>
    </row>
    <row r="2327" spans="1:4" x14ac:dyDescent="0.2">
      <c r="A2327" s="71">
        <v>42117</v>
      </c>
      <c r="B2327" s="72">
        <v>0.25</v>
      </c>
      <c r="C2327" s="71">
        <v>42117</v>
      </c>
      <c r="D2327" s="72">
        <v>0</v>
      </c>
    </row>
    <row r="2328" spans="1:4" x14ac:dyDescent="0.2">
      <c r="A2328" s="71">
        <v>42118</v>
      </c>
      <c r="B2328" s="72">
        <v>0.25</v>
      </c>
      <c r="C2328" s="71">
        <v>42118</v>
      </c>
      <c r="D2328" s="72">
        <v>0</v>
      </c>
    </row>
    <row r="2329" spans="1:4" x14ac:dyDescent="0.2">
      <c r="A2329" s="71">
        <v>42119</v>
      </c>
      <c r="B2329" s="72">
        <v>0.25</v>
      </c>
      <c r="C2329" s="71">
        <v>42119</v>
      </c>
      <c r="D2329" s="72">
        <v>0</v>
      </c>
    </row>
    <row r="2330" spans="1:4" x14ac:dyDescent="0.2">
      <c r="A2330" s="71">
        <v>42120</v>
      </c>
      <c r="B2330" s="72">
        <v>0.25</v>
      </c>
      <c r="C2330" s="71">
        <v>42120</v>
      </c>
      <c r="D2330" s="72">
        <v>0</v>
      </c>
    </row>
    <row r="2331" spans="1:4" x14ac:dyDescent="0.2">
      <c r="A2331" s="71">
        <v>42121</v>
      </c>
      <c r="B2331" s="72">
        <v>0.25</v>
      </c>
      <c r="C2331" s="71">
        <v>42121</v>
      </c>
      <c r="D2331" s="72">
        <v>0</v>
      </c>
    </row>
    <row r="2332" spans="1:4" x14ac:dyDescent="0.2">
      <c r="A2332" s="71">
        <v>42122</v>
      </c>
      <c r="B2332" s="72">
        <v>0.25</v>
      </c>
      <c r="C2332" s="71">
        <v>42122</v>
      </c>
      <c r="D2332" s="72">
        <v>0</v>
      </c>
    </row>
    <row r="2333" spans="1:4" x14ac:dyDescent="0.2">
      <c r="A2333" s="71">
        <v>42123</v>
      </c>
      <c r="B2333" s="72">
        <v>0.25</v>
      </c>
      <c r="C2333" s="71">
        <v>42123</v>
      </c>
      <c r="D2333" s="72">
        <v>0</v>
      </c>
    </row>
    <row r="2334" spans="1:4" x14ac:dyDescent="0.2">
      <c r="A2334" s="71">
        <v>42124</v>
      </c>
      <c r="B2334" s="72">
        <v>0.25</v>
      </c>
      <c r="C2334" s="71">
        <v>42124</v>
      </c>
      <c r="D2334" s="72">
        <v>0</v>
      </c>
    </row>
    <row r="2335" spans="1:4" x14ac:dyDescent="0.2">
      <c r="A2335" s="71">
        <v>42125</v>
      </c>
      <c r="B2335" s="72">
        <v>0.25</v>
      </c>
      <c r="C2335" s="71">
        <v>42125</v>
      </c>
      <c r="D2335" s="72">
        <v>0</v>
      </c>
    </row>
    <row r="2336" spans="1:4" x14ac:dyDescent="0.2">
      <c r="A2336" s="71">
        <v>42126</v>
      </c>
      <c r="B2336" s="72">
        <v>0.25</v>
      </c>
      <c r="C2336" s="71">
        <v>42126</v>
      </c>
      <c r="D2336" s="72">
        <v>0</v>
      </c>
    </row>
    <row r="2337" spans="1:4" x14ac:dyDescent="0.2">
      <c r="A2337" s="71">
        <v>42127</v>
      </c>
      <c r="B2337" s="72">
        <v>0.25</v>
      </c>
      <c r="C2337" s="71">
        <v>42127</v>
      </c>
      <c r="D2337" s="72">
        <v>0</v>
      </c>
    </row>
    <row r="2338" spans="1:4" x14ac:dyDescent="0.2">
      <c r="A2338" s="71">
        <v>42128</v>
      </c>
      <c r="B2338" s="72">
        <v>0.25</v>
      </c>
      <c r="C2338" s="71">
        <v>42128</v>
      </c>
      <c r="D2338" s="72">
        <v>0</v>
      </c>
    </row>
    <row r="2339" spans="1:4" x14ac:dyDescent="0.2">
      <c r="A2339" s="71">
        <v>42129</v>
      </c>
      <c r="B2339" s="72">
        <v>0.25</v>
      </c>
      <c r="C2339" s="71">
        <v>42129</v>
      </c>
      <c r="D2339" s="72">
        <v>0</v>
      </c>
    </row>
    <row r="2340" spans="1:4" x14ac:dyDescent="0.2">
      <c r="A2340" s="71">
        <v>42130</v>
      </c>
      <c r="B2340" s="72">
        <v>0.25</v>
      </c>
      <c r="C2340" s="71">
        <v>42130</v>
      </c>
      <c r="D2340" s="72">
        <v>0</v>
      </c>
    </row>
    <row r="2341" spans="1:4" x14ac:dyDescent="0.2">
      <c r="A2341" s="71">
        <v>42131</v>
      </c>
      <c r="B2341" s="72">
        <v>0.25</v>
      </c>
      <c r="C2341" s="71">
        <v>42131</v>
      </c>
      <c r="D2341" s="72">
        <v>0</v>
      </c>
    </row>
    <row r="2342" spans="1:4" x14ac:dyDescent="0.2">
      <c r="A2342" s="71">
        <v>42132</v>
      </c>
      <c r="B2342" s="72">
        <v>0.25</v>
      </c>
      <c r="C2342" s="71">
        <v>42132</v>
      </c>
      <c r="D2342" s="72">
        <v>0</v>
      </c>
    </row>
    <row r="2343" spans="1:4" x14ac:dyDescent="0.2">
      <c r="A2343" s="71">
        <v>42133</v>
      </c>
      <c r="B2343" s="72">
        <v>0.25</v>
      </c>
      <c r="C2343" s="71">
        <v>42133</v>
      </c>
      <c r="D2343" s="72">
        <v>0</v>
      </c>
    </row>
    <row r="2344" spans="1:4" x14ac:dyDescent="0.2">
      <c r="A2344" s="71">
        <v>42134</v>
      </c>
      <c r="B2344" s="72">
        <v>0.25</v>
      </c>
      <c r="C2344" s="71">
        <v>42134</v>
      </c>
      <c r="D2344" s="72">
        <v>0</v>
      </c>
    </row>
    <row r="2345" spans="1:4" x14ac:dyDescent="0.2">
      <c r="A2345" s="71">
        <v>42135</v>
      </c>
      <c r="B2345" s="72">
        <v>0.25</v>
      </c>
      <c r="C2345" s="71">
        <v>42135</v>
      </c>
      <c r="D2345" s="72">
        <v>0</v>
      </c>
    </row>
    <row r="2346" spans="1:4" x14ac:dyDescent="0.2">
      <c r="A2346" s="71">
        <v>42136</v>
      </c>
      <c r="B2346" s="72">
        <v>0.25</v>
      </c>
      <c r="C2346" s="71">
        <v>42136</v>
      </c>
      <c r="D2346" s="72">
        <v>0</v>
      </c>
    </row>
    <row r="2347" spans="1:4" x14ac:dyDescent="0.2">
      <c r="A2347" s="71">
        <v>42137</v>
      </c>
      <c r="B2347" s="72">
        <v>0.25</v>
      </c>
      <c r="C2347" s="71">
        <v>42137</v>
      </c>
      <c r="D2347" s="72">
        <v>0</v>
      </c>
    </row>
    <row r="2348" spans="1:4" x14ac:dyDescent="0.2">
      <c r="A2348" s="71">
        <v>42138</v>
      </c>
      <c r="B2348" s="72">
        <v>0.25</v>
      </c>
      <c r="C2348" s="71">
        <v>42138</v>
      </c>
      <c r="D2348" s="72">
        <v>0</v>
      </c>
    </row>
    <row r="2349" spans="1:4" x14ac:dyDescent="0.2">
      <c r="A2349" s="71">
        <v>42139</v>
      </c>
      <c r="B2349" s="72">
        <v>0.25</v>
      </c>
      <c r="C2349" s="71">
        <v>42139</v>
      </c>
      <c r="D2349" s="72">
        <v>0</v>
      </c>
    </row>
    <row r="2350" spans="1:4" x14ac:dyDescent="0.2">
      <c r="A2350" s="71">
        <v>42140</v>
      </c>
      <c r="B2350" s="72">
        <v>0.25</v>
      </c>
      <c r="C2350" s="71">
        <v>42140</v>
      </c>
      <c r="D2350" s="72">
        <v>0</v>
      </c>
    </row>
    <row r="2351" spans="1:4" x14ac:dyDescent="0.2">
      <c r="A2351" s="71">
        <v>42141</v>
      </c>
      <c r="B2351" s="72">
        <v>0.25</v>
      </c>
      <c r="C2351" s="71">
        <v>42141</v>
      </c>
      <c r="D2351" s="72">
        <v>0</v>
      </c>
    </row>
    <row r="2352" spans="1:4" x14ac:dyDescent="0.2">
      <c r="A2352" s="71">
        <v>42142</v>
      </c>
      <c r="B2352" s="72">
        <v>0.25</v>
      </c>
      <c r="C2352" s="71">
        <v>42142</v>
      </c>
      <c r="D2352" s="72">
        <v>0</v>
      </c>
    </row>
    <row r="2353" spans="1:4" x14ac:dyDescent="0.2">
      <c r="A2353" s="71">
        <v>42143</v>
      </c>
      <c r="B2353" s="72">
        <v>0.25</v>
      </c>
      <c r="C2353" s="71">
        <v>42143</v>
      </c>
      <c r="D2353" s="72">
        <v>0</v>
      </c>
    </row>
    <row r="2354" spans="1:4" x14ac:dyDescent="0.2">
      <c r="A2354" s="71">
        <v>42144</v>
      </c>
      <c r="B2354" s="72">
        <v>0.25</v>
      </c>
      <c r="C2354" s="71">
        <v>42144</v>
      </c>
      <c r="D2354" s="72">
        <v>0</v>
      </c>
    </row>
    <row r="2355" spans="1:4" x14ac:dyDescent="0.2">
      <c r="A2355" s="71">
        <v>42145</v>
      </c>
      <c r="B2355" s="72">
        <v>0.25</v>
      </c>
      <c r="C2355" s="71">
        <v>42145</v>
      </c>
      <c r="D2355" s="72">
        <v>0</v>
      </c>
    </row>
    <row r="2356" spans="1:4" x14ac:dyDescent="0.2">
      <c r="A2356" s="71">
        <v>42146</v>
      </c>
      <c r="B2356" s="72">
        <v>0.25</v>
      </c>
      <c r="C2356" s="71">
        <v>42146</v>
      </c>
      <c r="D2356" s="72">
        <v>0</v>
      </c>
    </row>
    <row r="2357" spans="1:4" x14ac:dyDescent="0.2">
      <c r="A2357" s="71">
        <v>42147</v>
      </c>
      <c r="B2357" s="72">
        <v>0.25</v>
      </c>
      <c r="C2357" s="71">
        <v>42147</v>
      </c>
      <c r="D2357" s="72">
        <v>0</v>
      </c>
    </row>
    <row r="2358" spans="1:4" x14ac:dyDescent="0.2">
      <c r="A2358" s="71">
        <v>42148</v>
      </c>
      <c r="B2358" s="72">
        <v>0.25</v>
      </c>
      <c r="C2358" s="71">
        <v>42148</v>
      </c>
      <c r="D2358" s="72">
        <v>0</v>
      </c>
    </row>
    <row r="2359" spans="1:4" x14ac:dyDescent="0.2">
      <c r="A2359" s="71">
        <v>42149</v>
      </c>
      <c r="B2359" s="72">
        <v>0.25</v>
      </c>
      <c r="C2359" s="71">
        <v>42149</v>
      </c>
      <c r="D2359" s="72">
        <v>0</v>
      </c>
    </row>
    <row r="2360" spans="1:4" x14ac:dyDescent="0.2">
      <c r="A2360" s="71">
        <v>42150</v>
      </c>
      <c r="B2360" s="72">
        <v>0.25</v>
      </c>
      <c r="C2360" s="71">
        <v>42150</v>
      </c>
      <c r="D2360" s="72">
        <v>0</v>
      </c>
    </row>
    <row r="2361" spans="1:4" x14ac:dyDescent="0.2">
      <c r="A2361" s="71">
        <v>42151</v>
      </c>
      <c r="B2361" s="72">
        <v>0.25</v>
      </c>
      <c r="C2361" s="71">
        <v>42151</v>
      </c>
      <c r="D2361" s="72">
        <v>0</v>
      </c>
    </row>
    <row r="2362" spans="1:4" x14ac:dyDescent="0.2">
      <c r="A2362" s="71">
        <v>42152</v>
      </c>
      <c r="B2362" s="72">
        <v>0.25</v>
      </c>
      <c r="C2362" s="71">
        <v>42152</v>
      </c>
      <c r="D2362" s="72">
        <v>0</v>
      </c>
    </row>
    <row r="2363" spans="1:4" x14ac:dyDescent="0.2">
      <c r="A2363" s="71">
        <v>42153</v>
      </c>
      <c r="B2363" s="72">
        <v>0.25</v>
      </c>
      <c r="C2363" s="71">
        <v>42153</v>
      </c>
      <c r="D2363" s="72">
        <v>0</v>
      </c>
    </row>
    <row r="2364" spans="1:4" x14ac:dyDescent="0.2">
      <c r="A2364" s="71">
        <v>42154</v>
      </c>
      <c r="B2364" s="72">
        <v>0.25</v>
      </c>
      <c r="C2364" s="71">
        <v>42154</v>
      </c>
      <c r="D2364" s="72">
        <v>0</v>
      </c>
    </row>
    <row r="2365" spans="1:4" x14ac:dyDescent="0.2">
      <c r="A2365" s="71">
        <v>42155</v>
      </c>
      <c r="B2365" s="72">
        <v>0.25</v>
      </c>
      <c r="C2365" s="71">
        <v>42155</v>
      </c>
      <c r="D2365" s="72">
        <v>0</v>
      </c>
    </row>
    <row r="2366" spans="1:4" x14ac:dyDescent="0.2">
      <c r="A2366" s="71">
        <v>42156</v>
      </c>
      <c r="B2366" s="72">
        <v>0.25</v>
      </c>
      <c r="C2366" s="71">
        <v>42156</v>
      </c>
      <c r="D2366" s="72">
        <v>0</v>
      </c>
    </row>
    <row r="2367" spans="1:4" x14ac:dyDescent="0.2">
      <c r="A2367" s="71">
        <v>42157</v>
      </c>
      <c r="B2367" s="72">
        <v>0.25</v>
      </c>
      <c r="C2367" s="71">
        <v>42157</v>
      </c>
      <c r="D2367" s="72">
        <v>0</v>
      </c>
    </row>
    <row r="2368" spans="1:4" x14ac:dyDescent="0.2">
      <c r="A2368" s="71">
        <v>42158</v>
      </c>
      <c r="B2368" s="72">
        <v>0.25</v>
      </c>
      <c r="C2368" s="71">
        <v>42158</v>
      </c>
      <c r="D2368" s="72">
        <v>0</v>
      </c>
    </row>
    <row r="2369" spans="1:4" x14ac:dyDescent="0.2">
      <c r="A2369" s="71">
        <v>42159</v>
      </c>
      <c r="B2369" s="72">
        <v>0.25</v>
      </c>
      <c r="C2369" s="71">
        <v>42159</v>
      </c>
      <c r="D2369" s="72">
        <v>0</v>
      </c>
    </row>
    <row r="2370" spans="1:4" x14ac:dyDescent="0.2">
      <c r="A2370" s="71">
        <v>42160</v>
      </c>
      <c r="B2370" s="72">
        <v>0.25</v>
      </c>
      <c r="C2370" s="71">
        <v>42160</v>
      </c>
      <c r="D2370" s="72">
        <v>0</v>
      </c>
    </row>
    <row r="2371" spans="1:4" x14ac:dyDescent="0.2">
      <c r="A2371" s="71">
        <v>42161</v>
      </c>
      <c r="B2371" s="72">
        <v>0.25</v>
      </c>
      <c r="C2371" s="71">
        <v>42161</v>
      </c>
      <c r="D2371" s="72">
        <v>0</v>
      </c>
    </row>
    <row r="2372" spans="1:4" x14ac:dyDescent="0.2">
      <c r="A2372" s="71">
        <v>42162</v>
      </c>
      <c r="B2372" s="72">
        <v>0.25</v>
      </c>
      <c r="C2372" s="71">
        <v>42162</v>
      </c>
      <c r="D2372" s="72">
        <v>0</v>
      </c>
    </row>
    <row r="2373" spans="1:4" x14ac:dyDescent="0.2">
      <c r="A2373" s="71">
        <v>42163</v>
      </c>
      <c r="B2373" s="72">
        <v>0.25</v>
      </c>
      <c r="C2373" s="71">
        <v>42163</v>
      </c>
      <c r="D2373" s="72">
        <v>0</v>
      </c>
    </row>
    <row r="2374" spans="1:4" x14ac:dyDescent="0.2">
      <c r="A2374" s="71">
        <v>42164</v>
      </c>
      <c r="B2374" s="72">
        <v>0.25</v>
      </c>
      <c r="C2374" s="71">
        <v>42164</v>
      </c>
      <c r="D2374" s="72">
        <v>0</v>
      </c>
    </row>
    <row r="2375" spans="1:4" x14ac:dyDescent="0.2">
      <c r="A2375" s="71">
        <v>42165</v>
      </c>
      <c r="B2375" s="72">
        <v>0.25</v>
      </c>
      <c r="C2375" s="71">
        <v>42165</v>
      </c>
      <c r="D2375" s="72">
        <v>0</v>
      </c>
    </row>
    <row r="2376" spans="1:4" x14ac:dyDescent="0.2">
      <c r="A2376" s="71">
        <v>42166</v>
      </c>
      <c r="B2376" s="72">
        <v>0.25</v>
      </c>
      <c r="C2376" s="71">
        <v>42166</v>
      </c>
      <c r="D2376" s="72">
        <v>0</v>
      </c>
    </row>
    <row r="2377" spans="1:4" x14ac:dyDescent="0.2">
      <c r="A2377" s="71">
        <v>42167</v>
      </c>
      <c r="B2377" s="72">
        <v>0.25</v>
      </c>
      <c r="C2377" s="71">
        <v>42167</v>
      </c>
      <c r="D2377" s="72">
        <v>0</v>
      </c>
    </row>
    <row r="2378" spans="1:4" x14ac:dyDescent="0.2">
      <c r="A2378" s="71">
        <v>42168</v>
      </c>
      <c r="B2378" s="72">
        <v>0.25</v>
      </c>
      <c r="C2378" s="71">
        <v>42168</v>
      </c>
      <c r="D2378" s="72">
        <v>0</v>
      </c>
    </row>
    <row r="2379" spans="1:4" x14ac:dyDescent="0.2">
      <c r="A2379" s="71">
        <v>42169</v>
      </c>
      <c r="B2379" s="72">
        <v>0.25</v>
      </c>
      <c r="C2379" s="71">
        <v>42169</v>
      </c>
      <c r="D2379" s="72">
        <v>0</v>
      </c>
    </row>
    <row r="2380" spans="1:4" x14ac:dyDescent="0.2">
      <c r="A2380" s="71">
        <v>42170</v>
      </c>
      <c r="B2380" s="72">
        <v>0.25</v>
      </c>
      <c r="C2380" s="71">
        <v>42170</v>
      </c>
      <c r="D2380" s="72">
        <v>0</v>
      </c>
    </row>
    <row r="2381" spans="1:4" x14ac:dyDescent="0.2">
      <c r="A2381" s="71">
        <v>42171</v>
      </c>
      <c r="B2381" s="72">
        <v>0.25</v>
      </c>
      <c r="C2381" s="71">
        <v>42171</v>
      </c>
      <c r="D2381" s="72">
        <v>0</v>
      </c>
    </row>
    <row r="2382" spans="1:4" x14ac:dyDescent="0.2">
      <c r="A2382" s="71">
        <v>42172</v>
      </c>
      <c r="B2382" s="72">
        <v>0.25</v>
      </c>
      <c r="C2382" s="71">
        <v>42172</v>
      </c>
      <c r="D2382" s="72">
        <v>0</v>
      </c>
    </row>
    <row r="2383" spans="1:4" x14ac:dyDescent="0.2">
      <c r="A2383" s="71">
        <v>42173</v>
      </c>
      <c r="B2383" s="72">
        <v>0.25</v>
      </c>
      <c r="C2383" s="71">
        <v>42173</v>
      </c>
      <c r="D2383" s="72">
        <v>0</v>
      </c>
    </row>
    <row r="2384" spans="1:4" x14ac:dyDescent="0.2">
      <c r="A2384" s="71">
        <v>42174</v>
      </c>
      <c r="B2384" s="72">
        <v>0.25</v>
      </c>
      <c r="C2384" s="71">
        <v>42174</v>
      </c>
      <c r="D2384" s="72">
        <v>0</v>
      </c>
    </row>
    <row r="2385" spans="1:4" x14ac:dyDescent="0.2">
      <c r="A2385" s="71">
        <v>42175</v>
      </c>
      <c r="B2385" s="72">
        <v>0.25</v>
      </c>
      <c r="C2385" s="71">
        <v>42175</v>
      </c>
      <c r="D2385" s="72">
        <v>0</v>
      </c>
    </row>
    <row r="2386" spans="1:4" x14ac:dyDescent="0.2">
      <c r="A2386" s="71">
        <v>42176</v>
      </c>
      <c r="B2386" s="72">
        <v>0.25</v>
      </c>
      <c r="C2386" s="71">
        <v>42176</v>
      </c>
      <c r="D2386" s="72">
        <v>0</v>
      </c>
    </row>
    <row r="2387" spans="1:4" x14ac:dyDescent="0.2">
      <c r="A2387" s="71">
        <v>42177</v>
      </c>
      <c r="B2387" s="72">
        <v>0.25</v>
      </c>
      <c r="C2387" s="71">
        <v>42177</v>
      </c>
      <c r="D2387" s="72">
        <v>0</v>
      </c>
    </row>
    <row r="2388" spans="1:4" x14ac:dyDescent="0.2">
      <c r="A2388" s="71">
        <v>42178</v>
      </c>
      <c r="B2388" s="72">
        <v>0.25</v>
      </c>
      <c r="C2388" s="71">
        <v>42178</v>
      </c>
      <c r="D2388" s="72">
        <v>0</v>
      </c>
    </row>
    <row r="2389" spans="1:4" x14ac:dyDescent="0.2">
      <c r="A2389" s="71">
        <v>42179</v>
      </c>
      <c r="B2389" s="72">
        <v>0.25</v>
      </c>
      <c r="C2389" s="71">
        <v>42179</v>
      </c>
      <c r="D2389" s="72">
        <v>0</v>
      </c>
    </row>
    <row r="2390" spans="1:4" x14ac:dyDescent="0.2">
      <c r="A2390" s="71">
        <v>42180</v>
      </c>
      <c r="B2390" s="72">
        <v>0.25</v>
      </c>
      <c r="C2390" s="71">
        <v>42180</v>
      </c>
      <c r="D2390" s="72">
        <v>0</v>
      </c>
    </row>
    <row r="2391" spans="1:4" x14ac:dyDescent="0.2">
      <c r="A2391" s="71">
        <v>42181</v>
      </c>
      <c r="B2391" s="72">
        <v>0.25</v>
      </c>
      <c r="C2391" s="71">
        <v>42181</v>
      </c>
      <c r="D2391" s="72">
        <v>0</v>
      </c>
    </row>
    <row r="2392" spans="1:4" x14ac:dyDescent="0.2">
      <c r="A2392" s="71">
        <v>42182</v>
      </c>
      <c r="B2392" s="72">
        <v>0.25</v>
      </c>
      <c r="C2392" s="71">
        <v>42182</v>
      </c>
      <c r="D2392" s="72">
        <v>0</v>
      </c>
    </row>
    <row r="2393" spans="1:4" x14ac:dyDescent="0.2">
      <c r="A2393" s="71">
        <v>42183</v>
      </c>
      <c r="B2393" s="72">
        <v>0.25</v>
      </c>
      <c r="C2393" s="71">
        <v>42183</v>
      </c>
      <c r="D2393" s="72">
        <v>0</v>
      </c>
    </row>
    <row r="2394" spans="1:4" x14ac:dyDescent="0.2">
      <c r="A2394" s="71">
        <v>42184</v>
      </c>
      <c r="B2394" s="72">
        <v>0.25</v>
      </c>
      <c r="C2394" s="71">
        <v>42184</v>
      </c>
      <c r="D2394" s="72">
        <v>0</v>
      </c>
    </row>
    <row r="2395" spans="1:4" x14ac:dyDescent="0.2">
      <c r="A2395" s="71">
        <v>42185</v>
      </c>
      <c r="B2395" s="72">
        <v>0.25</v>
      </c>
      <c r="C2395" s="71">
        <v>42185</v>
      </c>
      <c r="D2395" s="72">
        <v>0</v>
      </c>
    </row>
    <row r="2396" spans="1:4" x14ac:dyDescent="0.2">
      <c r="A2396" s="71">
        <v>42186</v>
      </c>
      <c r="B2396" s="72">
        <v>0.25</v>
      </c>
      <c r="C2396" s="71">
        <v>42186</v>
      </c>
      <c r="D2396" s="72">
        <v>0</v>
      </c>
    </row>
    <row r="2397" spans="1:4" x14ac:dyDescent="0.2">
      <c r="A2397" s="71">
        <v>42187</v>
      </c>
      <c r="B2397" s="72">
        <v>0.25</v>
      </c>
      <c r="C2397" s="71">
        <v>42187</v>
      </c>
      <c r="D2397" s="72">
        <v>0</v>
      </c>
    </row>
    <row r="2398" spans="1:4" x14ac:dyDescent="0.2">
      <c r="A2398" s="71">
        <v>42188</v>
      </c>
      <c r="B2398" s="72">
        <v>0.25</v>
      </c>
      <c r="C2398" s="71">
        <v>42188</v>
      </c>
      <c r="D2398" s="72">
        <v>0</v>
      </c>
    </row>
    <row r="2399" spans="1:4" x14ac:dyDescent="0.2">
      <c r="A2399" s="71">
        <v>42189</v>
      </c>
      <c r="B2399" s="72">
        <v>0.25</v>
      </c>
      <c r="C2399" s="71">
        <v>42189</v>
      </c>
      <c r="D2399" s="72">
        <v>0</v>
      </c>
    </row>
    <row r="2400" spans="1:4" x14ac:dyDescent="0.2">
      <c r="A2400" s="71">
        <v>42190</v>
      </c>
      <c r="B2400" s="72">
        <v>0.25</v>
      </c>
      <c r="C2400" s="71">
        <v>42190</v>
      </c>
      <c r="D2400" s="72">
        <v>0</v>
      </c>
    </row>
    <row r="2401" spans="1:4" x14ac:dyDescent="0.2">
      <c r="A2401" s="71">
        <v>42191</v>
      </c>
      <c r="B2401" s="72">
        <v>0.25</v>
      </c>
      <c r="C2401" s="71">
        <v>42191</v>
      </c>
      <c r="D2401" s="72">
        <v>0</v>
      </c>
    </row>
    <row r="2402" spans="1:4" x14ac:dyDescent="0.2">
      <c r="A2402" s="71">
        <v>42192</v>
      </c>
      <c r="B2402" s="72">
        <v>0.25</v>
      </c>
      <c r="C2402" s="71">
        <v>42192</v>
      </c>
      <c r="D2402" s="72">
        <v>0</v>
      </c>
    </row>
    <row r="2403" spans="1:4" x14ac:dyDescent="0.2">
      <c r="A2403" s="71">
        <v>42193</v>
      </c>
      <c r="B2403" s="72">
        <v>0.25</v>
      </c>
      <c r="C2403" s="71">
        <v>42193</v>
      </c>
      <c r="D2403" s="72">
        <v>0</v>
      </c>
    </row>
    <row r="2404" spans="1:4" x14ac:dyDescent="0.2">
      <c r="A2404" s="71">
        <v>42194</v>
      </c>
      <c r="B2404" s="72">
        <v>0.25</v>
      </c>
      <c r="C2404" s="71">
        <v>42194</v>
      </c>
      <c r="D2404" s="72">
        <v>0</v>
      </c>
    </row>
    <row r="2405" spans="1:4" x14ac:dyDescent="0.2">
      <c r="A2405" s="71">
        <v>42195</v>
      </c>
      <c r="B2405" s="72">
        <v>0.25</v>
      </c>
      <c r="C2405" s="71">
        <v>42195</v>
      </c>
      <c r="D2405" s="72">
        <v>0</v>
      </c>
    </row>
    <row r="2406" spans="1:4" x14ac:dyDescent="0.2">
      <c r="A2406" s="71">
        <v>42196</v>
      </c>
      <c r="B2406" s="72">
        <v>0.25</v>
      </c>
      <c r="C2406" s="71">
        <v>42196</v>
      </c>
      <c r="D2406" s="72">
        <v>0</v>
      </c>
    </row>
    <row r="2407" spans="1:4" x14ac:dyDescent="0.2">
      <c r="A2407" s="71">
        <v>42197</v>
      </c>
      <c r="B2407" s="72">
        <v>0.25</v>
      </c>
      <c r="C2407" s="71">
        <v>42197</v>
      </c>
      <c r="D2407" s="72">
        <v>0</v>
      </c>
    </row>
    <row r="2408" spans="1:4" x14ac:dyDescent="0.2">
      <c r="A2408" s="71">
        <v>42198</v>
      </c>
      <c r="B2408" s="72">
        <v>0.25</v>
      </c>
      <c r="C2408" s="71">
        <v>42198</v>
      </c>
      <c r="D2408" s="72">
        <v>0</v>
      </c>
    </row>
    <row r="2409" spans="1:4" x14ac:dyDescent="0.2">
      <c r="A2409" s="71">
        <v>42199</v>
      </c>
      <c r="B2409" s="72">
        <v>0.25</v>
      </c>
      <c r="C2409" s="71">
        <v>42199</v>
      </c>
      <c r="D2409" s="72">
        <v>0</v>
      </c>
    </row>
    <row r="2410" spans="1:4" x14ac:dyDescent="0.2">
      <c r="A2410" s="71">
        <v>42200</v>
      </c>
      <c r="B2410" s="72">
        <v>0.25</v>
      </c>
      <c r="C2410" s="71">
        <v>42200</v>
      </c>
      <c r="D2410" s="72">
        <v>0</v>
      </c>
    </row>
    <row r="2411" spans="1:4" x14ac:dyDescent="0.2">
      <c r="A2411" s="71">
        <v>42201</v>
      </c>
      <c r="B2411" s="72">
        <v>0.25</v>
      </c>
      <c r="C2411" s="71">
        <v>42201</v>
      </c>
      <c r="D2411" s="72">
        <v>0</v>
      </c>
    </row>
    <row r="2412" spans="1:4" x14ac:dyDescent="0.2">
      <c r="A2412" s="71">
        <v>42202</v>
      </c>
      <c r="B2412" s="72">
        <v>0.25</v>
      </c>
      <c r="C2412" s="71">
        <v>42202</v>
      </c>
      <c r="D2412" s="72">
        <v>0</v>
      </c>
    </row>
    <row r="2413" spans="1:4" x14ac:dyDescent="0.2">
      <c r="A2413" s="71">
        <v>42203</v>
      </c>
      <c r="B2413" s="72">
        <v>0.25</v>
      </c>
      <c r="C2413" s="71">
        <v>42203</v>
      </c>
      <c r="D2413" s="72">
        <v>0</v>
      </c>
    </row>
    <row r="2414" spans="1:4" x14ac:dyDescent="0.2">
      <c r="A2414" s="71">
        <v>42204</v>
      </c>
      <c r="B2414" s="72">
        <v>0.25</v>
      </c>
      <c r="C2414" s="71">
        <v>42204</v>
      </c>
      <c r="D2414" s="72">
        <v>0</v>
      </c>
    </row>
    <row r="2415" spans="1:4" x14ac:dyDescent="0.2">
      <c r="A2415" s="71">
        <v>42205</v>
      </c>
      <c r="B2415" s="72">
        <v>0.25</v>
      </c>
      <c r="C2415" s="71">
        <v>42205</v>
      </c>
      <c r="D2415" s="72">
        <v>0</v>
      </c>
    </row>
    <row r="2416" spans="1:4" x14ac:dyDescent="0.2">
      <c r="A2416" s="71">
        <v>42206</v>
      </c>
      <c r="B2416" s="72">
        <v>0.25</v>
      </c>
      <c r="C2416" s="71">
        <v>42206</v>
      </c>
      <c r="D2416" s="72">
        <v>0</v>
      </c>
    </row>
    <row r="2417" spans="1:4" x14ac:dyDescent="0.2">
      <c r="A2417" s="71">
        <v>42207</v>
      </c>
      <c r="B2417" s="72">
        <v>0.25</v>
      </c>
      <c r="C2417" s="71">
        <v>42207</v>
      </c>
      <c r="D2417" s="72">
        <v>0</v>
      </c>
    </row>
    <row r="2418" spans="1:4" x14ac:dyDescent="0.2">
      <c r="A2418" s="71">
        <v>42208</v>
      </c>
      <c r="B2418" s="72">
        <v>0.25</v>
      </c>
      <c r="C2418" s="71">
        <v>42208</v>
      </c>
      <c r="D2418" s="72">
        <v>0</v>
      </c>
    </row>
    <row r="2419" spans="1:4" x14ac:dyDescent="0.2">
      <c r="A2419" s="71">
        <v>42209</v>
      </c>
      <c r="B2419" s="72">
        <v>0.25</v>
      </c>
      <c r="C2419" s="71">
        <v>42209</v>
      </c>
      <c r="D2419" s="72">
        <v>0</v>
      </c>
    </row>
    <row r="2420" spans="1:4" x14ac:dyDescent="0.2">
      <c r="A2420" s="71">
        <v>42210</v>
      </c>
      <c r="B2420" s="72">
        <v>0.25</v>
      </c>
      <c r="C2420" s="71">
        <v>42210</v>
      </c>
      <c r="D2420" s="72">
        <v>0</v>
      </c>
    </row>
    <row r="2421" spans="1:4" x14ac:dyDescent="0.2">
      <c r="A2421" s="71">
        <v>42211</v>
      </c>
      <c r="B2421" s="72">
        <v>0.25</v>
      </c>
      <c r="C2421" s="71">
        <v>42211</v>
      </c>
      <c r="D2421" s="72">
        <v>0</v>
      </c>
    </row>
    <row r="2422" spans="1:4" x14ac:dyDescent="0.2">
      <c r="A2422" s="71">
        <v>42212</v>
      </c>
      <c r="B2422" s="72">
        <v>0.25</v>
      </c>
      <c r="C2422" s="71">
        <v>42212</v>
      </c>
      <c r="D2422" s="72">
        <v>0</v>
      </c>
    </row>
    <row r="2423" spans="1:4" x14ac:dyDescent="0.2">
      <c r="A2423" s="71">
        <v>42213</v>
      </c>
      <c r="B2423" s="72">
        <v>0.25</v>
      </c>
      <c r="C2423" s="71">
        <v>42213</v>
      </c>
      <c r="D2423" s="72">
        <v>0</v>
      </c>
    </row>
    <row r="2424" spans="1:4" x14ac:dyDescent="0.2">
      <c r="A2424" s="71">
        <v>42214</v>
      </c>
      <c r="B2424" s="72">
        <v>0.25</v>
      </c>
      <c r="C2424" s="71">
        <v>42214</v>
      </c>
      <c r="D2424" s="72">
        <v>0</v>
      </c>
    </row>
    <row r="2425" spans="1:4" x14ac:dyDescent="0.2">
      <c r="A2425" s="71">
        <v>42215</v>
      </c>
      <c r="B2425" s="72">
        <v>0.25</v>
      </c>
      <c r="C2425" s="71">
        <v>42215</v>
      </c>
      <c r="D2425" s="72">
        <v>0</v>
      </c>
    </row>
    <row r="2426" spans="1:4" x14ac:dyDescent="0.2">
      <c r="A2426" s="71">
        <v>42216</v>
      </c>
      <c r="B2426" s="72">
        <v>0.25</v>
      </c>
      <c r="C2426" s="71">
        <v>42216</v>
      </c>
      <c r="D2426" s="72">
        <v>0</v>
      </c>
    </row>
    <row r="2427" spans="1:4" x14ac:dyDescent="0.2">
      <c r="A2427" s="71">
        <v>42217</v>
      </c>
      <c r="B2427" s="72">
        <v>0.25</v>
      </c>
      <c r="C2427" s="71">
        <v>42217</v>
      </c>
      <c r="D2427" s="72">
        <v>0</v>
      </c>
    </row>
    <row r="2428" spans="1:4" x14ac:dyDescent="0.2">
      <c r="A2428" s="71">
        <v>42218</v>
      </c>
      <c r="B2428" s="72">
        <v>0.25</v>
      </c>
      <c r="C2428" s="71">
        <v>42218</v>
      </c>
      <c r="D2428" s="72">
        <v>0</v>
      </c>
    </row>
    <row r="2429" spans="1:4" x14ac:dyDescent="0.2">
      <c r="A2429" s="71">
        <v>42219</v>
      </c>
      <c r="B2429" s="72">
        <v>0.25</v>
      </c>
      <c r="C2429" s="71">
        <v>42219</v>
      </c>
      <c r="D2429" s="72">
        <v>0</v>
      </c>
    </row>
    <row r="2430" spans="1:4" x14ac:dyDescent="0.2">
      <c r="A2430" s="71">
        <v>42220</v>
      </c>
      <c r="B2430" s="72">
        <v>0.25</v>
      </c>
      <c r="C2430" s="71">
        <v>42220</v>
      </c>
      <c r="D2430" s="72">
        <v>0</v>
      </c>
    </row>
    <row r="2431" spans="1:4" x14ac:dyDescent="0.2">
      <c r="A2431" s="71">
        <v>42221</v>
      </c>
      <c r="B2431" s="72">
        <v>0.25</v>
      </c>
      <c r="C2431" s="71">
        <v>42221</v>
      </c>
      <c r="D2431" s="72">
        <v>0</v>
      </c>
    </row>
    <row r="2432" spans="1:4" x14ac:dyDescent="0.2">
      <c r="A2432" s="71">
        <v>42222</v>
      </c>
      <c r="B2432" s="72">
        <v>0.25</v>
      </c>
      <c r="C2432" s="71">
        <v>42222</v>
      </c>
      <c r="D2432" s="72">
        <v>0</v>
      </c>
    </row>
    <row r="2433" spans="1:4" x14ac:dyDescent="0.2">
      <c r="A2433" s="71">
        <v>42223</v>
      </c>
      <c r="B2433" s="72">
        <v>0.25</v>
      </c>
      <c r="C2433" s="71">
        <v>42223</v>
      </c>
      <c r="D2433" s="72">
        <v>0</v>
      </c>
    </row>
    <row r="2434" spans="1:4" x14ac:dyDescent="0.2">
      <c r="A2434" s="71">
        <v>42224</v>
      </c>
      <c r="B2434" s="72">
        <v>0.25</v>
      </c>
      <c r="C2434" s="71">
        <v>42224</v>
      </c>
      <c r="D2434" s="72">
        <v>0</v>
      </c>
    </row>
    <row r="2435" spans="1:4" x14ac:dyDescent="0.2">
      <c r="A2435" s="71">
        <v>42225</v>
      </c>
      <c r="B2435" s="72">
        <v>0.25</v>
      </c>
      <c r="C2435" s="71">
        <v>42225</v>
      </c>
      <c r="D2435" s="72">
        <v>0</v>
      </c>
    </row>
    <row r="2436" spans="1:4" x14ac:dyDescent="0.2">
      <c r="A2436" s="71">
        <v>42226</v>
      </c>
      <c r="B2436" s="72">
        <v>0.25</v>
      </c>
      <c r="C2436" s="71">
        <v>42226</v>
      </c>
      <c r="D2436" s="72">
        <v>0</v>
      </c>
    </row>
    <row r="2437" spans="1:4" x14ac:dyDescent="0.2">
      <c r="A2437" s="71">
        <v>42227</v>
      </c>
      <c r="B2437" s="72">
        <v>0.25</v>
      </c>
      <c r="C2437" s="71">
        <v>42227</v>
      </c>
      <c r="D2437" s="72">
        <v>0</v>
      </c>
    </row>
    <row r="2438" spans="1:4" x14ac:dyDescent="0.2">
      <c r="A2438" s="71">
        <v>42228</v>
      </c>
      <c r="B2438" s="72">
        <v>0.25</v>
      </c>
      <c r="C2438" s="71">
        <v>42228</v>
      </c>
      <c r="D2438" s="72">
        <v>0</v>
      </c>
    </row>
    <row r="2439" spans="1:4" x14ac:dyDescent="0.2">
      <c r="A2439" s="71">
        <v>42229</v>
      </c>
      <c r="B2439" s="72">
        <v>0.25</v>
      </c>
      <c r="C2439" s="71">
        <v>42229</v>
      </c>
      <c r="D2439" s="72">
        <v>0</v>
      </c>
    </row>
    <row r="2440" spans="1:4" x14ac:dyDescent="0.2">
      <c r="A2440" s="71">
        <v>42230</v>
      </c>
      <c r="B2440" s="72">
        <v>0.25</v>
      </c>
      <c r="C2440" s="71">
        <v>42230</v>
      </c>
      <c r="D2440" s="72">
        <v>0</v>
      </c>
    </row>
    <row r="2441" spans="1:4" x14ac:dyDescent="0.2">
      <c r="A2441" s="71">
        <v>42231</v>
      </c>
      <c r="B2441" s="72">
        <v>0.25</v>
      </c>
      <c r="C2441" s="71">
        <v>42231</v>
      </c>
      <c r="D2441" s="72">
        <v>0</v>
      </c>
    </row>
    <row r="2442" spans="1:4" x14ac:dyDescent="0.2">
      <c r="A2442" s="71">
        <v>42232</v>
      </c>
      <c r="B2442" s="72">
        <v>0.25</v>
      </c>
      <c r="C2442" s="71">
        <v>42232</v>
      </c>
      <c r="D2442" s="72">
        <v>0</v>
      </c>
    </row>
    <row r="2443" spans="1:4" x14ac:dyDescent="0.2">
      <c r="A2443" s="71">
        <v>42233</v>
      </c>
      <c r="B2443" s="72">
        <v>0.25</v>
      </c>
      <c r="C2443" s="71">
        <v>42233</v>
      </c>
      <c r="D2443" s="72">
        <v>0</v>
      </c>
    </row>
    <row r="2444" spans="1:4" x14ac:dyDescent="0.2">
      <c r="A2444" s="71">
        <v>42234</v>
      </c>
      <c r="B2444" s="72">
        <v>0.25</v>
      </c>
      <c r="C2444" s="71">
        <v>42234</v>
      </c>
      <c r="D2444" s="72">
        <v>0</v>
      </c>
    </row>
    <row r="2445" spans="1:4" x14ac:dyDescent="0.2">
      <c r="A2445" s="71">
        <v>42235</v>
      </c>
      <c r="B2445" s="72">
        <v>0.25</v>
      </c>
      <c r="C2445" s="71">
        <v>42235</v>
      </c>
      <c r="D2445" s="72">
        <v>0</v>
      </c>
    </row>
    <row r="2446" spans="1:4" x14ac:dyDescent="0.2">
      <c r="A2446" s="71">
        <v>42236</v>
      </c>
      <c r="B2446" s="72">
        <v>0.25</v>
      </c>
      <c r="C2446" s="71">
        <v>42236</v>
      </c>
      <c r="D2446" s="72">
        <v>0</v>
      </c>
    </row>
    <row r="2447" spans="1:4" x14ac:dyDescent="0.2">
      <c r="A2447" s="71">
        <v>42237</v>
      </c>
      <c r="B2447" s="72">
        <v>0.25</v>
      </c>
      <c r="C2447" s="71">
        <v>42237</v>
      </c>
      <c r="D2447" s="72">
        <v>0</v>
      </c>
    </row>
    <row r="2448" spans="1:4" x14ac:dyDescent="0.2">
      <c r="A2448" s="71">
        <v>42238</v>
      </c>
      <c r="B2448" s="72">
        <v>0.25</v>
      </c>
      <c r="C2448" s="71">
        <v>42238</v>
      </c>
      <c r="D2448" s="72">
        <v>0</v>
      </c>
    </row>
    <row r="2449" spans="1:4" x14ac:dyDescent="0.2">
      <c r="A2449" s="71">
        <v>42239</v>
      </c>
      <c r="B2449" s="72">
        <v>0.25</v>
      </c>
      <c r="C2449" s="71">
        <v>42239</v>
      </c>
      <c r="D2449" s="72">
        <v>0</v>
      </c>
    </row>
    <row r="2450" spans="1:4" x14ac:dyDescent="0.2">
      <c r="A2450" s="71">
        <v>42240</v>
      </c>
      <c r="B2450" s="72">
        <v>0.25</v>
      </c>
      <c r="C2450" s="71">
        <v>42240</v>
      </c>
      <c r="D2450" s="72">
        <v>0</v>
      </c>
    </row>
    <row r="2451" spans="1:4" x14ac:dyDescent="0.2">
      <c r="A2451" s="71">
        <v>42241</v>
      </c>
      <c r="B2451" s="72">
        <v>0.25</v>
      </c>
      <c r="C2451" s="71">
        <v>42241</v>
      </c>
      <c r="D2451" s="72">
        <v>0</v>
      </c>
    </row>
    <row r="2452" spans="1:4" x14ac:dyDescent="0.2">
      <c r="A2452" s="71">
        <v>42242</v>
      </c>
      <c r="B2452" s="72">
        <v>0.25</v>
      </c>
      <c r="C2452" s="71">
        <v>42242</v>
      </c>
      <c r="D2452" s="72">
        <v>0</v>
      </c>
    </row>
    <row r="2453" spans="1:4" x14ac:dyDescent="0.2">
      <c r="A2453" s="71">
        <v>42243</v>
      </c>
      <c r="B2453" s="72">
        <v>0.25</v>
      </c>
      <c r="C2453" s="71">
        <v>42243</v>
      </c>
      <c r="D2453" s="72">
        <v>0</v>
      </c>
    </row>
    <row r="2454" spans="1:4" x14ac:dyDescent="0.2">
      <c r="A2454" s="71">
        <v>42244</v>
      </c>
      <c r="B2454" s="72">
        <v>0.25</v>
      </c>
      <c r="C2454" s="71">
        <v>42244</v>
      </c>
      <c r="D2454" s="72">
        <v>0</v>
      </c>
    </row>
    <row r="2455" spans="1:4" x14ac:dyDescent="0.2">
      <c r="A2455" s="71">
        <v>42245</v>
      </c>
      <c r="B2455" s="72">
        <v>0.25</v>
      </c>
      <c r="C2455" s="71">
        <v>42245</v>
      </c>
      <c r="D2455" s="72">
        <v>0</v>
      </c>
    </row>
    <row r="2456" spans="1:4" x14ac:dyDescent="0.2">
      <c r="A2456" s="71">
        <v>42246</v>
      </c>
      <c r="B2456" s="72">
        <v>0.25</v>
      </c>
      <c r="C2456" s="71">
        <v>42246</v>
      </c>
      <c r="D2456" s="72">
        <v>0</v>
      </c>
    </row>
    <row r="2457" spans="1:4" x14ac:dyDescent="0.2">
      <c r="A2457" s="71">
        <v>42247</v>
      </c>
      <c r="B2457" s="72">
        <v>0.25</v>
      </c>
      <c r="C2457" s="71">
        <v>42247</v>
      </c>
      <c r="D2457" s="72">
        <v>0</v>
      </c>
    </row>
    <row r="2458" spans="1:4" x14ac:dyDescent="0.2">
      <c r="A2458" s="71">
        <v>42248</v>
      </c>
      <c r="B2458" s="72">
        <v>0.25</v>
      </c>
      <c r="C2458" s="71">
        <v>42248</v>
      </c>
      <c r="D2458" s="72">
        <v>0</v>
      </c>
    </row>
    <row r="2459" spans="1:4" x14ac:dyDescent="0.2">
      <c r="A2459" s="71">
        <v>42249</v>
      </c>
      <c r="B2459" s="72">
        <v>0.25</v>
      </c>
      <c r="C2459" s="71">
        <v>42249</v>
      </c>
      <c r="D2459" s="72">
        <v>0</v>
      </c>
    </row>
    <row r="2460" spans="1:4" x14ac:dyDescent="0.2">
      <c r="A2460" s="71">
        <v>42250</v>
      </c>
      <c r="B2460" s="72">
        <v>0.25</v>
      </c>
      <c r="C2460" s="71">
        <v>42250</v>
      </c>
      <c r="D2460" s="72">
        <v>0</v>
      </c>
    </row>
    <row r="2461" spans="1:4" x14ac:dyDescent="0.2">
      <c r="A2461" s="71">
        <v>42251</v>
      </c>
      <c r="B2461" s="72">
        <v>0.25</v>
      </c>
      <c r="C2461" s="71">
        <v>42251</v>
      </c>
      <c r="D2461" s="72">
        <v>0</v>
      </c>
    </row>
    <row r="2462" spans="1:4" x14ac:dyDescent="0.2">
      <c r="A2462" s="71">
        <v>42252</v>
      </c>
      <c r="B2462" s="72">
        <v>0.25</v>
      </c>
      <c r="C2462" s="71">
        <v>42252</v>
      </c>
      <c r="D2462" s="72">
        <v>0</v>
      </c>
    </row>
    <row r="2463" spans="1:4" x14ac:dyDescent="0.2">
      <c r="A2463" s="71">
        <v>42253</v>
      </c>
      <c r="B2463" s="72">
        <v>0.25</v>
      </c>
      <c r="C2463" s="71">
        <v>42253</v>
      </c>
      <c r="D2463" s="72">
        <v>0</v>
      </c>
    </row>
    <row r="2464" spans="1:4" x14ac:dyDescent="0.2">
      <c r="A2464" s="71">
        <v>42254</v>
      </c>
      <c r="B2464" s="72">
        <v>0.25</v>
      </c>
      <c r="C2464" s="71">
        <v>42254</v>
      </c>
      <c r="D2464" s="72">
        <v>0</v>
      </c>
    </row>
    <row r="2465" spans="1:4" x14ac:dyDescent="0.2">
      <c r="A2465" s="71">
        <v>42255</v>
      </c>
      <c r="B2465" s="72">
        <v>0.25</v>
      </c>
      <c r="C2465" s="71">
        <v>42255</v>
      </c>
      <c r="D2465" s="72">
        <v>0</v>
      </c>
    </row>
    <row r="2466" spans="1:4" x14ac:dyDescent="0.2">
      <c r="A2466" s="71">
        <v>42256</v>
      </c>
      <c r="B2466" s="72">
        <v>0.25</v>
      </c>
      <c r="C2466" s="71">
        <v>42256</v>
      </c>
      <c r="D2466" s="72">
        <v>0</v>
      </c>
    </row>
    <row r="2467" spans="1:4" x14ac:dyDescent="0.2">
      <c r="A2467" s="71">
        <v>42257</v>
      </c>
      <c r="B2467" s="72">
        <v>0.25</v>
      </c>
      <c r="C2467" s="71">
        <v>42257</v>
      </c>
      <c r="D2467" s="72">
        <v>0</v>
      </c>
    </row>
    <row r="2468" spans="1:4" x14ac:dyDescent="0.2">
      <c r="A2468" s="71">
        <v>42258</v>
      </c>
      <c r="B2468" s="72">
        <v>0.25</v>
      </c>
      <c r="C2468" s="71">
        <v>42258</v>
      </c>
      <c r="D2468" s="72">
        <v>0</v>
      </c>
    </row>
    <row r="2469" spans="1:4" x14ac:dyDescent="0.2">
      <c r="A2469" s="71">
        <v>42259</v>
      </c>
      <c r="B2469" s="72">
        <v>0.25</v>
      </c>
      <c r="C2469" s="71">
        <v>42259</v>
      </c>
      <c r="D2469" s="72">
        <v>0</v>
      </c>
    </row>
    <row r="2470" spans="1:4" x14ac:dyDescent="0.2">
      <c r="A2470" s="71">
        <v>42260</v>
      </c>
      <c r="B2470" s="72">
        <v>0.25</v>
      </c>
      <c r="C2470" s="71">
        <v>42260</v>
      </c>
      <c r="D2470" s="72">
        <v>0</v>
      </c>
    </row>
    <row r="2471" spans="1:4" x14ac:dyDescent="0.2">
      <c r="A2471" s="71">
        <v>42261</v>
      </c>
      <c r="B2471" s="72">
        <v>0.25</v>
      </c>
      <c r="C2471" s="71">
        <v>42261</v>
      </c>
      <c r="D2471" s="72">
        <v>0</v>
      </c>
    </row>
    <row r="2472" spans="1:4" x14ac:dyDescent="0.2">
      <c r="A2472" s="71">
        <v>42262</v>
      </c>
      <c r="B2472" s="72">
        <v>0.25</v>
      </c>
      <c r="C2472" s="71">
        <v>42262</v>
      </c>
      <c r="D2472" s="72">
        <v>0</v>
      </c>
    </row>
    <row r="2473" spans="1:4" x14ac:dyDescent="0.2">
      <c r="A2473" s="71">
        <v>42263</v>
      </c>
      <c r="B2473" s="72">
        <v>0.25</v>
      </c>
      <c r="C2473" s="71">
        <v>42263</v>
      </c>
      <c r="D2473" s="72">
        <v>0</v>
      </c>
    </row>
    <row r="2474" spans="1:4" x14ac:dyDescent="0.2">
      <c r="A2474" s="71">
        <v>42264</v>
      </c>
      <c r="B2474" s="72">
        <v>0.25</v>
      </c>
      <c r="C2474" s="71">
        <v>42264</v>
      </c>
      <c r="D2474" s="72">
        <v>0</v>
      </c>
    </row>
    <row r="2475" spans="1:4" x14ac:dyDescent="0.2">
      <c r="A2475" s="71">
        <v>42265</v>
      </c>
      <c r="B2475" s="72">
        <v>0.25</v>
      </c>
      <c r="C2475" s="71">
        <v>42265</v>
      </c>
      <c r="D2475" s="72">
        <v>0</v>
      </c>
    </row>
    <row r="2476" spans="1:4" x14ac:dyDescent="0.2">
      <c r="A2476" s="71">
        <v>42266</v>
      </c>
      <c r="B2476" s="72">
        <v>0.25</v>
      </c>
      <c r="C2476" s="71">
        <v>42266</v>
      </c>
      <c r="D2476" s="72">
        <v>0</v>
      </c>
    </row>
    <row r="2477" spans="1:4" x14ac:dyDescent="0.2">
      <c r="A2477" s="71">
        <v>42267</v>
      </c>
      <c r="B2477" s="72">
        <v>0.25</v>
      </c>
      <c r="C2477" s="71">
        <v>42267</v>
      </c>
      <c r="D2477" s="72">
        <v>0</v>
      </c>
    </row>
    <row r="2478" spans="1:4" x14ac:dyDescent="0.2">
      <c r="A2478" s="71">
        <v>42268</v>
      </c>
      <c r="B2478" s="72">
        <v>0.25</v>
      </c>
      <c r="C2478" s="71">
        <v>42268</v>
      </c>
      <c r="D2478" s="72">
        <v>0</v>
      </c>
    </row>
    <row r="2479" spans="1:4" x14ac:dyDescent="0.2">
      <c r="A2479" s="71">
        <v>42269</v>
      </c>
      <c r="B2479" s="72">
        <v>0.25</v>
      </c>
      <c r="C2479" s="71">
        <v>42269</v>
      </c>
      <c r="D2479" s="72">
        <v>0</v>
      </c>
    </row>
    <row r="2480" spans="1:4" x14ac:dyDescent="0.2">
      <c r="A2480" s="71">
        <v>42270</v>
      </c>
      <c r="B2480" s="72">
        <v>0.25</v>
      </c>
      <c r="C2480" s="71">
        <v>42270</v>
      </c>
      <c r="D2480" s="72">
        <v>0</v>
      </c>
    </row>
    <row r="2481" spans="1:4" x14ac:dyDescent="0.2">
      <c r="A2481" s="71">
        <v>42271</v>
      </c>
      <c r="B2481" s="72">
        <v>0.25</v>
      </c>
      <c r="C2481" s="71">
        <v>42271</v>
      </c>
      <c r="D2481" s="72">
        <v>0</v>
      </c>
    </row>
    <row r="2482" spans="1:4" x14ac:dyDescent="0.2">
      <c r="A2482" s="71">
        <v>42272</v>
      </c>
      <c r="B2482" s="72">
        <v>0.25</v>
      </c>
      <c r="C2482" s="71">
        <v>42272</v>
      </c>
      <c r="D2482" s="72">
        <v>0</v>
      </c>
    </row>
    <row r="2483" spans="1:4" x14ac:dyDescent="0.2">
      <c r="A2483" s="71">
        <v>42273</v>
      </c>
      <c r="B2483" s="72">
        <v>0.25</v>
      </c>
      <c r="C2483" s="71">
        <v>42273</v>
      </c>
      <c r="D2483" s="72">
        <v>0</v>
      </c>
    </row>
    <row r="2484" spans="1:4" x14ac:dyDescent="0.2">
      <c r="A2484" s="71">
        <v>42274</v>
      </c>
      <c r="B2484" s="72">
        <v>0.25</v>
      </c>
      <c r="C2484" s="71">
        <v>42274</v>
      </c>
      <c r="D2484" s="72">
        <v>0</v>
      </c>
    </row>
    <row r="2485" spans="1:4" x14ac:dyDescent="0.2">
      <c r="A2485" s="71">
        <v>42275</v>
      </c>
      <c r="B2485" s="72">
        <v>0.25</v>
      </c>
      <c r="C2485" s="71">
        <v>42275</v>
      </c>
      <c r="D2485" s="72">
        <v>0</v>
      </c>
    </row>
    <row r="2486" spans="1:4" x14ac:dyDescent="0.2">
      <c r="A2486" s="71">
        <v>42276</v>
      </c>
      <c r="B2486" s="72">
        <v>0.25</v>
      </c>
      <c r="C2486" s="71">
        <v>42276</v>
      </c>
      <c r="D2486" s="72">
        <v>0</v>
      </c>
    </row>
    <row r="2487" spans="1:4" x14ac:dyDescent="0.2">
      <c r="A2487" s="71">
        <v>42277</v>
      </c>
      <c r="B2487" s="72">
        <v>0.25</v>
      </c>
      <c r="C2487" s="71">
        <v>42277</v>
      </c>
      <c r="D2487" s="72">
        <v>0</v>
      </c>
    </row>
    <row r="2488" spans="1:4" x14ac:dyDescent="0.2">
      <c r="A2488" s="71">
        <v>42278</v>
      </c>
      <c r="B2488" s="72">
        <v>0.25</v>
      </c>
      <c r="C2488" s="71">
        <v>42278</v>
      </c>
      <c r="D2488" s="72">
        <v>0</v>
      </c>
    </row>
    <row r="2489" spans="1:4" x14ac:dyDescent="0.2">
      <c r="A2489" s="71">
        <v>42279</v>
      </c>
      <c r="B2489" s="72">
        <v>0.25</v>
      </c>
      <c r="C2489" s="71">
        <v>42279</v>
      </c>
      <c r="D2489" s="72">
        <v>0</v>
      </c>
    </row>
    <row r="2490" spans="1:4" x14ac:dyDescent="0.2">
      <c r="A2490" s="71">
        <v>42280</v>
      </c>
      <c r="B2490" s="72">
        <v>0.25</v>
      </c>
      <c r="C2490" s="71">
        <v>42280</v>
      </c>
      <c r="D2490" s="72">
        <v>0</v>
      </c>
    </row>
    <row r="2491" spans="1:4" x14ac:dyDescent="0.2">
      <c r="A2491" s="71">
        <v>42281</v>
      </c>
      <c r="B2491" s="72">
        <v>0.25</v>
      </c>
      <c r="C2491" s="71">
        <v>42281</v>
      </c>
      <c r="D2491" s="72">
        <v>0</v>
      </c>
    </row>
    <row r="2492" spans="1:4" x14ac:dyDescent="0.2">
      <c r="A2492" s="71">
        <v>42282</v>
      </c>
      <c r="B2492" s="72">
        <v>0.25</v>
      </c>
      <c r="C2492" s="71">
        <v>42282</v>
      </c>
      <c r="D2492" s="72">
        <v>0</v>
      </c>
    </row>
    <row r="2493" spans="1:4" x14ac:dyDescent="0.2">
      <c r="A2493" s="71">
        <v>42283</v>
      </c>
      <c r="B2493" s="72">
        <v>0.25</v>
      </c>
      <c r="C2493" s="71">
        <v>42283</v>
      </c>
      <c r="D2493" s="72">
        <v>0</v>
      </c>
    </row>
    <row r="2494" spans="1:4" x14ac:dyDescent="0.2">
      <c r="A2494" s="71">
        <v>42284</v>
      </c>
      <c r="B2494" s="72">
        <v>0.25</v>
      </c>
      <c r="C2494" s="71">
        <v>42284</v>
      </c>
      <c r="D2494" s="72">
        <v>0</v>
      </c>
    </row>
    <row r="2495" spans="1:4" x14ac:dyDescent="0.2">
      <c r="A2495" s="71">
        <v>42285</v>
      </c>
      <c r="B2495" s="72">
        <v>0.25</v>
      </c>
      <c r="C2495" s="71">
        <v>42285</v>
      </c>
      <c r="D2495" s="72">
        <v>0</v>
      </c>
    </row>
    <row r="2496" spans="1:4" x14ac:dyDescent="0.2">
      <c r="A2496" s="71">
        <v>42286</v>
      </c>
      <c r="B2496" s="72">
        <v>0.25</v>
      </c>
      <c r="C2496" s="71">
        <v>42286</v>
      </c>
      <c r="D2496" s="72">
        <v>0</v>
      </c>
    </row>
    <row r="2497" spans="1:4" x14ac:dyDescent="0.2">
      <c r="A2497" s="71">
        <v>42287</v>
      </c>
      <c r="B2497" s="72">
        <v>0.25</v>
      </c>
      <c r="C2497" s="71">
        <v>42287</v>
      </c>
      <c r="D2497" s="72">
        <v>0</v>
      </c>
    </row>
    <row r="2498" spans="1:4" x14ac:dyDescent="0.2">
      <c r="A2498" s="71">
        <v>42288</v>
      </c>
      <c r="B2498" s="72">
        <v>0.25</v>
      </c>
      <c r="C2498" s="71">
        <v>42288</v>
      </c>
      <c r="D2498" s="72">
        <v>0</v>
      </c>
    </row>
    <row r="2499" spans="1:4" x14ac:dyDescent="0.2">
      <c r="A2499" s="71">
        <v>42289</v>
      </c>
      <c r="B2499" s="72">
        <v>0.25</v>
      </c>
      <c r="C2499" s="71">
        <v>42289</v>
      </c>
      <c r="D2499" s="72">
        <v>0</v>
      </c>
    </row>
    <row r="2500" spans="1:4" x14ac:dyDescent="0.2">
      <c r="A2500" s="71">
        <v>42290</v>
      </c>
      <c r="B2500" s="72">
        <v>0.25</v>
      </c>
      <c r="C2500" s="71">
        <v>42290</v>
      </c>
      <c r="D2500" s="72">
        <v>0</v>
      </c>
    </row>
    <row r="2501" spans="1:4" x14ac:dyDescent="0.2">
      <c r="A2501" s="71">
        <v>42291</v>
      </c>
      <c r="B2501" s="72">
        <v>0.25</v>
      </c>
      <c r="C2501" s="71">
        <v>42291</v>
      </c>
      <c r="D2501" s="72">
        <v>0</v>
      </c>
    </row>
    <row r="2502" spans="1:4" x14ac:dyDescent="0.2">
      <c r="A2502" s="71">
        <v>42292</v>
      </c>
      <c r="B2502" s="72">
        <v>0.25</v>
      </c>
      <c r="C2502" s="71">
        <v>42292</v>
      </c>
      <c r="D2502" s="72">
        <v>0</v>
      </c>
    </row>
    <row r="2503" spans="1:4" x14ac:dyDescent="0.2">
      <c r="A2503" s="71">
        <v>42293</v>
      </c>
      <c r="B2503" s="72">
        <v>0.25</v>
      </c>
      <c r="C2503" s="71">
        <v>42293</v>
      </c>
      <c r="D2503" s="72">
        <v>0</v>
      </c>
    </row>
    <row r="2504" spans="1:4" x14ac:dyDescent="0.2">
      <c r="A2504" s="71">
        <v>42294</v>
      </c>
      <c r="B2504" s="72">
        <v>0.25</v>
      </c>
      <c r="C2504" s="71">
        <v>42294</v>
      </c>
      <c r="D2504" s="72">
        <v>0</v>
      </c>
    </row>
    <row r="2505" spans="1:4" x14ac:dyDescent="0.2">
      <c r="A2505" s="71">
        <v>42295</v>
      </c>
      <c r="B2505" s="72">
        <v>0.25</v>
      </c>
      <c r="C2505" s="71">
        <v>42295</v>
      </c>
      <c r="D2505" s="72">
        <v>0</v>
      </c>
    </row>
    <row r="2506" spans="1:4" x14ac:dyDescent="0.2">
      <c r="A2506" s="71">
        <v>42296</v>
      </c>
      <c r="B2506" s="72">
        <v>0.25</v>
      </c>
      <c r="C2506" s="71">
        <v>42296</v>
      </c>
      <c r="D2506" s="72">
        <v>0</v>
      </c>
    </row>
    <row r="2507" spans="1:4" x14ac:dyDescent="0.2">
      <c r="A2507" s="71">
        <v>42297</v>
      </c>
      <c r="B2507" s="72">
        <v>0.25</v>
      </c>
      <c r="C2507" s="71">
        <v>42297</v>
      </c>
      <c r="D2507" s="72">
        <v>0</v>
      </c>
    </row>
    <row r="2508" spans="1:4" x14ac:dyDescent="0.2">
      <c r="A2508" s="71">
        <v>42298</v>
      </c>
      <c r="B2508" s="72">
        <v>0.25</v>
      </c>
      <c r="C2508" s="71">
        <v>42298</v>
      </c>
      <c r="D2508" s="72">
        <v>0</v>
      </c>
    </row>
    <row r="2509" spans="1:4" x14ac:dyDescent="0.2">
      <c r="A2509" s="71">
        <v>42299</v>
      </c>
      <c r="B2509" s="72">
        <v>0.25</v>
      </c>
      <c r="C2509" s="71">
        <v>42299</v>
      </c>
      <c r="D2509" s="72">
        <v>0</v>
      </c>
    </row>
    <row r="2510" spans="1:4" x14ac:dyDescent="0.2">
      <c r="A2510" s="71">
        <v>42300</v>
      </c>
      <c r="B2510" s="72">
        <v>0.25</v>
      </c>
      <c r="C2510" s="71">
        <v>42300</v>
      </c>
      <c r="D2510" s="72">
        <v>0</v>
      </c>
    </row>
    <row r="2511" spans="1:4" x14ac:dyDescent="0.2">
      <c r="A2511" s="71">
        <v>42301</v>
      </c>
      <c r="B2511" s="72">
        <v>0.25</v>
      </c>
      <c r="C2511" s="71">
        <v>42301</v>
      </c>
      <c r="D2511" s="72">
        <v>0</v>
      </c>
    </row>
    <row r="2512" spans="1:4" x14ac:dyDescent="0.2">
      <c r="A2512" s="71">
        <v>42302</v>
      </c>
      <c r="B2512" s="72">
        <v>0.25</v>
      </c>
      <c r="C2512" s="71">
        <v>42302</v>
      </c>
      <c r="D2512" s="72">
        <v>0</v>
      </c>
    </row>
    <row r="2513" spans="1:4" x14ac:dyDescent="0.2">
      <c r="A2513" s="71">
        <v>42303</v>
      </c>
      <c r="B2513" s="72">
        <v>0.25</v>
      </c>
      <c r="C2513" s="71">
        <v>42303</v>
      </c>
      <c r="D2513" s="72">
        <v>0</v>
      </c>
    </row>
    <row r="2514" spans="1:4" x14ac:dyDescent="0.2">
      <c r="A2514" s="71">
        <v>42304</v>
      </c>
      <c r="B2514" s="72">
        <v>0.25</v>
      </c>
      <c r="C2514" s="71">
        <v>42304</v>
      </c>
      <c r="D2514" s="72">
        <v>0</v>
      </c>
    </row>
    <row r="2515" spans="1:4" x14ac:dyDescent="0.2">
      <c r="A2515" s="71">
        <v>42305</v>
      </c>
      <c r="B2515" s="72">
        <v>0.25</v>
      </c>
      <c r="C2515" s="71">
        <v>42305</v>
      </c>
      <c r="D2515" s="72">
        <v>0</v>
      </c>
    </row>
    <row r="2516" spans="1:4" x14ac:dyDescent="0.2">
      <c r="A2516" s="71">
        <v>42306</v>
      </c>
      <c r="B2516" s="72">
        <v>0.25</v>
      </c>
      <c r="C2516" s="71">
        <v>42306</v>
      </c>
      <c r="D2516" s="72">
        <v>0</v>
      </c>
    </row>
    <row r="2517" spans="1:4" x14ac:dyDescent="0.2">
      <c r="A2517" s="71">
        <v>42307</v>
      </c>
      <c r="B2517" s="72">
        <v>0.25</v>
      </c>
      <c r="C2517" s="71">
        <v>42307</v>
      </c>
      <c r="D2517" s="72">
        <v>0</v>
      </c>
    </row>
    <row r="2518" spans="1:4" x14ac:dyDescent="0.2">
      <c r="A2518" s="71">
        <v>42308</v>
      </c>
      <c r="B2518" s="72">
        <v>0.25</v>
      </c>
      <c r="C2518" s="71">
        <v>42308</v>
      </c>
      <c r="D2518" s="72">
        <v>0</v>
      </c>
    </row>
    <row r="2519" spans="1:4" x14ac:dyDescent="0.2">
      <c r="A2519" s="71">
        <v>42309</v>
      </c>
      <c r="B2519" s="72">
        <v>0.25</v>
      </c>
      <c r="C2519" s="71">
        <v>42309</v>
      </c>
      <c r="D2519" s="72">
        <v>0</v>
      </c>
    </row>
    <row r="2520" spans="1:4" x14ac:dyDescent="0.2">
      <c r="A2520" s="71">
        <v>42310</v>
      </c>
      <c r="B2520" s="72">
        <v>0.25</v>
      </c>
      <c r="C2520" s="71">
        <v>42310</v>
      </c>
      <c r="D2520" s="72">
        <v>0</v>
      </c>
    </row>
    <row r="2521" spans="1:4" x14ac:dyDescent="0.2">
      <c r="A2521" s="71">
        <v>42311</v>
      </c>
      <c r="B2521" s="72">
        <v>0.25</v>
      </c>
      <c r="C2521" s="71">
        <v>42311</v>
      </c>
      <c r="D2521" s="72">
        <v>0</v>
      </c>
    </row>
    <row r="2522" spans="1:4" x14ac:dyDescent="0.2">
      <c r="A2522" s="71">
        <v>42312</v>
      </c>
      <c r="B2522" s="72">
        <v>0.25</v>
      </c>
      <c r="C2522" s="71">
        <v>42312</v>
      </c>
      <c r="D2522" s="72">
        <v>0</v>
      </c>
    </row>
    <row r="2523" spans="1:4" x14ac:dyDescent="0.2">
      <c r="A2523" s="71">
        <v>42313</v>
      </c>
      <c r="B2523" s="72">
        <v>0.25</v>
      </c>
      <c r="C2523" s="71">
        <v>42313</v>
      </c>
      <c r="D2523" s="72">
        <v>0</v>
      </c>
    </row>
    <row r="2524" spans="1:4" x14ac:dyDescent="0.2">
      <c r="A2524" s="71">
        <v>42314</v>
      </c>
      <c r="B2524" s="72">
        <v>0.25</v>
      </c>
      <c r="C2524" s="71">
        <v>42314</v>
      </c>
      <c r="D2524" s="72">
        <v>0</v>
      </c>
    </row>
    <row r="2525" spans="1:4" x14ac:dyDescent="0.2">
      <c r="A2525" s="71">
        <v>42315</v>
      </c>
      <c r="B2525" s="72">
        <v>0.25</v>
      </c>
      <c r="C2525" s="71">
        <v>42315</v>
      </c>
      <c r="D2525" s="72">
        <v>0</v>
      </c>
    </row>
    <row r="2526" spans="1:4" x14ac:dyDescent="0.2">
      <c r="A2526" s="71">
        <v>42316</v>
      </c>
      <c r="B2526" s="72">
        <v>0.25</v>
      </c>
      <c r="C2526" s="71">
        <v>42316</v>
      </c>
      <c r="D2526" s="72">
        <v>0</v>
      </c>
    </row>
    <row r="2527" spans="1:4" x14ac:dyDescent="0.2">
      <c r="A2527" s="71">
        <v>42317</v>
      </c>
      <c r="B2527" s="72">
        <v>0.25</v>
      </c>
      <c r="C2527" s="71">
        <v>42317</v>
      </c>
      <c r="D2527" s="72">
        <v>0</v>
      </c>
    </row>
    <row r="2528" spans="1:4" x14ac:dyDescent="0.2">
      <c r="A2528" s="71">
        <v>42318</v>
      </c>
      <c r="B2528" s="72">
        <v>0.25</v>
      </c>
      <c r="C2528" s="71">
        <v>42318</v>
      </c>
      <c r="D2528" s="72">
        <v>0</v>
      </c>
    </row>
    <row r="2529" spans="1:4" x14ac:dyDescent="0.2">
      <c r="A2529" s="71">
        <v>42319</v>
      </c>
      <c r="B2529" s="72">
        <v>0.25</v>
      </c>
      <c r="C2529" s="71">
        <v>42319</v>
      </c>
      <c r="D2529" s="72">
        <v>0</v>
      </c>
    </row>
    <row r="2530" spans="1:4" x14ac:dyDescent="0.2">
      <c r="A2530" s="71">
        <v>42320</v>
      </c>
      <c r="B2530" s="72">
        <v>0.25</v>
      </c>
      <c r="C2530" s="71">
        <v>42320</v>
      </c>
      <c r="D2530" s="72">
        <v>0</v>
      </c>
    </row>
    <row r="2531" spans="1:4" x14ac:dyDescent="0.2">
      <c r="A2531" s="71">
        <v>42321</v>
      </c>
      <c r="B2531" s="72">
        <v>0.25</v>
      </c>
      <c r="C2531" s="71">
        <v>42321</v>
      </c>
      <c r="D2531" s="72">
        <v>0</v>
      </c>
    </row>
    <row r="2532" spans="1:4" x14ac:dyDescent="0.2">
      <c r="A2532" s="71">
        <v>42322</v>
      </c>
      <c r="B2532" s="72">
        <v>0.25</v>
      </c>
      <c r="C2532" s="71">
        <v>42322</v>
      </c>
      <c r="D2532" s="72">
        <v>0</v>
      </c>
    </row>
    <row r="2533" spans="1:4" x14ac:dyDescent="0.2">
      <c r="A2533" s="71">
        <v>42323</v>
      </c>
      <c r="B2533" s="72">
        <v>0.25</v>
      </c>
      <c r="C2533" s="71">
        <v>42323</v>
      </c>
      <c r="D2533" s="72">
        <v>0</v>
      </c>
    </row>
    <row r="2534" spans="1:4" x14ac:dyDescent="0.2">
      <c r="A2534" s="71">
        <v>42324</v>
      </c>
      <c r="B2534" s="72">
        <v>0.25</v>
      </c>
      <c r="C2534" s="71">
        <v>42324</v>
      </c>
      <c r="D2534" s="72">
        <v>0</v>
      </c>
    </row>
    <row r="2535" spans="1:4" x14ac:dyDescent="0.2">
      <c r="A2535" s="71">
        <v>42325</v>
      </c>
      <c r="B2535" s="72">
        <v>0.25</v>
      </c>
      <c r="C2535" s="71">
        <v>42325</v>
      </c>
      <c r="D2535" s="72">
        <v>0</v>
      </c>
    </row>
    <row r="2536" spans="1:4" x14ac:dyDescent="0.2">
      <c r="A2536" s="71">
        <v>42326</v>
      </c>
      <c r="B2536" s="72">
        <v>0.25</v>
      </c>
      <c r="C2536" s="71">
        <v>42326</v>
      </c>
      <c r="D2536" s="72">
        <v>0</v>
      </c>
    </row>
    <row r="2537" spans="1:4" x14ac:dyDescent="0.2">
      <c r="A2537" s="71">
        <v>42327</v>
      </c>
      <c r="B2537" s="72">
        <v>0.25</v>
      </c>
      <c r="C2537" s="71">
        <v>42327</v>
      </c>
      <c r="D2537" s="72">
        <v>0</v>
      </c>
    </row>
    <row r="2538" spans="1:4" x14ac:dyDescent="0.2">
      <c r="A2538" s="71">
        <v>42328</v>
      </c>
      <c r="B2538" s="72">
        <v>0.25</v>
      </c>
      <c r="C2538" s="71">
        <v>42328</v>
      </c>
      <c r="D2538" s="72">
        <v>0</v>
      </c>
    </row>
    <row r="2539" spans="1:4" x14ac:dyDescent="0.2">
      <c r="A2539" s="71">
        <v>42329</v>
      </c>
      <c r="B2539" s="72">
        <v>0.25</v>
      </c>
      <c r="C2539" s="71">
        <v>42329</v>
      </c>
      <c r="D2539" s="72">
        <v>0</v>
      </c>
    </row>
    <row r="2540" spans="1:4" x14ac:dyDescent="0.2">
      <c r="A2540" s="71">
        <v>42330</v>
      </c>
      <c r="B2540" s="72">
        <v>0.25</v>
      </c>
      <c r="C2540" s="71">
        <v>42330</v>
      </c>
      <c r="D2540" s="72">
        <v>0</v>
      </c>
    </row>
    <row r="2541" spans="1:4" x14ac:dyDescent="0.2">
      <c r="A2541" s="71">
        <v>42331</v>
      </c>
      <c r="B2541" s="72">
        <v>0.25</v>
      </c>
      <c r="C2541" s="71">
        <v>42331</v>
      </c>
      <c r="D2541" s="72">
        <v>0</v>
      </c>
    </row>
    <row r="2542" spans="1:4" x14ac:dyDescent="0.2">
      <c r="A2542" s="71">
        <v>42332</v>
      </c>
      <c r="B2542" s="72">
        <v>0.25</v>
      </c>
      <c r="C2542" s="71">
        <v>42332</v>
      </c>
      <c r="D2542" s="72">
        <v>0</v>
      </c>
    </row>
    <row r="2543" spans="1:4" x14ac:dyDescent="0.2">
      <c r="A2543" s="71">
        <v>42333</v>
      </c>
      <c r="B2543" s="72">
        <v>0.25</v>
      </c>
      <c r="C2543" s="71">
        <v>42333</v>
      </c>
      <c r="D2543" s="72">
        <v>0</v>
      </c>
    </row>
    <row r="2544" spans="1:4" x14ac:dyDescent="0.2">
      <c r="A2544" s="71">
        <v>42334</v>
      </c>
      <c r="B2544" s="72">
        <v>0.25</v>
      </c>
      <c r="C2544" s="71">
        <v>42334</v>
      </c>
      <c r="D2544" s="72">
        <v>0</v>
      </c>
    </row>
    <row r="2545" spans="1:4" x14ac:dyDescent="0.2">
      <c r="A2545" s="71">
        <v>42335</v>
      </c>
      <c r="B2545" s="72">
        <v>0.25</v>
      </c>
      <c r="C2545" s="71">
        <v>42335</v>
      </c>
      <c r="D2545" s="72">
        <v>0</v>
      </c>
    </row>
    <row r="2546" spans="1:4" x14ac:dyDescent="0.2">
      <c r="A2546" s="71">
        <v>42336</v>
      </c>
      <c r="B2546" s="72">
        <v>0.25</v>
      </c>
      <c r="C2546" s="71">
        <v>42336</v>
      </c>
      <c r="D2546" s="72">
        <v>0</v>
      </c>
    </row>
    <row r="2547" spans="1:4" x14ac:dyDescent="0.2">
      <c r="A2547" s="71">
        <v>42337</v>
      </c>
      <c r="B2547" s="72">
        <v>0.25</v>
      </c>
      <c r="C2547" s="71">
        <v>42337</v>
      </c>
      <c r="D2547" s="72">
        <v>0</v>
      </c>
    </row>
    <row r="2548" spans="1:4" x14ac:dyDescent="0.2">
      <c r="A2548" s="71">
        <v>42338</v>
      </c>
      <c r="B2548" s="72">
        <v>0.25</v>
      </c>
      <c r="C2548" s="71">
        <v>42338</v>
      </c>
      <c r="D2548" s="72">
        <v>0</v>
      </c>
    </row>
    <row r="2549" spans="1:4" x14ac:dyDescent="0.2">
      <c r="A2549" s="71">
        <v>42339</v>
      </c>
      <c r="B2549" s="72">
        <v>0.25</v>
      </c>
      <c r="C2549" s="71">
        <v>42339</v>
      </c>
      <c r="D2549" s="72">
        <v>0</v>
      </c>
    </row>
    <row r="2550" spans="1:4" x14ac:dyDescent="0.2">
      <c r="A2550" s="71">
        <v>42340</v>
      </c>
      <c r="B2550" s="72">
        <v>0.25</v>
      </c>
      <c r="C2550" s="71">
        <v>42340</v>
      </c>
      <c r="D2550" s="72">
        <v>0</v>
      </c>
    </row>
    <row r="2551" spans="1:4" x14ac:dyDescent="0.2">
      <c r="A2551" s="71">
        <v>42341</v>
      </c>
      <c r="B2551" s="72">
        <v>0.25</v>
      </c>
      <c r="C2551" s="71">
        <v>42341</v>
      </c>
      <c r="D2551" s="72">
        <v>0</v>
      </c>
    </row>
    <row r="2552" spans="1:4" x14ac:dyDescent="0.2">
      <c r="A2552" s="71">
        <v>42342</v>
      </c>
      <c r="B2552" s="72">
        <v>0.25</v>
      </c>
      <c r="C2552" s="71">
        <v>42342</v>
      </c>
      <c r="D2552" s="72">
        <v>0</v>
      </c>
    </row>
    <row r="2553" spans="1:4" x14ac:dyDescent="0.2">
      <c r="A2553" s="71">
        <v>42343</v>
      </c>
      <c r="B2553" s="72">
        <v>0.25</v>
      </c>
      <c r="C2553" s="71">
        <v>42343</v>
      </c>
      <c r="D2553" s="72">
        <v>0</v>
      </c>
    </row>
    <row r="2554" spans="1:4" x14ac:dyDescent="0.2">
      <c r="A2554" s="71">
        <v>42344</v>
      </c>
      <c r="B2554" s="72">
        <v>0.25</v>
      </c>
      <c r="C2554" s="71">
        <v>42344</v>
      </c>
      <c r="D2554" s="72">
        <v>0</v>
      </c>
    </row>
    <row r="2555" spans="1:4" x14ac:dyDescent="0.2">
      <c r="A2555" s="71">
        <v>42345</v>
      </c>
      <c r="B2555" s="72">
        <v>0.25</v>
      </c>
      <c r="C2555" s="71">
        <v>42345</v>
      </c>
      <c r="D2555" s="72">
        <v>0</v>
      </c>
    </row>
    <row r="2556" spans="1:4" x14ac:dyDescent="0.2">
      <c r="A2556" s="71">
        <v>42346</v>
      </c>
      <c r="B2556" s="72">
        <v>0.25</v>
      </c>
      <c r="C2556" s="71">
        <v>42346</v>
      </c>
      <c r="D2556" s="72">
        <v>0</v>
      </c>
    </row>
    <row r="2557" spans="1:4" x14ac:dyDescent="0.2">
      <c r="A2557" s="71">
        <v>42347</v>
      </c>
      <c r="B2557" s="72">
        <v>0.25</v>
      </c>
      <c r="C2557" s="71">
        <v>42347</v>
      </c>
      <c r="D2557" s="72">
        <v>0</v>
      </c>
    </row>
    <row r="2558" spans="1:4" x14ac:dyDescent="0.2">
      <c r="A2558" s="71">
        <v>42348</v>
      </c>
      <c r="B2558" s="72">
        <v>0.25</v>
      </c>
      <c r="C2558" s="71">
        <v>42348</v>
      </c>
      <c r="D2558" s="72">
        <v>0</v>
      </c>
    </row>
    <row r="2559" spans="1:4" x14ac:dyDescent="0.2">
      <c r="A2559" s="71">
        <v>42349</v>
      </c>
      <c r="B2559" s="72">
        <v>0.25</v>
      </c>
      <c r="C2559" s="71">
        <v>42349</v>
      </c>
      <c r="D2559" s="72">
        <v>0</v>
      </c>
    </row>
    <row r="2560" spans="1:4" x14ac:dyDescent="0.2">
      <c r="A2560" s="71">
        <v>42350</v>
      </c>
      <c r="B2560" s="72">
        <v>0.25</v>
      </c>
      <c r="C2560" s="71">
        <v>42350</v>
      </c>
      <c r="D2560" s="72">
        <v>0</v>
      </c>
    </row>
    <row r="2561" spans="1:4" x14ac:dyDescent="0.2">
      <c r="A2561" s="71">
        <v>42351</v>
      </c>
      <c r="B2561" s="72">
        <v>0.25</v>
      </c>
      <c r="C2561" s="71">
        <v>42351</v>
      </c>
      <c r="D2561" s="72">
        <v>0</v>
      </c>
    </row>
    <row r="2562" spans="1:4" x14ac:dyDescent="0.2">
      <c r="A2562" s="71">
        <v>42352</v>
      </c>
      <c r="B2562" s="72">
        <v>0.25</v>
      </c>
      <c r="C2562" s="71">
        <v>42352</v>
      </c>
      <c r="D2562" s="72">
        <v>0</v>
      </c>
    </row>
    <row r="2563" spans="1:4" x14ac:dyDescent="0.2">
      <c r="A2563" s="71">
        <v>42353</v>
      </c>
      <c r="B2563" s="72">
        <v>0.25</v>
      </c>
      <c r="C2563" s="71">
        <v>42353</v>
      </c>
      <c r="D2563" s="72">
        <v>0</v>
      </c>
    </row>
    <row r="2564" spans="1:4" x14ac:dyDescent="0.2">
      <c r="A2564" s="71">
        <v>42354</v>
      </c>
      <c r="B2564" s="72">
        <v>0.5</v>
      </c>
      <c r="C2564" s="71">
        <v>42354</v>
      </c>
      <c r="D2564" s="72">
        <v>0.25</v>
      </c>
    </row>
    <row r="2565" spans="1:4" x14ac:dyDescent="0.2">
      <c r="A2565" s="71">
        <v>42355</v>
      </c>
      <c r="B2565" s="72">
        <v>0.5</v>
      </c>
      <c r="C2565" s="71">
        <v>42355</v>
      </c>
      <c r="D2565" s="72">
        <v>0.25</v>
      </c>
    </row>
    <row r="2566" spans="1:4" x14ac:dyDescent="0.2">
      <c r="A2566" s="71">
        <v>42356</v>
      </c>
      <c r="B2566" s="72">
        <v>0.5</v>
      </c>
      <c r="C2566" s="71">
        <v>42356</v>
      </c>
      <c r="D2566" s="72">
        <v>0.25</v>
      </c>
    </row>
    <row r="2567" spans="1:4" x14ac:dyDescent="0.2">
      <c r="A2567" s="71">
        <v>42357</v>
      </c>
      <c r="B2567" s="72">
        <v>0.5</v>
      </c>
      <c r="C2567" s="71">
        <v>42357</v>
      </c>
      <c r="D2567" s="72">
        <v>0.25</v>
      </c>
    </row>
    <row r="2568" spans="1:4" x14ac:dyDescent="0.2">
      <c r="A2568" s="71">
        <v>42358</v>
      </c>
      <c r="B2568" s="72">
        <v>0.5</v>
      </c>
      <c r="C2568" s="71">
        <v>42358</v>
      </c>
      <c r="D2568" s="72">
        <v>0.25</v>
      </c>
    </row>
    <row r="2569" spans="1:4" x14ac:dyDescent="0.2">
      <c r="A2569" s="71">
        <v>42359</v>
      </c>
      <c r="B2569" s="72">
        <v>0.5</v>
      </c>
      <c r="C2569" s="71">
        <v>42359</v>
      </c>
      <c r="D2569" s="72">
        <v>0.25</v>
      </c>
    </row>
    <row r="2570" spans="1:4" x14ac:dyDescent="0.2">
      <c r="A2570" s="71">
        <v>42360</v>
      </c>
      <c r="B2570" s="72">
        <v>0.5</v>
      </c>
      <c r="C2570" s="71">
        <v>42360</v>
      </c>
      <c r="D2570" s="72">
        <v>0.25</v>
      </c>
    </row>
    <row r="2571" spans="1:4" x14ac:dyDescent="0.2">
      <c r="A2571" s="71">
        <v>42361</v>
      </c>
      <c r="B2571" s="72">
        <v>0.5</v>
      </c>
      <c r="C2571" s="71">
        <v>42361</v>
      </c>
      <c r="D2571" s="72">
        <v>0.25</v>
      </c>
    </row>
    <row r="2572" spans="1:4" x14ac:dyDescent="0.2">
      <c r="A2572" s="71">
        <v>42362</v>
      </c>
      <c r="B2572" s="72">
        <v>0.5</v>
      </c>
      <c r="C2572" s="71">
        <v>42362</v>
      </c>
      <c r="D2572" s="72">
        <v>0.25</v>
      </c>
    </row>
    <row r="2573" spans="1:4" x14ac:dyDescent="0.2">
      <c r="A2573" s="71">
        <v>42363</v>
      </c>
      <c r="B2573" s="72">
        <v>0.5</v>
      </c>
      <c r="C2573" s="71">
        <v>42363</v>
      </c>
      <c r="D2573" s="72">
        <v>0.25</v>
      </c>
    </row>
    <row r="2574" spans="1:4" x14ac:dyDescent="0.2">
      <c r="A2574" s="71">
        <v>42364</v>
      </c>
      <c r="B2574" s="72">
        <v>0.5</v>
      </c>
      <c r="C2574" s="71">
        <v>42364</v>
      </c>
      <c r="D2574" s="72">
        <v>0.25</v>
      </c>
    </row>
    <row r="2575" spans="1:4" x14ac:dyDescent="0.2">
      <c r="A2575" s="71">
        <v>42365</v>
      </c>
      <c r="B2575" s="72">
        <v>0.5</v>
      </c>
      <c r="C2575" s="71">
        <v>42365</v>
      </c>
      <c r="D2575" s="72">
        <v>0.25</v>
      </c>
    </row>
    <row r="2576" spans="1:4" x14ac:dyDescent="0.2">
      <c r="A2576" s="71">
        <v>42366</v>
      </c>
      <c r="B2576" s="72">
        <v>0.5</v>
      </c>
      <c r="C2576" s="71">
        <v>42366</v>
      </c>
      <c r="D2576" s="72">
        <v>0.25</v>
      </c>
    </row>
    <row r="2577" spans="1:4" x14ac:dyDescent="0.2">
      <c r="A2577" s="71">
        <v>42367</v>
      </c>
      <c r="B2577" s="72">
        <v>0.5</v>
      </c>
      <c r="C2577" s="71">
        <v>42367</v>
      </c>
      <c r="D2577" s="72">
        <v>0.25</v>
      </c>
    </row>
    <row r="2578" spans="1:4" x14ac:dyDescent="0.2">
      <c r="A2578" s="71">
        <v>42368</v>
      </c>
      <c r="B2578" s="72">
        <v>0.5</v>
      </c>
      <c r="C2578" s="71">
        <v>42368</v>
      </c>
      <c r="D2578" s="72">
        <v>0.25</v>
      </c>
    </row>
    <row r="2579" spans="1:4" x14ac:dyDescent="0.2">
      <c r="A2579" s="71">
        <v>42369</v>
      </c>
      <c r="B2579" s="72">
        <v>0.5</v>
      </c>
      <c r="C2579" s="71">
        <v>42369</v>
      </c>
      <c r="D2579" s="72">
        <v>0.25</v>
      </c>
    </row>
    <row r="2580" spans="1:4" x14ac:dyDescent="0.2">
      <c r="A2580" s="71">
        <v>42370</v>
      </c>
      <c r="B2580" s="72">
        <v>0.5</v>
      </c>
      <c r="C2580" s="71">
        <v>42370</v>
      </c>
      <c r="D2580" s="72">
        <v>0.25</v>
      </c>
    </row>
    <row r="2581" spans="1:4" x14ac:dyDescent="0.2">
      <c r="A2581" s="71">
        <v>42371</v>
      </c>
      <c r="B2581" s="72">
        <v>0.5</v>
      </c>
      <c r="C2581" s="71">
        <v>42371</v>
      </c>
      <c r="D2581" s="72">
        <v>0.25</v>
      </c>
    </row>
    <row r="2582" spans="1:4" x14ac:dyDescent="0.2">
      <c r="A2582" s="71">
        <v>42372</v>
      </c>
      <c r="B2582" s="72">
        <v>0.5</v>
      </c>
      <c r="C2582" s="71">
        <v>42372</v>
      </c>
      <c r="D2582" s="72">
        <v>0.25</v>
      </c>
    </row>
    <row r="2583" spans="1:4" x14ac:dyDescent="0.2">
      <c r="A2583" s="71">
        <v>42373</v>
      </c>
      <c r="B2583" s="72">
        <v>0.5</v>
      </c>
      <c r="C2583" s="71">
        <v>42373</v>
      </c>
      <c r="D2583" s="72">
        <v>0.25</v>
      </c>
    </row>
    <row r="2584" spans="1:4" x14ac:dyDescent="0.2">
      <c r="A2584" s="71">
        <v>42374</v>
      </c>
      <c r="B2584" s="72">
        <v>0.5</v>
      </c>
      <c r="C2584" s="71">
        <v>42374</v>
      </c>
      <c r="D2584" s="72">
        <v>0.25</v>
      </c>
    </row>
    <row r="2585" spans="1:4" x14ac:dyDescent="0.2">
      <c r="A2585" s="71">
        <v>42375</v>
      </c>
      <c r="B2585" s="72">
        <v>0.5</v>
      </c>
      <c r="C2585" s="71">
        <v>42375</v>
      </c>
      <c r="D2585" s="72">
        <v>0.25</v>
      </c>
    </row>
    <row r="2586" spans="1:4" x14ac:dyDescent="0.2">
      <c r="A2586" s="71">
        <v>42376</v>
      </c>
      <c r="B2586" s="72">
        <v>0.5</v>
      </c>
      <c r="C2586" s="71">
        <v>42376</v>
      </c>
      <c r="D2586" s="72">
        <v>0.25</v>
      </c>
    </row>
    <row r="2587" spans="1:4" x14ac:dyDescent="0.2">
      <c r="A2587" s="71">
        <v>42377</v>
      </c>
      <c r="B2587" s="72">
        <v>0.5</v>
      </c>
      <c r="C2587" s="71">
        <v>42377</v>
      </c>
      <c r="D2587" s="72">
        <v>0.25</v>
      </c>
    </row>
    <row r="2588" spans="1:4" x14ac:dyDescent="0.2">
      <c r="A2588" s="71">
        <v>42378</v>
      </c>
      <c r="B2588" s="72">
        <v>0.5</v>
      </c>
      <c r="C2588" s="71">
        <v>42378</v>
      </c>
      <c r="D2588" s="72">
        <v>0.25</v>
      </c>
    </row>
    <row r="2589" spans="1:4" x14ac:dyDescent="0.2">
      <c r="A2589" s="71">
        <v>42379</v>
      </c>
      <c r="B2589" s="72">
        <v>0.5</v>
      </c>
      <c r="C2589" s="71">
        <v>42379</v>
      </c>
      <c r="D2589" s="72">
        <v>0.25</v>
      </c>
    </row>
    <row r="2590" spans="1:4" x14ac:dyDescent="0.2">
      <c r="A2590" s="71">
        <v>42380</v>
      </c>
      <c r="B2590" s="72">
        <v>0.5</v>
      </c>
      <c r="C2590" s="71">
        <v>42380</v>
      </c>
      <c r="D2590" s="72">
        <v>0.25</v>
      </c>
    </row>
    <row r="2591" spans="1:4" x14ac:dyDescent="0.2">
      <c r="A2591" s="71">
        <v>42381</v>
      </c>
      <c r="B2591" s="72">
        <v>0.5</v>
      </c>
      <c r="C2591" s="71">
        <v>42381</v>
      </c>
      <c r="D2591" s="72">
        <v>0.25</v>
      </c>
    </row>
    <row r="2592" spans="1:4" x14ac:dyDescent="0.2">
      <c r="A2592" s="71">
        <v>42382</v>
      </c>
      <c r="B2592" s="72">
        <v>0.5</v>
      </c>
      <c r="C2592" s="71">
        <v>42382</v>
      </c>
      <c r="D2592" s="72">
        <v>0.25</v>
      </c>
    </row>
    <row r="2593" spans="1:4" x14ac:dyDescent="0.2">
      <c r="A2593" s="71">
        <v>42383</v>
      </c>
      <c r="B2593" s="72">
        <v>0.5</v>
      </c>
      <c r="C2593" s="71">
        <v>42383</v>
      </c>
      <c r="D2593" s="72">
        <v>0.25</v>
      </c>
    </row>
    <row r="2594" spans="1:4" x14ac:dyDescent="0.2">
      <c r="A2594" s="71">
        <v>42384</v>
      </c>
      <c r="B2594" s="72">
        <v>0.5</v>
      </c>
      <c r="C2594" s="71">
        <v>42384</v>
      </c>
      <c r="D2594" s="72">
        <v>0.25</v>
      </c>
    </row>
    <row r="2595" spans="1:4" x14ac:dyDescent="0.2">
      <c r="A2595" s="71">
        <v>42385</v>
      </c>
      <c r="B2595" s="72">
        <v>0.5</v>
      </c>
      <c r="C2595" s="71">
        <v>42385</v>
      </c>
      <c r="D2595" s="72">
        <v>0.25</v>
      </c>
    </row>
    <row r="2596" spans="1:4" x14ac:dyDescent="0.2">
      <c r="A2596" s="71">
        <v>42386</v>
      </c>
      <c r="B2596" s="72">
        <v>0.5</v>
      </c>
      <c r="C2596" s="71">
        <v>42386</v>
      </c>
      <c r="D2596" s="72">
        <v>0.25</v>
      </c>
    </row>
    <row r="2597" spans="1:4" x14ac:dyDescent="0.2">
      <c r="A2597" s="71">
        <v>42387</v>
      </c>
      <c r="B2597" s="72">
        <v>0.5</v>
      </c>
      <c r="C2597" s="71">
        <v>42387</v>
      </c>
      <c r="D2597" s="72">
        <v>0.25</v>
      </c>
    </row>
    <row r="2598" spans="1:4" x14ac:dyDescent="0.2">
      <c r="A2598" s="71">
        <v>42388</v>
      </c>
      <c r="B2598" s="72">
        <v>0.5</v>
      </c>
      <c r="C2598" s="71">
        <v>42388</v>
      </c>
      <c r="D2598" s="72">
        <v>0.25</v>
      </c>
    </row>
    <row r="2599" spans="1:4" x14ac:dyDescent="0.2">
      <c r="A2599" s="71">
        <v>42389</v>
      </c>
      <c r="B2599" s="72">
        <v>0.5</v>
      </c>
      <c r="C2599" s="71">
        <v>42389</v>
      </c>
      <c r="D2599" s="72">
        <v>0.25</v>
      </c>
    </row>
    <row r="2600" spans="1:4" x14ac:dyDescent="0.2">
      <c r="A2600" s="71">
        <v>42390</v>
      </c>
      <c r="B2600" s="72">
        <v>0.5</v>
      </c>
      <c r="C2600" s="71">
        <v>42390</v>
      </c>
      <c r="D2600" s="72">
        <v>0.25</v>
      </c>
    </row>
    <row r="2601" spans="1:4" x14ac:dyDescent="0.2">
      <c r="A2601" s="71">
        <v>42391</v>
      </c>
      <c r="B2601" s="72">
        <v>0.5</v>
      </c>
      <c r="C2601" s="71">
        <v>42391</v>
      </c>
      <c r="D2601" s="72">
        <v>0.25</v>
      </c>
    </row>
    <row r="2602" spans="1:4" x14ac:dyDescent="0.2">
      <c r="A2602" s="71">
        <v>42392</v>
      </c>
      <c r="B2602" s="72">
        <v>0.5</v>
      </c>
      <c r="C2602" s="71">
        <v>42392</v>
      </c>
      <c r="D2602" s="72">
        <v>0.25</v>
      </c>
    </row>
    <row r="2603" spans="1:4" x14ac:dyDescent="0.2">
      <c r="A2603" s="71">
        <v>42393</v>
      </c>
      <c r="B2603" s="72">
        <v>0.5</v>
      </c>
      <c r="C2603" s="71">
        <v>42393</v>
      </c>
      <c r="D2603" s="72">
        <v>0.25</v>
      </c>
    </row>
    <row r="2604" spans="1:4" x14ac:dyDescent="0.2">
      <c r="A2604" s="71">
        <v>42394</v>
      </c>
      <c r="B2604" s="72">
        <v>0.5</v>
      </c>
      <c r="C2604" s="71">
        <v>42394</v>
      </c>
      <c r="D2604" s="72">
        <v>0.25</v>
      </c>
    </row>
    <row r="2605" spans="1:4" x14ac:dyDescent="0.2">
      <c r="A2605" s="71">
        <v>42395</v>
      </c>
      <c r="B2605" s="72">
        <v>0.5</v>
      </c>
      <c r="C2605" s="71">
        <v>42395</v>
      </c>
      <c r="D2605" s="72">
        <v>0.25</v>
      </c>
    </row>
    <row r="2606" spans="1:4" x14ac:dyDescent="0.2">
      <c r="A2606" s="71">
        <v>42396</v>
      </c>
      <c r="B2606" s="72">
        <v>0.5</v>
      </c>
      <c r="C2606" s="71">
        <v>42396</v>
      </c>
      <c r="D2606" s="72">
        <v>0.25</v>
      </c>
    </row>
    <row r="2607" spans="1:4" x14ac:dyDescent="0.2">
      <c r="A2607" s="71">
        <v>42397</v>
      </c>
      <c r="B2607" s="72">
        <v>0.5</v>
      </c>
      <c r="C2607" s="71">
        <v>42397</v>
      </c>
      <c r="D2607" s="72">
        <v>0.25</v>
      </c>
    </row>
    <row r="2608" spans="1:4" x14ac:dyDescent="0.2">
      <c r="A2608" s="71">
        <v>42398</v>
      </c>
      <c r="B2608" s="72">
        <v>0.5</v>
      </c>
      <c r="C2608" s="71">
        <v>42398</v>
      </c>
      <c r="D2608" s="72">
        <v>0.25</v>
      </c>
    </row>
    <row r="2609" spans="1:4" x14ac:dyDescent="0.2">
      <c r="A2609" s="71">
        <v>42399</v>
      </c>
      <c r="B2609" s="72">
        <v>0.5</v>
      </c>
      <c r="C2609" s="71">
        <v>42399</v>
      </c>
      <c r="D2609" s="72">
        <v>0.25</v>
      </c>
    </row>
    <row r="2610" spans="1:4" x14ac:dyDescent="0.2">
      <c r="A2610" s="71">
        <v>42400</v>
      </c>
      <c r="B2610" s="72">
        <v>0.5</v>
      </c>
      <c r="C2610" s="71">
        <v>42400</v>
      </c>
      <c r="D2610" s="72">
        <v>0.25</v>
      </c>
    </row>
    <row r="2611" spans="1:4" x14ac:dyDescent="0.2">
      <c r="A2611" s="71">
        <v>42401</v>
      </c>
      <c r="B2611" s="72">
        <v>0.5</v>
      </c>
      <c r="C2611" s="71">
        <v>42401</v>
      </c>
      <c r="D2611" s="72">
        <v>0.25</v>
      </c>
    </row>
    <row r="2612" spans="1:4" x14ac:dyDescent="0.2">
      <c r="A2612" s="71">
        <v>42402</v>
      </c>
      <c r="B2612" s="72">
        <v>0.5</v>
      </c>
      <c r="C2612" s="71">
        <v>42402</v>
      </c>
      <c r="D2612" s="72">
        <v>0.25</v>
      </c>
    </row>
    <row r="2613" spans="1:4" x14ac:dyDescent="0.2">
      <c r="A2613" s="71">
        <v>42403</v>
      </c>
      <c r="B2613" s="72">
        <v>0.5</v>
      </c>
      <c r="C2613" s="71">
        <v>42403</v>
      </c>
      <c r="D2613" s="72">
        <v>0.25</v>
      </c>
    </row>
    <row r="2614" spans="1:4" x14ac:dyDescent="0.2">
      <c r="A2614" s="71">
        <v>42404</v>
      </c>
      <c r="B2614" s="72">
        <v>0.5</v>
      </c>
      <c r="C2614" s="71">
        <v>42404</v>
      </c>
      <c r="D2614" s="72">
        <v>0.25</v>
      </c>
    </row>
    <row r="2615" spans="1:4" x14ac:dyDescent="0.2">
      <c r="A2615" s="71">
        <v>42405</v>
      </c>
      <c r="B2615" s="72">
        <v>0.5</v>
      </c>
      <c r="C2615" s="71">
        <v>42405</v>
      </c>
      <c r="D2615" s="72">
        <v>0.25</v>
      </c>
    </row>
    <row r="2616" spans="1:4" x14ac:dyDescent="0.2">
      <c r="A2616" s="71">
        <v>42406</v>
      </c>
      <c r="B2616" s="72">
        <v>0.5</v>
      </c>
      <c r="C2616" s="71">
        <v>42406</v>
      </c>
      <c r="D2616" s="72">
        <v>0.25</v>
      </c>
    </row>
    <row r="2617" spans="1:4" x14ac:dyDescent="0.2">
      <c r="A2617" s="71">
        <v>42407</v>
      </c>
      <c r="B2617" s="72">
        <v>0.5</v>
      </c>
      <c r="C2617" s="71">
        <v>42407</v>
      </c>
      <c r="D2617" s="72">
        <v>0.25</v>
      </c>
    </row>
    <row r="2618" spans="1:4" x14ac:dyDescent="0.2">
      <c r="A2618" s="71">
        <v>42408</v>
      </c>
      <c r="B2618" s="72">
        <v>0.5</v>
      </c>
      <c r="C2618" s="71">
        <v>42408</v>
      </c>
      <c r="D2618" s="72">
        <v>0.25</v>
      </c>
    </row>
    <row r="2619" spans="1:4" x14ac:dyDescent="0.2">
      <c r="A2619" s="71">
        <v>42409</v>
      </c>
      <c r="B2619" s="72">
        <v>0.5</v>
      </c>
      <c r="C2619" s="71">
        <v>42409</v>
      </c>
      <c r="D2619" s="72">
        <v>0.25</v>
      </c>
    </row>
    <row r="2620" spans="1:4" x14ac:dyDescent="0.2">
      <c r="A2620" s="71">
        <v>42410</v>
      </c>
      <c r="B2620" s="72">
        <v>0.5</v>
      </c>
      <c r="C2620" s="71">
        <v>42410</v>
      </c>
      <c r="D2620" s="72">
        <v>0.25</v>
      </c>
    </row>
    <row r="2621" spans="1:4" x14ac:dyDescent="0.2">
      <c r="A2621" s="71">
        <v>42411</v>
      </c>
      <c r="B2621" s="72">
        <v>0.5</v>
      </c>
      <c r="C2621" s="71">
        <v>42411</v>
      </c>
      <c r="D2621" s="72">
        <v>0.25</v>
      </c>
    </row>
    <row r="2622" spans="1:4" x14ac:dyDescent="0.2">
      <c r="A2622" s="71">
        <v>42412</v>
      </c>
      <c r="B2622" s="72">
        <v>0.5</v>
      </c>
      <c r="C2622" s="71">
        <v>42412</v>
      </c>
      <c r="D2622" s="72">
        <v>0.25</v>
      </c>
    </row>
    <row r="2623" spans="1:4" x14ac:dyDescent="0.2">
      <c r="A2623" s="71">
        <v>42413</v>
      </c>
      <c r="B2623" s="72">
        <v>0.5</v>
      </c>
      <c r="C2623" s="71">
        <v>42413</v>
      </c>
      <c r="D2623" s="72">
        <v>0.25</v>
      </c>
    </row>
    <row r="2624" spans="1:4" x14ac:dyDescent="0.2">
      <c r="A2624" s="71">
        <v>42414</v>
      </c>
      <c r="B2624" s="72">
        <v>0.5</v>
      </c>
      <c r="C2624" s="71">
        <v>42414</v>
      </c>
      <c r="D2624" s="72">
        <v>0.25</v>
      </c>
    </row>
    <row r="2625" spans="1:4" x14ac:dyDescent="0.2">
      <c r="A2625" s="71">
        <v>42415</v>
      </c>
      <c r="B2625" s="72">
        <v>0.5</v>
      </c>
      <c r="C2625" s="71">
        <v>42415</v>
      </c>
      <c r="D2625" s="72">
        <v>0.25</v>
      </c>
    </row>
    <row r="2626" spans="1:4" x14ac:dyDescent="0.2">
      <c r="A2626" s="71">
        <v>42416</v>
      </c>
      <c r="B2626" s="72">
        <v>0.5</v>
      </c>
      <c r="C2626" s="71">
        <v>42416</v>
      </c>
      <c r="D2626" s="72">
        <v>0.25</v>
      </c>
    </row>
    <row r="2627" spans="1:4" x14ac:dyDescent="0.2">
      <c r="A2627" s="71">
        <v>42417</v>
      </c>
      <c r="B2627" s="72">
        <v>0.5</v>
      </c>
      <c r="C2627" s="71">
        <v>42417</v>
      </c>
      <c r="D2627" s="72">
        <v>0.25</v>
      </c>
    </row>
    <row r="2628" spans="1:4" x14ac:dyDescent="0.2">
      <c r="A2628" s="71">
        <v>42418</v>
      </c>
      <c r="B2628" s="72">
        <v>0.5</v>
      </c>
      <c r="C2628" s="71">
        <v>42418</v>
      </c>
      <c r="D2628" s="72">
        <v>0.25</v>
      </c>
    </row>
    <row r="2629" spans="1:4" x14ac:dyDescent="0.2">
      <c r="A2629" s="71">
        <v>42419</v>
      </c>
      <c r="B2629" s="72">
        <v>0.5</v>
      </c>
      <c r="C2629" s="71">
        <v>42419</v>
      </c>
      <c r="D2629" s="72">
        <v>0.25</v>
      </c>
    </row>
    <row r="2630" spans="1:4" x14ac:dyDescent="0.2">
      <c r="A2630" s="71">
        <v>42420</v>
      </c>
      <c r="B2630" s="72">
        <v>0.5</v>
      </c>
      <c r="C2630" s="71">
        <v>42420</v>
      </c>
      <c r="D2630" s="72">
        <v>0.25</v>
      </c>
    </row>
    <row r="2631" spans="1:4" x14ac:dyDescent="0.2">
      <c r="A2631" s="71">
        <v>42421</v>
      </c>
      <c r="B2631" s="72">
        <v>0.5</v>
      </c>
      <c r="C2631" s="71">
        <v>42421</v>
      </c>
      <c r="D2631" s="72">
        <v>0.25</v>
      </c>
    </row>
    <row r="2632" spans="1:4" x14ac:dyDescent="0.2">
      <c r="A2632" s="71">
        <v>42422</v>
      </c>
      <c r="B2632" s="72">
        <v>0.5</v>
      </c>
      <c r="C2632" s="71">
        <v>42422</v>
      </c>
      <c r="D2632" s="72">
        <v>0.25</v>
      </c>
    </row>
    <row r="2633" spans="1:4" x14ac:dyDescent="0.2">
      <c r="A2633" s="71">
        <v>42423</v>
      </c>
      <c r="B2633" s="72">
        <v>0.5</v>
      </c>
      <c r="C2633" s="71">
        <v>42423</v>
      </c>
      <c r="D2633" s="72">
        <v>0.25</v>
      </c>
    </row>
    <row r="2634" spans="1:4" x14ac:dyDescent="0.2">
      <c r="A2634" s="71">
        <v>42424</v>
      </c>
      <c r="B2634" s="72">
        <v>0.5</v>
      </c>
      <c r="C2634" s="71">
        <v>42424</v>
      </c>
      <c r="D2634" s="72">
        <v>0.25</v>
      </c>
    </row>
    <row r="2635" spans="1:4" x14ac:dyDescent="0.2">
      <c r="A2635" s="71">
        <v>42425</v>
      </c>
      <c r="B2635" s="72">
        <v>0.5</v>
      </c>
      <c r="C2635" s="71">
        <v>42425</v>
      </c>
      <c r="D2635" s="72">
        <v>0.25</v>
      </c>
    </row>
    <row r="2636" spans="1:4" x14ac:dyDescent="0.2">
      <c r="A2636" s="71">
        <v>42426</v>
      </c>
      <c r="B2636" s="72">
        <v>0.5</v>
      </c>
      <c r="C2636" s="71">
        <v>42426</v>
      </c>
      <c r="D2636" s="72">
        <v>0.25</v>
      </c>
    </row>
    <row r="2637" spans="1:4" x14ac:dyDescent="0.2">
      <c r="A2637" s="71">
        <v>42427</v>
      </c>
      <c r="B2637" s="72">
        <v>0.5</v>
      </c>
      <c r="C2637" s="71">
        <v>42427</v>
      </c>
      <c r="D2637" s="72">
        <v>0.25</v>
      </c>
    </row>
    <row r="2638" spans="1:4" x14ac:dyDescent="0.2">
      <c r="A2638" s="71">
        <v>42428</v>
      </c>
      <c r="B2638" s="72">
        <v>0.5</v>
      </c>
      <c r="C2638" s="71">
        <v>42428</v>
      </c>
      <c r="D2638" s="72">
        <v>0.25</v>
      </c>
    </row>
    <row r="2639" spans="1:4" x14ac:dyDescent="0.2">
      <c r="A2639" s="71">
        <v>42429</v>
      </c>
      <c r="B2639" s="72">
        <v>0.5</v>
      </c>
      <c r="C2639" s="71">
        <v>42429</v>
      </c>
      <c r="D2639" s="72">
        <v>0.25</v>
      </c>
    </row>
    <row r="2640" spans="1:4" x14ac:dyDescent="0.2">
      <c r="A2640" s="71">
        <v>42430</v>
      </c>
      <c r="B2640" s="72">
        <v>0.5</v>
      </c>
      <c r="C2640" s="71">
        <v>42430</v>
      </c>
      <c r="D2640" s="72">
        <v>0.25</v>
      </c>
    </row>
    <row r="2641" spans="1:4" x14ac:dyDescent="0.2">
      <c r="A2641" s="71">
        <v>42431</v>
      </c>
      <c r="B2641" s="72">
        <v>0.5</v>
      </c>
      <c r="C2641" s="71">
        <v>42431</v>
      </c>
      <c r="D2641" s="72">
        <v>0.25</v>
      </c>
    </row>
    <row r="2642" spans="1:4" x14ac:dyDescent="0.2">
      <c r="A2642" s="71">
        <v>42432</v>
      </c>
      <c r="B2642" s="72">
        <v>0.5</v>
      </c>
      <c r="C2642" s="71">
        <v>42432</v>
      </c>
      <c r="D2642" s="72">
        <v>0.25</v>
      </c>
    </row>
    <row r="2643" spans="1:4" x14ac:dyDescent="0.2">
      <c r="A2643" s="71">
        <v>42433</v>
      </c>
      <c r="B2643" s="72">
        <v>0.5</v>
      </c>
      <c r="C2643" s="71">
        <v>42433</v>
      </c>
      <c r="D2643" s="72">
        <v>0.25</v>
      </c>
    </row>
    <row r="2644" spans="1:4" x14ac:dyDescent="0.2">
      <c r="A2644" s="71">
        <v>42434</v>
      </c>
      <c r="B2644" s="72">
        <v>0.5</v>
      </c>
      <c r="C2644" s="71">
        <v>42434</v>
      </c>
      <c r="D2644" s="72">
        <v>0.25</v>
      </c>
    </row>
    <row r="2645" spans="1:4" x14ac:dyDescent="0.2">
      <c r="A2645" s="71">
        <v>42435</v>
      </c>
      <c r="B2645" s="72">
        <v>0.5</v>
      </c>
      <c r="C2645" s="71">
        <v>42435</v>
      </c>
      <c r="D2645" s="72">
        <v>0.25</v>
      </c>
    </row>
    <row r="2646" spans="1:4" x14ac:dyDescent="0.2">
      <c r="A2646" s="71">
        <v>42436</v>
      </c>
      <c r="B2646" s="72">
        <v>0.5</v>
      </c>
      <c r="C2646" s="71">
        <v>42436</v>
      </c>
      <c r="D2646" s="72">
        <v>0.25</v>
      </c>
    </row>
    <row r="2647" spans="1:4" x14ac:dyDescent="0.2">
      <c r="A2647" s="71">
        <v>42437</v>
      </c>
      <c r="B2647" s="72">
        <v>0.5</v>
      </c>
      <c r="C2647" s="71">
        <v>42437</v>
      </c>
      <c r="D2647" s="72">
        <v>0.25</v>
      </c>
    </row>
    <row r="2648" spans="1:4" x14ac:dyDescent="0.2">
      <c r="A2648" s="71">
        <v>42438</v>
      </c>
      <c r="B2648" s="72">
        <v>0.5</v>
      </c>
      <c r="C2648" s="71">
        <v>42438</v>
      </c>
      <c r="D2648" s="72">
        <v>0.25</v>
      </c>
    </row>
    <row r="2649" spans="1:4" x14ac:dyDescent="0.2">
      <c r="A2649" s="71">
        <v>42439</v>
      </c>
      <c r="B2649" s="72">
        <v>0.5</v>
      </c>
      <c r="C2649" s="71">
        <v>42439</v>
      </c>
      <c r="D2649" s="72">
        <v>0.25</v>
      </c>
    </row>
    <row r="2650" spans="1:4" x14ac:dyDescent="0.2">
      <c r="A2650" s="71">
        <v>42440</v>
      </c>
      <c r="B2650" s="72">
        <v>0.5</v>
      </c>
      <c r="C2650" s="71">
        <v>42440</v>
      </c>
      <c r="D2650" s="72">
        <v>0.25</v>
      </c>
    </row>
    <row r="2651" spans="1:4" x14ac:dyDescent="0.2">
      <c r="A2651" s="71">
        <v>42441</v>
      </c>
      <c r="B2651" s="72">
        <v>0.5</v>
      </c>
      <c r="C2651" s="71">
        <v>42441</v>
      </c>
      <c r="D2651" s="72">
        <v>0.25</v>
      </c>
    </row>
    <row r="2652" spans="1:4" x14ac:dyDescent="0.2">
      <c r="A2652" s="71">
        <v>42442</v>
      </c>
      <c r="B2652" s="72">
        <v>0.5</v>
      </c>
      <c r="C2652" s="71">
        <v>42442</v>
      </c>
      <c r="D2652" s="72">
        <v>0.25</v>
      </c>
    </row>
    <row r="2653" spans="1:4" x14ac:dyDescent="0.2">
      <c r="A2653" s="71">
        <v>42443</v>
      </c>
      <c r="B2653" s="72">
        <v>0.5</v>
      </c>
      <c r="C2653" s="71">
        <v>42443</v>
      </c>
      <c r="D2653" s="72">
        <v>0.25</v>
      </c>
    </row>
    <row r="2654" spans="1:4" x14ac:dyDescent="0.2">
      <c r="A2654" s="71">
        <v>42444</v>
      </c>
      <c r="B2654" s="72">
        <v>0.5</v>
      </c>
      <c r="C2654" s="71">
        <v>42444</v>
      </c>
      <c r="D2654" s="72">
        <v>0.25</v>
      </c>
    </row>
    <row r="2655" spans="1:4" x14ac:dyDescent="0.2">
      <c r="A2655" s="71">
        <v>42445</v>
      </c>
      <c r="B2655" s="72">
        <v>0.5</v>
      </c>
      <c r="C2655" s="71">
        <v>42445</v>
      </c>
      <c r="D2655" s="72">
        <v>0.25</v>
      </c>
    </row>
    <row r="2656" spans="1:4" x14ac:dyDescent="0.2">
      <c r="A2656" s="71">
        <v>42446</v>
      </c>
      <c r="B2656" s="72">
        <v>0.5</v>
      </c>
      <c r="C2656" s="71">
        <v>42446</v>
      </c>
      <c r="D2656" s="72">
        <v>0.25</v>
      </c>
    </row>
    <row r="2657" spans="1:4" x14ac:dyDescent="0.2">
      <c r="A2657" s="71">
        <v>42447</v>
      </c>
      <c r="B2657" s="72">
        <v>0.5</v>
      </c>
      <c r="C2657" s="71">
        <v>42447</v>
      </c>
      <c r="D2657" s="72">
        <v>0.25</v>
      </c>
    </row>
    <row r="2658" spans="1:4" x14ac:dyDescent="0.2">
      <c r="A2658" s="71">
        <v>42448</v>
      </c>
      <c r="B2658" s="72">
        <v>0.5</v>
      </c>
      <c r="C2658" s="71">
        <v>42448</v>
      </c>
      <c r="D2658" s="72">
        <v>0.25</v>
      </c>
    </row>
    <row r="2659" spans="1:4" x14ac:dyDescent="0.2">
      <c r="A2659" s="71">
        <v>42449</v>
      </c>
      <c r="B2659" s="72">
        <v>0.5</v>
      </c>
      <c r="C2659" s="71">
        <v>42449</v>
      </c>
      <c r="D2659" s="72">
        <v>0.25</v>
      </c>
    </row>
    <row r="2660" spans="1:4" x14ac:dyDescent="0.2">
      <c r="A2660" s="71">
        <v>42450</v>
      </c>
      <c r="B2660" s="72">
        <v>0.5</v>
      </c>
      <c r="C2660" s="71">
        <v>42450</v>
      </c>
      <c r="D2660" s="72">
        <v>0.25</v>
      </c>
    </row>
    <row r="2661" spans="1:4" x14ac:dyDescent="0.2">
      <c r="A2661" s="71">
        <v>42451</v>
      </c>
      <c r="B2661" s="72">
        <v>0.5</v>
      </c>
      <c r="C2661" s="71">
        <v>42451</v>
      </c>
      <c r="D2661" s="72">
        <v>0.25</v>
      </c>
    </row>
    <row r="2662" spans="1:4" x14ac:dyDescent="0.2">
      <c r="A2662" s="71">
        <v>42452</v>
      </c>
      <c r="B2662" s="72">
        <v>0.5</v>
      </c>
      <c r="C2662" s="71">
        <v>42452</v>
      </c>
      <c r="D2662" s="72">
        <v>0.25</v>
      </c>
    </row>
    <row r="2663" spans="1:4" x14ac:dyDescent="0.2">
      <c r="A2663" s="71">
        <v>42453</v>
      </c>
      <c r="B2663" s="72">
        <v>0.5</v>
      </c>
      <c r="C2663" s="71">
        <v>42453</v>
      </c>
      <c r="D2663" s="72">
        <v>0.25</v>
      </c>
    </row>
    <row r="2664" spans="1:4" x14ac:dyDescent="0.2">
      <c r="A2664" s="71">
        <v>42454</v>
      </c>
      <c r="B2664" s="72">
        <v>0.5</v>
      </c>
      <c r="C2664" s="71">
        <v>42454</v>
      </c>
      <c r="D2664" s="72">
        <v>0.25</v>
      </c>
    </row>
    <row r="2665" spans="1:4" x14ac:dyDescent="0.2">
      <c r="A2665" s="71">
        <v>42455</v>
      </c>
      <c r="B2665" s="72">
        <v>0.5</v>
      </c>
      <c r="C2665" s="71">
        <v>42455</v>
      </c>
      <c r="D2665" s="72">
        <v>0.25</v>
      </c>
    </row>
    <row r="2666" spans="1:4" x14ac:dyDescent="0.2">
      <c r="A2666" s="71">
        <v>42456</v>
      </c>
      <c r="B2666" s="72">
        <v>0.5</v>
      </c>
      <c r="C2666" s="71">
        <v>42456</v>
      </c>
      <c r="D2666" s="72">
        <v>0.25</v>
      </c>
    </row>
    <row r="2667" spans="1:4" x14ac:dyDescent="0.2">
      <c r="A2667" s="71">
        <v>42457</v>
      </c>
      <c r="B2667" s="72">
        <v>0.5</v>
      </c>
      <c r="C2667" s="71">
        <v>42457</v>
      </c>
      <c r="D2667" s="72">
        <v>0.25</v>
      </c>
    </row>
    <row r="2668" spans="1:4" x14ac:dyDescent="0.2">
      <c r="A2668" s="71">
        <v>42458</v>
      </c>
      <c r="B2668" s="72">
        <v>0.5</v>
      </c>
      <c r="C2668" s="71">
        <v>42458</v>
      </c>
      <c r="D2668" s="72">
        <v>0.25</v>
      </c>
    </row>
    <row r="2669" spans="1:4" x14ac:dyDescent="0.2">
      <c r="A2669" s="71">
        <v>42459</v>
      </c>
      <c r="B2669" s="72">
        <v>0.5</v>
      </c>
      <c r="C2669" s="71">
        <v>42459</v>
      </c>
      <c r="D2669" s="72">
        <v>0.25</v>
      </c>
    </row>
    <row r="2670" spans="1:4" x14ac:dyDescent="0.2">
      <c r="A2670" s="71">
        <v>42460</v>
      </c>
      <c r="B2670" s="72">
        <v>0.5</v>
      </c>
      <c r="C2670" s="71">
        <v>42460</v>
      </c>
      <c r="D2670" s="72">
        <v>0.25</v>
      </c>
    </row>
    <row r="2671" spans="1:4" x14ac:dyDescent="0.2">
      <c r="A2671" s="71">
        <v>42461</v>
      </c>
      <c r="B2671" s="72">
        <v>0.5</v>
      </c>
      <c r="C2671" s="71">
        <v>42461</v>
      </c>
      <c r="D2671" s="72">
        <v>0.25</v>
      </c>
    </row>
    <row r="2672" spans="1:4" x14ac:dyDescent="0.2">
      <c r="A2672" s="71">
        <v>42462</v>
      </c>
      <c r="B2672" s="72">
        <v>0.5</v>
      </c>
      <c r="C2672" s="71">
        <v>42462</v>
      </c>
      <c r="D2672" s="72">
        <v>0.25</v>
      </c>
    </row>
    <row r="2673" spans="1:4" x14ac:dyDescent="0.2">
      <c r="A2673" s="71">
        <v>42463</v>
      </c>
      <c r="B2673" s="72">
        <v>0.5</v>
      </c>
      <c r="C2673" s="71">
        <v>42463</v>
      </c>
      <c r="D2673" s="72">
        <v>0.25</v>
      </c>
    </row>
    <row r="2674" spans="1:4" x14ac:dyDescent="0.2">
      <c r="A2674" s="71">
        <v>42464</v>
      </c>
      <c r="B2674" s="72">
        <v>0.5</v>
      </c>
      <c r="C2674" s="71">
        <v>42464</v>
      </c>
      <c r="D2674" s="72">
        <v>0.25</v>
      </c>
    </row>
    <row r="2675" spans="1:4" x14ac:dyDescent="0.2">
      <c r="A2675" s="71">
        <v>42465</v>
      </c>
      <c r="B2675" s="72">
        <v>0.5</v>
      </c>
      <c r="C2675" s="71">
        <v>42465</v>
      </c>
      <c r="D2675" s="72">
        <v>0.25</v>
      </c>
    </row>
    <row r="2676" spans="1:4" x14ac:dyDescent="0.2">
      <c r="A2676" s="71">
        <v>42466</v>
      </c>
      <c r="B2676" s="72">
        <v>0.5</v>
      </c>
      <c r="C2676" s="71">
        <v>42466</v>
      </c>
      <c r="D2676" s="72">
        <v>0.25</v>
      </c>
    </row>
    <row r="2677" spans="1:4" x14ac:dyDescent="0.2">
      <c r="A2677" s="71">
        <v>42467</v>
      </c>
      <c r="B2677" s="72">
        <v>0.5</v>
      </c>
      <c r="C2677" s="71">
        <v>42467</v>
      </c>
      <c r="D2677" s="72">
        <v>0.25</v>
      </c>
    </row>
    <row r="2678" spans="1:4" x14ac:dyDescent="0.2">
      <c r="A2678" s="71">
        <v>42468</v>
      </c>
      <c r="B2678" s="72">
        <v>0.5</v>
      </c>
      <c r="C2678" s="71">
        <v>42468</v>
      </c>
      <c r="D2678" s="72">
        <v>0.25</v>
      </c>
    </row>
    <row r="2679" spans="1:4" x14ac:dyDescent="0.2">
      <c r="A2679" s="71">
        <v>42469</v>
      </c>
      <c r="B2679" s="72">
        <v>0.5</v>
      </c>
      <c r="C2679" s="71">
        <v>42469</v>
      </c>
      <c r="D2679" s="72">
        <v>0.25</v>
      </c>
    </row>
    <row r="2680" spans="1:4" x14ac:dyDescent="0.2">
      <c r="A2680" s="71">
        <v>42470</v>
      </c>
      <c r="B2680" s="72">
        <v>0.5</v>
      </c>
      <c r="C2680" s="71">
        <v>42470</v>
      </c>
      <c r="D2680" s="72">
        <v>0.25</v>
      </c>
    </row>
    <row r="2681" spans="1:4" x14ac:dyDescent="0.2">
      <c r="A2681" s="71">
        <v>42471</v>
      </c>
      <c r="B2681" s="72">
        <v>0.5</v>
      </c>
      <c r="C2681" s="71">
        <v>42471</v>
      </c>
      <c r="D2681" s="72">
        <v>0.25</v>
      </c>
    </row>
    <row r="2682" spans="1:4" x14ac:dyDescent="0.2">
      <c r="A2682" s="71">
        <v>42472</v>
      </c>
      <c r="B2682" s="72">
        <v>0.5</v>
      </c>
      <c r="C2682" s="71">
        <v>42472</v>
      </c>
      <c r="D2682" s="72">
        <v>0.25</v>
      </c>
    </row>
    <row r="2683" spans="1:4" x14ac:dyDescent="0.2">
      <c r="A2683" s="71">
        <v>42473</v>
      </c>
      <c r="B2683" s="72">
        <v>0.5</v>
      </c>
      <c r="C2683" s="71">
        <v>42473</v>
      </c>
      <c r="D2683" s="72">
        <v>0.25</v>
      </c>
    </row>
    <row r="2684" spans="1:4" x14ac:dyDescent="0.2">
      <c r="A2684" s="71">
        <v>42474</v>
      </c>
      <c r="B2684" s="72">
        <v>0.5</v>
      </c>
      <c r="C2684" s="71">
        <v>42474</v>
      </c>
      <c r="D2684" s="72">
        <v>0.25</v>
      </c>
    </row>
    <row r="2685" spans="1:4" x14ac:dyDescent="0.2">
      <c r="A2685" s="71">
        <v>42475</v>
      </c>
      <c r="B2685" s="72">
        <v>0.5</v>
      </c>
      <c r="C2685" s="71">
        <v>42475</v>
      </c>
      <c r="D2685" s="72">
        <v>0.25</v>
      </c>
    </row>
    <row r="2686" spans="1:4" x14ac:dyDescent="0.2">
      <c r="A2686" s="71">
        <v>42476</v>
      </c>
      <c r="B2686" s="72">
        <v>0.5</v>
      </c>
      <c r="C2686" s="71">
        <v>42476</v>
      </c>
      <c r="D2686" s="72">
        <v>0.25</v>
      </c>
    </row>
    <row r="2687" spans="1:4" x14ac:dyDescent="0.2">
      <c r="A2687" s="71">
        <v>42477</v>
      </c>
      <c r="B2687" s="72">
        <v>0.5</v>
      </c>
      <c r="C2687" s="71">
        <v>42477</v>
      </c>
      <c r="D2687" s="72">
        <v>0.25</v>
      </c>
    </row>
    <row r="2688" spans="1:4" x14ac:dyDescent="0.2">
      <c r="A2688" s="71">
        <v>42478</v>
      </c>
      <c r="B2688" s="72">
        <v>0.5</v>
      </c>
      <c r="C2688" s="71">
        <v>42478</v>
      </c>
      <c r="D2688" s="72">
        <v>0.25</v>
      </c>
    </row>
    <row r="2689" spans="1:4" x14ac:dyDescent="0.2">
      <c r="A2689" s="71">
        <v>42479</v>
      </c>
      <c r="B2689" s="72">
        <v>0.5</v>
      </c>
      <c r="C2689" s="71">
        <v>42479</v>
      </c>
      <c r="D2689" s="72">
        <v>0.25</v>
      </c>
    </row>
    <row r="2690" spans="1:4" x14ac:dyDescent="0.2">
      <c r="A2690" s="71">
        <v>42480</v>
      </c>
      <c r="B2690" s="72">
        <v>0.5</v>
      </c>
      <c r="C2690" s="71">
        <v>42480</v>
      </c>
      <c r="D2690" s="72">
        <v>0.25</v>
      </c>
    </row>
    <row r="2691" spans="1:4" x14ac:dyDescent="0.2">
      <c r="A2691" s="71">
        <v>42481</v>
      </c>
      <c r="B2691" s="72">
        <v>0.5</v>
      </c>
      <c r="C2691" s="71">
        <v>42481</v>
      </c>
      <c r="D2691" s="72">
        <v>0.25</v>
      </c>
    </row>
    <row r="2692" spans="1:4" x14ac:dyDescent="0.2">
      <c r="A2692" s="71">
        <v>42482</v>
      </c>
      <c r="B2692" s="72">
        <v>0.5</v>
      </c>
      <c r="C2692" s="71">
        <v>42482</v>
      </c>
      <c r="D2692" s="72">
        <v>0.25</v>
      </c>
    </row>
    <row r="2693" spans="1:4" x14ac:dyDescent="0.2">
      <c r="A2693" s="71">
        <v>42483</v>
      </c>
      <c r="B2693" s="72">
        <v>0.5</v>
      </c>
      <c r="C2693" s="71">
        <v>42483</v>
      </c>
      <c r="D2693" s="72">
        <v>0.25</v>
      </c>
    </row>
    <row r="2694" spans="1:4" x14ac:dyDescent="0.2">
      <c r="A2694" s="71">
        <v>42484</v>
      </c>
      <c r="B2694" s="72">
        <v>0.5</v>
      </c>
      <c r="C2694" s="71">
        <v>42484</v>
      </c>
      <c r="D2694" s="72">
        <v>0.25</v>
      </c>
    </row>
    <row r="2695" spans="1:4" x14ac:dyDescent="0.2">
      <c r="A2695" s="71">
        <v>42485</v>
      </c>
      <c r="B2695" s="72">
        <v>0.5</v>
      </c>
      <c r="C2695" s="71">
        <v>42485</v>
      </c>
      <c r="D2695" s="72">
        <v>0.25</v>
      </c>
    </row>
    <row r="2696" spans="1:4" x14ac:dyDescent="0.2">
      <c r="A2696" s="71">
        <v>42486</v>
      </c>
      <c r="B2696" s="72">
        <v>0.5</v>
      </c>
      <c r="C2696" s="71">
        <v>42486</v>
      </c>
      <c r="D2696" s="72">
        <v>0.25</v>
      </c>
    </row>
    <row r="2697" spans="1:4" x14ac:dyDescent="0.2">
      <c r="A2697" s="71">
        <v>42487</v>
      </c>
      <c r="B2697" s="72">
        <v>0.5</v>
      </c>
      <c r="C2697" s="71">
        <v>42487</v>
      </c>
      <c r="D2697" s="72">
        <v>0.25</v>
      </c>
    </row>
    <row r="2698" spans="1:4" x14ac:dyDescent="0.2">
      <c r="A2698" s="71">
        <v>42488</v>
      </c>
      <c r="B2698" s="72">
        <v>0.5</v>
      </c>
      <c r="C2698" s="71">
        <v>42488</v>
      </c>
      <c r="D2698" s="72">
        <v>0.25</v>
      </c>
    </row>
    <row r="2699" spans="1:4" x14ac:dyDescent="0.2">
      <c r="A2699" s="71">
        <v>42489</v>
      </c>
      <c r="B2699" s="72">
        <v>0.5</v>
      </c>
      <c r="C2699" s="71">
        <v>42489</v>
      </c>
      <c r="D2699" s="72">
        <v>0.25</v>
      </c>
    </row>
    <row r="2700" spans="1:4" x14ac:dyDescent="0.2">
      <c r="A2700" s="71">
        <v>42490</v>
      </c>
      <c r="B2700" s="72">
        <v>0.5</v>
      </c>
      <c r="C2700" s="71">
        <v>42490</v>
      </c>
      <c r="D2700" s="72">
        <v>0.25</v>
      </c>
    </row>
    <row r="2701" spans="1:4" x14ac:dyDescent="0.2">
      <c r="A2701" s="71">
        <v>42491</v>
      </c>
      <c r="B2701" s="72">
        <v>0.5</v>
      </c>
      <c r="C2701" s="71">
        <v>42491</v>
      </c>
      <c r="D2701" s="72">
        <v>0.25</v>
      </c>
    </row>
    <row r="2702" spans="1:4" x14ac:dyDescent="0.2">
      <c r="A2702" s="71">
        <v>42492</v>
      </c>
      <c r="B2702" s="72">
        <v>0.5</v>
      </c>
      <c r="C2702" s="71">
        <v>42492</v>
      </c>
      <c r="D2702" s="72">
        <v>0.25</v>
      </c>
    </row>
    <row r="2703" spans="1:4" x14ac:dyDescent="0.2">
      <c r="A2703" s="71">
        <v>42493</v>
      </c>
      <c r="B2703" s="72">
        <v>0.5</v>
      </c>
      <c r="C2703" s="71">
        <v>42493</v>
      </c>
      <c r="D2703" s="72">
        <v>0.25</v>
      </c>
    </row>
    <row r="2704" spans="1:4" x14ac:dyDescent="0.2">
      <c r="A2704" s="71">
        <v>42494</v>
      </c>
      <c r="B2704" s="72">
        <v>0.5</v>
      </c>
      <c r="C2704" s="71">
        <v>42494</v>
      </c>
      <c r="D2704" s="72">
        <v>0.25</v>
      </c>
    </row>
    <row r="2705" spans="1:4" x14ac:dyDescent="0.2">
      <c r="A2705" s="71">
        <v>42495</v>
      </c>
      <c r="B2705" s="72">
        <v>0.5</v>
      </c>
      <c r="C2705" s="71">
        <v>42495</v>
      </c>
      <c r="D2705" s="72">
        <v>0.25</v>
      </c>
    </row>
    <row r="2706" spans="1:4" x14ac:dyDescent="0.2">
      <c r="A2706" s="71">
        <v>42496</v>
      </c>
      <c r="B2706" s="72">
        <v>0.5</v>
      </c>
      <c r="C2706" s="71">
        <v>42496</v>
      </c>
      <c r="D2706" s="72">
        <v>0.25</v>
      </c>
    </row>
    <row r="2707" spans="1:4" x14ac:dyDescent="0.2">
      <c r="A2707" s="71">
        <v>42497</v>
      </c>
      <c r="B2707" s="72">
        <v>0.5</v>
      </c>
      <c r="C2707" s="71">
        <v>42497</v>
      </c>
      <c r="D2707" s="72">
        <v>0.25</v>
      </c>
    </row>
    <row r="2708" spans="1:4" x14ac:dyDescent="0.2">
      <c r="A2708" s="71">
        <v>42498</v>
      </c>
      <c r="B2708" s="72">
        <v>0.5</v>
      </c>
      <c r="C2708" s="71">
        <v>42498</v>
      </c>
      <c r="D2708" s="72">
        <v>0.25</v>
      </c>
    </row>
    <row r="2709" spans="1:4" x14ac:dyDescent="0.2">
      <c r="A2709" s="71">
        <v>42499</v>
      </c>
      <c r="B2709" s="72">
        <v>0.5</v>
      </c>
      <c r="C2709" s="71">
        <v>42499</v>
      </c>
      <c r="D2709" s="72">
        <v>0.25</v>
      </c>
    </row>
    <row r="2710" spans="1:4" x14ac:dyDescent="0.2">
      <c r="A2710" s="71">
        <v>42500</v>
      </c>
      <c r="B2710" s="72">
        <v>0.5</v>
      </c>
      <c r="C2710" s="71">
        <v>42500</v>
      </c>
      <c r="D2710" s="72">
        <v>0.25</v>
      </c>
    </row>
    <row r="2711" spans="1:4" x14ac:dyDescent="0.2">
      <c r="A2711" s="71">
        <v>42501</v>
      </c>
      <c r="B2711" s="72">
        <v>0.5</v>
      </c>
      <c r="C2711" s="71">
        <v>42501</v>
      </c>
      <c r="D2711" s="72">
        <v>0.25</v>
      </c>
    </row>
    <row r="2712" spans="1:4" x14ac:dyDescent="0.2">
      <c r="A2712" s="71">
        <v>42502</v>
      </c>
      <c r="B2712" s="72">
        <v>0.5</v>
      </c>
      <c r="C2712" s="71">
        <v>42502</v>
      </c>
      <c r="D2712" s="72">
        <v>0.25</v>
      </c>
    </row>
    <row r="2713" spans="1:4" x14ac:dyDescent="0.2">
      <c r="A2713" s="71">
        <v>42503</v>
      </c>
      <c r="B2713" s="72">
        <v>0.5</v>
      </c>
      <c r="C2713" s="71">
        <v>42503</v>
      </c>
      <c r="D2713" s="72">
        <v>0.25</v>
      </c>
    </row>
    <row r="2714" spans="1:4" x14ac:dyDescent="0.2">
      <c r="A2714" s="71">
        <v>42504</v>
      </c>
      <c r="B2714" s="72">
        <v>0.5</v>
      </c>
      <c r="C2714" s="71">
        <v>42504</v>
      </c>
      <c r="D2714" s="72">
        <v>0.25</v>
      </c>
    </row>
    <row r="2715" spans="1:4" x14ac:dyDescent="0.2">
      <c r="A2715" s="71">
        <v>42505</v>
      </c>
      <c r="B2715" s="72">
        <v>0.5</v>
      </c>
      <c r="C2715" s="71">
        <v>42505</v>
      </c>
      <c r="D2715" s="72">
        <v>0.25</v>
      </c>
    </row>
    <row r="2716" spans="1:4" x14ac:dyDescent="0.2">
      <c r="A2716" s="71">
        <v>42506</v>
      </c>
      <c r="B2716" s="72">
        <v>0.5</v>
      </c>
      <c r="C2716" s="71">
        <v>42506</v>
      </c>
      <c r="D2716" s="72">
        <v>0.25</v>
      </c>
    </row>
    <row r="2717" spans="1:4" x14ac:dyDescent="0.2">
      <c r="A2717" s="71">
        <v>42507</v>
      </c>
      <c r="B2717" s="72">
        <v>0.5</v>
      </c>
      <c r="C2717" s="71">
        <v>42507</v>
      </c>
      <c r="D2717" s="72">
        <v>0.25</v>
      </c>
    </row>
    <row r="2718" spans="1:4" x14ac:dyDescent="0.2">
      <c r="A2718" s="71">
        <v>42508</v>
      </c>
      <c r="B2718" s="72">
        <v>0.5</v>
      </c>
      <c r="C2718" s="71">
        <v>42508</v>
      </c>
      <c r="D2718" s="72">
        <v>0.25</v>
      </c>
    </row>
    <row r="2719" spans="1:4" x14ac:dyDescent="0.2">
      <c r="A2719" s="71">
        <v>42509</v>
      </c>
      <c r="B2719" s="72">
        <v>0.5</v>
      </c>
      <c r="C2719" s="71">
        <v>42509</v>
      </c>
      <c r="D2719" s="72">
        <v>0.25</v>
      </c>
    </row>
    <row r="2720" spans="1:4" x14ac:dyDescent="0.2">
      <c r="A2720" s="71">
        <v>42510</v>
      </c>
      <c r="B2720" s="72">
        <v>0.5</v>
      </c>
      <c r="C2720" s="71">
        <v>42510</v>
      </c>
      <c r="D2720" s="72">
        <v>0.25</v>
      </c>
    </row>
    <row r="2721" spans="1:4" x14ac:dyDescent="0.2">
      <c r="A2721" s="71">
        <v>42511</v>
      </c>
      <c r="B2721" s="72">
        <v>0.5</v>
      </c>
      <c r="C2721" s="71">
        <v>42511</v>
      </c>
      <c r="D2721" s="72">
        <v>0.25</v>
      </c>
    </row>
    <row r="2722" spans="1:4" x14ac:dyDescent="0.2">
      <c r="A2722" s="71">
        <v>42512</v>
      </c>
      <c r="B2722" s="72">
        <v>0.5</v>
      </c>
      <c r="C2722" s="71">
        <v>42512</v>
      </c>
      <c r="D2722" s="72">
        <v>0.25</v>
      </c>
    </row>
    <row r="2723" spans="1:4" x14ac:dyDescent="0.2">
      <c r="A2723" s="71">
        <v>42513</v>
      </c>
      <c r="B2723" s="72">
        <v>0.5</v>
      </c>
      <c r="C2723" s="71">
        <v>42513</v>
      </c>
      <c r="D2723" s="72">
        <v>0.25</v>
      </c>
    </row>
    <row r="2724" spans="1:4" x14ac:dyDescent="0.2">
      <c r="A2724" s="71">
        <v>42514</v>
      </c>
      <c r="B2724" s="72">
        <v>0.5</v>
      </c>
      <c r="C2724" s="71">
        <v>42514</v>
      </c>
      <c r="D2724" s="72">
        <v>0.25</v>
      </c>
    </row>
    <row r="2725" spans="1:4" x14ac:dyDescent="0.2">
      <c r="A2725" s="71">
        <v>42515</v>
      </c>
      <c r="B2725" s="72">
        <v>0.5</v>
      </c>
      <c r="C2725" s="71">
        <v>42515</v>
      </c>
      <c r="D2725" s="72">
        <v>0.25</v>
      </c>
    </row>
    <row r="2726" spans="1:4" x14ac:dyDescent="0.2">
      <c r="A2726" s="71">
        <v>42516</v>
      </c>
      <c r="B2726" s="72">
        <v>0.5</v>
      </c>
      <c r="C2726" s="71">
        <v>42516</v>
      </c>
      <c r="D2726" s="72">
        <v>0.25</v>
      </c>
    </row>
    <row r="2727" spans="1:4" x14ac:dyDescent="0.2">
      <c r="A2727" s="71">
        <v>42517</v>
      </c>
      <c r="B2727" s="72">
        <v>0.5</v>
      </c>
      <c r="C2727" s="71">
        <v>42517</v>
      </c>
      <c r="D2727" s="72">
        <v>0.25</v>
      </c>
    </row>
    <row r="2728" spans="1:4" x14ac:dyDescent="0.2">
      <c r="A2728" s="71">
        <v>42518</v>
      </c>
      <c r="B2728" s="72">
        <v>0.5</v>
      </c>
      <c r="C2728" s="71">
        <v>42518</v>
      </c>
      <c r="D2728" s="72">
        <v>0.25</v>
      </c>
    </row>
    <row r="2729" spans="1:4" x14ac:dyDescent="0.2">
      <c r="A2729" s="71">
        <v>42519</v>
      </c>
      <c r="B2729" s="72">
        <v>0.5</v>
      </c>
      <c r="C2729" s="71">
        <v>42519</v>
      </c>
      <c r="D2729" s="72">
        <v>0.25</v>
      </c>
    </row>
    <row r="2730" spans="1:4" x14ac:dyDescent="0.2">
      <c r="A2730" s="71">
        <v>42520</v>
      </c>
      <c r="B2730" s="72">
        <v>0.5</v>
      </c>
      <c r="C2730" s="71">
        <v>42520</v>
      </c>
      <c r="D2730" s="72">
        <v>0.25</v>
      </c>
    </row>
    <row r="2731" spans="1:4" x14ac:dyDescent="0.2">
      <c r="A2731" s="71">
        <v>42521</v>
      </c>
      <c r="B2731" s="72">
        <v>0.5</v>
      </c>
      <c r="C2731" s="71">
        <v>42521</v>
      </c>
      <c r="D2731" s="72">
        <v>0.25</v>
      </c>
    </row>
    <row r="2732" spans="1:4" x14ac:dyDescent="0.2">
      <c r="A2732" s="71">
        <v>42522</v>
      </c>
      <c r="B2732" s="72">
        <v>0.5</v>
      </c>
      <c r="C2732" s="71">
        <v>42522</v>
      </c>
      <c r="D2732" s="72">
        <v>0.25</v>
      </c>
    </row>
    <row r="2733" spans="1:4" x14ac:dyDescent="0.2">
      <c r="A2733" s="71">
        <v>42523</v>
      </c>
      <c r="B2733" s="72">
        <v>0.5</v>
      </c>
      <c r="C2733" s="71">
        <v>42523</v>
      </c>
      <c r="D2733" s="72">
        <v>0.25</v>
      </c>
    </row>
    <row r="2734" spans="1:4" x14ac:dyDescent="0.2">
      <c r="A2734" s="71">
        <v>42524</v>
      </c>
      <c r="B2734" s="72">
        <v>0.5</v>
      </c>
      <c r="C2734" s="71">
        <v>42524</v>
      </c>
      <c r="D2734" s="72">
        <v>0.25</v>
      </c>
    </row>
    <row r="2735" spans="1:4" x14ac:dyDescent="0.2">
      <c r="A2735" s="71">
        <v>42525</v>
      </c>
      <c r="B2735" s="72">
        <v>0.5</v>
      </c>
      <c r="C2735" s="71">
        <v>42525</v>
      </c>
      <c r="D2735" s="72">
        <v>0.25</v>
      </c>
    </row>
    <row r="2736" spans="1:4" x14ac:dyDescent="0.2">
      <c r="A2736" s="71">
        <v>42526</v>
      </c>
      <c r="B2736" s="72">
        <v>0.5</v>
      </c>
      <c r="C2736" s="71">
        <v>42526</v>
      </c>
      <c r="D2736" s="72">
        <v>0.25</v>
      </c>
    </row>
    <row r="2737" spans="1:4" x14ac:dyDescent="0.2">
      <c r="A2737" s="71">
        <v>42527</v>
      </c>
      <c r="B2737" s="72">
        <v>0.5</v>
      </c>
      <c r="C2737" s="71">
        <v>42527</v>
      </c>
      <c r="D2737" s="72">
        <v>0.25</v>
      </c>
    </row>
    <row r="2738" spans="1:4" x14ac:dyDescent="0.2">
      <c r="A2738" s="71">
        <v>42528</v>
      </c>
      <c r="B2738" s="72">
        <v>0.5</v>
      </c>
      <c r="C2738" s="71">
        <v>42528</v>
      </c>
      <c r="D2738" s="72">
        <v>0.25</v>
      </c>
    </row>
    <row r="2739" spans="1:4" x14ac:dyDescent="0.2">
      <c r="A2739" s="71">
        <v>42529</v>
      </c>
      <c r="B2739" s="72">
        <v>0.5</v>
      </c>
      <c r="C2739" s="71">
        <v>42529</v>
      </c>
      <c r="D2739" s="72">
        <v>0.25</v>
      </c>
    </row>
    <row r="2740" spans="1:4" x14ac:dyDescent="0.2">
      <c r="A2740" s="71">
        <v>42530</v>
      </c>
      <c r="B2740" s="72">
        <v>0.5</v>
      </c>
      <c r="C2740" s="71">
        <v>42530</v>
      </c>
      <c r="D2740" s="72">
        <v>0.25</v>
      </c>
    </row>
    <row r="2741" spans="1:4" x14ac:dyDescent="0.2">
      <c r="A2741" s="71">
        <v>42531</v>
      </c>
      <c r="B2741" s="72">
        <v>0.5</v>
      </c>
      <c r="C2741" s="71">
        <v>42531</v>
      </c>
      <c r="D2741" s="72">
        <v>0.25</v>
      </c>
    </row>
    <row r="2742" spans="1:4" x14ac:dyDescent="0.2">
      <c r="A2742" s="71">
        <v>42532</v>
      </c>
      <c r="B2742" s="72">
        <v>0.5</v>
      </c>
      <c r="C2742" s="71">
        <v>42532</v>
      </c>
      <c r="D2742" s="72">
        <v>0.25</v>
      </c>
    </row>
    <row r="2743" spans="1:4" x14ac:dyDescent="0.2">
      <c r="A2743" s="71">
        <v>42533</v>
      </c>
      <c r="B2743" s="72">
        <v>0.5</v>
      </c>
      <c r="C2743" s="71">
        <v>42533</v>
      </c>
      <c r="D2743" s="72">
        <v>0.25</v>
      </c>
    </row>
    <row r="2744" spans="1:4" x14ac:dyDescent="0.2">
      <c r="A2744" s="71">
        <v>42534</v>
      </c>
      <c r="B2744" s="72">
        <v>0.5</v>
      </c>
      <c r="C2744" s="71">
        <v>42534</v>
      </c>
      <c r="D2744" s="72">
        <v>0.25</v>
      </c>
    </row>
    <row r="2745" spans="1:4" x14ac:dyDescent="0.2">
      <c r="A2745" s="71">
        <v>42535</v>
      </c>
      <c r="B2745" s="72">
        <v>0.5</v>
      </c>
      <c r="C2745" s="71">
        <v>42535</v>
      </c>
      <c r="D2745" s="72">
        <v>0.25</v>
      </c>
    </row>
    <row r="2746" spans="1:4" x14ac:dyDescent="0.2">
      <c r="A2746" s="71">
        <v>42536</v>
      </c>
      <c r="B2746" s="72">
        <v>0.5</v>
      </c>
      <c r="C2746" s="71">
        <v>42536</v>
      </c>
      <c r="D2746" s="72">
        <v>0.25</v>
      </c>
    </row>
    <row r="2747" spans="1:4" x14ac:dyDescent="0.2">
      <c r="A2747" s="71">
        <v>42537</v>
      </c>
      <c r="B2747" s="72">
        <v>0.5</v>
      </c>
      <c r="C2747" s="71">
        <v>42537</v>
      </c>
      <c r="D2747" s="72">
        <v>0.25</v>
      </c>
    </row>
    <row r="2748" spans="1:4" x14ac:dyDescent="0.2">
      <c r="A2748" s="71">
        <v>42538</v>
      </c>
      <c r="B2748" s="72">
        <v>0.5</v>
      </c>
      <c r="C2748" s="71">
        <v>42538</v>
      </c>
      <c r="D2748" s="72">
        <v>0.25</v>
      </c>
    </row>
    <row r="2749" spans="1:4" x14ac:dyDescent="0.2">
      <c r="A2749" s="71">
        <v>42539</v>
      </c>
      <c r="B2749" s="72">
        <v>0.5</v>
      </c>
      <c r="C2749" s="71">
        <v>42539</v>
      </c>
      <c r="D2749" s="72">
        <v>0.25</v>
      </c>
    </row>
    <row r="2750" spans="1:4" x14ac:dyDescent="0.2">
      <c r="A2750" s="71">
        <v>42540</v>
      </c>
      <c r="B2750" s="72">
        <v>0.5</v>
      </c>
      <c r="C2750" s="71">
        <v>42540</v>
      </c>
      <c r="D2750" s="72">
        <v>0.25</v>
      </c>
    </row>
    <row r="2751" spans="1:4" x14ac:dyDescent="0.2">
      <c r="A2751" s="71">
        <v>42541</v>
      </c>
      <c r="B2751" s="72">
        <v>0.5</v>
      </c>
      <c r="C2751" s="71">
        <v>42541</v>
      </c>
      <c r="D2751" s="72">
        <v>0.25</v>
      </c>
    </row>
    <row r="2752" spans="1:4" x14ac:dyDescent="0.2">
      <c r="A2752" s="71">
        <v>42542</v>
      </c>
      <c r="B2752" s="72">
        <v>0.5</v>
      </c>
      <c r="C2752" s="71">
        <v>42542</v>
      </c>
      <c r="D2752" s="72">
        <v>0.25</v>
      </c>
    </row>
    <row r="2753" spans="1:4" x14ac:dyDescent="0.2">
      <c r="A2753" s="71">
        <v>42543</v>
      </c>
      <c r="B2753" s="72">
        <v>0.5</v>
      </c>
      <c r="C2753" s="71">
        <v>42543</v>
      </c>
      <c r="D2753" s="72">
        <v>0.25</v>
      </c>
    </row>
    <row r="2754" spans="1:4" x14ac:dyDescent="0.2">
      <c r="A2754" s="71">
        <v>42544</v>
      </c>
      <c r="B2754" s="72">
        <v>0.5</v>
      </c>
      <c r="C2754" s="71">
        <v>42544</v>
      </c>
      <c r="D2754" s="72">
        <v>0.25</v>
      </c>
    </row>
    <row r="2755" spans="1:4" x14ac:dyDescent="0.2">
      <c r="A2755" s="71">
        <v>42545</v>
      </c>
      <c r="B2755" s="72">
        <v>0.5</v>
      </c>
      <c r="C2755" s="71">
        <v>42545</v>
      </c>
      <c r="D2755" s="72">
        <v>0.25</v>
      </c>
    </row>
    <row r="2756" spans="1:4" x14ac:dyDescent="0.2">
      <c r="A2756" s="71">
        <v>42546</v>
      </c>
      <c r="B2756" s="72">
        <v>0.5</v>
      </c>
      <c r="C2756" s="71">
        <v>42546</v>
      </c>
      <c r="D2756" s="72">
        <v>0.25</v>
      </c>
    </row>
    <row r="2757" spans="1:4" x14ac:dyDescent="0.2">
      <c r="A2757" s="71">
        <v>42547</v>
      </c>
      <c r="B2757" s="72">
        <v>0.5</v>
      </c>
      <c r="C2757" s="71">
        <v>42547</v>
      </c>
      <c r="D2757" s="72">
        <v>0.25</v>
      </c>
    </row>
    <row r="2758" spans="1:4" x14ac:dyDescent="0.2">
      <c r="A2758" s="71">
        <v>42548</v>
      </c>
      <c r="B2758" s="72">
        <v>0.5</v>
      </c>
      <c r="C2758" s="71">
        <v>42548</v>
      </c>
      <c r="D2758" s="72">
        <v>0.25</v>
      </c>
    </row>
    <row r="2759" spans="1:4" x14ac:dyDescent="0.2">
      <c r="A2759" s="71">
        <v>42549</v>
      </c>
      <c r="B2759" s="72">
        <v>0.5</v>
      </c>
      <c r="C2759" s="71">
        <v>42549</v>
      </c>
      <c r="D2759" s="72">
        <v>0.25</v>
      </c>
    </row>
    <row r="2760" spans="1:4" x14ac:dyDescent="0.2">
      <c r="A2760" s="71">
        <v>42550</v>
      </c>
      <c r="B2760" s="72">
        <v>0.5</v>
      </c>
      <c r="C2760" s="71">
        <v>42550</v>
      </c>
      <c r="D2760" s="72">
        <v>0.25</v>
      </c>
    </row>
    <row r="2761" spans="1:4" x14ac:dyDescent="0.2">
      <c r="A2761" s="71">
        <v>42551</v>
      </c>
      <c r="B2761" s="72">
        <v>0.5</v>
      </c>
      <c r="C2761" s="71">
        <v>42551</v>
      </c>
      <c r="D2761" s="72">
        <v>0.25</v>
      </c>
    </row>
    <row r="2762" spans="1:4" x14ac:dyDescent="0.2">
      <c r="A2762" s="71">
        <v>42552</v>
      </c>
      <c r="B2762" s="72">
        <v>0.5</v>
      </c>
      <c r="C2762" s="71">
        <v>42552</v>
      </c>
      <c r="D2762" s="72">
        <v>0.25</v>
      </c>
    </row>
    <row r="2763" spans="1:4" x14ac:dyDescent="0.2">
      <c r="A2763" s="71">
        <v>42553</v>
      </c>
      <c r="B2763" s="72">
        <v>0.5</v>
      </c>
      <c r="C2763" s="71">
        <v>42553</v>
      </c>
      <c r="D2763" s="72">
        <v>0.25</v>
      </c>
    </row>
    <row r="2764" spans="1:4" x14ac:dyDescent="0.2">
      <c r="A2764" s="71">
        <v>42554</v>
      </c>
      <c r="B2764" s="72">
        <v>0.5</v>
      </c>
      <c r="C2764" s="71">
        <v>42554</v>
      </c>
      <c r="D2764" s="72">
        <v>0.25</v>
      </c>
    </row>
    <row r="2765" spans="1:4" x14ac:dyDescent="0.2">
      <c r="A2765" s="71">
        <v>42555</v>
      </c>
      <c r="B2765" s="72">
        <v>0.5</v>
      </c>
      <c r="C2765" s="71">
        <v>42555</v>
      </c>
      <c r="D2765" s="72">
        <v>0.25</v>
      </c>
    </row>
    <row r="2766" spans="1:4" x14ac:dyDescent="0.2">
      <c r="A2766" s="71">
        <v>42556</v>
      </c>
      <c r="B2766" s="72">
        <v>0.5</v>
      </c>
      <c r="C2766" s="71">
        <v>42556</v>
      </c>
      <c r="D2766" s="72">
        <v>0.25</v>
      </c>
    </row>
    <row r="2767" spans="1:4" x14ac:dyDescent="0.2">
      <c r="A2767" s="71">
        <v>42557</v>
      </c>
      <c r="B2767" s="72">
        <v>0.5</v>
      </c>
      <c r="C2767" s="71">
        <v>42557</v>
      </c>
      <c r="D2767" s="72">
        <v>0.25</v>
      </c>
    </row>
    <row r="2768" spans="1:4" x14ac:dyDescent="0.2">
      <c r="A2768" s="71">
        <v>42558</v>
      </c>
      <c r="B2768" s="72">
        <v>0.5</v>
      </c>
      <c r="C2768" s="71">
        <v>42558</v>
      </c>
      <c r="D2768" s="72">
        <v>0.25</v>
      </c>
    </row>
    <row r="2769" spans="1:4" x14ac:dyDescent="0.2">
      <c r="A2769" s="71">
        <v>42559</v>
      </c>
      <c r="B2769" s="72">
        <v>0.5</v>
      </c>
      <c r="C2769" s="71">
        <v>42559</v>
      </c>
      <c r="D2769" s="72">
        <v>0.25</v>
      </c>
    </row>
    <row r="2770" spans="1:4" x14ac:dyDescent="0.2">
      <c r="A2770" s="71">
        <v>42560</v>
      </c>
      <c r="B2770" s="72">
        <v>0.5</v>
      </c>
      <c r="C2770" s="71">
        <v>42560</v>
      </c>
      <c r="D2770" s="72">
        <v>0.25</v>
      </c>
    </row>
    <row r="2771" spans="1:4" x14ac:dyDescent="0.2">
      <c r="A2771" s="71">
        <v>42561</v>
      </c>
      <c r="B2771" s="72">
        <v>0.5</v>
      </c>
      <c r="C2771" s="71">
        <v>42561</v>
      </c>
      <c r="D2771" s="72">
        <v>0.25</v>
      </c>
    </row>
    <row r="2772" spans="1:4" x14ac:dyDescent="0.2">
      <c r="A2772" s="71">
        <v>42562</v>
      </c>
      <c r="B2772" s="72">
        <v>0.5</v>
      </c>
      <c r="C2772" s="71">
        <v>42562</v>
      </c>
      <c r="D2772" s="72">
        <v>0.25</v>
      </c>
    </row>
    <row r="2773" spans="1:4" x14ac:dyDescent="0.2">
      <c r="A2773" s="71">
        <v>42563</v>
      </c>
      <c r="B2773" s="72">
        <v>0.5</v>
      </c>
      <c r="C2773" s="71">
        <v>42563</v>
      </c>
      <c r="D2773" s="72">
        <v>0.25</v>
      </c>
    </row>
    <row r="2774" spans="1:4" x14ac:dyDescent="0.2">
      <c r="A2774" s="71">
        <v>42564</v>
      </c>
      <c r="B2774" s="72">
        <v>0.5</v>
      </c>
      <c r="C2774" s="71">
        <v>42564</v>
      </c>
      <c r="D2774" s="72">
        <v>0.25</v>
      </c>
    </row>
    <row r="2775" spans="1:4" x14ac:dyDescent="0.2">
      <c r="A2775" s="71">
        <v>42565</v>
      </c>
      <c r="B2775" s="72">
        <v>0.5</v>
      </c>
      <c r="C2775" s="71">
        <v>42565</v>
      </c>
      <c r="D2775" s="72">
        <v>0.25</v>
      </c>
    </row>
    <row r="2776" spans="1:4" x14ac:dyDescent="0.2">
      <c r="A2776" s="71">
        <v>42566</v>
      </c>
      <c r="B2776" s="72">
        <v>0.5</v>
      </c>
      <c r="C2776" s="71">
        <v>42566</v>
      </c>
      <c r="D2776" s="72">
        <v>0.25</v>
      </c>
    </row>
    <row r="2777" spans="1:4" x14ac:dyDescent="0.2">
      <c r="A2777" s="71">
        <v>42567</v>
      </c>
      <c r="B2777" s="72">
        <v>0.5</v>
      </c>
      <c r="C2777" s="71">
        <v>42567</v>
      </c>
      <c r="D2777" s="72">
        <v>0.25</v>
      </c>
    </row>
    <row r="2778" spans="1:4" x14ac:dyDescent="0.2">
      <c r="A2778" s="71">
        <v>42568</v>
      </c>
      <c r="B2778" s="72">
        <v>0.5</v>
      </c>
      <c r="C2778" s="71">
        <v>42568</v>
      </c>
      <c r="D2778" s="72">
        <v>0.25</v>
      </c>
    </row>
    <row r="2779" spans="1:4" x14ac:dyDescent="0.2">
      <c r="A2779" s="71">
        <v>42569</v>
      </c>
      <c r="B2779" s="72">
        <v>0.5</v>
      </c>
      <c r="C2779" s="71">
        <v>42569</v>
      </c>
      <c r="D2779" s="72">
        <v>0.25</v>
      </c>
    </row>
    <row r="2780" spans="1:4" x14ac:dyDescent="0.2">
      <c r="A2780" s="71">
        <v>42570</v>
      </c>
      <c r="B2780" s="72">
        <v>0.5</v>
      </c>
      <c r="C2780" s="71">
        <v>42570</v>
      </c>
      <c r="D2780" s="72">
        <v>0.25</v>
      </c>
    </row>
    <row r="2781" spans="1:4" x14ac:dyDescent="0.2">
      <c r="A2781" s="71">
        <v>42571</v>
      </c>
      <c r="B2781" s="72">
        <v>0.5</v>
      </c>
      <c r="C2781" s="71">
        <v>42571</v>
      </c>
      <c r="D2781" s="72">
        <v>0.25</v>
      </c>
    </row>
    <row r="2782" spans="1:4" x14ac:dyDescent="0.2">
      <c r="A2782" s="71">
        <v>42572</v>
      </c>
      <c r="B2782" s="72">
        <v>0.5</v>
      </c>
      <c r="C2782" s="71">
        <v>42572</v>
      </c>
      <c r="D2782" s="72">
        <v>0.25</v>
      </c>
    </row>
    <row r="2783" spans="1:4" x14ac:dyDescent="0.2">
      <c r="A2783" s="71">
        <v>42573</v>
      </c>
      <c r="B2783" s="72">
        <v>0.5</v>
      </c>
      <c r="C2783" s="71">
        <v>42573</v>
      </c>
      <c r="D2783" s="72">
        <v>0.25</v>
      </c>
    </row>
    <row r="2784" spans="1:4" x14ac:dyDescent="0.2">
      <c r="A2784" s="71">
        <v>42574</v>
      </c>
      <c r="B2784" s="72">
        <v>0.5</v>
      </c>
      <c r="C2784" s="71">
        <v>42574</v>
      </c>
      <c r="D2784" s="72">
        <v>0.25</v>
      </c>
    </row>
    <row r="2785" spans="1:4" x14ac:dyDescent="0.2">
      <c r="A2785" s="71">
        <v>42575</v>
      </c>
      <c r="B2785" s="72">
        <v>0.5</v>
      </c>
      <c r="C2785" s="71">
        <v>42575</v>
      </c>
      <c r="D2785" s="72">
        <v>0.25</v>
      </c>
    </row>
    <row r="2786" spans="1:4" x14ac:dyDescent="0.2">
      <c r="A2786" s="71">
        <v>42576</v>
      </c>
      <c r="B2786" s="72">
        <v>0.5</v>
      </c>
      <c r="C2786" s="71">
        <v>42576</v>
      </c>
      <c r="D2786" s="72">
        <v>0.25</v>
      </c>
    </row>
    <row r="2787" spans="1:4" x14ac:dyDescent="0.2">
      <c r="A2787" s="71">
        <v>42577</v>
      </c>
      <c r="B2787" s="72">
        <v>0.5</v>
      </c>
      <c r="C2787" s="71">
        <v>42577</v>
      </c>
      <c r="D2787" s="72">
        <v>0.25</v>
      </c>
    </row>
    <row r="2788" spans="1:4" x14ac:dyDescent="0.2">
      <c r="A2788" s="71">
        <v>42578</v>
      </c>
      <c r="B2788" s="72">
        <v>0.5</v>
      </c>
      <c r="C2788" s="71">
        <v>42578</v>
      </c>
      <c r="D2788" s="72">
        <v>0.25</v>
      </c>
    </row>
    <row r="2789" spans="1:4" x14ac:dyDescent="0.2">
      <c r="A2789" s="71">
        <v>42579</v>
      </c>
      <c r="B2789" s="72">
        <v>0.5</v>
      </c>
      <c r="C2789" s="71">
        <v>42579</v>
      </c>
      <c r="D2789" s="72">
        <v>0.25</v>
      </c>
    </row>
    <row r="2790" spans="1:4" x14ac:dyDescent="0.2">
      <c r="A2790" s="71">
        <v>42580</v>
      </c>
      <c r="B2790" s="72">
        <v>0.5</v>
      </c>
      <c r="C2790" s="71">
        <v>42580</v>
      </c>
      <c r="D2790" s="72">
        <v>0.25</v>
      </c>
    </row>
    <row r="2791" spans="1:4" x14ac:dyDescent="0.2">
      <c r="A2791" s="71">
        <v>42581</v>
      </c>
      <c r="B2791" s="72">
        <v>0.5</v>
      </c>
      <c r="C2791" s="71">
        <v>42581</v>
      </c>
      <c r="D2791" s="72">
        <v>0.25</v>
      </c>
    </row>
    <row r="2792" spans="1:4" x14ac:dyDescent="0.2">
      <c r="A2792" s="71">
        <v>42582</v>
      </c>
      <c r="B2792" s="72">
        <v>0.5</v>
      </c>
      <c r="C2792" s="71">
        <v>42582</v>
      </c>
      <c r="D2792" s="72">
        <v>0.25</v>
      </c>
    </row>
    <row r="2793" spans="1:4" x14ac:dyDescent="0.2">
      <c r="A2793" s="71">
        <v>42583</v>
      </c>
      <c r="B2793" s="72">
        <v>0.5</v>
      </c>
      <c r="C2793" s="71">
        <v>42583</v>
      </c>
      <c r="D2793" s="72">
        <v>0.25</v>
      </c>
    </row>
    <row r="2794" spans="1:4" x14ac:dyDescent="0.2">
      <c r="A2794" s="71">
        <v>42584</v>
      </c>
      <c r="B2794" s="72">
        <v>0.5</v>
      </c>
      <c r="C2794" s="71">
        <v>42584</v>
      </c>
      <c r="D2794" s="72">
        <v>0.25</v>
      </c>
    </row>
    <row r="2795" spans="1:4" x14ac:dyDescent="0.2">
      <c r="A2795" s="71">
        <v>42585</v>
      </c>
      <c r="B2795" s="72">
        <v>0.5</v>
      </c>
      <c r="C2795" s="71">
        <v>42585</v>
      </c>
      <c r="D2795" s="72">
        <v>0.25</v>
      </c>
    </row>
    <row r="2796" spans="1:4" x14ac:dyDescent="0.2">
      <c r="A2796" s="71">
        <v>42586</v>
      </c>
      <c r="B2796" s="72">
        <v>0.5</v>
      </c>
      <c r="C2796" s="71">
        <v>42586</v>
      </c>
      <c r="D2796" s="72">
        <v>0.25</v>
      </c>
    </row>
    <row r="2797" spans="1:4" x14ac:dyDescent="0.2">
      <c r="A2797" s="71">
        <v>42587</v>
      </c>
      <c r="B2797" s="72">
        <v>0.5</v>
      </c>
      <c r="C2797" s="71">
        <v>42587</v>
      </c>
      <c r="D2797" s="72">
        <v>0.25</v>
      </c>
    </row>
    <row r="2798" spans="1:4" x14ac:dyDescent="0.2">
      <c r="A2798" s="71">
        <v>42588</v>
      </c>
      <c r="B2798" s="72">
        <v>0.5</v>
      </c>
      <c r="C2798" s="71">
        <v>42588</v>
      </c>
      <c r="D2798" s="72">
        <v>0.25</v>
      </c>
    </row>
    <row r="2799" spans="1:4" x14ac:dyDescent="0.2">
      <c r="A2799" s="71">
        <v>42589</v>
      </c>
      <c r="B2799" s="72">
        <v>0.5</v>
      </c>
      <c r="C2799" s="71">
        <v>42589</v>
      </c>
      <c r="D2799" s="72">
        <v>0.25</v>
      </c>
    </row>
    <row r="2800" spans="1:4" x14ac:dyDescent="0.2">
      <c r="A2800" s="71">
        <v>42590</v>
      </c>
      <c r="B2800" s="72">
        <v>0.5</v>
      </c>
      <c r="C2800" s="71">
        <v>42590</v>
      </c>
      <c r="D2800" s="72">
        <v>0.25</v>
      </c>
    </row>
    <row r="2801" spans="1:4" x14ac:dyDescent="0.2">
      <c r="A2801" s="71">
        <v>42591</v>
      </c>
      <c r="B2801" s="72">
        <v>0.5</v>
      </c>
      <c r="C2801" s="71">
        <v>42591</v>
      </c>
      <c r="D2801" s="72">
        <v>0.25</v>
      </c>
    </row>
    <row r="2802" spans="1:4" x14ac:dyDescent="0.2">
      <c r="A2802" s="71">
        <v>42592</v>
      </c>
      <c r="B2802" s="72">
        <v>0.5</v>
      </c>
      <c r="C2802" s="71">
        <v>42592</v>
      </c>
      <c r="D2802" s="72">
        <v>0.25</v>
      </c>
    </row>
    <row r="2803" spans="1:4" x14ac:dyDescent="0.2">
      <c r="A2803" s="71">
        <v>42593</v>
      </c>
      <c r="B2803" s="72">
        <v>0.5</v>
      </c>
      <c r="C2803" s="71">
        <v>42593</v>
      </c>
      <c r="D2803" s="72">
        <v>0.25</v>
      </c>
    </row>
    <row r="2804" spans="1:4" x14ac:dyDescent="0.2">
      <c r="A2804" s="71">
        <v>42594</v>
      </c>
      <c r="B2804" s="72">
        <v>0.5</v>
      </c>
      <c r="C2804" s="71">
        <v>42594</v>
      </c>
      <c r="D2804" s="72">
        <v>0.25</v>
      </c>
    </row>
    <row r="2805" spans="1:4" x14ac:dyDescent="0.2">
      <c r="A2805" s="71">
        <v>42595</v>
      </c>
      <c r="B2805" s="72">
        <v>0.5</v>
      </c>
      <c r="C2805" s="71">
        <v>42595</v>
      </c>
      <c r="D2805" s="72">
        <v>0.25</v>
      </c>
    </row>
    <row r="2806" spans="1:4" x14ac:dyDescent="0.2">
      <c r="A2806" s="71">
        <v>42596</v>
      </c>
      <c r="B2806" s="72">
        <v>0.5</v>
      </c>
      <c r="C2806" s="71">
        <v>42596</v>
      </c>
      <c r="D2806" s="72">
        <v>0.25</v>
      </c>
    </row>
    <row r="2807" spans="1:4" x14ac:dyDescent="0.2">
      <c r="A2807" s="71">
        <v>42597</v>
      </c>
      <c r="B2807" s="72">
        <v>0.5</v>
      </c>
      <c r="C2807" s="71">
        <v>42597</v>
      </c>
      <c r="D2807" s="72">
        <v>0.25</v>
      </c>
    </row>
    <row r="2808" spans="1:4" x14ac:dyDescent="0.2">
      <c r="A2808" s="71">
        <v>42598</v>
      </c>
      <c r="B2808" s="72">
        <v>0.5</v>
      </c>
      <c r="C2808" s="71">
        <v>42598</v>
      </c>
      <c r="D2808" s="72">
        <v>0.25</v>
      </c>
    </row>
    <row r="2809" spans="1:4" x14ac:dyDescent="0.2">
      <c r="A2809" s="71">
        <v>42599</v>
      </c>
      <c r="B2809" s="72">
        <v>0.5</v>
      </c>
      <c r="C2809" s="71">
        <v>42599</v>
      </c>
      <c r="D2809" s="72">
        <v>0.25</v>
      </c>
    </row>
    <row r="2810" spans="1:4" x14ac:dyDescent="0.2">
      <c r="A2810" s="71">
        <v>42600</v>
      </c>
      <c r="B2810" s="72">
        <v>0.5</v>
      </c>
      <c r="C2810" s="71">
        <v>42600</v>
      </c>
      <c r="D2810" s="72">
        <v>0.25</v>
      </c>
    </row>
    <row r="2811" spans="1:4" x14ac:dyDescent="0.2">
      <c r="A2811" s="71">
        <v>42601</v>
      </c>
      <c r="B2811" s="72">
        <v>0.5</v>
      </c>
      <c r="C2811" s="71">
        <v>42601</v>
      </c>
      <c r="D2811" s="72">
        <v>0.25</v>
      </c>
    </row>
    <row r="2812" spans="1:4" x14ac:dyDescent="0.2">
      <c r="A2812" s="71">
        <v>42602</v>
      </c>
      <c r="B2812" s="72">
        <v>0.5</v>
      </c>
      <c r="C2812" s="71">
        <v>42602</v>
      </c>
      <c r="D2812" s="72">
        <v>0.25</v>
      </c>
    </row>
    <row r="2813" spans="1:4" x14ac:dyDescent="0.2">
      <c r="A2813" s="71">
        <v>42603</v>
      </c>
      <c r="B2813" s="72">
        <v>0.5</v>
      </c>
      <c r="C2813" s="71">
        <v>42603</v>
      </c>
      <c r="D2813" s="72">
        <v>0.25</v>
      </c>
    </row>
    <row r="2814" spans="1:4" x14ac:dyDescent="0.2">
      <c r="A2814" s="71">
        <v>42604</v>
      </c>
      <c r="B2814" s="72">
        <v>0.5</v>
      </c>
      <c r="C2814" s="71">
        <v>42604</v>
      </c>
      <c r="D2814" s="72">
        <v>0.25</v>
      </c>
    </row>
    <row r="2815" spans="1:4" x14ac:dyDescent="0.2">
      <c r="A2815" s="71">
        <v>42605</v>
      </c>
      <c r="B2815" s="72">
        <v>0.5</v>
      </c>
      <c r="C2815" s="71">
        <v>42605</v>
      </c>
      <c r="D2815" s="72">
        <v>0.25</v>
      </c>
    </row>
    <row r="2816" spans="1:4" x14ac:dyDescent="0.2">
      <c r="A2816" s="71">
        <v>42606</v>
      </c>
      <c r="B2816" s="72">
        <v>0.5</v>
      </c>
      <c r="C2816" s="71">
        <v>42606</v>
      </c>
      <c r="D2816" s="72">
        <v>0.25</v>
      </c>
    </row>
    <row r="2817" spans="1:4" x14ac:dyDescent="0.2">
      <c r="A2817" s="71">
        <v>42607</v>
      </c>
      <c r="B2817" s="72">
        <v>0.5</v>
      </c>
      <c r="C2817" s="71">
        <v>42607</v>
      </c>
      <c r="D2817" s="72">
        <v>0.25</v>
      </c>
    </row>
    <row r="2818" spans="1:4" x14ac:dyDescent="0.2">
      <c r="A2818" s="71">
        <v>42608</v>
      </c>
      <c r="B2818" s="72">
        <v>0.5</v>
      </c>
      <c r="C2818" s="71">
        <v>42608</v>
      </c>
      <c r="D2818" s="72">
        <v>0.25</v>
      </c>
    </row>
    <row r="2819" spans="1:4" x14ac:dyDescent="0.2">
      <c r="A2819" s="71">
        <v>42609</v>
      </c>
      <c r="B2819" s="72">
        <v>0.5</v>
      </c>
      <c r="C2819" s="71">
        <v>42609</v>
      </c>
      <c r="D2819" s="72">
        <v>0.25</v>
      </c>
    </row>
    <row r="2820" spans="1:4" x14ac:dyDescent="0.2">
      <c r="A2820" s="71">
        <v>42610</v>
      </c>
      <c r="B2820" s="72">
        <v>0.5</v>
      </c>
      <c r="C2820" s="71">
        <v>42610</v>
      </c>
      <c r="D2820" s="72">
        <v>0.25</v>
      </c>
    </row>
    <row r="2821" spans="1:4" x14ac:dyDescent="0.2">
      <c r="A2821" s="71">
        <v>42611</v>
      </c>
      <c r="B2821" s="72">
        <v>0.5</v>
      </c>
      <c r="C2821" s="71">
        <v>42611</v>
      </c>
      <c r="D2821" s="72">
        <v>0.25</v>
      </c>
    </row>
    <row r="2822" spans="1:4" x14ac:dyDescent="0.2">
      <c r="A2822" s="71">
        <v>42612</v>
      </c>
      <c r="B2822" s="72">
        <v>0.5</v>
      </c>
      <c r="C2822" s="71">
        <v>42612</v>
      </c>
      <c r="D2822" s="72">
        <v>0.25</v>
      </c>
    </row>
    <row r="2823" spans="1:4" x14ac:dyDescent="0.2">
      <c r="A2823" s="71">
        <v>42613</v>
      </c>
      <c r="B2823" s="72">
        <v>0.5</v>
      </c>
      <c r="C2823" s="71">
        <v>42613</v>
      </c>
      <c r="D2823" s="72">
        <v>0.25</v>
      </c>
    </row>
    <row r="2824" spans="1:4" x14ac:dyDescent="0.2">
      <c r="A2824" s="71">
        <v>42614</v>
      </c>
      <c r="B2824" s="72">
        <v>0.5</v>
      </c>
      <c r="C2824" s="71">
        <v>42614</v>
      </c>
      <c r="D2824" s="72">
        <v>0.25</v>
      </c>
    </row>
    <row r="2825" spans="1:4" x14ac:dyDescent="0.2">
      <c r="A2825" s="71">
        <v>42615</v>
      </c>
      <c r="B2825" s="72">
        <v>0.5</v>
      </c>
      <c r="C2825" s="71">
        <v>42615</v>
      </c>
      <c r="D2825" s="72">
        <v>0.25</v>
      </c>
    </row>
    <row r="2826" spans="1:4" x14ac:dyDescent="0.2">
      <c r="A2826" s="71">
        <v>42616</v>
      </c>
      <c r="B2826" s="72">
        <v>0.5</v>
      </c>
      <c r="C2826" s="71">
        <v>42616</v>
      </c>
      <c r="D2826" s="72">
        <v>0.25</v>
      </c>
    </row>
    <row r="2827" spans="1:4" x14ac:dyDescent="0.2">
      <c r="A2827" s="71">
        <v>42617</v>
      </c>
      <c r="B2827" s="72">
        <v>0.5</v>
      </c>
      <c r="C2827" s="71">
        <v>42617</v>
      </c>
      <c r="D2827" s="72">
        <v>0.25</v>
      </c>
    </row>
    <row r="2828" spans="1:4" x14ac:dyDescent="0.2">
      <c r="A2828" s="71">
        <v>42618</v>
      </c>
      <c r="B2828" s="72">
        <v>0.5</v>
      </c>
      <c r="C2828" s="71">
        <v>42618</v>
      </c>
      <c r="D2828" s="72">
        <v>0.25</v>
      </c>
    </row>
    <row r="2829" spans="1:4" x14ac:dyDescent="0.2">
      <c r="A2829" s="71">
        <v>42619</v>
      </c>
      <c r="B2829" s="72">
        <v>0.5</v>
      </c>
      <c r="C2829" s="71">
        <v>42619</v>
      </c>
      <c r="D2829" s="72">
        <v>0.25</v>
      </c>
    </row>
    <row r="2830" spans="1:4" x14ac:dyDescent="0.2">
      <c r="A2830" s="71">
        <v>42620</v>
      </c>
      <c r="B2830" s="72">
        <v>0.5</v>
      </c>
      <c r="C2830" s="71">
        <v>42620</v>
      </c>
      <c r="D2830" s="72">
        <v>0.25</v>
      </c>
    </row>
    <row r="2831" spans="1:4" x14ac:dyDescent="0.2">
      <c r="A2831" s="71">
        <v>42621</v>
      </c>
      <c r="B2831" s="72">
        <v>0.5</v>
      </c>
      <c r="C2831" s="71">
        <v>42621</v>
      </c>
      <c r="D2831" s="72">
        <v>0.25</v>
      </c>
    </row>
    <row r="2832" spans="1:4" x14ac:dyDescent="0.2">
      <c r="A2832" s="71">
        <v>42622</v>
      </c>
      <c r="B2832" s="72">
        <v>0.5</v>
      </c>
      <c r="C2832" s="71">
        <v>42622</v>
      </c>
      <c r="D2832" s="72">
        <v>0.25</v>
      </c>
    </row>
    <row r="2833" spans="1:4" x14ac:dyDescent="0.2">
      <c r="A2833" s="71">
        <v>42623</v>
      </c>
      <c r="B2833" s="72">
        <v>0.5</v>
      </c>
      <c r="C2833" s="71">
        <v>42623</v>
      </c>
      <c r="D2833" s="72">
        <v>0.25</v>
      </c>
    </row>
    <row r="2834" spans="1:4" x14ac:dyDescent="0.2">
      <c r="A2834" s="71">
        <v>42624</v>
      </c>
      <c r="B2834" s="72">
        <v>0.5</v>
      </c>
      <c r="C2834" s="71">
        <v>42624</v>
      </c>
      <c r="D2834" s="72">
        <v>0.25</v>
      </c>
    </row>
    <row r="2835" spans="1:4" x14ac:dyDescent="0.2">
      <c r="A2835" s="71">
        <v>42625</v>
      </c>
      <c r="B2835" s="72">
        <v>0.5</v>
      </c>
      <c r="C2835" s="71">
        <v>42625</v>
      </c>
      <c r="D2835" s="72">
        <v>0.25</v>
      </c>
    </row>
    <row r="2836" spans="1:4" x14ac:dyDescent="0.2">
      <c r="A2836" s="71">
        <v>42626</v>
      </c>
      <c r="B2836" s="72">
        <v>0.5</v>
      </c>
      <c r="C2836" s="71">
        <v>42626</v>
      </c>
      <c r="D2836" s="72">
        <v>0.25</v>
      </c>
    </row>
    <row r="2837" spans="1:4" x14ac:dyDescent="0.2">
      <c r="A2837" s="71">
        <v>42627</v>
      </c>
      <c r="B2837" s="72">
        <v>0.5</v>
      </c>
      <c r="C2837" s="71">
        <v>42627</v>
      </c>
      <c r="D2837" s="72">
        <v>0.25</v>
      </c>
    </row>
    <row r="2838" spans="1:4" x14ac:dyDescent="0.2">
      <c r="A2838" s="71">
        <v>42628</v>
      </c>
      <c r="B2838" s="72">
        <v>0.5</v>
      </c>
      <c r="C2838" s="71">
        <v>42628</v>
      </c>
      <c r="D2838" s="72">
        <v>0.25</v>
      </c>
    </row>
    <row r="2839" spans="1:4" x14ac:dyDescent="0.2">
      <c r="A2839" s="71">
        <v>42629</v>
      </c>
      <c r="B2839" s="72">
        <v>0.5</v>
      </c>
      <c r="C2839" s="71">
        <v>42629</v>
      </c>
      <c r="D2839" s="72">
        <v>0.25</v>
      </c>
    </row>
    <row r="2840" spans="1:4" x14ac:dyDescent="0.2">
      <c r="A2840" s="71">
        <v>42630</v>
      </c>
      <c r="B2840" s="72">
        <v>0.5</v>
      </c>
      <c r="C2840" s="71">
        <v>42630</v>
      </c>
      <c r="D2840" s="72">
        <v>0.25</v>
      </c>
    </row>
    <row r="2841" spans="1:4" x14ac:dyDescent="0.2">
      <c r="A2841" s="71">
        <v>42631</v>
      </c>
      <c r="B2841" s="72">
        <v>0.5</v>
      </c>
      <c r="C2841" s="71">
        <v>42631</v>
      </c>
      <c r="D2841" s="72">
        <v>0.25</v>
      </c>
    </row>
    <row r="2842" spans="1:4" x14ac:dyDescent="0.2">
      <c r="A2842" s="71">
        <v>42632</v>
      </c>
      <c r="B2842" s="72">
        <v>0.5</v>
      </c>
      <c r="C2842" s="71">
        <v>42632</v>
      </c>
      <c r="D2842" s="72">
        <v>0.25</v>
      </c>
    </row>
    <row r="2843" spans="1:4" x14ac:dyDescent="0.2">
      <c r="A2843" s="71">
        <v>42633</v>
      </c>
      <c r="B2843" s="72">
        <v>0.5</v>
      </c>
      <c r="C2843" s="71">
        <v>42633</v>
      </c>
      <c r="D2843" s="72">
        <v>0.25</v>
      </c>
    </row>
    <row r="2844" spans="1:4" x14ac:dyDescent="0.2">
      <c r="A2844" s="71">
        <v>42634</v>
      </c>
      <c r="B2844" s="72">
        <v>0.5</v>
      </c>
      <c r="C2844" s="71">
        <v>42634</v>
      </c>
      <c r="D2844" s="72">
        <v>0.25</v>
      </c>
    </row>
    <row r="2845" spans="1:4" x14ac:dyDescent="0.2">
      <c r="A2845" s="71">
        <v>42635</v>
      </c>
      <c r="B2845" s="72">
        <v>0.5</v>
      </c>
      <c r="C2845" s="71">
        <v>42635</v>
      </c>
      <c r="D2845" s="72">
        <v>0.25</v>
      </c>
    </row>
    <row r="2846" spans="1:4" x14ac:dyDescent="0.2">
      <c r="A2846" s="71">
        <v>42636</v>
      </c>
      <c r="B2846" s="72">
        <v>0.5</v>
      </c>
      <c r="C2846" s="71">
        <v>42636</v>
      </c>
      <c r="D2846" s="72">
        <v>0.25</v>
      </c>
    </row>
    <row r="2847" spans="1:4" x14ac:dyDescent="0.2">
      <c r="A2847" s="71">
        <v>42637</v>
      </c>
      <c r="B2847" s="72">
        <v>0.5</v>
      </c>
      <c r="C2847" s="71">
        <v>42637</v>
      </c>
      <c r="D2847" s="72">
        <v>0.25</v>
      </c>
    </row>
    <row r="2848" spans="1:4" x14ac:dyDescent="0.2">
      <c r="A2848" s="71">
        <v>42638</v>
      </c>
      <c r="B2848" s="72">
        <v>0.5</v>
      </c>
      <c r="C2848" s="71">
        <v>42638</v>
      </c>
      <c r="D2848" s="72">
        <v>0.25</v>
      </c>
    </row>
    <row r="2849" spans="1:4" x14ac:dyDescent="0.2">
      <c r="A2849" s="71">
        <v>42639</v>
      </c>
      <c r="B2849" s="72">
        <v>0.5</v>
      </c>
      <c r="C2849" s="71">
        <v>42639</v>
      </c>
      <c r="D2849" s="72">
        <v>0.25</v>
      </c>
    </row>
    <row r="2850" spans="1:4" x14ac:dyDescent="0.2">
      <c r="A2850" s="71">
        <v>42640</v>
      </c>
      <c r="B2850" s="72">
        <v>0.5</v>
      </c>
      <c r="C2850" s="71">
        <v>42640</v>
      </c>
      <c r="D2850" s="72">
        <v>0.25</v>
      </c>
    </row>
    <row r="2851" spans="1:4" x14ac:dyDescent="0.2">
      <c r="A2851" s="71">
        <v>42641</v>
      </c>
      <c r="B2851" s="72">
        <v>0.5</v>
      </c>
      <c r="C2851" s="71">
        <v>42641</v>
      </c>
      <c r="D2851" s="72">
        <v>0.25</v>
      </c>
    </row>
    <row r="2852" spans="1:4" x14ac:dyDescent="0.2">
      <c r="A2852" s="71">
        <v>42642</v>
      </c>
      <c r="B2852" s="72">
        <v>0.5</v>
      </c>
      <c r="C2852" s="71">
        <v>42642</v>
      </c>
      <c r="D2852" s="72">
        <v>0.25</v>
      </c>
    </row>
    <row r="2853" spans="1:4" x14ac:dyDescent="0.2">
      <c r="A2853" s="71">
        <v>42643</v>
      </c>
      <c r="B2853" s="72">
        <v>0.5</v>
      </c>
      <c r="C2853" s="71">
        <v>42643</v>
      </c>
      <c r="D2853" s="72">
        <v>0.25</v>
      </c>
    </row>
    <row r="2854" spans="1:4" x14ac:dyDescent="0.2">
      <c r="A2854" s="71">
        <v>42644</v>
      </c>
      <c r="B2854" s="72">
        <v>0.5</v>
      </c>
      <c r="C2854" s="71">
        <v>42644</v>
      </c>
      <c r="D2854" s="72">
        <v>0.25</v>
      </c>
    </row>
    <row r="2855" spans="1:4" x14ac:dyDescent="0.2">
      <c r="A2855" s="71">
        <v>42645</v>
      </c>
      <c r="B2855" s="72">
        <v>0.5</v>
      </c>
      <c r="C2855" s="71">
        <v>42645</v>
      </c>
      <c r="D2855" s="72">
        <v>0.25</v>
      </c>
    </row>
    <row r="2856" spans="1:4" x14ac:dyDescent="0.2">
      <c r="A2856" s="71">
        <v>42646</v>
      </c>
      <c r="B2856" s="72">
        <v>0.5</v>
      </c>
      <c r="C2856" s="71">
        <v>42646</v>
      </c>
      <c r="D2856" s="72">
        <v>0.25</v>
      </c>
    </row>
    <row r="2857" spans="1:4" x14ac:dyDescent="0.2">
      <c r="A2857" s="71">
        <v>42647</v>
      </c>
      <c r="B2857" s="72">
        <v>0.5</v>
      </c>
      <c r="C2857" s="71">
        <v>42647</v>
      </c>
      <c r="D2857" s="72">
        <v>0.25</v>
      </c>
    </row>
    <row r="2858" spans="1:4" x14ac:dyDescent="0.2">
      <c r="A2858" s="71">
        <v>42648</v>
      </c>
      <c r="B2858" s="72">
        <v>0.5</v>
      </c>
      <c r="C2858" s="71">
        <v>42648</v>
      </c>
      <c r="D2858" s="72">
        <v>0.25</v>
      </c>
    </row>
    <row r="2859" spans="1:4" x14ac:dyDescent="0.2">
      <c r="A2859" s="71">
        <v>42649</v>
      </c>
      <c r="B2859" s="72">
        <v>0.5</v>
      </c>
      <c r="C2859" s="71">
        <v>42649</v>
      </c>
      <c r="D2859" s="72">
        <v>0.25</v>
      </c>
    </row>
    <row r="2860" spans="1:4" x14ac:dyDescent="0.2">
      <c r="A2860" s="71">
        <v>42650</v>
      </c>
      <c r="B2860" s="72">
        <v>0.5</v>
      </c>
      <c r="C2860" s="71">
        <v>42650</v>
      </c>
      <c r="D2860" s="72">
        <v>0.25</v>
      </c>
    </row>
    <row r="2861" spans="1:4" x14ac:dyDescent="0.2">
      <c r="A2861" s="71">
        <v>42651</v>
      </c>
      <c r="B2861" s="72">
        <v>0.5</v>
      </c>
      <c r="C2861" s="71">
        <v>42651</v>
      </c>
      <c r="D2861" s="72">
        <v>0.25</v>
      </c>
    </row>
    <row r="2862" spans="1:4" x14ac:dyDescent="0.2">
      <c r="A2862" s="71">
        <v>42652</v>
      </c>
      <c r="B2862" s="72">
        <v>0.5</v>
      </c>
      <c r="C2862" s="71">
        <v>42652</v>
      </c>
      <c r="D2862" s="72">
        <v>0.25</v>
      </c>
    </row>
    <row r="2863" spans="1:4" x14ac:dyDescent="0.2">
      <c r="A2863" s="71">
        <v>42653</v>
      </c>
      <c r="B2863" s="72">
        <v>0.5</v>
      </c>
      <c r="C2863" s="71">
        <v>42653</v>
      </c>
      <c r="D2863" s="72">
        <v>0.25</v>
      </c>
    </row>
    <row r="2864" spans="1:4" x14ac:dyDescent="0.2">
      <c r="A2864" s="71">
        <v>42654</v>
      </c>
      <c r="B2864" s="72">
        <v>0.5</v>
      </c>
      <c r="C2864" s="71">
        <v>42654</v>
      </c>
      <c r="D2864" s="72">
        <v>0.25</v>
      </c>
    </row>
    <row r="2865" spans="1:4" x14ac:dyDescent="0.2">
      <c r="A2865" s="71">
        <v>42655</v>
      </c>
      <c r="B2865" s="72">
        <v>0.5</v>
      </c>
      <c r="C2865" s="71">
        <v>42655</v>
      </c>
      <c r="D2865" s="72">
        <v>0.25</v>
      </c>
    </row>
    <row r="2866" spans="1:4" x14ac:dyDescent="0.2">
      <c r="A2866" s="71">
        <v>42656</v>
      </c>
      <c r="B2866" s="72">
        <v>0.5</v>
      </c>
      <c r="C2866" s="71">
        <v>42656</v>
      </c>
      <c r="D2866" s="72">
        <v>0.25</v>
      </c>
    </row>
    <row r="2867" spans="1:4" x14ac:dyDescent="0.2">
      <c r="A2867" s="71">
        <v>42657</v>
      </c>
      <c r="B2867" s="72">
        <v>0.5</v>
      </c>
      <c r="C2867" s="71">
        <v>42657</v>
      </c>
      <c r="D2867" s="72">
        <v>0.25</v>
      </c>
    </row>
    <row r="2868" spans="1:4" x14ac:dyDescent="0.2">
      <c r="A2868" s="71">
        <v>42658</v>
      </c>
      <c r="B2868" s="72">
        <v>0.5</v>
      </c>
      <c r="C2868" s="71">
        <v>42658</v>
      </c>
      <c r="D2868" s="72">
        <v>0.25</v>
      </c>
    </row>
    <row r="2869" spans="1:4" x14ac:dyDescent="0.2">
      <c r="A2869" s="71">
        <v>42659</v>
      </c>
      <c r="B2869" s="72">
        <v>0.5</v>
      </c>
      <c r="C2869" s="71">
        <v>42659</v>
      </c>
      <c r="D2869" s="72">
        <v>0.25</v>
      </c>
    </row>
    <row r="2870" spans="1:4" x14ac:dyDescent="0.2">
      <c r="A2870" s="71">
        <v>42660</v>
      </c>
      <c r="B2870" s="72">
        <v>0.5</v>
      </c>
      <c r="C2870" s="71">
        <v>42660</v>
      </c>
      <c r="D2870" s="72">
        <v>0.25</v>
      </c>
    </row>
    <row r="2871" spans="1:4" x14ac:dyDescent="0.2">
      <c r="A2871" s="71">
        <v>42661</v>
      </c>
      <c r="B2871" s="72">
        <v>0.5</v>
      </c>
      <c r="C2871" s="71">
        <v>42661</v>
      </c>
      <c r="D2871" s="72">
        <v>0.25</v>
      </c>
    </row>
    <row r="2872" spans="1:4" x14ac:dyDescent="0.2">
      <c r="A2872" s="71">
        <v>42662</v>
      </c>
      <c r="B2872" s="72">
        <v>0.5</v>
      </c>
      <c r="C2872" s="71">
        <v>42662</v>
      </c>
      <c r="D2872" s="72">
        <v>0.25</v>
      </c>
    </row>
    <row r="2873" spans="1:4" x14ac:dyDescent="0.2">
      <c r="A2873" s="71">
        <v>42663</v>
      </c>
      <c r="B2873" s="72">
        <v>0.5</v>
      </c>
      <c r="C2873" s="71">
        <v>42663</v>
      </c>
      <c r="D2873" s="72">
        <v>0.25</v>
      </c>
    </row>
    <row r="2874" spans="1:4" x14ac:dyDescent="0.2">
      <c r="A2874" s="71">
        <v>42664</v>
      </c>
      <c r="B2874" s="72">
        <v>0.5</v>
      </c>
      <c r="C2874" s="71">
        <v>42664</v>
      </c>
      <c r="D2874" s="72">
        <v>0.25</v>
      </c>
    </row>
    <row r="2875" spans="1:4" x14ac:dyDescent="0.2">
      <c r="A2875" s="71">
        <v>42665</v>
      </c>
      <c r="B2875" s="72">
        <v>0.5</v>
      </c>
      <c r="C2875" s="71">
        <v>42665</v>
      </c>
      <c r="D2875" s="72">
        <v>0.25</v>
      </c>
    </row>
    <row r="2876" spans="1:4" x14ac:dyDescent="0.2">
      <c r="A2876" s="71">
        <v>42666</v>
      </c>
      <c r="B2876" s="72">
        <v>0.5</v>
      </c>
      <c r="C2876" s="71">
        <v>42666</v>
      </c>
      <c r="D2876" s="72">
        <v>0.25</v>
      </c>
    </row>
    <row r="2877" spans="1:4" x14ac:dyDescent="0.2">
      <c r="A2877" s="71">
        <v>42667</v>
      </c>
      <c r="B2877" s="72">
        <v>0.5</v>
      </c>
      <c r="C2877" s="71">
        <v>42667</v>
      </c>
      <c r="D2877" s="72">
        <v>0.25</v>
      </c>
    </row>
    <row r="2878" spans="1:4" x14ac:dyDescent="0.2">
      <c r="A2878" s="71">
        <v>42668</v>
      </c>
      <c r="B2878" s="72">
        <v>0.5</v>
      </c>
      <c r="C2878" s="71">
        <v>42668</v>
      </c>
      <c r="D2878" s="72">
        <v>0.25</v>
      </c>
    </row>
    <row r="2879" spans="1:4" x14ac:dyDescent="0.2">
      <c r="A2879" s="71">
        <v>42669</v>
      </c>
      <c r="B2879" s="72">
        <v>0.5</v>
      </c>
      <c r="C2879" s="71">
        <v>42669</v>
      </c>
      <c r="D2879" s="72">
        <v>0.25</v>
      </c>
    </row>
    <row r="2880" spans="1:4" x14ac:dyDescent="0.2">
      <c r="A2880" s="71">
        <v>42670</v>
      </c>
      <c r="B2880" s="72">
        <v>0.5</v>
      </c>
      <c r="C2880" s="71">
        <v>42670</v>
      </c>
      <c r="D2880" s="72">
        <v>0.25</v>
      </c>
    </row>
    <row r="2881" spans="1:4" x14ac:dyDescent="0.2">
      <c r="A2881" s="71">
        <v>42671</v>
      </c>
      <c r="B2881" s="72">
        <v>0.5</v>
      </c>
      <c r="C2881" s="71">
        <v>42671</v>
      </c>
      <c r="D2881" s="72">
        <v>0.25</v>
      </c>
    </row>
    <row r="2882" spans="1:4" x14ac:dyDescent="0.2">
      <c r="A2882" s="71">
        <v>42672</v>
      </c>
      <c r="B2882" s="72">
        <v>0.5</v>
      </c>
      <c r="C2882" s="71">
        <v>42672</v>
      </c>
      <c r="D2882" s="72">
        <v>0.25</v>
      </c>
    </row>
    <row r="2883" spans="1:4" x14ac:dyDescent="0.2">
      <c r="A2883" s="71">
        <v>42673</v>
      </c>
      <c r="B2883" s="72">
        <v>0.5</v>
      </c>
      <c r="C2883" s="71">
        <v>42673</v>
      </c>
      <c r="D2883" s="72">
        <v>0.25</v>
      </c>
    </row>
    <row r="2884" spans="1:4" x14ac:dyDescent="0.2">
      <c r="A2884" s="71">
        <v>42674</v>
      </c>
      <c r="B2884" s="72">
        <v>0.5</v>
      </c>
      <c r="C2884" s="71">
        <v>42674</v>
      </c>
      <c r="D2884" s="72">
        <v>0.25</v>
      </c>
    </row>
    <row r="2885" spans="1:4" x14ac:dyDescent="0.2">
      <c r="A2885" s="71">
        <v>42675</v>
      </c>
      <c r="B2885" s="72">
        <v>0.5</v>
      </c>
      <c r="C2885" s="71">
        <v>42675</v>
      </c>
      <c r="D2885" s="72">
        <v>0.25</v>
      </c>
    </row>
    <row r="2886" spans="1:4" x14ac:dyDescent="0.2">
      <c r="A2886" s="71">
        <v>42676</v>
      </c>
      <c r="B2886" s="72">
        <v>0.5</v>
      </c>
      <c r="C2886" s="71">
        <v>42676</v>
      </c>
      <c r="D2886" s="72">
        <v>0.25</v>
      </c>
    </row>
    <row r="2887" spans="1:4" x14ac:dyDescent="0.2">
      <c r="A2887" s="71">
        <v>42677</v>
      </c>
      <c r="B2887" s="72">
        <v>0.5</v>
      </c>
      <c r="C2887" s="71">
        <v>42677</v>
      </c>
      <c r="D2887" s="72">
        <v>0.25</v>
      </c>
    </row>
    <row r="2888" spans="1:4" x14ac:dyDescent="0.2">
      <c r="A2888" s="71">
        <v>42678</v>
      </c>
      <c r="B2888" s="72">
        <v>0.5</v>
      </c>
      <c r="C2888" s="71">
        <v>42678</v>
      </c>
      <c r="D2888" s="72">
        <v>0.25</v>
      </c>
    </row>
    <row r="2889" spans="1:4" x14ac:dyDescent="0.2">
      <c r="A2889" s="71">
        <v>42679</v>
      </c>
      <c r="B2889" s="72">
        <v>0.5</v>
      </c>
      <c r="C2889" s="71">
        <v>42679</v>
      </c>
      <c r="D2889" s="72">
        <v>0.25</v>
      </c>
    </row>
    <row r="2890" spans="1:4" x14ac:dyDescent="0.2">
      <c r="A2890" s="71">
        <v>42680</v>
      </c>
      <c r="B2890" s="72">
        <v>0.5</v>
      </c>
      <c r="C2890" s="71">
        <v>42680</v>
      </c>
      <c r="D2890" s="72">
        <v>0.25</v>
      </c>
    </row>
    <row r="2891" spans="1:4" x14ac:dyDescent="0.2">
      <c r="A2891" s="71">
        <v>42681</v>
      </c>
      <c r="B2891" s="72">
        <v>0.5</v>
      </c>
      <c r="C2891" s="71">
        <v>42681</v>
      </c>
      <c r="D2891" s="72">
        <v>0.25</v>
      </c>
    </row>
    <row r="2892" spans="1:4" x14ac:dyDescent="0.2">
      <c r="A2892" s="71">
        <v>42682</v>
      </c>
      <c r="B2892" s="72">
        <v>0.5</v>
      </c>
      <c r="C2892" s="71">
        <v>42682</v>
      </c>
      <c r="D2892" s="72">
        <v>0.25</v>
      </c>
    </row>
    <row r="2893" spans="1:4" x14ac:dyDescent="0.2">
      <c r="A2893" s="71">
        <v>42683</v>
      </c>
      <c r="B2893" s="72">
        <v>0.5</v>
      </c>
      <c r="C2893" s="71">
        <v>42683</v>
      </c>
      <c r="D2893" s="72">
        <v>0.25</v>
      </c>
    </row>
    <row r="2894" spans="1:4" x14ac:dyDescent="0.2">
      <c r="A2894" s="71">
        <v>42684</v>
      </c>
      <c r="B2894" s="72">
        <v>0.5</v>
      </c>
      <c r="C2894" s="71">
        <v>42684</v>
      </c>
      <c r="D2894" s="72">
        <v>0.25</v>
      </c>
    </row>
    <row r="2895" spans="1:4" x14ac:dyDescent="0.2">
      <c r="A2895" s="71">
        <v>42685</v>
      </c>
      <c r="B2895" s="72">
        <v>0.5</v>
      </c>
      <c r="C2895" s="71">
        <v>42685</v>
      </c>
      <c r="D2895" s="72">
        <v>0.25</v>
      </c>
    </row>
    <row r="2896" spans="1:4" x14ac:dyDescent="0.2">
      <c r="A2896" s="71">
        <v>42686</v>
      </c>
      <c r="B2896" s="72">
        <v>0.5</v>
      </c>
      <c r="C2896" s="71">
        <v>42686</v>
      </c>
      <c r="D2896" s="72">
        <v>0.25</v>
      </c>
    </row>
    <row r="2897" spans="1:4" x14ac:dyDescent="0.2">
      <c r="A2897" s="71">
        <v>42687</v>
      </c>
      <c r="B2897" s="72">
        <v>0.5</v>
      </c>
      <c r="C2897" s="71">
        <v>42687</v>
      </c>
      <c r="D2897" s="72">
        <v>0.25</v>
      </c>
    </row>
    <row r="2898" spans="1:4" x14ac:dyDescent="0.2">
      <c r="A2898" s="71">
        <v>42688</v>
      </c>
      <c r="B2898" s="72">
        <v>0.5</v>
      </c>
      <c r="C2898" s="71">
        <v>42688</v>
      </c>
      <c r="D2898" s="72">
        <v>0.25</v>
      </c>
    </row>
    <row r="2899" spans="1:4" x14ac:dyDescent="0.2">
      <c r="A2899" s="71">
        <v>42689</v>
      </c>
      <c r="B2899" s="72">
        <v>0.5</v>
      </c>
      <c r="C2899" s="71">
        <v>42689</v>
      </c>
      <c r="D2899" s="72">
        <v>0.25</v>
      </c>
    </row>
    <row r="2900" spans="1:4" x14ac:dyDescent="0.2">
      <c r="A2900" s="71">
        <v>42690</v>
      </c>
      <c r="B2900" s="72">
        <v>0.5</v>
      </c>
      <c r="C2900" s="71">
        <v>42690</v>
      </c>
      <c r="D2900" s="72">
        <v>0.25</v>
      </c>
    </row>
    <row r="2901" spans="1:4" x14ac:dyDescent="0.2">
      <c r="A2901" s="71">
        <v>42691</v>
      </c>
      <c r="B2901" s="72">
        <v>0.5</v>
      </c>
      <c r="C2901" s="71">
        <v>42691</v>
      </c>
      <c r="D2901" s="72">
        <v>0.25</v>
      </c>
    </row>
    <row r="2902" spans="1:4" x14ac:dyDescent="0.2">
      <c r="A2902" s="71">
        <v>42692</v>
      </c>
      <c r="B2902" s="72">
        <v>0.5</v>
      </c>
      <c r="C2902" s="71">
        <v>42692</v>
      </c>
      <c r="D2902" s="72">
        <v>0.25</v>
      </c>
    </row>
    <row r="2903" spans="1:4" x14ac:dyDescent="0.2">
      <c r="A2903" s="71">
        <v>42693</v>
      </c>
      <c r="B2903" s="72">
        <v>0.5</v>
      </c>
      <c r="C2903" s="71">
        <v>42693</v>
      </c>
      <c r="D2903" s="72">
        <v>0.25</v>
      </c>
    </row>
    <row r="2904" spans="1:4" x14ac:dyDescent="0.2">
      <c r="A2904" s="71">
        <v>42694</v>
      </c>
      <c r="B2904" s="72">
        <v>0.5</v>
      </c>
      <c r="C2904" s="71">
        <v>42694</v>
      </c>
      <c r="D2904" s="72">
        <v>0.25</v>
      </c>
    </row>
    <row r="2905" spans="1:4" x14ac:dyDescent="0.2">
      <c r="A2905" s="71">
        <v>42695</v>
      </c>
      <c r="B2905" s="72">
        <v>0.5</v>
      </c>
      <c r="C2905" s="71">
        <v>42695</v>
      </c>
      <c r="D2905" s="72">
        <v>0.25</v>
      </c>
    </row>
    <row r="2906" spans="1:4" x14ac:dyDescent="0.2">
      <c r="A2906" s="71">
        <v>42696</v>
      </c>
      <c r="B2906" s="72">
        <v>0.5</v>
      </c>
      <c r="C2906" s="71">
        <v>42696</v>
      </c>
      <c r="D2906" s="72">
        <v>0.25</v>
      </c>
    </row>
    <row r="2907" spans="1:4" x14ac:dyDescent="0.2">
      <c r="A2907" s="71">
        <v>42697</v>
      </c>
      <c r="B2907" s="72">
        <v>0.5</v>
      </c>
      <c r="C2907" s="71">
        <v>42697</v>
      </c>
      <c r="D2907" s="72">
        <v>0.25</v>
      </c>
    </row>
    <row r="2908" spans="1:4" x14ac:dyDescent="0.2">
      <c r="A2908" s="71">
        <v>42698</v>
      </c>
      <c r="B2908" s="72">
        <v>0.5</v>
      </c>
      <c r="C2908" s="71">
        <v>42698</v>
      </c>
      <c r="D2908" s="72">
        <v>0.25</v>
      </c>
    </row>
    <row r="2909" spans="1:4" x14ac:dyDescent="0.2">
      <c r="A2909" s="71">
        <v>42699</v>
      </c>
      <c r="B2909" s="72">
        <v>0.5</v>
      </c>
      <c r="C2909" s="71">
        <v>42699</v>
      </c>
      <c r="D2909" s="72">
        <v>0.25</v>
      </c>
    </row>
    <row r="2910" spans="1:4" x14ac:dyDescent="0.2">
      <c r="A2910" s="71">
        <v>42700</v>
      </c>
      <c r="B2910" s="72">
        <v>0.5</v>
      </c>
      <c r="C2910" s="71">
        <v>42700</v>
      </c>
      <c r="D2910" s="72">
        <v>0.25</v>
      </c>
    </row>
    <row r="2911" spans="1:4" x14ac:dyDescent="0.2">
      <c r="A2911" s="71">
        <v>42701</v>
      </c>
      <c r="B2911" s="72">
        <v>0.5</v>
      </c>
      <c r="C2911" s="71">
        <v>42701</v>
      </c>
      <c r="D2911" s="72">
        <v>0.25</v>
      </c>
    </row>
    <row r="2912" spans="1:4" x14ac:dyDescent="0.2">
      <c r="A2912" s="71">
        <v>42702</v>
      </c>
      <c r="B2912" s="72">
        <v>0.5</v>
      </c>
      <c r="C2912" s="71">
        <v>42702</v>
      </c>
      <c r="D2912" s="72">
        <v>0.25</v>
      </c>
    </row>
    <row r="2913" spans="1:4" x14ac:dyDescent="0.2">
      <c r="A2913" s="71">
        <v>42703</v>
      </c>
      <c r="B2913" s="72">
        <v>0.5</v>
      </c>
      <c r="C2913" s="71">
        <v>42703</v>
      </c>
      <c r="D2913" s="72">
        <v>0.25</v>
      </c>
    </row>
    <row r="2914" spans="1:4" x14ac:dyDescent="0.2">
      <c r="A2914" s="71">
        <v>42704</v>
      </c>
      <c r="B2914" s="72">
        <v>0.5</v>
      </c>
      <c r="C2914" s="71">
        <v>42704</v>
      </c>
      <c r="D2914" s="72">
        <v>0.25</v>
      </c>
    </row>
    <row r="2915" spans="1:4" x14ac:dyDescent="0.2">
      <c r="A2915" s="71">
        <v>42705</v>
      </c>
      <c r="B2915" s="72">
        <v>0.5</v>
      </c>
      <c r="C2915" s="71">
        <v>42705</v>
      </c>
      <c r="D2915" s="72">
        <v>0.25</v>
      </c>
    </row>
    <row r="2916" spans="1:4" x14ac:dyDescent="0.2">
      <c r="A2916" s="71">
        <v>42706</v>
      </c>
      <c r="B2916" s="72">
        <v>0.5</v>
      </c>
      <c r="C2916" s="71">
        <v>42706</v>
      </c>
      <c r="D2916" s="72">
        <v>0.25</v>
      </c>
    </row>
    <row r="2917" spans="1:4" x14ac:dyDescent="0.2">
      <c r="A2917" s="71">
        <v>42707</v>
      </c>
      <c r="B2917" s="72">
        <v>0.5</v>
      </c>
      <c r="C2917" s="71">
        <v>42707</v>
      </c>
      <c r="D2917" s="72">
        <v>0.25</v>
      </c>
    </row>
    <row r="2918" spans="1:4" x14ac:dyDescent="0.2">
      <c r="A2918" s="71">
        <v>42708</v>
      </c>
      <c r="B2918" s="72">
        <v>0.5</v>
      </c>
      <c r="C2918" s="71">
        <v>42708</v>
      </c>
      <c r="D2918" s="72">
        <v>0.25</v>
      </c>
    </row>
    <row r="2919" spans="1:4" x14ac:dyDescent="0.2">
      <c r="A2919" s="71">
        <v>42709</v>
      </c>
      <c r="B2919" s="72">
        <v>0.5</v>
      </c>
      <c r="C2919" s="71">
        <v>42709</v>
      </c>
      <c r="D2919" s="72">
        <v>0.25</v>
      </c>
    </row>
    <row r="2920" spans="1:4" x14ac:dyDescent="0.2">
      <c r="A2920" s="71">
        <v>42710</v>
      </c>
      <c r="B2920" s="72">
        <v>0.5</v>
      </c>
      <c r="C2920" s="71">
        <v>42710</v>
      </c>
      <c r="D2920" s="72">
        <v>0.25</v>
      </c>
    </row>
    <row r="2921" spans="1:4" x14ac:dyDescent="0.2">
      <c r="A2921" s="71">
        <v>42711</v>
      </c>
      <c r="B2921" s="72">
        <v>0.5</v>
      </c>
      <c r="C2921" s="71">
        <v>42711</v>
      </c>
      <c r="D2921" s="72">
        <v>0.25</v>
      </c>
    </row>
    <row r="2922" spans="1:4" x14ac:dyDescent="0.2">
      <c r="A2922" s="71">
        <v>42712</v>
      </c>
      <c r="B2922" s="72">
        <v>0.5</v>
      </c>
      <c r="C2922" s="71">
        <v>42712</v>
      </c>
      <c r="D2922" s="72">
        <v>0.25</v>
      </c>
    </row>
    <row r="2923" spans="1:4" x14ac:dyDescent="0.2">
      <c r="A2923" s="71">
        <v>42713</v>
      </c>
      <c r="B2923" s="72">
        <v>0.5</v>
      </c>
      <c r="C2923" s="71">
        <v>42713</v>
      </c>
      <c r="D2923" s="72">
        <v>0.25</v>
      </c>
    </row>
    <row r="2924" spans="1:4" x14ac:dyDescent="0.2">
      <c r="A2924" s="71">
        <v>42714</v>
      </c>
      <c r="B2924" s="72">
        <v>0.5</v>
      </c>
      <c r="C2924" s="71">
        <v>42714</v>
      </c>
      <c r="D2924" s="72">
        <v>0.25</v>
      </c>
    </row>
    <row r="2925" spans="1:4" x14ac:dyDescent="0.2">
      <c r="A2925" s="71">
        <v>42715</v>
      </c>
      <c r="B2925" s="72">
        <v>0.5</v>
      </c>
      <c r="C2925" s="71">
        <v>42715</v>
      </c>
      <c r="D2925" s="72">
        <v>0.25</v>
      </c>
    </row>
    <row r="2926" spans="1:4" x14ac:dyDescent="0.2">
      <c r="A2926" s="71">
        <v>42716</v>
      </c>
      <c r="B2926" s="72">
        <v>0.5</v>
      </c>
      <c r="C2926" s="71">
        <v>42716</v>
      </c>
      <c r="D2926" s="72">
        <v>0.25</v>
      </c>
    </row>
    <row r="2927" spans="1:4" x14ac:dyDescent="0.2">
      <c r="A2927" s="71">
        <v>42717</v>
      </c>
      <c r="B2927" s="72">
        <v>0.5</v>
      </c>
      <c r="C2927" s="71">
        <v>42717</v>
      </c>
      <c r="D2927" s="72">
        <v>0.25</v>
      </c>
    </row>
    <row r="2928" spans="1:4" x14ac:dyDescent="0.2">
      <c r="A2928" s="71">
        <v>42718</v>
      </c>
      <c r="B2928" s="72">
        <v>0.75</v>
      </c>
      <c r="C2928" s="71">
        <v>42718</v>
      </c>
      <c r="D2928" s="72">
        <v>0.5</v>
      </c>
    </row>
    <row r="2929" spans="1:4" x14ac:dyDescent="0.2">
      <c r="A2929" s="71">
        <v>42719</v>
      </c>
      <c r="B2929" s="72">
        <v>0.75</v>
      </c>
      <c r="C2929" s="71">
        <v>42719</v>
      </c>
      <c r="D2929" s="72">
        <v>0.5</v>
      </c>
    </row>
    <row r="2930" spans="1:4" x14ac:dyDescent="0.2">
      <c r="A2930" s="71">
        <v>42720</v>
      </c>
      <c r="B2930" s="72">
        <v>0.75</v>
      </c>
      <c r="C2930" s="71">
        <v>42720</v>
      </c>
      <c r="D2930" s="72">
        <v>0.5</v>
      </c>
    </row>
    <row r="2931" spans="1:4" x14ac:dyDescent="0.2">
      <c r="A2931" s="71">
        <v>42721</v>
      </c>
      <c r="B2931" s="72">
        <v>0.75</v>
      </c>
      <c r="C2931" s="71">
        <v>42721</v>
      </c>
      <c r="D2931" s="72">
        <v>0.5</v>
      </c>
    </row>
    <row r="2932" spans="1:4" x14ac:dyDescent="0.2">
      <c r="A2932" s="71">
        <v>42722</v>
      </c>
      <c r="B2932" s="72">
        <v>0.75</v>
      </c>
      <c r="C2932" s="71">
        <v>42722</v>
      </c>
      <c r="D2932" s="72">
        <v>0.5</v>
      </c>
    </row>
    <row r="2933" spans="1:4" x14ac:dyDescent="0.2">
      <c r="A2933" s="71">
        <v>42723</v>
      </c>
      <c r="B2933" s="72">
        <v>0.75</v>
      </c>
      <c r="C2933" s="71">
        <v>42723</v>
      </c>
      <c r="D2933" s="72">
        <v>0.5</v>
      </c>
    </row>
    <row r="2934" spans="1:4" x14ac:dyDescent="0.2">
      <c r="A2934" s="71">
        <v>42724</v>
      </c>
      <c r="B2934" s="72">
        <v>0.75</v>
      </c>
      <c r="C2934" s="71">
        <v>42724</v>
      </c>
      <c r="D2934" s="72">
        <v>0.5</v>
      </c>
    </row>
    <row r="2935" spans="1:4" x14ac:dyDescent="0.2">
      <c r="A2935" s="71">
        <v>42725</v>
      </c>
      <c r="B2935" s="72">
        <v>0.75</v>
      </c>
      <c r="C2935" s="71">
        <v>42725</v>
      </c>
      <c r="D2935" s="72">
        <v>0.5</v>
      </c>
    </row>
    <row r="2936" spans="1:4" x14ac:dyDescent="0.2">
      <c r="A2936" s="71">
        <v>42726</v>
      </c>
      <c r="B2936" s="72">
        <v>0.75</v>
      </c>
      <c r="C2936" s="71">
        <v>42726</v>
      </c>
      <c r="D2936" s="72">
        <v>0.5</v>
      </c>
    </row>
    <row r="2937" spans="1:4" x14ac:dyDescent="0.2">
      <c r="A2937" s="71">
        <v>42727</v>
      </c>
      <c r="B2937" s="72">
        <v>0.75</v>
      </c>
      <c r="C2937" s="71">
        <v>42727</v>
      </c>
      <c r="D2937" s="72">
        <v>0.5</v>
      </c>
    </row>
    <row r="2938" spans="1:4" x14ac:dyDescent="0.2">
      <c r="A2938" s="71">
        <v>42728</v>
      </c>
      <c r="B2938" s="72">
        <v>0.75</v>
      </c>
      <c r="C2938" s="71">
        <v>42728</v>
      </c>
      <c r="D2938" s="72">
        <v>0.5</v>
      </c>
    </row>
    <row r="2939" spans="1:4" x14ac:dyDescent="0.2">
      <c r="A2939" s="71">
        <v>42729</v>
      </c>
      <c r="B2939" s="72">
        <v>0.75</v>
      </c>
      <c r="C2939" s="71">
        <v>42729</v>
      </c>
      <c r="D2939" s="72">
        <v>0.5</v>
      </c>
    </row>
    <row r="2940" spans="1:4" x14ac:dyDescent="0.2">
      <c r="A2940" s="71">
        <v>42730</v>
      </c>
      <c r="B2940" s="72">
        <v>0.75</v>
      </c>
      <c r="C2940" s="71">
        <v>42730</v>
      </c>
      <c r="D2940" s="72">
        <v>0.5</v>
      </c>
    </row>
    <row r="2941" spans="1:4" x14ac:dyDescent="0.2">
      <c r="A2941" s="71">
        <v>42731</v>
      </c>
      <c r="B2941" s="72">
        <v>0.75</v>
      </c>
      <c r="C2941" s="71">
        <v>42731</v>
      </c>
      <c r="D2941" s="72">
        <v>0.5</v>
      </c>
    </row>
    <row r="2942" spans="1:4" x14ac:dyDescent="0.2">
      <c r="A2942" s="71">
        <v>42732</v>
      </c>
      <c r="B2942" s="72">
        <v>0.75</v>
      </c>
      <c r="C2942" s="71">
        <v>42732</v>
      </c>
      <c r="D2942" s="72">
        <v>0.5</v>
      </c>
    </row>
    <row r="2943" spans="1:4" x14ac:dyDescent="0.2">
      <c r="A2943" s="71">
        <v>42733</v>
      </c>
      <c r="B2943" s="72">
        <v>0.75</v>
      </c>
      <c r="C2943" s="71">
        <v>42733</v>
      </c>
      <c r="D2943" s="72">
        <v>0.5</v>
      </c>
    </row>
    <row r="2944" spans="1:4" x14ac:dyDescent="0.2">
      <c r="A2944" s="71">
        <v>42734</v>
      </c>
      <c r="B2944" s="72">
        <v>0.75</v>
      </c>
      <c r="C2944" s="71">
        <v>42734</v>
      </c>
      <c r="D2944" s="72">
        <v>0.5</v>
      </c>
    </row>
    <row r="2945" spans="1:4" x14ac:dyDescent="0.2">
      <c r="A2945" s="71">
        <v>42735</v>
      </c>
      <c r="B2945" s="72">
        <v>0.75</v>
      </c>
      <c r="C2945" s="71">
        <v>42735</v>
      </c>
      <c r="D2945" s="72">
        <v>0.5</v>
      </c>
    </row>
    <row r="2946" spans="1:4" x14ac:dyDescent="0.2">
      <c r="A2946" s="71">
        <v>42736</v>
      </c>
      <c r="B2946" s="72">
        <v>0.75</v>
      </c>
      <c r="C2946" s="71">
        <v>42736</v>
      </c>
      <c r="D2946" s="72">
        <v>0.5</v>
      </c>
    </row>
    <row r="2947" spans="1:4" x14ac:dyDescent="0.2">
      <c r="A2947" s="71">
        <v>42737</v>
      </c>
      <c r="B2947" s="72">
        <v>0.75</v>
      </c>
      <c r="C2947" s="71">
        <v>42737</v>
      </c>
      <c r="D2947" s="72">
        <v>0.5</v>
      </c>
    </row>
    <row r="2948" spans="1:4" x14ac:dyDescent="0.2">
      <c r="A2948" s="71">
        <v>42738</v>
      </c>
      <c r="B2948" s="72">
        <v>0.75</v>
      </c>
      <c r="C2948" s="71">
        <v>42738</v>
      </c>
      <c r="D2948" s="72">
        <v>0.5</v>
      </c>
    </row>
    <row r="2949" spans="1:4" x14ac:dyDescent="0.2">
      <c r="A2949" s="71">
        <v>42739</v>
      </c>
      <c r="B2949" s="72">
        <v>0.75</v>
      </c>
      <c r="C2949" s="71">
        <v>42739</v>
      </c>
      <c r="D2949" s="72">
        <v>0.5</v>
      </c>
    </row>
    <row r="2950" spans="1:4" x14ac:dyDescent="0.2">
      <c r="A2950" s="71">
        <v>42740</v>
      </c>
      <c r="B2950" s="72">
        <v>0.75</v>
      </c>
      <c r="C2950" s="71">
        <v>42740</v>
      </c>
      <c r="D2950" s="72">
        <v>0.5</v>
      </c>
    </row>
    <row r="2951" spans="1:4" x14ac:dyDescent="0.2">
      <c r="A2951" s="71">
        <v>42741</v>
      </c>
      <c r="B2951" s="72">
        <v>0.75</v>
      </c>
      <c r="C2951" s="71">
        <v>42741</v>
      </c>
      <c r="D2951" s="72">
        <v>0.5</v>
      </c>
    </row>
    <row r="2952" spans="1:4" x14ac:dyDescent="0.2">
      <c r="A2952" s="71">
        <v>42742</v>
      </c>
      <c r="B2952" s="72">
        <v>0.75</v>
      </c>
      <c r="C2952" s="71">
        <v>42742</v>
      </c>
      <c r="D2952" s="72">
        <v>0.5</v>
      </c>
    </row>
    <row r="2953" spans="1:4" x14ac:dyDescent="0.2">
      <c r="A2953" s="71">
        <v>42743</v>
      </c>
      <c r="B2953" s="72">
        <v>0.75</v>
      </c>
      <c r="C2953" s="71">
        <v>42743</v>
      </c>
      <c r="D2953" s="72">
        <v>0.5</v>
      </c>
    </row>
    <row r="2954" spans="1:4" x14ac:dyDescent="0.2">
      <c r="A2954" s="71">
        <v>42744</v>
      </c>
      <c r="B2954" s="72">
        <v>0.75</v>
      </c>
      <c r="C2954" s="71">
        <v>42744</v>
      </c>
      <c r="D2954" s="72">
        <v>0.5</v>
      </c>
    </row>
    <row r="2955" spans="1:4" x14ac:dyDescent="0.2">
      <c r="A2955" s="71">
        <v>42745</v>
      </c>
      <c r="B2955" s="72">
        <v>0.75</v>
      </c>
      <c r="C2955" s="71">
        <v>42745</v>
      </c>
      <c r="D2955" s="72">
        <v>0.5</v>
      </c>
    </row>
    <row r="2956" spans="1:4" x14ac:dyDescent="0.2">
      <c r="A2956" s="71">
        <v>42746</v>
      </c>
      <c r="B2956" s="72">
        <v>0.75</v>
      </c>
      <c r="C2956" s="71">
        <v>42746</v>
      </c>
      <c r="D2956" s="72">
        <v>0.5</v>
      </c>
    </row>
    <row r="2957" spans="1:4" x14ac:dyDescent="0.2">
      <c r="A2957" s="71">
        <v>42747</v>
      </c>
      <c r="B2957" s="72">
        <v>0.75</v>
      </c>
      <c r="C2957" s="71">
        <v>42747</v>
      </c>
      <c r="D2957" s="72">
        <v>0.5</v>
      </c>
    </row>
    <row r="2958" spans="1:4" x14ac:dyDescent="0.2">
      <c r="A2958" s="71">
        <v>42748</v>
      </c>
      <c r="B2958" s="72">
        <v>0.75</v>
      </c>
      <c r="C2958" s="71">
        <v>42748</v>
      </c>
      <c r="D2958" s="72">
        <v>0.5</v>
      </c>
    </row>
    <row r="2959" spans="1:4" x14ac:dyDescent="0.2">
      <c r="A2959" s="71">
        <v>42749</v>
      </c>
      <c r="B2959" s="72">
        <v>0.75</v>
      </c>
      <c r="C2959" s="71">
        <v>42749</v>
      </c>
      <c r="D2959" s="72">
        <v>0.5</v>
      </c>
    </row>
    <row r="2960" spans="1:4" x14ac:dyDescent="0.2">
      <c r="A2960" s="71">
        <v>42750</v>
      </c>
      <c r="B2960" s="72">
        <v>0.75</v>
      </c>
      <c r="C2960" s="71">
        <v>42750</v>
      </c>
      <c r="D2960" s="72">
        <v>0.5</v>
      </c>
    </row>
    <row r="2961" spans="1:4" x14ac:dyDescent="0.2">
      <c r="A2961" s="71">
        <v>42751</v>
      </c>
      <c r="B2961" s="72">
        <v>0.75</v>
      </c>
      <c r="C2961" s="71">
        <v>42751</v>
      </c>
      <c r="D2961" s="72">
        <v>0.5</v>
      </c>
    </row>
    <row r="2962" spans="1:4" x14ac:dyDescent="0.2">
      <c r="A2962" s="71">
        <v>42752</v>
      </c>
      <c r="B2962" s="72">
        <v>0.75</v>
      </c>
      <c r="C2962" s="71">
        <v>42752</v>
      </c>
      <c r="D2962" s="72">
        <v>0.5</v>
      </c>
    </row>
    <row r="2963" spans="1:4" x14ac:dyDescent="0.2">
      <c r="A2963" s="71">
        <v>42753</v>
      </c>
      <c r="B2963" s="72">
        <v>0.75</v>
      </c>
      <c r="C2963" s="71">
        <v>42753</v>
      </c>
      <c r="D2963" s="72">
        <v>0.5</v>
      </c>
    </row>
    <row r="2964" spans="1:4" x14ac:dyDescent="0.2">
      <c r="A2964" s="71">
        <v>42754</v>
      </c>
      <c r="B2964" s="72">
        <v>0.75</v>
      </c>
      <c r="C2964" s="71">
        <v>42754</v>
      </c>
      <c r="D2964" s="72">
        <v>0.5</v>
      </c>
    </row>
    <row r="2965" spans="1:4" x14ac:dyDescent="0.2">
      <c r="A2965" s="71">
        <v>42755</v>
      </c>
      <c r="B2965" s="72">
        <v>0.75</v>
      </c>
      <c r="C2965" s="71">
        <v>42755</v>
      </c>
      <c r="D2965" s="72">
        <v>0.5</v>
      </c>
    </row>
    <row r="2966" spans="1:4" x14ac:dyDescent="0.2">
      <c r="A2966" s="71">
        <v>42756</v>
      </c>
      <c r="B2966" s="72">
        <v>0.75</v>
      </c>
      <c r="C2966" s="71">
        <v>42756</v>
      </c>
      <c r="D2966" s="72">
        <v>0.5</v>
      </c>
    </row>
    <row r="2967" spans="1:4" x14ac:dyDescent="0.2">
      <c r="A2967" s="71">
        <v>42757</v>
      </c>
      <c r="B2967" s="72">
        <v>0.75</v>
      </c>
      <c r="C2967" s="71">
        <v>42757</v>
      </c>
      <c r="D2967" s="72">
        <v>0.5</v>
      </c>
    </row>
    <row r="2968" spans="1:4" x14ac:dyDescent="0.2">
      <c r="A2968" s="71">
        <v>42758</v>
      </c>
      <c r="B2968" s="72">
        <v>0.75</v>
      </c>
      <c r="C2968" s="71">
        <v>42758</v>
      </c>
      <c r="D2968" s="72">
        <v>0.5</v>
      </c>
    </row>
    <row r="2969" spans="1:4" x14ac:dyDescent="0.2">
      <c r="A2969" s="71">
        <v>42759</v>
      </c>
      <c r="B2969" s="72">
        <v>0.75</v>
      </c>
      <c r="C2969" s="71">
        <v>42759</v>
      </c>
      <c r="D2969" s="72">
        <v>0.5</v>
      </c>
    </row>
    <row r="2970" spans="1:4" x14ac:dyDescent="0.2">
      <c r="A2970" s="71">
        <v>42760</v>
      </c>
      <c r="B2970" s="72">
        <v>0.75</v>
      </c>
      <c r="C2970" s="71">
        <v>42760</v>
      </c>
      <c r="D2970" s="72">
        <v>0.5</v>
      </c>
    </row>
    <row r="2971" spans="1:4" x14ac:dyDescent="0.2">
      <c r="A2971" s="71">
        <v>42761</v>
      </c>
      <c r="B2971" s="72">
        <v>0.75</v>
      </c>
      <c r="C2971" s="71">
        <v>42761</v>
      </c>
      <c r="D2971" s="72">
        <v>0.5</v>
      </c>
    </row>
    <row r="2972" spans="1:4" x14ac:dyDescent="0.2">
      <c r="A2972" s="71">
        <v>42762</v>
      </c>
      <c r="B2972" s="72">
        <v>0.75</v>
      </c>
      <c r="C2972" s="71">
        <v>42762</v>
      </c>
      <c r="D2972" s="72">
        <v>0.5</v>
      </c>
    </row>
    <row r="2973" spans="1:4" x14ac:dyDescent="0.2">
      <c r="A2973" s="71">
        <v>42763</v>
      </c>
      <c r="B2973" s="72">
        <v>0.75</v>
      </c>
      <c r="C2973" s="71">
        <v>42763</v>
      </c>
      <c r="D2973" s="72">
        <v>0.5</v>
      </c>
    </row>
    <row r="2974" spans="1:4" x14ac:dyDescent="0.2">
      <c r="A2974" s="71">
        <v>42764</v>
      </c>
      <c r="B2974" s="72">
        <v>0.75</v>
      </c>
      <c r="C2974" s="71">
        <v>42764</v>
      </c>
      <c r="D2974" s="72">
        <v>0.5</v>
      </c>
    </row>
    <row r="2975" spans="1:4" x14ac:dyDescent="0.2">
      <c r="A2975" s="71">
        <v>42765</v>
      </c>
      <c r="B2975" s="72">
        <v>0.75</v>
      </c>
      <c r="C2975" s="71">
        <v>42765</v>
      </c>
      <c r="D2975" s="72">
        <v>0.5</v>
      </c>
    </row>
    <row r="2976" spans="1:4" x14ac:dyDescent="0.2">
      <c r="A2976" s="71">
        <v>42766</v>
      </c>
      <c r="B2976" s="72">
        <v>0.75</v>
      </c>
      <c r="C2976" s="71">
        <v>42766</v>
      </c>
      <c r="D2976" s="72">
        <v>0.5</v>
      </c>
    </row>
    <row r="2977" spans="1:4" x14ac:dyDescent="0.2">
      <c r="A2977" s="71">
        <v>42767</v>
      </c>
      <c r="B2977" s="72">
        <v>0.75</v>
      </c>
      <c r="C2977" s="71">
        <v>42767</v>
      </c>
      <c r="D2977" s="72">
        <v>0.5</v>
      </c>
    </row>
    <row r="2978" spans="1:4" x14ac:dyDescent="0.2">
      <c r="A2978" s="71">
        <v>42768</v>
      </c>
      <c r="B2978" s="72">
        <v>0.75</v>
      </c>
      <c r="C2978" s="71">
        <v>42768</v>
      </c>
      <c r="D2978" s="72">
        <v>0.5</v>
      </c>
    </row>
    <row r="2979" spans="1:4" x14ac:dyDescent="0.2">
      <c r="A2979" s="71">
        <v>42769</v>
      </c>
      <c r="B2979" s="72">
        <v>0.75</v>
      </c>
      <c r="C2979" s="71">
        <v>42769</v>
      </c>
      <c r="D2979" s="72">
        <v>0.5</v>
      </c>
    </row>
    <row r="2980" spans="1:4" x14ac:dyDescent="0.2">
      <c r="A2980" s="71">
        <v>42770</v>
      </c>
      <c r="B2980" s="72">
        <v>0.75</v>
      </c>
      <c r="C2980" s="71">
        <v>42770</v>
      </c>
      <c r="D2980" s="72">
        <v>0.5</v>
      </c>
    </row>
    <row r="2981" spans="1:4" x14ac:dyDescent="0.2">
      <c r="A2981" s="71">
        <v>42771</v>
      </c>
      <c r="B2981" s="72">
        <v>0.75</v>
      </c>
      <c r="C2981" s="71">
        <v>42771</v>
      </c>
      <c r="D2981" s="72">
        <v>0.5</v>
      </c>
    </row>
    <row r="2982" spans="1:4" x14ac:dyDescent="0.2">
      <c r="A2982" s="71">
        <v>42772</v>
      </c>
      <c r="B2982" s="72">
        <v>0.75</v>
      </c>
      <c r="C2982" s="71">
        <v>42772</v>
      </c>
      <c r="D2982" s="72">
        <v>0.5</v>
      </c>
    </row>
    <row r="2983" spans="1:4" x14ac:dyDescent="0.2">
      <c r="A2983" s="71">
        <v>42773</v>
      </c>
      <c r="B2983" s="72">
        <v>0.75</v>
      </c>
      <c r="C2983" s="71">
        <v>42773</v>
      </c>
      <c r="D2983" s="72">
        <v>0.5</v>
      </c>
    </row>
    <row r="2984" spans="1:4" x14ac:dyDescent="0.2">
      <c r="A2984" s="71">
        <v>42774</v>
      </c>
      <c r="B2984" s="72">
        <v>0.75</v>
      </c>
      <c r="C2984" s="71">
        <v>42774</v>
      </c>
      <c r="D2984" s="72">
        <v>0.5</v>
      </c>
    </row>
    <row r="2985" spans="1:4" x14ac:dyDescent="0.2">
      <c r="A2985" s="71">
        <v>42775</v>
      </c>
      <c r="B2985" s="72">
        <v>0.75</v>
      </c>
      <c r="C2985" s="71">
        <v>42775</v>
      </c>
      <c r="D2985" s="72">
        <v>0.5</v>
      </c>
    </row>
    <row r="2986" spans="1:4" x14ac:dyDescent="0.2">
      <c r="A2986" s="71">
        <v>42776</v>
      </c>
      <c r="B2986" s="72">
        <v>0.75</v>
      </c>
      <c r="C2986" s="71">
        <v>42776</v>
      </c>
      <c r="D2986" s="72">
        <v>0.5</v>
      </c>
    </row>
    <row r="2987" spans="1:4" x14ac:dyDescent="0.2">
      <c r="A2987" s="71">
        <v>42777</v>
      </c>
      <c r="B2987" s="72">
        <v>0.75</v>
      </c>
      <c r="C2987" s="71">
        <v>42777</v>
      </c>
      <c r="D2987" s="72">
        <v>0.5</v>
      </c>
    </row>
    <row r="2988" spans="1:4" x14ac:dyDescent="0.2">
      <c r="A2988" s="71">
        <v>42778</v>
      </c>
      <c r="B2988" s="72">
        <v>0.75</v>
      </c>
      <c r="C2988" s="71">
        <v>42778</v>
      </c>
      <c r="D2988" s="72">
        <v>0.5</v>
      </c>
    </row>
    <row r="2989" spans="1:4" x14ac:dyDescent="0.2">
      <c r="A2989" s="71">
        <v>42779</v>
      </c>
      <c r="B2989" s="72">
        <v>0.75</v>
      </c>
      <c r="C2989" s="71">
        <v>42779</v>
      </c>
      <c r="D2989" s="72">
        <v>0.5</v>
      </c>
    </row>
    <row r="2990" spans="1:4" x14ac:dyDescent="0.2">
      <c r="A2990" s="71">
        <v>42780</v>
      </c>
      <c r="B2990" s="72">
        <v>0.75</v>
      </c>
      <c r="C2990" s="71">
        <v>42780</v>
      </c>
      <c r="D2990" s="72">
        <v>0.5</v>
      </c>
    </row>
  </sheetData>
  <hyperlinks>
    <hyperlink ref="A5" r:id="rId1" xr:uid="{00000000-0004-0000-0A00-000000000000}"/>
    <hyperlink ref="C5" r:id="rId2" xr:uid="{00000000-0004-0000-0A00-000001000000}"/>
    <hyperlink ref="E5" r:id="rId3" xr:uid="{00000000-0004-0000-0A00-000002000000}"/>
  </hyperlink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8</vt:i4>
      </vt:variant>
    </vt:vector>
  </HeadingPairs>
  <TitlesOfParts>
    <vt:vector size="8" baseType="lpstr">
      <vt:lpstr>Note</vt:lpstr>
      <vt:lpstr>Database</vt:lpstr>
      <vt:lpstr>Fed Fund New</vt:lpstr>
      <vt:lpstr>CPI</vt:lpstr>
      <vt:lpstr>CPI Food</vt:lpstr>
      <vt:lpstr>CPI Energy</vt:lpstr>
      <vt:lpstr>Core CPI</vt:lpstr>
      <vt:lpstr>Recap</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openpyxl</dc:creator>
  <cp:lastModifiedBy>Mark Mukherjee</cp:lastModifiedBy>
  <dcterms:created xsi:type="dcterms:W3CDTF">2006-09-16T00:00:00Z</dcterms:created>
  <dcterms:modified xsi:type="dcterms:W3CDTF">2022-01-22T05:19:55Z</dcterms:modified>
</cp:coreProperties>
</file>