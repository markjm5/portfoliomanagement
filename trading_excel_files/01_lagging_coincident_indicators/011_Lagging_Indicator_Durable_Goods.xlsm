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ex Aircraft" sheetId="5" state="visible" r:id="rId5"/>
    <sheet xmlns:r="http://schemas.openxmlformats.org/officeDocument/2006/relationships" name="New Orders"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dd-mm-YYYY"/>
    <numFmt numFmtId="169" formatCode="yyyy-mm-dd h:mm:ss"/>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50">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0" fontId="1" fillId="3" borderId="5" applyAlignment="1" pivotButton="0" quotePrefix="0" xfId="0">
      <alignment horizontal="center"/>
    </xf>
    <xf numFmtId="3" fontId="0" fillId="3" borderId="21" applyAlignment="1" pivotButton="0" quotePrefix="0" xfId="0">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0" fontId="20" fillId="3" borderId="0" pivotButton="0" quotePrefix="0" xfId="5"/>
    <xf numFmtId="0" fontId="0" fillId="3" borderId="0" pivotButton="0" quotePrefix="0" xfId="0"/>
    <xf numFmtId="0" fontId="0" fillId="0" borderId="0" pivotButton="0" quotePrefix="0" xfId="0"/>
    <xf numFmtId="0" fontId="0" fillId="0" borderId="0" applyAlignment="1" pivotButton="0" quotePrefix="0" xfId="0">
      <alignment horizontal="right"/>
    </xf>
    <xf numFmtId="165" fontId="2" fillId="3" borderId="0" applyAlignment="1" pivotButton="0" quotePrefix="0" xfId="0">
      <alignment horizontal="center" vertical="center"/>
    </xf>
    <xf numFmtId="167" fontId="0" fillId="0" borderId="0" pivotButton="0" quotePrefix="0" xfId="0"/>
    <xf numFmtId="0" fontId="1" fillId="3" borderId="30" applyAlignment="1" pivotButton="0" quotePrefix="0" xfId="0">
      <alignment wrapText="1"/>
    </xf>
    <xf numFmtId="0" fontId="0" fillId="0" borderId="27" pivotButton="0" quotePrefix="0" xfId="0"/>
    <xf numFmtId="0" fontId="1" fillId="3" borderId="29" applyAlignment="1" pivotButton="0" quotePrefix="0" xfId="0">
      <alignment wrapText="1"/>
    </xf>
    <xf numFmtId="0" fontId="0" fillId="0" borderId="16" pivotButton="0" quotePrefix="0" xfId="0"/>
    <xf numFmtId="0" fontId="1" fillId="3" borderId="31" applyAlignment="1" pivotButton="0" quotePrefix="0" xfId="0">
      <alignment wrapText="1"/>
    </xf>
    <xf numFmtId="0" fontId="0" fillId="0" borderId="26" pivotButton="0" quotePrefix="0" xfId="0"/>
    <xf numFmtId="0" fontId="20" fillId="3" borderId="0" pivotButton="0" quotePrefix="0" xfId="5"/>
    <xf numFmtId="0" fontId="0" fillId="3" borderId="0" pivotButton="0" quotePrefix="0" xfId="0"/>
    <xf numFmtId="0" fontId="23" fillId="3" borderId="0" applyAlignment="1" pivotButton="0" quotePrefix="0" xfId="0">
      <alignment wrapText="1"/>
    </xf>
    <xf numFmtId="0" fontId="25" fillId="3" borderId="29" applyAlignment="1" pivotButton="0" quotePrefix="0" xfId="0">
      <alignment wrapText="1"/>
    </xf>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1" fillId="6" borderId="1" applyAlignment="1" pivotButton="0" quotePrefix="0" xfId="0">
      <alignment horizontal="center"/>
    </xf>
    <xf numFmtId="0" fontId="0" fillId="0" borderId="15" pivotButton="0" quotePrefix="0" xfId="0"/>
    <xf numFmtId="0" fontId="0" fillId="3" borderId="0" applyAlignment="1" pivotButton="0" quotePrefix="0" xfId="0">
      <alignment vertical="center" wrapText="1"/>
    </xf>
    <xf numFmtId="0" fontId="0" fillId="3" borderId="0" applyAlignment="1" pivotButton="0" quotePrefix="0" xfId="0">
      <alignment wrapText="1"/>
    </xf>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8" fontId="0" fillId="0" borderId="0" pivotButton="0" quotePrefix="0" xfId="0"/>
    <xf numFmtId="168" fontId="0" fillId="0" borderId="0" pivotButton="0" quotePrefix="0" xfId="0"/>
  </cellXfs>
  <cellStyles count="7">
    <cellStyle name="Normal" xfId="0" builtinId="0"/>
    <cellStyle name="Normal 2" xfId="1"/>
    <cellStyle name="Normal 3" xfId="2"/>
    <cellStyle name="Normal 4" xfId="3"/>
    <cellStyle name="Per cent" xfId="4" builtinId="5"/>
    <cellStyle name="Hyperlink" xfId="5" builtinId="8"/>
    <cellStyle name="Normal 5" xfId="6"/>
  </cellStyles>
  <dxfs count="26">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Aircraft'!$A$209:$A$350</f>
              <numCache>
                <formatCode>m/d/yy</formatCode>
                <ptCount val="142"/>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numCache>
            </numRef>
          </cat>
          <val>
            <numRef>
              <f>'New Orders ex Aircraft'!$B$209:$B$350</f>
              <numCache>
                <formatCode>#,##0</formatCode>
                <ptCount val="142"/>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67525</v>
                </pt>
                <pt idx="37">
                  <v>70075</v>
                </pt>
                <pt idx="38">
                  <v>69719</v>
                </pt>
                <pt idx="39">
                  <v>67645</v>
                </pt>
                <pt idx="40">
                  <v>69182</v>
                </pt>
                <pt idx="41">
                  <v>66971</v>
                </pt>
                <pt idx="42">
                  <v>65070</v>
                </pt>
                <pt idx="43">
                  <v>63645</v>
                </pt>
                <pt idx="44">
                  <v>63932</v>
                </pt>
                <pt idx="45">
                  <v>66051</v>
                </pt>
                <pt idx="46">
                  <v>66204</v>
                </pt>
                <pt idx="47">
                  <v>66840</v>
                </pt>
                <pt idx="48">
                  <v>69879</v>
                </pt>
                <pt idx="49">
                  <v>66361</v>
                </pt>
                <pt idx="50">
                  <v>66318</v>
                </pt>
                <pt idx="51">
                  <v>67762</v>
                </pt>
                <pt idx="52">
                  <v>69035</v>
                </pt>
                <pt idx="53">
                  <v>69343</v>
                </pt>
                <pt idx="54">
                  <v>66316</v>
                </pt>
                <pt idx="55">
                  <v>65933</v>
                </pt>
                <pt idx="56">
                  <v>66371</v>
                </pt>
                <pt idx="57">
                  <v>65016</v>
                </pt>
                <pt idx="58">
                  <v>68053</v>
                </pt>
                <pt idx="59">
                  <v>67775</v>
                </pt>
                <pt idx="60">
                  <v>68237</v>
                </pt>
                <pt idx="61">
                  <v>67386</v>
                </pt>
                <pt idx="62">
                  <v>68683</v>
                </pt>
                <pt idx="63">
                  <v>66486</v>
                </pt>
                <pt idx="64">
                  <v>65819</v>
                </pt>
                <pt idx="65">
                  <v>69618</v>
                </pt>
                <pt idx="66">
                  <v>67842</v>
                </pt>
                <pt idx="67">
                  <v>68514</v>
                </pt>
                <pt idx="68">
                  <v>69207</v>
                </pt>
                <pt idx="69">
                  <v>65557</v>
                </pt>
                <pt idx="70">
                  <v>63687</v>
                </pt>
                <pt idx="71">
                  <v>66300</v>
                </pt>
                <pt idx="72">
                  <v>64791</v>
                </pt>
                <pt idx="73">
                  <v>64232</v>
                </pt>
                <pt idx="74">
                  <v>64712</v>
                </pt>
                <pt idx="75">
                  <v>64365</v>
                </pt>
                <pt idx="76">
                  <v>62596</v>
                </pt>
                <pt idx="77">
                  <v>63739</v>
                </pt>
                <pt idx="78">
                  <v>63551</v>
                </pt>
                <pt idx="79">
                  <v>63525</v>
                </pt>
                <pt idx="80">
                  <v>63188</v>
                </pt>
                <pt idx="81">
                  <v>62996</v>
                </pt>
                <pt idx="82">
                  <v>61848</v>
                </pt>
                <pt idx="83">
                  <v>60613</v>
                </pt>
                <pt idx="84">
                  <v>61637</v>
                </pt>
                <pt idx="85">
                  <v>61150</v>
                </pt>
                <pt idx="86">
                  <v>60583</v>
                </pt>
                <pt idx="87">
                  <v>60924</v>
                </pt>
                <pt idx="88">
                  <v>59566</v>
                </pt>
                <pt idx="89">
                  <v>59608</v>
                </pt>
                <pt idx="90">
                  <v>59809</v>
                </pt>
                <pt idx="91">
                  <v>61691</v>
                </pt>
                <pt idx="92">
                  <v>59308</v>
                </pt>
                <pt idx="93">
                  <v>59351</v>
                </pt>
                <pt idx="94">
                  <v>59244</v>
                </pt>
                <pt idx="95">
                  <v>59539</v>
                </pt>
                <pt idx="96">
                  <v>60419</v>
                </pt>
                <pt idx="97">
                  <v>60740</v>
                </pt>
                <pt idx="98">
                  <v>61013</v>
                </pt>
                <pt idx="99">
                  <v>61308</v>
                </pt>
                <pt idx="100">
                  <v>61404</v>
                </pt>
                <pt idx="101">
                  <v>60378</v>
                </pt>
                <pt idx="102">
                  <v>61535</v>
                </pt>
                <pt idx="103">
                  <v>61552</v>
                </pt>
                <pt idx="104">
                  <v>64088</v>
                </pt>
                <pt idx="105">
                  <v>63703</v>
                </pt>
                <pt idx="106">
                  <v>63645</v>
                </pt>
                <pt idx="107">
                  <v>63795</v>
                </pt>
                <pt idx="108">
                  <v>63324</v>
                </pt>
                <pt idx="109">
                  <v>64087</v>
                </pt>
                <pt idx="110">
                  <v>63553</v>
                </pt>
                <pt idx="111">
                  <v>64909</v>
                </pt>
                <pt idx="112">
                  <v>66231</v>
                </pt>
                <pt idx="113">
                  <v>67247</v>
                </pt>
                <pt idx="114">
                  <v>68749</v>
                </pt>
                <pt idx="115">
                  <v>66798</v>
                </pt>
                <pt idx="116">
                  <v>66399</v>
                </pt>
                <pt idx="117">
                  <v>67104</v>
                </pt>
                <pt idx="118">
                  <v>64292</v>
                </pt>
                <pt idx="119">
                  <v>64894</v>
                </pt>
                <pt idx="120">
                  <v>65841</v>
                </pt>
                <pt idx="121">
                  <v>65221</v>
                </pt>
                <pt idx="122">
                  <v>66457</v>
                </pt>
                <pt idx="123">
                  <v>65737</v>
                </pt>
                <pt idx="124">
                  <v>65271</v>
                </pt>
                <pt idx="125">
                  <v>66139</v>
                </pt>
                <pt idx="126">
                  <v>65823</v>
                </pt>
                <pt idx="127">
                  <v>65593</v>
                </pt>
                <pt idx="128">
                  <v>65187</v>
                </pt>
                <pt idx="129">
                  <v>65642</v>
                </pt>
                <pt idx="130">
                  <v>65189</v>
                </pt>
                <pt idx="131">
                  <v>65045</v>
                </pt>
                <pt idx="132">
                  <v>65765</v>
                </pt>
                <pt idx="133">
                  <v>64885</v>
                </pt>
                <pt idx="134">
                  <v>64103</v>
                </pt>
                <pt idx="135">
                  <v>59872</v>
                </pt>
                <pt idx="136">
                  <v>61297</v>
                </pt>
                <pt idx="137">
                  <v>64300</v>
                </pt>
                <pt idx="138">
                  <v>66189</v>
                </pt>
                <pt idx="139">
                  <v>67791</v>
                </pt>
                <pt idx="140">
                  <v>68646</v>
                </pt>
                <pt idx="141">
                  <v>69626</v>
                </pt>
              </numCache>
            </numRef>
          </val>
          <smooth val="0"/>
        </ser>
        <dLbls>
          <showLegendKey val="0"/>
          <showVal val="0"/>
          <showCatName val="0"/>
          <showSerName val="0"/>
          <showPercent val="0"/>
          <showBubbleSize val="0"/>
        </dLbls>
        <smooth val="0"/>
        <axId val="504146408"/>
        <axId val="504146800"/>
      </lineChart>
      <dateAx>
        <axId val="504146408"/>
        <scaling>
          <orientation val="minMax"/>
          <max val="444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Aircraft'!$A$251:$A$360</f>
              <numCache>
                <formatCode>m/d/yy</formatCode>
                <ptCount val="110"/>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numCache>
            </numRef>
          </cat>
          <val>
            <numRef>
              <f>'New Orders ex Aircraft'!$C$251:$C$360</f>
              <numCache>
                <formatCode>0.0%</formatCode>
                <ptCount val="110"/>
                <pt idx="0">
                  <v>-0.02838542055516567</v>
                </pt>
                <pt idx="1">
                  <v>-0.0218994928538497</v>
                </pt>
                <pt idx="2">
                  <v>0.004509388011626993</v>
                </pt>
                <pt idx="3">
                  <v>0.03314459112807358</v>
                </pt>
                <pt idx="4">
                  <v>0.002316391879002589</v>
                </pt>
                <pt idx="5">
                  <v>0.009606670291825267</v>
                </pt>
                <pt idx="6">
                  <v>0.04546678635547576</v>
                </pt>
                <pt idx="7">
                  <v>-0.05034416634468152</v>
                </pt>
                <pt idx="8">
                  <v>-0.0006479709467910369</v>
                </pt>
                <pt idx="9">
                  <v>0.02177387737869055</v>
                </pt>
                <pt idx="10">
                  <v>0.01878634042678787</v>
                </pt>
                <pt idx="11">
                  <v>0.004461505033678569</v>
                </pt>
                <pt idx="12">
                  <v>-0.04365256767085358</v>
                </pt>
                <pt idx="13">
                  <v>-0.005775378490861934</v>
                </pt>
                <pt idx="14">
                  <v>0.006643107396902916</v>
                </pt>
                <pt idx="15">
                  <v>-0.02041554293290744</v>
                </pt>
                <pt idx="16">
                  <v>0.04671157868832287</v>
                </pt>
                <pt idx="17">
                  <v>-0.004085051357030549</v>
                </pt>
                <pt idx="18">
                  <v>0.006816672814459609</v>
                </pt>
                <pt idx="19">
                  <v>-0.01247123994313935</v>
                </pt>
                <pt idx="20">
                  <v>0.01924732140207165</v>
                </pt>
                <pt idx="21">
                  <v>-0.03198753694509558</v>
                </pt>
                <pt idx="22">
                  <v>-0.01003218722738622</v>
                </pt>
                <pt idx="23">
                  <v>0.0577188957595831</v>
                </pt>
                <pt idx="24">
                  <v>-0.02551064379901749</v>
                </pt>
                <pt idx="25">
                  <v>0.009905368355885735</v>
                </pt>
                <pt idx="26">
                  <v>0.01011472107890358</v>
                </pt>
                <pt idx="27">
                  <v>-0.05274032973543138</v>
                </pt>
                <pt idx="28">
                  <v>-0.02852479521637659</v>
                </pt>
                <pt idx="29">
                  <v>0.04102878138395591</v>
                </pt>
                <pt idx="30">
                  <v>-0.02276018099547511</v>
                </pt>
                <pt idx="31">
                  <v>-0.008627741507308113</v>
                </pt>
                <pt idx="32">
                  <v>0.00747291069871715</v>
                </pt>
                <pt idx="33">
                  <v>-0.005362220299171714</v>
                </pt>
                <pt idx="34">
                  <v>-0.02748388099122194</v>
                </pt>
                <pt idx="35">
                  <v>0.0182599527126334</v>
                </pt>
                <pt idx="36">
                  <v>-0.002949528546102073</v>
                </pt>
                <pt idx="37">
                  <v>-0.0004091202341426571</v>
                </pt>
                <pt idx="38">
                  <v>-0.00530499803227076</v>
                </pt>
                <pt idx="39">
                  <v>-0.003038551623726024</v>
                </pt>
                <pt idx="40">
                  <v>-0.01822337926217538</v>
                </pt>
                <pt idx="41">
                  <v>-0.01996830940369939</v>
                </pt>
                <pt idx="42">
                  <v>0.01689406562948543</v>
                </pt>
                <pt idx="43">
                  <v>-0.007901098366241057</v>
                </pt>
                <pt idx="44">
                  <v>-0.009272281275551922</v>
                </pt>
                <pt idx="45">
                  <v>0.005628641698166152</v>
                </pt>
                <pt idx="46">
                  <v>-0.02229006631212658</v>
                </pt>
                <pt idx="47">
                  <v>0.000705100224960548</v>
                </pt>
                <pt idx="48">
                  <v>0.003372030599919474</v>
                </pt>
                <pt idx="49">
                  <v>0.03146683609490211</v>
                </pt>
                <pt idx="50">
                  <v>-0.03862800084291063</v>
                </pt>
                <pt idx="51">
                  <v>0.0007250286639239225</v>
                </pt>
                <pt idx="52">
                  <v>-0.001802833987632896</v>
                </pt>
                <pt idx="53">
                  <v>0.004979407197353319</v>
                </pt>
                <pt idx="54">
                  <v>0.01478022808579251</v>
                </pt>
                <pt idx="55">
                  <v>0.005312898260480974</v>
                </pt>
                <pt idx="56">
                  <v>0.004494567006914718</v>
                </pt>
                <pt idx="57">
                  <v>0.00483503515644207</v>
                </pt>
                <pt idx="58">
                  <v>0.001565864161284009</v>
                </pt>
                <pt idx="59">
                  <v>-0.01670900918506938</v>
                </pt>
                <pt idx="60">
                  <v>0.01916260889728047</v>
                </pt>
                <pt idx="61">
                  <v>0.0002762655399366214</v>
                </pt>
                <pt idx="62">
                  <v>0.04120093579412529</v>
                </pt>
                <pt idx="63">
                  <v>-0.006007364873299214</v>
                </pt>
                <pt idx="64">
                  <v>-0.0009104751738536646</v>
                </pt>
                <pt idx="65">
                  <v>0.002356823002592505</v>
                </pt>
                <pt idx="66">
                  <v>-0.007383023747942629</v>
                </pt>
                <pt idx="67">
                  <v>0.01204914408439138</v>
                </pt>
                <pt idx="68">
                  <v>-0.008332423112331674</v>
                </pt>
                <pt idx="69">
                  <v>0.02133652227274873</v>
                </pt>
                <pt idx="70">
                  <v>0.02036697530388698</v>
                </pt>
                <pt idx="71">
                  <v>0.01534024852410503</v>
                </pt>
                <pt idx="72">
                  <v>0.02233556887296088</v>
                </pt>
                <pt idx="73">
                  <v>-0.0283785945977396</v>
                </pt>
                <pt idx="74">
                  <v>-0.005973232731518908</v>
                </pt>
                <pt idx="75">
                  <v>0.01061762978358108</v>
                </pt>
                <pt idx="76">
                  <v>-0.04190510252742012</v>
                </pt>
                <pt idx="77">
                  <v>0.009363528899396503</v>
                </pt>
                <pt idx="78">
                  <v>0.01459302863130644</v>
                </pt>
                <pt idx="79">
                  <v>-0.009416624899378806</v>
                </pt>
                <pt idx="80">
                  <v>0.01895095138069027</v>
                </pt>
                <pt idx="81">
                  <v>-0.01083407316008848</v>
                </pt>
                <pt idx="82">
                  <v>-0.007088854070006237</v>
                </pt>
                <pt idx="83">
                  <v>0.01329840204685082</v>
                </pt>
                <pt idx="84">
                  <v>-0.00477781641694008</v>
                </pt>
                <pt idx="85">
                  <v>-0.00349421934582137</v>
                </pt>
                <pt idx="86">
                  <v>-0.006189684874910432</v>
                </pt>
                <pt idx="87">
                  <v>0.006979919309064691</v>
                </pt>
                <pt idx="88">
                  <v>-0.006901069437250541</v>
                </pt>
                <pt idx="89">
                  <v>-0.00220896163463161</v>
                </pt>
                <pt idx="90">
                  <v>0.01106925974325467</v>
                </pt>
                <pt idx="91">
                  <v>-0.01338097772371322</v>
                </pt>
                <pt idx="92">
                  <v>-0.01205209216305772</v>
                </pt>
                <pt idx="93">
                  <v>-0.06600315117857199</v>
                </pt>
                <pt idx="94">
                  <v>0.02380077498663816</v>
                </pt>
                <pt idx="95">
                  <v>0.04899097835130593</v>
                </pt>
                <pt idx="96">
                  <v>0.02937791601866252</v>
                </pt>
                <pt idx="97">
                  <v>0.02420341748628926</v>
                </pt>
                <pt idx="98">
                  <v>0.01261229366730097</v>
                </pt>
                <pt idx="99">
                  <v>0.01427614136293448</v>
                </pt>
                <pt idx="100">
                  <v>0.0134576164076638</v>
                </pt>
                <pt idx="101">
                  <v>0.01496535011266528</v>
                </pt>
                <pt idx="102">
                  <v>0.01070944861000572</v>
                </pt>
                <pt idx="103">
                  <v>-0.003260298952836184</v>
                </pt>
                <pt idx="104">
                  <v>0.01618849618849619</v>
                </pt>
                <pt idx="105">
                  <v>0.02723751329823508</v>
                </pt>
                <pt idx="106">
                  <v>0.005669521343689836</v>
                </pt>
                <pt idx="107">
                  <v>0.0104037390087402</v>
                </pt>
                <pt idx="108">
                  <v>0.002691754867372272</v>
                </pt>
                <pt idx="109">
                  <v>0.006124895746455379</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470"/>
          <min val="4255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 ex Aircraft'!$B$6:$B$366</f>
              <numCache>
                <formatCode>#,##0</formatCode>
                <ptCount val="361"/>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67525</v>
                </pt>
                <pt idx="240">
                  <v>70075</v>
                </pt>
                <pt idx="241">
                  <v>69719</v>
                </pt>
                <pt idx="242">
                  <v>67645</v>
                </pt>
                <pt idx="243">
                  <v>69182</v>
                </pt>
                <pt idx="244">
                  <v>66971</v>
                </pt>
                <pt idx="245">
                  <v>65070</v>
                </pt>
                <pt idx="246">
                  <v>63645</v>
                </pt>
                <pt idx="247">
                  <v>63932</v>
                </pt>
                <pt idx="248">
                  <v>66051</v>
                </pt>
                <pt idx="249">
                  <v>66204</v>
                </pt>
                <pt idx="250">
                  <v>66840</v>
                </pt>
                <pt idx="251">
                  <v>69879</v>
                </pt>
                <pt idx="252">
                  <v>66361</v>
                </pt>
                <pt idx="253">
                  <v>66318</v>
                </pt>
                <pt idx="254">
                  <v>67762</v>
                </pt>
                <pt idx="255">
                  <v>69035</v>
                </pt>
                <pt idx="256">
                  <v>69343</v>
                </pt>
                <pt idx="257">
                  <v>66316</v>
                </pt>
                <pt idx="258">
                  <v>65933</v>
                </pt>
                <pt idx="259">
                  <v>66371</v>
                </pt>
                <pt idx="260">
                  <v>65016</v>
                </pt>
                <pt idx="261">
                  <v>68053</v>
                </pt>
                <pt idx="262">
                  <v>67775</v>
                </pt>
                <pt idx="263">
                  <v>68237</v>
                </pt>
                <pt idx="264">
                  <v>67386</v>
                </pt>
                <pt idx="265">
                  <v>68683</v>
                </pt>
                <pt idx="266">
                  <v>66486</v>
                </pt>
                <pt idx="267">
                  <v>65819</v>
                </pt>
                <pt idx="268">
                  <v>69618</v>
                </pt>
                <pt idx="269">
                  <v>67842</v>
                </pt>
                <pt idx="270">
                  <v>68514</v>
                </pt>
                <pt idx="271">
                  <v>69207</v>
                </pt>
                <pt idx="272">
                  <v>65557</v>
                </pt>
                <pt idx="273">
                  <v>63687</v>
                </pt>
                <pt idx="274">
                  <v>66300</v>
                </pt>
                <pt idx="275">
                  <v>64791</v>
                </pt>
                <pt idx="276">
                  <v>64232</v>
                </pt>
                <pt idx="277">
                  <v>64712</v>
                </pt>
                <pt idx="278">
                  <v>64365</v>
                </pt>
                <pt idx="279">
                  <v>62596</v>
                </pt>
                <pt idx="280">
                  <v>63739</v>
                </pt>
                <pt idx="281">
                  <v>63551</v>
                </pt>
                <pt idx="282">
                  <v>63525</v>
                </pt>
                <pt idx="283">
                  <v>63188</v>
                </pt>
                <pt idx="284">
                  <v>62996</v>
                </pt>
                <pt idx="285">
                  <v>61848</v>
                </pt>
                <pt idx="286">
                  <v>60613</v>
                </pt>
                <pt idx="287">
                  <v>61637</v>
                </pt>
                <pt idx="288">
                  <v>61150</v>
                </pt>
                <pt idx="289">
                  <v>60583</v>
                </pt>
                <pt idx="290">
                  <v>60924</v>
                </pt>
                <pt idx="291">
                  <v>59566</v>
                </pt>
                <pt idx="292">
                  <v>59608</v>
                </pt>
                <pt idx="293">
                  <v>59809</v>
                </pt>
                <pt idx="294">
                  <v>61691</v>
                </pt>
                <pt idx="295">
                  <v>59308</v>
                </pt>
                <pt idx="296">
                  <v>59351</v>
                </pt>
                <pt idx="297">
                  <v>59244</v>
                </pt>
                <pt idx="298">
                  <v>59539</v>
                </pt>
                <pt idx="299">
                  <v>60419</v>
                </pt>
                <pt idx="300">
                  <v>60740</v>
                </pt>
                <pt idx="301">
                  <v>61013</v>
                </pt>
                <pt idx="302">
                  <v>61308</v>
                </pt>
                <pt idx="303">
                  <v>61404</v>
                </pt>
                <pt idx="304">
                  <v>60378</v>
                </pt>
                <pt idx="305">
                  <v>61535</v>
                </pt>
                <pt idx="306">
                  <v>61552</v>
                </pt>
                <pt idx="307">
                  <v>64088</v>
                </pt>
                <pt idx="308">
                  <v>63703</v>
                </pt>
                <pt idx="309">
                  <v>63645</v>
                </pt>
                <pt idx="310">
                  <v>63795</v>
                </pt>
                <pt idx="311">
                  <v>63324</v>
                </pt>
                <pt idx="312">
                  <v>64087</v>
                </pt>
                <pt idx="313">
                  <v>63553</v>
                </pt>
                <pt idx="314">
                  <v>64909</v>
                </pt>
                <pt idx="315">
                  <v>66231</v>
                </pt>
                <pt idx="316">
                  <v>67247</v>
                </pt>
                <pt idx="317">
                  <v>68749</v>
                </pt>
                <pt idx="318">
                  <v>66798</v>
                </pt>
                <pt idx="319">
                  <v>66399</v>
                </pt>
                <pt idx="320">
                  <v>67104</v>
                </pt>
                <pt idx="321">
                  <v>64292</v>
                </pt>
                <pt idx="322">
                  <v>64894</v>
                </pt>
                <pt idx="323">
                  <v>65841</v>
                </pt>
                <pt idx="324">
                  <v>65221</v>
                </pt>
                <pt idx="325">
                  <v>66457</v>
                </pt>
                <pt idx="326">
                  <v>65737</v>
                </pt>
                <pt idx="327">
                  <v>65271</v>
                </pt>
                <pt idx="328">
                  <v>66139</v>
                </pt>
                <pt idx="329">
                  <v>65823</v>
                </pt>
                <pt idx="330">
                  <v>65593</v>
                </pt>
                <pt idx="331">
                  <v>65187</v>
                </pt>
                <pt idx="332">
                  <v>65642</v>
                </pt>
                <pt idx="333">
                  <v>65189</v>
                </pt>
                <pt idx="334">
                  <v>65045</v>
                </pt>
                <pt idx="335">
                  <v>65765</v>
                </pt>
                <pt idx="336">
                  <v>64885</v>
                </pt>
                <pt idx="337">
                  <v>64103</v>
                </pt>
                <pt idx="338">
                  <v>59872</v>
                </pt>
                <pt idx="339">
                  <v>61297</v>
                </pt>
                <pt idx="340">
                  <v>64300</v>
                </pt>
                <pt idx="341">
                  <v>66189</v>
                </pt>
                <pt idx="342">
                  <v>67791</v>
                </pt>
                <pt idx="343">
                  <v>68646</v>
                </pt>
                <pt idx="344">
                  <v>69626</v>
                </pt>
                <pt idx="345">
                  <v>70563</v>
                </pt>
                <pt idx="346">
                  <v>71619</v>
                </pt>
                <pt idx="347">
                  <v>72386</v>
                </pt>
                <pt idx="348">
                  <v>72150</v>
                </pt>
                <pt idx="349">
                  <v>73318</v>
                </pt>
                <pt idx="350">
                  <v>75315</v>
                </pt>
                <pt idx="351">
                  <v>75742</v>
                </pt>
                <pt idx="352">
                  <v>76530</v>
                </pt>
                <pt idx="353">
                  <v>76736</v>
                </pt>
                <pt idx="354">
                  <v>77206</v>
                </pt>
                <pt idx="355">
                  <v>78190</v>
                </pt>
                <pt idx="356">
                  <v>78819</v>
                </pt>
                <pt idx="357">
                  <v>78973</v>
                </pt>
                <pt idx="358">
                  <v>79183</v>
                </pt>
                <pt idx="359">
                  <v>79986</v>
                </pt>
                <pt idx="360">
                  <v>80093</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Aircraft'!$A$209:$A$368</f>
              <numCache>
                <formatCode>m/d/yy</formatCode>
                <ptCount val="160"/>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pt idx="142">
                  <v>44136</v>
                </pt>
                <pt idx="143">
                  <v>44166</v>
                </pt>
                <pt idx="144">
                  <v>44197</v>
                </pt>
                <pt idx="145">
                  <v>44228</v>
                </pt>
                <pt idx="146">
                  <v>44256</v>
                </pt>
                <pt idx="147">
                  <v>44287</v>
                </pt>
                <pt idx="148">
                  <v>44317</v>
                </pt>
                <pt idx="149">
                  <v>44348</v>
                </pt>
                <pt idx="150">
                  <v>44378</v>
                </pt>
                <pt idx="151">
                  <v>44409</v>
                </pt>
                <pt idx="152">
                  <v>44440</v>
                </pt>
                <pt idx="153">
                  <v>44470</v>
                </pt>
                <pt idx="154">
                  <v>44501</v>
                </pt>
                <pt idx="155">
                  <v>44531</v>
                </pt>
                <pt idx="156">
                  <v>44562</v>
                </pt>
                <pt idx="157">
                  <v>44593</v>
                </pt>
              </numCache>
            </numRef>
          </cat>
          <val>
            <numRef>
              <f>'New Orders ex Aircraft'!$B$209:$B$368</f>
              <numCache>
                <formatCode>#,##0</formatCode>
                <ptCount val="160"/>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67525</v>
                </pt>
                <pt idx="37">
                  <v>70075</v>
                </pt>
                <pt idx="38">
                  <v>69719</v>
                </pt>
                <pt idx="39">
                  <v>67645</v>
                </pt>
                <pt idx="40">
                  <v>69182</v>
                </pt>
                <pt idx="41">
                  <v>66971</v>
                </pt>
                <pt idx="42">
                  <v>65070</v>
                </pt>
                <pt idx="43">
                  <v>63645</v>
                </pt>
                <pt idx="44">
                  <v>63932</v>
                </pt>
                <pt idx="45">
                  <v>66051</v>
                </pt>
                <pt idx="46">
                  <v>66204</v>
                </pt>
                <pt idx="47">
                  <v>66840</v>
                </pt>
                <pt idx="48">
                  <v>69879</v>
                </pt>
                <pt idx="49">
                  <v>66361</v>
                </pt>
                <pt idx="50">
                  <v>66318</v>
                </pt>
                <pt idx="51">
                  <v>67762</v>
                </pt>
                <pt idx="52">
                  <v>69035</v>
                </pt>
                <pt idx="53">
                  <v>69343</v>
                </pt>
                <pt idx="54">
                  <v>66316</v>
                </pt>
                <pt idx="55">
                  <v>65933</v>
                </pt>
                <pt idx="56">
                  <v>66371</v>
                </pt>
                <pt idx="57">
                  <v>65016</v>
                </pt>
                <pt idx="58">
                  <v>68053</v>
                </pt>
                <pt idx="59">
                  <v>67775</v>
                </pt>
                <pt idx="60">
                  <v>68237</v>
                </pt>
                <pt idx="61">
                  <v>67386</v>
                </pt>
                <pt idx="62">
                  <v>68683</v>
                </pt>
                <pt idx="63">
                  <v>66486</v>
                </pt>
                <pt idx="64">
                  <v>65819</v>
                </pt>
                <pt idx="65">
                  <v>69618</v>
                </pt>
                <pt idx="66">
                  <v>67842</v>
                </pt>
                <pt idx="67">
                  <v>68514</v>
                </pt>
                <pt idx="68">
                  <v>69207</v>
                </pt>
                <pt idx="69">
                  <v>65557</v>
                </pt>
                <pt idx="70">
                  <v>63687</v>
                </pt>
                <pt idx="71">
                  <v>66300</v>
                </pt>
                <pt idx="72">
                  <v>64791</v>
                </pt>
                <pt idx="73">
                  <v>64232</v>
                </pt>
                <pt idx="74">
                  <v>64712</v>
                </pt>
                <pt idx="75">
                  <v>64365</v>
                </pt>
                <pt idx="76">
                  <v>62596</v>
                </pt>
                <pt idx="77">
                  <v>63739</v>
                </pt>
                <pt idx="78">
                  <v>63551</v>
                </pt>
                <pt idx="79">
                  <v>63525</v>
                </pt>
                <pt idx="80">
                  <v>63188</v>
                </pt>
                <pt idx="81">
                  <v>62996</v>
                </pt>
                <pt idx="82">
                  <v>61848</v>
                </pt>
                <pt idx="83">
                  <v>60613</v>
                </pt>
                <pt idx="84">
                  <v>61637</v>
                </pt>
                <pt idx="85">
                  <v>61150</v>
                </pt>
                <pt idx="86">
                  <v>60583</v>
                </pt>
                <pt idx="87">
                  <v>60924</v>
                </pt>
                <pt idx="88">
                  <v>59566</v>
                </pt>
                <pt idx="89">
                  <v>59608</v>
                </pt>
                <pt idx="90">
                  <v>59809</v>
                </pt>
                <pt idx="91">
                  <v>61691</v>
                </pt>
                <pt idx="92">
                  <v>59308</v>
                </pt>
                <pt idx="93">
                  <v>59351</v>
                </pt>
                <pt idx="94">
                  <v>59244</v>
                </pt>
                <pt idx="95">
                  <v>59539</v>
                </pt>
                <pt idx="96">
                  <v>60419</v>
                </pt>
                <pt idx="97">
                  <v>60740</v>
                </pt>
                <pt idx="98">
                  <v>61013</v>
                </pt>
                <pt idx="99">
                  <v>61308</v>
                </pt>
                <pt idx="100">
                  <v>61404</v>
                </pt>
                <pt idx="101">
                  <v>60378</v>
                </pt>
                <pt idx="102">
                  <v>61535</v>
                </pt>
                <pt idx="103">
                  <v>61552</v>
                </pt>
                <pt idx="104">
                  <v>64088</v>
                </pt>
                <pt idx="105">
                  <v>63703</v>
                </pt>
                <pt idx="106">
                  <v>63645</v>
                </pt>
                <pt idx="107">
                  <v>63795</v>
                </pt>
                <pt idx="108">
                  <v>63324</v>
                </pt>
                <pt idx="109">
                  <v>64087</v>
                </pt>
                <pt idx="110">
                  <v>63553</v>
                </pt>
                <pt idx="111">
                  <v>64909</v>
                </pt>
                <pt idx="112">
                  <v>66231</v>
                </pt>
                <pt idx="113">
                  <v>67247</v>
                </pt>
                <pt idx="114">
                  <v>68749</v>
                </pt>
                <pt idx="115">
                  <v>66798</v>
                </pt>
                <pt idx="116">
                  <v>66399</v>
                </pt>
                <pt idx="117">
                  <v>67104</v>
                </pt>
                <pt idx="118">
                  <v>64292</v>
                </pt>
                <pt idx="119">
                  <v>64894</v>
                </pt>
                <pt idx="120">
                  <v>65841</v>
                </pt>
                <pt idx="121">
                  <v>65221</v>
                </pt>
                <pt idx="122">
                  <v>66457</v>
                </pt>
                <pt idx="123">
                  <v>65737</v>
                </pt>
                <pt idx="124">
                  <v>65271</v>
                </pt>
                <pt idx="125">
                  <v>66139</v>
                </pt>
                <pt idx="126">
                  <v>65823</v>
                </pt>
                <pt idx="127">
                  <v>65593</v>
                </pt>
                <pt idx="128">
                  <v>65187</v>
                </pt>
                <pt idx="129">
                  <v>65642</v>
                </pt>
                <pt idx="130">
                  <v>65189</v>
                </pt>
                <pt idx="131">
                  <v>65045</v>
                </pt>
                <pt idx="132">
                  <v>65765</v>
                </pt>
                <pt idx="133">
                  <v>64885</v>
                </pt>
                <pt idx="134">
                  <v>64103</v>
                </pt>
                <pt idx="135">
                  <v>59872</v>
                </pt>
                <pt idx="136">
                  <v>61297</v>
                </pt>
                <pt idx="137">
                  <v>64300</v>
                </pt>
                <pt idx="138">
                  <v>66189</v>
                </pt>
                <pt idx="139">
                  <v>67791</v>
                </pt>
                <pt idx="140">
                  <v>68646</v>
                </pt>
                <pt idx="141">
                  <v>69626</v>
                </pt>
                <pt idx="142">
                  <v>70563</v>
                </pt>
                <pt idx="143">
                  <v>71619</v>
                </pt>
                <pt idx="144">
                  <v>72386</v>
                </pt>
                <pt idx="145">
                  <v>72150</v>
                </pt>
                <pt idx="146">
                  <v>73318</v>
                </pt>
                <pt idx="147">
                  <v>75315</v>
                </pt>
                <pt idx="148">
                  <v>75742</v>
                </pt>
                <pt idx="149">
                  <v>76530</v>
                </pt>
                <pt idx="150">
                  <v>76736</v>
                </pt>
                <pt idx="151">
                  <v>77206</v>
                </pt>
                <pt idx="152">
                  <v>78190</v>
                </pt>
                <pt idx="153">
                  <v>78819</v>
                </pt>
                <pt idx="154">
                  <v>78973</v>
                </pt>
                <pt idx="155">
                  <v>79183</v>
                </pt>
                <pt idx="156">
                  <v>79986</v>
                </pt>
                <pt idx="157">
                  <v>80093</v>
                </pt>
              </numCache>
            </numRef>
          </val>
          <smooth val="0"/>
        </ser>
        <dLbls>
          <showLegendKey val="0"/>
          <showVal val="0"/>
          <showCatName val="0"/>
          <showSerName val="0"/>
          <showPercent val="0"/>
          <showBubbleSize val="0"/>
        </dLbls>
        <smooth val="0"/>
        <axId val="504146408"/>
        <axId val="504146800"/>
      </lineChart>
      <dateAx>
        <axId val="504146408"/>
        <scaling>
          <orientation val="minMax"/>
          <max val="44562"/>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 ex Aircraft'!$C$6:$C$366</f>
              <numCache>
                <formatCode>0.0%</formatCode>
                <ptCount val="361"/>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-0.01968612534661227</v>
                </pt>
                <pt idx="240">
                  <v>0.03776379118844872</v>
                </pt>
                <pt idx="241">
                  <v>-0.005080271138066358</v>
                </pt>
                <pt idx="242">
                  <v>-0.02974798835324661</v>
                </pt>
                <pt idx="243">
                  <v>0.02272156109098973</v>
                </pt>
                <pt idx="244">
                  <v>-0.03195918013356075</v>
                </pt>
                <pt idx="245">
                  <v>-0.02838542055516567</v>
                </pt>
                <pt idx="246">
                  <v>-0.0218994928538497</v>
                </pt>
                <pt idx="247">
                  <v>0.004509388011626993</v>
                </pt>
                <pt idx="248">
                  <v>0.03314459112807358</v>
                </pt>
                <pt idx="249">
                  <v>0.002316391879002589</v>
                </pt>
                <pt idx="250">
                  <v>0.009606670291825267</v>
                </pt>
                <pt idx="251">
                  <v>0.04546678635547576</v>
                </pt>
                <pt idx="252">
                  <v>-0.05034416634468152</v>
                </pt>
                <pt idx="253">
                  <v>-0.0006479709467910369</v>
                </pt>
                <pt idx="254">
                  <v>0.02177387737869055</v>
                </pt>
                <pt idx="255">
                  <v>0.01878634042678787</v>
                </pt>
                <pt idx="256">
                  <v>0.004461505033678569</v>
                </pt>
                <pt idx="257">
                  <v>-0.04365256767085358</v>
                </pt>
                <pt idx="258">
                  <v>-0.005775378490861934</v>
                </pt>
                <pt idx="259">
                  <v>0.006643107396902916</v>
                </pt>
                <pt idx="260">
                  <v>-0.02041554293290744</v>
                </pt>
                <pt idx="261">
                  <v>0.04671157868832287</v>
                </pt>
                <pt idx="262">
                  <v>-0.004085051357030549</v>
                </pt>
                <pt idx="263">
                  <v>0.006816672814459609</v>
                </pt>
                <pt idx="264">
                  <v>-0.01247123994313935</v>
                </pt>
                <pt idx="265">
                  <v>0.01924732140207165</v>
                </pt>
                <pt idx="266">
                  <v>-0.03198753694509558</v>
                </pt>
                <pt idx="267">
                  <v>-0.01003218722738622</v>
                </pt>
                <pt idx="268">
                  <v>0.0577188957595831</v>
                </pt>
                <pt idx="269">
                  <v>-0.02551064379901749</v>
                </pt>
                <pt idx="270">
                  <v>0.009905368355885735</v>
                </pt>
                <pt idx="271">
                  <v>0.01011472107890358</v>
                </pt>
                <pt idx="272">
                  <v>-0.05274032973543138</v>
                </pt>
                <pt idx="273">
                  <v>-0.02852479521637659</v>
                </pt>
                <pt idx="274">
                  <v>0.04102878138395591</v>
                </pt>
                <pt idx="275">
                  <v>-0.02276018099547511</v>
                </pt>
                <pt idx="276">
                  <v>-0.008627741507308113</v>
                </pt>
                <pt idx="277">
                  <v>0.00747291069871715</v>
                </pt>
                <pt idx="278">
                  <v>-0.005362220299171714</v>
                </pt>
                <pt idx="279">
                  <v>-0.02748388099122194</v>
                </pt>
                <pt idx="280">
                  <v>0.0182599527126334</v>
                </pt>
                <pt idx="281">
                  <v>-0.002949528546102073</v>
                </pt>
                <pt idx="282">
                  <v>-0.0004091202341426571</v>
                </pt>
                <pt idx="283">
                  <v>-0.00530499803227076</v>
                </pt>
                <pt idx="284">
                  <v>-0.003038551623726024</v>
                </pt>
                <pt idx="285">
                  <v>-0.01822337926217538</v>
                </pt>
                <pt idx="286">
                  <v>-0.01996830940369939</v>
                </pt>
                <pt idx="287">
                  <v>0.01689406562948543</v>
                </pt>
                <pt idx="288">
                  <v>-0.007901098366241057</v>
                </pt>
                <pt idx="289">
                  <v>-0.009272281275551922</v>
                </pt>
                <pt idx="290">
                  <v>0.005628641698166152</v>
                </pt>
                <pt idx="291">
                  <v>-0.02229006631212658</v>
                </pt>
                <pt idx="292">
                  <v>0.000705100224960548</v>
                </pt>
                <pt idx="293">
                  <v>0.003372030599919474</v>
                </pt>
                <pt idx="294">
                  <v>0.03146683609490211</v>
                </pt>
                <pt idx="295">
                  <v>-0.03862800084291063</v>
                </pt>
                <pt idx="296">
                  <v>0.0007250286639239225</v>
                </pt>
                <pt idx="297">
                  <v>-0.001802833987632896</v>
                </pt>
                <pt idx="298">
                  <v>0.004979407197353319</v>
                </pt>
                <pt idx="299">
                  <v>0.01478022808579251</v>
                </pt>
                <pt idx="300">
                  <v>0.005312898260480974</v>
                </pt>
                <pt idx="301">
                  <v>0.004494567006914718</v>
                </pt>
                <pt idx="302">
                  <v>0.00483503515644207</v>
                </pt>
                <pt idx="303">
                  <v>0.001565864161284009</v>
                </pt>
                <pt idx="304">
                  <v>-0.01670900918506938</v>
                </pt>
                <pt idx="305">
                  <v>0.01916260889728047</v>
                </pt>
                <pt idx="306">
                  <v>0.0002762655399366214</v>
                </pt>
                <pt idx="307">
                  <v>0.04120093579412529</v>
                </pt>
                <pt idx="308">
                  <v>-0.006007364873299214</v>
                </pt>
                <pt idx="309">
                  <v>-0.0009104751738536646</v>
                </pt>
                <pt idx="310">
                  <v>0.002356823002592505</v>
                </pt>
                <pt idx="311">
                  <v>-0.007383023747942629</v>
                </pt>
                <pt idx="312">
                  <v>0.01204914408439138</v>
                </pt>
                <pt idx="313">
                  <v>-0.008332423112331674</v>
                </pt>
                <pt idx="314">
                  <v>0.02133652227274873</v>
                </pt>
                <pt idx="315">
                  <v>0.02036697530388698</v>
                </pt>
                <pt idx="316">
                  <v>0.01534024852410503</v>
                </pt>
                <pt idx="317">
                  <v>0.02233556887296088</v>
                </pt>
                <pt idx="318">
                  <v>-0.0283785945977396</v>
                </pt>
                <pt idx="319">
                  <v>-0.005973232731518908</v>
                </pt>
                <pt idx="320">
                  <v>0.01061762978358108</v>
                </pt>
                <pt idx="321">
                  <v>-0.04190510252742012</v>
                </pt>
                <pt idx="322">
                  <v>0.009363528899396503</v>
                </pt>
                <pt idx="323">
                  <v>0.01459302863130644</v>
                </pt>
                <pt idx="324">
                  <v>-0.009416624899378806</v>
                </pt>
                <pt idx="325">
                  <v>0.01895095138069027</v>
                </pt>
                <pt idx="326">
                  <v>-0.01083407316008848</v>
                </pt>
                <pt idx="327">
                  <v>-0.007088854070006237</v>
                </pt>
                <pt idx="328">
                  <v>0.01329840204685082</v>
                </pt>
                <pt idx="329">
                  <v>-0.00477781641694008</v>
                </pt>
                <pt idx="330">
                  <v>-0.00349421934582137</v>
                </pt>
                <pt idx="331">
                  <v>-0.006189684874910432</v>
                </pt>
                <pt idx="332">
                  <v>0.006979919309064691</v>
                </pt>
                <pt idx="333">
                  <v>-0.006901069437250541</v>
                </pt>
                <pt idx="334">
                  <v>-0.00220896163463161</v>
                </pt>
                <pt idx="335">
                  <v>0.01106925974325467</v>
                </pt>
                <pt idx="336">
                  <v>-0.01338097772371322</v>
                </pt>
                <pt idx="337">
                  <v>-0.01205209216305772</v>
                </pt>
                <pt idx="338">
                  <v>-0.06600315117857199</v>
                </pt>
                <pt idx="339">
                  <v>0.02380077498663816</v>
                </pt>
                <pt idx="340">
                  <v>0.04899097835130593</v>
                </pt>
                <pt idx="341">
                  <v>0.02937791601866252</v>
                </pt>
                <pt idx="342">
                  <v>0.02420341748628926</v>
                </pt>
                <pt idx="343">
                  <v>0.01261229366730097</v>
                </pt>
                <pt idx="344">
                  <v>0.01427614136293448</v>
                </pt>
                <pt idx="345">
                  <v>0.0134576164076638</v>
                </pt>
                <pt idx="346">
                  <v>0.01496535011266528</v>
                </pt>
                <pt idx="347">
                  <v>0.01070944861000572</v>
                </pt>
                <pt idx="348">
                  <v>-0.003260298952836184</v>
                </pt>
                <pt idx="349">
                  <v>0.01618849618849619</v>
                </pt>
                <pt idx="350">
                  <v>0.02723751329823508</v>
                </pt>
                <pt idx="351">
                  <v>0.005669521343689836</v>
                </pt>
                <pt idx="352">
                  <v>0.0104037390087402</v>
                </pt>
                <pt idx="353">
                  <v>0.002691754867372272</v>
                </pt>
                <pt idx="354">
                  <v>0.006124895746455379</v>
                </pt>
                <pt idx="355">
                  <v>0.01274512343600238</v>
                </pt>
                <pt idx="356">
                  <v>0.008044506970200793</v>
                </pt>
                <pt idx="357">
                  <v>0.001953843616386912</v>
                </pt>
                <pt idx="358">
                  <v>0.002659136666962126</v>
                </pt>
                <pt idx="359">
                  <v>0.01014106563277471</v>
                </pt>
                <pt idx="360">
                  <v>0.001337734103468107</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Aircraft'!$A$251:$A$368</f>
              <numCache>
                <formatCode>m/d/yy</formatCode>
                <ptCount val="11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numCache>
            </numRef>
          </cat>
          <val>
            <numRef>
              <f>'New Orders ex Aircraft'!$C$251:$C$368</f>
              <numCache>
                <formatCode>0.0%</formatCode>
                <ptCount val="118"/>
                <pt idx="0">
                  <v>-0.02838542055516567</v>
                </pt>
                <pt idx="1">
                  <v>-0.0218994928538497</v>
                </pt>
                <pt idx="2">
                  <v>0.004509388011626993</v>
                </pt>
                <pt idx="3">
                  <v>0.03314459112807358</v>
                </pt>
                <pt idx="4">
                  <v>0.002316391879002589</v>
                </pt>
                <pt idx="5">
                  <v>0.009606670291825267</v>
                </pt>
                <pt idx="6">
                  <v>0.04546678635547576</v>
                </pt>
                <pt idx="7">
                  <v>-0.05034416634468152</v>
                </pt>
                <pt idx="8">
                  <v>-0.0006479709467910369</v>
                </pt>
                <pt idx="9">
                  <v>0.02177387737869055</v>
                </pt>
                <pt idx="10">
                  <v>0.01878634042678787</v>
                </pt>
                <pt idx="11">
                  <v>0.004461505033678569</v>
                </pt>
                <pt idx="12">
                  <v>-0.04365256767085358</v>
                </pt>
                <pt idx="13">
                  <v>-0.005775378490861934</v>
                </pt>
                <pt idx="14">
                  <v>0.006643107396902916</v>
                </pt>
                <pt idx="15">
                  <v>-0.02041554293290744</v>
                </pt>
                <pt idx="16">
                  <v>0.04671157868832287</v>
                </pt>
                <pt idx="17">
                  <v>-0.004085051357030549</v>
                </pt>
                <pt idx="18">
                  <v>0.006816672814459609</v>
                </pt>
                <pt idx="19">
                  <v>-0.01247123994313935</v>
                </pt>
                <pt idx="20">
                  <v>0.01924732140207165</v>
                </pt>
                <pt idx="21">
                  <v>-0.03198753694509558</v>
                </pt>
                <pt idx="22">
                  <v>-0.01003218722738622</v>
                </pt>
                <pt idx="23">
                  <v>0.0577188957595831</v>
                </pt>
                <pt idx="24">
                  <v>-0.02551064379901749</v>
                </pt>
                <pt idx="25">
                  <v>0.009905368355885735</v>
                </pt>
                <pt idx="26">
                  <v>0.01011472107890358</v>
                </pt>
                <pt idx="27">
                  <v>-0.05274032973543138</v>
                </pt>
                <pt idx="28">
                  <v>-0.02852479521637659</v>
                </pt>
                <pt idx="29">
                  <v>0.04102878138395591</v>
                </pt>
                <pt idx="30">
                  <v>-0.02276018099547511</v>
                </pt>
                <pt idx="31">
                  <v>-0.008627741507308113</v>
                </pt>
                <pt idx="32">
                  <v>0.00747291069871715</v>
                </pt>
                <pt idx="33">
                  <v>-0.005362220299171714</v>
                </pt>
                <pt idx="34">
                  <v>-0.02748388099122194</v>
                </pt>
                <pt idx="35">
                  <v>0.0182599527126334</v>
                </pt>
                <pt idx="36">
                  <v>-0.002949528546102073</v>
                </pt>
                <pt idx="37">
                  <v>-0.0004091202341426571</v>
                </pt>
                <pt idx="38">
                  <v>-0.00530499803227076</v>
                </pt>
                <pt idx="39">
                  <v>-0.003038551623726024</v>
                </pt>
                <pt idx="40">
                  <v>-0.01822337926217538</v>
                </pt>
                <pt idx="41">
                  <v>-0.01996830940369939</v>
                </pt>
                <pt idx="42">
                  <v>0.01689406562948543</v>
                </pt>
                <pt idx="43">
                  <v>-0.007901098366241057</v>
                </pt>
                <pt idx="44">
                  <v>-0.009272281275551922</v>
                </pt>
                <pt idx="45">
                  <v>0.005628641698166152</v>
                </pt>
                <pt idx="46">
                  <v>-0.02229006631212658</v>
                </pt>
                <pt idx="47">
                  <v>0.000705100224960548</v>
                </pt>
                <pt idx="48">
                  <v>0.003372030599919474</v>
                </pt>
                <pt idx="49">
                  <v>0.03146683609490211</v>
                </pt>
                <pt idx="50">
                  <v>-0.03862800084291063</v>
                </pt>
                <pt idx="51">
                  <v>0.0007250286639239225</v>
                </pt>
                <pt idx="52">
                  <v>-0.001802833987632896</v>
                </pt>
                <pt idx="53">
                  <v>0.004979407197353319</v>
                </pt>
                <pt idx="54">
                  <v>0.01478022808579251</v>
                </pt>
                <pt idx="55">
                  <v>0.005312898260480974</v>
                </pt>
                <pt idx="56">
                  <v>0.004494567006914718</v>
                </pt>
                <pt idx="57">
                  <v>0.00483503515644207</v>
                </pt>
                <pt idx="58">
                  <v>0.001565864161284009</v>
                </pt>
                <pt idx="59">
                  <v>-0.01670900918506938</v>
                </pt>
                <pt idx="60">
                  <v>0.01916260889728047</v>
                </pt>
                <pt idx="61">
                  <v>0.0002762655399366214</v>
                </pt>
                <pt idx="62">
                  <v>0.04120093579412529</v>
                </pt>
                <pt idx="63">
                  <v>-0.006007364873299214</v>
                </pt>
                <pt idx="64">
                  <v>-0.0009104751738536646</v>
                </pt>
                <pt idx="65">
                  <v>0.002356823002592505</v>
                </pt>
                <pt idx="66">
                  <v>-0.007383023747942629</v>
                </pt>
                <pt idx="67">
                  <v>0.01204914408439138</v>
                </pt>
                <pt idx="68">
                  <v>-0.008332423112331674</v>
                </pt>
                <pt idx="69">
                  <v>0.02133652227274873</v>
                </pt>
                <pt idx="70">
                  <v>0.02036697530388698</v>
                </pt>
                <pt idx="71">
                  <v>0.01534024852410503</v>
                </pt>
                <pt idx="72">
                  <v>0.02233556887296088</v>
                </pt>
                <pt idx="73">
                  <v>-0.0283785945977396</v>
                </pt>
                <pt idx="74">
                  <v>-0.005973232731518908</v>
                </pt>
                <pt idx="75">
                  <v>0.01061762978358108</v>
                </pt>
                <pt idx="76">
                  <v>-0.04190510252742012</v>
                </pt>
                <pt idx="77">
                  <v>0.009363528899396503</v>
                </pt>
                <pt idx="78">
                  <v>0.01459302863130644</v>
                </pt>
                <pt idx="79">
                  <v>-0.009416624899378806</v>
                </pt>
                <pt idx="80">
                  <v>0.01895095138069027</v>
                </pt>
                <pt idx="81">
                  <v>-0.01083407316008848</v>
                </pt>
                <pt idx="82">
                  <v>-0.007088854070006237</v>
                </pt>
                <pt idx="83">
                  <v>0.01329840204685082</v>
                </pt>
                <pt idx="84">
                  <v>-0.00477781641694008</v>
                </pt>
                <pt idx="85">
                  <v>-0.00349421934582137</v>
                </pt>
                <pt idx="86">
                  <v>-0.006189684874910432</v>
                </pt>
                <pt idx="87">
                  <v>0.006979919309064691</v>
                </pt>
                <pt idx="88">
                  <v>-0.006901069437250541</v>
                </pt>
                <pt idx="89">
                  <v>-0.00220896163463161</v>
                </pt>
                <pt idx="90">
                  <v>0.01106925974325467</v>
                </pt>
                <pt idx="91">
                  <v>-0.01338097772371322</v>
                </pt>
                <pt idx="92">
                  <v>-0.01205209216305772</v>
                </pt>
                <pt idx="93">
                  <v>-0.06600315117857199</v>
                </pt>
                <pt idx="94">
                  <v>0.02380077498663816</v>
                </pt>
                <pt idx="95">
                  <v>0.04899097835130593</v>
                </pt>
                <pt idx="96">
                  <v>0.02937791601866252</v>
                </pt>
                <pt idx="97">
                  <v>0.02420341748628926</v>
                </pt>
                <pt idx="98">
                  <v>0.01261229366730097</v>
                </pt>
                <pt idx="99">
                  <v>0.01427614136293448</v>
                </pt>
                <pt idx="100">
                  <v>0.0134576164076638</v>
                </pt>
                <pt idx="101">
                  <v>0.01496535011266528</v>
                </pt>
                <pt idx="102">
                  <v>0.01070944861000572</v>
                </pt>
                <pt idx="103">
                  <v>-0.003260298952836184</v>
                </pt>
                <pt idx="104">
                  <v>0.01618849618849619</v>
                </pt>
                <pt idx="105">
                  <v>0.02723751329823508</v>
                </pt>
                <pt idx="106">
                  <v>0.005669521343689836</v>
                </pt>
                <pt idx="107">
                  <v>0.0104037390087402</v>
                </pt>
                <pt idx="108">
                  <v>0.002691754867372272</v>
                </pt>
                <pt idx="109">
                  <v>0.006124895746455379</v>
                </pt>
                <pt idx="110">
                  <v>0.01274512343600238</v>
                </pt>
                <pt idx="111">
                  <v>0.008044506970200793</v>
                </pt>
                <pt idx="112">
                  <v>0.001953843616386912</v>
                </pt>
                <pt idx="113">
                  <v>0.002659136666962126</v>
                </pt>
                <pt idx="114">
                  <v>0.01014106563277471</v>
                </pt>
                <pt idx="115">
                  <v>0.001337734103468107</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56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Orders'!$A$6:$A$369</f>
              <numCache>
                <formatCode>m/d/yy</formatCode>
                <ptCount val="364"/>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Orders'!$B$6:$B$369</f>
              <numCache>
                <formatCode>#,##0</formatCode>
                <ptCount val="364"/>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224511</v>
                </pt>
                <pt idx="240">
                  <v>228429</v>
                </pt>
                <pt idx="241">
                  <v>219730</v>
                </pt>
                <pt idx="242">
                  <v>218628</v>
                </pt>
                <pt idx="243">
                  <v>220876</v>
                </pt>
                <pt idx="244">
                  <v>216371</v>
                </pt>
                <pt idx="245">
                  <v>224075</v>
                </pt>
                <pt idx="246">
                  <v>203054</v>
                </pt>
                <pt idx="247">
                  <v>217120</v>
                </pt>
                <pt idx="248">
                  <v>219108</v>
                </pt>
                <pt idx="249">
                  <v>214023</v>
                </pt>
                <pt idx="250">
                  <v>232755</v>
                </pt>
                <pt idx="251">
                  <v>222788</v>
                </pt>
                <pt idx="252">
                  <v>232287</v>
                </pt>
                <pt idx="253">
                  <v>217277</v>
                </pt>
                <pt idx="254">
                  <v>228027</v>
                </pt>
                <pt idx="255">
                  <v>235376</v>
                </pt>
                <pt idx="256">
                  <v>247260</v>
                </pt>
                <pt idx="257">
                  <v>222937</v>
                </pt>
                <pt idx="258">
                  <v>222338</v>
                </pt>
                <pt idx="259">
                  <v>238930</v>
                </pt>
                <pt idx="260">
                  <v>234100</v>
                </pt>
                <pt idx="261">
                  <v>242088</v>
                </pt>
                <pt idx="262">
                  <v>236898</v>
                </pt>
                <pt idx="263">
                  <v>226704</v>
                </pt>
                <pt idx="264">
                  <v>230482</v>
                </pt>
                <pt idx="265">
                  <v>235368</v>
                </pt>
                <pt idx="266">
                  <v>235724</v>
                </pt>
                <pt idx="267">
                  <v>229731</v>
                </pt>
                <pt idx="268">
                  <v>239998</v>
                </pt>
                <pt idx="269">
                  <v>304221</v>
                </pt>
                <pt idx="270">
                  <v>235113</v>
                </pt>
                <pt idx="271">
                  <v>240539</v>
                </pt>
                <pt idx="272">
                  <v>231947</v>
                </pt>
                <pt idx="273">
                  <v>230290</v>
                </pt>
                <pt idx="274">
                  <v>224972</v>
                </pt>
                <pt idx="275">
                  <v>220466</v>
                </pt>
                <pt idx="276">
                  <v>217296</v>
                </pt>
                <pt idx="277">
                  <v>228382</v>
                </pt>
                <pt idx="278">
                  <v>226519</v>
                </pt>
                <pt idx="279">
                  <v>214062</v>
                </pt>
                <pt idx="280">
                  <v>235097</v>
                </pt>
                <pt idx="281">
                  <v>228622</v>
                </pt>
                <pt idx="282">
                  <v>224197</v>
                </pt>
                <pt idx="283">
                  <v>218491</v>
                </pt>
                <pt idx="284">
                  <v>222726</v>
                </pt>
                <pt idx="285">
                  <v>227716</v>
                </pt>
                <pt idx="286">
                  <v>220278</v>
                </pt>
                <pt idx="287">
                  <v>224156</v>
                </pt>
                <pt idx="288">
                  <v>218510</v>
                </pt>
                <pt idx="289">
                  <v>216188</v>
                </pt>
                <pt idx="290">
                  <v>224898</v>
                </pt>
                <pt idx="291">
                  <v>220908</v>
                </pt>
                <pt idx="292">
                  <v>212990</v>
                </pt>
                <pt idx="293">
                  <v>213900</v>
                </pt>
                <pt idx="294">
                  <v>223174</v>
                </pt>
                <pt idx="295">
                  <v>212753</v>
                </pt>
                <pt idx="296">
                  <v>238366</v>
                </pt>
                <pt idx="297">
                  <v>219809</v>
                </pt>
                <pt idx="298">
                  <v>216401</v>
                </pt>
                <pt idx="299">
                  <v>217696</v>
                </pt>
                <pt idx="300">
                  <v>214977</v>
                </pt>
                <pt idx="301">
                  <v>221815</v>
                </pt>
                <pt idx="302">
                  <v>223165</v>
                </pt>
                <pt idx="303">
                  <v>220833</v>
                </pt>
                <pt idx="304">
                  <v>238958</v>
                </pt>
                <pt idx="305">
                  <v>221452</v>
                </pt>
                <pt idx="306">
                  <v>222781</v>
                </pt>
                <pt idx="307">
                  <v>233526</v>
                </pt>
                <pt idx="308">
                  <v>229683</v>
                </pt>
                <pt idx="309">
                  <v>236897</v>
                </pt>
                <pt idx="310">
                  <v>235042</v>
                </pt>
                <pt idx="311">
                  <v>225375</v>
                </pt>
                <pt idx="312">
                  <v>230367</v>
                </pt>
                <pt idx="313">
                  <v>239125</v>
                </pt>
                <pt idx="314">
                  <v>239831</v>
                </pt>
                <pt idx="315">
                  <v>241088</v>
                </pt>
                <pt idx="316">
                  <v>241378</v>
                </pt>
                <pt idx="317">
                  <v>233787</v>
                </pt>
                <pt idx="318">
                  <v>248174</v>
                </pt>
                <pt idx="319">
                  <v>244959</v>
                </pt>
                <pt idx="320">
                  <v>239485</v>
                </pt>
                <pt idx="321">
                  <v>229415</v>
                </pt>
                <pt idx="322">
                  <v>242371</v>
                </pt>
                <pt idx="323">
                  <v>252305</v>
                </pt>
                <pt idx="324">
                  <v>243241</v>
                </pt>
                <pt idx="325">
                  <v>255924</v>
                </pt>
                <pt idx="326">
                  <v>252673</v>
                </pt>
                <pt idx="327">
                  <v>239844</v>
                </pt>
                <pt idx="328">
                  <v>244727</v>
                </pt>
                <pt idx="329">
                  <v>249748</v>
                </pt>
                <pt idx="330">
                  <v>245614</v>
                </pt>
                <pt idx="331">
                  <v>245317</v>
                </pt>
                <pt idx="332">
                  <v>250673</v>
                </pt>
                <pt idx="333">
                  <v>234167</v>
                </pt>
                <pt idx="334">
                  <v>240343</v>
                </pt>
                <pt idx="335">
                  <v>228878</v>
                </pt>
                <pt idx="336">
                  <v>230901</v>
                </pt>
                <pt idx="337">
                  <v>183017</v>
                </pt>
                <pt idx="338">
                  <v>161833</v>
                </pt>
                <pt idx="339">
                  <v>178963</v>
                </pt>
                <pt idx="340">
                  <v>199226</v>
                </pt>
                <pt idx="341">
                  <v>218748</v>
                </pt>
                <pt idx="342">
                  <v>223062</v>
                </pt>
                <pt idx="343">
                  <v>226664</v>
                </pt>
                <pt idx="344">
                  <v>228836</v>
                </pt>
                <pt idx="345">
                  <v>233838</v>
                </pt>
                <pt idx="346">
                  <v>237428</v>
                </pt>
                <pt idx="347">
                  <v>243160</v>
                </pt>
                <pt idx="348">
                  <v>246261</v>
                </pt>
                <pt idx="349">
                  <v>249467</v>
                </pt>
                <pt idx="350">
                  <v>247644</v>
                </pt>
                <pt idx="351">
                  <v>255529</v>
                </pt>
                <pt idx="352">
                  <v>257663</v>
                </pt>
                <pt idx="353">
                  <v>258846</v>
                </pt>
                <pt idx="354">
                  <v>263576</v>
                </pt>
                <pt idx="355">
                  <v>261353</v>
                </pt>
                <pt idx="356">
                  <v>261728</v>
                </pt>
                <pt idx="357">
                  <v>270039</v>
                </pt>
                <pt idx="358">
                  <v>268188</v>
                </pt>
                <pt idx="359">
                  <v>277455</v>
                </pt>
                <pt idx="360">
                  <v>271512</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8.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Orders'!$C$6:$C$366</f>
              <numCache>
                <formatCode>0.0%</formatCode>
                <ptCount val="361"/>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0.003020081756651105</v>
                </pt>
                <pt idx="240">
                  <v>0.01745126074000828</v>
                </pt>
                <pt idx="241">
                  <v>-0.03808185475574467</v>
                </pt>
                <pt idx="242">
                  <v>-0.005015245983707277</v>
                </pt>
                <pt idx="243">
                  <v>0.01028230601752749</v>
                </pt>
                <pt idx="244">
                  <v>-0.02039605932740542</v>
                </pt>
                <pt idx="245">
                  <v>0.03560551090488097</v>
                </pt>
                <pt idx="246">
                  <v>-0.09381233961843133</v>
                </pt>
                <pt idx="247">
                  <v>0.06927221330286525</v>
                </pt>
                <pt idx="248">
                  <v>0.009156226971260133</v>
                </pt>
                <pt idx="249">
                  <v>-0.02320773317268196</v>
                </pt>
                <pt idx="250">
                  <v>0.08752330357017704</v>
                </pt>
                <pt idx="251">
                  <v>-0.04282185130287212</v>
                </pt>
                <pt idx="252">
                  <v>0.04263694633463203</v>
                </pt>
                <pt idx="253">
                  <v>-0.0646183385208815</v>
                </pt>
                <pt idx="254">
                  <v>0.04947601448841801</v>
                </pt>
                <pt idx="255">
                  <v>0.03222863959092564</v>
                </pt>
                <pt idx="256">
                  <v>0.05048942967847189</v>
                </pt>
                <pt idx="257">
                  <v>-0.0983701366982124</v>
                </pt>
                <pt idx="258">
                  <v>-0.002686857722136747</v>
                </pt>
                <pt idx="259">
                  <v>0.07462512031231729</v>
                </pt>
                <pt idx="260">
                  <v>-0.0202151257690537</v>
                </pt>
                <pt idx="261">
                  <v>0.03412217001281503</v>
                </pt>
                <pt idx="262">
                  <v>-0.02143848517894319</v>
                </pt>
                <pt idx="263">
                  <v>-0.04303117797533115</v>
                </pt>
                <pt idx="264">
                  <v>0.01666490225139389</v>
                </pt>
                <pt idx="265">
                  <v>0.02119905242057948</v>
                </pt>
                <pt idx="266">
                  <v>0.001512525067128922</v>
                </pt>
                <pt idx="267">
                  <v>-0.0254238007160917</v>
                </pt>
                <pt idx="268">
                  <v>0.04469139994167091</v>
                </pt>
                <pt idx="269">
                  <v>0.2675980633171943</v>
                </pt>
                <pt idx="270">
                  <v>-0.2271638052599919</v>
                </pt>
                <pt idx="271">
                  <v>0.02307826449409433</v>
                </pt>
                <pt idx="272">
                  <v>-0.03571977932892379</v>
                </pt>
                <pt idx="273">
                  <v>-0.007143873384868095</v>
                </pt>
                <pt idx="274">
                  <v>-0.02309262234573798</v>
                </pt>
                <pt idx="275">
                  <v>-0.02002915918425404</v>
                </pt>
                <pt idx="276">
                  <v>-0.01437863434724629</v>
                </pt>
                <pt idx="277">
                  <v>0.05101796627641558</v>
                </pt>
                <pt idx="278">
                  <v>-0.008157385433177747</v>
                </pt>
                <pt idx="279">
                  <v>-0.05499317938009615</v>
                </pt>
                <pt idx="280">
                  <v>0.09826592295690034</v>
                </pt>
                <pt idx="281">
                  <v>-0.02754182316235426</v>
                </pt>
                <pt idx="282">
                  <v>-0.01935509268574328</v>
                </pt>
                <pt idx="283">
                  <v>-0.02545083118864213</v>
                </pt>
                <pt idx="284">
                  <v>0.01938294941210393</v>
                </pt>
                <pt idx="285">
                  <v>0.02240420965670824</v>
                </pt>
                <pt idx="286">
                  <v>-0.03266349312301287</v>
                </pt>
                <pt idx="287">
                  <v>0.01760502637576154</v>
                </pt>
                <pt idx="288">
                  <v>-0.02518781562840165</v>
                </pt>
                <pt idx="289">
                  <v>-0.01062651594892682</v>
                </pt>
                <pt idx="290">
                  <v>0.04028900771550687</v>
                </pt>
                <pt idx="291">
                  <v>-0.01774137609049436</v>
                </pt>
                <pt idx="292">
                  <v>-0.03584297535625691</v>
                </pt>
                <pt idx="293">
                  <v>0.004272501056387623</v>
                </pt>
                <pt idx="294">
                  <v>0.04335670874240299</v>
                </pt>
                <pt idx="295">
                  <v>-0.04669450742470001</v>
                </pt>
                <pt idx="296">
                  <v>0.1203884316554878</v>
                </pt>
                <pt idx="297">
                  <v>-0.07785086799291846</v>
                </pt>
                <pt idx="298">
                  <v>-0.01550436970278742</v>
                </pt>
                <pt idx="299">
                  <v>0.005984260701198238</v>
                </pt>
                <pt idx="300">
                  <v>-0.01248989416433926</v>
                </pt>
                <pt idx="301">
                  <v>0.03180805388483419</v>
                </pt>
                <pt idx="302">
                  <v>0.006086152875143701</v>
                </pt>
                <pt idx="303">
                  <v>-0.01044966728653687</v>
                </pt>
                <pt idx="304">
                  <v>0.08207559558580466</v>
                </pt>
                <pt idx="305">
                  <v>-0.07325973602055591</v>
                </pt>
                <pt idx="306">
                  <v>0.006001300507559201</v>
                </pt>
                <pt idx="307">
                  <v>0.04823122259079544</v>
                </pt>
                <pt idx="308">
                  <v>-0.01645641170576296</v>
                </pt>
                <pt idx="309">
                  <v>0.03140850650679414</v>
                </pt>
                <pt idx="310">
                  <v>-0.007830407307817321</v>
                </pt>
                <pt idx="311">
                  <v>-0.04112881953012653</v>
                </pt>
                <pt idx="312">
                  <v>0.02214975041597338</v>
                </pt>
                <pt idx="313">
                  <v>0.03801759800665894</v>
                </pt>
                <pt idx="314">
                  <v>0.002952430737062206</v>
                </pt>
                <pt idx="315">
                  <v>0.005241190671764701</v>
                </pt>
                <pt idx="316">
                  <v>0.001202880276081763</v>
                </pt>
                <pt idx="317">
                  <v>-0.03144859929239616</v>
                </pt>
                <pt idx="318">
                  <v>0.06153892218130178</v>
                </pt>
                <pt idx="319">
                  <v>-0.01295462054848614</v>
                </pt>
                <pt idx="320">
                  <v>-0.0223465967774199</v>
                </pt>
                <pt idx="321">
                  <v>-0.04204856254045138</v>
                </pt>
                <pt idx="322">
                  <v>0.05647407536560382</v>
                </pt>
                <pt idx="323">
                  <v>0.04098675171534549</v>
                </pt>
                <pt idx="324">
                  <v>-0.03592477358752304</v>
                </pt>
                <pt idx="325">
                  <v>0.05214170308459511</v>
                </pt>
                <pt idx="326">
                  <v>-0.01270298995014145</v>
                </pt>
                <pt idx="327">
                  <v>-0.05077313365496115</v>
                </pt>
                <pt idx="328">
                  <v>0.02035906672670569</v>
                </pt>
                <pt idx="329">
                  <v>0.02051673906025898</v>
                </pt>
                <pt idx="330">
                  <v>-0.01655268510658744</v>
                </pt>
                <pt idx="331">
                  <v>-0.001209214458459208</v>
                </pt>
                <pt idx="332">
                  <v>0.02183297529319207</v>
                </pt>
                <pt idx="333">
                  <v>-0.06584674057437379</v>
                </pt>
                <pt idx="334">
                  <v>0.02637433968065526</v>
                </pt>
                <pt idx="335">
                  <v>-0.04770265828420216</v>
                </pt>
                <pt idx="336">
                  <v>0.008838769999737851</v>
                </pt>
                <pt idx="337">
                  <v>-0.2073789199700304</v>
                </pt>
                <pt idx="338">
                  <v>-0.1157488102198156</v>
                </pt>
                <pt idx="339">
                  <v>0.1058498575692226</v>
                </pt>
                <pt idx="340">
                  <v>0.1132245212697597</v>
                </pt>
                <pt idx="341">
                  <v>0.09798921827472318</v>
                </pt>
                <pt idx="342">
                  <v>0.01972132316638324</v>
                </pt>
                <pt idx="343">
                  <v>0.01614797679568909</v>
                </pt>
                <pt idx="344">
                  <v>0.009582465676066777</v>
                </pt>
                <pt idx="345">
                  <v>0.02185844884546138</v>
                </pt>
                <pt idx="346">
                  <v>0.01535250900195862</v>
                </pt>
                <pt idx="347">
                  <v>0.02414205569688495</v>
                </pt>
                <pt idx="348">
                  <v>0.0127529198881395</v>
                </pt>
                <pt idx="349">
                  <v>0.01301870779376353</v>
                </pt>
                <pt idx="350">
                  <v>-0.007307579760048423</v>
                </pt>
                <pt idx="351">
                  <v>0.03184006073234159</v>
                </pt>
                <pt idx="352">
                  <v>0.008351302591878025</v>
                </pt>
                <pt idx="353">
                  <v>0.004591268439783748</v>
                </pt>
                <pt idx="354">
                  <v>0.01827341353546124</v>
                </pt>
                <pt idx="355">
                  <v>-0.008434000060703554</v>
                </pt>
                <pt idx="356">
                  <v>0.001434841000485933</v>
                </pt>
                <pt idx="357">
                  <v>0.03175434038391001</v>
                </pt>
                <pt idx="358">
                  <v>-0.006854565451656983</v>
                </pt>
                <pt idx="359">
                  <v>0.03455411875251689</v>
                </pt>
                <pt idx="360">
                  <v>-0.02141968967940747</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Orders'!$A$251:$A$369</f>
              <numCache>
                <formatCode>m/d/yy</formatCode>
                <ptCount val="11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numCache>
            </numRef>
          </cat>
          <val>
            <numRef>
              <f>'New Orders'!$C$251:$C$369</f>
              <numCache>
                <formatCode>0.0%</formatCode>
                <ptCount val="119"/>
                <pt idx="0">
                  <v>0.03560551090488097</v>
                </pt>
                <pt idx="1">
                  <v>-0.09381233961843133</v>
                </pt>
                <pt idx="2">
                  <v>0.06927221330286525</v>
                </pt>
                <pt idx="3">
                  <v>0.009156226971260133</v>
                </pt>
                <pt idx="4">
                  <v>-0.02320773317268196</v>
                </pt>
                <pt idx="5">
                  <v>0.08752330357017704</v>
                </pt>
                <pt idx="6">
                  <v>-0.04282185130287212</v>
                </pt>
                <pt idx="7">
                  <v>0.04263694633463203</v>
                </pt>
                <pt idx="8">
                  <v>-0.0646183385208815</v>
                </pt>
                <pt idx="9">
                  <v>0.04947601448841801</v>
                </pt>
                <pt idx="10">
                  <v>0.03222863959092564</v>
                </pt>
                <pt idx="11">
                  <v>0.05048942967847189</v>
                </pt>
                <pt idx="12">
                  <v>-0.0983701366982124</v>
                </pt>
                <pt idx="13">
                  <v>-0.002686857722136747</v>
                </pt>
                <pt idx="14">
                  <v>0.07462512031231729</v>
                </pt>
                <pt idx="15">
                  <v>-0.0202151257690537</v>
                </pt>
                <pt idx="16">
                  <v>0.03412217001281503</v>
                </pt>
                <pt idx="17">
                  <v>-0.02143848517894319</v>
                </pt>
                <pt idx="18">
                  <v>-0.04303117797533115</v>
                </pt>
                <pt idx="19">
                  <v>0.01666490225139389</v>
                </pt>
                <pt idx="20">
                  <v>0.02119905242057948</v>
                </pt>
                <pt idx="21">
                  <v>0.001512525067128922</v>
                </pt>
                <pt idx="22">
                  <v>-0.0254238007160917</v>
                </pt>
                <pt idx="23">
                  <v>0.04469139994167091</v>
                </pt>
                <pt idx="24">
                  <v>0.2675980633171943</v>
                </pt>
                <pt idx="25">
                  <v>-0.2271638052599919</v>
                </pt>
                <pt idx="26">
                  <v>0.02307826449409433</v>
                </pt>
                <pt idx="27">
                  <v>-0.03571977932892379</v>
                </pt>
                <pt idx="28">
                  <v>-0.007143873384868095</v>
                </pt>
                <pt idx="29">
                  <v>-0.02309262234573798</v>
                </pt>
                <pt idx="30">
                  <v>-0.02002915918425404</v>
                </pt>
                <pt idx="31">
                  <v>-0.01437863434724629</v>
                </pt>
                <pt idx="32">
                  <v>0.05101796627641558</v>
                </pt>
                <pt idx="33">
                  <v>-0.008157385433177747</v>
                </pt>
                <pt idx="34">
                  <v>-0.05499317938009615</v>
                </pt>
                <pt idx="35">
                  <v>0.09826592295690034</v>
                </pt>
                <pt idx="36">
                  <v>-0.02754182316235426</v>
                </pt>
                <pt idx="37">
                  <v>-0.01935509268574328</v>
                </pt>
                <pt idx="38">
                  <v>-0.02545083118864213</v>
                </pt>
                <pt idx="39">
                  <v>0.01938294941210393</v>
                </pt>
                <pt idx="40">
                  <v>0.02240420965670824</v>
                </pt>
                <pt idx="41">
                  <v>-0.03266349312301287</v>
                </pt>
                <pt idx="42">
                  <v>0.01760502637576154</v>
                </pt>
                <pt idx="43">
                  <v>-0.02518781562840165</v>
                </pt>
                <pt idx="44">
                  <v>-0.01062651594892682</v>
                </pt>
                <pt idx="45">
                  <v>0.04028900771550687</v>
                </pt>
                <pt idx="46">
                  <v>-0.01774137609049436</v>
                </pt>
                <pt idx="47">
                  <v>-0.03584297535625691</v>
                </pt>
                <pt idx="48">
                  <v>0.004272501056387623</v>
                </pt>
                <pt idx="49">
                  <v>0.04335670874240299</v>
                </pt>
                <pt idx="50">
                  <v>-0.04669450742470001</v>
                </pt>
                <pt idx="51">
                  <v>0.1203884316554878</v>
                </pt>
                <pt idx="52">
                  <v>-0.07785086799291846</v>
                </pt>
                <pt idx="53">
                  <v>-0.01550436970278742</v>
                </pt>
                <pt idx="54">
                  <v>0.005984260701198238</v>
                </pt>
                <pt idx="55">
                  <v>-0.01248989416433926</v>
                </pt>
                <pt idx="56">
                  <v>0.03180805388483419</v>
                </pt>
                <pt idx="57">
                  <v>0.006086152875143701</v>
                </pt>
                <pt idx="58">
                  <v>-0.01044966728653687</v>
                </pt>
                <pt idx="59">
                  <v>0.08207559558580466</v>
                </pt>
                <pt idx="60">
                  <v>-0.07325973602055591</v>
                </pt>
                <pt idx="61">
                  <v>0.006001300507559201</v>
                </pt>
                <pt idx="62">
                  <v>0.04823122259079544</v>
                </pt>
                <pt idx="63">
                  <v>-0.01645641170576296</v>
                </pt>
                <pt idx="64">
                  <v>0.03140850650679414</v>
                </pt>
                <pt idx="65">
                  <v>-0.007830407307817321</v>
                </pt>
                <pt idx="66">
                  <v>-0.04112881953012653</v>
                </pt>
                <pt idx="67">
                  <v>0.02214975041597338</v>
                </pt>
                <pt idx="68">
                  <v>0.03801759800665894</v>
                </pt>
                <pt idx="69">
                  <v>0.002952430737062206</v>
                </pt>
                <pt idx="70">
                  <v>0.005241190671764701</v>
                </pt>
                <pt idx="71">
                  <v>0.001202880276081763</v>
                </pt>
                <pt idx="72">
                  <v>-0.03144859929239616</v>
                </pt>
                <pt idx="73">
                  <v>0.06153892218130178</v>
                </pt>
                <pt idx="74">
                  <v>-0.01295462054848614</v>
                </pt>
                <pt idx="75">
                  <v>-0.0223465967774199</v>
                </pt>
                <pt idx="76">
                  <v>-0.04204856254045138</v>
                </pt>
                <pt idx="77">
                  <v>0.05647407536560382</v>
                </pt>
                <pt idx="78">
                  <v>0.04098675171534549</v>
                </pt>
                <pt idx="79">
                  <v>-0.03592477358752304</v>
                </pt>
                <pt idx="80">
                  <v>0.05214170308459511</v>
                </pt>
                <pt idx="81">
                  <v>-0.01270298995014145</v>
                </pt>
                <pt idx="82">
                  <v>-0.05077313365496115</v>
                </pt>
                <pt idx="83">
                  <v>0.02035906672670569</v>
                </pt>
                <pt idx="84">
                  <v>0.02051673906025898</v>
                </pt>
                <pt idx="85">
                  <v>-0.01655268510658744</v>
                </pt>
                <pt idx="86">
                  <v>-0.001209214458459208</v>
                </pt>
                <pt idx="87">
                  <v>0.02183297529319207</v>
                </pt>
                <pt idx="88">
                  <v>-0.06584674057437379</v>
                </pt>
                <pt idx="89">
                  <v>0.02637433968065526</v>
                </pt>
                <pt idx="90">
                  <v>-0.04770265828420216</v>
                </pt>
                <pt idx="91">
                  <v>0.008838769999737851</v>
                </pt>
                <pt idx="92">
                  <v>-0.2073789199700304</v>
                </pt>
                <pt idx="93">
                  <v>-0.1157488102198156</v>
                </pt>
                <pt idx="94">
                  <v>0.1058498575692226</v>
                </pt>
                <pt idx="95">
                  <v>0.1132245212697597</v>
                </pt>
                <pt idx="96">
                  <v>0.09798921827472318</v>
                </pt>
                <pt idx="97">
                  <v>0.01972132316638324</v>
                </pt>
                <pt idx="98">
                  <v>0.01614797679568909</v>
                </pt>
                <pt idx="99">
                  <v>0.009582465676066777</v>
                </pt>
                <pt idx="100">
                  <v>0.02185844884546138</v>
                </pt>
                <pt idx="101">
                  <v>0.01535250900195862</v>
                </pt>
                <pt idx="102">
                  <v>0.02414205569688495</v>
                </pt>
                <pt idx="103">
                  <v>0.0127529198881395</v>
                </pt>
                <pt idx="104">
                  <v>0.01301870779376353</v>
                </pt>
                <pt idx="105">
                  <v>-0.007307579760048423</v>
                </pt>
                <pt idx="106">
                  <v>0.03184006073234159</v>
                </pt>
                <pt idx="107">
                  <v>0.008351302591878025</v>
                </pt>
                <pt idx="108">
                  <v>0.004591268439783748</v>
                </pt>
                <pt idx="109">
                  <v>0.01827341353546124</v>
                </pt>
                <pt idx="110">
                  <v>-0.008434000060703554</v>
                </pt>
                <pt idx="111">
                  <v>0.001434841000485933</v>
                </pt>
                <pt idx="112">
                  <v>0.03175434038391001</v>
                </pt>
                <pt idx="113">
                  <v>-0.006854565451656983</v>
                </pt>
                <pt idx="114">
                  <v>0.03455411875251689</v>
                </pt>
                <pt idx="115">
                  <v>-0.02141968967940747</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56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Orders'!$B$6:$B$366</f>
              <numCache>
                <formatCode>#,##0</formatCode>
                <ptCount val="361"/>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224511</v>
                </pt>
                <pt idx="240">
                  <v>228429</v>
                </pt>
                <pt idx="241">
                  <v>219730</v>
                </pt>
                <pt idx="242">
                  <v>218628</v>
                </pt>
                <pt idx="243">
                  <v>220876</v>
                </pt>
                <pt idx="244">
                  <v>216371</v>
                </pt>
                <pt idx="245">
                  <v>224075</v>
                </pt>
                <pt idx="246">
                  <v>203054</v>
                </pt>
                <pt idx="247">
                  <v>217120</v>
                </pt>
                <pt idx="248">
                  <v>219108</v>
                </pt>
                <pt idx="249">
                  <v>214023</v>
                </pt>
                <pt idx="250">
                  <v>232755</v>
                </pt>
                <pt idx="251">
                  <v>222788</v>
                </pt>
                <pt idx="252">
                  <v>232287</v>
                </pt>
                <pt idx="253">
                  <v>217277</v>
                </pt>
                <pt idx="254">
                  <v>228027</v>
                </pt>
                <pt idx="255">
                  <v>235376</v>
                </pt>
                <pt idx="256">
                  <v>247260</v>
                </pt>
                <pt idx="257">
                  <v>222937</v>
                </pt>
                <pt idx="258">
                  <v>222338</v>
                </pt>
                <pt idx="259">
                  <v>238930</v>
                </pt>
                <pt idx="260">
                  <v>234100</v>
                </pt>
                <pt idx="261">
                  <v>242088</v>
                </pt>
                <pt idx="262">
                  <v>236898</v>
                </pt>
                <pt idx="263">
                  <v>226704</v>
                </pt>
                <pt idx="264">
                  <v>230482</v>
                </pt>
                <pt idx="265">
                  <v>235368</v>
                </pt>
                <pt idx="266">
                  <v>235724</v>
                </pt>
                <pt idx="267">
                  <v>229731</v>
                </pt>
                <pt idx="268">
                  <v>239998</v>
                </pt>
                <pt idx="269">
                  <v>304221</v>
                </pt>
                <pt idx="270">
                  <v>235113</v>
                </pt>
                <pt idx="271">
                  <v>240539</v>
                </pt>
                <pt idx="272">
                  <v>231947</v>
                </pt>
                <pt idx="273">
                  <v>230290</v>
                </pt>
                <pt idx="274">
                  <v>224972</v>
                </pt>
                <pt idx="275">
                  <v>220466</v>
                </pt>
                <pt idx="276">
                  <v>217296</v>
                </pt>
                <pt idx="277">
                  <v>228382</v>
                </pt>
                <pt idx="278">
                  <v>226519</v>
                </pt>
                <pt idx="279">
                  <v>214062</v>
                </pt>
                <pt idx="280">
                  <v>235097</v>
                </pt>
                <pt idx="281">
                  <v>228622</v>
                </pt>
                <pt idx="282">
                  <v>224197</v>
                </pt>
                <pt idx="283">
                  <v>218491</v>
                </pt>
                <pt idx="284">
                  <v>222726</v>
                </pt>
                <pt idx="285">
                  <v>227716</v>
                </pt>
                <pt idx="286">
                  <v>220278</v>
                </pt>
                <pt idx="287">
                  <v>224156</v>
                </pt>
                <pt idx="288">
                  <v>218510</v>
                </pt>
                <pt idx="289">
                  <v>216188</v>
                </pt>
                <pt idx="290">
                  <v>224898</v>
                </pt>
                <pt idx="291">
                  <v>220908</v>
                </pt>
                <pt idx="292">
                  <v>212990</v>
                </pt>
                <pt idx="293">
                  <v>213900</v>
                </pt>
                <pt idx="294">
                  <v>223174</v>
                </pt>
                <pt idx="295">
                  <v>212753</v>
                </pt>
                <pt idx="296">
                  <v>238366</v>
                </pt>
                <pt idx="297">
                  <v>219809</v>
                </pt>
                <pt idx="298">
                  <v>216401</v>
                </pt>
                <pt idx="299">
                  <v>217696</v>
                </pt>
                <pt idx="300">
                  <v>214977</v>
                </pt>
                <pt idx="301">
                  <v>221815</v>
                </pt>
                <pt idx="302">
                  <v>223165</v>
                </pt>
                <pt idx="303">
                  <v>220833</v>
                </pt>
                <pt idx="304">
                  <v>238958</v>
                </pt>
                <pt idx="305">
                  <v>221452</v>
                </pt>
                <pt idx="306">
                  <v>222781</v>
                </pt>
                <pt idx="307">
                  <v>233526</v>
                </pt>
                <pt idx="308">
                  <v>229683</v>
                </pt>
                <pt idx="309">
                  <v>236897</v>
                </pt>
                <pt idx="310">
                  <v>235042</v>
                </pt>
                <pt idx="311">
                  <v>225375</v>
                </pt>
                <pt idx="312">
                  <v>230367</v>
                </pt>
                <pt idx="313">
                  <v>239125</v>
                </pt>
                <pt idx="314">
                  <v>239831</v>
                </pt>
                <pt idx="315">
                  <v>241088</v>
                </pt>
                <pt idx="316">
                  <v>241378</v>
                </pt>
                <pt idx="317">
                  <v>233787</v>
                </pt>
                <pt idx="318">
                  <v>248174</v>
                </pt>
                <pt idx="319">
                  <v>244959</v>
                </pt>
                <pt idx="320">
                  <v>239485</v>
                </pt>
                <pt idx="321">
                  <v>229415</v>
                </pt>
                <pt idx="322">
                  <v>242371</v>
                </pt>
                <pt idx="323">
                  <v>252305</v>
                </pt>
                <pt idx="324">
                  <v>243241</v>
                </pt>
                <pt idx="325">
                  <v>255924</v>
                </pt>
                <pt idx="326">
                  <v>252673</v>
                </pt>
                <pt idx="327">
                  <v>239844</v>
                </pt>
                <pt idx="328">
                  <v>244727</v>
                </pt>
                <pt idx="329">
                  <v>249748</v>
                </pt>
                <pt idx="330">
                  <v>245614</v>
                </pt>
                <pt idx="331">
                  <v>245317</v>
                </pt>
                <pt idx="332">
                  <v>250673</v>
                </pt>
                <pt idx="333">
                  <v>234167</v>
                </pt>
                <pt idx="334">
                  <v>240343</v>
                </pt>
                <pt idx="335">
                  <v>228878</v>
                </pt>
                <pt idx="336">
                  <v>230901</v>
                </pt>
                <pt idx="337">
                  <v>183017</v>
                </pt>
                <pt idx="338">
                  <v>161833</v>
                </pt>
                <pt idx="339">
                  <v>178963</v>
                </pt>
                <pt idx="340">
                  <v>199226</v>
                </pt>
                <pt idx="341">
                  <v>218748</v>
                </pt>
                <pt idx="342">
                  <v>223062</v>
                </pt>
                <pt idx="343">
                  <v>226664</v>
                </pt>
                <pt idx="344">
                  <v>228836</v>
                </pt>
                <pt idx="345">
                  <v>233838</v>
                </pt>
                <pt idx="346">
                  <v>237428</v>
                </pt>
                <pt idx="347">
                  <v>243160</v>
                </pt>
                <pt idx="348">
                  <v>246261</v>
                </pt>
                <pt idx="349">
                  <v>249467</v>
                </pt>
                <pt idx="350">
                  <v>247644</v>
                </pt>
                <pt idx="351">
                  <v>255529</v>
                </pt>
                <pt idx="352">
                  <v>257663</v>
                </pt>
                <pt idx="353">
                  <v>258846</v>
                </pt>
                <pt idx="354">
                  <v>263576</v>
                </pt>
                <pt idx="355">
                  <v>261353</v>
                </pt>
                <pt idx="356">
                  <v>261728</v>
                </pt>
                <pt idx="357">
                  <v>270039</v>
                </pt>
                <pt idx="358">
                  <v>268188</v>
                </pt>
                <pt idx="359">
                  <v>277455</v>
                </pt>
                <pt idx="360">
                  <v>271512</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1.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Transport'!$A$6:$A$367</f>
              <numCache>
                <formatCode>m/d/yy</formatCode>
                <ptCount val="36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 ex Transport'!$B$6:$B$367</f>
              <numCache>
                <formatCode>#,##0</formatCode>
                <ptCount val="362"/>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151719</v>
                </pt>
                <pt idx="240">
                  <v>154185</v>
                </pt>
                <pt idx="241">
                  <v>153583</v>
                </pt>
                <pt idx="242">
                  <v>151536</v>
                </pt>
                <pt idx="243">
                  <v>150929</v>
                </pt>
                <pt idx="244">
                  <v>147024</v>
                </pt>
                <pt idx="245">
                  <v>146060</v>
                </pt>
                <pt idx="246">
                  <v>142907</v>
                </pt>
                <pt idx="247">
                  <v>144383</v>
                </pt>
                <pt idx="248">
                  <v>147371</v>
                </pt>
                <pt idx="249">
                  <v>147150</v>
                </pt>
                <pt idx="250">
                  <v>146228</v>
                </pt>
                <pt idx="251">
                  <v>151783</v>
                </pt>
                <pt idx="252">
                  <v>149626</v>
                </pt>
                <pt idx="253">
                  <v>146226</v>
                </pt>
                <pt idx="254">
                  <v>149557</v>
                </pt>
                <pt idx="255">
                  <v>150641</v>
                </pt>
                <pt idx="256">
                  <v>150559</v>
                </pt>
                <pt idx="257">
                  <v>148258</v>
                </pt>
                <pt idx="258">
                  <v>147624</v>
                </pt>
                <pt idx="259">
                  <v>148342</v>
                </pt>
                <pt idx="260">
                  <v>148888</v>
                </pt>
                <pt idx="261">
                  <v>150582</v>
                </pt>
                <pt idx="262">
                  <v>148149</v>
                </pt>
                <pt idx="263">
                  <v>151235</v>
                </pt>
                <pt idx="264">
                  <v>151319</v>
                </pt>
                <pt idx="265">
                  <v>153561</v>
                </pt>
                <pt idx="266">
                  <v>151991</v>
                </pt>
                <pt idx="267">
                  <v>152270</v>
                </pt>
                <pt idx="268">
                  <v>156439</v>
                </pt>
                <pt idx="269">
                  <v>153393</v>
                </pt>
                <pt idx="270">
                  <v>155316</v>
                </pt>
                <pt idx="271">
                  <v>156845</v>
                </pt>
                <pt idx="272">
                  <v>152664</v>
                </pt>
                <pt idx="273">
                  <v>148984</v>
                </pt>
                <pt idx="274">
                  <v>150461</v>
                </pt>
                <pt idx="275">
                  <v>147633</v>
                </pt>
                <pt idx="276">
                  <v>146519</v>
                </pt>
                <pt idx="277">
                  <v>147167</v>
                </pt>
                <pt idx="278">
                  <v>146695</v>
                </pt>
                <pt idx="279">
                  <v>145002</v>
                </pt>
                <pt idx="280">
                  <v>147593</v>
                </pt>
                <pt idx="281">
                  <v>145962</v>
                </pt>
                <pt idx="282">
                  <v>146304</v>
                </pt>
                <pt idx="283">
                  <v>145912</v>
                </pt>
                <pt idx="284">
                  <v>144202</v>
                </pt>
                <pt idx="285">
                  <v>143541</v>
                </pt>
                <pt idx="286">
                  <v>142203</v>
                </pt>
                <pt idx="287">
                  <v>144204</v>
                </pt>
                <pt idx="288">
                  <v>142619</v>
                </pt>
                <pt idx="289">
                  <v>141372</v>
                </pt>
                <pt idx="290">
                  <v>142360</v>
                </pt>
                <pt idx="291">
                  <v>141615</v>
                </pt>
                <pt idx="292">
                  <v>140743</v>
                </pt>
                <pt idx="293">
                  <v>141693</v>
                </pt>
                <pt idx="294">
                  <v>141908</v>
                </pt>
                <pt idx="295">
                  <v>141062</v>
                </pt>
                <pt idx="296">
                  <v>141987</v>
                </pt>
                <pt idx="297">
                  <v>142386</v>
                </pt>
                <pt idx="298">
                  <v>142620</v>
                </pt>
                <pt idx="299">
                  <v>144995</v>
                </pt>
                <pt idx="300">
                  <v>145319</v>
                </pt>
                <pt idx="301">
                  <v>146922</v>
                </pt>
                <pt idx="302">
                  <v>146163</v>
                </pt>
                <pt idx="303">
                  <v>147528</v>
                </pt>
                <pt idx="304">
                  <v>146109</v>
                </pt>
                <pt idx="305">
                  <v>147906</v>
                </pt>
                <pt idx="306">
                  <v>148674</v>
                </pt>
                <pt idx="307">
                  <v>150573</v>
                </pt>
                <pt idx="308">
                  <v>152791</v>
                </pt>
                <pt idx="309">
                  <v>153425</v>
                </pt>
                <pt idx="310">
                  <v>154358</v>
                </pt>
                <pt idx="311">
                  <v>153988</v>
                </pt>
                <pt idx="312">
                  <v>156117</v>
                </pt>
                <pt idx="313">
                  <v>156933</v>
                </pt>
                <pt idx="314">
                  <v>159378</v>
                </pt>
                <pt idx="315">
                  <v>161173</v>
                </pt>
                <pt idx="316">
                  <v>161822</v>
                </pt>
                <pt idx="317">
                  <v>162169</v>
                </pt>
                <pt idx="318">
                  <v>160301</v>
                </pt>
                <pt idx="319">
                  <v>159376</v>
                </pt>
                <pt idx="320">
                  <v>160988</v>
                </pt>
                <pt idx="321">
                  <v>157324</v>
                </pt>
                <pt idx="322">
                  <v>158140</v>
                </pt>
                <pt idx="323">
                  <v>157472</v>
                </pt>
                <pt idx="324">
                  <v>156980</v>
                </pt>
                <pt idx="325">
                  <v>156767</v>
                </pt>
                <pt idx="326">
                  <v>157850</v>
                </pt>
                <pt idx="327">
                  <v>157491</v>
                </pt>
                <pt idx="328">
                  <v>158841</v>
                </pt>
                <pt idx="329">
                  <v>156943</v>
                </pt>
                <pt idx="330">
                  <v>157074</v>
                </pt>
                <pt idx="331">
                  <v>156112</v>
                </pt>
                <pt idx="332">
                  <v>156018</v>
                </pt>
                <pt idx="333">
                  <v>156261</v>
                </pt>
                <pt idx="334">
                  <v>154416</v>
                </pt>
                <pt idx="335">
                  <v>154889</v>
                </pt>
                <pt idx="336">
                  <v>154006</v>
                </pt>
                <pt idx="337">
                  <v>150552</v>
                </pt>
                <pt idx="338">
                  <v>137883</v>
                </pt>
                <pt idx="339">
                  <v>143011</v>
                </pt>
                <pt idx="340">
                  <v>150635</v>
                </pt>
                <pt idx="341">
                  <v>155900</v>
                </pt>
                <pt idx="342">
                  <v>158055</v>
                </pt>
                <pt idx="343">
                  <v>160114</v>
                </pt>
                <pt idx="344">
                  <v>162930</v>
                </pt>
                <pt idx="345">
                  <v>164240</v>
                </pt>
                <pt idx="346">
                  <v>167549</v>
                </pt>
                <pt idx="347">
                  <v>171001</v>
                </pt>
                <pt idx="348">
                  <v>170078</v>
                </pt>
                <pt idx="349">
                  <v>175624</v>
                </pt>
                <pt idx="350">
                  <v>178656</v>
                </pt>
                <pt idx="351">
                  <v>179640</v>
                </pt>
                <pt idx="352">
                  <v>180734</v>
                </pt>
                <pt idx="353">
                  <v>182210</v>
                </pt>
                <pt idx="354">
                  <v>182829</v>
                </pt>
                <pt idx="355">
                  <v>184082</v>
                </pt>
                <pt idx="356">
                  <v>184686</v>
                </pt>
                <pt idx="357">
                  <v>186682</v>
                </pt>
                <pt idx="358">
                  <v>187882</v>
                </pt>
                <pt idx="359">
                  <v>189818</v>
                </pt>
                <pt idx="360">
                  <v>188940</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2.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 ex Transport'!$C$6:$C$366</f>
              <numCache>
                <formatCode>0.0%</formatCode>
                <ptCount val="361"/>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-0.0199094321096117</v>
                </pt>
                <pt idx="240">
                  <v>0.01625373222865956</v>
                </pt>
                <pt idx="241">
                  <v>-0.003904400557771508</v>
                </pt>
                <pt idx="242">
                  <v>-0.01332829805382106</v>
                </pt>
                <pt idx="243">
                  <v>-0.004005648822721994</v>
                </pt>
                <pt idx="244">
                  <v>-0.02587309264621113</v>
                </pt>
                <pt idx="245">
                  <v>-0.006556752639024921</v>
                </pt>
                <pt idx="246">
                  <v>-0.021587019033274</v>
                </pt>
                <pt idx="247">
                  <v>0.01032839539000889</v>
                </pt>
                <pt idx="248">
                  <v>0.02069495716254684</v>
                </pt>
                <pt idx="249">
                  <v>-0.001499616613852115</v>
                </pt>
                <pt idx="250">
                  <v>-0.006265715256540945</v>
                </pt>
                <pt idx="251">
                  <v>0.03798862051043576</v>
                </pt>
                <pt idx="252">
                  <v>-0.0142110776569181</v>
                </pt>
                <pt idx="253">
                  <v>-0.02272332348655982</v>
                </pt>
                <pt idx="254">
                  <v>0.02277980660074132</v>
                </pt>
                <pt idx="255">
                  <v>0.007248072641200345</v>
                </pt>
                <pt idx="256">
                  <v>-0.0005443405181856201</v>
                </pt>
                <pt idx="257">
                  <v>-0.01528304518494411</v>
                </pt>
                <pt idx="258">
                  <v>-0.004276329101970889</v>
                </pt>
                <pt idx="259">
                  <v>0.004863707798189996</v>
                </pt>
                <pt idx="260">
                  <v>0.003680683825214707</v>
                </pt>
                <pt idx="261">
                  <v>0.01137767986674547</v>
                </pt>
                <pt idx="262">
                  <v>-0.01615730963860222</v>
                </pt>
                <pt idx="263">
                  <v>0.0208303802253137</v>
                </pt>
                <pt idx="264">
                  <v>0.0005554269844943301</v>
                </pt>
                <pt idx="265">
                  <v>0.01481638128721443</v>
                </pt>
                <pt idx="266">
                  <v>-0.01022395009149459</v>
                </pt>
                <pt idx="267">
                  <v>0.001835635004704226</v>
                </pt>
                <pt idx="268">
                  <v>0.027378997832797</v>
                </pt>
                <pt idx="269">
                  <v>-0.01947084806218398</v>
                </pt>
                <pt idx="270">
                  <v>0.01253642604290939</v>
                </pt>
                <pt idx="271">
                  <v>0.009844446161374231</v>
                </pt>
                <pt idx="272">
                  <v>-0.02665689056074469</v>
                </pt>
                <pt idx="273">
                  <v>-0.02410522454540691</v>
                </pt>
                <pt idx="274">
                  <v>0.009913816248724696</v>
                </pt>
                <pt idx="275">
                  <v>-0.01879556828679857</v>
                </pt>
                <pt idx="276">
                  <v>-0.007545738418917179</v>
                </pt>
                <pt idx="277">
                  <v>0.0044226346071158</v>
                </pt>
                <pt idx="278">
                  <v>-0.003207240753701577</v>
                </pt>
                <pt idx="279">
                  <v>-0.01154095231602986</v>
                </pt>
                <pt idx="280">
                  <v>0.017868719052151</v>
                </pt>
                <pt idx="281">
                  <v>-0.01105065958412662</v>
                </pt>
                <pt idx="282">
                  <v>0.002343075595017881</v>
                </pt>
                <pt idx="283">
                  <v>-0.002679352580927384</v>
                </pt>
                <pt idx="284">
                  <v>-0.01171939251055431</v>
                </pt>
                <pt idx="285">
                  <v>-0.004583847658146211</v>
                </pt>
                <pt idx="286">
                  <v>-0.00932137856082931</v>
                </pt>
                <pt idx="287">
                  <v>0.01407143309212886</v>
                </pt>
                <pt idx="288">
                  <v>-0.01099137333222379</v>
                </pt>
                <pt idx="289">
                  <v>-0.00874357554042589</v>
                </pt>
                <pt idx="290">
                  <v>0.006988654047477577</v>
                </pt>
                <pt idx="291">
                  <v>-0.005233211576285473</v>
                </pt>
                <pt idx="292">
                  <v>-0.00615753980863609</v>
                </pt>
                <pt idx="293">
                  <v>0.006749891646476202</v>
                </pt>
                <pt idx="294">
                  <v>0.001517365007445675</v>
                </pt>
                <pt idx="295">
                  <v>-0.00596160892972912</v>
                </pt>
                <pt idx="296">
                  <v>0.006557400292070153</v>
                </pt>
                <pt idx="297">
                  <v>0.002810116419108792</v>
                </pt>
                <pt idx="298">
                  <v>0.00164341999915722</v>
                </pt>
                <pt idx="299">
                  <v>0.01665264338802412</v>
                </pt>
                <pt idx="300">
                  <v>0.002234559812407324</v>
                </pt>
                <pt idx="301">
                  <v>0.01103090442406017</v>
                </pt>
                <pt idx="302">
                  <v>-0.005166006452403316</v>
                </pt>
                <pt idx="303">
                  <v>0.009338888774860943</v>
                </pt>
                <pt idx="304">
                  <v>-0.0096185130958191</v>
                </pt>
                <pt idx="305">
                  <v>0.01229903702030676</v>
                </pt>
                <pt idx="306">
                  <v>0.005192487120197964</v>
                </pt>
                <pt idx="307">
                  <v>0.01277291254691473</v>
                </pt>
                <pt idx="308">
                  <v>0.01473039655183864</v>
                </pt>
                <pt idx="309">
                  <v>0.004149459064997284</v>
                </pt>
                <pt idx="310">
                  <v>0.006081147140296562</v>
                </pt>
                <pt idx="311">
                  <v>-0.002397025097500615</v>
                </pt>
                <pt idx="312">
                  <v>0.01382575265605112</v>
                </pt>
                <pt idx="313">
                  <v>0.005226849093948769</v>
                </pt>
                <pt idx="314">
                  <v>0.01557989715356235</v>
                </pt>
                <pt idx="315">
                  <v>0.01126253309741621</v>
                </pt>
                <pt idx="316">
                  <v>0.004026729042705664</v>
                </pt>
                <pt idx="317">
                  <v>0.002144331425887704</v>
                </pt>
                <pt idx="318">
                  <v>-0.01151884762192528</v>
                </pt>
                <pt idx="319">
                  <v>-0.005770394445449498</v>
                </pt>
                <pt idx="320">
                  <v>0.01011444634072884</v>
                </pt>
                <pt idx="321">
                  <v>-0.02275946033244714</v>
                </pt>
                <pt idx="322">
                  <v>0.005186748366428517</v>
                </pt>
                <pt idx="323">
                  <v>-0.004224105223219932</v>
                </pt>
                <pt idx="324">
                  <v>-0.00312436496647023</v>
                </pt>
                <pt idx="325">
                  <v>-0.001356860746591922</v>
                </pt>
                <pt idx="326">
                  <v>0.006908341679052352</v>
                </pt>
                <pt idx="327">
                  <v>-0.00227431105479886</v>
                </pt>
                <pt idx="328">
                  <v>0.008571918395336876</v>
                </pt>
                <pt idx="329">
                  <v>-0.01194905597421321</v>
                </pt>
                <pt idx="330">
                  <v>0.0008346979476625271</v>
                </pt>
                <pt idx="331">
                  <v>-0.006124501827164267</v>
                </pt>
                <pt idx="332">
                  <v>-0.0006021318028082402</v>
                </pt>
                <pt idx="333">
                  <v>0.001557512594700612</v>
                </pt>
                <pt idx="334">
                  <v>-0.01180716877531822</v>
                </pt>
                <pt idx="335">
                  <v>0.003063154077297689</v>
                </pt>
                <pt idx="336">
                  <v>-0.005700856742570486</v>
                </pt>
                <pt idx="337">
                  <v>-0.02242769762217056</v>
                </pt>
                <pt idx="338">
                  <v>-0.08415032679738563</v>
                </pt>
                <pt idx="339">
                  <v>0.03719095174894657</v>
                </pt>
                <pt idx="340">
                  <v>0.05331058450049297</v>
                </pt>
                <pt idx="341">
                  <v>0.03495203637932751</v>
                </pt>
                <pt idx="342">
                  <v>0.01382296343810135</v>
                </pt>
                <pt idx="343">
                  <v>0.01302711081585524</v>
                </pt>
                <pt idx="344">
                  <v>0.01758746892838852</v>
                </pt>
                <pt idx="345">
                  <v>0.008040262689498558</v>
                </pt>
                <pt idx="346">
                  <v>0.02014734534827082</v>
                </pt>
                <pt idx="347">
                  <v>0.02060292809864577</v>
                </pt>
                <pt idx="348">
                  <v>-0.005397629253630095</v>
                </pt>
                <pt idx="349">
                  <v>0.03260856783358224</v>
                </pt>
                <pt idx="350">
                  <v>0.01726415524074158</v>
                </pt>
                <pt idx="351">
                  <v>0.005507791509940892</v>
                </pt>
                <pt idx="352">
                  <v>0.006089957693164106</v>
                </pt>
                <pt idx="353">
                  <v>0.008166698020295019</v>
                </pt>
                <pt idx="354">
                  <v>0.003397179079084573</v>
                </pt>
                <pt idx="355">
                  <v>0.006853398530867642</v>
                </pt>
                <pt idx="356">
                  <v>0.003281146445605763</v>
                </pt>
                <pt idx="357">
                  <v>0.01080753278537626</v>
                </pt>
                <pt idx="358">
                  <v>0.006428043410719834</v>
                </pt>
                <pt idx="359">
                  <v>0.01030433995805878</v>
                </pt>
                <pt idx="360">
                  <v>-0.00462548335774268</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numCache>
            </numRef>
          </cat>
          <val>
            <numRef>
              <f>'New Orders ex Transport'!$C$251:$C$463</f>
              <numCache>
                <formatCode>0.0%</formatCode>
                <ptCount val="213"/>
                <pt idx="0">
                  <v>-0.006556752639024921</v>
                </pt>
                <pt idx="1">
                  <v>-0.021587019033274</v>
                </pt>
                <pt idx="2">
                  <v>0.01032839539000889</v>
                </pt>
                <pt idx="3">
                  <v>0.02069495716254684</v>
                </pt>
                <pt idx="4">
                  <v>-0.001499616613852115</v>
                </pt>
                <pt idx="5">
                  <v>-0.006265715256540945</v>
                </pt>
                <pt idx="6">
                  <v>0.03798862051043576</v>
                </pt>
                <pt idx="7">
                  <v>-0.0142110776569181</v>
                </pt>
                <pt idx="8">
                  <v>-0.02272332348655982</v>
                </pt>
                <pt idx="9">
                  <v>0.02277980660074132</v>
                </pt>
                <pt idx="10">
                  <v>0.007248072641200345</v>
                </pt>
                <pt idx="11">
                  <v>-0.0005443405181856201</v>
                </pt>
                <pt idx="12">
                  <v>-0.01528304518494411</v>
                </pt>
                <pt idx="13">
                  <v>-0.004276329101970889</v>
                </pt>
                <pt idx="14">
                  <v>0.004863707798189996</v>
                </pt>
                <pt idx="15">
                  <v>0.003680683825214707</v>
                </pt>
                <pt idx="16">
                  <v>0.01137767986674547</v>
                </pt>
                <pt idx="17">
                  <v>-0.01615730963860222</v>
                </pt>
                <pt idx="18">
                  <v>0.0208303802253137</v>
                </pt>
                <pt idx="19">
                  <v>0.0005554269844943301</v>
                </pt>
                <pt idx="20">
                  <v>0.01481638128721443</v>
                </pt>
                <pt idx="21">
                  <v>-0.01022395009149459</v>
                </pt>
                <pt idx="22">
                  <v>0.001835635004704226</v>
                </pt>
                <pt idx="23">
                  <v>0.027378997832797</v>
                </pt>
                <pt idx="24">
                  <v>-0.01947084806218398</v>
                </pt>
                <pt idx="25">
                  <v>0.01253642604290939</v>
                </pt>
                <pt idx="26">
                  <v>0.009844446161374231</v>
                </pt>
                <pt idx="27">
                  <v>-0.02665689056074469</v>
                </pt>
                <pt idx="28">
                  <v>-0.02410522454540691</v>
                </pt>
                <pt idx="29">
                  <v>0.009913816248724696</v>
                </pt>
                <pt idx="30">
                  <v>-0.01879556828679857</v>
                </pt>
                <pt idx="31">
                  <v>-0.007545738418917179</v>
                </pt>
                <pt idx="32">
                  <v>0.0044226346071158</v>
                </pt>
                <pt idx="33">
                  <v>-0.003207240753701577</v>
                </pt>
                <pt idx="34">
                  <v>-0.01154095231602986</v>
                </pt>
                <pt idx="35">
                  <v>0.017868719052151</v>
                </pt>
                <pt idx="36">
                  <v>-0.01105065958412662</v>
                </pt>
                <pt idx="37">
                  <v>0.002343075595017881</v>
                </pt>
                <pt idx="38">
                  <v>-0.002679352580927384</v>
                </pt>
                <pt idx="39">
                  <v>-0.01171939251055431</v>
                </pt>
                <pt idx="40">
                  <v>-0.004583847658146211</v>
                </pt>
                <pt idx="41">
                  <v>-0.00932137856082931</v>
                </pt>
                <pt idx="42">
                  <v>0.01407143309212886</v>
                </pt>
                <pt idx="43">
                  <v>-0.01099137333222379</v>
                </pt>
                <pt idx="44">
                  <v>-0.00874357554042589</v>
                </pt>
                <pt idx="45">
                  <v>0.006988654047477577</v>
                </pt>
                <pt idx="46">
                  <v>-0.005233211576285473</v>
                </pt>
                <pt idx="47">
                  <v>-0.00615753980863609</v>
                </pt>
                <pt idx="48">
                  <v>0.006749891646476202</v>
                </pt>
                <pt idx="49">
                  <v>0.001517365007445675</v>
                </pt>
                <pt idx="50">
                  <v>-0.00596160892972912</v>
                </pt>
                <pt idx="51">
                  <v>0.006557400292070153</v>
                </pt>
                <pt idx="52">
                  <v>0.002810116419108792</v>
                </pt>
                <pt idx="53">
                  <v>0.00164341999915722</v>
                </pt>
                <pt idx="54">
                  <v>0.01665264338802412</v>
                </pt>
                <pt idx="55">
                  <v>0.002234559812407324</v>
                </pt>
                <pt idx="56">
                  <v>0.01103090442406017</v>
                </pt>
                <pt idx="57">
                  <v>-0.005166006452403316</v>
                </pt>
                <pt idx="58">
                  <v>0.009338888774860943</v>
                </pt>
                <pt idx="59">
                  <v>-0.0096185130958191</v>
                </pt>
                <pt idx="60">
                  <v>0.01229903702030676</v>
                </pt>
                <pt idx="61">
                  <v>0.005192487120197964</v>
                </pt>
                <pt idx="62">
                  <v>0.01277291254691473</v>
                </pt>
                <pt idx="63">
                  <v>0.01473039655183864</v>
                </pt>
                <pt idx="64">
                  <v>0.004149459064997284</v>
                </pt>
                <pt idx="65">
                  <v>0.006081147140296562</v>
                </pt>
                <pt idx="66">
                  <v>-0.002397025097500615</v>
                </pt>
                <pt idx="67">
                  <v>0.01382575265605112</v>
                </pt>
                <pt idx="68">
                  <v>0.005226849093948769</v>
                </pt>
                <pt idx="69">
                  <v>0.01557989715356235</v>
                </pt>
                <pt idx="70">
                  <v>0.01126253309741621</v>
                </pt>
                <pt idx="71">
                  <v>0.004026729042705664</v>
                </pt>
                <pt idx="72">
                  <v>0.002144331425887704</v>
                </pt>
                <pt idx="73">
                  <v>-0.01151884762192528</v>
                </pt>
                <pt idx="74">
                  <v>-0.005770394445449498</v>
                </pt>
                <pt idx="75">
                  <v>0.01011444634072884</v>
                </pt>
                <pt idx="76">
                  <v>-0.02275946033244714</v>
                </pt>
                <pt idx="77">
                  <v>0.005186748366428517</v>
                </pt>
                <pt idx="78">
                  <v>-0.004224105223219932</v>
                </pt>
                <pt idx="79">
                  <v>-0.00312436496647023</v>
                </pt>
                <pt idx="80">
                  <v>-0.001356860746591922</v>
                </pt>
                <pt idx="81">
                  <v>0.006908341679052352</v>
                </pt>
                <pt idx="82">
                  <v>-0.00227431105479886</v>
                </pt>
                <pt idx="83">
                  <v>0.008571918395336876</v>
                </pt>
                <pt idx="84">
                  <v>-0.01194905597421321</v>
                </pt>
                <pt idx="85">
                  <v>0.0008346979476625271</v>
                </pt>
                <pt idx="86">
                  <v>-0.006124501827164267</v>
                </pt>
                <pt idx="87">
                  <v>-0.0006021318028082402</v>
                </pt>
                <pt idx="88">
                  <v>0.001557512594700612</v>
                </pt>
                <pt idx="89">
                  <v>-0.01180716877531822</v>
                </pt>
                <pt idx="90">
                  <v>0.003063154077297689</v>
                </pt>
                <pt idx="91">
                  <v>-0.005700856742570486</v>
                </pt>
                <pt idx="92">
                  <v>-0.02242769762217056</v>
                </pt>
                <pt idx="93">
                  <v>-0.08415032679738563</v>
                </pt>
                <pt idx="94">
                  <v>0.03719095174894657</v>
                </pt>
                <pt idx="95">
                  <v>0.05331058450049297</v>
                </pt>
                <pt idx="96">
                  <v>0.03495203637932751</v>
                </pt>
                <pt idx="97">
                  <v>0.01382296343810135</v>
                </pt>
                <pt idx="98">
                  <v>0.01302711081585524</v>
                </pt>
                <pt idx="99">
                  <v>0.01758746892838852</v>
                </pt>
                <pt idx="100">
                  <v>0.008040262689498558</v>
                </pt>
                <pt idx="101">
                  <v>0.02014734534827082</v>
                </pt>
                <pt idx="102">
                  <v>0.02060292809864577</v>
                </pt>
                <pt idx="103">
                  <v>-0.005397629253630095</v>
                </pt>
                <pt idx="104">
                  <v>0.03260856783358224</v>
                </pt>
                <pt idx="105">
                  <v>0.01726415524074158</v>
                </pt>
                <pt idx="106">
                  <v>0.005507791509940892</v>
                </pt>
                <pt idx="107">
                  <v>0.006089957693164106</v>
                </pt>
                <pt idx="108">
                  <v>0.008166698020295019</v>
                </pt>
                <pt idx="109">
                  <v>0.003397179079084573</v>
                </pt>
                <pt idx="110">
                  <v>0.006853398530867642</v>
                </pt>
                <pt idx="111">
                  <v>0.003281146445605763</v>
                </pt>
                <pt idx="112">
                  <v>0.01080753278537626</v>
                </pt>
                <pt idx="113">
                  <v>0.006428043410719834</v>
                </pt>
                <pt idx="114">
                  <v>0.01030433995805878</v>
                </pt>
                <pt idx="115">
                  <v>-0.00462548335774268</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 ex Transport'!$B$6:$B$366</f>
              <numCache>
                <formatCode>#,##0</formatCode>
                <ptCount val="361"/>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151719</v>
                </pt>
                <pt idx="240">
                  <v>154185</v>
                </pt>
                <pt idx="241">
                  <v>153583</v>
                </pt>
                <pt idx="242">
                  <v>151536</v>
                </pt>
                <pt idx="243">
                  <v>150929</v>
                </pt>
                <pt idx="244">
                  <v>147024</v>
                </pt>
                <pt idx="245">
                  <v>146060</v>
                </pt>
                <pt idx="246">
                  <v>142907</v>
                </pt>
                <pt idx="247">
                  <v>144383</v>
                </pt>
                <pt idx="248">
                  <v>147371</v>
                </pt>
                <pt idx="249">
                  <v>147150</v>
                </pt>
                <pt idx="250">
                  <v>146228</v>
                </pt>
                <pt idx="251">
                  <v>151783</v>
                </pt>
                <pt idx="252">
                  <v>149626</v>
                </pt>
                <pt idx="253">
                  <v>146226</v>
                </pt>
                <pt idx="254">
                  <v>149557</v>
                </pt>
                <pt idx="255">
                  <v>150641</v>
                </pt>
                <pt idx="256">
                  <v>150559</v>
                </pt>
                <pt idx="257">
                  <v>148258</v>
                </pt>
                <pt idx="258">
                  <v>147624</v>
                </pt>
                <pt idx="259">
                  <v>148342</v>
                </pt>
                <pt idx="260">
                  <v>148888</v>
                </pt>
                <pt idx="261">
                  <v>150582</v>
                </pt>
                <pt idx="262">
                  <v>148149</v>
                </pt>
                <pt idx="263">
                  <v>151235</v>
                </pt>
                <pt idx="264">
                  <v>151319</v>
                </pt>
                <pt idx="265">
                  <v>153561</v>
                </pt>
                <pt idx="266">
                  <v>151991</v>
                </pt>
                <pt idx="267">
                  <v>152270</v>
                </pt>
                <pt idx="268">
                  <v>156439</v>
                </pt>
                <pt idx="269">
                  <v>153393</v>
                </pt>
                <pt idx="270">
                  <v>155316</v>
                </pt>
                <pt idx="271">
                  <v>156845</v>
                </pt>
                <pt idx="272">
                  <v>152664</v>
                </pt>
                <pt idx="273">
                  <v>148984</v>
                </pt>
                <pt idx="274">
                  <v>150461</v>
                </pt>
                <pt idx="275">
                  <v>147633</v>
                </pt>
                <pt idx="276">
                  <v>146519</v>
                </pt>
                <pt idx="277">
                  <v>147167</v>
                </pt>
                <pt idx="278">
                  <v>146695</v>
                </pt>
                <pt idx="279">
                  <v>145002</v>
                </pt>
                <pt idx="280">
                  <v>147593</v>
                </pt>
                <pt idx="281">
                  <v>145962</v>
                </pt>
                <pt idx="282">
                  <v>146304</v>
                </pt>
                <pt idx="283">
                  <v>145912</v>
                </pt>
                <pt idx="284">
                  <v>144202</v>
                </pt>
                <pt idx="285">
                  <v>143541</v>
                </pt>
                <pt idx="286">
                  <v>142203</v>
                </pt>
                <pt idx="287">
                  <v>144204</v>
                </pt>
                <pt idx="288">
                  <v>142619</v>
                </pt>
                <pt idx="289">
                  <v>141372</v>
                </pt>
                <pt idx="290">
                  <v>142360</v>
                </pt>
                <pt idx="291">
                  <v>141615</v>
                </pt>
                <pt idx="292">
                  <v>140743</v>
                </pt>
                <pt idx="293">
                  <v>141693</v>
                </pt>
                <pt idx="294">
                  <v>141908</v>
                </pt>
                <pt idx="295">
                  <v>141062</v>
                </pt>
                <pt idx="296">
                  <v>141987</v>
                </pt>
                <pt idx="297">
                  <v>142386</v>
                </pt>
                <pt idx="298">
                  <v>142620</v>
                </pt>
                <pt idx="299">
                  <v>144995</v>
                </pt>
                <pt idx="300">
                  <v>145319</v>
                </pt>
                <pt idx="301">
                  <v>146922</v>
                </pt>
                <pt idx="302">
                  <v>146163</v>
                </pt>
                <pt idx="303">
                  <v>147528</v>
                </pt>
                <pt idx="304">
                  <v>146109</v>
                </pt>
                <pt idx="305">
                  <v>147906</v>
                </pt>
                <pt idx="306">
                  <v>148674</v>
                </pt>
                <pt idx="307">
                  <v>150573</v>
                </pt>
                <pt idx="308">
                  <v>152791</v>
                </pt>
                <pt idx="309">
                  <v>153425</v>
                </pt>
                <pt idx="310">
                  <v>154358</v>
                </pt>
                <pt idx="311">
                  <v>153988</v>
                </pt>
                <pt idx="312">
                  <v>156117</v>
                </pt>
                <pt idx="313">
                  <v>156933</v>
                </pt>
                <pt idx="314">
                  <v>159378</v>
                </pt>
                <pt idx="315">
                  <v>161173</v>
                </pt>
                <pt idx="316">
                  <v>161822</v>
                </pt>
                <pt idx="317">
                  <v>162169</v>
                </pt>
                <pt idx="318">
                  <v>160301</v>
                </pt>
                <pt idx="319">
                  <v>159376</v>
                </pt>
                <pt idx="320">
                  <v>160988</v>
                </pt>
                <pt idx="321">
                  <v>157324</v>
                </pt>
                <pt idx="322">
                  <v>158140</v>
                </pt>
                <pt idx="323">
                  <v>157472</v>
                </pt>
                <pt idx="324">
                  <v>156980</v>
                </pt>
                <pt idx="325">
                  <v>156767</v>
                </pt>
                <pt idx="326">
                  <v>157850</v>
                </pt>
                <pt idx="327">
                  <v>157491</v>
                </pt>
                <pt idx="328">
                  <v>158841</v>
                </pt>
                <pt idx="329">
                  <v>156943</v>
                </pt>
                <pt idx="330">
                  <v>157074</v>
                </pt>
                <pt idx="331">
                  <v>156112</v>
                </pt>
                <pt idx="332">
                  <v>156018</v>
                </pt>
                <pt idx="333">
                  <v>156261</v>
                </pt>
                <pt idx="334">
                  <v>154416</v>
                </pt>
                <pt idx="335">
                  <v>154889</v>
                </pt>
                <pt idx="336">
                  <v>154006</v>
                </pt>
                <pt idx="337">
                  <v>150552</v>
                </pt>
                <pt idx="338">
                  <v>137883</v>
                </pt>
                <pt idx="339">
                  <v>143011</v>
                </pt>
                <pt idx="340">
                  <v>150635</v>
                </pt>
                <pt idx="341">
                  <v>155900</v>
                </pt>
                <pt idx="342">
                  <v>158055</v>
                </pt>
                <pt idx="343">
                  <v>160114</v>
                </pt>
                <pt idx="344">
                  <v>162930</v>
                </pt>
                <pt idx="345">
                  <v>164240</v>
                </pt>
                <pt idx="346">
                  <v>167549</v>
                </pt>
                <pt idx="347">
                  <v>171001</v>
                </pt>
                <pt idx="348">
                  <v>170078</v>
                </pt>
                <pt idx="349">
                  <v>175624</v>
                </pt>
                <pt idx="350">
                  <v>178656</v>
                </pt>
                <pt idx="351">
                  <v>179640</v>
                </pt>
                <pt idx="352">
                  <v>180734</v>
                </pt>
                <pt idx="353">
                  <v>182210</v>
                </pt>
                <pt idx="354">
                  <v>182829</v>
                </pt>
                <pt idx="355">
                  <v>184082</v>
                </pt>
                <pt idx="356">
                  <v>184686</v>
                </pt>
                <pt idx="357">
                  <v>186682</v>
                </pt>
                <pt idx="358">
                  <v>187882</v>
                </pt>
                <pt idx="359">
                  <v>189818</v>
                </pt>
                <pt idx="360">
                  <v>188940</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5.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Other!$B$6:$B$372</f>
              <numCache>
                <formatCode>#,##0</formatCode>
                <ptCount val="367"/>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169869</v>
                </pt>
                <pt idx="240">
                  <v>173639</v>
                </pt>
                <pt idx="241">
                  <v>164506</v>
                </pt>
                <pt idx="242">
                  <v>161577</v>
                </pt>
                <pt idx="243">
                  <v>163899</v>
                </pt>
                <pt idx="244">
                  <v>159806</v>
                </pt>
                <pt idx="245">
                  <v>167134</v>
                </pt>
                <pt idx="246">
                  <v>147480</v>
                </pt>
                <pt idx="247">
                  <v>161573</v>
                </pt>
                <pt idx="248">
                  <v>163826</v>
                </pt>
                <pt idx="249">
                  <v>157271</v>
                </pt>
                <pt idx="250">
                  <v>175437</v>
                </pt>
                <pt idx="251">
                  <v>163977</v>
                </pt>
                <pt idx="252">
                  <v>171886</v>
                </pt>
                <pt idx="253">
                  <v>157898</v>
                </pt>
                <pt idx="254">
                  <v>167999</v>
                </pt>
                <pt idx="255">
                  <v>175159</v>
                </pt>
                <pt idx="256">
                  <v>187171</v>
                </pt>
                <pt idx="257">
                  <v>163879</v>
                </pt>
                <pt idx="258">
                  <v>162223</v>
                </pt>
                <pt idx="259">
                  <v>178822</v>
                </pt>
                <pt idx="260">
                  <v>173141</v>
                </pt>
                <pt idx="261">
                  <v>177119</v>
                </pt>
                <pt idx="262">
                  <v>175160</v>
                </pt>
                <pt idx="263">
                  <v>166758</v>
                </pt>
                <pt idx="264">
                  <v>168991</v>
                </pt>
                <pt idx="265">
                  <v>173176</v>
                </pt>
                <pt idx="266">
                  <v>174125</v>
                </pt>
                <pt idx="267">
                  <v>166404</v>
                </pt>
                <pt idx="268">
                  <v>177673</v>
                </pt>
                <pt idx="269">
                  <v>239368</v>
                </pt>
                <pt idx="270">
                  <v>170619</v>
                </pt>
                <pt idx="271">
                  <v>175815</v>
                </pt>
                <pt idx="272">
                  <v>166867</v>
                </pt>
                <pt idx="273">
                  <v>167086</v>
                </pt>
                <pt idx="274">
                  <v>159597</v>
                </pt>
                <pt idx="275">
                  <v>157463</v>
                </pt>
                <pt idx="276">
                  <v>154298</v>
                </pt>
                <pt idx="277">
                  <v>162504</v>
                </pt>
                <pt idx="278">
                  <v>161812</v>
                </pt>
                <pt idx="279">
                  <v>149281</v>
                </pt>
                <pt idx="280">
                  <v>168996</v>
                </pt>
                <pt idx="281">
                  <v>161459</v>
                </pt>
                <pt idx="282">
                  <v>158114</v>
                </pt>
                <pt idx="283">
                  <v>151480</v>
                </pt>
                <pt idx="284">
                  <v>157257</v>
                </pt>
                <pt idx="285">
                  <v>161313</v>
                </pt>
                <pt idx="286">
                  <v>154376</v>
                </pt>
                <pt idx="287">
                  <v>157726</v>
                </pt>
                <pt idx="288">
                  <v>151625</v>
                </pt>
                <pt idx="289">
                  <v>150655</v>
                </pt>
                <pt idx="290">
                  <v>159038</v>
                </pt>
                <pt idx="291">
                  <v>156740</v>
                </pt>
                <pt idx="292">
                  <v>147954</v>
                </pt>
                <pt idx="293">
                  <v>149687</v>
                </pt>
                <pt idx="294">
                  <v>158627</v>
                </pt>
                <pt idx="295">
                  <v>148303</v>
                </pt>
                <pt idx="296">
                  <v>174438</v>
                </pt>
                <pt idx="297">
                  <v>156039</v>
                </pt>
                <pt idx="298">
                  <v>151674</v>
                </pt>
                <pt idx="299">
                  <v>153023</v>
                </pt>
                <pt idx="300">
                  <v>151001</v>
                </pt>
                <pt idx="301">
                  <v>157865</v>
                </pt>
                <pt idx="302">
                  <v>160341</v>
                </pt>
                <pt idx="303">
                  <v>156192</v>
                </pt>
                <pt idx="304">
                  <v>174911</v>
                </pt>
                <pt idx="305">
                  <v>158851</v>
                </pt>
                <pt idx="306">
                  <v>158587</v>
                </pt>
                <pt idx="307">
                  <v>169627</v>
                </pt>
                <pt idx="308">
                  <v>164246</v>
                </pt>
                <pt idx="309">
                  <v>170535</v>
                </pt>
                <pt idx="310">
                  <v>169117</v>
                </pt>
                <pt idx="311">
                  <v>158706</v>
                </pt>
                <pt idx="312">
                  <v>163066</v>
                </pt>
                <pt idx="313">
                  <v>171976</v>
                </pt>
                <pt idx="314">
                  <v>170999</v>
                </pt>
                <pt idx="315">
                  <v>175471</v>
                </pt>
                <pt idx="316">
                  <v>173527</v>
                </pt>
                <pt idx="317">
                  <v>164780</v>
                </pt>
                <pt idx="318">
                  <v>179888</v>
                </pt>
                <pt idx="319">
                  <v>176616</v>
                </pt>
                <pt idx="320">
                  <v>170058</v>
                </pt>
                <pt idx="321">
                  <v>160838</v>
                </pt>
                <pt idx="322">
                  <v>172950</v>
                </pt>
                <pt idx="323">
                  <v>183707</v>
                </pt>
                <pt idx="324">
                  <v>174574</v>
                </pt>
                <pt idx="325">
                  <v>186986</v>
                </pt>
                <pt idx="326">
                  <v>186141</v>
                </pt>
                <pt idx="327">
                  <v>172609</v>
                </pt>
                <pt idx="328">
                  <v>176033</v>
                </pt>
                <pt idx="329">
                  <v>181883</v>
                </pt>
                <pt idx="330">
                  <v>178316</v>
                </pt>
                <pt idx="331">
                  <v>178552</v>
                </pt>
                <pt idx="332">
                  <v>184702</v>
                </pt>
                <pt idx="333">
                  <v>168277</v>
                </pt>
                <pt idx="334">
                  <v>175060</v>
                </pt>
                <pt idx="335">
                  <v>164144</v>
                </pt>
                <pt idx="336">
                  <v>164739</v>
                </pt>
                <pt idx="337">
                  <v>125115</v>
                </pt>
                <pt idx="338">
                  <v>121997</v>
                </pt>
                <pt idx="339">
                  <v>134339</v>
                </pt>
                <pt idx="340">
                  <v>135912</v>
                </pt>
                <pt idx="341">
                  <v>146079</v>
                </pt>
                <pt idx="342">
                  <v>151866</v>
                </pt>
                <pt idx="343">
                  <v>154765</v>
                </pt>
                <pt idx="344">
                  <v>157040</v>
                </pt>
                <pt idx="345">
                  <v>160496</v>
                </pt>
                <pt idx="346">
                  <v>162628</v>
                </pt>
                <pt idx="347">
                  <v>168315</v>
                </pt>
                <pt idx="348">
                  <v>176058</v>
                </pt>
                <pt idx="349">
                  <v>177221</v>
                </pt>
                <pt idx="350">
                  <v>179098</v>
                </pt>
                <pt idx="351">
                  <v>185820</v>
                </pt>
                <pt idx="352">
                  <v>186999</v>
                </pt>
                <pt idx="353">
                  <v>186219</v>
                </pt>
                <pt idx="354">
                  <v>192482</v>
                </pt>
                <pt idx="355">
                  <v>191094</v>
                </pt>
                <pt idx="356">
                  <v>189188</v>
                </pt>
                <pt idx="357">
                  <v>196196</v>
                </pt>
                <pt idx="358">
                  <v>192388</v>
                </pt>
                <pt idx="359">
                  <v>202069</v>
                </pt>
                <pt idx="360">
                  <v>196194</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6.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Other!$C$6:$C$366</f>
              <numCache>
                <formatCode>0.0%</formatCode>
                <ptCount val="361"/>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-0.003619065495113968</v>
                </pt>
                <pt idx="240">
                  <v>0.02219357269425263</v>
                </pt>
                <pt idx="241">
                  <v>-0.05259763071660169</v>
                </pt>
                <pt idx="242">
                  <v>-0.01780482170863069</v>
                </pt>
                <pt idx="243">
                  <v>0.01437085723834457</v>
                </pt>
                <pt idx="244">
                  <v>-0.0249726965997352</v>
                </pt>
                <pt idx="245">
                  <v>0.04585559991489681</v>
                </pt>
                <pt idx="246">
                  <v>-0.117594265679036</v>
                </pt>
                <pt idx="247">
                  <v>0.09555871982641714</v>
                </pt>
                <pt idx="248">
                  <v>0.01394416146262061</v>
                </pt>
                <pt idx="249">
                  <v>-0.04001196391293201</v>
                </pt>
                <pt idx="250">
                  <v>0.115507626962377</v>
                </pt>
                <pt idx="251">
                  <v>-0.06532259443560937</v>
                </pt>
                <pt idx="252">
                  <v>0.04823237405245857</v>
                </pt>
                <pt idx="253">
                  <v>-0.08137951898351233</v>
                </pt>
                <pt idx="254">
                  <v>0.06397167791865635</v>
                </pt>
                <pt idx="255">
                  <v>0.04261930130536491</v>
                </pt>
                <pt idx="256">
                  <v>0.06857769226816778</v>
                </pt>
                <pt idx="257">
                  <v>-0.1244423548519803</v>
                </pt>
                <pt idx="258">
                  <v>-0.01010501650608071</v>
                </pt>
                <pt idx="259">
                  <v>0.1023221121542568</v>
                </pt>
                <pt idx="260">
                  <v>-0.0317690217087383</v>
                </pt>
                <pt idx="261">
                  <v>0.02297549396156889</v>
                </pt>
                <pt idx="262">
                  <v>-0.01106036054855775</v>
                </pt>
                <pt idx="263">
                  <v>-0.04796757250513816</v>
                </pt>
                <pt idx="264">
                  <v>0.01339066191726934</v>
                </pt>
                <pt idx="265">
                  <v>0.02476463243604689</v>
                </pt>
                <pt idx="266">
                  <v>0.005479974130364484</v>
                </pt>
                <pt idx="267">
                  <v>-0.04434170854271357</v>
                </pt>
                <pt idx="268">
                  <v>0.06772072786711858</v>
                </pt>
                <pt idx="269">
                  <v>0.3472390290027185</v>
                </pt>
                <pt idx="270">
                  <v>-0.2872104876173925</v>
                </pt>
                <pt idx="271">
                  <v>0.03045381815624286</v>
                </pt>
                <pt idx="272">
                  <v>-0.05089440605181583</v>
                </pt>
                <pt idx="273">
                  <v>0.001312422468193232</v>
                </pt>
                <pt idx="274">
                  <v>-0.04482122978585878</v>
                </pt>
                <pt idx="275">
                  <v>-0.0133711786562404</v>
                </pt>
                <pt idx="276">
                  <v>-0.02009995999060097</v>
                </pt>
                <pt idx="277">
                  <v>0.05318280211020233</v>
                </pt>
                <pt idx="278">
                  <v>-0.004258356717373111</v>
                </pt>
                <pt idx="279">
                  <v>-0.07744172249276939</v>
                </pt>
                <pt idx="280">
                  <v>0.1320663714739317</v>
                </pt>
                <pt idx="281">
                  <v>-0.04459868872636039</v>
                </pt>
                <pt idx="282">
                  <v>-0.0207173338122991</v>
                </pt>
                <pt idx="283">
                  <v>-0.04195706895025109</v>
                </pt>
                <pt idx="284">
                  <v>0.03813704779508846</v>
                </pt>
                <pt idx="285">
                  <v>0.02579217459318186</v>
                </pt>
                <pt idx="286">
                  <v>-0.04300335372846577</v>
                </pt>
                <pt idx="287">
                  <v>0.02170026428978598</v>
                </pt>
                <pt idx="288">
                  <v>-0.03868100376602462</v>
                </pt>
                <pt idx="289">
                  <v>-0.006397361912613355</v>
                </pt>
                <pt idx="290">
                  <v>0.05564368922372308</v>
                </pt>
                <pt idx="291">
                  <v>-0.01444937687848187</v>
                </pt>
                <pt idx="292">
                  <v>-0.05605461273446472</v>
                </pt>
                <pt idx="293">
                  <v>0.01171310001757303</v>
                </pt>
                <pt idx="294">
                  <v>0.05972462538496997</v>
                </pt>
                <pt idx="295">
                  <v>-0.0650834977651976</v>
                </pt>
                <pt idx="296">
                  <v>0.17622704867737</v>
                </pt>
                <pt idx="297">
                  <v>-0.1054758710831356</v>
                </pt>
                <pt idx="298">
                  <v>-0.02797377578682253</v>
                </pt>
                <pt idx="299">
                  <v>0.008894075451296861</v>
                </pt>
                <pt idx="300">
                  <v>-0.01321369990132202</v>
                </pt>
                <pt idx="301">
                  <v>0.04545665260494964</v>
                </pt>
                <pt idx="302">
                  <v>0.01568428720742407</v>
                </pt>
                <pt idx="303">
                  <v>-0.02587610155855333</v>
                </pt>
                <pt idx="304">
                  <v>0.1198460868674452</v>
                </pt>
                <pt idx="305">
                  <v>-0.09181812464624867</v>
                </pt>
                <pt idx="306">
                  <v>-0.001661934769060314</v>
                </pt>
                <pt idx="307">
                  <v>0.06961478557511019</v>
                </pt>
                <pt idx="308">
                  <v>-0.03172254417044457</v>
                </pt>
                <pt idx="309">
                  <v>0.03829012578692936</v>
                </pt>
                <pt idx="310">
                  <v>-0.008315008649250886</v>
                </pt>
                <pt idx="311">
                  <v>-0.06156093118964977</v>
                </pt>
                <pt idx="312">
                  <v>0.02747218126598868</v>
                </pt>
                <pt idx="313">
                  <v>0.05464045233218452</v>
                </pt>
                <pt idx="314">
                  <v>-0.005681025259338513</v>
                </pt>
                <pt idx="315">
                  <v>0.0261521997204662</v>
                </pt>
                <pt idx="316">
                  <v>-0.0110787537541816</v>
                </pt>
                <pt idx="317">
                  <v>-0.05040714125179367</v>
                </pt>
                <pt idx="318">
                  <v>0.0916858842092487</v>
                </pt>
                <pt idx="319">
                  <v>-0.0181890954371609</v>
                </pt>
                <pt idx="320">
                  <v>-0.03713140372333197</v>
                </pt>
                <pt idx="321">
                  <v>-0.05421679662232885</v>
                </pt>
                <pt idx="322">
                  <v>0.07530558698814957</v>
                </pt>
                <pt idx="323">
                  <v>0.06219716681121711</v>
                </pt>
                <pt idx="324">
                  <v>-0.04971503535521238</v>
                </pt>
                <pt idx="325">
                  <v>0.07109878905220708</v>
                </pt>
                <pt idx="326">
                  <v>-0.00451905490250607</v>
                </pt>
                <pt idx="327">
                  <v>-0.072697578717209</v>
                </pt>
                <pt idx="328">
                  <v>0.01983674084201867</v>
                </pt>
                <pt idx="329">
                  <v>0.03323240528764493</v>
                </pt>
                <pt idx="330">
                  <v>-0.01961150849722074</v>
                </pt>
                <pt idx="331">
                  <v>0.001323493124565378</v>
                </pt>
                <pt idx="332">
                  <v>0.0344437474797258</v>
                </pt>
                <pt idx="333">
                  <v>-0.08892702840250782</v>
                </pt>
                <pt idx="334">
                  <v>0.04030853889717549</v>
                </pt>
                <pt idx="335">
                  <v>-0.06235576373814692</v>
                </pt>
                <pt idx="336">
                  <v>0.003624865971342236</v>
                </pt>
                <pt idx="337">
                  <v>-0.2405259228233751</v>
                </pt>
                <pt idx="338">
                  <v>-0.02492107261319586</v>
                </pt>
                <pt idx="339">
                  <v>0.1011664221251342</v>
                </pt>
                <pt idx="340">
                  <v>0.01170918348357513</v>
                </pt>
                <pt idx="341">
                  <v>0.07480575666607805</v>
                </pt>
                <pt idx="342">
                  <v>0.03961555048980346</v>
                </pt>
                <pt idx="343">
                  <v>0.01908919705529875</v>
                </pt>
                <pt idx="344">
                  <v>0.01469970600587988</v>
                </pt>
                <pt idx="345">
                  <v>0.02200713194090678</v>
                </pt>
                <pt idx="346">
                  <v>0.01328382015751171</v>
                </pt>
                <pt idx="347">
                  <v>0.03496937796689377</v>
                </pt>
                <pt idx="348">
                  <v>0.04600303003297389</v>
                </pt>
                <pt idx="349">
                  <v>0.006605777641459065</v>
                </pt>
                <pt idx="350">
                  <v>0.01059129561395094</v>
                </pt>
                <pt idx="351">
                  <v>0.0375325240929547</v>
                </pt>
                <pt idx="352">
                  <v>0.006344849854698095</v>
                </pt>
                <pt idx="353">
                  <v>-0.004171145300242247</v>
                </pt>
                <pt idx="354">
                  <v>0.03363244352080078</v>
                </pt>
                <pt idx="355">
                  <v>-0.007211063891688574</v>
                </pt>
                <pt idx="356">
                  <v>-0.009974148848210828</v>
                </pt>
                <pt idx="357">
                  <v>0.03704251855297376</v>
                </pt>
                <pt idx="358">
                  <v>-0.01940916226630512</v>
                </pt>
                <pt idx="359">
                  <v>0.05032018629020521</v>
                </pt>
                <pt idx="360">
                  <v>-0.02907422712043906</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Other!$A$251:$A$368</f>
              <numCache>
                <formatCode>m/d/yy</formatCode>
                <ptCount val="11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numCache>
            </numRef>
          </cat>
          <val>
            <numRef>
              <f>Other!$C$251:$C$368</f>
              <numCache>
                <formatCode>0.0%</formatCode>
                <ptCount val="118"/>
                <pt idx="0">
                  <v>0.04585559991489681</v>
                </pt>
                <pt idx="1">
                  <v>-0.117594265679036</v>
                </pt>
                <pt idx="2">
                  <v>0.09555871982641714</v>
                </pt>
                <pt idx="3">
                  <v>0.01394416146262061</v>
                </pt>
                <pt idx="4">
                  <v>-0.04001196391293201</v>
                </pt>
                <pt idx="5">
                  <v>0.115507626962377</v>
                </pt>
                <pt idx="6">
                  <v>-0.06532259443560937</v>
                </pt>
                <pt idx="7">
                  <v>0.04823237405245857</v>
                </pt>
                <pt idx="8">
                  <v>-0.08137951898351233</v>
                </pt>
                <pt idx="9">
                  <v>0.06397167791865635</v>
                </pt>
                <pt idx="10">
                  <v>0.04261930130536491</v>
                </pt>
                <pt idx="11">
                  <v>0.06857769226816778</v>
                </pt>
                <pt idx="12">
                  <v>-0.1244423548519803</v>
                </pt>
                <pt idx="13">
                  <v>-0.01010501650608071</v>
                </pt>
                <pt idx="14">
                  <v>0.1023221121542568</v>
                </pt>
                <pt idx="15">
                  <v>-0.0317690217087383</v>
                </pt>
                <pt idx="16">
                  <v>0.02297549396156889</v>
                </pt>
                <pt idx="17">
                  <v>-0.01106036054855775</v>
                </pt>
                <pt idx="18">
                  <v>-0.04796757250513816</v>
                </pt>
                <pt idx="19">
                  <v>0.01339066191726934</v>
                </pt>
                <pt idx="20">
                  <v>0.02476463243604689</v>
                </pt>
                <pt idx="21">
                  <v>0.005479974130364484</v>
                </pt>
                <pt idx="22">
                  <v>-0.04434170854271357</v>
                </pt>
                <pt idx="23">
                  <v>0.06772072786711858</v>
                </pt>
                <pt idx="24">
                  <v>0.3472390290027185</v>
                </pt>
                <pt idx="25">
                  <v>-0.2872104876173925</v>
                </pt>
                <pt idx="26">
                  <v>0.03045381815624286</v>
                </pt>
                <pt idx="27">
                  <v>-0.05089440605181583</v>
                </pt>
                <pt idx="28">
                  <v>0.001312422468193232</v>
                </pt>
                <pt idx="29">
                  <v>-0.04482122978585878</v>
                </pt>
                <pt idx="30">
                  <v>-0.0133711786562404</v>
                </pt>
                <pt idx="31">
                  <v>-0.02009995999060097</v>
                </pt>
                <pt idx="32">
                  <v>0.05318280211020233</v>
                </pt>
                <pt idx="33">
                  <v>-0.004258356717373111</v>
                </pt>
                <pt idx="34">
                  <v>-0.07744172249276939</v>
                </pt>
                <pt idx="35">
                  <v>0.1320663714739317</v>
                </pt>
                <pt idx="36">
                  <v>-0.04459868872636039</v>
                </pt>
                <pt idx="37">
                  <v>-0.0207173338122991</v>
                </pt>
                <pt idx="38">
                  <v>-0.04195706895025109</v>
                </pt>
                <pt idx="39">
                  <v>0.03813704779508846</v>
                </pt>
                <pt idx="40">
                  <v>0.02579217459318186</v>
                </pt>
                <pt idx="41">
                  <v>-0.04300335372846577</v>
                </pt>
                <pt idx="42">
                  <v>0.02170026428978598</v>
                </pt>
                <pt idx="43">
                  <v>-0.03868100376602462</v>
                </pt>
                <pt idx="44">
                  <v>-0.006397361912613355</v>
                </pt>
                <pt idx="45">
                  <v>0.05564368922372308</v>
                </pt>
                <pt idx="46">
                  <v>-0.01444937687848187</v>
                </pt>
                <pt idx="47">
                  <v>-0.05605461273446472</v>
                </pt>
                <pt idx="48">
                  <v>0.01171310001757303</v>
                </pt>
                <pt idx="49">
                  <v>0.05972462538496997</v>
                </pt>
                <pt idx="50">
                  <v>-0.0650834977651976</v>
                </pt>
                <pt idx="51">
                  <v>0.17622704867737</v>
                </pt>
                <pt idx="52">
                  <v>-0.1054758710831356</v>
                </pt>
                <pt idx="53">
                  <v>-0.02797377578682253</v>
                </pt>
                <pt idx="54">
                  <v>0.008894075451296861</v>
                </pt>
                <pt idx="55">
                  <v>-0.01321369990132202</v>
                </pt>
                <pt idx="56">
                  <v>0.04545665260494964</v>
                </pt>
                <pt idx="57">
                  <v>0.01568428720742407</v>
                </pt>
                <pt idx="58">
                  <v>-0.02587610155855333</v>
                </pt>
                <pt idx="59">
                  <v>0.1198460868674452</v>
                </pt>
                <pt idx="60">
                  <v>-0.09181812464624867</v>
                </pt>
                <pt idx="61">
                  <v>-0.001661934769060314</v>
                </pt>
                <pt idx="62">
                  <v>0.06961478557511019</v>
                </pt>
                <pt idx="63">
                  <v>-0.03172254417044457</v>
                </pt>
                <pt idx="64">
                  <v>0.03829012578692936</v>
                </pt>
                <pt idx="65">
                  <v>-0.008315008649250886</v>
                </pt>
                <pt idx="66">
                  <v>-0.06156093118964977</v>
                </pt>
                <pt idx="67">
                  <v>0.02747218126598868</v>
                </pt>
                <pt idx="68">
                  <v>0.05464045233218452</v>
                </pt>
                <pt idx="69">
                  <v>-0.005681025259338513</v>
                </pt>
                <pt idx="70">
                  <v>0.0261521997204662</v>
                </pt>
                <pt idx="71">
                  <v>-0.0110787537541816</v>
                </pt>
                <pt idx="72">
                  <v>-0.05040714125179367</v>
                </pt>
                <pt idx="73">
                  <v>0.0916858842092487</v>
                </pt>
                <pt idx="74">
                  <v>-0.0181890954371609</v>
                </pt>
                <pt idx="75">
                  <v>-0.03713140372333197</v>
                </pt>
                <pt idx="76">
                  <v>-0.05421679662232885</v>
                </pt>
                <pt idx="77">
                  <v>0.07530558698814957</v>
                </pt>
                <pt idx="78">
                  <v>0.06219716681121711</v>
                </pt>
                <pt idx="79">
                  <v>-0.04971503535521238</v>
                </pt>
                <pt idx="80">
                  <v>0.07109878905220708</v>
                </pt>
                <pt idx="81">
                  <v>-0.00451905490250607</v>
                </pt>
                <pt idx="82">
                  <v>-0.072697578717209</v>
                </pt>
                <pt idx="83">
                  <v>0.01983674084201867</v>
                </pt>
                <pt idx="84">
                  <v>0.03323240528764493</v>
                </pt>
                <pt idx="85">
                  <v>-0.01961150849722074</v>
                </pt>
                <pt idx="86">
                  <v>0.001323493124565378</v>
                </pt>
                <pt idx="87">
                  <v>0.0344437474797258</v>
                </pt>
                <pt idx="88">
                  <v>-0.08892702840250782</v>
                </pt>
                <pt idx="89">
                  <v>0.04030853889717549</v>
                </pt>
                <pt idx="90">
                  <v>-0.06235576373814692</v>
                </pt>
                <pt idx="91">
                  <v>0.003624865971342236</v>
                </pt>
                <pt idx="92">
                  <v>-0.2405259228233751</v>
                </pt>
                <pt idx="93">
                  <v>-0.02492107261319586</v>
                </pt>
                <pt idx="94">
                  <v>0.1011664221251342</v>
                </pt>
                <pt idx="95">
                  <v>0.01170918348357513</v>
                </pt>
                <pt idx="96">
                  <v>0.07480575666607805</v>
                </pt>
                <pt idx="97">
                  <v>0.03961555048980346</v>
                </pt>
                <pt idx="98">
                  <v>0.01908919705529875</v>
                </pt>
                <pt idx="99">
                  <v>0.01469970600587988</v>
                </pt>
                <pt idx="100">
                  <v>0.02200713194090678</v>
                </pt>
                <pt idx="101">
                  <v>0.01328382015751171</v>
                </pt>
                <pt idx="102">
                  <v>0.03496937796689377</v>
                </pt>
                <pt idx="103">
                  <v>0.04600303003297389</v>
                </pt>
                <pt idx="104">
                  <v>0.006605777641459065</v>
                </pt>
                <pt idx="105">
                  <v>0.01059129561395094</v>
                </pt>
                <pt idx="106">
                  <v>0.0375325240929547</v>
                </pt>
                <pt idx="107">
                  <v>0.006344849854698095</v>
                </pt>
                <pt idx="108">
                  <v>-0.004171145300242247</v>
                </pt>
                <pt idx="109">
                  <v>0.03363244352080078</v>
                </pt>
                <pt idx="110">
                  <v>-0.007211063891688574</v>
                </pt>
                <pt idx="111">
                  <v>-0.009974148848210828</v>
                </pt>
                <pt idx="112">
                  <v>0.03704251855297376</v>
                </pt>
                <pt idx="113">
                  <v>-0.01940916226630512</v>
                </pt>
                <pt idx="114">
                  <v>0.05032018629020521</v>
                </pt>
                <pt idx="115">
                  <v>-0.02907422712043906</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8.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Other!$B$6:$B$372</f>
              <numCache>
                <formatCode>#,##0</formatCode>
                <ptCount val="367"/>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169869</v>
                </pt>
                <pt idx="240">
                  <v>173639</v>
                </pt>
                <pt idx="241">
                  <v>164506</v>
                </pt>
                <pt idx="242">
                  <v>161577</v>
                </pt>
                <pt idx="243">
                  <v>163899</v>
                </pt>
                <pt idx="244">
                  <v>159806</v>
                </pt>
                <pt idx="245">
                  <v>167134</v>
                </pt>
                <pt idx="246">
                  <v>147480</v>
                </pt>
                <pt idx="247">
                  <v>161573</v>
                </pt>
                <pt idx="248">
                  <v>163826</v>
                </pt>
                <pt idx="249">
                  <v>157271</v>
                </pt>
                <pt idx="250">
                  <v>175437</v>
                </pt>
                <pt idx="251">
                  <v>163977</v>
                </pt>
                <pt idx="252">
                  <v>171886</v>
                </pt>
                <pt idx="253">
                  <v>157898</v>
                </pt>
                <pt idx="254">
                  <v>167999</v>
                </pt>
                <pt idx="255">
                  <v>175159</v>
                </pt>
                <pt idx="256">
                  <v>187171</v>
                </pt>
                <pt idx="257">
                  <v>163879</v>
                </pt>
                <pt idx="258">
                  <v>162223</v>
                </pt>
                <pt idx="259">
                  <v>178822</v>
                </pt>
                <pt idx="260">
                  <v>173141</v>
                </pt>
                <pt idx="261">
                  <v>177119</v>
                </pt>
                <pt idx="262">
                  <v>175160</v>
                </pt>
                <pt idx="263">
                  <v>166758</v>
                </pt>
                <pt idx="264">
                  <v>168991</v>
                </pt>
                <pt idx="265">
                  <v>173176</v>
                </pt>
                <pt idx="266">
                  <v>174125</v>
                </pt>
                <pt idx="267">
                  <v>166404</v>
                </pt>
                <pt idx="268">
                  <v>177673</v>
                </pt>
                <pt idx="269">
                  <v>239368</v>
                </pt>
                <pt idx="270">
                  <v>170619</v>
                </pt>
                <pt idx="271">
                  <v>175815</v>
                </pt>
                <pt idx="272">
                  <v>166867</v>
                </pt>
                <pt idx="273">
                  <v>167086</v>
                </pt>
                <pt idx="274">
                  <v>159597</v>
                </pt>
                <pt idx="275">
                  <v>157463</v>
                </pt>
                <pt idx="276">
                  <v>154298</v>
                </pt>
                <pt idx="277">
                  <v>162504</v>
                </pt>
                <pt idx="278">
                  <v>161812</v>
                </pt>
                <pt idx="279">
                  <v>149281</v>
                </pt>
                <pt idx="280">
                  <v>168996</v>
                </pt>
                <pt idx="281">
                  <v>161459</v>
                </pt>
                <pt idx="282">
                  <v>158114</v>
                </pt>
                <pt idx="283">
                  <v>151480</v>
                </pt>
                <pt idx="284">
                  <v>157257</v>
                </pt>
                <pt idx="285">
                  <v>161313</v>
                </pt>
                <pt idx="286">
                  <v>154376</v>
                </pt>
                <pt idx="287">
                  <v>157726</v>
                </pt>
                <pt idx="288">
                  <v>151625</v>
                </pt>
                <pt idx="289">
                  <v>150655</v>
                </pt>
                <pt idx="290">
                  <v>159038</v>
                </pt>
                <pt idx="291">
                  <v>156740</v>
                </pt>
                <pt idx="292">
                  <v>147954</v>
                </pt>
                <pt idx="293">
                  <v>149687</v>
                </pt>
                <pt idx="294">
                  <v>158627</v>
                </pt>
                <pt idx="295">
                  <v>148303</v>
                </pt>
                <pt idx="296">
                  <v>174438</v>
                </pt>
                <pt idx="297">
                  <v>156039</v>
                </pt>
                <pt idx="298">
                  <v>151674</v>
                </pt>
                <pt idx="299">
                  <v>153023</v>
                </pt>
                <pt idx="300">
                  <v>151001</v>
                </pt>
                <pt idx="301">
                  <v>157865</v>
                </pt>
                <pt idx="302">
                  <v>160341</v>
                </pt>
                <pt idx="303">
                  <v>156192</v>
                </pt>
                <pt idx="304">
                  <v>174911</v>
                </pt>
                <pt idx="305">
                  <v>158851</v>
                </pt>
                <pt idx="306">
                  <v>158587</v>
                </pt>
                <pt idx="307">
                  <v>169627</v>
                </pt>
                <pt idx="308">
                  <v>164246</v>
                </pt>
                <pt idx="309">
                  <v>170535</v>
                </pt>
                <pt idx="310">
                  <v>169117</v>
                </pt>
                <pt idx="311">
                  <v>158706</v>
                </pt>
                <pt idx="312">
                  <v>163066</v>
                </pt>
                <pt idx="313">
                  <v>171976</v>
                </pt>
                <pt idx="314">
                  <v>170999</v>
                </pt>
                <pt idx="315">
                  <v>175471</v>
                </pt>
                <pt idx="316">
                  <v>173527</v>
                </pt>
                <pt idx="317">
                  <v>164780</v>
                </pt>
                <pt idx="318">
                  <v>179888</v>
                </pt>
                <pt idx="319">
                  <v>176616</v>
                </pt>
                <pt idx="320">
                  <v>170058</v>
                </pt>
                <pt idx="321">
                  <v>160838</v>
                </pt>
                <pt idx="322">
                  <v>172950</v>
                </pt>
                <pt idx="323">
                  <v>183707</v>
                </pt>
                <pt idx="324">
                  <v>174574</v>
                </pt>
                <pt idx="325">
                  <v>186986</v>
                </pt>
                <pt idx="326">
                  <v>186141</v>
                </pt>
                <pt idx="327">
                  <v>172609</v>
                </pt>
                <pt idx="328">
                  <v>176033</v>
                </pt>
                <pt idx="329">
                  <v>181883</v>
                </pt>
                <pt idx="330">
                  <v>178316</v>
                </pt>
                <pt idx="331">
                  <v>178552</v>
                </pt>
                <pt idx="332">
                  <v>184702</v>
                </pt>
                <pt idx="333">
                  <v>168277</v>
                </pt>
                <pt idx="334">
                  <v>175060</v>
                </pt>
                <pt idx="335">
                  <v>164144</v>
                </pt>
                <pt idx="336">
                  <v>164739</v>
                </pt>
                <pt idx="337">
                  <v>125115</v>
                </pt>
                <pt idx="338">
                  <v>121997</v>
                </pt>
                <pt idx="339">
                  <v>134339</v>
                </pt>
                <pt idx="340">
                  <v>135912</v>
                </pt>
                <pt idx="341">
                  <v>146079</v>
                </pt>
                <pt idx="342">
                  <v>151866</v>
                </pt>
                <pt idx="343">
                  <v>154765</v>
                </pt>
                <pt idx="344">
                  <v>157040</v>
                </pt>
                <pt idx="345">
                  <v>160496</v>
                </pt>
                <pt idx="346">
                  <v>162628</v>
                </pt>
                <pt idx="347">
                  <v>168315</v>
                </pt>
                <pt idx="348">
                  <v>176058</v>
                </pt>
                <pt idx="349">
                  <v>177221</v>
                </pt>
                <pt idx="350">
                  <v>179098</v>
                </pt>
                <pt idx="351">
                  <v>185820</v>
                </pt>
                <pt idx="352">
                  <v>186999</v>
                </pt>
                <pt idx="353">
                  <v>186219</v>
                </pt>
                <pt idx="354">
                  <v>192482</v>
                </pt>
                <pt idx="355">
                  <v>191094</v>
                </pt>
                <pt idx="356">
                  <v>189188</v>
                </pt>
                <pt idx="357">
                  <v>196196</v>
                </pt>
                <pt idx="358">
                  <v>192388</v>
                </pt>
                <pt idx="359">
                  <v>202069</v>
                </pt>
                <pt idx="360">
                  <v>196194</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 Type="http://schemas.openxmlformats.org/officeDocument/2006/relationships/chart" Target="/xl/charts/chart10.xml" Id="rId4"/></Relationships>
</file>

<file path=xl/drawings/_rels/drawing4.xml.rels><Relationships xmlns="http://schemas.openxmlformats.org/package/2006/relationships"><Relationship Type="http://schemas.openxmlformats.org/officeDocument/2006/relationships/chart" Target="/xl/charts/chart11.xml" Id="rId1"/><Relationship Type="http://schemas.openxmlformats.org/officeDocument/2006/relationships/chart" Target="/xl/charts/chart12.xml" Id="rId2"/><Relationship Type="http://schemas.openxmlformats.org/officeDocument/2006/relationships/chart" Target="/xl/charts/chart13.xml" Id="rId3"/><Relationship Type="http://schemas.openxmlformats.org/officeDocument/2006/relationships/chart" Target="/xl/charts/chart14.xml" Id="rId4"/></Relationships>
</file>

<file path=xl/drawings/_rels/drawing5.xml.rels><Relationships xmlns="http://schemas.openxmlformats.org/package/2006/relationships"><Relationship Type="http://schemas.openxmlformats.org/officeDocument/2006/relationships/chart" Target="/xl/charts/chart15.xml" Id="rId1"/><Relationship Type="http://schemas.openxmlformats.org/officeDocument/2006/relationships/chart" Target="/xl/charts/chart16.xml" Id="rId2"/><Relationship Type="http://schemas.openxmlformats.org/officeDocument/2006/relationships/chart" Target="/xl/charts/chart17.xml" Id="rId3"/><Relationship Type="http://schemas.openxmlformats.org/officeDocument/2006/relationships/chart" Target="/xl/charts/chart18.xml" Id="rId4"/></Relationships>
</file>

<file path=xl/drawings/drawing1.xml><?xml version="1.0" encoding="utf-8"?>
<wsDr xmlns="http://schemas.openxmlformats.org/drawingml/2006/spreadsheetDrawing">
  <twoCellAnchor>
    <from>
      <col>13</col>
      <colOff>19050</colOff>
      <row>2</row>
      <rowOff>19049</rowOff>
    </from>
    <to>
      <col>15</col>
      <colOff>247650</colOff>
      <row>7</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320279</colOff>
      <row>2</row>
      <rowOff>19050</rowOff>
    </from>
    <to>
      <col>19</col>
      <colOff>47625</colOff>
      <row>7</row>
      <rowOff>190500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3</col>
      <colOff>669925</colOff>
      <row>330</row>
      <rowOff>61912</rowOff>
    </from>
    <to>
      <col>11</col>
      <colOff>276225</colOff>
      <row>344</row>
      <rowOff>138112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542925</colOff>
      <row>345</row>
      <rowOff>80962</rowOff>
    </from>
    <to>
      <col>11</col>
      <colOff>238125</colOff>
      <row>359</row>
      <rowOff>157162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660400</colOff>
      <row>330</row>
      <rowOff>61912</rowOff>
    </from>
    <to>
      <col>19</col>
      <colOff>266700</colOff>
      <row>344</row>
      <rowOff>138112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660400</colOff>
      <row>346</row>
      <rowOff>38099</rowOff>
    </from>
    <to>
      <col>21</col>
      <colOff>476250</colOff>
      <row>366</row>
      <rowOff>142874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234950</colOff>
      <row>333</row>
      <rowOff>180975</rowOff>
    </from>
    <to>
      <col>10</col>
      <colOff>539750</colOff>
      <row>348</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26988</colOff>
      <row>333</row>
      <rowOff>180975</rowOff>
    </from>
    <to>
      <col>18</col>
      <colOff>331788</colOff>
      <row>348</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26988</colOff>
      <row>349</row>
      <rowOff>157162</rowOff>
    </from>
    <to>
      <col>20</col>
      <colOff>541338</colOff>
      <row>370</row>
      <rowOff>71437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225425</colOff>
      <row>349</row>
      <rowOff>157163</rowOff>
    </from>
    <to>
      <col>10</col>
      <colOff>530225</colOff>
      <row>364</row>
      <rowOff>42863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212725</colOff>
      <row>329</row>
      <rowOff>150812</rowOff>
    </from>
    <to>
      <col>10</col>
      <colOff>517525</colOff>
      <row>344</row>
      <rowOff>36512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203200</colOff>
      <row>329</row>
      <rowOff>150812</rowOff>
    </from>
    <to>
      <col>18</col>
      <colOff>508000</colOff>
      <row>344</row>
      <rowOff>36512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203200</colOff>
      <row>345</row>
      <rowOff>126999</rowOff>
    </from>
    <to>
      <col>21</col>
      <colOff>19050</colOff>
      <row>366</row>
      <rowOff>41274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203200</colOff>
      <row>345</row>
      <rowOff>127000</rowOff>
    </from>
    <to>
      <col>10</col>
      <colOff>508000</colOff>
      <row>360</row>
      <rowOff>12700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5.xml><?xml version="1.0" encoding="utf-8"?>
<wsDr xmlns="http://schemas.openxmlformats.org/drawingml/2006/spreadsheetDrawing">
  <twoCellAnchor>
    <from>
      <col>3</col>
      <colOff>492125</colOff>
      <row>329</row>
      <rowOff>23812</rowOff>
    </from>
    <to>
      <col>11</col>
      <colOff>98425</colOff>
      <row>343</row>
      <rowOff>100012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482600</colOff>
      <row>329</row>
      <rowOff>23812</rowOff>
    </from>
    <to>
      <col>19</col>
      <colOff>88900</colOff>
      <row>343</row>
      <rowOff>100012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482600</colOff>
      <row>344</row>
      <rowOff>190499</rowOff>
    </from>
    <to>
      <col>21</col>
      <colOff>298450</colOff>
      <row>365</row>
      <rowOff>104774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482600</colOff>
      <row>345</row>
      <rowOff>0</rowOff>
    </from>
    <to>
      <col>11</col>
      <colOff>88900</colOff>
      <row>359</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 displayName="Table535" ref="A5:C366" headerRowCount="1" totalsRowShown="0" headerRowDxfId="23" dataDxfId="21" headerRowBorderDxfId="22">
  <autoFilter ref="A5:C366"/>
  <tableColumns count="3">
    <tableColumn id="1" name="Date" dataDxfId="20"/>
    <tableColumn id="2" name="New Orders - Nondefense Capital Goods Excluding Aircraft" dataDxfId="19">
      <calculatedColumnFormula>VLOOKUP(A6,Database!A:M,MATCH($A$1,Database!$A$1:$M$1,),)</calculatedColumnFormula>
    </tableColumn>
    <tableColumn id="5" name="mom %" dataDxfId="18"/>
  </tableColumns>
  <tableStyleInfo name="TableStyleMedium2" showFirstColumn="0" showLastColumn="0" showRowStripes="1" showColumnStripes="0"/>
</table>
</file>

<file path=xl/tables/table2.xml><?xml version="1.0" encoding="utf-8"?>
<table xmlns="http://schemas.openxmlformats.org/spreadsheetml/2006/main" id="2" name="Table53514" displayName="Table53514" ref="A5:C366" headerRowCount="1" totalsRowShown="0" headerRowDxfId="17" dataDxfId="15" headerRowBorderDxfId="16">
  <autoFilter ref="A5:C366"/>
  <tableColumns count="3">
    <tableColumn id="1" name="Date" dataDxfId="14"/>
    <tableColumn id="2" name="Manufacturers' New Orders: Durable Goods" dataDxfId="13">
      <calculatedColumnFormula>VLOOKUP(A6,Database!A:M,MATCH($A$1,Database!$A$1:$M$1,),)</calculatedColumnFormula>
    </tableColumn>
    <tableColumn id="5" name="mom %" dataDxfId="12"/>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66" headerRowCount="1" totalsRowShown="0" headerRowDxfId="11" dataDxfId="9" headerRowBorderDxfId="10">
  <autoFilter ref="A5:C366"/>
  <tableColumns count="3">
    <tableColumn id="1" name="Date" dataDxfId="8"/>
    <tableColumn id="2" name="New Orders ex Transport" dataDxfId="7">
      <calculatedColumnFormula>VLOOKUP(A6,Database!A:M,MATCH($A$1,Database!$A$1:$M$1,),)</calculatedColumnFormula>
    </tableColumn>
    <tableColumn id="5" name="mom %" dataDxfId="6"/>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66" headerRowCount="1" totalsRowShown="0" headerRowDxfId="5" dataDxfId="3" headerRowBorderDxfId="4">
  <autoFilter ref="A5:C366"/>
  <tableColumns count="3">
    <tableColumn id="1" name="Date" dataDxfId="2"/>
    <tableColumn id="2" name="Durable Goods" dataDxfId="1">
      <calculatedColumnFormula>VLOOKUP(A6,Database!A:M,MATCH($A$1,Database!$A$1:$M$1,),)</calculatedColumnFormula>
    </tableColumn>
    <tableColumn id="5"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 Type="http://schemas.openxmlformats.org/officeDocument/2006/relationships/drawing" Target="/xl/drawings/drawing1.xml" Id="rId12"/></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topLeftCell="H8" zoomScale="120" zoomScaleNormal="120" workbookViewId="0">
      <selection activeCell="P15" sqref="P15"/>
    </sheetView>
  </sheetViews>
  <sheetFormatPr baseColWidth="10" defaultColWidth="9.1640625" defaultRowHeight="15"/>
  <cols>
    <col width="9.1640625" customWidth="1" style="129" min="1" max="1"/>
    <col width="12.83203125" customWidth="1" style="129" min="2" max="10"/>
    <col width="3.5" customWidth="1" style="129" min="11" max="13"/>
    <col width="21.33203125" customWidth="1" style="129" min="14" max="14"/>
    <col width="15.6640625" customWidth="1" style="129" min="15" max="15"/>
    <col width="10.6640625" bestFit="1" customWidth="1" style="129" min="16" max="17"/>
    <col width="9.1640625" customWidth="1" style="129" min="18" max="18"/>
    <col width="11.5" customWidth="1" style="129" min="19" max="19"/>
    <col width="9.1640625" customWidth="1" style="129" min="20" max="22"/>
    <col width="9.1640625" customWidth="1" style="129" min="23" max="16384"/>
  </cols>
  <sheetData>
    <row r="1">
      <c r="B1" s="132" t="n"/>
    </row>
    <row r="2" ht="16" customHeight="1" s="142" thickBot="1">
      <c r="B2" s="133" t="n"/>
      <c r="C2" s="133" t="n"/>
      <c r="D2" s="133" t="n"/>
      <c r="E2" s="133" t="n"/>
      <c r="F2" s="133" t="n"/>
      <c r="G2" s="133" t="n"/>
      <c r="H2" s="133" t="n"/>
      <c r="I2" s="133" t="n"/>
      <c r="J2" s="133" t="n"/>
    </row>
    <row r="3" ht="16" customHeight="1" s="142" thickBot="1">
      <c r="B3" s="134" t="inlineStr">
        <is>
          <t>Durable Good Orders</t>
        </is>
      </c>
      <c r="C3" s="135" t="n"/>
      <c r="D3" s="135" t="n"/>
      <c r="E3" s="135" t="n"/>
      <c r="F3" s="135" t="n"/>
      <c r="G3" s="135" t="n"/>
      <c r="H3" s="135" t="n"/>
      <c r="I3" s="135" t="n"/>
      <c r="J3" s="136" t="n"/>
    </row>
    <row r="5">
      <c r="B5" s="137" t="inlineStr">
        <is>
          <t>Definition</t>
        </is>
      </c>
      <c r="C5" s="138" t="n"/>
      <c r="D5" s="138" t="n"/>
      <c r="E5" s="138" t="n"/>
      <c r="F5" s="138" t="n"/>
      <c r="G5" s="138" t="n"/>
      <c r="H5" s="138" t="n"/>
      <c r="I5" s="138" t="n"/>
      <c r="J5" s="125" t="n"/>
    </row>
    <row r="7" ht="129" customHeight="1" s="142">
      <c r="B7" s="139"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2">
      <c r="B8" s="128" t="inlineStr">
        <is>
          <t>https://www.census.gov/manufacturing/m3/definitions/index.html</t>
        </is>
      </c>
    </row>
    <row r="9">
      <c r="B9" s="61" t="n"/>
      <c r="C9" s="61" t="n"/>
      <c r="D9" s="61" t="n"/>
      <c r="E9" s="61" t="n"/>
    </row>
    <row r="10">
      <c r="B10" s="137" t="inlineStr">
        <is>
          <t>Process / TO DO LIST</t>
        </is>
      </c>
      <c r="C10" s="138" t="n"/>
      <c r="D10" s="138" t="n"/>
      <c r="E10" s="138" t="n"/>
      <c r="F10" s="138" t="n"/>
      <c r="G10" s="138" t="n"/>
      <c r="H10" s="138" t="n"/>
      <c r="I10" s="138" t="n"/>
      <c r="J10" s="125" t="n"/>
      <c r="N10" s="137" t="inlineStr">
        <is>
          <t>Summary</t>
        </is>
      </c>
      <c r="O10" s="138" t="n"/>
      <c r="P10" s="138" t="n"/>
      <c r="Q10" s="138" t="n"/>
      <c r="R10" s="138" t="n"/>
      <c r="S10" s="125" t="n"/>
    </row>
    <row r="12">
      <c r="B12" s="137" t="inlineStr">
        <is>
          <t>TO DO LIST</t>
        </is>
      </c>
      <c r="C12" s="138" t="n"/>
      <c r="D12" s="138" t="n"/>
      <c r="E12" s="138" t="n"/>
      <c r="F12" s="125" t="n"/>
      <c r="G12" s="137" t="inlineStr">
        <is>
          <t>Comments</t>
        </is>
      </c>
      <c r="H12" s="138" t="n"/>
      <c r="I12" s="138" t="n"/>
      <c r="J12" s="125" t="n"/>
    </row>
    <row r="13" ht="16" customHeight="1" s="142" thickBot="1"/>
    <row r="14" ht="19.5" customHeight="1" s="142">
      <c r="B14" s="128" t="n"/>
      <c r="G14" s="129" t="n"/>
      <c r="P14" s="62" t="n">
        <v>44593</v>
      </c>
      <c r="Q14" s="83">
        <f>DATE(YEAR(P14),MONTH(P14)-1,DAY(P14))</f>
        <v/>
      </c>
      <c r="R14" s="63" t="n"/>
    </row>
    <row r="15" ht="18" customHeight="1" s="142" thickBot="1">
      <c r="B15" s="128" t="inlineStr">
        <is>
          <t>https://fred.stlouisfed.org/series/DGORDER</t>
        </is>
      </c>
      <c r="G15" s="140" t="inlineStr">
        <is>
          <t>Durable Goods New Orders</t>
        </is>
      </c>
      <c r="P15" s="76" t="inlineStr">
        <is>
          <t>Last</t>
        </is>
      </c>
      <c r="Q15" s="64" t="inlineStr">
        <is>
          <t>Last</t>
        </is>
      </c>
      <c r="R15" s="65" t="inlineStr">
        <is>
          <t>Var.</t>
        </is>
      </c>
    </row>
    <row r="16" ht="18" customHeight="1" s="142">
      <c r="B16" s="128" t="inlineStr">
        <is>
          <t>https://fred.stlouisfed.org/series/ADXTNO</t>
        </is>
      </c>
      <c r="G16" s="140" t="inlineStr">
        <is>
          <t>New Orders ex Transport</t>
        </is>
      </c>
      <c r="N16" s="126" t="inlineStr">
        <is>
          <t>Durable Goods New Orders</t>
        </is>
      </c>
      <c r="O16" s="127" t="n"/>
      <c r="P16" s="77">
        <f>VLOOKUP($P$14,Database!$A:$M,MATCH(Note!S16,Database!$A$1:$M$1,),)</f>
        <v/>
      </c>
      <c r="Q16" s="77">
        <f>VLOOKUP($Q$14,Database!$A:$M,MATCH(Note!S16,Database!$A$1:$M$1,),)</f>
        <v/>
      </c>
      <c r="R16" s="97">
        <f>(P16-Q16)/Q16</f>
        <v/>
      </c>
      <c r="S16" s="78" t="inlineStr">
        <is>
          <t>DGORDER</t>
        </is>
      </c>
      <c r="U16" s="78" t="inlineStr">
        <is>
          <t>DGORDER</t>
        </is>
      </c>
      <c r="V16" s="129" t="inlineStr">
        <is>
          <t>Durable Goods New Orders</t>
        </is>
      </c>
    </row>
    <row r="17" ht="18" customHeight="1" s="142">
      <c r="B17" s="128" t="inlineStr">
        <is>
          <t>https://fred.stlouisfed.org/series/NEWORDER</t>
        </is>
      </c>
      <c r="G17" s="130" t="inlineStr">
        <is>
          <t>New Orders Nondefense Ex Aircraft &amp; Parts= Core</t>
        </is>
      </c>
      <c r="N17" s="124" t="inlineStr">
        <is>
          <t>New Orders ex Transport</t>
        </is>
      </c>
      <c r="O17" s="125" t="n"/>
      <c r="P17" s="94">
        <f>VLOOKUP($P$14,Database!$A:$M,MATCH(Note!S17,Database!$A$1:$M$1,),)</f>
        <v/>
      </c>
      <c r="Q17" s="94">
        <f>VLOOKUP($Q$14,Database!$A:$M,MATCH(Note!S17,Database!$A$1:$M$1,),)</f>
        <v/>
      </c>
      <c r="R17" s="98">
        <f>(P17-Q17)/Q17</f>
        <v/>
      </c>
      <c r="S17" s="79" t="inlineStr">
        <is>
          <t>ADXTNO</t>
        </is>
      </c>
      <c r="U17" s="79" t="inlineStr">
        <is>
          <t>ADXTNO</t>
        </is>
      </c>
      <c r="V17" s="129" t="inlineStr">
        <is>
          <t>New Orders ex Transport</t>
        </is>
      </c>
    </row>
    <row r="18" ht="33.75" customHeight="1" s="142">
      <c r="B18" s="128" t="inlineStr">
        <is>
          <t>https://fred.stlouisfed.org/series/AMTUNO</t>
        </is>
      </c>
      <c r="G18" s="130" t="inlineStr">
        <is>
          <t>New Orders - Manufacturing</t>
        </is>
      </c>
      <c r="N18" s="131" t="inlineStr">
        <is>
          <t>New Orders Nondefense Ex Aircraft &amp; Parts = Core</t>
        </is>
      </c>
      <c r="O18" s="125" t="n"/>
      <c r="P18" s="94">
        <f>VLOOKUP($P$14,Database!$A:$M,MATCH(Note!S18,Database!$A$1:$M$1,),)</f>
        <v/>
      </c>
      <c r="Q18" s="94">
        <f>VLOOKUP($Q$14,Database!$A:$M,MATCH(Note!S18,Database!$A$1:$M$1,),)</f>
        <v/>
      </c>
      <c r="R18" s="98">
        <f>(P18-Q18)/Q18</f>
        <v/>
      </c>
      <c r="S18" s="80" t="inlineStr">
        <is>
          <t>NEWORDER</t>
        </is>
      </c>
      <c r="U18" s="80" t="inlineStr">
        <is>
          <t>NEWORDER</t>
        </is>
      </c>
      <c r="V18" s="129" t="inlineStr">
        <is>
          <t>New Orders Nondefense Ex Aircraft &amp; Parts = Core</t>
        </is>
      </c>
    </row>
    <row r="19" ht="18" customHeight="1" s="142">
      <c r="B19" s="128" t="inlineStr">
        <is>
          <t>https://fred.stlouisfed.org/series/A36SNO</t>
        </is>
      </c>
      <c r="G19" s="130" t="inlineStr">
        <is>
          <t>New Orders - Transportation Equipment</t>
        </is>
      </c>
      <c r="N19" s="124" t="inlineStr">
        <is>
          <t>New Orders - Manufacturing</t>
        </is>
      </c>
      <c r="O19" s="125" t="n"/>
      <c r="P19" s="94">
        <f>VLOOKUP($P$14,Database!$A:$M,MATCH(Note!S19,Database!$A$1:$M$1,),)</f>
        <v/>
      </c>
      <c r="Q19" s="94">
        <f>VLOOKUP($Q$14,Database!$A:$M,MATCH(Note!S19,Database!$A$1:$M$1,),)</f>
        <v/>
      </c>
      <c r="R19" s="98">
        <f>(P19-Q19)/Q19</f>
        <v/>
      </c>
      <c r="S19" s="79" t="inlineStr">
        <is>
          <t>AMTUNO</t>
        </is>
      </c>
      <c r="U19" s="79" t="inlineStr">
        <is>
          <t>AMTUNO</t>
        </is>
      </c>
      <c r="V19" s="129" t="inlineStr">
        <is>
          <t>New Orders - Manufacturing</t>
        </is>
      </c>
    </row>
    <row r="20" ht="18" customHeight="1" s="142">
      <c r="B20" s="128" t="inlineStr">
        <is>
          <t>https://fred.stlouisfed.org/series/A32SNO</t>
        </is>
      </c>
      <c r="G20" s="130" t="inlineStr">
        <is>
          <t>New Orders - Fabricated Metal Products</t>
        </is>
      </c>
      <c r="N20" s="124" t="inlineStr">
        <is>
          <t>New Orders - Transportation Equipment</t>
        </is>
      </c>
      <c r="O20" s="125" t="n"/>
      <c r="P20" s="94">
        <f>VLOOKUP($P$14,Database!$A:$M,MATCH(Note!S20,Database!$A$1:$M$1,),)</f>
        <v/>
      </c>
      <c r="Q20" s="94">
        <f>VLOOKUP($Q$14,Database!$A:$M,MATCH(Note!S20,Database!$A$1:$M$1,),)</f>
        <v/>
      </c>
      <c r="R20" s="98">
        <f>(P20-Q20)/Q20</f>
        <v/>
      </c>
      <c r="S20" s="80" t="inlineStr">
        <is>
          <t>A36SNO</t>
        </is>
      </c>
      <c r="U20" s="80" t="inlineStr">
        <is>
          <t>A36SNO</t>
        </is>
      </c>
      <c r="V20" s="129" t="inlineStr">
        <is>
          <t>New Orders - Transportation Equipment</t>
        </is>
      </c>
    </row>
    <row r="21" ht="18" customHeight="1" s="142">
      <c r="B21" s="128" t="inlineStr">
        <is>
          <t>https://fred.stlouisfed.org/series/A33SNO</t>
        </is>
      </c>
      <c r="G21" s="130" t="inlineStr">
        <is>
          <t>New Orders - Machinery</t>
        </is>
      </c>
      <c r="N21" s="124" t="inlineStr">
        <is>
          <t>New Orders - Fabricated Metal Products</t>
        </is>
      </c>
      <c r="O21" s="125" t="n"/>
      <c r="P21" s="94">
        <f>VLOOKUP($P$14,Database!$A:$M,MATCH(Note!S21,Database!$A$1:$M$1,),)</f>
        <v/>
      </c>
      <c r="Q21" s="94">
        <f>VLOOKUP($Q$14,Database!$A:$M,MATCH(Note!S21,Database!$A$1:$M$1,),)</f>
        <v/>
      </c>
      <c r="R21" s="98">
        <f>(P21-Q21)/Q21</f>
        <v/>
      </c>
      <c r="S21" s="80" t="inlineStr">
        <is>
          <t>A32SNO</t>
        </is>
      </c>
      <c r="U21" s="80" t="inlineStr">
        <is>
          <t>A32SNO</t>
        </is>
      </c>
      <c r="V21" s="129" t="inlineStr">
        <is>
          <t>New Orders - Fabricated Metal Products</t>
        </is>
      </c>
    </row>
    <row r="22" ht="18" customHeight="1" s="142">
      <c r="B22" s="128" t="inlineStr">
        <is>
          <t>https://fred.stlouisfed.org/series/A34SNO</t>
        </is>
      </c>
      <c r="G22" s="130" t="inlineStr">
        <is>
          <t>New Orders - Computers</t>
        </is>
      </c>
      <c r="N22" s="124" t="inlineStr">
        <is>
          <t>New Orders - Machinery</t>
        </is>
      </c>
      <c r="O22" s="125" t="n"/>
      <c r="P22" s="94">
        <f>VLOOKUP($P$14,Database!$A:$M,MATCH(Note!S22,Database!$A$1:$M$1,),)</f>
        <v/>
      </c>
      <c r="Q22" s="94">
        <f>VLOOKUP($Q$14,Database!$A:$M,MATCH(Note!S22,Database!$A$1:$M$1,),)</f>
        <v/>
      </c>
      <c r="R22" s="98">
        <f>(P22-Q22)/Q22</f>
        <v/>
      </c>
      <c r="S22" s="80" t="inlineStr">
        <is>
          <t>A33SNO</t>
        </is>
      </c>
      <c r="U22" s="80" t="inlineStr">
        <is>
          <t>A33SNO</t>
        </is>
      </c>
      <c r="V22" s="129" t="inlineStr">
        <is>
          <t>New Orders - Machinery</t>
        </is>
      </c>
    </row>
    <row r="23" ht="18" customHeight="1" s="142">
      <c r="B23" s="128" t="inlineStr">
        <is>
          <t>https://fred.stlouisfed.org/series/A31SNO</t>
        </is>
      </c>
      <c r="G23" s="130" t="inlineStr">
        <is>
          <t>New Orders - Primary Metals</t>
        </is>
      </c>
      <c r="N23" s="124" t="inlineStr">
        <is>
          <t>New Orders - Computers</t>
        </is>
      </c>
      <c r="O23" s="125" t="n"/>
      <c r="P23" s="94">
        <f>VLOOKUP($P$14,Database!$A:$M,MATCH(Note!S23,Database!$A$1:$M$1,),)</f>
        <v/>
      </c>
      <c r="Q23" s="94">
        <f>VLOOKUP($Q$14,Database!$A:$M,MATCH(Note!S23,Database!$A$1:$M$1,),)</f>
        <v/>
      </c>
      <c r="R23" s="98">
        <f>(P23-Q23)/Q23</f>
        <v/>
      </c>
      <c r="S23" s="80" t="inlineStr">
        <is>
          <t>A34SNO</t>
        </is>
      </c>
      <c r="U23" s="80" t="inlineStr">
        <is>
          <t>A34SNO</t>
        </is>
      </c>
      <c r="V23" s="129" t="inlineStr">
        <is>
          <t>New Orders - Computers</t>
        </is>
      </c>
    </row>
    <row r="24" ht="18" customHeight="1" s="142">
      <c r="B24" s="128" t="inlineStr">
        <is>
          <t>https://fred.stlouisfed.org/series/A35SNO</t>
        </is>
      </c>
      <c r="G24" s="130" t="inlineStr">
        <is>
          <t>New Orders - Electrical Equipment</t>
        </is>
      </c>
      <c r="N24" s="124" t="inlineStr">
        <is>
          <t>New Orders - Primary Metals</t>
        </is>
      </c>
      <c r="O24" s="125" t="n"/>
      <c r="P24" s="94">
        <f>VLOOKUP($P$14,Database!$A:$M,MATCH(Note!S24,Database!$A$1:$M$1,),)</f>
        <v/>
      </c>
      <c r="Q24" s="94">
        <f>VLOOKUP($Q$14,Database!$A:$M,MATCH(Note!S24,Database!$A$1:$M$1,),)</f>
        <v/>
      </c>
      <c r="R24" s="98">
        <f>(P24-Q24)/Q24</f>
        <v/>
      </c>
      <c r="S24" s="80" t="inlineStr">
        <is>
          <t>A31SNO</t>
        </is>
      </c>
      <c r="U24" s="80" t="inlineStr">
        <is>
          <t>A31SNO</t>
        </is>
      </c>
      <c r="V24" s="129" t="inlineStr">
        <is>
          <t>New Orders - Primary Metals</t>
        </is>
      </c>
    </row>
    <row r="25" ht="16" customHeight="1" s="142" thickBot="1">
      <c r="N25" s="122" t="inlineStr">
        <is>
          <t>New Orders - Electrical Equipment</t>
        </is>
      </c>
      <c r="O25" s="123" t="n"/>
      <c r="P25" s="81">
        <f>VLOOKUP($P$14,Database!$A:$M,MATCH(Note!S25,Database!$A$1:$M$1,),)</f>
        <v/>
      </c>
      <c r="Q25" s="81">
        <f>VLOOKUP($Q$14,Database!$A:$M,MATCH(Note!S25,Database!$A$1:$M$1,),)</f>
        <v/>
      </c>
      <c r="R25" s="99">
        <f>(P25-Q25)/Q25</f>
        <v/>
      </c>
      <c r="S25" s="82" t="inlineStr">
        <is>
          <t>A35SNO</t>
        </is>
      </c>
      <c r="U25" s="82" t="inlineStr">
        <is>
          <t>A35SNO</t>
        </is>
      </c>
      <c r="V25" s="129" t="inlineStr">
        <is>
          <t>New Orders - Electrical Equipment</t>
        </is>
      </c>
    </row>
    <row r="26">
      <c r="B26" s="66" t="n"/>
      <c r="G26" s="140" t="inlineStr">
        <is>
          <t>*Compare with ISM Manufacturing (Leading Indicator) for confirmation</t>
        </is>
      </c>
    </row>
    <row r="27">
      <c r="N27" s="84" t="inlineStr">
        <is>
          <t>* Month to modify after having downloaded data in Database</t>
        </is>
      </c>
    </row>
    <row r="28">
      <c r="B28" s="67" t="n"/>
    </row>
  </sheetData>
  <mergeCells count="41">
    <mergeCell ref="B16:F16"/>
    <mergeCell ref="G16:J16"/>
    <mergeCell ref="B17:F17"/>
    <mergeCell ref="G17:J17"/>
    <mergeCell ref="G22:J22"/>
    <mergeCell ref="B22:F22"/>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J2"/>
    <mergeCell ref="B3:J3"/>
    <mergeCell ref="B5:J5"/>
    <mergeCell ref="B7:J7"/>
    <mergeCell ref="B8:J8"/>
    <mergeCell ref="B23:F23"/>
    <mergeCell ref="G23:J23"/>
    <mergeCell ref="B24:F24"/>
    <mergeCell ref="G24:J24"/>
    <mergeCell ref="N18:O18"/>
    <mergeCell ref="N22:O22"/>
    <mergeCell ref="N23:O23"/>
    <mergeCell ref="N24:O24"/>
    <mergeCell ref="N25:O25"/>
    <mergeCell ref="N17:O17"/>
    <mergeCell ref="N16:O16"/>
    <mergeCell ref="N19:O19"/>
    <mergeCell ref="N20:O20"/>
    <mergeCell ref="N21:O21"/>
  </mergeCells>
  <conditionalFormatting sqref="R16:R25">
    <cfRule type="cellIs" priority="1" operator="lessThan" dxfId="25">
      <formula>0</formula>
    </cfRule>
    <cfRule type="cellIs" priority="2" operator="greaterThan" dxfId="24">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drawing xmlns:r="http://schemas.openxmlformats.org/officeDocument/2006/relationships" r:id="rId12"/>
</worksheet>
</file>

<file path=xl/worksheets/sheet2.xml><?xml version="1.0" encoding="utf-8"?>
<worksheet xmlns="http://schemas.openxmlformats.org/spreadsheetml/2006/main">
  <sheetPr>
    <outlinePr summaryBelow="1" summaryRight="1"/>
    <pageSetUpPr/>
  </sheetPr>
  <dimension ref="A1:R204"/>
  <sheetViews>
    <sheetView zoomScale="70" zoomScaleNormal="70" workbookViewId="0">
      <selection activeCell="J55" sqref="J55"/>
    </sheetView>
  </sheetViews>
  <sheetFormatPr baseColWidth="10" defaultColWidth="8.83203125" defaultRowHeight="15"/>
  <cols>
    <col width="23.6640625" customWidth="1" style="142" min="1" max="1"/>
    <col width="16.33203125" customWidth="1" style="142" min="2" max="2"/>
    <col width="13.5" customWidth="1" style="142" min="3" max="11"/>
    <col width="15.6640625" customWidth="1" style="142" min="12" max="12"/>
    <col width="16.83203125" customWidth="1" style="142" min="13" max="13"/>
    <col width="13.5" customWidth="1" style="143" min="14" max="14"/>
    <col width="10.6640625" customWidth="1" style="142" min="15" max="15"/>
    <col width="21.33203125" customWidth="1" style="142" min="18" max="18"/>
    <col width="23.6640625" customWidth="1" style="142" min="257" max="257"/>
    <col width="16.33203125" customWidth="1" style="142" min="258" max="258"/>
    <col width="13.5" customWidth="1" style="142" min="259" max="267"/>
    <col width="15.6640625" customWidth="1" style="142" min="268" max="268"/>
    <col width="16.83203125" customWidth="1" style="142" min="269" max="269"/>
    <col width="13.5" customWidth="1" style="142" min="270" max="270"/>
    <col width="10.6640625" customWidth="1" style="142" min="271" max="271"/>
    <col width="23.6640625" customWidth="1" style="142" min="513" max="513"/>
    <col width="16.33203125" customWidth="1" style="142" min="514" max="514"/>
    <col width="13.5" customWidth="1" style="142" min="515" max="523"/>
    <col width="15.6640625" customWidth="1" style="142" min="524" max="524"/>
    <col width="16.83203125" customWidth="1" style="142" min="525" max="525"/>
    <col width="13.5" customWidth="1" style="142" min="526" max="526"/>
    <col width="10.6640625" customWidth="1" style="142" min="527" max="527"/>
    <col width="23.6640625" customWidth="1" style="142" min="769" max="769"/>
    <col width="16.33203125" customWidth="1" style="142" min="770" max="770"/>
    <col width="13.5" customWidth="1" style="142" min="771" max="779"/>
    <col width="15.6640625" customWidth="1" style="142" min="780" max="780"/>
    <col width="16.83203125" customWidth="1" style="142" min="781" max="781"/>
    <col width="13.5" customWidth="1" style="142" min="782" max="782"/>
    <col width="10.6640625" customWidth="1" style="142" min="783" max="783"/>
    <col width="23.6640625" customWidth="1" style="142" min="1025" max="1025"/>
    <col width="16.33203125" customWidth="1" style="142" min="1026" max="1026"/>
    <col width="13.5" customWidth="1" style="142" min="1027" max="1035"/>
    <col width="15.6640625" customWidth="1" style="142" min="1036" max="1036"/>
    <col width="16.83203125" customWidth="1" style="142" min="1037" max="1037"/>
    <col width="13.5" customWidth="1" style="142" min="1038" max="1038"/>
    <col width="10.6640625" customWidth="1" style="142" min="1039" max="1039"/>
    <col width="23.6640625" customWidth="1" style="142" min="1281" max="1281"/>
    <col width="16.33203125" customWidth="1" style="142" min="1282" max="1282"/>
    <col width="13.5" customWidth="1" style="142" min="1283" max="1291"/>
    <col width="15.6640625" customWidth="1" style="142" min="1292" max="1292"/>
    <col width="16.83203125" customWidth="1" style="142" min="1293" max="1293"/>
    <col width="13.5" customWidth="1" style="142" min="1294" max="1294"/>
    <col width="10.6640625" customWidth="1" style="142" min="1295" max="1295"/>
    <col width="23.6640625" customWidth="1" style="142" min="1537" max="1537"/>
    <col width="16.33203125" customWidth="1" style="142" min="1538" max="1538"/>
    <col width="13.5" customWidth="1" style="142" min="1539" max="1547"/>
    <col width="15.6640625" customWidth="1" style="142" min="1548" max="1548"/>
    <col width="16.83203125" customWidth="1" style="142" min="1549" max="1549"/>
    <col width="13.5" customWidth="1" style="142" min="1550" max="1550"/>
    <col width="10.6640625" customWidth="1" style="142" min="1551" max="1551"/>
    <col width="23.6640625" customWidth="1" style="142" min="1793" max="1793"/>
    <col width="16.33203125" customWidth="1" style="142" min="1794" max="1794"/>
    <col width="13.5" customWidth="1" style="142" min="1795" max="1803"/>
    <col width="15.6640625" customWidth="1" style="142" min="1804" max="1804"/>
    <col width="16.83203125" customWidth="1" style="142" min="1805" max="1805"/>
    <col width="13.5" customWidth="1" style="142" min="1806" max="1806"/>
    <col width="10.6640625" customWidth="1" style="142" min="1807" max="1807"/>
    <col width="23.6640625" customWidth="1" style="142" min="2049" max="2049"/>
    <col width="16.33203125" customWidth="1" style="142" min="2050" max="2050"/>
    <col width="13.5" customWidth="1" style="142" min="2051" max="2059"/>
    <col width="15.6640625" customWidth="1" style="142" min="2060" max="2060"/>
    <col width="16.83203125" customWidth="1" style="142" min="2061" max="2061"/>
    <col width="13.5" customWidth="1" style="142" min="2062" max="2062"/>
    <col width="10.6640625" customWidth="1" style="142" min="2063" max="2063"/>
    <col width="23.6640625" customWidth="1" style="142" min="2305" max="2305"/>
    <col width="16.33203125" customWidth="1" style="142" min="2306" max="2306"/>
    <col width="13.5" customWidth="1" style="142" min="2307" max="2315"/>
    <col width="15.6640625" customWidth="1" style="142" min="2316" max="2316"/>
    <col width="16.83203125" customWidth="1" style="142" min="2317" max="2317"/>
    <col width="13.5" customWidth="1" style="142" min="2318" max="2318"/>
    <col width="10.6640625" customWidth="1" style="142" min="2319" max="2319"/>
    <col width="23.6640625" customWidth="1" style="142" min="2561" max="2561"/>
    <col width="16.33203125" customWidth="1" style="142" min="2562" max="2562"/>
    <col width="13.5" customWidth="1" style="142" min="2563" max="2571"/>
    <col width="15.6640625" customWidth="1" style="142" min="2572" max="2572"/>
    <col width="16.83203125" customWidth="1" style="142" min="2573" max="2573"/>
    <col width="13.5" customWidth="1" style="142" min="2574" max="2574"/>
    <col width="10.6640625" customWidth="1" style="142" min="2575" max="2575"/>
    <col width="23.6640625" customWidth="1" style="142" min="2817" max="2817"/>
    <col width="16.33203125" customWidth="1" style="142" min="2818" max="2818"/>
    <col width="13.5" customWidth="1" style="142" min="2819" max="2827"/>
    <col width="15.6640625" customWidth="1" style="142" min="2828" max="2828"/>
    <col width="16.83203125" customWidth="1" style="142" min="2829" max="2829"/>
    <col width="13.5" customWidth="1" style="142" min="2830" max="2830"/>
    <col width="10.6640625" customWidth="1" style="142" min="2831" max="2831"/>
    <col width="23.6640625" customWidth="1" style="142" min="3073" max="3073"/>
    <col width="16.33203125" customWidth="1" style="142" min="3074" max="3074"/>
    <col width="13.5" customWidth="1" style="142" min="3075" max="3083"/>
    <col width="15.6640625" customWidth="1" style="142" min="3084" max="3084"/>
    <col width="16.83203125" customWidth="1" style="142" min="3085" max="3085"/>
    <col width="13.5" customWidth="1" style="142" min="3086" max="3086"/>
    <col width="10.6640625" customWidth="1" style="142" min="3087" max="3087"/>
    <col width="23.6640625" customWidth="1" style="142" min="3329" max="3329"/>
    <col width="16.33203125" customWidth="1" style="142" min="3330" max="3330"/>
    <col width="13.5" customWidth="1" style="142" min="3331" max="3339"/>
    <col width="15.6640625" customWidth="1" style="142" min="3340" max="3340"/>
    <col width="16.83203125" customWidth="1" style="142" min="3341" max="3341"/>
    <col width="13.5" customWidth="1" style="142" min="3342" max="3342"/>
    <col width="10.6640625" customWidth="1" style="142" min="3343" max="3343"/>
    <col width="23.6640625" customWidth="1" style="142" min="3585" max="3585"/>
    <col width="16.33203125" customWidth="1" style="142" min="3586" max="3586"/>
    <col width="13.5" customWidth="1" style="142" min="3587" max="3595"/>
    <col width="15.6640625" customWidth="1" style="142" min="3596" max="3596"/>
    <col width="16.83203125" customWidth="1" style="142" min="3597" max="3597"/>
    <col width="13.5" customWidth="1" style="142" min="3598" max="3598"/>
    <col width="10.6640625" customWidth="1" style="142" min="3599" max="3599"/>
    <col width="23.6640625" customWidth="1" style="142" min="3841" max="3841"/>
    <col width="16.33203125" customWidth="1" style="142" min="3842" max="3842"/>
    <col width="13.5" customWidth="1" style="142" min="3843" max="3851"/>
    <col width="15.6640625" customWidth="1" style="142" min="3852" max="3852"/>
    <col width="16.83203125" customWidth="1" style="142" min="3853" max="3853"/>
    <col width="13.5" customWidth="1" style="142" min="3854" max="3854"/>
    <col width="10.6640625" customWidth="1" style="142" min="3855" max="3855"/>
    <col width="23.6640625" customWidth="1" style="142" min="4097" max="4097"/>
    <col width="16.33203125" customWidth="1" style="142" min="4098" max="4098"/>
    <col width="13.5" customWidth="1" style="142" min="4099" max="4107"/>
    <col width="15.6640625" customWidth="1" style="142" min="4108" max="4108"/>
    <col width="16.83203125" customWidth="1" style="142" min="4109" max="4109"/>
    <col width="13.5" customWidth="1" style="142" min="4110" max="4110"/>
    <col width="10.6640625" customWidth="1" style="142" min="4111" max="4111"/>
    <col width="23.6640625" customWidth="1" style="142" min="4353" max="4353"/>
    <col width="16.33203125" customWidth="1" style="142" min="4354" max="4354"/>
    <col width="13.5" customWidth="1" style="142" min="4355" max="4363"/>
    <col width="15.6640625" customWidth="1" style="142" min="4364" max="4364"/>
    <col width="16.83203125" customWidth="1" style="142" min="4365" max="4365"/>
    <col width="13.5" customWidth="1" style="142" min="4366" max="4366"/>
    <col width="10.6640625" customWidth="1" style="142" min="4367" max="4367"/>
    <col width="23.6640625" customWidth="1" style="142" min="4609" max="4609"/>
    <col width="16.33203125" customWidth="1" style="142" min="4610" max="4610"/>
    <col width="13.5" customWidth="1" style="142" min="4611" max="4619"/>
    <col width="15.6640625" customWidth="1" style="142" min="4620" max="4620"/>
    <col width="16.83203125" customWidth="1" style="142" min="4621" max="4621"/>
    <col width="13.5" customWidth="1" style="142" min="4622" max="4622"/>
    <col width="10.6640625" customWidth="1" style="142" min="4623" max="4623"/>
    <col width="23.6640625" customWidth="1" style="142" min="4865" max="4865"/>
    <col width="16.33203125" customWidth="1" style="142" min="4866" max="4866"/>
    <col width="13.5" customWidth="1" style="142" min="4867" max="4875"/>
    <col width="15.6640625" customWidth="1" style="142" min="4876" max="4876"/>
    <col width="16.83203125" customWidth="1" style="142" min="4877" max="4877"/>
    <col width="13.5" customWidth="1" style="142" min="4878" max="4878"/>
    <col width="10.6640625" customWidth="1" style="142" min="4879" max="4879"/>
    <col width="23.6640625" customWidth="1" style="142" min="5121" max="5121"/>
    <col width="16.33203125" customWidth="1" style="142" min="5122" max="5122"/>
    <col width="13.5" customWidth="1" style="142" min="5123" max="5131"/>
    <col width="15.6640625" customWidth="1" style="142" min="5132" max="5132"/>
    <col width="16.83203125" customWidth="1" style="142" min="5133" max="5133"/>
    <col width="13.5" customWidth="1" style="142" min="5134" max="5134"/>
    <col width="10.6640625" customWidth="1" style="142" min="5135" max="5135"/>
    <col width="23.6640625" customWidth="1" style="142" min="5377" max="5377"/>
    <col width="16.33203125" customWidth="1" style="142" min="5378" max="5378"/>
    <col width="13.5" customWidth="1" style="142" min="5379" max="5387"/>
    <col width="15.6640625" customWidth="1" style="142" min="5388" max="5388"/>
    <col width="16.83203125" customWidth="1" style="142" min="5389" max="5389"/>
    <col width="13.5" customWidth="1" style="142" min="5390" max="5390"/>
    <col width="10.6640625" customWidth="1" style="142" min="5391" max="5391"/>
    <col width="23.6640625" customWidth="1" style="142" min="5633" max="5633"/>
    <col width="16.33203125" customWidth="1" style="142" min="5634" max="5634"/>
    <col width="13.5" customWidth="1" style="142" min="5635" max="5643"/>
    <col width="15.6640625" customWidth="1" style="142" min="5644" max="5644"/>
    <col width="16.83203125" customWidth="1" style="142" min="5645" max="5645"/>
    <col width="13.5" customWidth="1" style="142" min="5646" max="5646"/>
    <col width="10.6640625" customWidth="1" style="142" min="5647" max="5647"/>
    <col width="23.6640625" customWidth="1" style="142" min="5889" max="5889"/>
    <col width="16.33203125" customWidth="1" style="142" min="5890" max="5890"/>
    <col width="13.5" customWidth="1" style="142" min="5891" max="5899"/>
    <col width="15.6640625" customWidth="1" style="142" min="5900" max="5900"/>
    <col width="16.83203125" customWidth="1" style="142" min="5901" max="5901"/>
    <col width="13.5" customWidth="1" style="142" min="5902" max="5902"/>
    <col width="10.6640625" customWidth="1" style="142" min="5903" max="5903"/>
    <col width="23.6640625" customWidth="1" style="142" min="6145" max="6145"/>
    <col width="16.33203125" customWidth="1" style="142" min="6146" max="6146"/>
    <col width="13.5" customWidth="1" style="142" min="6147" max="6155"/>
    <col width="15.6640625" customWidth="1" style="142" min="6156" max="6156"/>
    <col width="16.83203125" customWidth="1" style="142" min="6157" max="6157"/>
    <col width="13.5" customWidth="1" style="142" min="6158" max="6158"/>
    <col width="10.6640625" customWidth="1" style="142" min="6159" max="6159"/>
    <col width="23.6640625" customWidth="1" style="142" min="6401" max="6401"/>
    <col width="16.33203125" customWidth="1" style="142" min="6402" max="6402"/>
    <col width="13.5" customWidth="1" style="142" min="6403" max="6411"/>
    <col width="15.6640625" customWidth="1" style="142" min="6412" max="6412"/>
    <col width="16.83203125" customWidth="1" style="142" min="6413" max="6413"/>
    <col width="13.5" customWidth="1" style="142" min="6414" max="6414"/>
    <col width="10.6640625" customWidth="1" style="142" min="6415" max="6415"/>
    <col width="23.6640625" customWidth="1" style="142" min="6657" max="6657"/>
    <col width="16.33203125" customWidth="1" style="142" min="6658" max="6658"/>
    <col width="13.5" customWidth="1" style="142" min="6659" max="6667"/>
    <col width="15.6640625" customWidth="1" style="142" min="6668" max="6668"/>
    <col width="16.83203125" customWidth="1" style="142" min="6669" max="6669"/>
    <col width="13.5" customWidth="1" style="142" min="6670" max="6670"/>
    <col width="10.6640625" customWidth="1" style="142" min="6671" max="6671"/>
    <col width="23.6640625" customWidth="1" style="142" min="6913" max="6913"/>
    <col width="16.33203125" customWidth="1" style="142" min="6914" max="6914"/>
    <col width="13.5" customWidth="1" style="142" min="6915" max="6923"/>
    <col width="15.6640625" customWidth="1" style="142" min="6924" max="6924"/>
    <col width="16.83203125" customWidth="1" style="142" min="6925" max="6925"/>
    <col width="13.5" customWidth="1" style="142" min="6926" max="6926"/>
    <col width="10.6640625" customWidth="1" style="142" min="6927" max="6927"/>
    <col width="23.6640625" customWidth="1" style="142" min="7169" max="7169"/>
    <col width="16.33203125" customWidth="1" style="142" min="7170" max="7170"/>
    <col width="13.5" customWidth="1" style="142" min="7171" max="7179"/>
    <col width="15.6640625" customWidth="1" style="142" min="7180" max="7180"/>
    <col width="16.83203125" customWidth="1" style="142" min="7181" max="7181"/>
    <col width="13.5" customWidth="1" style="142" min="7182" max="7182"/>
    <col width="10.6640625" customWidth="1" style="142" min="7183" max="7183"/>
    <col width="23.6640625" customWidth="1" style="142" min="7425" max="7425"/>
    <col width="16.33203125" customWidth="1" style="142" min="7426" max="7426"/>
    <col width="13.5" customWidth="1" style="142" min="7427" max="7435"/>
    <col width="15.6640625" customWidth="1" style="142" min="7436" max="7436"/>
    <col width="16.83203125" customWidth="1" style="142" min="7437" max="7437"/>
    <col width="13.5" customWidth="1" style="142" min="7438" max="7438"/>
    <col width="10.6640625" customWidth="1" style="142" min="7439" max="7439"/>
    <col width="23.6640625" customWidth="1" style="142" min="7681" max="7681"/>
    <col width="16.33203125" customWidth="1" style="142" min="7682" max="7682"/>
    <col width="13.5" customWidth="1" style="142" min="7683" max="7691"/>
    <col width="15.6640625" customWidth="1" style="142" min="7692" max="7692"/>
    <col width="16.83203125" customWidth="1" style="142" min="7693" max="7693"/>
    <col width="13.5" customWidth="1" style="142" min="7694" max="7694"/>
    <col width="10.6640625" customWidth="1" style="142" min="7695" max="7695"/>
    <col width="23.6640625" customWidth="1" style="142" min="7937" max="7937"/>
    <col width="16.33203125" customWidth="1" style="142" min="7938" max="7938"/>
    <col width="13.5" customWidth="1" style="142" min="7939" max="7947"/>
    <col width="15.6640625" customWidth="1" style="142" min="7948" max="7948"/>
    <col width="16.83203125" customWidth="1" style="142" min="7949" max="7949"/>
    <col width="13.5" customWidth="1" style="142" min="7950" max="7950"/>
    <col width="10.6640625" customWidth="1" style="142" min="7951" max="7951"/>
    <col width="23.6640625" customWidth="1" style="142" min="8193" max="8193"/>
    <col width="16.33203125" customWidth="1" style="142" min="8194" max="8194"/>
    <col width="13.5" customWidth="1" style="142" min="8195" max="8203"/>
    <col width="15.6640625" customWidth="1" style="142" min="8204" max="8204"/>
    <col width="16.83203125" customWidth="1" style="142" min="8205" max="8205"/>
    <col width="13.5" customWidth="1" style="142" min="8206" max="8206"/>
    <col width="10.6640625" customWidth="1" style="142" min="8207" max="8207"/>
    <col width="23.6640625" customWidth="1" style="142" min="8449" max="8449"/>
    <col width="16.33203125" customWidth="1" style="142" min="8450" max="8450"/>
    <col width="13.5" customWidth="1" style="142" min="8451" max="8459"/>
    <col width="15.6640625" customWidth="1" style="142" min="8460" max="8460"/>
    <col width="16.83203125" customWidth="1" style="142" min="8461" max="8461"/>
    <col width="13.5" customWidth="1" style="142" min="8462" max="8462"/>
    <col width="10.6640625" customWidth="1" style="142" min="8463" max="8463"/>
    <col width="23.6640625" customWidth="1" style="142" min="8705" max="8705"/>
    <col width="16.33203125" customWidth="1" style="142" min="8706" max="8706"/>
    <col width="13.5" customWidth="1" style="142" min="8707" max="8715"/>
    <col width="15.6640625" customWidth="1" style="142" min="8716" max="8716"/>
    <col width="16.83203125" customWidth="1" style="142" min="8717" max="8717"/>
    <col width="13.5" customWidth="1" style="142" min="8718" max="8718"/>
    <col width="10.6640625" customWidth="1" style="142" min="8719" max="8719"/>
    <col width="23.6640625" customWidth="1" style="142" min="8961" max="8961"/>
    <col width="16.33203125" customWidth="1" style="142" min="8962" max="8962"/>
    <col width="13.5" customWidth="1" style="142" min="8963" max="8971"/>
    <col width="15.6640625" customWidth="1" style="142" min="8972" max="8972"/>
    <col width="16.83203125" customWidth="1" style="142" min="8973" max="8973"/>
    <col width="13.5" customWidth="1" style="142" min="8974" max="8974"/>
    <col width="10.6640625" customWidth="1" style="142" min="8975" max="8975"/>
    <col width="23.6640625" customWidth="1" style="142" min="9217" max="9217"/>
    <col width="16.33203125" customWidth="1" style="142" min="9218" max="9218"/>
    <col width="13.5" customWidth="1" style="142" min="9219" max="9227"/>
    <col width="15.6640625" customWidth="1" style="142" min="9228" max="9228"/>
    <col width="16.83203125" customWidth="1" style="142" min="9229" max="9229"/>
    <col width="13.5" customWidth="1" style="142" min="9230" max="9230"/>
    <col width="10.6640625" customWidth="1" style="142" min="9231" max="9231"/>
    <col width="23.6640625" customWidth="1" style="142" min="9473" max="9473"/>
    <col width="16.33203125" customWidth="1" style="142" min="9474" max="9474"/>
    <col width="13.5" customWidth="1" style="142" min="9475" max="9483"/>
    <col width="15.6640625" customWidth="1" style="142" min="9484" max="9484"/>
    <col width="16.83203125" customWidth="1" style="142" min="9485" max="9485"/>
    <col width="13.5" customWidth="1" style="142" min="9486" max="9486"/>
    <col width="10.6640625" customWidth="1" style="142" min="9487" max="9487"/>
    <col width="23.6640625" customWidth="1" style="142" min="9729" max="9729"/>
    <col width="16.33203125" customWidth="1" style="142" min="9730" max="9730"/>
    <col width="13.5" customWidth="1" style="142" min="9731" max="9739"/>
    <col width="15.6640625" customWidth="1" style="142" min="9740" max="9740"/>
    <col width="16.83203125" customWidth="1" style="142" min="9741" max="9741"/>
    <col width="13.5" customWidth="1" style="142" min="9742" max="9742"/>
    <col width="10.6640625" customWidth="1" style="142" min="9743" max="9743"/>
    <col width="23.6640625" customWidth="1" style="142" min="9985" max="9985"/>
    <col width="16.33203125" customWidth="1" style="142" min="9986" max="9986"/>
    <col width="13.5" customWidth="1" style="142" min="9987" max="9995"/>
    <col width="15.6640625" customWidth="1" style="142" min="9996" max="9996"/>
    <col width="16.83203125" customWidth="1" style="142" min="9997" max="9997"/>
    <col width="13.5" customWidth="1" style="142" min="9998" max="9998"/>
    <col width="10.6640625" customWidth="1" style="142" min="9999" max="9999"/>
    <col width="23.6640625" customWidth="1" style="142" min="10241" max="10241"/>
    <col width="16.33203125" customWidth="1" style="142" min="10242" max="10242"/>
    <col width="13.5" customWidth="1" style="142" min="10243" max="10251"/>
    <col width="15.6640625" customWidth="1" style="142" min="10252" max="10252"/>
    <col width="16.83203125" customWidth="1" style="142" min="10253" max="10253"/>
    <col width="13.5" customWidth="1" style="142" min="10254" max="10254"/>
    <col width="10.6640625" customWidth="1" style="142" min="10255" max="10255"/>
    <col width="23.6640625" customWidth="1" style="142" min="10497" max="10497"/>
    <col width="16.33203125" customWidth="1" style="142" min="10498" max="10498"/>
    <col width="13.5" customWidth="1" style="142" min="10499" max="10507"/>
    <col width="15.6640625" customWidth="1" style="142" min="10508" max="10508"/>
    <col width="16.83203125" customWidth="1" style="142" min="10509" max="10509"/>
    <col width="13.5" customWidth="1" style="142" min="10510" max="10510"/>
    <col width="10.6640625" customWidth="1" style="142" min="10511" max="10511"/>
    <col width="23.6640625" customWidth="1" style="142" min="10753" max="10753"/>
    <col width="16.33203125" customWidth="1" style="142" min="10754" max="10754"/>
    <col width="13.5" customWidth="1" style="142" min="10755" max="10763"/>
    <col width="15.6640625" customWidth="1" style="142" min="10764" max="10764"/>
    <col width="16.83203125" customWidth="1" style="142" min="10765" max="10765"/>
    <col width="13.5" customWidth="1" style="142" min="10766" max="10766"/>
    <col width="10.6640625" customWidth="1" style="142" min="10767" max="10767"/>
    <col width="23.6640625" customWidth="1" style="142" min="11009" max="11009"/>
    <col width="16.33203125" customWidth="1" style="142" min="11010" max="11010"/>
    <col width="13.5" customWidth="1" style="142" min="11011" max="11019"/>
    <col width="15.6640625" customWidth="1" style="142" min="11020" max="11020"/>
    <col width="16.83203125" customWidth="1" style="142" min="11021" max="11021"/>
    <col width="13.5" customWidth="1" style="142" min="11022" max="11022"/>
    <col width="10.6640625" customWidth="1" style="142" min="11023" max="11023"/>
    <col width="23.6640625" customWidth="1" style="142" min="11265" max="11265"/>
    <col width="16.33203125" customWidth="1" style="142" min="11266" max="11266"/>
    <col width="13.5" customWidth="1" style="142" min="11267" max="11275"/>
    <col width="15.6640625" customWidth="1" style="142" min="11276" max="11276"/>
    <col width="16.83203125" customWidth="1" style="142" min="11277" max="11277"/>
    <col width="13.5" customWidth="1" style="142" min="11278" max="11278"/>
    <col width="10.6640625" customWidth="1" style="142" min="11279" max="11279"/>
    <col width="23.6640625" customWidth="1" style="142" min="11521" max="11521"/>
    <col width="16.33203125" customWidth="1" style="142" min="11522" max="11522"/>
    <col width="13.5" customWidth="1" style="142" min="11523" max="11531"/>
    <col width="15.6640625" customWidth="1" style="142" min="11532" max="11532"/>
    <col width="16.83203125" customWidth="1" style="142" min="11533" max="11533"/>
    <col width="13.5" customWidth="1" style="142" min="11534" max="11534"/>
    <col width="10.6640625" customWidth="1" style="142" min="11535" max="11535"/>
    <col width="23.6640625" customWidth="1" style="142" min="11777" max="11777"/>
    <col width="16.33203125" customWidth="1" style="142" min="11778" max="11778"/>
    <col width="13.5" customWidth="1" style="142" min="11779" max="11787"/>
    <col width="15.6640625" customWidth="1" style="142" min="11788" max="11788"/>
    <col width="16.83203125" customWidth="1" style="142" min="11789" max="11789"/>
    <col width="13.5" customWidth="1" style="142" min="11790" max="11790"/>
    <col width="10.6640625" customWidth="1" style="142" min="11791" max="11791"/>
    <col width="23.6640625" customWidth="1" style="142" min="12033" max="12033"/>
    <col width="16.33203125" customWidth="1" style="142" min="12034" max="12034"/>
    <col width="13.5" customWidth="1" style="142" min="12035" max="12043"/>
    <col width="15.6640625" customWidth="1" style="142" min="12044" max="12044"/>
    <col width="16.83203125" customWidth="1" style="142" min="12045" max="12045"/>
    <col width="13.5" customWidth="1" style="142" min="12046" max="12046"/>
    <col width="10.6640625" customWidth="1" style="142" min="12047" max="12047"/>
    <col width="23.6640625" customWidth="1" style="142" min="12289" max="12289"/>
    <col width="16.33203125" customWidth="1" style="142" min="12290" max="12290"/>
    <col width="13.5" customWidth="1" style="142" min="12291" max="12299"/>
    <col width="15.6640625" customWidth="1" style="142" min="12300" max="12300"/>
    <col width="16.83203125" customWidth="1" style="142" min="12301" max="12301"/>
    <col width="13.5" customWidth="1" style="142" min="12302" max="12302"/>
    <col width="10.6640625" customWidth="1" style="142" min="12303" max="12303"/>
    <col width="23.6640625" customWidth="1" style="142" min="12545" max="12545"/>
    <col width="16.33203125" customWidth="1" style="142" min="12546" max="12546"/>
    <col width="13.5" customWidth="1" style="142" min="12547" max="12555"/>
    <col width="15.6640625" customWidth="1" style="142" min="12556" max="12556"/>
    <col width="16.83203125" customWidth="1" style="142" min="12557" max="12557"/>
    <col width="13.5" customWidth="1" style="142" min="12558" max="12558"/>
    <col width="10.6640625" customWidth="1" style="142" min="12559" max="12559"/>
    <col width="23.6640625" customWidth="1" style="142" min="12801" max="12801"/>
    <col width="16.33203125" customWidth="1" style="142" min="12802" max="12802"/>
    <col width="13.5" customWidth="1" style="142" min="12803" max="12811"/>
    <col width="15.6640625" customWidth="1" style="142" min="12812" max="12812"/>
    <col width="16.83203125" customWidth="1" style="142" min="12813" max="12813"/>
    <col width="13.5" customWidth="1" style="142" min="12814" max="12814"/>
    <col width="10.6640625" customWidth="1" style="142" min="12815" max="12815"/>
    <col width="23.6640625" customWidth="1" style="142" min="13057" max="13057"/>
    <col width="16.33203125" customWidth="1" style="142" min="13058" max="13058"/>
    <col width="13.5" customWidth="1" style="142" min="13059" max="13067"/>
    <col width="15.6640625" customWidth="1" style="142" min="13068" max="13068"/>
    <col width="16.83203125" customWidth="1" style="142" min="13069" max="13069"/>
    <col width="13.5" customWidth="1" style="142" min="13070" max="13070"/>
    <col width="10.6640625" customWidth="1" style="142" min="13071" max="13071"/>
    <col width="23.6640625" customWidth="1" style="142" min="13313" max="13313"/>
    <col width="16.33203125" customWidth="1" style="142" min="13314" max="13314"/>
    <col width="13.5" customWidth="1" style="142" min="13315" max="13323"/>
    <col width="15.6640625" customWidth="1" style="142" min="13324" max="13324"/>
    <col width="16.83203125" customWidth="1" style="142" min="13325" max="13325"/>
    <col width="13.5" customWidth="1" style="142" min="13326" max="13326"/>
    <col width="10.6640625" customWidth="1" style="142" min="13327" max="13327"/>
    <col width="23.6640625" customWidth="1" style="142" min="13569" max="13569"/>
    <col width="16.33203125" customWidth="1" style="142" min="13570" max="13570"/>
    <col width="13.5" customWidth="1" style="142" min="13571" max="13579"/>
    <col width="15.6640625" customWidth="1" style="142" min="13580" max="13580"/>
    <col width="16.83203125" customWidth="1" style="142" min="13581" max="13581"/>
    <col width="13.5" customWidth="1" style="142" min="13582" max="13582"/>
    <col width="10.6640625" customWidth="1" style="142" min="13583" max="13583"/>
    <col width="23.6640625" customWidth="1" style="142" min="13825" max="13825"/>
    <col width="16.33203125" customWidth="1" style="142" min="13826" max="13826"/>
    <col width="13.5" customWidth="1" style="142" min="13827" max="13835"/>
    <col width="15.6640625" customWidth="1" style="142" min="13836" max="13836"/>
    <col width="16.83203125" customWidth="1" style="142" min="13837" max="13837"/>
    <col width="13.5" customWidth="1" style="142" min="13838" max="13838"/>
    <col width="10.6640625" customWidth="1" style="142" min="13839" max="13839"/>
    <col width="23.6640625" customWidth="1" style="142" min="14081" max="14081"/>
    <col width="16.33203125" customWidth="1" style="142" min="14082" max="14082"/>
    <col width="13.5" customWidth="1" style="142" min="14083" max="14091"/>
    <col width="15.6640625" customWidth="1" style="142" min="14092" max="14092"/>
    <col width="16.83203125" customWidth="1" style="142" min="14093" max="14093"/>
    <col width="13.5" customWidth="1" style="142" min="14094" max="14094"/>
    <col width="10.6640625" customWidth="1" style="142" min="14095" max="14095"/>
    <col width="23.6640625" customWidth="1" style="142" min="14337" max="14337"/>
    <col width="16.33203125" customWidth="1" style="142" min="14338" max="14338"/>
    <col width="13.5" customWidth="1" style="142" min="14339" max="14347"/>
    <col width="15.6640625" customWidth="1" style="142" min="14348" max="14348"/>
    <col width="16.83203125" customWidth="1" style="142" min="14349" max="14349"/>
    <col width="13.5" customWidth="1" style="142" min="14350" max="14350"/>
    <col width="10.6640625" customWidth="1" style="142" min="14351" max="14351"/>
    <col width="23.6640625" customWidth="1" style="142" min="14593" max="14593"/>
    <col width="16.33203125" customWidth="1" style="142" min="14594" max="14594"/>
    <col width="13.5" customWidth="1" style="142" min="14595" max="14603"/>
    <col width="15.6640625" customWidth="1" style="142" min="14604" max="14604"/>
    <col width="16.83203125" customWidth="1" style="142" min="14605" max="14605"/>
    <col width="13.5" customWidth="1" style="142" min="14606" max="14606"/>
    <col width="10.6640625" customWidth="1" style="142" min="14607" max="14607"/>
    <col width="23.6640625" customWidth="1" style="142" min="14849" max="14849"/>
    <col width="16.33203125" customWidth="1" style="142" min="14850" max="14850"/>
    <col width="13.5" customWidth="1" style="142" min="14851" max="14859"/>
    <col width="15.6640625" customWidth="1" style="142" min="14860" max="14860"/>
    <col width="16.83203125" customWidth="1" style="142" min="14861" max="14861"/>
    <col width="13.5" customWidth="1" style="142" min="14862" max="14862"/>
    <col width="10.6640625" customWidth="1" style="142" min="14863" max="14863"/>
    <col width="23.6640625" customWidth="1" style="142" min="15105" max="15105"/>
    <col width="16.33203125" customWidth="1" style="142" min="15106" max="15106"/>
    <col width="13.5" customWidth="1" style="142" min="15107" max="15115"/>
    <col width="15.6640625" customWidth="1" style="142" min="15116" max="15116"/>
    <col width="16.83203125" customWidth="1" style="142" min="15117" max="15117"/>
    <col width="13.5" customWidth="1" style="142" min="15118" max="15118"/>
    <col width="10.6640625" customWidth="1" style="142" min="15119" max="15119"/>
    <col width="23.6640625" customWidth="1" style="142" min="15361" max="15361"/>
    <col width="16.33203125" customWidth="1" style="142" min="15362" max="15362"/>
    <col width="13.5" customWidth="1" style="142" min="15363" max="15371"/>
    <col width="15.6640625" customWidth="1" style="142" min="15372" max="15372"/>
    <col width="16.83203125" customWidth="1" style="142" min="15373" max="15373"/>
    <col width="13.5" customWidth="1" style="142" min="15374" max="15374"/>
    <col width="10.6640625" customWidth="1" style="142" min="15375" max="15375"/>
    <col width="23.6640625" customWidth="1" style="142" min="15617" max="15617"/>
    <col width="16.33203125" customWidth="1" style="142" min="15618" max="15618"/>
    <col width="13.5" customWidth="1" style="142" min="15619" max="15627"/>
    <col width="15.6640625" customWidth="1" style="142" min="15628" max="15628"/>
    <col width="16.83203125" customWidth="1" style="142" min="15629" max="15629"/>
    <col width="13.5" customWidth="1" style="142" min="15630" max="15630"/>
    <col width="10.6640625" customWidth="1" style="142" min="15631" max="15631"/>
    <col width="23.6640625" customWidth="1" style="142" min="15873" max="15873"/>
    <col width="16.33203125" customWidth="1" style="142" min="15874" max="15874"/>
    <col width="13.5" customWidth="1" style="142" min="15875" max="15883"/>
    <col width="15.6640625" customWidth="1" style="142" min="15884" max="15884"/>
    <col width="16.83203125" customWidth="1" style="142" min="15885" max="15885"/>
    <col width="13.5" customWidth="1" style="142" min="15886" max="15886"/>
    <col width="10.6640625" customWidth="1" style="142" min="15887" max="15887"/>
    <col width="23.6640625" customWidth="1" style="142" min="16129" max="16129"/>
    <col width="16.33203125" customWidth="1" style="142" min="16130" max="16130"/>
    <col width="13.5" customWidth="1" style="142" min="16131" max="16139"/>
    <col width="15.6640625" customWidth="1" style="142" min="16140" max="16140"/>
    <col width="16.83203125" customWidth="1" style="142" min="16141" max="16141"/>
    <col width="13.5" customWidth="1" style="142" min="16142" max="16142"/>
    <col width="10.6640625" customWidth="1" style="142" min="16143" max="16143"/>
  </cols>
  <sheetData>
    <row r="1" ht="12.75" customHeight="1" s="142">
      <c r="A1" s="3" t="n"/>
      <c r="B1" s="4" t="n"/>
      <c r="C1" s="4" t="n"/>
      <c r="D1" s="4" t="n"/>
      <c r="E1" s="4" t="n"/>
      <c r="F1" s="4" t="n"/>
      <c r="G1" s="4" t="n"/>
      <c r="H1" s="4" t="n"/>
      <c r="I1" s="4" t="n"/>
      <c r="J1" s="4" t="n"/>
      <c r="K1" s="4" t="n"/>
      <c r="L1" s="4" t="n"/>
      <c r="M1" s="4" t="n"/>
      <c r="N1" s="5" t="n"/>
    </row>
    <row r="2" ht="24" customHeight="1" s="142">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2">
      <c r="A3" s="6" t="n"/>
      <c r="B3" s="4" t="n"/>
      <c r="C3" s="4" t="n"/>
      <c r="D3" s="4" t="n"/>
      <c r="E3" s="4" t="n"/>
      <c r="F3" s="4" t="n"/>
      <c r="G3" s="4" t="n"/>
      <c r="H3" s="4" t="n"/>
      <c r="I3" s="4" t="n"/>
      <c r="J3" s="4" t="n"/>
      <c r="K3" s="4" t="n"/>
      <c r="L3" s="4" t="n"/>
      <c r="M3" s="4" t="n"/>
      <c r="N3" s="5" t="n"/>
    </row>
    <row r="4" ht="16.5" customHeight="1" s="142"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2"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2"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2">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2">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2">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2" thickBot="1">
      <c r="A10" s="30" t="n"/>
      <c r="B10" s="31" t="n"/>
      <c r="C10" s="31" t="n"/>
      <c r="D10" s="31" t="n"/>
      <c r="E10" s="31" t="n"/>
      <c r="F10" s="31" t="n"/>
      <c r="G10" s="31" t="n"/>
      <c r="H10" s="31" t="n"/>
      <c r="I10" s="31" t="n"/>
      <c r="J10" s="31" t="n"/>
      <c r="K10" s="31" t="n"/>
      <c r="L10" s="31" t="n"/>
      <c r="M10" s="31" t="n"/>
      <c r="N10" s="32" t="n"/>
    </row>
    <row r="11" ht="9" customHeight="1" s="142">
      <c r="A11" s="3" t="n"/>
      <c r="B11" s="33" t="n"/>
      <c r="C11" s="34" t="n"/>
      <c r="D11" s="34" t="n"/>
      <c r="E11" s="34" t="n"/>
      <c r="F11" s="100" t="n"/>
      <c r="G11" s="100" t="n"/>
      <c r="H11" s="100" t="n"/>
      <c r="I11" s="34" t="n"/>
      <c r="J11" s="34" t="n"/>
      <c r="K11" s="34" t="n"/>
      <c r="L11" s="34" t="n"/>
      <c r="M11" s="34" t="n"/>
      <c r="N11" s="101" t="n"/>
    </row>
    <row r="12" ht="18" customHeight="1" s="142">
      <c r="A12" s="35" t="inlineStr">
        <is>
          <t>DURABLE GOODS</t>
        </is>
      </c>
      <c r="B12" s="36" t="n"/>
      <c r="C12" s="37" t="n"/>
      <c r="D12" s="37" t="n"/>
      <c r="E12" s="37" t="n"/>
      <c r="F12" s="102" t="n"/>
      <c r="G12" s="102" t="n"/>
      <c r="H12" s="102" t="n"/>
      <c r="I12" s="37" t="n"/>
      <c r="J12" s="37" t="n"/>
      <c r="K12" s="37" t="n"/>
      <c r="L12" s="37" t="n"/>
      <c r="M12" s="37" t="n"/>
      <c r="N12" s="103" t="n"/>
    </row>
    <row r="13" ht="9" customHeight="1" s="142">
      <c r="A13" s="38" t="n"/>
      <c r="B13" s="33" t="n"/>
      <c r="C13" s="37" t="n"/>
      <c r="D13" s="37" t="n"/>
      <c r="E13" s="37" t="n"/>
      <c r="F13" s="102" t="n"/>
      <c r="G13" s="102" t="n"/>
      <c r="H13" s="102" t="n"/>
      <c r="I13" s="37" t="n"/>
      <c r="J13" s="37" t="n"/>
      <c r="K13" s="37" t="n"/>
      <c r="L13" s="37" t="n"/>
      <c r="M13" s="37" t="n"/>
      <c r="N13" s="103" t="n"/>
    </row>
    <row r="14" ht="17" customHeight="1" s="142">
      <c r="A14" s="39" t="inlineStr">
        <is>
          <t xml:space="preserve">   Total:</t>
        </is>
      </c>
      <c r="B14" s="33" t="n"/>
      <c r="C14" s="37" t="inlineStr">
        <is>
          <t xml:space="preserve"> </t>
        </is>
      </c>
      <c r="D14" s="37" t="inlineStr">
        <is>
          <t xml:space="preserve"> </t>
        </is>
      </c>
      <c r="E14" s="37" t="inlineStr">
        <is>
          <t xml:space="preserve"> </t>
        </is>
      </c>
      <c r="F14" s="102" t="inlineStr">
        <is>
          <t xml:space="preserve"> </t>
        </is>
      </c>
      <c r="G14" s="102" t="inlineStr">
        <is>
          <t xml:space="preserve"> </t>
        </is>
      </c>
      <c r="H14" s="102"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03" t="inlineStr">
        <is>
          <t xml:space="preserve"> </t>
        </is>
      </c>
    </row>
    <row r="15" ht="18.75" customHeight="1" s="142">
      <c r="A15" s="40" t="inlineStr">
        <is>
          <t xml:space="preserve">               Shipments…………………………..</t>
        </is>
      </c>
      <c r="B15" s="33" t="n"/>
      <c r="C15" s="41" t="n">
        <v>254092</v>
      </c>
      <c r="D15" s="41" t="n">
        <v>253190</v>
      </c>
      <c r="E15" s="41" t="n">
        <v>257319</v>
      </c>
      <c r="F15" s="104" t="n">
        <v>0.4</v>
      </c>
      <c r="G15" s="104" t="n">
        <v>-1.6</v>
      </c>
      <c r="H15" s="104" t="n">
        <v>-0.5</v>
      </c>
      <c r="I15" s="41" t="n">
        <v>261855</v>
      </c>
      <c r="J15" s="41" t="n">
        <v>252218</v>
      </c>
      <c r="K15" s="41" t="n">
        <v>254534</v>
      </c>
      <c r="L15" s="41" t="n">
        <v>1262276</v>
      </c>
      <c r="M15" s="41" t="n">
        <v>1214767</v>
      </c>
      <c r="N15" s="105" t="n">
        <v>3.9</v>
      </c>
    </row>
    <row r="16" ht="19.5" customHeight="1" s="142">
      <c r="A16" s="40" t="inlineStr">
        <is>
          <t xml:space="preserve">               New Orders4…………………………</t>
        </is>
      </c>
      <c r="B16" s="33" t="n"/>
      <c r="C16" s="59" t="n">
        <v>243367</v>
      </c>
      <c r="D16" s="41" t="n">
        <v>246694</v>
      </c>
      <c r="E16" s="41" t="n">
        <v>253834</v>
      </c>
      <c r="F16" s="104" t="n">
        <v>-1.3</v>
      </c>
      <c r="G16" s="104" t="n">
        <v>-2.8</v>
      </c>
      <c r="H16" s="104" t="n">
        <v>1.7</v>
      </c>
      <c r="I16" s="41" t="n">
        <v>244890</v>
      </c>
      <c r="J16" s="41" t="n">
        <v>245438</v>
      </c>
      <c r="K16" s="41" t="n">
        <v>253209</v>
      </c>
      <c r="L16" s="41" t="n">
        <v>1235760</v>
      </c>
      <c r="M16" s="41" t="n">
        <v>1223819</v>
      </c>
      <c r="N16" s="105" t="n">
        <v>1</v>
      </c>
    </row>
    <row r="17" ht="9" customHeight="1" s="142">
      <c r="A17" s="40" t="n"/>
      <c r="B17" s="33" t="n"/>
      <c r="C17" s="41" t="n"/>
      <c r="D17" s="41" t="n"/>
      <c r="E17" s="41" t="n"/>
      <c r="F17" s="104" t="n"/>
      <c r="G17" s="104" t="n"/>
      <c r="H17" s="104" t="n"/>
      <c r="I17" s="41" t="n"/>
      <c r="J17" s="41" t="n"/>
      <c r="K17" s="41" t="n"/>
      <c r="L17" s="41" t="n"/>
      <c r="M17" s="41" t="n"/>
      <c r="N17" s="105" t="n"/>
    </row>
    <row r="18" ht="20" customHeight="1" s="142">
      <c r="A18" s="42" t="inlineStr">
        <is>
          <t xml:space="preserve">         Excluding transportation:</t>
        </is>
      </c>
      <c r="B18" s="33" t="n"/>
      <c r="C18" s="41" t="n"/>
      <c r="D18" s="41" t="n"/>
      <c r="E18" s="41" t="n"/>
      <c r="F18" s="104" t="n"/>
      <c r="G18" s="104" t="n"/>
      <c r="H18" s="104" t="n"/>
      <c r="I18" s="41" t="n"/>
      <c r="J18" s="41" t="n"/>
      <c r="K18" s="41" t="n"/>
      <c r="L18" s="41" t="n"/>
      <c r="M18" s="41" t="n"/>
      <c r="N18" s="105" t="n"/>
    </row>
    <row r="19" ht="17.25" customHeight="1" s="142">
      <c r="A19" s="40" t="inlineStr">
        <is>
          <t xml:space="preserve">               Shipments…………………………..</t>
        </is>
      </c>
      <c r="B19" s="33" t="n"/>
      <c r="C19" s="41" t="n">
        <v>168337</v>
      </c>
      <c r="D19" s="41" t="n">
        <v>167677</v>
      </c>
      <c r="E19" s="41" t="n">
        <v>167815</v>
      </c>
      <c r="F19" s="104" t="n">
        <v>0.4</v>
      </c>
      <c r="G19" s="104" t="n">
        <v>-0.1</v>
      </c>
      <c r="H19" s="104" t="n">
        <v>-0.7</v>
      </c>
      <c r="I19" s="41" t="n">
        <v>173204</v>
      </c>
      <c r="J19" s="41" t="n">
        <v>167920</v>
      </c>
      <c r="K19" s="41" t="n">
        <v>169648</v>
      </c>
      <c r="L19" s="41" t="n">
        <v>825457</v>
      </c>
      <c r="M19" s="41" t="n">
        <v>802497</v>
      </c>
      <c r="N19" s="105" t="n">
        <v>2.9</v>
      </c>
    </row>
    <row r="20" ht="18" customHeight="1" s="142">
      <c r="A20" s="40" t="inlineStr">
        <is>
          <t xml:space="preserve">               New Orders4…………………………</t>
        </is>
      </c>
      <c r="B20" s="33" t="n"/>
      <c r="C20" s="41" t="n">
        <v>163371</v>
      </c>
      <c r="D20" s="41" t="n">
        <v>162840</v>
      </c>
      <c r="E20" s="41" t="n">
        <v>163039</v>
      </c>
      <c r="F20" s="104" t="n">
        <v>0.3</v>
      </c>
      <c r="G20" s="104" t="n">
        <v>-0.1</v>
      </c>
      <c r="H20" s="104" t="n">
        <v>-0.5</v>
      </c>
      <c r="I20" s="41" t="n">
        <v>168217</v>
      </c>
      <c r="J20" s="41" t="n">
        <v>165761</v>
      </c>
      <c r="K20" s="41" t="n">
        <v>168092</v>
      </c>
      <c r="L20" s="41" t="n">
        <v>815382</v>
      </c>
      <c r="M20" s="41" t="n">
        <v>803279</v>
      </c>
      <c r="N20" s="105" t="n">
        <v>1.5</v>
      </c>
    </row>
    <row r="21" ht="9" customHeight="1" s="142">
      <c r="A21" s="40" t="n"/>
      <c r="B21" s="33" t="n"/>
      <c r="C21" s="41" t="n"/>
      <c r="D21" s="41" t="n"/>
      <c r="E21" s="41" t="n"/>
      <c r="F21" s="104" t="n"/>
      <c r="G21" s="104" t="n"/>
      <c r="H21" s="104" t="n"/>
      <c r="I21" s="41" t="n"/>
      <c r="J21" s="41" t="n"/>
      <c r="K21" s="41" t="n"/>
      <c r="L21" s="41" t="n"/>
      <c r="M21" s="41" t="n"/>
      <c r="N21" s="105" t="n"/>
    </row>
    <row r="22" ht="20" customHeight="1" s="142">
      <c r="A22" s="42" t="inlineStr">
        <is>
          <t xml:space="preserve">         Excluding defense:</t>
        </is>
      </c>
      <c r="B22" s="33" t="n"/>
      <c r="C22" s="41" t="n"/>
      <c r="D22" s="41" t="n"/>
      <c r="E22" s="41" t="n"/>
      <c r="F22" s="104" t="n"/>
      <c r="G22" s="104" t="n"/>
      <c r="H22" s="104" t="n"/>
      <c r="I22" s="41" t="n"/>
      <c r="J22" s="41" t="n"/>
      <c r="K22" s="41" t="n"/>
      <c r="L22" s="41" t="n"/>
      <c r="M22" s="41" t="n"/>
      <c r="N22" s="105" t="n"/>
    </row>
    <row r="23" ht="17.25" customHeight="1" s="142">
      <c r="A23" s="40" t="inlineStr">
        <is>
          <t xml:space="preserve">               Shipments…………………………..</t>
        </is>
      </c>
      <c r="B23" s="33" t="n"/>
      <c r="C23" s="41" t="n">
        <v>239037</v>
      </c>
      <c r="D23" s="41" t="n">
        <v>238127</v>
      </c>
      <c r="E23" s="41" t="n">
        <v>242824</v>
      </c>
      <c r="F23" s="104" t="n">
        <v>0.4</v>
      </c>
      <c r="G23" s="104" t="n">
        <v>-1.9</v>
      </c>
      <c r="H23" s="104" t="n">
        <v>-0.6</v>
      </c>
      <c r="I23" s="41" t="n">
        <v>247078</v>
      </c>
      <c r="J23" s="41" t="n">
        <v>238689</v>
      </c>
      <c r="K23" s="41" t="n">
        <v>241367</v>
      </c>
      <c r="L23" s="41" t="n">
        <v>1191391</v>
      </c>
      <c r="M23" s="41" t="n">
        <v>1151435</v>
      </c>
      <c r="N23" s="105" t="n">
        <v>3.5</v>
      </c>
    </row>
    <row r="24" ht="20.25" customHeight="1" s="142">
      <c r="A24" s="40" t="inlineStr">
        <is>
          <t xml:space="preserve">               New Orders4…………………………</t>
        </is>
      </c>
      <c r="B24" s="33" t="n"/>
      <c r="C24" s="41" t="n">
        <v>227976</v>
      </c>
      <c r="D24" s="41" t="n">
        <v>229451</v>
      </c>
      <c r="E24" s="41" t="n">
        <v>237243</v>
      </c>
      <c r="F24" s="104" t="n">
        <v>-0.6</v>
      </c>
      <c r="G24" s="104" t="n">
        <v>-3.3</v>
      </c>
      <c r="H24" s="104" t="n">
        <v>0.1</v>
      </c>
      <c r="I24" s="41" t="n">
        <v>231842</v>
      </c>
      <c r="J24" s="41" t="n">
        <v>231325</v>
      </c>
      <c r="K24" s="41" t="n">
        <v>239784</v>
      </c>
      <c r="L24" s="41" t="n">
        <v>1164577</v>
      </c>
      <c r="M24" s="41" t="n">
        <v>1160583</v>
      </c>
      <c r="N24" s="105" t="n">
        <v>0.3</v>
      </c>
    </row>
    <row r="25" ht="9" customHeight="1" s="142">
      <c r="A25" s="43" t="n"/>
      <c r="B25" s="33" t="n"/>
      <c r="C25" s="41" t="n"/>
      <c r="D25" s="41" t="n"/>
      <c r="E25" s="41" t="n"/>
      <c r="F25" s="104" t="n"/>
      <c r="G25" s="104" t="n"/>
      <c r="H25" s="104" t="n"/>
      <c r="I25" s="41" t="n"/>
      <c r="J25" s="41" t="n"/>
      <c r="K25" s="41" t="n"/>
      <c r="L25" s="41" t="n"/>
      <c r="M25" s="41" t="n"/>
      <c r="N25" s="105" t="n"/>
    </row>
    <row r="26" ht="20" customHeight="1" s="142">
      <c r="A26" s="42" t="inlineStr">
        <is>
          <t xml:space="preserve">    Manufacturing with unfilled orders:</t>
        </is>
      </c>
      <c r="B26" s="33" t="n"/>
      <c r="C26" s="41" t="n"/>
      <c r="D26" s="41" t="n"/>
      <c r="E26" s="41" t="n"/>
      <c r="F26" s="104" t="n"/>
      <c r="G26" s="104" t="n"/>
      <c r="H26" s="104" t="n"/>
      <c r="I26" s="41" t="n"/>
      <c r="J26" s="41" t="n"/>
      <c r="K26" s="41" t="n"/>
      <c r="L26" s="41" t="n"/>
      <c r="M26" s="41" t="n"/>
      <c r="N26" s="105" t="n"/>
    </row>
    <row r="27" ht="17.25" customHeight="1" s="142">
      <c r="A27" s="40" t="inlineStr">
        <is>
          <t xml:space="preserve">               Shipments…………………………..</t>
        </is>
      </c>
      <c r="B27" s="33" t="n"/>
      <c r="C27" s="41" t="n">
        <v>176299</v>
      </c>
      <c r="D27" s="41" t="n">
        <v>175963</v>
      </c>
      <c r="E27" s="41" t="n">
        <v>178585</v>
      </c>
      <c r="F27" s="104" t="n">
        <v>0.2</v>
      </c>
      <c r="G27" s="104" t="n">
        <v>-1.5</v>
      </c>
      <c r="H27" s="104" t="n">
        <v>-0.6</v>
      </c>
      <c r="I27" s="41" t="n">
        <v>181805</v>
      </c>
      <c r="J27" s="41" t="n">
        <v>173849</v>
      </c>
      <c r="K27" s="41" t="n">
        <v>179552</v>
      </c>
      <c r="L27" s="41" t="n">
        <v>874765</v>
      </c>
      <c r="M27" s="41" t="n">
        <v>844699</v>
      </c>
      <c r="N27" s="105" t="n">
        <v>3.6</v>
      </c>
    </row>
    <row r="28" ht="19.5" customHeight="1" s="142">
      <c r="A28" s="40" t="inlineStr">
        <is>
          <t xml:space="preserve">               New Orders…………………………</t>
        </is>
      </c>
      <c r="B28" s="33" t="n"/>
      <c r="C28" s="41" t="n">
        <v>169928</v>
      </c>
      <c r="D28" s="41" t="n">
        <v>173658</v>
      </c>
      <c r="E28" s="41" t="n">
        <v>179278</v>
      </c>
      <c r="F28" s="104" t="n">
        <v>-2.1</v>
      </c>
      <c r="G28" s="104" t="n">
        <v>-3.1</v>
      </c>
      <c r="H28" s="104" t="n">
        <v>2.4</v>
      </c>
      <c r="I28" s="41" t="n">
        <v>168570</v>
      </c>
      <c r="J28" s="41" t="n">
        <v>170930</v>
      </c>
      <c r="K28" s="41" t="n">
        <v>181624</v>
      </c>
      <c r="L28" s="41" t="n">
        <v>868271</v>
      </c>
      <c r="M28" s="41" t="n">
        <v>872495</v>
      </c>
      <c r="N28" s="105" t="n">
        <v>-0.5</v>
      </c>
    </row>
    <row r="29" ht="9" customHeight="1" s="142">
      <c r="A29" s="40" t="n"/>
      <c r="B29" s="33" t="n"/>
      <c r="C29" s="41" t="n"/>
      <c r="D29" s="41" t="n"/>
      <c r="E29" s="41" t="n"/>
      <c r="F29" s="104" t="n"/>
      <c r="G29" s="104" t="n"/>
      <c r="H29" s="104" t="n"/>
      <c r="I29" s="41" t="n"/>
      <c r="J29" s="41" t="n"/>
      <c r="K29" s="41" t="n"/>
      <c r="L29" s="41" t="n"/>
      <c r="M29" s="41" t="n"/>
      <c r="N29" s="105" t="n"/>
    </row>
    <row r="30" ht="16.5" customHeight="1" s="142">
      <c r="A30" s="42" t="inlineStr">
        <is>
          <t xml:space="preserve">    Primary metals:</t>
        </is>
      </c>
      <c r="B30" s="33" t="n"/>
      <c r="C30" s="41" t="n"/>
      <c r="D30" s="41" t="n"/>
      <c r="E30" s="41" t="n"/>
      <c r="F30" s="104" t="n"/>
      <c r="G30" s="104" t="n"/>
      <c r="H30" s="104" t="n"/>
      <c r="I30" s="41" t="n"/>
      <c r="J30" s="41" t="n"/>
      <c r="K30" s="41" t="n"/>
      <c r="L30" s="41" t="n"/>
      <c r="M30" s="41" t="n"/>
      <c r="N30" s="105" t="n"/>
    </row>
    <row r="31" ht="18" customHeight="1" s="142">
      <c r="A31" s="40" t="inlineStr">
        <is>
          <t xml:space="preserve">               Shipments…………………………..</t>
        </is>
      </c>
      <c r="B31" s="33" t="n"/>
      <c r="C31" s="41" t="n">
        <v>20652</v>
      </c>
      <c r="D31" s="41" t="n">
        <v>20801</v>
      </c>
      <c r="E31" s="41" t="n">
        <v>21105</v>
      </c>
      <c r="F31" s="104" t="n">
        <v>-0.7</v>
      </c>
      <c r="G31" s="104" t="n">
        <v>-1.4</v>
      </c>
      <c r="H31" s="104" t="n">
        <v>-1.4</v>
      </c>
      <c r="I31" s="41" t="n">
        <v>21771</v>
      </c>
      <c r="J31" s="41" t="n">
        <v>21653</v>
      </c>
      <c r="K31" s="41" t="n">
        <v>22560</v>
      </c>
      <c r="L31" s="41" t="n">
        <v>106840</v>
      </c>
      <c r="M31" s="41" t="n">
        <v>105546</v>
      </c>
      <c r="N31" s="105" t="n">
        <v>1.2</v>
      </c>
    </row>
    <row r="32" ht="17.25" customHeight="1" s="142">
      <c r="A32" s="40" t="inlineStr">
        <is>
          <t xml:space="preserve">               New Orders…………………………</t>
        </is>
      </c>
      <c r="B32" s="33" t="n"/>
      <c r="C32" s="41" t="n">
        <v>20589</v>
      </c>
      <c r="D32" s="41" t="n">
        <v>20517</v>
      </c>
      <c r="E32" s="41" t="n">
        <v>21027</v>
      </c>
      <c r="F32" s="104" t="n">
        <v>0.4</v>
      </c>
      <c r="G32" s="104" t="n">
        <v>-2.4</v>
      </c>
      <c r="H32" s="104" t="n">
        <v>-2</v>
      </c>
      <c r="I32" s="41" t="n">
        <v>21108</v>
      </c>
      <c r="J32" s="41" t="n">
        <v>21531</v>
      </c>
      <c r="K32" s="41" t="n">
        <v>22589</v>
      </c>
      <c r="L32" s="41" t="n">
        <v>107596</v>
      </c>
      <c r="M32" s="41" t="n">
        <v>108614</v>
      </c>
      <c r="N32" s="105" t="n">
        <v>-0.9</v>
      </c>
      <c r="R32" s="60">
        <f>C32+C36+C40+C44+C57+C61+C77</f>
        <v/>
      </c>
    </row>
    <row r="33" ht="9" customHeight="1" s="142">
      <c r="A33" s="44" t="n"/>
      <c r="B33" s="33" t="n"/>
      <c r="C33" s="41" t="n"/>
      <c r="D33" s="41" t="n"/>
      <c r="E33" s="41" t="n"/>
      <c r="F33" s="104" t="n"/>
      <c r="G33" s="104" t="n"/>
      <c r="H33" s="104" t="n"/>
      <c r="I33" s="41" t="n"/>
      <c r="J33" s="41" t="n"/>
      <c r="K33" s="41" t="n"/>
      <c r="L33" s="41" t="n"/>
      <c r="M33" s="41" t="n"/>
      <c r="N33" s="105" t="n"/>
    </row>
    <row r="34" ht="18" customHeight="1" s="142">
      <c r="A34" s="44" t="inlineStr">
        <is>
          <t xml:space="preserve">    Fabricated metal products:</t>
        </is>
      </c>
      <c r="B34" s="33" t="n"/>
      <c r="C34" s="41" t="n"/>
      <c r="D34" s="41" t="n"/>
      <c r="E34" s="41" t="n"/>
      <c r="F34" s="104" t="n"/>
      <c r="G34" s="104" t="n"/>
      <c r="H34" s="104" t="n"/>
      <c r="I34" s="41" t="n"/>
      <c r="J34" s="41" t="n"/>
      <c r="K34" s="41" t="n"/>
      <c r="L34" s="41" t="n"/>
      <c r="M34" s="41" t="n"/>
      <c r="N34" s="105" t="n"/>
    </row>
    <row r="35" ht="18" customHeight="1" s="142">
      <c r="A35" s="40" t="inlineStr">
        <is>
          <t xml:space="preserve">               Shipments…………………………..</t>
        </is>
      </c>
      <c r="B35" s="33" t="n"/>
      <c r="C35" s="41" t="n">
        <v>33620</v>
      </c>
      <c r="D35" s="41" t="n">
        <v>33417</v>
      </c>
      <c r="E35" s="41" t="n">
        <v>33655</v>
      </c>
      <c r="F35" s="104" t="n">
        <v>0.6</v>
      </c>
      <c r="G35" s="104" t="n">
        <v>-0.7</v>
      </c>
      <c r="H35" s="104" t="n">
        <v>-0.7</v>
      </c>
      <c r="I35" s="41" t="n">
        <v>35341</v>
      </c>
      <c r="J35" s="41" t="n">
        <v>33878</v>
      </c>
      <c r="K35" s="41" t="n">
        <v>34301</v>
      </c>
      <c r="L35" s="41" t="n">
        <v>166849</v>
      </c>
      <c r="M35" s="41" t="n">
        <v>159830</v>
      </c>
      <c r="N35" s="105" t="n">
        <v>4.4</v>
      </c>
    </row>
    <row r="36" ht="17.25" customHeight="1" s="142">
      <c r="A36" s="40" t="inlineStr">
        <is>
          <t xml:space="preserve">               New Orders…………………………</t>
        </is>
      </c>
      <c r="B36" s="33" t="n"/>
      <c r="C36" s="41" t="n">
        <v>33307</v>
      </c>
      <c r="D36" s="41" t="n">
        <v>33435</v>
      </c>
      <c r="E36" s="41" t="n">
        <v>33160</v>
      </c>
      <c r="F36" s="104" t="n">
        <v>-0.4</v>
      </c>
      <c r="G36" s="104" t="n">
        <v>0.8</v>
      </c>
      <c r="H36" s="104" t="n">
        <v>-1.5</v>
      </c>
      <c r="I36" s="41" t="n">
        <v>35642</v>
      </c>
      <c r="J36" s="41" t="n">
        <v>34943</v>
      </c>
      <c r="K36" s="41" t="n">
        <v>35670</v>
      </c>
      <c r="L36" s="41" t="n">
        <v>171019</v>
      </c>
      <c r="M36" s="41" t="n">
        <v>167785</v>
      </c>
      <c r="N36" s="105" t="n">
        <v>1.9</v>
      </c>
    </row>
    <row r="37" ht="9" customHeight="1" s="142">
      <c r="A37" s="43" t="n"/>
      <c r="B37" s="33" t="n"/>
      <c r="C37" s="41" t="n"/>
      <c r="D37" s="41" t="n"/>
      <c r="E37" s="41" t="n"/>
      <c r="F37" s="104" t="n"/>
      <c r="G37" s="104" t="n"/>
      <c r="H37" s="104" t="n"/>
      <c r="I37" s="41" t="n"/>
      <c r="J37" s="41" t="n"/>
      <c r="K37" s="41" t="n"/>
      <c r="L37" s="41" t="n"/>
      <c r="M37" s="41" t="n"/>
      <c r="N37" s="105" t="n"/>
    </row>
    <row r="38" ht="18.75" customHeight="1" s="142">
      <c r="A38" s="40" t="inlineStr">
        <is>
          <t xml:space="preserve">    Machinery:</t>
        </is>
      </c>
      <c r="B38" s="33" t="n"/>
      <c r="C38" s="41" t="n"/>
      <c r="D38" s="41" t="n"/>
      <c r="E38" s="41" t="n"/>
      <c r="F38" s="104" t="n"/>
      <c r="G38" s="104" t="n"/>
      <c r="H38" s="104" t="n"/>
      <c r="I38" s="41" t="n"/>
      <c r="J38" s="41" t="n"/>
      <c r="K38" s="41" t="n"/>
      <c r="L38" s="41" t="n"/>
      <c r="M38" s="41" t="n"/>
      <c r="N38" s="105" t="n"/>
    </row>
    <row r="39" ht="19.5" customHeight="1" s="142">
      <c r="A39" s="40" t="inlineStr">
        <is>
          <t xml:space="preserve">               Shipments…………………………..</t>
        </is>
      </c>
      <c r="B39" s="33" t="n"/>
      <c r="C39" s="41" t="n">
        <v>33419</v>
      </c>
      <c r="D39" s="41" t="n">
        <v>33060</v>
      </c>
      <c r="E39" s="41" t="n">
        <v>32969</v>
      </c>
      <c r="F39" s="104" t="n">
        <v>1.1</v>
      </c>
      <c r="G39" s="104" t="n">
        <v>0.3</v>
      </c>
      <c r="H39" s="104" t="n">
        <v>-1.4</v>
      </c>
      <c r="I39" s="41" t="n">
        <v>35049</v>
      </c>
      <c r="J39" s="41" t="n">
        <v>33775</v>
      </c>
      <c r="K39" s="41" t="n">
        <v>33920</v>
      </c>
      <c r="L39" s="41" t="n">
        <v>166232</v>
      </c>
      <c r="M39" s="41" t="n">
        <v>161305</v>
      </c>
      <c r="N39" s="105" t="n">
        <v>3.1</v>
      </c>
    </row>
    <row r="40" ht="17.25" customHeight="1" s="142">
      <c r="A40" s="40" t="inlineStr">
        <is>
          <t xml:space="preserve">               New Orders…………………………</t>
        </is>
      </c>
      <c r="B40" s="33" t="n"/>
      <c r="C40" s="41" t="n">
        <v>32824</v>
      </c>
      <c r="D40" s="41" t="n">
        <v>32608</v>
      </c>
      <c r="E40" s="41" t="n">
        <v>32545</v>
      </c>
      <c r="F40" s="104" t="n">
        <v>0.7</v>
      </c>
      <c r="G40" s="104" t="n">
        <v>0.2</v>
      </c>
      <c r="H40" s="104" t="n">
        <v>-2</v>
      </c>
      <c r="I40" s="41" t="n">
        <v>33857</v>
      </c>
      <c r="J40" s="41" t="n">
        <v>33858</v>
      </c>
      <c r="K40" s="41" t="n">
        <v>33832</v>
      </c>
      <c r="L40" s="41" t="n">
        <v>166817</v>
      </c>
      <c r="M40" s="41" t="n">
        <v>164920</v>
      </c>
      <c r="N40" s="105" t="n">
        <v>1.2</v>
      </c>
    </row>
    <row r="41" ht="9" customHeight="1" s="142">
      <c r="A41" s="42" t="n"/>
      <c r="B41" s="33" t="n"/>
      <c r="C41" s="41" t="n"/>
      <c r="D41" s="41" t="n"/>
      <c r="E41" s="41" t="n"/>
      <c r="F41" s="104" t="n"/>
      <c r="G41" s="104" t="n"/>
      <c r="H41" s="104" t="n"/>
      <c r="I41" s="41" t="n"/>
      <c r="J41" s="41" t="n"/>
      <c r="K41" s="41" t="n"/>
      <c r="L41" s="41" t="n"/>
      <c r="M41" s="41" t="n"/>
      <c r="N41" s="105" t="n"/>
    </row>
    <row r="42" ht="20" customHeight="1" s="142">
      <c r="A42" s="40" t="inlineStr">
        <is>
          <t xml:space="preserve">    Computers and electronic products4:</t>
        </is>
      </c>
      <c r="B42" s="33" t="n"/>
      <c r="C42" s="41" t="n"/>
      <c r="D42" s="41" t="n"/>
      <c r="E42" s="41" t="n"/>
      <c r="F42" s="104" t="n"/>
      <c r="G42" s="104" t="n"/>
      <c r="H42" s="104" t="n"/>
      <c r="I42" s="41" t="n"/>
      <c r="J42" s="41" t="n"/>
      <c r="K42" s="41" t="n"/>
      <c r="L42" s="41" t="n"/>
      <c r="M42" s="41" t="n"/>
      <c r="N42" s="105" t="n"/>
    </row>
    <row r="43" ht="18" customHeight="1" s="142">
      <c r="A43" s="40" t="inlineStr">
        <is>
          <t xml:space="preserve">               Shipments…………………………..</t>
        </is>
      </c>
      <c r="B43" s="33" t="n"/>
      <c r="C43" s="41" t="n">
        <v>28311</v>
      </c>
      <c r="D43" s="41" t="n">
        <v>28134</v>
      </c>
      <c r="E43" s="41" t="n">
        <v>27791</v>
      </c>
      <c r="F43" s="104" t="n">
        <v>0.6</v>
      </c>
      <c r="G43" s="104" t="n">
        <v>1.2</v>
      </c>
      <c r="H43" s="104" t="n">
        <v>-1</v>
      </c>
      <c r="I43" s="41" t="n">
        <v>26605</v>
      </c>
      <c r="J43" s="41" t="n">
        <v>25808</v>
      </c>
      <c r="K43" s="41" t="n">
        <v>25083</v>
      </c>
      <c r="L43" s="41" t="n">
        <v>131148</v>
      </c>
      <c r="M43" s="41" t="n">
        <v>124284</v>
      </c>
      <c r="N43" s="105" t="n">
        <v>5.5</v>
      </c>
    </row>
    <row r="44" ht="20.25" customHeight="1" s="142">
      <c r="A44" s="40" t="inlineStr">
        <is>
          <t xml:space="preserve">               New Orders…………………………</t>
        </is>
      </c>
      <c r="B44" s="33" t="n"/>
      <c r="C44" s="41" t="n">
        <v>24091</v>
      </c>
      <c r="D44" s="41" t="n">
        <v>23905</v>
      </c>
      <c r="E44" s="41" t="n">
        <v>24056</v>
      </c>
      <c r="F44" s="104" t="n">
        <v>0.8</v>
      </c>
      <c r="G44" s="104" t="n">
        <v>-0.6</v>
      </c>
      <c r="H44" s="104" t="n">
        <v>2.1</v>
      </c>
      <c r="I44" s="41" t="n">
        <v>22710</v>
      </c>
      <c r="J44" s="41" t="n">
        <v>22050</v>
      </c>
      <c r="K44" s="41" t="n">
        <v>22010</v>
      </c>
      <c r="L44" s="41" t="n">
        <v>113226</v>
      </c>
      <c r="M44" s="41" t="n">
        <v>108402</v>
      </c>
      <c r="N44" s="105" t="n">
        <v>4.5</v>
      </c>
    </row>
    <row r="45" ht="9" customHeight="1" s="142">
      <c r="A45" s="44" t="n"/>
      <c r="B45" s="33" t="n"/>
      <c r="C45" s="41" t="n"/>
      <c r="D45" s="41" t="n"/>
      <c r="E45" s="41" t="n"/>
      <c r="F45" s="104" t="n"/>
      <c r="G45" s="104" t="n"/>
      <c r="H45" s="104" t="n"/>
      <c r="I45" s="41" t="n"/>
      <c r="J45" s="41" t="n"/>
      <c r="K45" s="41" t="n"/>
      <c r="L45" s="41" t="n"/>
      <c r="M45" s="41" t="n"/>
      <c r="N45" s="105" t="n"/>
    </row>
    <row r="46" ht="18.75" customHeight="1" s="142">
      <c r="A46" s="42" t="inlineStr">
        <is>
          <t xml:space="preserve">         Computers and related products:</t>
        </is>
      </c>
      <c r="B46" s="33" t="n"/>
      <c r="C46" s="41" t="n"/>
      <c r="D46" s="41" t="n"/>
      <c r="E46" s="41" t="n"/>
      <c r="F46" s="104" t="n"/>
      <c r="G46" s="104" t="n"/>
      <c r="H46" s="104" t="n"/>
      <c r="I46" s="41" t="n"/>
      <c r="J46" s="41" t="n"/>
      <c r="K46" s="41" t="n"/>
      <c r="L46" s="41" t="n"/>
      <c r="M46" s="41" t="n"/>
      <c r="N46" s="105" t="n"/>
    </row>
    <row r="47" ht="18.75" customHeight="1" s="142">
      <c r="A47" s="45" t="inlineStr">
        <is>
          <t xml:space="preserve">               Shipments…………………………..</t>
        </is>
      </c>
      <c r="B47" s="33" t="n"/>
      <c r="C47" s="41" t="n">
        <v>1813</v>
      </c>
      <c r="D47" s="41" t="n">
        <v>1827</v>
      </c>
      <c r="E47" s="41" t="n">
        <v>1750</v>
      </c>
      <c r="F47" s="104" t="n">
        <v>-0.8</v>
      </c>
      <c r="G47" s="104" t="n">
        <v>4.4</v>
      </c>
      <c r="H47" s="104" t="n">
        <v>-5.4</v>
      </c>
      <c r="I47" s="41" t="n">
        <v>1624</v>
      </c>
      <c r="J47" s="41" t="n">
        <v>1523</v>
      </c>
      <c r="K47" s="41" t="n">
        <v>1623</v>
      </c>
      <c r="L47" s="41" t="n">
        <v>7831</v>
      </c>
      <c r="M47" s="41" t="n">
        <v>7826</v>
      </c>
      <c r="N47" s="105" t="n">
        <v>0.1</v>
      </c>
    </row>
    <row r="48" ht="18" customHeight="1" s="142">
      <c r="A48" s="40" t="inlineStr">
        <is>
          <t xml:space="preserve">               New Orders…………………………</t>
        </is>
      </c>
      <c r="B48" s="33" t="n"/>
      <c r="C48" s="41" t="n">
        <v>1770</v>
      </c>
      <c r="D48" s="41" t="n">
        <v>1813</v>
      </c>
      <c r="E48" s="41" t="n">
        <v>1752</v>
      </c>
      <c r="F48" s="104" t="n">
        <v>-2.4</v>
      </c>
      <c r="G48" s="104" t="n">
        <v>3.5</v>
      </c>
      <c r="H48" s="104" t="n">
        <v>-4.8</v>
      </c>
      <c r="I48" s="41" t="n">
        <v>1581</v>
      </c>
      <c r="J48" s="41" t="n">
        <v>1509</v>
      </c>
      <c r="K48" s="41" t="n">
        <v>1632</v>
      </c>
      <c r="L48" s="41" t="n">
        <v>7808</v>
      </c>
      <c r="M48" s="41" t="n">
        <v>7963</v>
      </c>
      <c r="N48" s="105" t="n">
        <v>-1.9</v>
      </c>
    </row>
    <row r="49" ht="9" customHeight="1" s="142">
      <c r="A49" s="45" t="inlineStr">
        <is>
          <t xml:space="preserve">       </t>
        </is>
      </c>
      <c r="B49" s="33" t="n"/>
      <c r="C49" s="41" t="n"/>
      <c r="D49" s="41" t="n"/>
      <c r="E49" s="41" t="n"/>
      <c r="F49" s="104" t="n"/>
      <c r="G49" s="104" t="n"/>
      <c r="H49" s="104" t="n"/>
      <c r="I49" s="41" t="n"/>
      <c r="J49" s="41" t="n"/>
      <c r="K49" s="41" t="n"/>
      <c r="L49" s="41" t="n"/>
      <c r="M49" s="41" t="n"/>
      <c r="N49" s="105" t="n"/>
    </row>
    <row r="50" ht="18.75" customHeight="1" s="142">
      <c r="A50" s="40" t="inlineStr">
        <is>
          <t xml:space="preserve">         Communications equipment:</t>
        </is>
      </c>
      <c r="B50" s="33" t="n"/>
      <c r="C50" s="41" t="n"/>
      <c r="D50" s="41" t="n"/>
      <c r="E50" s="41" t="n"/>
      <c r="F50" s="104" t="n"/>
      <c r="G50" s="104" t="n"/>
      <c r="H50" s="104" t="n"/>
      <c r="I50" s="41" t="n"/>
      <c r="J50" s="41" t="n"/>
      <c r="K50" s="41" t="n"/>
      <c r="L50" s="41" t="n"/>
      <c r="M50" s="41" t="n"/>
      <c r="N50" s="105" t="n"/>
    </row>
    <row r="51" ht="18.75" customHeight="1" s="142">
      <c r="A51" s="40" t="inlineStr">
        <is>
          <t xml:space="preserve">               Shipments…………………………..</t>
        </is>
      </c>
      <c r="B51" s="33" t="n"/>
      <c r="C51" s="41" t="n">
        <v>3826</v>
      </c>
      <c r="D51" s="41" t="n">
        <v>3825</v>
      </c>
      <c r="E51" s="41" t="n">
        <v>3835</v>
      </c>
      <c r="F51" s="104" t="n">
        <v>0</v>
      </c>
      <c r="G51" s="104" t="n">
        <v>-0.3</v>
      </c>
      <c r="H51" s="104" t="n">
        <v>0.6</v>
      </c>
      <c r="I51" s="41" t="n">
        <v>3570</v>
      </c>
      <c r="J51" s="41" t="n">
        <v>3476</v>
      </c>
      <c r="K51" s="41" t="n">
        <v>3197</v>
      </c>
      <c r="L51" s="41" t="n">
        <v>17559</v>
      </c>
      <c r="M51" s="41" t="n">
        <v>15654</v>
      </c>
      <c r="N51" s="105" t="n">
        <v>12.2</v>
      </c>
    </row>
    <row r="52" ht="18.75" customHeight="1" s="142">
      <c r="A52" s="40" t="inlineStr">
        <is>
          <t xml:space="preserve">               New Orders…………………………</t>
        </is>
      </c>
      <c r="B52" s="33" t="n"/>
      <c r="C52" s="41" t="n">
        <v>3695</v>
      </c>
      <c r="D52" s="41" t="n">
        <v>3633</v>
      </c>
      <c r="E52" s="41" t="n">
        <v>3920</v>
      </c>
      <c r="F52" s="104" t="n">
        <v>1.7</v>
      </c>
      <c r="G52" s="104" t="n">
        <v>-7.3</v>
      </c>
      <c r="H52" s="104" t="n">
        <v>10.2</v>
      </c>
      <c r="I52" s="41" t="n">
        <v>3412</v>
      </c>
      <c r="J52" s="41" t="n">
        <v>3316</v>
      </c>
      <c r="K52" s="41" t="n">
        <v>3304</v>
      </c>
      <c r="L52" s="41" t="n">
        <v>17508</v>
      </c>
      <c r="M52" s="41" t="n">
        <v>16711</v>
      </c>
      <c r="N52" s="105" t="n">
        <v>4.8</v>
      </c>
    </row>
    <row r="53" ht="9" customHeight="1" s="142">
      <c r="A53" s="40" t="n"/>
      <c r="B53" s="33" t="n"/>
      <c r="C53" s="41" t="n"/>
      <c r="D53" s="41" t="n"/>
      <c r="E53" s="41" t="n"/>
      <c r="F53" s="104" t="n"/>
      <c r="G53" s="104" t="n"/>
      <c r="H53" s="104" t="n"/>
      <c r="I53" s="41" t="n"/>
      <c r="J53" s="41" t="n"/>
      <c r="K53" s="41" t="n"/>
      <c r="L53" s="41" t="n"/>
      <c r="M53" s="41" t="n"/>
      <c r="N53" s="106" t="n"/>
    </row>
    <row r="54" ht="18.75" customHeight="1" s="142">
      <c r="A54" s="42" t="inlineStr">
        <is>
          <t xml:space="preserve">    Electrical equipment, appliances,    </t>
        </is>
      </c>
      <c r="B54" s="33" t="n"/>
      <c r="C54" s="41" t="n"/>
      <c r="D54" s="41" t="n"/>
      <c r="E54" s="41" t="n"/>
      <c r="F54" s="104" t="n"/>
      <c r="G54" s="104" t="n"/>
      <c r="H54" s="104" t="n"/>
      <c r="I54" s="41" t="n"/>
      <c r="J54" s="41" t="n"/>
      <c r="K54" s="41" t="n"/>
      <c r="L54" s="41" t="n"/>
      <c r="M54" s="41" t="n"/>
      <c r="N54" s="106" t="n"/>
    </row>
    <row r="55" ht="18.75" customHeight="1" s="142">
      <c r="A55" s="40" t="inlineStr">
        <is>
          <t xml:space="preserve">       and components:                   </t>
        </is>
      </c>
      <c r="B55" s="33" t="n"/>
      <c r="C55" s="41" t="n"/>
      <c r="D55" s="41" t="n"/>
      <c r="E55" s="41" t="n"/>
      <c r="F55" s="104" t="n"/>
      <c r="G55" s="104" t="n"/>
      <c r="H55" s="104" t="n"/>
      <c r="I55" s="41" t="n"/>
      <c r="J55" s="41" t="n"/>
      <c r="K55" s="41" t="n"/>
      <c r="L55" s="41" t="n"/>
      <c r="M55" s="41" t="n"/>
      <c r="N55" s="106" t="n"/>
    </row>
    <row r="56" ht="15" customHeight="1" s="142">
      <c r="A56" s="40" t="inlineStr">
        <is>
          <t xml:space="preserve">               Shipments…………………………..</t>
        </is>
      </c>
      <c r="B56" s="33" t="n"/>
      <c r="C56" s="41" t="n">
        <v>11586</v>
      </c>
      <c r="D56" s="41" t="n">
        <v>11595</v>
      </c>
      <c r="E56" s="41" t="n">
        <v>11616</v>
      </c>
      <c r="F56" s="104" t="n">
        <v>-0.1</v>
      </c>
      <c r="G56" s="104" t="n">
        <v>-0.2</v>
      </c>
      <c r="H56" s="104" t="n">
        <v>0.6</v>
      </c>
      <c r="I56" s="41" t="n">
        <v>11800</v>
      </c>
      <c r="J56" s="41" t="n">
        <v>11403</v>
      </c>
      <c r="K56" s="41" t="n">
        <v>11472</v>
      </c>
      <c r="L56" s="41" t="n">
        <v>56152</v>
      </c>
      <c r="M56" s="41" t="n">
        <v>54278</v>
      </c>
      <c r="N56" s="105" t="n">
        <v>3.5</v>
      </c>
    </row>
    <row r="57" ht="15" customHeight="1" s="142">
      <c r="A57" s="40" t="inlineStr">
        <is>
          <t xml:space="preserve">               New Orders…………………………</t>
        </is>
      </c>
      <c r="B57" s="33" t="n"/>
      <c r="C57" s="41" t="n">
        <v>11731</v>
      </c>
      <c r="D57" s="41" t="n">
        <v>11776</v>
      </c>
      <c r="E57" s="41" t="n">
        <v>11657</v>
      </c>
      <c r="F57" s="104" t="n">
        <v>-0.4</v>
      </c>
      <c r="G57" s="104" t="n">
        <v>1</v>
      </c>
      <c r="H57" s="104" t="n">
        <v>1.1</v>
      </c>
      <c r="I57" s="41" t="n">
        <v>12013</v>
      </c>
      <c r="J57" s="41" t="n">
        <v>11689</v>
      </c>
      <c r="K57" s="41" t="n">
        <v>11540</v>
      </c>
      <c r="L57" s="41" t="n">
        <v>57367</v>
      </c>
      <c r="M57" s="41" t="n">
        <v>55138</v>
      </c>
      <c r="N57" s="105" t="n">
        <v>4</v>
      </c>
    </row>
    <row r="58" ht="9" customHeight="1" s="142">
      <c r="A58" s="44" t="n"/>
      <c r="B58" s="33" t="n"/>
      <c r="C58" s="41" t="n"/>
      <c r="D58" s="41" t="n"/>
      <c r="E58" s="41" t="n"/>
      <c r="F58" s="104" t="n"/>
      <c r="G58" s="104" t="n"/>
      <c r="H58" s="104" t="n"/>
      <c r="I58" s="41" t="n"/>
      <c r="J58" s="41" t="n"/>
      <c r="K58" s="41" t="n"/>
      <c r="L58" s="41" t="n"/>
      <c r="M58" s="41" t="n"/>
      <c r="N58" s="105" t="n"/>
    </row>
    <row r="59" ht="15" customHeight="1" s="142">
      <c r="A59" s="42" t="inlineStr">
        <is>
          <t xml:space="preserve">    Transportation equipment:    </t>
        </is>
      </c>
      <c r="B59" s="33" t="n"/>
      <c r="C59" s="41" t="n"/>
      <c r="D59" s="41" t="n"/>
      <c r="E59" s="41" t="n"/>
      <c r="F59" s="104" t="n"/>
      <c r="G59" s="104" t="n"/>
      <c r="H59" s="104" t="n"/>
      <c r="I59" s="41" t="n"/>
      <c r="J59" s="41" t="n"/>
      <c r="K59" s="41" t="n"/>
      <c r="L59" s="41" t="n"/>
      <c r="M59" s="41" t="n"/>
      <c r="N59" s="105" t="n"/>
    </row>
    <row r="60" ht="20.25" customHeight="1" s="142">
      <c r="A60" s="40" t="inlineStr">
        <is>
          <t xml:space="preserve">               Shipments…………………………..</t>
        </is>
      </c>
      <c r="B60" s="33" t="n"/>
      <c r="C60" s="41" t="n">
        <v>85755</v>
      </c>
      <c r="D60" s="41" t="n">
        <v>85513</v>
      </c>
      <c r="E60" s="41" t="n">
        <v>89504</v>
      </c>
      <c r="F60" s="104" t="n">
        <v>0.3</v>
      </c>
      <c r="G60" s="104" t="n">
        <v>-4.5</v>
      </c>
      <c r="H60" s="104" t="n">
        <v>-0.1</v>
      </c>
      <c r="I60" s="41" t="n">
        <v>88651</v>
      </c>
      <c r="J60" s="41" t="n">
        <v>84298</v>
      </c>
      <c r="K60" s="41" t="n">
        <v>84886</v>
      </c>
      <c r="L60" s="41" t="n">
        <v>436819</v>
      </c>
      <c r="M60" s="41" t="n">
        <v>412270</v>
      </c>
      <c r="N60" s="105" t="n">
        <v>6</v>
      </c>
    </row>
    <row r="61" ht="17.25" customHeight="1" s="142">
      <c r="A61" s="40" t="inlineStr">
        <is>
          <t xml:space="preserve">               New Orders…………………………</t>
        </is>
      </c>
      <c r="B61" s="33" t="n"/>
      <c r="C61" s="41" t="n">
        <v>79996</v>
      </c>
      <c r="D61" s="41" t="n">
        <v>83854</v>
      </c>
      <c r="E61" s="41" t="n">
        <v>90795</v>
      </c>
      <c r="F61" s="104" t="n">
        <v>-4.6</v>
      </c>
      <c r="G61" s="104" t="n">
        <v>-7.6</v>
      </c>
      <c r="H61" s="104" t="n">
        <v>6</v>
      </c>
      <c r="I61" s="41" t="n">
        <v>76673</v>
      </c>
      <c r="J61" s="41" t="n">
        <v>79677</v>
      </c>
      <c r="K61" s="41" t="n">
        <v>85117</v>
      </c>
      <c r="L61" s="41" t="n">
        <v>420378</v>
      </c>
      <c r="M61" s="41" t="n">
        <v>420540</v>
      </c>
      <c r="N61" s="105" t="n">
        <v>0</v>
      </c>
    </row>
    <row r="62" ht="9" customHeight="1" s="142">
      <c r="A62" s="40" t="n"/>
      <c r="B62" s="33" t="n"/>
      <c r="C62" s="41" t="n"/>
      <c r="D62" s="41" t="n"/>
      <c r="E62" s="41" t="n"/>
      <c r="F62" s="104" t="n"/>
      <c r="G62" s="104" t="n"/>
      <c r="H62" s="104" t="n"/>
      <c r="I62" s="41" t="n"/>
      <c r="J62" s="41" t="n"/>
      <c r="K62" s="41" t="n"/>
      <c r="L62" s="41" t="n"/>
      <c r="M62" s="41" t="n"/>
      <c r="N62" s="105" t="n"/>
    </row>
    <row r="63" ht="18.75" customHeight="1" s="142">
      <c r="A63" s="44" t="inlineStr">
        <is>
          <t xml:space="preserve">         Motor vehicles and parts:</t>
        </is>
      </c>
      <c r="B63" s="33" t="n"/>
      <c r="C63" s="41" t="n"/>
      <c r="D63" s="41" t="n"/>
      <c r="E63" s="41" t="n"/>
      <c r="F63" s="104" t="n"/>
      <c r="G63" s="104" t="n"/>
      <c r="H63" s="104" t="n"/>
      <c r="I63" s="41" t="n"/>
      <c r="J63" s="41" t="n"/>
      <c r="K63" s="41" t="n"/>
      <c r="L63" s="41" t="n"/>
      <c r="M63" s="41" t="n"/>
      <c r="N63" s="105" t="n"/>
    </row>
    <row r="64" ht="18" customHeight="1" s="142">
      <c r="A64" s="40" t="inlineStr">
        <is>
          <t xml:space="preserve">               Shipments…………………………..</t>
        </is>
      </c>
      <c r="B64" s="33" t="n"/>
      <c r="C64" s="41" t="n">
        <v>60555</v>
      </c>
      <c r="D64" s="41" t="n">
        <v>60292</v>
      </c>
      <c r="E64" s="41" t="n">
        <v>62353</v>
      </c>
      <c r="F64" s="104" t="n">
        <v>0.4</v>
      </c>
      <c r="G64" s="104" t="n">
        <v>-3.3</v>
      </c>
      <c r="H64" s="104" t="n">
        <v>1</v>
      </c>
      <c r="I64" s="41" t="n">
        <v>63150</v>
      </c>
      <c r="J64" s="41" t="n">
        <v>61502</v>
      </c>
      <c r="K64" s="41" t="n">
        <v>57515</v>
      </c>
      <c r="L64" s="41" t="n">
        <v>309961</v>
      </c>
      <c r="M64" s="41" t="n">
        <v>288140</v>
      </c>
      <c r="N64" s="105" t="n">
        <v>7.6</v>
      </c>
    </row>
    <row r="65" ht="15.75" customHeight="1" s="142">
      <c r="A65" s="40" t="inlineStr">
        <is>
          <t xml:space="preserve">               New Orders…………………………</t>
        </is>
      </c>
      <c r="B65" s="33" t="n"/>
      <c r="C65" s="41" t="n">
        <v>60477</v>
      </c>
      <c r="D65" s="41" t="n">
        <v>60142</v>
      </c>
      <c r="E65" s="41" t="n">
        <v>62146</v>
      </c>
      <c r="F65" s="104" t="n">
        <v>0.6</v>
      </c>
      <c r="G65" s="104" t="n">
        <v>-3.2</v>
      </c>
      <c r="H65" s="104" t="n">
        <v>0.4</v>
      </c>
      <c r="I65" s="41" t="n">
        <v>63108</v>
      </c>
      <c r="J65" s="41" t="n">
        <v>60764</v>
      </c>
      <c r="K65" s="41" t="n">
        <v>57617</v>
      </c>
      <c r="L65" s="41" t="n">
        <v>310317</v>
      </c>
      <c r="M65" s="41" t="n">
        <v>288729</v>
      </c>
      <c r="N65" s="105" t="n">
        <v>7.5</v>
      </c>
    </row>
    <row r="66" ht="9" customHeight="1" s="142">
      <c r="A66" s="45" t="inlineStr">
        <is>
          <t xml:space="preserve">           </t>
        </is>
      </c>
      <c r="B66" s="33" t="n"/>
      <c r="C66" s="41" t="n"/>
      <c r="D66" s="41" t="n"/>
      <c r="E66" s="41" t="n"/>
      <c r="F66" s="104" t="n"/>
      <c r="G66" s="104" t="n"/>
      <c r="H66" s="104" t="n"/>
      <c r="I66" s="41" t="n"/>
      <c r="J66" s="41" t="n"/>
      <c r="K66" s="41" t="n"/>
      <c r="L66" s="41" t="n"/>
      <c r="M66" s="41" t="n"/>
      <c r="N66" s="105" t="n"/>
    </row>
    <row r="67" ht="18.75" customHeight="1" s="142">
      <c r="A67" s="40" t="inlineStr">
        <is>
          <t xml:space="preserve">         Nondefense aircraft and parts:</t>
        </is>
      </c>
      <c r="B67" s="33" t="n"/>
      <c r="C67" s="41" t="n"/>
      <c r="D67" s="41" t="n"/>
      <c r="E67" s="41" t="n"/>
      <c r="F67" s="104" t="n"/>
      <c r="G67" s="104" t="n"/>
      <c r="H67" s="104" t="n"/>
      <c r="I67" s="41" t="n"/>
      <c r="J67" s="41" t="n"/>
      <c r="K67" s="41" t="n"/>
      <c r="L67" s="41" t="n"/>
      <c r="M67" s="41" t="n"/>
      <c r="N67" s="105" t="n"/>
    </row>
    <row r="68" ht="20.25" customHeight="1" s="142">
      <c r="A68" s="40" t="inlineStr">
        <is>
          <t xml:space="preserve">               Shipments…………………………..</t>
        </is>
      </c>
      <c r="B68" s="33" t="n"/>
      <c r="C68" s="41" t="n">
        <v>10407</v>
      </c>
      <c r="D68" s="41" t="n">
        <v>10558</v>
      </c>
      <c r="E68" s="41" t="n">
        <v>13085</v>
      </c>
      <c r="F68" s="104" t="n">
        <v>-1.4</v>
      </c>
      <c r="G68" s="104" t="n">
        <v>-19.3</v>
      </c>
      <c r="H68" s="104" t="n">
        <v>-3.4</v>
      </c>
      <c r="I68" s="41" t="n">
        <v>10281</v>
      </c>
      <c r="J68" s="41" t="n">
        <v>9131</v>
      </c>
      <c r="K68" s="41" t="n">
        <v>13842</v>
      </c>
      <c r="L68" s="41" t="n">
        <v>56289</v>
      </c>
      <c r="M68" s="41" t="n">
        <v>60508</v>
      </c>
      <c r="N68" s="105" t="n">
        <v>-7</v>
      </c>
    </row>
    <row r="69" ht="18" customHeight="1" s="142">
      <c r="A69" s="40" t="inlineStr">
        <is>
          <t xml:space="preserve">               New Orders…………………………</t>
        </is>
      </c>
      <c r="B69" s="33" t="n"/>
      <c r="C69" s="41" t="n">
        <v>5338</v>
      </c>
      <c r="D69" s="41" t="n">
        <v>7438</v>
      </c>
      <c r="E69" s="41" t="n">
        <v>12256</v>
      </c>
      <c r="F69" s="107" t="n">
        <v>-28.2</v>
      </c>
      <c r="G69" s="107" t="n">
        <v>-39.3</v>
      </c>
      <c r="H69" s="107" t="n">
        <v>7.8</v>
      </c>
      <c r="I69" s="41" t="n">
        <v>780</v>
      </c>
      <c r="J69" s="41" t="n">
        <v>5260</v>
      </c>
      <c r="K69" s="41" t="n">
        <v>12998</v>
      </c>
      <c r="L69" s="41" t="n">
        <v>41339</v>
      </c>
      <c r="M69" s="41" t="n">
        <v>68240</v>
      </c>
      <c r="N69" s="105" t="n">
        <v>-39.4</v>
      </c>
    </row>
    <row r="70" ht="9" customHeight="1" s="142">
      <c r="A70" s="40" t="n"/>
      <c r="B70" s="33" t="n"/>
      <c r="C70" s="41" t="n"/>
      <c r="D70" s="41" t="n"/>
      <c r="E70" s="41" t="n"/>
      <c r="F70" s="104" t="n"/>
      <c r="G70" s="104" t="n"/>
      <c r="H70" s="104" t="n"/>
      <c r="I70" s="41" t="n"/>
      <c r="J70" s="41" t="n"/>
      <c r="K70" s="41" t="n"/>
      <c r="L70" s="41" t="n"/>
      <c r="M70" s="41" t="n"/>
      <c r="N70" s="105" t="n"/>
    </row>
    <row r="71" ht="18.75" customHeight="1" s="142">
      <c r="A71" s="40" t="inlineStr">
        <is>
          <t xml:space="preserve">         Defense aircraft and parts:</t>
        </is>
      </c>
      <c r="B71" s="33" t="n"/>
      <c r="C71" s="41" t="n"/>
      <c r="D71" s="41" t="n"/>
      <c r="E71" s="41" t="n"/>
      <c r="F71" s="104" t="n"/>
      <c r="G71" s="104" t="n"/>
      <c r="H71" s="104" t="n"/>
      <c r="I71" s="41" t="n"/>
      <c r="J71" s="41" t="n"/>
      <c r="K71" s="41" t="n"/>
      <c r="L71" s="41" t="n"/>
      <c r="M71" s="41" t="n"/>
      <c r="N71" s="105" t="n"/>
    </row>
    <row r="72" ht="18.75" customHeight="1" s="142">
      <c r="A72" s="40" t="inlineStr">
        <is>
          <t xml:space="preserve">               Shipments…………………………..</t>
        </is>
      </c>
      <c r="B72" s="33" t="n"/>
      <c r="C72" s="41" t="n">
        <v>4708</v>
      </c>
      <c r="D72" s="41" t="n">
        <v>4783</v>
      </c>
      <c r="E72" s="41" t="n">
        <v>4516</v>
      </c>
      <c r="F72" s="104" t="n">
        <v>-1.6</v>
      </c>
      <c r="G72" s="104" t="n">
        <v>5.9</v>
      </c>
      <c r="H72" s="104" t="n">
        <v>-2.6</v>
      </c>
      <c r="I72" s="41" t="n">
        <v>4637</v>
      </c>
      <c r="J72" s="41" t="n">
        <v>4012</v>
      </c>
      <c r="K72" s="41" t="n">
        <v>4539</v>
      </c>
      <c r="L72" s="41" t="n">
        <v>21858</v>
      </c>
      <c r="M72" s="41" t="n">
        <v>20594</v>
      </c>
      <c r="N72" s="105" t="n">
        <v>6.1</v>
      </c>
    </row>
    <row r="73" ht="18.75" customHeight="1" s="142">
      <c r="A73" s="40" t="inlineStr">
        <is>
          <t xml:space="preserve">               New Orders…………………………</t>
        </is>
      </c>
      <c r="B73" s="33" t="n"/>
      <c r="C73" s="41" t="n">
        <v>4534</v>
      </c>
      <c r="D73" s="41" t="n">
        <v>5350</v>
      </c>
      <c r="E73" s="41" t="n">
        <v>5590</v>
      </c>
      <c r="F73" s="104" t="n">
        <v>-15.3</v>
      </c>
      <c r="G73" s="104" t="n">
        <v>-4.3</v>
      </c>
      <c r="H73" s="104" t="n">
        <v>19</v>
      </c>
      <c r="I73" s="41" t="n">
        <v>2749</v>
      </c>
      <c r="J73" s="41" t="n">
        <v>4933</v>
      </c>
      <c r="K73" s="41" t="n">
        <v>4404</v>
      </c>
      <c r="L73" s="41" t="n">
        <v>21532</v>
      </c>
      <c r="M73" s="41" t="n">
        <v>17897</v>
      </c>
      <c r="N73" s="105" t="n">
        <v>20.3</v>
      </c>
    </row>
    <row r="74" ht="9" customHeight="1" s="142">
      <c r="A74" s="40" t="n"/>
      <c r="B74" s="33" t="n"/>
      <c r="C74" s="41" t="n"/>
      <c r="D74" s="41" t="n"/>
      <c r="E74" s="41" t="n"/>
      <c r="F74" s="104" t="n"/>
      <c r="G74" s="104" t="n"/>
      <c r="H74" s="104" t="n"/>
      <c r="I74" s="41" t="n"/>
      <c r="J74" s="41" t="n"/>
      <c r="K74" s="41" t="n"/>
      <c r="L74" s="41" t="n"/>
      <c r="M74" s="41" t="n"/>
      <c r="N74" s="105" t="n"/>
    </row>
    <row r="75" ht="18.75" customHeight="1" s="142">
      <c r="A75" s="40" t="inlineStr">
        <is>
          <t xml:space="preserve">    All other durable goods:           </t>
        </is>
      </c>
      <c r="B75" s="33" t="n"/>
      <c r="C75" s="41" t="n"/>
      <c r="D75" s="41" t="n"/>
      <c r="E75" s="41" t="n"/>
      <c r="F75" s="104" t="n"/>
      <c r="G75" s="104" t="n"/>
      <c r="H75" s="104" t="n"/>
      <c r="I75" s="41" t="n"/>
      <c r="J75" s="41" t="n"/>
      <c r="K75" s="41" t="n"/>
      <c r="L75" s="41" t="n"/>
      <c r="M75" s="41" t="n"/>
      <c r="N75" s="105" t="n"/>
    </row>
    <row r="76" ht="18" customHeight="1" s="142">
      <c r="A76" s="40" t="inlineStr">
        <is>
          <t xml:space="preserve">               Shipments…………………………..</t>
        </is>
      </c>
      <c r="B76" s="33" t="n"/>
      <c r="C76" s="41" t="n">
        <v>40749</v>
      </c>
      <c r="D76" s="41" t="n">
        <v>40670</v>
      </c>
      <c r="E76" s="41" t="n">
        <v>40679</v>
      </c>
      <c r="F76" s="104" t="n">
        <v>0.2</v>
      </c>
      <c r="G76" s="104" t="n">
        <v>0</v>
      </c>
      <c r="H76" s="104" t="n">
        <v>0.2</v>
      </c>
      <c r="I76" s="41" t="n">
        <v>42638</v>
      </c>
      <c r="J76" s="41" t="n">
        <v>41403</v>
      </c>
      <c r="K76" s="41" t="n">
        <v>42312</v>
      </c>
      <c r="L76" s="41" t="n">
        <v>198236</v>
      </c>
      <c r="M76" s="41" t="n">
        <v>197254</v>
      </c>
      <c r="N76" s="105" t="n">
        <v>0.5</v>
      </c>
    </row>
    <row r="77" ht="18.75" customHeight="1" s="142">
      <c r="A77" s="40" t="inlineStr">
        <is>
          <t xml:space="preserve">               New Orders…………………………</t>
        </is>
      </c>
      <c r="B77" s="33" t="n"/>
      <c r="C77" s="41" t="n">
        <v>40829</v>
      </c>
      <c r="D77" s="41" t="n">
        <v>40599</v>
      </c>
      <c r="E77" s="41" t="n">
        <v>40594</v>
      </c>
      <c r="F77" s="104" t="n">
        <v>0.6</v>
      </c>
      <c r="G77" s="104" t="n">
        <v>0</v>
      </c>
      <c r="H77" s="104" t="n">
        <v>0.3</v>
      </c>
      <c r="I77" s="41" t="n">
        <v>42887</v>
      </c>
      <c r="J77" s="41" t="n">
        <v>41690</v>
      </c>
      <c r="K77" s="41" t="n">
        <v>42451</v>
      </c>
      <c r="L77" s="41" t="n">
        <v>199357</v>
      </c>
      <c r="M77" s="41" t="n">
        <v>198420</v>
      </c>
      <c r="N77" s="105" t="n">
        <v>0.5</v>
      </c>
    </row>
    <row r="78" ht="9" customHeight="1" s="142">
      <c r="A78" s="40" t="n"/>
      <c r="B78" s="33" t="n"/>
      <c r="C78" s="41" t="n"/>
      <c r="D78" s="41" t="n"/>
      <c r="E78" s="41" t="n"/>
      <c r="F78" s="104" t="n"/>
      <c r="G78" s="104" t="n"/>
      <c r="H78" s="104" t="n"/>
      <c r="I78" s="41" t="n"/>
      <c r="J78" s="41" t="n"/>
      <c r="K78" s="41" t="n"/>
      <c r="L78" s="41" t="n"/>
      <c r="M78" s="41" t="n"/>
      <c r="N78" s="105" t="n"/>
    </row>
    <row r="79" ht="21.75" customHeight="1" s="142">
      <c r="A79" s="40" t="inlineStr">
        <is>
          <t xml:space="preserve">    Capital goods3:</t>
        </is>
      </c>
      <c r="B79" s="33" t="n"/>
      <c r="C79" s="41" t="n"/>
      <c r="D79" s="41" t="n"/>
      <c r="E79" s="41" t="n"/>
      <c r="F79" s="104" t="n"/>
      <c r="G79" s="104" t="n"/>
      <c r="H79" s="104" t="n"/>
      <c r="I79" s="41" t="n"/>
      <c r="J79" s="41" t="n"/>
      <c r="K79" s="41" t="n"/>
      <c r="L79" s="41" t="n"/>
      <c r="M79" s="41" t="n"/>
      <c r="N79" s="105" t="n"/>
    </row>
    <row r="80" ht="18" customHeight="1" s="142">
      <c r="A80" s="40" t="inlineStr">
        <is>
          <t xml:space="preserve">               Shipments…………………………..</t>
        </is>
      </c>
      <c r="B80" s="33" t="n"/>
      <c r="C80" s="41" t="n">
        <v>89098</v>
      </c>
      <c r="D80" s="41" t="n">
        <v>88691</v>
      </c>
      <c r="E80" s="41" t="n">
        <v>90810</v>
      </c>
      <c r="F80" s="104" t="n">
        <v>0.5</v>
      </c>
      <c r="G80" s="104" t="n">
        <v>-2.3</v>
      </c>
      <c r="H80" s="104" t="n">
        <v>-0.6</v>
      </c>
      <c r="I80" s="41" t="n">
        <v>89136</v>
      </c>
      <c r="J80" s="41" t="n">
        <v>85154</v>
      </c>
      <c r="K80" s="41" t="n">
        <v>88478</v>
      </c>
      <c r="L80" s="41" t="n">
        <v>435752</v>
      </c>
      <c r="M80" s="41" t="n">
        <v>421434</v>
      </c>
      <c r="N80" s="105" t="n">
        <v>3.4</v>
      </c>
    </row>
    <row r="81" ht="18.75" customHeight="1" s="142">
      <c r="A81" s="40" t="inlineStr">
        <is>
          <t xml:space="preserve">               New Orders…………………………</t>
        </is>
      </c>
      <c r="B81" s="33" t="n"/>
      <c r="C81" s="41" t="n">
        <v>84657</v>
      </c>
      <c r="D81" s="41" t="n">
        <v>87523</v>
      </c>
      <c r="E81" s="41" t="n">
        <v>91900</v>
      </c>
      <c r="F81" s="104" t="n">
        <v>-3.3</v>
      </c>
      <c r="G81" s="104" t="n">
        <v>-4.8</v>
      </c>
      <c r="H81" s="104" t="n">
        <v>6.3</v>
      </c>
      <c r="I81" s="41" t="n">
        <v>78520</v>
      </c>
      <c r="J81" s="41" t="n">
        <v>82435</v>
      </c>
      <c r="K81" s="41" t="n">
        <v>87316</v>
      </c>
      <c r="L81" s="41" t="n">
        <v>426540</v>
      </c>
      <c r="M81" s="41" t="n">
        <v>434256</v>
      </c>
      <c r="N81" s="105" t="n">
        <v>-1.8</v>
      </c>
    </row>
    <row r="82" ht="9" customHeight="1" s="142">
      <c r="A82" s="40" t="n"/>
      <c r="B82" s="33" t="n"/>
      <c r="C82" s="41" t="n"/>
      <c r="D82" s="41" t="n"/>
      <c r="E82" s="41" t="n"/>
      <c r="F82" s="104" t="n"/>
      <c r="G82" s="104" t="n"/>
      <c r="H82" s="104" t="n"/>
      <c r="I82" s="41" t="n"/>
      <c r="J82" s="41" t="n"/>
      <c r="K82" s="41" t="n"/>
      <c r="L82" s="41" t="n"/>
      <c r="M82" s="41" t="n"/>
      <c r="N82" s="105" t="n"/>
    </row>
    <row r="83" ht="18.75" customHeight="1" s="142">
      <c r="A83" s="40" t="inlineStr">
        <is>
          <t xml:space="preserve">           Nondefense capital goods:</t>
        </is>
      </c>
      <c r="B83" s="33" t="n"/>
      <c r="C83" s="41" t="n"/>
      <c r="D83" s="41" t="n"/>
      <c r="E83" s="41" t="n"/>
      <c r="F83" s="104" t="n"/>
      <c r="G83" s="104" t="n"/>
      <c r="H83" s="104" t="n"/>
      <c r="I83" s="41" t="n"/>
      <c r="J83" s="41" t="n"/>
      <c r="K83" s="41" t="n"/>
      <c r="L83" s="41" t="n"/>
      <c r="M83" s="41" t="n"/>
      <c r="N83" s="105" t="n"/>
    </row>
    <row r="84" ht="20.25" customHeight="1" s="142">
      <c r="A84" s="40" t="inlineStr">
        <is>
          <t xml:space="preserve">               Shipments…………………………..</t>
        </is>
      </c>
      <c r="B84" s="33" t="n"/>
      <c r="C84" s="41" t="n">
        <v>76086</v>
      </c>
      <c r="D84" s="41" t="n">
        <v>75738</v>
      </c>
      <c r="E84" s="41" t="n">
        <v>78288</v>
      </c>
      <c r="F84" s="104" t="n">
        <v>0.5</v>
      </c>
      <c r="G84" s="104" t="n">
        <v>-3.3</v>
      </c>
      <c r="H84" s="104" t="n">
        <v>-0.9</v>
      </c>
      <c r="I84" s="41" t="n">
        <v>76273</v>
      </c>
      <c r="J84" s="41" t="n">
        <v>73314</v>
      </c>
      <c r="K84" s="41" t="n">
        <v>77209</v>
      </c>
      <c r="L84" s="41" t="n">
        <v>374259</v>
      </c>
      <c r="M84" s="41" t="n">
        <v>367199</v>
      </c>
      <c r="N84" s="105" t="n">
        <v>1.9</v>
      </c>
    </row>
    <row r="85" ht="18.75" customHeight="1" s="142">
      <c r="A85" s="40" t="inlineStr">
        <is>
          <t xml:space="preserve">               New Orders…………………………</t>
        </is>
      </c>
      <c r="B85" s="33" t="n"/>
      <c r="C85" s="41" t="n">
        <v>70792</v>
      </c>
      <c r="D85" s="41" t="n">
        <v>72485</v>
      </c>
      <c r="E85" s="41" t="n">
        <v>77840</v>
      </c>
      <c r="F85" s="104" t="n">
        <v>-2.3</v>
      </c>
      <c r="G85" s="104" t="n">
        <v>-6.9</v>
      </c>
      <c r="H85" s="104" t="n">
        <v>2.6</v>
      </c>
      <c r="I85" s="41" t="n">
        <v>66329</v>
      </c>
      <c r="J85" s="41" t="n">
        <v>70690</v>
      </c>
      <c r="K85" s="41" t="n">
        <v>75891</v>
      </c>
      <c r="L85" s="41" t="n">
        <v>363648</v>
      </c>
      <c r="M85" s="41" t="n">
        <v>379805</v>
      </c>
      <c r="N85" s="105" t="n">
        <v>-4.3</v>
      </c>
    </row>
    <row r="86" ht="9" customHeight="1" s="142">
      <c r="A86" s="43" t="n"/>
      <c r="B86" s="33" t="n"/>
      <c r="C86" s="41" t="n"/>
      <c r="D86" s="41" t="n"/>
      <c r="E86" s="41" t="n"/>
      <c r="F86" s="104" t="n"/>
      <c r="G86" s="104" t="n"/>
      <c r="H86" s="104" t="n"/>
      <c r="I86" s="41" t="n"/>
      <c r="J86" s="41" t="n"/>
      <c r="K86" s="41" t="n"/>
      <c r="L86" s="41" t="n"/>
      <c r="M86" s="41" t="n"/>
      <c r="N86" s="105" t="n"/>
    </row>
    <row r="87" ht="20.25" customHeight="1" s="142">
      <c r="A87" s="40" t="inlineStr">
        <is>
          <t xml:space="preserve">                Excluding aircraft:</t>
        </is>
      </c>
      <c r="B87" s="33" t="n"/>
      <c r="C87" s="41" t="n"/>
      <c r="D87" s="41" t="n"/>
      <c r="E87" s="41" t="n"/>
      <c r="F87" s="104" t="n"/>
      <c r="G87" s="104" t="n"/>
      <c r="H87" s="104" t="n"/>
      <c r="I87" s="41" t="n"/>
      <c r="J87" s="41" t="n"/>
      <c r="K87" s="41" t="n"/>
      <c r="L87" s="41" t="n"/>
      <c r="M87" s="41" t="n"/>
      <c r="N87" s="105" t="n"/>
    </row>
    <row r="88" ht="20.25" customHeight="1" s="142">
      <c r="A88" s="40" t="inlineStr">
        <is>
          <t xml:space="preserve">                    Shipments………………………</t>
        </is>
      </c>
      <c r="B88" s="33" t="n"/>
      <c r="C88" s="41" t="n">
        <v>70086</v>
      </c>
      <c r="D88" s="41" t="n">
        <v>69633</v>
      </c>
      <c r="E88" s="41" t="n">
        <v>69380</v>
      </c>
      <c r="F88" s="104" t="n">
        <v>0.7</v>
      </c>
      <c r="G88" s="104" t="n">
        <v>0.4</v>
      </c>
      <c r="H88" s="104" t="n">
        <v>-0.6</v>
      </c>
      <c r="I88" s="41" t="n">
        <v>70306</v>
      </c>
      <c r="J88" s="41" t="n">
        <v>68288</v>
      </c>
      <c r="K88" s="41" t="n">
        <v>67487</v>
      </c>
      <c r="L88" s="41" t="n">
        <v>339783</v>
      </c>
      <c r="M88" s="41" t="n">
        <v>327431</v>
      </c>
      <c r="N88" s="105" t="n">
        <v>3.8</v>
      </c>
    </row>
    <row r="89" ht="20.25" customHeight="1" s="142">
      <c r="A89" s="40" t="inlineStr">
        <is>
          <t xml:space="preserve">                    New Orders……………………..</t>
        </is>
      </c>
      <c r="B89" s="33" t="n"/>
      <c r="C89" s="41" t="n">
        <v>68950</v>
      </c>
      <c r="D89" s="41" t="n">
        <v>68695</v>
      </c>
      <c r="E89" s="41" t="n">
        <v>69396</v>
      </c>
      <c r="F89" s="104" t="n">
        <v>0.4</v>
      </c>
      <c r="G89" s="104" t="n">
        <v>-1</v>
      </c>
      <c r="H89" s="104" t="n">
        <v>0.3</v>
      </c>
      <c r="I89" s="41" t="n">
        <v>68846</v>
      </c>
      <c r="J89" s="41" t="n">
        <v>68174</v>
      </c>
      <c r="K89" s="41" t="n">
        <v>68188</v>
      </c>
      <c r="L89" s="41" t="n">
        <v>341825</v>
      </c>
      <c r="M89" s="41" t="n">
        <v>334262</v>
      </c>
      <c r="N89" s="105" t="n">
        <v>2.3</v>
      </c>
    </row>
    <row r="90" ht="9" customHeight="1" s="142">
      <c r="A90" s="43" t="n"/>
      <c r="B90" s="33" t="n"/>
      <c r="C90" s="41" t="n"/>
      <c r="D90" s="41" t="n"/>
      <c r="E90" s="41" t="n"/>
      <c r="F90" s="104" t="n"/>
      <c r="G90" s="104" t="n"/>
      <c r="H90" s="104" t="n"/>
      <c r="I90" s="41" t="n"/>
      <c r="J90" s="41" t="n"/>
      <c r="K90" s="41" t="n"/>
      <c r="L90" s="41" t="n"/>
      <c r="M90" s="41" t="n"/>
      <c r="N90" s="105" t="n"/>
    </row>
    <row r="91" ht="18.75" customHeight="1" s="142">
      <c r="A91" s="40" t="inlineStr">
        <is>
          <t xml:space="preserve">           Defense capital goods:</t>
        </is>
      </c>
      <c r="B91" s="33" t="n"/>
      <c r="C91" s="41" t="n"/>
      <c r="D91" s="41" t="n"/>
      <c r="E91" s="41" t="n"/>
      <c r="F91" s="104" t="n"/>
      <c r="G91" s="104" t="n"/>
      <c r="H91" s="104" t="n"/>
      <c r="I91" s="41" t="n"/>
      <c r="J91" s="41" t="n"/>
      <c r="K91" s="41" t="n"/>
      <c r="L91" s="41" t="n"/>
      <c r="M91" s="41" t="n"/>
      <c r="N91" s="105" t="n"/>
    </row>
    <row r="92" ht="18" customHeight="1" s="142">
      <c r="A92" s="40" t="inlineStr">
        <is>
          <t xml:space="preserve">               Shipments…………………………..</t>
        </is>
      </c>
      <c r="B92" s="33" t="n"/>
      <c r="C92" s="41" t="n">
        <v>13012</v>
      </c>
      <c r="D92" s="41" t="n">
        <v>12953</v>
      </c>
      <c r="E92" s="41" t="n">
        <v>12522</v>
      </c>
      <c r="F92" s="104" t="n">
        <v>0.5</v>
      </c>
      <c r="G92" s="104" t="n">
        <v>3.4</v>
      </c>
      <c r="H92" s="104" t="n">
        <v>0.9</v>
      </c>
      <c r="I92" s="41" t="n">
        <v>12863</v>
      </c>
      <c r="J92" s="41" t="n">
        <v>11840</v>
      </c>
      <c r="K92" s="41" t="n">
        <v>11269</v>
      </c>
      <c r="L92" s="41" t="n">
        <v>61493</v>
      </c>
      <c r="M92" s="41" t="n">
        <v>54235</v>
      </c>
      <c r="N92" s="105" t="n">
        <v>13.4</v>
      </c>
    </row>
    <row r="93" ht="15" customHeight="1" s="142">
      <c r="A93" s="40" t="inlineStr">
        <is>
          <t xml:space="preserve">               New Orders…………………………</t>
        </is>
      </c>
      <c r="B93" s="33" t="n"/>
      <c r="C93" s="41" t="n">
        <v>13865</v>
      </c>
      <c r="D93" s="41" t="n">
        <v>15038</v>
      </c>
      <c r="E93" s="41" t="n">
        <v>14060</v>
      </c>
      <c r="F93" s="104" t="n">
        <v>-7.8</v>
      </c>
      <c r="G93" s="104" t="n">
        <v>7</v>
      </c>
      <c r="H93" s="104" t="n">
        <v>32.7</v>
      </c>
      <c r="I93" s="41" t="n">
        <v>12191</v>
      </c>
      <c r="J93" s="41" t="n">
        <v>11745</v>
      </c>
      <c r="K93" s="41" t="n">
        <v>11425</v>
      </c>
      <c r="L93" s="41" t="n">
        <v>62892</v>
      </c>
      <c r="M93" s="41" t="n">
        <v>54451</v>
      </c>
      <c r="N93" s="105" t="n">
        <v>15.5</v>
      </c>
    </row>
    <row r="94" ht="9" customHeight="1" s="142" thickBot="1">
      <c r="A94" s="30" t="n"/>
      <c r="B94" s="31" t="n"/>
      <c r="C94" s="46" t="n"/>
      <c r="D94" s="46" t="n"/>
      <c r="E94" s="46" t="n"/>
      <c r="F94" s="108" t="n"/>
      <c r="G94" s="108" t="n"/>
      <c r="H94" s="108" t="n"/>
      <c r="I94" s="46" t="n"/>
      <c r="J94" s="46" t="n"/>
      <c r="K94" s="46" t="n"/>
      <c r="L94" s="46" t="n"/>
      <c r="M94" s="46" t="n"/>
      <c r="N94" s="109" t="n"/>
    </row>
    <row r="95" ht="9" customHeight="1" s="142">
      <c r="A95" s="3" t="n"/>
      <c r="B95" s="3" t="n"/>
      <c r="C95" s="47" t="n"/>
      <c r="D95" s="47" t="n"/>
      <c r="E95" s="47" t="n"/>
      <c r="F95" s="110" t="n"/>
      <c r="G95" s="110" t="n"/>
      <c r="H95" s="110" t="n"/>
      <c r="I95" s="47" t="n"/>
      <c r="J95" s="47" t="n"/>
      <c r="K95" s="47" t="n"/>
      <c r="L95" s="47" t="n"/>
      <c r="M95" s="47" t="n"/>
      <c r="N95" s="101" t="n"/>
    </row>
    <row r="96" ht="9" customHeight="1" s="142">
      <c r="A96" s="3" t="n"/>
      <c r="B96" s="3" t="n"/>
      <c r="C96" s="47" t="n"/>
      <c r="D96" s="47" t="n"/>
      <c r="E96" s="47" t="n"/>
      <c r="F96" s="110" t="n"/>
      <c r="G96" s="110" t="n"/>
      <c r="H96" s="110" t="n"/>
      <c r="I96" s="47" t="n"/>
      <c r="J96" s="47" t="n"/>
      <c r="K96" s="47" t="n"/>
      <c r="L96" s="47" t="n"/>
      <c r="M96" s="47" t="n"/>
      <c r="N96" s="101" t="n"/>
    </row>
    <row r="97" ht="9" customHeight="1" s="142">
      <c r="A97" s="3" t="n"/>
      <c r="B97" s="3" t="n"/>
      <c r="C97" s="3" t="n"/>
      <c r="D97" s="3" t="n"/>
      <c r="E97" s="3" t="n"/>
      <c r="F97" s="3" t="n"/>
      <c r="G97" s="3" t="n"/>
      <c r="H97" s="3" t="n"/>
      <c r="I97" s="3" t="n"/>
      <c r="J97" s="3" t="n"/>
      <c r="K97" s="3" t="n"/>
      <c r="L97" s="3" t="n"/>
      <c r="M97" s="3" t="n"/>
      <c r="N97" s="5" t="n"/>
    </row>
    <row r="98" ht="320.25" customHeight="1" s="142">
      <c r="A98" s="141"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2">
      <c r="A99" s="48" t="n"/>
      <c r="B99" s="49" t="n"/>
      <c r="C99" s="49" t="n"/>
      <c r="D99" s="49" t="n"/>
      <c r="E99" s="49" t="n"/>
      <c r="F99" s="49" t="n"/>
      <c r="G99" s="49" t="n"/>
      <c r="H99" s="49" t="n"/>
      <c r="I99" s="49" t="n"/>
      <c r="J99" s="49" t="n"/>
      <c r="K99" s="49" t="n"/>
      <c r="L99" s="49" t="n"/>
      <c r="M99" s="49" t="n"/>
      <c r="N99" s="49" t="n"/>
    </row>
    <row r="100" ht="12" customHeight="1" s="142">
      <c r="A100" s="50" t="n"/>
      <c r="B100" s="51" t="n"/>
    </row>
    <row r="101" ht="18" customHeight="1" s="142">
      <c r="A101" s="52" t="n"/>
      <c r="B101" s="51" t="n"/>
    </row>
    <row r="102" ht="6.5" customHeight="1" s="142">
      <c r="A102" s="50" t="n"/>
      <c r="B102" s="51" t="n"/>
    </row>
    <row r="103" ht="18" customHeight="1" s="142">
      <c r="A103" s="52" t="n"/>
      <c r="B103" s="51" t="n"/>
    </row>
    <row r="104" ht="6.5" customHeight="1" s="142">
      <c r="A104" s="50" t="n"/>
      <c r="B104" s="51" t="n"/>
    </row>
    <row r="105" ht="12" customHeight="1" s="142">
      <c r="B105" s="51" t="n"/>
    </row>
    <row r="106" ht="12.75" customHeight="1" s="142"/>
    <row r="107" ht="12.75" customHeight="1" s="142">
      <c r="B107" s="53" t="n"/>
      <c r="C107" s="53" t="n"/>
      <c r="D107" s="53" t="n"/>
      <c r="E107" s="53" t="n"/>
      <c r="F107" s="53" t="n"/>
      <c r="G107" s="53" t="n"/>
      <c r="H107" s="53" t="n"/>
      <c r="I107" s="53" t="n"/>
      <c r="J107" s="53" t="n"/>
      <c r="K107" s="53" t="n"/>
      <c r="L107" s="53" t="n"/>
      <c r="M107" s="53" t="n"/>
    </row>
    <row r="108" ht="12.75" customHeight="1" s="142">
      <c r="B108" s="53" t="n"/>
      <c r="C108" s="53" t="n"/>
      <c r="D108" s="53" t="n"/>
      <c r="E108" s="53" t="n"/>
      <c r="F108" s="53" t="n"/>
      <c r="G108" s="53" t="n"/>
      <c r="H108" s="53" t="n"/>
      <c r="I108" s="53" t="n"/>
      <c r="J108" s="53" t="n"/>
      <c r="K108" s="53" t="n"/>
      <c r="L108" s="53" t="n"/>
      <c r="M108" s="53" t="n"/>
    </row>
    <row r="109" ht="12" customHeight="1" s="142">
      <c r="B109" s="53" t="n"/>
      <c r="C109" s="53" t="n"/>
      <c r="D109" s="53" t="n"/>
      <c r="E109" s="53" t="n"/>
      <c r="F109" s="53" t="n"/>
      <c r="G109" s="53" t="n"/>
      <c r="H109" s="53" t="n"/>
      <c r="I109" s="53" t="n"/>
      <c r="J109" s="53" t="n"/>
      <c r="K109" s="53" t="n"/>
      <c r="L109" s="53" t="n"/>
      <c r="M109" s="53" t="n"/>
    </row>
    <row r="110" ht="12.75" customHeight="1" s="142">
      <c r="B110" s="53" t="n"/>
      <c r="C110" s="53" t="n"/>
      <c r="D110" s="53" t="n"/>
      <c r="E110" s="53" t="n"/>
      <c r="F110" s="53" t="n"/>
      <c r="G110" s="53" t="n"/>
      <c r="H110" s="53" t="n"/>
      <c r="I110" s="53" t="n"/>
      <c r="J110" s="53" t="n"/>
      <c r="K110" s="53" t="n"/>
      <c r="L110" s="53" t="n"/>
      <c r="M110" s="53" t="n"/>
    </row>
    <row r="111" ht="12.75" customHeight="1" s="142">
      <c r="B111" s="53" t="n"/>
      <c r="C111" s="53" t="n"/>
      <c r="D111" s="53" t="n"/>
      <c r="E111" s="53" t="n"/>
      <c r="F111" s="53" t="n"/>
      <c r="G111" s="53" t="n"/>
      <c r="H111" s="53" t="n"/>
      <c r="I111" s="53" t="n"/>
      <c r="J111" s="53" t="n"/>
      <c r="K111" s="53" t="n"/>
      <c r="L111" s="53" t="n"/>
      <c r="M111" s="53" t="n"/>
    </row>
    <row r="112" ht="12.75" customHeight="1" s="142">
      <c r="B112" s="53" t="n"/>
      <c r="C112" s="53" t="n"/>
      <c r="D112" s="53" t="n"/>
      <c r="E112" s="53" t="n"/>
      <c r="F112" s="53" t="n"/>
      <c r="G112" s="53" t="n"/>
      <c r="H112" s="53" t="n"/>
      <c r="I112" s="53" t="n"/>
      <c r="J112" s="53" t="n"/>
      <c r="K112" s="53" t="n"/>
      <c r="L112" s="53" t="n"/>
      <c r="M112" s="53" t="n"/>
    </row>
    <row r="113" ht="12.75" customHeight="1" s="142">
      <c r="B113" s="53" t="n"/>
      <c r="C113" s="53" t="n"/>
      <c r="D113" s="53" t="n"/>
      <c r="E113" s="53" t="n"/>
      <c r="F113" s="53" t="n"/>
      <c r="G113" s="53" t="n"/>
      <c r="H113" s="53" t="n"/>
      <c r="I113" s="53" t="n"/>
      <c r="J113" s="53" t="n"/>
      <c r="K113" s="53" t="n"/>
      <c r="L113" s="53" t="n"/>
      <c r="M113" s="53" t="n"/>
    </row>
    <row r="114" ht="12.75" customHeight="1" s="142">
      <c r="B114" s="53" t="n"/>
      <c r="C114" s="53" t="n"/>
      <c r="D114" s="53" t="n"/>
      <c r="E114" s="53" t="n"/>
      <c r="F114" s="53" t="n"/>
      <c r="G114" s="53" t="n"/>
      <c r="H114" s="53" t="n"/>
      <c r="I114" s="53" t="n"/>
      <c r="J114" s="53" t="n"/>
      <c r="K114" s="53" t="n"/>
      <c r="L114" s="53" t="n"/>
      <c r="M114" s="53" t="n"/>
    </row>
    <row r="115" ht="20.25" customHeight="1" s="142">
      <c r="A115" s="54" t="n"/>
      <c r="B115" s="53" t="n"/>
      <c r="C115" s="53" t="n"/>
      <c r="D115" s="53" t="n"/>
      <c r="E115" s="53" t="n"/>
      <c r="F115" s="53" t="n"/>
      <c r="G115" s="53" t="n"/>
      <c r="H115" s="53" t="n"/>
      <c r="I115" s="53" t="n"/>
      <c r="J115" s="53" t="n"/>
      <c r="K115" s="53" t="n"/>
      <c r="L115" s="53" t="n"/>
      <c r="M115" s="53" t="n"/>
    </row>
    <row r="116" ht="15" customHeight="1" s="142">
      <c r="A116" s="55" t="n"/>
      <c r="B116" s="53" t="n"/>
      <c r="C116" s="53" t="n"/>
      <c r="D116" s="53" t="n"/>
      <c r="E116" s="53" t="n"/>
      <c r="F116" s="53" t="n"/>
      <c r="G116" s="53" t="n"/>
      <c r="H116" s="53" t="n"/>
      <c r="I116" s="53" t="n"/>
      <c r="J116" s="53" t="n"/>
      <c r="K116" s="53" t="n"/>
      <c r="L116" s="53" t="n"/>
      <c r="M116" s="53" t="n"/>
    </row>
    <row r="117" ht="12.75" customHeight="1" s="142"/>
    <row r="118" ht="18" customHeight="1" s="142"/>
    <row r="119" ht="18" customHeight="1" s="142"/>
    <row r="120" ht="15" customHeight="1" s="142"/>
    <row r="122">
      <c r="O122" s="56" t="n"/>
    </row>
    <row r="123">
      <c r="O123" s="57" t="n"/>
    </row>
    <row r="127">
      <c r="O127" s="57" t="n"/>
    </row>
    <row r="129">
      <c r="O129" s="57" t="n"/>
    </row>
    <row r="130">
      <c r="O130" s="57" t="n"/>
    </row>
    <row r="131">
      <c r="O131" s="57" t="n"/>
    </row>
    <row r="132">
      <c r="O132" s="57" t="n"/>
    </row>
    <row r="133">
      <c r="O133" s="57" t="n"/>
    </row>
    <row r="134">
      <c r="O134" s="57" t="n"/>
    </row>
    <row r="135">
      <c r="O135" s="57" t="n"/>
    </row>
    <row r="136">
      <c r="O136" s="57" t="n"/>
    </row>
    <row r="137">
      <c r="O137" s="57" t="n"/>
    </row>
    <row r="139">
      <c r="O139" s="57" t="n"/>
    </row>
    <row r="140">
      <c r="O140" s="57" t="n"/>
    </row>
    <row r="142">
      <c r="O142" s="57" t="n"/>
    </row>
    <row r="144">
      <c r="O144" s="57" t="n"/>
    </row>
    <row r="146">
      <c r="O146" s="57" t="n"/>
    </row>
    <row r="147">
      <c r="O147" s="57" t="n"/>
    </row>
    <row r="148">
      <c r="O148" s="57" t="n"/>
    </row>
    <row r="150">
      <c r="O150" s="57" t="n"/>
    </row>
    <row r="151">
      <c r="O151" s="57" t="n"/>
    </row>
    <row r="152">
      <c r="O152" s="57" t="n"/>
    </row>
    <row r="153">
      <c r="O153" s="57" t="n"/>
    </row>
    <row r="155">
      <c r="O155" s="57" t="n"/>
    </row>
    <row r="204">
      <c r="C204" s="58" t="n"/>
      <c r="D204" s="58" t="n"/>
      <c r="E204" s="58" t="n"/>
      <c r="I204" s="58" t="n"/>
      <c r="J204" s="58" t="n"/>
      <c r="K204" s="58" t="n"/>
      <c r="L204" s="58" t="n"/>
      <c r="M204" s="58"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72"/>
  <sheetViews>
    <sheetView zoomScale="160" zoomScaleNormal="160" workbookViewId="0">
      <pane ySplit="1" topLeftCell="A767" activePane="bottomLeft" state="frozen"/>
      <selection pane="bottomLeft" activeCell="Q21" sqref="Q21"/>
    </sheetView>
  </sheetViews>
  <sheetFormatPr baseColWidth="10" defaultColWidth="8.83203125" defaultRowHeight="15"/>
  <cols>
    <col width="12.6640625" customWidth="1" style="142" min="1" max="1"/>
    <col width="9.6640625" customWidth="1" style="142" min="2" max="7"/>
    <col width="10.6640625" customWidth="1" style="142" min="8" max="10"/>
    <col width="9.6640625" customWidth="1" style="142" min="11" max="11"/>
    <col width="10.6640625" customWidth="1" style="142" min="12" max="12"/>
    <col width="9.6640625" customWidth="1" style="142" min="13" max="13"/>
    <col width="9.1640625" customWidth="1" style="142" min="14" max="256"/>
    <col width="12.6640625" customWidth="1" style="142" min="257" max="257"/>
    <col width="9.6640625" customWidth="1" style="142" min="258" max="262"/>
    <col width="10.6640625" customWidth="1" style="142" min="263" max="266"/>
    <col width="9.6640625" customWidth="1" style="142" min="267" max="267"/>
    <col width="10.6640625" customWidth="1" style="142" min="268" max="268"/>
    <col width="9.6640625" customWidth="1" style="142" min="269" max="269"/>
    <col width="9.1640625" customWidth="1" style="142" min="270" max="512"/>
    <col width="12.6640625" customWidth="1" style="142" min="513" max="513"/>
    <col width="9.6640625" customWidth="1" style="142" min="514" max="518"/>
    <col width="10.6640625" customWidth="1" style="142" min="519" max="522"/>
    <col width="9.6640625" customWidth="1" style="142" min="523" max="523"/>
    <col width="10.6640625" customWidth="1" style="142" min="524" max="524"/>
    <col width="9.6640625" customWidth="1" style="142" min="525" max="525"/>
    <col width="9.1640625" customWidth="1" style="142" min="526" max="768"/>
    <col width="12.6640625" customWidth="1" style="142" min="769" max="769"/>
    <col width="9.6640625" customWidth="1" style="142" min="770" max="774"/>
    <col width="10.6640625" customWidth="1" style="142" min="775" max="778"/>
    <col width="9.6640625" customWidth="1" style="142" min="779" max="779"/>
    <col width="10.6640625" customWidth="1" style="142" min="780" max="780"/>
    <col width="9.6640625" customWidth="1" style="142" min="781" max="781"/>
    <col width="9.1640625" customWidth="1" style="142" min="782" max="1024"/>
    <col width="12.6640625" customWidth="1" style="142" min="1025" max="1025"/>
    <col width="9.6640625" customWidth="1" style="142" min="1026" max="1030"/>
    <col width="10.6640625" customWidth="1" style="142" min="1031" max="1034"/>
    <col width="9.6640625" customWidth="1" style="142" min="1035" max="1035"/>
    <col width="10.6640625" customWidth="1" style="142" min="1036" max="1036"/>
    <col width="9.6640625" customWidth="1" style="142" min="1037" max="1037"/>
    <col width="9.1640625" customWidth="1" style="142" min="1038" max="1280"/>
    <col width="12.6640625" customWidth="1" style="142" min="1281" max="1281"/>
    <col width="9.6640625" customWidth="1" style="142" min="1282" max="1286"/>
    <col width="10.6640625" customWidth="1" style="142" min="1287" max="1290"/>
    <col width="9.6640625" customWidth="1" style="142" min="1291" max="1291"/>
    <col width="10.6640625" customWidth="1" style="142" min="1292" max="1292"/>
    <col width="9.6640625" customWidth="1" style="142" min="1293" max="1293"/>
    <col width="9.1640625" customWidth="1" style="142" min="1294" max="1536"/>
    <col width="12.6640625" customWidth="1" style="142" min="1537" max="1537"/>
    <col width="9.6640625" customWidth="1" style="142" min="1538" max="1542"/>
    <col width="10.6640625" customWidth="1" style="142" min="1543" max="1546"/>
    <col width="9.6640625" customWidth="1" style="142" min="1547" max="1547"/>
    <col width="10.6640625" customWidth="1" style="142" min="1548" max="1548"/>
    <col width="9.6640625" customWidth="1" style="142" min="1549" max="1549"/>
    <col width="9.1640625" customWidth="1" style="142" min="1550" max="1792"/>
    <col width="12.6640625" customWidth="1" style="142" min="1793" max="1793"/>
    <col width="9.6640625" customWidth="1" style="142" min="1794" max="1798"/>
    <col width="10.6640625" customWidth="1" style="142" min="1799" max="1802"/>
    <col width="9.6640625" customWidth="1" style="142" min="1803" max="1803"/>
    <col width="10.6640625" customWidth="1" style="142" min="1804" max="1804"/>
    <col width="9.6640625" customWidth="1" style="142" min="1805" max="1805"/>
    <col width="9.1640625" customWidth="1" style="142" min="1806" max="2048"/>
    <col width="12.6640625" customWidth="1" style="142" min="2049" max="2049"/>
    <col width="9.6640625" customWidth="1" style="142" min="2050" max="2054"/>
    <col width="10.6640625" customWidth="1" style="142" min="2055" max="2058"/>
    <col width="9.6640625" customWidth="1" style="142" min="2059" max="2059"/>
    <col width="10.6640625" customWidth="1" style="142" min="2060" max="2060"/>
    <col width="9.6640625" customWidth="1" style="142" min="2061" max="2061"/>
    <col width="9.1640625" customWidth="1" style="142" min="2062" max="2304"/>
    <col width="12.6640625" customWidth="1" style="142" min="2305" max="2305"/>
    <col width="9.6640625" customWidth="1" style="142" min="2306" max="2310"/>
    <col width="10.6640625" customWidth="1" style="142" min="2311" max="2314"/>
    <col width="9.6640625" customWidth="1" style="142" min="2315" max="2315"/>
    <col width="10.6640625" customWidth="1" style="142" min="2316" max="2316"/>
    <col width="9.6640625" customWidth="1" style="142" min="2317" max="2317"/>
    <col width="9.1640625" customWidth="1" style="142" min="2318" max="2560"/>
    <col width="12.6640625" customWidth="1" style="142" min="2561" max="2561"/>
    <col width="9.6640625" customWidth="1" style="142" min="2562" max="2566"/>
    <col width="10.6640625" customWidth="1" style="142" min="2567" max="2570"/>
    <col width="9.6640625" customWidth="1" style="142" min="2571" max="2571"/>
    <col width="10.6640625" customWidth="1" style="142" min="2572" max="2572"/>
    <col width="9.6640625" customWidth="1" style="142" min="2573" max="2573"/>
    <col width="9.1640625" customWidth="1" style="142" min="2574" max="2816"/>
    <col width="12.6640625" customWidth="1" style="142" min="2817" max="2817"/>
    <col width="9.6640625" customWidth="1" style="142" min="2818" max="2822"/>
    <col width="10.6640625" customWidth="1" style="142" min="2823" max="2826"/>
    <col width="9.6640625" customWidth="1" style="142" min="2827" max="2827"/>
    <col width="10.6640625" customWidth="1" style="142" min="2828" max="2828"/>
    <col width="9.6640625" customWidth="1" style="142" min="2829" max="2829"/>
    <col width="9.1640625" customWidth="1" style="142" min="2830" max="3072"/>
    <col width="12.6640625" customWidth="1" style="142" min="3073" max="3073"/>
    <col width="9.6640625" customWidth="1" style="142" min="3074" max="3078"/>
    <col width="10.6640625" customWidth="1" style="142" min="3079" max="3082"/>
    <col width="9.6640625" customWidth="1" style="142" min="3083" max="3083"/>
    <col width="10.6640625" customWidth="1" style="142" min="3084" max="3084"/>
    <col width="9.6640625" customWidth="1" style="142" min="3085" max="3085"/>
    <col width="9.1640625" customWidth="1" style="142" min="3086" max="3328"/>
    <col width="12.6640625" customWidth="1" style="142" min="3329" max="3329"/>
    <col width="9.6640625" customWidth="1" style="142" min="3330" max="3334"/>
    <col width="10.6640625" customWidth="1" style="142" min="3335" max="3338"/>
    <col width="9.6640625" customWidth="1" style="142" min="3339" max="3339"/>
    <col width="10.6640625" customWidth="1" style="142" min="3340" max="3340"/>
    <col width="9.6640625" customWidth="1" style="142" min="3341" max="3341"/>
    <col width="9.1640625" customWidth="1" style="142" min="3342" max="3584"/>
    <col width="12.6640625" customWidth="1" style="142" min="3585" max="3585"/>
    <col width="9.6640625" customWidth="1" style="142" min="3586" max="3590"/>
    <col width="10.6640625" customWidth="1" style="142" min="3591" max="3594"/>
    <col width="9.6640625" customWidth="1" style="142" min="3595" max="3595"/>
    <col width="10.6640625" customWidth="1" style="142" min="3596" max="3596"/>
    <col width="9.6640625" customWidth="1" style="142" min="3597" max="3597"/>
    <col width="9.1640625" customWidth="1" style="142" min="3598" max="3840"/>
    <col width="12.6640625" customWidth="1" style="142" min="3841" max="3841"/>
    <col width="9.6640625" customWidth="1" style="142" min="3842" max="3846"/>
    <col width="10.6640625" customWidth="1" style="142" min="3847" max="3850"/>
    <col width="9.6640625" customWidth="1" style="142" min="3851" max="3851"/>
    <col width="10.6640625" customWidth="1" style="142" min="3852" max="3852"/>
    <col width="9.6640625" customWidth="1" style="142" min="3853" max="3853"/>
    <col width="9.1640625" customWidth="1" style="142" min="3854" max="4096"/>
    <col width="12.6640625" customWidth="1" style="142" min="4097" max="4097"/>
    <col width="9.6640625" customWidth="1" style="142" min="4098" max="4102"/>
    <col width="10.6640625" customWidth="1" style="142" min="4103" max="4106"/>
    <col width="9.6640625" customWidth="1" style="142" min="4107" max="4107"/>
    <col width="10.6640625" customWidth="1" style="142" min="4108" max="4108"/>
    <col width="9.6640625" customWidth="1" style="142" min="4109" max="4109"/>
    <col width="9.1640625" customWidth="1" style="142" min="4110" max="4352"/>
    <col width="12.6640625" customWidth="1" style="142" min="4353" max="4353"/>
    <col width="9.6640625" customWidth="1" style="142" min="4354" max="4358"/>
    <col width="10.6640625" customWidth="1" style="142" min="4359" max="4362"/>
    <col width="9.6640625" customWidth="1" style="142" min="4363" max="4363"/>
    <col width="10.6640625" customWidth="1" style="142" min="4364" max="4364"/>
    <col width="9.6640625" customWidth="1" style="142" min="4365" max="4365"/>
    <col width="9.1640625" customWidth="1" style="142" min="4366" max="4608"/>
    <col width="12.6640625" customWidth="1" style="142" min="4609" max="4609"/>
    <col width="9.6640625" customWidth="1" style="142" min="4610" max="4614"/>
    <col width="10.6640625" customWidth="1" style="142" min="4615" max="4618"/>
    <col width="9.6640625" customWidth="1" style="142" min="4619" max="4619"/>
    <col width="10.6640625" customWidth="1" style="142" min="4620" max="4620"/>
    <col width="9.6640625" customWidth="1" style="142" min="4621" max="4621"/>
    <col width="9.1640625" customWidth="1" style="142" min="4622" max="4864"/>
    <col width="12.6640625" customWidth="1" style="142" min="4865" max="4865"/>
    <col width="9.6640625" customWidth="1" style="142" min="4866" max="4870"/>
    <col width="10.6640625" customWidth="1" style="142" min="4871" max="4874"/>
    <col width="9.6640625" customWidth="1" style="142" min="4875" max="4875"/>
    <col width="10.6640625" customWidth="1" style="142" min="4876" max="4876"/>
    <col width="9.6640625" customWidth="1" style="142" min="4877" max="4877"/>
    <col width="9.1640625" customWidth="1" style="142" min="4878" max="5120"/>
    <col width="12.6640625" customWidth="1" style="142" min="5121" max="5121"/>
    <col width="9.6640625" customWidth="1" style="142" min="5122" max="5126"/>
    <col width="10.6640625" customWidth="1" style="142" min="5127" max="5130"/>
    <col width="9.6640625" customWidth="1" style="142" min="5131" max="5131"/>
    <col width="10.6640625" customWidth="1" style="142" min="5132" max="5132"/>
    <col width="9.6640625" customWidth="1" style="142" min="5133" max="5133"/>
    <col width="9.1640625" customWidth="1" style="142" min="5134" max="5376"/>
    <col width="12.6640625" customWidth="1" style="142" min="5377" max="5377"/>
    <col width="9.6640625" customWidth="1" style="142" min="5378" max="5382"/>
    <col width="10.6640625" customWidth="1" style="142" min="5383" max="5386"/>
    <col width="9.6640625" customWidth="1" style="142" min="5387" max="5387"/>
    <col width="10.6640625" customWidth="1" style="142" min="5388" max="5388"/>
    <col width="9.6640625" customWidth="1" style="142" min="5389" max="5389"/>
    <col width="9.1640625" customWidth="1" style="142" min="5390" max="5632"/>
    <col width="12.6640625" customWidth="1" style="142" min="5633" max="5633"/>
    <col width="9.6640625" customWidth="1" style="142" min="5634" max="5638"/>
    <col width="10.6640625" customWidth="1" style="142" min="5639" max="5642"/>
    <col width="9.6640625" customWidth="1" style="142" min="5643" max="5643"/>
    <col width="10.6640625" customWidth="1" style="142" min="5644" max="5644"/>
    <col width="9.6640625" customWidth="1" style="142" min="5645" max="5645"/>
    <col width="9.1640625" customWidth="1" style="142" min="5646" max="5888"/>
    <col width="12.6640625" customWidth="1" style="142" min="5889" max="5889"/>
    <col width="9.6640625" customWidth="1" style="142" min="5890" max="5894"/>
    <col width="10.6640625" customWidth="1" style="142" min="5895" max="5898"/>
    <col width="9.6640625" customWidth="1" style="142" min="5899" max="5899"/>
    <col width="10.6640625" customWidth="1" style="142" min="5900" max="5900"/>
    <col width="9.6640625" customWidth="1" style="142" min="5901" max="5901"/>
    <col width="9.1640625" customWidth="1" style="142" min="5902" max="6144"/>
    <col width="12.6640625" customWidth="1" style="142" min="6145" max="6145"/>
    <col width="9.6640625" customWidth="1" style="142" min="6146" max="6150"/>
    <col width="10.6640625" customWidth="1" style="142" min="6151" max="6154"/>
    <col width="9.6640625" customWidth="1" style="142" min="6155" max="6155"/>
    <col width="10.6640625" customWidth="1" style="142" min="6156" max="6156"/>
    <col width="9.6640625" customWidth="1" style="142" min="6157" max="6157"/>
    <col width="9.1640625" customWidth="1" style="142" min="6158" max="6400"/>
    <col width="12.6640625" customWidth="1" style="142" min="6401" max="6401"/>
    <col width="9.6640625" customWidth="1" style="142" min="6402" max="6406"/>
    <col width="10.6640625" customWidth="1" style="142" min="6407" max="6410"/>
    <col width="9.6640625" customWidth="1" style="142" min="6411" max="6411"/>
    <col width="10.6640625" customWidth="1" style="142" min="6412" max="6412"/>
    <col width="9.6640625" customWidth="1" style="142" min="6413" max="6413"/>
    <col width="9.1640625" customWidth="1" style="142" min="6414" max="6656"/>
    <col width="12.6640625" customWidth="1" style="142" min="6657" max="6657"/>
    <col width="9.6640625" customWidth="1" style="142" min="6658" max="6662"/>
    <col width="10.6640625" customWidth="1" style="142" min="6663" max="6666"/>
    <col width="9.6640625" customWidth="1" style="142" min="6667" max="6667"/>
    <col width="10.6640625" customWidth="1" style="142" min="6668" max="6668"/>
    <col width="9.6640625" customWidth="1" style="142" min="6669" max="6669"/>
    <col width="9.1640625" customWidth="1" style="142" min="6670" max="6912"/>
    <col width="12.6640625" customWidth="1" style="142" min="6913" max="6913"/>
    <col width="9.6640625" customWidth="1" style="142" min="6914" max="6918"/>
    <col width="10.6640625" customWidth="1" style="142" min="6919" max="6922"/>
    <col width="9.6640625" customWidth="1" style="142" min="6923" max="6923"/>
    <col width="10.6640625" customWidth="1" style="142" min="6924" max="6924"/>
    <col width="9.6640625" customWidth="1" style="142" min="6925" max="6925"/>
    <col width="9.1640625" customWidth="1" style="142" min="6926" max="7168"/>
    <col width="12.6640625" customWidth="1" style="142" min="7169" max="7169"/>
    <col width="9.6640625" customWidth="1" style="142" min="7170" max="7174"/>
    <col width="10.6640625" customWidth="1" style="142" min="7175" max="7178"/>
    <col width="9.6640625" customWidth="1" style="142" min="7179" max="7179"/>
    <col width="10.6640625" customWidth="1" style="142" min="7180" max="7180"/>
    <col width="9.6640625" customWidth="1" style="142" min="7181" max="7181"/>
    <col width="9.1640625" customWidth="1" style="142" min="7182" max="7424"/>
    <col width="12.6640625" customWidth="1" style="142" min="7425" max="7425"/>
    <col width="9.6640625" customWidth="1" style="142" min="7426" max="7430"/>
    <col width="10.6640625" customWidth="1" style="142" min="7431" max="7434"/>
    <col width="9.6640625" customWidth="1" style="142" min="7435" max="7435"/>
    <col width="10.6640625" customWidth="1" style="142" min="7436" max="7436"/>
    <col width="9.6640625" customWidth="1" style="142" min="7437" max="7437"/>
    <col width="9.1640625" customWidth="1" style="142" min="7438" max="7680"/>
    <col width="12.6640625" customWidth="1" style="142" min="7681" max="7681"/>
    <col width="9.6640625" customWidth="1" style="142" min="7682" max="7686"/>
    <col width="10.6640625" customWidth="1" style="142" min="7687" max="7690"/>
    <col width="9.6640625" customWidth="1" style="142" min="7691" max="7691"/>
    <col width="10.6640625" customWidth="1" style="142" min="7692" max="7692"/>
    <col width="9.6640625" customWidth="1" style="142" min="7693" max="7693"/>
    <col width="9.1640625" customWidth="1" style="142" min="7694" max="7936"/>
    <col width="12.6640625" customWidth="1" style="142" min="7937" max="7937"/>
    <col width="9.6640625" customWidth="1" style="142" min="7938" max="7942"/>
    <col width="10.6640625" customWidth="1" style="142" min="7943" max="7946"/>
    <col width="9.6640625" customWidth="1" style="142" min="7947" max="7947"/>
    <col width="10.6640625" customWidth="1" style="142" min="7948" max="7948"/>
    <col width="9.6640625" customWidth="1" style="142" min="7949" max="7949"/>
    <col width="9.1640625" customWidth="1" style="142" min="7950" max="8192"/>
    <col width="12.6640625" customWidth="1" style="142" min="8193" max="8193"/>
    <col width="9.6640625" customWidth="1" style="142" min="8194" max="8198"/>
    <col width="10.6640625" customWidth="1" style="142" min="8199" max="8202"/>
    <col width="9.6640625" customWidth="1" style="142" min="8203" max="8203"/>
    <col width="10.6640625" customWidth="1" style="142" min="8204" max="8204"/>
    <col width="9.6640625" customWidth="1" style="142" min="8205" max="8205"/>
    <col width="9.1640625" customWidth="1" style="142" min="8206" max="8448"/>
    <col width="12.6640625" customWidth="1" style="142" min="8449" max="8449"/>
    <col width="9.6640625" customWidth="1" style="142" min="8450" max="8454"/>
    <col width="10.6640625" customWidth="1" style="142" min="8455" max="8458"/>
    <col width="9.6640625" customWidth="1" style="142" min="8459" max="8459"/>
    <col width="10.6640625" customWidth="1" style="142" min="8460" max="8460"/>
    <col width="9.6640625" customWidth="1" style="142" min="8461" max="8461"/>
    <col width="9.1640625" customWidth="1" style="142" min="8462" max="8704"/>
    <col width="12.6640625" customWidth="1" style="142" min="8705" max="8705"/>
    <col width="9.6640625" customWidth="1" style="142" min="8706" max="8710"/>
    <col width="10.6640625" customWidth="1" style="142" min="8711" max="8714"/>
    <col width="9.6640625" customWidth="1" style="142" min="8715" max="8715"/>
    <col width="10.6640625" customWidth="1" style="142" min="8716" max="8716"/>
    <col width="9.6640625" customWidth="1" style="142" min="8717" max="8717"/>
    <col width="9.1640625" customWidth="1" style="142" min="8718" max="8960"/>
    <col width="12.6640625" customWidth="1" style="142" min="8961" max="8961"/>
    <col width="9.6640625" customWidth="1" style="142" min="8962" max="8966"/>
    <col width="10.6640625" customWidth="1" style="142" min="8967" max="8970"/>
    <col width="9.6640625" customWidth="1" style="142" min="8971" max="8971"/>
    <col width="10.6640625" customWidth="1" style="142" min="8972" max="8972"/>
    <col width="9.6640625" customWidth="1" style="142" min="8973" max="8973"/>
    <col width="9.1640625" customWidth="1" style="142" min="8974" max="9216"/>
    <col width="12.6640625" customWidth="1" style="142" min="9217" max="9217"/>
    <col width="9.6640625" customWidth="1" style="142" min="9218" max="9222"/>
    <col width="10.6640625" customWidth="1" style="142" min="9223" max="9226"/>
    <col width="9.6640625" customWidth="1" style="142" min="9227" max="9227"/>
    <col width="10.6640625" customWidth="1" style="142" min="9228" max="9228"/>
    <col width="9.6640625" customWidth="1" style="142" min="9229" max="9229"/>
    <col width="9.1640625" customWidth="1" style="142" min="9230" max="9472"/>
    <col width="12.6640625" customWidth="1" style="142" min="9473" max="9473"/>
    <col width="9.6640625" customWidth="1" style="142" min="9474" max="9478"/>
    <col width="10.6640625" customWidth="1" style="142" min="9479" max="9482"/>
    <col width="9.6640625" customWidth="1" style="142" min="9483" max="9483"/>
    <col width="10.6640625" customWidth="1" style="142" min="9484" max="9484"/>
    <col width="9.6640625" customWidth="1" style="142" min="9485" max="9485"/>
    <col width="9.1640625" customWidth="1" style="142" min="9486" max="9728"/>
    <col width="12.6640625" customWidth="1" style="142" min="9729" max="9729"/>
    <col width="9.6640625" customWidth="1" style="142" min="9730" max="9734"/>
    <col width="10.6640625" customWidth="1" style="142" min="9735" max="9738"/>
    <col width="9.6640625" customWidth="1" style="142" min="9739" max="9739"/>
    <col width="10.6640625" customWidth="1" style="142" min="9740" max="9740"/>
    <col width="9.6640625" customWidth="1" style="142" min="9741" max="9741"/>
    <col width="9.1640625" customWidth="1" style="142" min="9742" max="9984"/>
    <col width="12.6640625" customWidth="1" style="142" min="9985" max="9985"/>
    <col width="9.6640625" customWidth="1" style="142" min="9986" max="9990"/>
    <col width="10.6640625" customWidth="1" style="142" min="9991" max="9994"/>
    <col width="9.6640625" customWidth="1" style="142" min="9995" max="9995"/>
    <col width="10.6640625" customWidth="1" style="142" min="9996" max="9996"/>
    <col width="9.6640625" customWidth="1" style="142" min="9997" max="9997"/>
    <col width="9.1640625" customWidth="1" style="142" min="9998" max="10240"/>
    <col width="12.6640625" customWidth="1" style="142" min="10241" max="10241"/>
    <col width="9.6640625" customWidth="1" style="142" min="10242" max="10246"/>
    <col width="10.6640625" customWidth="1" style="142" min="10247" max="10250"/>
    <col width="9.6640625" customWidth="1" style="142" min="10251" max="10251"/>
    <col width="10.6640625" customWidth="1" style="142" min="10252" max="10252"/>
    <col width="9.6640625" customWidth="1" style="142" min="10253" max="10253"/>
    <col width="9.1640625" customWidth="1" style="142" min="10254" max="10496"/>
    <col width="12.6640625" customWidth="1" style="142" min="10497" max="10497"/>
    <col width="9.6640625" customWidth="1" style="142" min="10498" max="10502"/>
    <col width="10.6640625" customWidth="1" style="142" min="10503" max="10506"/>
    <col width="9.6640625" customWidth="1" style="142" min="10507" max="10507"/>
    <col width="10.6640625" customWidth="1" style="142" min="10508" max="10508"/>
    <col width="9.6640625" customWidth="1" style="142" min="10509" max="10509"/>
    <col width="9.1640625" customWidth="1" style="142" min="10510" max="10752"/>
    <col width="12.6640625" customWidth="1" style="142" min="10753" max="10753"/>
    <col width="9.6640625" customWidth="1" style="142" min="10754" max="10758"/>
    <col width="10.6640625" customWidth="1" style="142" min="10759" max="10762"/>
    <col width="9.6640625" customWidth="1" style="142" min="10763" max="10763"/>
    <col width="10.6640625" customWidth="1" style="142" min="10764" max="10764"/>
    <col width="9.6640625" customWidth="1" style="142" min="10765" max="10765"/>
    <col width="9.1640625" customWidth="1" style="142" min="10766" max="11008"/>
    <col width="12.6640625" customWidth="1" style="142" min="11009" max="11009"/>
    <col width="9.6640625" customWidth="1" style="142" min="11010" max="11014"/>
    <col width="10.6640625" customWidth="1" style="142" min="11015" max="11018"/>
    <col width="9.6640625" customWidth="1" style="142" min="11019" max="11019"/>
    <col width="10.6640625" customWidth="1" style="142" min="11020" max="11020"/>
    <col width="9.6640625" customWidth="1" style="142" min="11021" max="11021"/>
    <col width="9.1640625" customWidth="1" style="142" min="11022" max="11264"/>
    <col width="12.6640625" customWidth="1" style="142" min="11265" max="11265"/>
    <col width="9.6640625" customWidth="1" style="142" min="11266" max="11270"/>
    <col width="10.6640625" customWidth="1" style="142" min="11271" max="11274"/>
    <col width="9.6640625" customWidth="1" style="142" min="11275" max="11275"/>
    <col width="10.6640625" customWidth="1" style="142" min="11276" max="11276"/>
    <col width="9.6640625" customWidth="1" style="142" min="11277" max="11277"/>
    <col width="9.1640625" customWidth="1" style="142" min="11278" max="11520"/>
    <col width="12.6640625" customWidth="1" style="142" min="11521" max="11521"/>
    <col width="9.6640625" customWidth="1" style="142" min="11522" max="11526"/>
    <col width="10.6640625" customWidth="1" style="142" min="11527" max="11530"/>
    <col width="9.6640625" customWidth="1" style="142" min="11531" max="11531"/>
    <col width="10.6640625" customWidth="1" style="142" min="11532" max="11532"/>
    <col width="9.6640625" customWidth="1" style="142" min="11533" max="11533"/>
    <col width="9.1640625" customWidth="1" style="142" min="11534" max="11776"/>
    <col width="12.6640625" customWidth="1" style="142" min="11777" max="11777"/>
    <col width="9.6640625" customWidth="1" style="142" min="11778" max="11782"/>
    <col width="10.6640625" customWidth="1" style="142" min="11783" max="11786"/>
    <col width="9.6640625" customWidth="1" style="142" min="11787" max="11787"/>
    <col width="10.6640625" customWidth="1" style="142" min="11788" max="11788"/>
    <col width="9.6640625" customWidth="1" style="142" min="11789" max="11789"/>
    <col width="9.1640625" customWidth="1" style="142" min="11790" max="12032"/>
    <col width="12.6640625" customWidth="1" style="142" min="12033" max="12033"/>
    <col width="9.6640625" customWidth="1" style="142" min="12034" max="12038"/>
    <col width="10.6640625" customWidth="1" style="142" min="12039" max="12042"/>
    <col width="9.6640625" customWidth="1" style="142" min="12043" max="12043"/>
    <col width="10.6640625" customWidth="1" style="142" min="12044" max="12044"/>
    <col width="9.6640625" customWidth="1" style="142" min="12045" max="12045"/>
    <col width="9.1640625" customWidth="1" style="142" min="12046" max="12288"/>
    <col width="12.6640625" customWidth="1" style="142" min="12289" max="12289"/>
    <col width="9.6640625" customWidth="1" style="142" min="12290" max="12294"/>
    <col width="10.6640625" customWidth="1" style="142" min="12295" max="12298"/>
    <col width="9.6640625" customWidth="1" style="142" min="12299" max="12299"/>
    <col width="10.6640625" customWidth="1" style="142" min="12300" max="12300"/>
    <col width="9.6640625" customWidth="1" style="142" min="12301" max="12301"/>
    <col width="9.1640625" customWidth="1" style="142" min="12302" max="12544"/>
    <col width="12.6640625" customWidth="1" style="142" min="12545" max="12545"/>
    <col width="9.6640625" customWidth="1" style="142" min="12546" max="12550"/>
    <col width="10.6640625" customWidth="1" style="142" min="12551" max="12554"/>
    <col width="9.6640625" customWidth="1" style="142" min="12555" max="12555"/>
    <col width="10.6640625" customWidth="1" style="142" min="12556" max="12556"/>
    <col width="9.6640625" customWidth="1" style="142" min="12557" max="12557"/>
    <col width="9.1640625" customWidth="1" style="142" min="12558" max="12800"/>
    <col width="12.6640625" customWidth="1" style="142" min="12801" max="12801"/>
    <col width="9.6640625" customWidth="1" style="142" min="12802" max="12806"/>
    <col width="10.6640625" customWidth="1" style="142" min="12807" max="12810"/>
    <col width="9.6640625" customWidth="1" style="142" min="12811" max="12811"/>
    <col width="10.6640625" customWidth="1" style="142" min="12812" max="12812"/>
    <col width="9.6640625" customWidth="1" style="142" min="12813" max="12813"/>
    <col width="9.1640625" customWidth="1" style="142" min="12814" max="13056"/>
    <col width="12.6640625" customWidth="1" style="142" min="13057" max="13057"/>
    <col width="9.6640625" customWidth="1" style="142" min="13058" max="13062"/>
    <col width="10.6640625" customWidth="1" style="142" min="13063" max="13066"/>
    <col width="9.6640625" customWidth="1" style="142" min="13067" max="13067"/>
    <col width="10.6640625" customWidth="1" style="142" min="13068" max="13068"/>
    <col width="9.6640625" customWidth="1" style="142" min="13069" max="13069"/>
    <col width="9.1640625" customWidth="1" style="142" min="13070" max="13312"/>
    <col width="12.6640625" customWidth="1" style="142" min="13313" max="13313"/>
    <col width="9.6640625" customWidth="1" style="142" min="13314" max="13318"/>
    <col width="10.6640625" customWidth="1" style="142" min="13319" max="13322"/>
    <col width="9.6640625" customWidth="1" style="142" min="13323" max="13323"/>
    <col width="10.6640625" customWidth="1" style="142" min="13324" max="13324"/>
    <col width="9.6640625" customWidth="1" style="142" min="13325" max="13325"/>
    <col width="9.1640625" customWidth="1" style="142" min="13326" max="13568"/>
    <col width="12.6640625" customWidth="1" style="142" min="13569" max="13569"/>
    <col width="9.6640625" customWidth="1" style="142" min="13570" max="13574"/>
    <col width="10.6640625" customWidth="1" style="142" min="13575" max="13578"/>
    <col width="9.6640625" customWidth="1" style="142" min="13579" max="13579"/>
    <col width="10.6640625" customWidth="1" style="142" min="13580" max="13580"/>
    <col width="9.6640625" customWidth="1" style="142" min="13581" max="13581"/>
    <col width="9.1640625" customWidth="1" style="142" min="13582" max="13824"/>
    <col width="12.6640625" customWidth="1" style="142" min="13825" max="13825"/>
    <col width="9.6640625" customWidth="1" style="142" min="13826" max="13830"/>
    <col width="10.6640625" customWidth="1" style="142" min="13831" max="13834"/>
    <col width="9.6640625" customWidth="1" style="142" min="13835" max="13835"/>
    <col width="10.6640625" customWidth="1" style="142" min="13836" max="13836"/>
    <col width="9.6640625" customWidth="1" style="142" min="13837" max="13837"/>
    <col width="9.1640625" customWidth="1" style="142" min="13838" max="14080"/>
    <col width="12.6640625" customWidth="1" style="142" min="14081" max="14081"/>
    <col width="9.6640625" customWidth="1" style="142" min="14082" max="14086"/>
    <col width="10.6640625" customWidth="1" style="142" min="14087" max="14090"/>
    <col width="9.6640625" customWidth="1" style="142" min="14091" max="14091"/>
    <col width="10.6640625" customWidth="1" style="142" min="14092" max="14092"/>
    <col width="9.6640625" customWidth="1" style="142" min="14093" max="14093"/>
    <col width="9.1640625" customWidth="1" style="142" min="14094" max="14336"/>
    <col width="12.6640625" customWidth="1" style="142" min="14337" max="14337"/>
    <col width="9.6640625" customWidth="1" style="142" min="14338" max="14342"/>
    <col width="10.6640625" customWidth="1" style="142" min="14343" max="14346"/>
    <col width="9.6640625" customWidth="1" style="142" min="14347" max="14347"/>
    <col width="10.6640625" customWidth="1" style="142" min="14348" max="14348"/>
    <col width="9.6640625" customWidth="1" style="142" min="14349" max="14349"/>
    <col width="9.1640625" customWidth="1" style="142" min="14350" max="14592"/>
    <col width="12.6640625" customWidth="1" style="142" min="14593" max="14593"/>
    <col width="9.6640625" customWidth="1" style="142" min="14594" max="14598"/>
    <col width="10.6640625" customWidth="1" style="142" min="14599" max="14602"/>
    <col width="9.6640625" customWidth="1" style="142" min="14603" max="14603"/>
    <col width="10.6640625" customWidth="1" style="142" min="14604" max="14604"/>
    <col width="9.6640625" customWidth="1" style="142" min="14605" max="14605"/>
    <col width="9.1640625" customWidth="1" style="142" min="14606" max="14848"/>
    <col width="12.6640625" customWidth="1" style="142" min="14849" max="14849"/>
    <col width="9.6640625" customWidth="1" style="142" min="14850" max="14854"/>
    <col width="10.6640625" customWidth="1" style="142" min="14855" max="14858"/>
    <col width="9.6640625" customWidth="1" style="142" min="14859" max="14859"/>
    <col width="10.6640625" customWidth="1" style="142" min="14860" max="14860"/>
    <col width="9.6640625" customWidth="1" style="142" min="14861" max="14861"/>
    <col width="9.1640625" customWidth="1" style="142" min="14862" max="15104"/>
    <col width="12.6640625" customWidth="1" style="142" min="15105" max="15105"/>
    <col width="9.6640625" customWidth="1" style="142" min="15106" max="15110"/>
    <col width="10.6640625" customWidth="1" style="142" min="15111" max="15114"/>
    <col width="9.6640625" customWidth="1" style="142" min="15115" max="15115"/>
    <col width="10.6640625" customWidth="1" style="142" min="15116" max="15116"/>
    <col width="9.6640625" customWidth="1" style="142" min="15117" max="15117"/>
    <col width="9.1640625" customWidth="1" style="142" min="15118" max="15360"/>
    <col width="12.6640625" customWidth="1" style="142" min="15361" max="15361"/>
    <col width="9.6640625" customWidth="1" style="142" min="15362" max="15366"/>
    <col width="10.6640625" customWidth="1" style="142" min="15367" max="15370"/>
    <col width="9.6640625" customWidth="1" style="142" min="15371" max="15371"/>
    <col width="10.6640625" customWidth="1" style="142" min="15372" max="15372"/>
    <col width="9.6640625" customWidth="1" style="142" min="15373" max="15373"/>
    <col width="9.1640625" customWidth="1" style="142" min="15374" max="15616"/>
    <col width="12.6640625" customWidth="1" style="142" min="15617" max="15617"/>
    <col width="9.6640625" customWidth="1" style="142" min="15618" max="15622"/>
    <col width="10.6640625" customWidth="1" style="142" min="15623" max="15626"/>
    <col width="9.6640625" customWidth="1" style="142" min="15627" max="15627"/>
    <col width="10.6640625" customWidth="1" style="142" min="15628" max="15628"/>
    <col width="9.6640625" customWidth="1" style="142" min="15629" max="15629"/>
    <col width="9.1640625" customWidth="1" style="142" min="15630" max="15872"/>
    <col width="12.6640625" customWidth="1" style="142" min="15873" max="15873"/>
    <col width="9.6640625" customWidth="1" style="142" min="15874" max="15878"/>
    <col width="10.6640625" customWidth="1" style="142" min="15879" max="15882"/>
    <col width="9.6640625" customWidth="1" style="142" min="15883" max="15883"/>
    <col width="10.6640625" customWidth="1" style="142" min="15884" max="15884"/>
    <col width="9.6640625" customWidth="1" style="142" min="15885" max="15885"/>
    <col width="9.1640625" customWidth="1" style="142" min="15886" max="16128"/>
    <col width="12.6640625" customWidth="1" style="142" min="16129" max="16129"/>
    <col width="9.6640625" customWidth="1" style="142" min="16130" max="16134"/>
    <col width="10.6640625" customWidth="1" style="142" min="16135" max="16138"/>
    <col width="9.6640625" customWidth="1" style="142" min="16139" max="16139"/>
    <col width="10.6640625" customWidth="1" style="142" min="16140" max="16140"/>
    <col width="9.6640625" customWidth="1" style="142" min="16141" max="16141"/>
    <col width="9.1640625" customWidth="1" style="142"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49" t="n">
        <v>21217</v>
      </c>
      <c r="B2" t="n">
        <v/>
      </c>
      <c r="C2" t="n">
        <v/>
      </c>
      <c r="D2" t="n">
        <v/>
      </c>
      <c r="E2" t="n">
        <v/>
      </c>
      <c r="F2" t="n">
        <v/>
      </c>
      <c r="G2" t="n">
        <v/>
      </c>
      <c r="H2" t="n">
        <v/>
      </c>
      <c r="I2" t="n">
        <v/>
      </c>
      <c r="J2" t="n">
        <v/>
      </c>
      <c r="K2" t="n">
        <v/>
      </c>
      <c r="L2" t="n">
        <v>0</v>
      </c>
      <c r="M2" t="n">
        <v/>
      </c>
    </row>
    <row r="3">
      <c r="A3" s="149" t="n">
        <v>21245</v>
      </c>
      <c r="B3" t="n">
        <v/>
      </c>
      <c r="C3" t="n">
        <v/>
      </c>
      <c r="D3" t="n">
        <v/>
      </c>
      <c r="E3" t="n">
        <v/>
      </c>
      <c r="F3" t="n">
        <v/>
      </c>
      <c r="G3" t="n">
        <v/>
      </c>
      <c r="H3" t="n">
        <v/>
      </c>
      <c r="I3" t="n">
        <v/>
      </c>
      <c r="J3" t="n">
        <v/>
      </c>
      <c r="K3" t="n">
        <v/>
      </c>
      <c r="L3" t="n">
        <v>0</v>
      </c>
      <c r="M3" t="n">
        <v/>
      </c>
    </row>
    <row r="4">
      <c r="A4" s="149" t="n">
        <v>21276</v>
      </c>
      <c r="B4" t="n">
        <v/>
      </c>
      <c r="C4" t="n">
        <v/>
      </c>
      <c r="D4" t="n">
        <v/>
      </c>
      <c r="E4" t="n">
        <v/>
      </c>
      <c r="F4" t="n">
        <v/>
      </c>
      <c r="G4" t="n">
        <v/>
      </c>
      <c r="H4" t="n">
        <v/>
      </c>
      <c r="I4" t="n">
        <v/>
      </c>
      <c r="J4" t="n">
        <v/>
      </c>
      <c r="K4" t="n">
        <v/>
      </c>
      <c r="L4" t="n">
        <v>0</v>
      </c>
      <c r="M4" t="n">
        <v/>
      </c>
    </row>
    <row r="5">
      <c r="A5" s="149" t="n">
        <v>21306</v>
      </c>
      <c r="B5" t="n">
        <v/>
      </c>
      <c r="C5" t="n">
        <v/>
      </c>
      <c r="D5" t="n">
        <v/>
      </c>
      <c r="E5" t="n">
        <v/>
      </c>
      <c r="F5" t="n">
        <v/>
      </c>
      <c r="G5" t="n">
        <v/>
      </c>
      <c r="H5" t="n">
        <v/>
      </c>
      <c r="I5" t="n">
        <v/>
      </c>
      <c r="J5" t="n">
        <v/>
      </c>
      <c r="K5" t="n">
        <v/>
      </c>
      <c r="L5" t="n">
        <v>0</v>
      </c>
      <c r="M5" t="n">
        <v/>
      </c>
    </row>
    <row r="6">
      <c r="A6" s="149" t="n">
        <v>21337</v>
      </c>
      <c r="B6" t="n">
        <v/>
      </c>
      <c r="C6" t="n">
        <v/>
      </c>
      <c r="D6" t="n">
        <v/>
      </c>
      <c r="E6" t="n">
        <v/>
      </c>
      <c r="F6" t="n">
        <v/>
      </c>
      <c r="G6" t="n">
        <v/>
      </c>
      <c r="H6" t="n">
        <v/>
      </c>
      <c r="I6" t="n">
        <v/>
      </c>
      <c r="J6" t="n">
        <v/>
      </c>
      <c r="K6" t="n">
        <v/>
      </c>
      <c r="L6" t="n">
        <v>0</v>
      </c>
      <c r="M6" t="n">
        <v/>
      </c>
    </row>
    <row r="7">
      <c r="A7" s="149" t="n">
        <v>21367</v>
      </c>
      <c r="B7" t="n">
        <v/>
      </c>
      <c r="C7" t="n">
        <v/>
      </c>
      <c r="D7" t="n">
        <v/>
      </c>
      <c r="E7" t="n">
        <v/>
      </c>
      <c r="F7" t="n">
        <v/>
      </c>
      <c r="G7" t="n">
        <v/>
      </c>
      <c r="H7" t="n">
        <v/>
      </c>
      <c r="I7" t="n">
        <v/>
      </c>
      <c r="J7" t="n">
        <v/>
      </c>
      <c r="K7" t="n">
        <v/>
      </c>
      <c r="L7" t="n">
        <v>0</v>
      </c>
      <c r="M7" t="n">
        <v/>
      </c>
    </row>
    <row r="8">
      <c r="A8" s="149" t="n">
        <v>21398</v>
      </c>
      <c r="B8" t="n">
        <v/>
      </c>
      <c r="C8" t="n">
        <v/>
      </c>
      <c r="D8" t="n">
        <v/>
      </c>
      <c r="E8" t="n">
        <v/>
      </c>
      <c r="F8" t="n">
        <v/>
      </c>
      <c r="G8" t="n">
        <v/>
      </c>
      <c r="H8" t="n">
        <v/>
      </c>
      <c r="I8" t="n">
        <v/>
      </c>
      <c r="J8" t="n">
        <v/>
      </c>
      <c r="K8" t="n">
        <v/>
      </c>
      <c r="L8" t="n">
        <v>0</v>
      </c>
      <c r="M8" t="n">
        <v/>
      </c>
    </row>
    <row r="9">
      <c r="A9" s="149" t="n">
        <v>21429</v>
      </c>
      <c r="B9" t="n">
        <v/>
      </c>
      <c r="C9" t="n">
        <v/>
      </c>
      <c r="D9" t="n">
        <v/>
      </c>
      <c r="E9" t="n">
        <v/>
      </c>
      <c r="F9" t="n">
        <v/>
      </c>
      <c r="G9" t="n">
        <v/>
      </c>
      <c r="H9" t="n">
        <v/>
      </c>
      <c r="I9" t="n">
        <v/>
      </c>
      <c r="J9" t="n">
        <v/>
      </c>
      <c r="K9" t="n">
        <v/>
      </c>
      <c r="L9" t="n">
        <v>0</v>
      </c>
      <c r="M9" t="n">
        <v/>
      </c>
    </row>
    <row r="10">
      <c r="A10" s="149" t="n">
        <v>21459</v>
      </c>
      <c r="B10" t="n">
        <v/>
      </c>
      <c r="C10" t="n">
        <v/>
      </c>
      <c r="D10" t="n">
        <v/>
      </c>
      <c r="E10" t="n">
        <v/>
      </c>
      <c r="F10" t="n">
        <v/>
      </c>
      <c r="G10" t="n">
        <v/>
      </c>
      <c r="H10" t="n">
        <v/>
      </c>
      <c r="I10" t="n">
        <v/>
      </c>
      <c r="J10" t="n">
        <v/>
      </c>
      <c r="K10" t="n">
        <v/>
      </c>
      <c r="L10" t="n">
        <v>0</v>
      </c>
      <c r="M10" t="n">
        <v/>
      </c>
    </row>
    <row r="11">
      <c r="A11" s="149" t="n">
        <v>21490</v>
      </c>
      <c r="B11" t="n">
        <v/>
      </c>
      <c r="C11" t="n">
        <v/>
      </c>
      <c r="D11" t="n">
        <v/>
      </c>
      <c r="E11" t="n">
        <v/>
      </c>
      <c r="F11" t="n">
        <v/>
      </c>
      <c r="G11" t="n">
        <v/>
      </c>
      <c r="H11" t="n">
        <v/>
      </c>
      <c r="I11" t="n">
        <v/>
      </c>
      <c r="J11" t="n">
        <v/>
      </c>
      <c r="K11" t="n">
        <v/>
      </c>
      <c r="L11" t="n">
        <v>0</v>
      </c>
      <c r="M11" t="n">
        <v/>
      </c>
    </row>
    <row r="12">
      <c r="A12" s="149" t="n">
        <v>21520</v>
      </c>
      <c r="B12" t="n">
        <v/>
      </c>
      <c r="C12" t="n">
        <v/>
      </c>
      <c r="D12" t="n">
        <v/>
      </c>
      <c r="E12" t="n">
        <v/>
      </c>
      <c r="F12" t="n">
        <v/>
      </c>
      <c r="G12" t="n">
        <v/>
      </c>
      <c r="H12" t="n">
        <v/>
      </c>
      <c r="I12" t="n">
        <v/>
      </c>
      <c r="J12" t="n">
        <v/>
      </c>
      <c r="K12" t="n">
        <v/>
      </c>
      <c r="L12" t="n">
        <v>0</v>
      </c>
      <c r="M12" t="n">
        <v/>
      </c>
    </row>
    <row r="13">
      <c r="A13" s="149" t="n">
        <v>21551</v>
      </c>
      <c r="B13" t="n">
        <v/>
      </c>
      <c r="C13" t="n">
        <v/>
      </c>
      <c r="D13" t="n">
        <v/>
      </c>
      <c r="E13" t="n">
        <v/>
      </c>
      <c r="F13" t="n">
        <v/>
      </c>
      <c r="G13" t="n">
        <v/>
      </c>
      <c r="H13" t="n">
        <v/>
      </c>
      <c r="I13" t="n">
        <v/>
      </c>
      <c r="J13" t="n">
        <v/>
      </c>
      <c r="K13" t="n">
        <v/>
      </c>
      <c r="L13" t="n">
        <v>0</v>
      </c>
      <c r="M13" t="n">
        <v/>
      </c>
    </row>
    <row r="14">
      <c r="A14" s="149" t="n">
        <v>21582</v>
      </c>
      <c r="B14" t="n">
        <v/>
      </c>
      <c r="C14" t="n">
        <v/>
      </c>
      <c r="D14" t="n">
        <v/>
      </c>
      <c r="E14" t="n">
        <v/>
      </c>
      <c r="F14" t="n">
        <v/>
      </c>
      <c r="G14" t="n">
        <v/>
      </c>
      <c r="H14" t="n">
        <v/>
      </c>
      <c r="I14" t="n">
        <v/>
      </c>
      <c r="J14" t="n">
        <v/>
      </c>
      <c r="K14" t="n">
        <v/>
      </c>
      <c r="L14" t="n">
        <v>0</v>
      </c>
      <c r="M14" t="n">
        <v/>
      </c>
    </row>
    <row r="15">
      <c r="A15" s="149" t="n">
        <v>21610</v>
      </c>
      <c r="B15" t="n">
        <v/>
      </c>
      <c r="C15" t="n">
        <v/>
      </c>
      <c r="D15" t="n">
        <v/>
      </c>
      <c r="E15" t="n">
        <v/>
      </c>
      <c r="F15" t="n">
        <v/>
      </c>
      <c r="G15" t="n">
        <v/>
      </c>
      <c r="H15" t="n">
        <v/>
      </c>
      <c r="I15" t="n">
        <v/>
      </c>
      <c r="J15" t="n">
        <v/>
      </c>
      <c r="K15" t="n">
        <v/>
      </c>
      <c r="L15" t="n">
        <v>0</v>
      </c>
      <c r="M15" t="n">
        <v/>
      </c>
    </row>
    <row r="16">
      <c r="A16" s="149" t="n">
        <v>21641</v>
      </c>
      <c r="B16" t="n">
        <v/>
      </c>
      <c r="C16" t="n">
        <v/>
      </c>
      <c r="D16" t="n">
        <v/>
      </c>
      <c r="E16" t="n">
        <v/>
      </c>
      <c r="F16" t="n">
        <v/>
      </c>
      <c r="G16" t="n">
        <v/>
      </c>
      <c r="H16" t="n">
        <v/>
      </c>
      <c r="I16" t="n">
        <v/>
      </c>
      <c r="J16" t="n">
        <v/>
      </c>
      <c r="K16" t="n">
        <v/>
      </c>
      <c r="L16" t="n">
        <v>0</v>
      </c>
      <c r="M16" t="n">
        <v/>
      </c>
    </row>
    <row r="17">
      <c r="A17" s="149" t="n">
        <v>21671</v>
      </c>
      <c r="B17" t="n">
        <v/>
      </c>
      <c r="C17" t="n">
        <v/>
      </c>
      <c r="D17" t="n">
        <v/>
      </c>
      <c r="E17" t="n">
        <v/>
      </c>
      <c r="F17" t="n">
        <v/>
      </c>
      <c r="G17" t="n">
        <v/>
      </c>
      <c r="H17" t="n">
        <v/>
      </c>
      <c r="I17" t="n">
        <v/>
      </c>
      <c r="J17" t="n">
        <v/>
      </c>
      <c r="K17" t="n">
        <v/>
      </c>
      <c r="L17" t="n">
        <v>0</v>
      </c>
      <c r="M17" t="n">
        <v/>
      </c>
    </row>
    <row r="18">
      <c r="A18" s="149" t="n">
        <v>21702</v>
      </c>
      <c r="B18" t="n">
        <v/>
      </c>
      <c r="C18" t="n">
        <v/>
      </c>
      <c r="D18" t="n">
        <v/>
      </c>
      <c r="E18" t="n">
        <v/>
      </c>
      <c r="F18" t="n">
        <v/>
      </c>
      <c r="G18" t="n">
        <v/>
      </c>
      <c r="H18" t="n">
        <v/>
      </c>
      <c r="I18" t="n">
        <v/>
      </c>
      <c r="J18" t="n">
        <v/>
      </c>
      <c r="K18" t="n">
        <v/>
      </c>
      <c r="L18" t="n">
        <v>0</v>
      </c>
      <c r="M18" t="n">
        <v/>
      </c>
    </row>
    <row r="19">
      <c r="A19" s="149" t="n">
        <v>21732</v>
      </c>
      <c r="B19" t="n">
        <v/>
      </c>
      <c r="C19" t="n">
        <v/>
      </c>
      <c r="D19" t="n">
        <v/>
      </c>
      <c r="E19" t="n">
        <v/>
      </c>
      <c r="F19" t="n">
        <v/>
      </c>
      <c r="G19" t="n">
        <v/>
      </c>
      <c r="H19" t="n">
        <v/>
      </c>
      <c r="I19" t="n">
        <v/>
      </c>
      <c r="J19" t="n">
        <v/>
      </c>
      <c r="K19" t="n">
        <v/>
      </c>
      <c r="L19" t="n">
        <v>0</v>
      </c>
      <c r="M19" t="n">
        <v/>
      </c>
    </row>
    <row r="20">
      <c r="A20" s="149" t="n">
        <v>21763</v>
      </c>
      <c r="B20" t="n">
        <v/>
      </c>
      <c r="C20" t="n">
        <v/>
      </c>
      <c r="D20" t="n">
        <v/>
      </c>
      <c r="E20" t="n">
        <v/>
      </c>
      <c r="F20" t="n">
        <v/>
      </c>
      <c r="G20" t="n">
        <v/>
      </c>
      <c r="H20" t="n">
        <v/>
      </c>
      <c r="I20" t="n">
        <v/>
      </c>
      <c r="J20" t="n">
        <v/>
      </c>
      <c r="K20" t="n">
        <v/>
      </c>
      <c r="L20" t="n">
        <v>0</v>
      </c>
      <c r="M20" t="n">
        <v/>
      </c>
    </row>
    <row r="21">
      <c r="A21" s="149" t="n">
        <v>21794</v>
      </c>
      <c r="B21" t="n">
        <v/>
      </c>
      <c r="C21" t="n">
        <v/>
      </c>
      <c r="D21" t="n">
        <v/>
      </c>
      <c r="E21" t="n">
        <v/>
      </c>
      <c r="F21" t="n">
        <v/>
      </c>
      <c r="G21" t="n">
        <v/>
      </c>
      <c r="H21" t="n">
        <v/>
      </c>
      <c r="I21" t="n">
        <v/>
      </c>
      <c r="J21" t="n">
        <v/>
      </c>
      <c r="K21" t="n">
        <v/>
      </c>
      <c r="L21" t="n">
        <v>0</v>
      </c>
      <c r="M21" t="n">
        <v/>
      </c>
    </row>
    <row r="22">
      <c r="A22" s="149" t="n">
        <v>21824</v>
      </c>
      <c r="B22" t="n">
        <v/>
      </c>
      <c r="C22" t="n">
        <v/>
      </c>
      <c r="D22" t="n">
        <v/>
      </c>
      <c r="E22" t="n">
        <v/>
      </c>
      <c r="F22" t="n">
        <v/>
      </c>
      <c r="G22" t="n">
        <v/>
      </c>
      <c r="H22" t="n">
        <v/>
      </c>
      <c r="I22" t="n">
        <v/>
      </c>
      <c r="J22" t="n">
        <v/>
      </c>
      <c r="K22" t="n">
        <v/>
      </c>
      <c r="L22" t="n">
        <v>0</v>
      </c>
      <c r="M22" t="n">
        <v/>
      </c>
    </row>
    <row r="23">
      <c r="A23" s="149" t="n">
        <v>21855</v>
      </c>
      <c r="B23" t="n">
        <v/>
      </c>
      <c r="C23" t="n">
        <v/>
      </c>
      <c r="D23" t="n">
        <v/>
      </c>
      <c r="E23" t="n">
        <v/>
      </c>
      <c r="F23" t="n">
        <v/>
      </c>
      <c r="G23" t="n">
        <v/>
      </c>
      <c r="H23" t="n">
        <v/>
      </c>
      <c r="I23" t="n">
        <v/>
      </c>
      <c r="J23" t="n">
        <v/>
      </c>
      <c r="K23" t="n">
        <v/>
      </c>
      <c r="L23" t="n">
        <v>0</v>
      </c>
      <c r="M23" t="n">
        <v/>
      </c>
    </row>
    <row r="24">
      <c r="A24" s="149" t="n">
        <v>21885</v>
      </c>
      <c r="B24" t="n">
        <v/>
      </c>
      <c r="C24" t="n">
        <v/>
      </c>
      <c r="D24" t="n">
        <v/>
      </c>
      <c r="E24" t="n">
        <v/>
      </c>
      <c r="F24" t="n">
        <v/>
      </c>
      <c r="G24" t="n">
        <v/>
      </c>
      <c r="H24" t="n">
        <v/>
      </c>
      <c r="I24" t="n">
        <v/>
      </c>
      <c r="J24" t="n">
        <v/>
      </c>
      <c r="K24" t="n">
        <v/>
      </c>
      <c r="L24" t="n">
        <v>0</v>
      </c>
      <c r="M24" t="n">
        <v/>
      </c>
    </row>
    <row r="25">
      <c r="A25" s="149" t="n">
        <v>21916</v>
      </c>
      <c r="B25" t="n">
        <v/>
      </c>
      <c r="C25" t="n">
        <v/>
      </c>
      <c r="D25" t="n">
        <v/>
      </c>
      <c r="E25" t="n">
        <v/>
      </c>
      <c r="F25" t="n">
        <v/>
      </c>
      <c r="G25" t="n">
        <v/>
      </c>
      <c r="H25" t="n">
        <v/>
      </c>
      <c r="I25" t="n">
        <v/>
      </c>
      <c r="J25" t="n">
        <v/>
      </c>
      <c r="K25" t="n">
        <v/>
      </c>
      <c r="L25" t="n">
        <v>0</v>
      </c>
      <c r="M25" t="n">
        <v/>
      </c>
    </row>
    <row r="26">
      <c r="A26" s="149" t="n">
        <v>21947</v>
      </c>
      <c r="B26" t="n">
        <v/>
      </c>
      <c r="C26" t="n">
        <v/>
      </c>
      <c r="D26" t="n">
        <v/>
      </c>
      <c r="E26" t="n">
        <v/>
      </c>
      <c r="F26" t="n">
        <v/>
      </c>
      <c r="G26" t="n">
        <v/>
      </c>
      <c r="H26" t="n">
        <v/>
      </c>
      <c r="I26" t="n">
        <v/>
      </c>
      <c r="J26" t="n">
        <v/>
      </c>
      <c r="K26" t="n">
        <v/>
      </c>
      <c r="L26" t="n">
        <v>0</v>
      </c>
      <c r="M26" t="n">
        <v/>
      </c>
    </row>
    <row r="27">
      <c r="A27" s="149" t="n">
        <v>21976</v>
      </c>
      <c r="B27" t="n">
        <v/>
      </c>
      <c r="C27" t="n">
        <v/>
      </c>
      <c r="D27" t="n">
        <v/>
      </c>
      <c r="E27" t="n">
        <v/>
      </c>
      <c r="F27" t="n">
        <v/>
      </c>
      <c r="G27" t="n">
        <v/>
      </c>
      <c r="H27" t="n">
        <v/>
      </c>
      <c r="I27" t="n">
        <v/>
      </c>
      <c r="J27" t="n">
        <v/>
      </c>
      <c r="K27" t="n">
        <v/>
      </c>
      <c r="L27" t="n">
        <v>0</v>
      </c>
      <c r="M27" t="n">
        <v/>
      </c>
    </row>
    <row r="28">
      <c r="A28" s="149" t="n">
        <v>22007</v>
      </c>
      <c r="B28" t="n">
        <v/>
      </c>
      <c r="C28" t="n">
        <v/>
      </c>
      <c r="D28" t="n">
        <v/>
      </c>
      <c r="E28" t="n">
        <v/>
      </c>
      <c r="F28" t="n">
        <v/>
      </c>
      <c r="G28" t="n">
        <v/>
      </c>
      <c r="H28" t="n">
        <v/>
      </c>
      <c r="I28" t="n">
        <v/>
      </c>
      <c r="J28" t="n">
        <v/>
      </c>
      <c r="K28" t="n">
        <v/>
      </c>
      <c r="L28" t="n">
        <v>0</v>
      </c>
      <c r="M28" t="n">
        <v/>
      </c>
    </row>
    <row r="29">
      <c r="A29" s="149" t="n">
        <v>22037</v>
      </c>
      <c r="B29" t="n">
        <v/>
      </c>
      <c r="C29" t="n">
        <v/>
      </c>
      <c r="D29" t="n">
        <v/>
      </c>
      <c r="E29" t="n">
        <v/>
      </c>
      <c r="F29" t="n">
        <v/>
      </c>
      <c r="G29" t="n">
        <v/>
      </c>
      <c r="H29" t="n">
        <v/>
      </c>
      <c r="I29" t="n">
        <v/>
      </c>
      <c r="J29" t="n">
        <v/>
      </c>
      <c r="K29" t="n">
        <v/>
      </c>
      <c r="L29" t="n">
        <v>0</v>
      </c>
      <c r="M29" t="n">
        <v/>
      </c>
    </row>
    <row r="30">
      <c r="A30" s="149" t="n">
        <v>22068</v>
      </c>
      <c r="B30" t="n">
        <v/>
      </c>
      <c r="C30" t="n">
        <v/>
      </c>
      <c r="D30" t="n">
        <v/>
      </c>
      <c r="E30" t="n">
        <v/>
      </c>
      <c r="F30" t="n">
        <v/>
      </c>
      <c r="G30" t="n">
        <v/>
      </c>
      <c r="H30" t="n">
        <v/>
      </c>
      <c r="I30" t="n">
        <v/>
      </c>
      <c r="J30" t="n">
        <v/>
      </c>
      <c r="K30" t="n">
        <v/>
      </c>
      <c r="L30" t="n">
        <v>0</v>
      </c>
      <c r="M30" t="n">
        <v/>
      </c>
    </row>
    <row r="31">
      <c r="A31" s="149" t="n">
        <v>22098</v>
      </c>
      <c r="B31" t="n">
        <v/>
      </c>
      <c r="C31" t="n">
        <v/>
      </c>
      <c r="D31" t="n">
        <v/>
      </c>
      <c r="E31" t="n">
        <v/>
      </c>
      <c r="F31" t="n">
        <v/>
      </c>
      <c r="G31" t="n">
        <v/>
      </c>
      <c r="H31" t="n">
        <v/>
      </c>
      <c r="I31" t="n">
        <v/>
      </c>
      <c r="J31" t="n">
        <v/>
      </c>
      <c r="K31" t="n">
        <v/>
      </c>
      <c r="L31" t="n">
        <v>0</v>
      </c>
      <c r="M31" t="n">
        <v/>
      </c>
    </row>
    <row r="32">
      <c r="A32" s="149" t="n">
        <v>22129</v>
      </c>
      <c r="B32" t="n">
        <v/>
      </c>
      <c r="C32" t="n">
        <v/>
      </c>
      <c r="D32" t="n">
        <v/>
      </c>
      <c r="E32" t="n">
        <v/>
      </c>
      <c r="F32" t="n">
        <v/>
      </c>
      <c r="G32" t="n">
        <v/>
      </c>
      <c r="H32" t="n">
        <v/>
      </c>
      <c r="I32" t="n">
        <v/>
      </c>
      <c r="J32" t="n">
        <v/>
      </c>
      <c r="K32" t="n">
        <v/>
      </c>
      <c r="L32" t="n">
        <v>0</v>
      </c>
      <c r="M32" t="n">
        <v/>
      </c>
    </row>
    <row r="33">
      <c r="A33" s="149" t="n">
        <v>22160</v>
      </c>
      <c r="B33" t="n">
        <v/>
      </c>
      <c r="C33" t="n">
        <v/>
      </c>
      <c r="D33" t="n">
        <v/>
      </c>
      <c r="E33" t="n">
        <v/>
      </c>
      <c r="F33" t="n">
        <v/>
      </c>
      <c r="G33" t="n">
        <v/>
      </c>
      <c r="H33" t="n">
        <v/>
      </c>
      <c r="I33" t="n">
        <v/>
      </c>
      <c r="J33" t="n">
        <v/>
      </c>
      <c r="K33" t="n">
        <v/>
      </c>
      <c r="L33" t="n">
        <v>0</v>
      </c>
      <c r="M33" t="n">
        <v/>
      </c>
    </row>
    <row r="34">
      <c r="A34" s="149" t="n">
        <v>22190</v>
      </c>
      <c r="B34" t="n">
        <v/>
      </c>
      <c r="C34" t="n">
        <v/>
      </c>
      <c r="D34" t="n">
        <v/>
      </c>
      <c r="E34" t="n">
        <v/>
      </c>
      <c r="F34" t="n">
        <v/>
      </c>
      <c r="G34" t="n">
        <v/>
      </c>
      <c r="H34" t="n">
        <v/>
      </c>
      <c r="I34" t="n">
        <v/>
      </c>
      <c r="J34" t="n">
        <v/>
      </c>
      <c r="K34" t="n">
        <v/>
      </c>
      <c r="L34" t="n">
        <v>0</v>
      </c>
      <c r="M34" t="n">
        <v/>
      </c>
    </row>
    <row r="35">
      <c r="A35" s="149" t="n">
        <v>22221</v>
      </c>
      <c r="B35" t="n">
        <v/>
      </c>
      <c r="C35" t="n">
        <v/>
      </c>
      <c r="D35" t="n">
        <v/>
      </c>
      <c r="E35" t="n">
        <v/>
      </c>
      <c r="F35" t="n">
        <v/>
      </c>
      <c r="G35" t="n">
        <v/>
      </c>
      <c r="H35" t="n">
        <v/>
      </c>
      <c r="I35" t="n">
        <v/>
      </c>
      <c r="J35" t="n">
        <v/>
      </c>
      <c r="K35" t="n">
        <v/>
      </c>
      <c r="L35" t="n">
        <v>0</v>
      </c>
      <c r="M35" t="n">
        <v/>
      </c>
    </row>
    <row r="36">
      <c r="A36" s="149" t="n">
        <v>22251</v>
      </c>
      <c r="B36" t="n">
        <v/>
      </c>
      <c r="C36" t="n">
        <v/>
      </c>
      <c r="D36" t="n">
        <v/>
      </c>
      <c r="E36" t="n">
        <v/>
      </c>
      <c r="F36" t="n">
        <v/>
      </c>
      <c r="G36" t="n">
        <v/>
      </c>
      <c r="H36" t="n">
        <v/>
      </c>
      <c r="I36" t="n">
        <v/>
      </c>
      <c r="J36" t="n">
        <v/>
      </c>
      <c r="K36" t="n">
        <v/>
      </c>
      <c r="L36" t="n">
        <v>0</v>
      </c>
      <c r="M36" t="n">
        <v/>
      </c>
    </row>
    <row r="37">
      <c r="A37" s="149" t="n">
        <v>22282</v>
      </c>
      <c r="B37" t="n">
        <v/>
      </c>
      <c r="C37" t="n">
        <v/>
      </c>
      <c r="D37" t="n">
        <v/>
      </c>
      <c r="E37" t="n">
        <v/>
      </c>
      <c r="F37" t="n">
        <v/>
      </c>
      <c r="G37" t="n">
        <v/>
      </c>
      <c r="H37" t="n">
        <v/>
      </c>
      <c r="I37" t="n">
        <v/>
      </c>
      <c r="J37" t="n">
        <v/>
      </c>
      <c r="K37" t="n">
        <v/>
      </c>
      <c r="L37" t="n">
        <v>0</v>
      </c>
      <c r="M37" t="n">
        <v/>
      </c>
    </row>
    <row r="38">
      <c r="A38" s="149" t="n">
        <v>22313</v>
      </c>
      <c r="B38" t="n">
        <v/>
      </c>
      <c r="C38" t="n">
        <v/>
      </c>
      <c r="D38" t="n">
        <v/>
      </c>
      <c r="E38" t="n">
        <v/>
      </c>
      <c r="F38" t="n">
        <v/>
      </c>
      <c r="G38" t="n">
        <v/>
      </c>
      <c r="H38" t="n">
        <v/>
      </c>
      <c r="I38" t="n">
        <v/>
      </c>
      <c r="J38" t="n">
        <v/>
      </c>
      <c r="K38" t="n">
        <v/>
      </c>
      <c r="L38" t="n">
        <v>0</v>
      </c>
      <c r="M38" t="n">
        <v/>
      </c>
    </row>
    <row r="39">
      <c r="A39" s="149" t="n">
        <v>22341</v>
      </c>
      <c r="B39" t="n">
        <v/>
      </c>
      <c r="C39" t="n">
        <v/>
      </c>
      <c r="D39" t="n">
        <v/>
      </c>
      <c r="E39" t="n">
        <v/>
      </c>
      <c r="F39" t="n">
        <v/>
      </c>
      <c r="G39" t="n">
        <v/>
      </c>
      <c r="H39" t="n">
        <v/>
      </c>
      <c r="I39" t="n">
        <v/>
      </c>
      <c r="J39" t="n">
        <v/>
      </c>
      <c r="K39" t="n">
        <v/>
      </c>
      <c r="L39" t="n">
        <v>0</v>
      </c>
      <c r="M39" t="n">
        <v/>
      </c>
    </row>
    <row r="40">
      <c r="A40" s="149" t="n">
        <v>22372</v>
      </c>
      <c r="B40" t="n">
        <v/>
      </c>
      <c r="C40" t="n">
        <v/>
      </c>
      <c r="D40" t="n">
        <v/>
      </c>
      <c r="E40" t="n">
        <v/>
      </c>
      <c r="F40" t="n">
        <v/>
      </c>
      <c r="G40" t="n">
        <v/>
      </c>
      <c r="H40" t="n">
        <v/>
      </c>
      <c r="I40" t="n">
        <v/>
      </c>
      <c r="J40" t="n">
        <v/>
      </c>
      <c r="K40" t="n">
        <v/>
      </c>
      <c r="L40" t="n">
        <v>0</v>
      </c>
      <c r="M40" t="n">
        <v/>
      </c>
    </row>
    <row r="41">
      <c r="A41" s="149" t="n">
        <v>22402</v>
      </c>
      <c r="B41" t="n">
        <v/>
      </c>
      <c r="C41" t="n">
        <v/>
      </c>
      <c r="D41" t="n">
        <v/>
      </c>
      <c r="E41" t="n">
        <v/>
      </c>
      <c r="F41" t="n">
        <v/>
      </c>
      <c r="G41" t="n">
        <v/>
      </c>
      <c r="H41" t="n">
        <v/>
      </c>
      <c r="I41" t="n">
        <v/>
      </c>
      <c r="J41" t="n">
        <v/>
      </c>
      <c r="K41" t="n">
        <v/>
      </c>
      <c r="L41" t="n">
        <v>0</v>
      </c>
      <c r="M41" t="n">
        <v/>
      </c>
    </row>
    <row r="42">
      <c r="A42" s="149" t="n">
        <v>22433</v>
      </c>
      <c r="B42" t="n">
        <v/>
      </c>
      <c r="C42" t="n">
        <v/>
      </c>
      <c r="D42" t="n">
        <v/>
      </c>
      <c r="E42" t="n">
        <v/>
      </c>
      <c r="F42" t="n">
        <v/>
      </c>
      <c r="G42" t="n">
        <v/>
      </c>
      <c r="H42" t="n">
        <v/>
      </c>
      <c r="I42" t="n">
        <v/>
      </c>
      <c r="J42" t="n">
        <v/>
      </c>
      <c r="K42" t="n">
        <v/>
      </c>
      <c r="L42" t="n">
        <v>0</v>
      </c>
      <c r="M42" t="n">
        <v/>
      </c>
    </row>
    <row r="43">
      <c r="A43" s="149" t="n">
        <v>22463</v>
      </c>
      <c r="B43" t="n">
        <v/>
      </c>
      <c r="C43" t="n">
        <v/>
      </c>
      <c r="D43" t="n">
        <v/>
      </c>
      <c r="E43" t="n">
        <v/>
      </c>
      <c r="F43" t="n">
        <v/>
      </c>
      <c r="G43" t="n">
        <v/>
      </c>
      <c r="H43" t="n">
        <v/>
      </c>
      <c r="I43" t="n">
        <v/>
      </c>
      <c r="J43" t="n">
        <v/>
      </c>
      <c r="K43" t="n">
        <v/>
      </c>
      <c r="L43" t="n">
        <v>0</v>
      </c>
      <c r="M43" t="n">
        <v/>
      </c>
    </row>
    <row r="44">
      <c r="A44" s="149" t="n">
        <v>22494</v>
      </c>
      <c r="B44" t="n">
        <v/>
      </c>
      <c r="C44" t="n">
        <v/>
      </c>
      <c r="D44" t="n">
        <v/>
      </c>
      <c r="E44" t="n">
        <v/>
      </c>
      <c r="F44" t="n">
        <v/>
      </c>
      <c r="G44" t="n">
        <v/>
      </c>
      <c r="H44" t="n">
        <v/>
      </c>
      <c r="I44" t="n">
        <v/>
      </c>
      <c r="J44" t="n">
        <v/>
      </c>
      <c r="K44" t="n">
        <v/>
      </c>
      <c r="L44" t="n">
        <v>0</v>
      </c>
      <c r="M44" t="n">
        <v/>
      </c>
    </row>
    <row r="45">
      <c r="A45" s="149" t="n">
        <v>22525</v>
      </c>
      <c r="B45" t="n">
        <v/>
      </c>
      <c r="C45" t="n">
        <v/>
      </c>
      <c r="D45" t="n">
        <v/>
      </c>
      <c r="E45" t="n">
        <v/>
      </c>
      <c r="F45" t="n">
        <v/>
      </c>
      <c r="G45" t="n">
        <v/>
      </c>
      <c r="H45" t="n">
        <v/>
      </c>
      <c r="I45" t="n">
        <v/>
      </c>
      <c r="J45" t="n">
        <v/>
      </c>
      <c r="K45" t="n">
        <v/>
      </c>
      <c r="L45" t="n">
        <v>0</v>
      </c>
      <c r="M45" t="n">
        <v/>
      </c>
    </row>
    <row r="46">
      <c r="A46" s="149" t="n">
        <v>22555</v>
      </c>
      <c r="B46" t="n">
        <v/>
      </c>
      <c r="C46" t="n">
        <v/>
      </c>
      <c r="D46" t="n">
        <v/>
      </c>
      <c r="E46" t="n">
        <v/>
      </c>
      <c r="F46" t="n">
        <v/>
      </c>
      <c r="G46" t="n">
        <v/>
      </c>
      <c r="H46" t="n">
        <v/>
      </c>
      <c r="I46" t="n">
        <v/>
      </c>
      <c r="J46" t="n">
        <v/>
      </c>
      <c r="K46" t="n">
        <v/>
      </c>
      <c r="L46" t="n">
        <v>0</v>
      </c>
      <c r="M46" t="n">
        <v/>
      </c>
    </row>
    <row r="47">
      <c r="A47" s="149" t="n">
        <v>22586</v>
      </c>
      <c r="B47" t="n">
        <v/>
      </c>
      <c r="C47" t="n">
        <v/>
      </c>
      <c r="D47" t="n">
        <v/>
      </c>
      <c r="E47" t="n">
        <v/>
      </c>
      <c r="F47" t="n">
        <v/>
      </c>
      <c r="G47" t="n">
        <v/>
      </c>
      <c r="H47" t="n">
        <v/>
      </c>
      <c r="I47" t="n">
        <v/>
      </c>
      <c r="J47" t="n">
        <v/>
      </c>
      <c r="K47" t="n">
        <v/>
      </c>
      <c r="L47" t="n">
        <v>0</v>
      </c>
      <c r="M47" t="n">
        <v/>
      </c>
    </row>
    <row r="48">
      <c r="A48" s="149" t="n">
        <v>22616</v>
      </c>
      <c r="B48" t="n">
        <v/>
      </c>
      <c r="C48" t="n">
        <v/>
      </c>
      <c r="D48" t="n">
        <v/>
      </c>
      <c r="E48" t="n">
        <v/>
      </c>
      <c r="F48" t="n">
        <v/>
      </c>
      <c r="G48" t="n">
        <v/>
      </c>
      <c r="H48" t="n">
        <v/>
      </c>
      <c r="I48" t="n">
        <v/>
      </c>
      <c r="J48" t="n">
        <v/>
      </c>
      <c r="K48" t="n">
        <v/>
      </c>
      <c r="L48" t="n">
        <v>0</v>
      </c>
      <c r="M48" t="n">
        <v/>
      </c>
    </row>
    <row r="49">
      <c r="A49" s="149" t="n">
        <v>22647</v>
      </c>
      <c r="B49" t="n">
        <v/>
      </c>
      <c r="C49" t="n">
        <v/>
      </c>
      <c r="D49" t="n">
        <v/>
      </c>
      <c r="E49" t="n">
        <v/>
      </c>
      <c r="F49" t="n">
        <v/>
      </c>
      <c r="G49" t="n">
        <v/>
      </c>
      <c r="H49" t="n">
        <v/>
      </c>
      <c r="I49" t="n">
        <v/>
      </c>
      <c r="J49" t="n">
        <v/>
      </c>
      <c r="K49" t="n">
        <v/>
      </c>
      <c r="L49" t="n">
        <v>0</v>
      </c>
      <c r="M49" t="n">
        <v/>
      </c>
    </row>
    <row r="50">
      <c r="A50" s="149" t="n">
        <v>22678</v>
      </c>
      <c r="B50" t="n">
        <v/>
      </c>
      <c r="C50" t="n">
        <v/>
      </c>
      <c r="D50" t="n">
        <v/>
      </c>
      <c r="E50" t="n">
        <v/>
      </c>
      <c r="F50" t="n">
        <v/>
      </c>
      <c r="G50" t="n">
        <v/>
      </c>
      <c r="H50" t="n">
        <v/>
      </c>
      <c r="I50" t="n">
        <v/>
      </c>
      <c r="J50" t="n">
        <v/>
      </c>
      <c r="K50" t="n">
        <v/>
      </c>
      <c r="L50" t="n">
        <v>0</v>
      </c>
      <c r="M50" t="n">
        <v/>
      </c>
    </row>
    <row r="51">
      <c r="A51" s="149" t="n">
        <v>22706</v>
      </c>
      <c r="B51" t="n">
        <v/>
      </c>
      <c r="C51" t="n">
        <v/>
      </c>
      <c r="D51" t="n">
        <v/>
      </c>
      <c r="E51" t="n">
        <v/>
      </c>
      <c r="F51" t="n">
        <v/>
      </c>
      <c r="G51" t="n">
        <v/>
      </c>
      <c r="H51" t="n">
        <v/>
      </c>
      <c r="I51" t="n">
        <v/>
      </c>
      <c r="J51" t="n">
        <v/>
      </c>
      <c r="K51" t="n">
        <v/>
      </c>
      <c r="L51" t="n">
        <v>0</v>
      </c>
      <c r="M51" t="n">
        <v/>
      </c>
    </row>
    <row r="52">
      <c r="A52" s="149" t="n">
        <v>22737</v>
      </c>
      <c r="B52" t="n">
        <v/>
      </c>
      <c r="C52" t="n">
        <v/>
      </c>
      <c r="D52" t="n">
        <v/>
      </c>
      <c r="E52" t="n">
        <v/>
      </c>
      <c r="F52" t="n">
        <v/>
      </c>
      <c r="G52" t="n">
        <v/>
      </c>
      <c r="H52" t="n">
        <v/>
      </c>
      <c r="I52" t="n">
        <v/>
      </c>
      <c r="J52" t="n">
        <v/>
      </c>
      <c r="K52" t="n">
        <v/>
      </c>
      <c r="L52" t="n">
        <v>0</v>
      </c>
      <c r="M52" t="n">
        <v/>
      </c>
    </row>
    <row r="53">
      <c r="A53" s="149" t="n">
        <v>22767</v>
      </c>
      <c r="B53" t="n">
        <v/>
      </c>
      <c r="C53" t="n">
        <v/>
      </c>
      <c r="D53" t="n">
        <v/>
      </c>
      <c r="E53" t="n">
        <v/>
      </c>
      <c r="F53" t="n">
        <v/>
      </c>
      <c r="G53" t="n">
        <v/>
      </c>
      <c r="H53" t="n">
        <v/>
      </c>
      <c r="I53" t="n">
        <v/>
      </c>
      <c r="J53" t="n">
        <v/>
      </c>
      <c r="K53" t="n">
        <v/>
      </c>
      <c r="L53" t="n">
        <v>0</v>
      </c>
      <c r="M53" t="n">
        <v/>
      </c>
    </row>
    <row r="54">
      <c r="A54" s="149" t="n">
        <v>22798</v>
      </c>
      <c r="B54" t="n">
        <v/>
      </c>
      <c r="C54" t="n">
        <v/>
      </c>
      <c r="D54" t="n">
        <v/>
      </c>
      <c r="E54" t="n">
        <v/>
      </c>
      <c r="F54" t="n">
        <v/>
      </c>
      <c r="G54" t="n">
        <v/>
      </c>
      <c r="H54" t="n">
        <v/>
      </c>
      <c r="I54" t="n">
        <v/>
      </c>
      <c r="J54" t="n">
        <v/>
      </c>
      <c r="K54" t="n">
        <v/>
      </c>
      <c r="L54" t="n">
        <v>0</v>
      </c>
      <c r="M54" t="n">
        <v/>
      </c>
    </row>
    <row r="55">
      <c r="A55" s="149" t="n">
        <v>22828</v>
      </c>
      <c r="B55" t="n">
        <v/>
      </c>
      <c r="C55" t="n">
        <v/>
      </c>
      <c r="D55" t="n">
        <v/>
      </c>
      <c r="E55" t="n">
        <v/>
      </c>
      <c r="F55" t="n">
        <v/>
      </c>
      <c r="G55" t="n">
        <v/>
      </c>
      <c r="H55" t="n">
        <v/>
      </c>
      <c r="I55" t="n">
        <v/>
      </c>
      <c r="J55" t="n">
        <v/>
      </c>
      <c r="K55" t="n">
        <v/>
      </c>
      <c r="L55" t="n">
        <v>0</v>
      </c>
      <c r="M55" t="n">
        <v/>
      </c>
    </row>
    <row r="56">
      <c r="A56" s="149" t="n">
        <v>22859</v>
      </c>
      <c r="B56" t="n">
        <v/>
      </c>
      <c r="C56" t="n">
        <v/>
      </c>
      <c r="D56" t="n">
        <v/>
      </c>
      <c r="E56" t="n">
        <v/>
      </c>
      <c r="F56" t="n">
        <v/>
      </c>
      <c r="G56" t="n">
        <v/>
      </c>
      <c r="H56" t="n">
        <v/>
      </c>
      <c r="I56" t="n">
        <v/>
      </c>
      <c r="J56" t="n">
        <v/>
      </c>
      <c r="K56" t="n">
        <v/>
      </c>
      <c r="L56" t="n">
        <v>0</v>
      </c>
      <c r="M56" t="n">
        <v/>
      </c>
    </row>
    <row r="57">
      <c r="A57" s="149" t="n">
        <v>22890</v>
      </c>
      <c r="B57" t="n">
        <v/>
      </c>
      <c r="C57" t="n">
        <v/>
      </c>
      <c r="D57" t="n">
        <v/>
      </c>
      <c r="E57" t="n">
        <v/>
      </c>
      <c r="F57" t="n">
        <v/>
      </c>
      <c r="G57" t="n">
        <v/>
      </c>
      <c r="H57" t="n">
        <v/>
      </c>
      <c r="I57" t="n">
        <v/>
      </c>
      <c r="J57" t="n">
        <v/>
      </c>
      <c r="K57" t="n">
        <v/>
      </c>
      <c r="L57" t="n">
        <v>0</v>
      </c>
      <c r="M57" t="n">
        <v/>
      </c>
    </row>
    <row r="58">
      <c r="A58" s="149" t="n">
        <v>22920</v>
      </c>
      <c r="B58" t="n">
        <v/>
      </c>
      <c r="C58" t="n">
        <v/>
      </c>
      <c r="D58" t="n">
        <v/>
      </c>
      <c r="E58" t="n">
        <v/>
      </c>
      <c r="F58" t="n">
        <v/>
      </c>
      <c r="G58" t="n">
        <v/>
      </c>
      <c r="H58" t="n">
        <v/>
      </c>
      <c r="I58" t="n">
        <v/>
      </c>
      <c r="J58" t="n">
        <v/>
      </c>
      <c r="K58" t="n">
        <v/>
      </c>
      <c r="L58" t="n">
        <v>0</v>
      </c>
      <c r="M58" t="n">
        <v/>
      </c>
    </row>
    <row r="59">
      <c r="A59" s="149" t="n">
        <v>22951</v>
      </c>
      <c r="B59" t="n">
        <v/>
      </c>
      <c r="C59" t="n">
        <v/>
      </c>
      <c r="D59" t="n">
        <v/>
      </c>
      <c r="E59" t="n">
        <v/>
      </c>
      <c r="F59" t="n">
        <v/>
      </c>
      <c r="G59" t="n">
        <v/>
      </c>
      <c r="H59" t="n">
        <v/>
      </c>
      <c r="I59" t="n">
        <v/>
      </c>
      <c r="J59" t="n">
        <v/>
      </c>
      <c r="K59" t="n">
        <v/>
      </c>
      <c r="L59" t="n">
        <v>0</v>
      </c>
      <c r="M59" t="n">
        <v/>
      </c>
    </row>
    <row r="60">
      <c r="A60" s="149" t="n">
        <v>22981</v>
      </c>
      <c r="B60" t="n">
        <v/>
      </c>
      <c r="C60" t="n">
        <v/>
      </c>
      <c r="D60" t="n">
        <v/>
      </c>
      <c r="E60" t="n">
        <v/>
      </c>
      <c r="F60" t="n">
        <v/>
      </c>
      <c r="G60" t="n">
        <v/>
      </c>
      <c r="H60" t="n">
        <v/>
      </c>
      <c r="I60" t="n">
        <v/>
      </c>
      <c r="J60" t="n">
        <v/>
      </c>
      <c r="K60" t="n">
        <v/>
      </c>
      <c r="L60" t="n">
        <v>0</v>
      </c>
      <c r="M60" t="n">
        <v/>
      </c>
    </row>
    <row r="61">
      <c r="A61" s="149" t="n">
        <v>23012</v>
      </c>
      <c r="B61" t="n">
        <v/>
      </c>
      <c r="C61" t="n">
        <v/>
      </c>
      <c r="D61" t="n">
        <v/>
      </c>
      <c r="E61" t="n">
        <v/>
      </c>
      <c r="F61" t="n">
        <v/>
      </c>
      <c r="G61" t="n">
        <v/>
      </c>
      <c r="H61" t="n">
        <v/>
      </c>
      <c r="I61" t="n">
        <v/>
      </c>
      <c r="J61" t="n">
        <v/>
      </c>
      <c r="K61" t="n">
        <v/>
      </c>
      <c r="L61" t="n">
        <v>0</v>
      </c>
      <c r="M61" t="n">
        <v/>
      </c>
    </row>
    <row r="62">
      <c r="A62" s="149" t="n">
        <v>23043</v>
      </c>
      <c r="B62" t="n">
        <v/>
      </c>
      <c r="C62" t="n">
        <v/>
      </c>
      <c r="D62" t="n">
        <v/>
      </c>
      <c r="E62" t="n">
        <v/>
      </c>
      <c r="F62" t="n">
        <v/>
      </c>
      <c r="G62" t="n">
        <v/>
      </c>
      <c r="H62" t="n">
        <v/>
      </c>
      <c r="I62" t="n">
        <v/>
      </c>
      <c r="J62" t="n">
        <v/>
      </c>
      <c r="K62" t="n">
        <v/>
      </c>
      <c r="L62" t="n">
        <v>0</v>
      </c>
      <c r="M62" t="n">
        <v/>
      </c>
    </row>
    <row r="63">
      <c r="A63" s="149" t="n">
        <v>23071</v>
      </c>
      <c r="B63" t="n">
        <v/>
      </c>
      <c r="C63" t="n">
        <v/>
      </c>
      <c r="D63" t="n">
        <v/>
      </c>
      <c r="E63" t="n">
        <v/>
      </c>
      <c r="F63" t="n">
        <v/>
      </c>
      <c r="G63" t="n">
        <v/>
      </c>
      <c r="H63" t="n">
        <v/>
      </c>
      <c r="I63" t="n">
        <v/>
      </c>
      <c r="J63" t="n">
        <v/>
      </c>
      <c r="K63" t="n">
        <v/>
      </c>
      <c r="L63" t="n">
        <v>0</v>
      </c>
      <c r="M63" t="n">
        <v/>
      </c>
    </row>
    <row r="64">
      <c r="A64" s="149" t="n">
        <v>23102</v>
      </c>
      <c r="B64" t="n">
        <v/>
      </c>
      <c r="C64" t="n">
        <v/>
      </c>
      <c r="D64" t="n">
        <v/>
      </c>
      <c r="E64" t="n">
        <v/>
      </c>
      <c r="F64" t="n">
        <v/>
      </c>
      <c r="G64" t="n">
        <v/>
      </c>
      <c r="H64" t="n">
        <v/>
      </c>
      <c r="I64" t="n">
        <v/>
      </c>
      <c r="J64" t="n">
        <v/>
      </c>
      <c r="K64" t="n">
        <v/>
      </c>
      <c r="L64" t="n">
        <v>0</v>
      </c>
      <c r="M64" t="n">
        <v/>
      </c>
    </row>
    <row r="65">
      <c r="A65" s="149" t="n">
        <v>23132</v>
      </c>
      <c r="B65" t="n">
        <v/>
      </c>
      <c r="C65" t="n">
        <v/>
      </c>
      <c r="D65" t="n">
        <v/>
      </c>
      <c r="E65" t="n">
        <v/>
      </c>
      <c r="F65" t="n">
        <v/>
      </c>
      <c r="G65" t="n">
        <v/>
      </c>
      <c r="H65" t="n">
        <v/>
      </c>
      <c r="I65" t="n">
        <v/>
      </c>
      <c r="J65" t="n">
        <v/>
      </c>
      <c r="K65" t="n">
        <v/>
      </c>
      <c r="L65" t="n">
        <v>0</v>
      </c>
      <c r="M65" t="n">
        <v/>
      </c>
    </row>
    <row r="66">
      <c r="A66" s="149" t="n">
        <v>23163</v>
      </c>
      <c r="B66" t="n">
        <v/>
      </c>
      <c r="C66" t="n">
        <v/>
      </c>
      <c r="D66" t="n">
        <v/>
      </c>
      <c r="E66" t="n">
        <v/>
      </c>
      <c r="F66" t="n">
        <v/>
      </c>
      <c r="G66" t="n">
        <v/>
      </c>
      <c r="H66" t="n">
        <v/>
      </c>
      <c r="I66" t="n">
        <v/>
      </c>
      <c r="J66" t="n">
        <v/>
      </c>
      <c r="K66" t="n">
        <v/>
      </c>
      <c r="L66" t="n">
        <v>0</v>
      </c>
      <c r="M66" t="n">
        <v/>
      </c>
    </row>
    <row r="67">
      <c r="A67" s="149" t="n">
        <v>23193</v>
      </c>
      <c r="B67" t="n">
        <v/>
      </c>
      <c r="C67" t="n">
        <v/>
      </c>
      <c r="D67" t="n">
        <v/>
      </c>
      <c r="E67" t="n">
        <v/>
      </c>
      <c r="F67" t="n">
        <v/>
      </c>
      <c r="G67" t="n">
        <v/>
      </c>
      <c r="H67" t="n">
        <v/>
      </c>
      <c r="I67" t="n">
        <v/>
      </c>
      <c r="J67" t="n">
        <v/>
      </c>
      <c r="K67" t="n">
        <v/>
      </c>
      <c r="L67" t="n">
        <v>0</v>
      </c>
      <c r="M67" t="n">
        <v/>
      </c>
    </row>
    <row r="68">
      <c r="A68" s="149" t="n">
        <v>23224</v>
      </c>
      <c r="B68" t="n">
        <v/>
      </c>
      <c r="C68" t="n">
        <v/>
      </c>
      <c r="D68" t="n">
        <v/>
      </c>
      <c r="E68" t="n">
        <v/>
      </c>
      <c r="F68" t="n">
        <v/>
      </c>
      <c r="G68" t="n">
        <v/>
      </c>
      <c r="H68" t="n">
        <v/>
      </c>
      <c r="I68" t="n">
        <v/>
      </c>
      <c r="J68" t="n">
        <v/>
      </c>
      <c r="K68" t="n">
        <v/>
      </c>
      <c r="L68" t="n">
        <v>0</v>
      </c>
      <c r="M68" t="n">
        <v/>
      </c>
    </row>
    <row r="69">
      <c r="A69" s="149" t="n">
        <v>23255</v>
      </c>
      <c r="B69" t="n">
        <v/>
      </c>
      <c r="C69" t="n">
        <v/>
      </c>
      <c r="D69" t="n">
        <v/>
      </c>
      <c r="E69" t="n">
        <v/>
      </c>
      <c r="F69" t="n">
        <v/>
      </c>
      <c r="G69" t="n">
        <v/>
      </c>
      <c r="H69" t="n">
        <v/>
      </c>
      <c r="I69" t="n">
        <v/>
      </c>
      <c r="J69" t="n">
        <v/>
      </c>
      <c r="K69" t="n">
        <v/>
      </c>
      <c r="L69" t="n">
        <v>0</v>
      </c>
      <c r="M69" t="n">
        <v/>
      </c>
    </row>
    <row r="70">
      <c r="A70" s="149" t="n">
        <v>23285</v>
      </c>
      <c r="B70" t="n">
        <v/>
      </c>
      <c r="C70" t="n">
        <v/>
      </c>
      <c r="D70" t="n">
        <v/>
      </c>
      <c r="E70" t="n">
        <v/>
      </c>
      <c r="F70" t="n">
        <v/>
      </c>
      <c r="G70" t="n">
        <v/>
      </c>
      <c r="H70" t="n">
        <v/>
      </c>
      <c r="I70" t="n">
        <v/>
      </c>
      <c r="J70" t="n">
        <v/>
      </c>
      <c r="K70" t="n">
        <v/>
      </c>
      <c r="L70" t="n">
        <v>0</v>
      </c>
      <c r="M70" t="n">
        <v/>
      </c>
    </row>
    <row r="71">
      <c r="A71" s="149" t="n">
        <v>23316</v>
      </c>
      <c r="B71" t="n">
        <v/>
      </c>
      <c r="C71" t="n">
        <v/>
      </c>
      <c r="D71" t="n">
        <v/>
      </c>
      <c r="E71" t="n">
        <v/>
      </c>
      <c r="F71" t="n">
        <v/>
      </c>
      <c r="G71" t="n">
        <v/>
      </c>
      <c r="H71" t="n">
        <v/>
      </c>
      <c r="I71" t="n">
        <v/>
      </c>
      <c r="J71" t="n">
        <v/>
      </c>
      <c r="K71" t="n">
        <v/>
      </c>
      <c r="L71" t="n">
        <v>0</v>
      </c>
      <c r="M71" t="n">
        <v/>
      </c>
    </row>
    <row r="72">
      <c r="A72" s="149" t="n">
        <v>23346</v>
      </c>
      <c r="B72" t="n">
        <v/>
      </c>
      <c r="C72" t="n">
        <v/>
      </c>
      <c r="D72" t="n">
        <v/>
      </c>
      <c r="E72" t="n">
        <v/>
      </c>
      <c r="F72" t="n">
        <v/>
      </c>
      <c r="G72" t="n">
        <v/>
      </c>
      <c r="H72" t="n">
        <v/>
      </c>
      <c r="I72" t="n">
        <v/>
      </c>
      <c r="J72" t="n">
        <v/>
      </c>
      <c r="K72" t="n">
        <v/>
      </c>
      <c r="L72" t="n">
        <v>0</v>
      </c>
      <c r="M72" t="n">
        <v/>
      </c>
    </row>
    <row r="73">
      <c r="A73" s="149" t="n">
        <v>23377</v>
      </c>
      <c r="B73" t="n">
        <v/>
      </c>
      <c r="C73" t="n">
        <v/>
      </c>
      <c r="D73" t="n">
        <v/>
      </c>
      <c r="E73" t="n">
        <v/>
      </c>
      <c r="F73" t="n">
        <v/>
      </c>
      <c r="G73" t="n">
        <v/>
      </c>
      <c r="H73" t="n">
        <v/>
      </c>
      <c r="I73" t="n">
        <v/>
      </c>
      <c r="J73" t="n">
        <v/>
      </c>
      <c r="K73" t="n">
        <v/>
      </c>
      <c r="L73" t="n">
        <v>0</v>
      </c>
      <c r="M73" t="n">
        <v/>
      </c>
    </row>
    <row r="74">
      <c r="A74" s="149" t="n">
        <v>23408</v>
      </c>
      <c r="B74" t="n">
        <v/>
      </c>
      <c r="C74" t="n">
        <v/>
      </c>
      <c r="D74" t="n">
        <v/>
      </c>
      <c r="E74" t="n">
        <v/>
      </c>
      <c r="F74" t="n">
        <v/>
      </c>
      <c r="G74" t="n">
        <v/>
      </c>
      <c r="H74" t="n">
        <v/>
      </c>
      <c r="I74" t="n">
        <v/>
      </c>
      <c r="J74" t="n">
        <v/>
      </c>
      <c r="K74" t="n">
        <v/>
      </c>
      <c r="L74" t="n">
        <v>0</v>
      </c>
      <c r="M74" t="n">
        <v/>
      </c>
    </row>
    <row r="75">
      <c r="A75" s="149" t="n">
        <v>23437</v>
      </c>
      <c r="B75" t="n">
        <v/>
      </c>
      <c r="C75" t="n">
        <v/>
      </c>
      <c r="D75" t="n">
        <v/>
      </c>
      <c r="E75" t="n">
        <v/>
      </c>
      <c r="F75" t="n">
        <v/>
      </c>
      <c r="G75" t="n">
        <v/>
      </c>
      <c r="H75" t="n">
        <v/>
      </c>
      <c r="I75" t="n">
        <v/>
      </c>
      <c r="J75" t="n">
        <v/>
      </c>
      <c r="K75" t="n">
        <v/>
      </c>
      <c r="L75" t="n">
        <v>0</v>
      </c>
      <c r="M75" t="n">
        <v/>
      </c>
    </row>
    <row r="76">
      <c r="A76" s="149" t="n">
        <v>23468</v>
      </c>
      <c r="B76" t="n">
        <v/>
      </c>
      <c r="C76" t="n">
        <v/>
      </c>
      <c r="D76" t="n">
        <v/>
      </c>
      <c r="E76" t="n">
        <v/>
      </c>
      <c r="F76" t="n">
        <v/>
      </c>
      <c r="G76" t="n">
        <v/>
      </c>
      <c r="H76" t="n">
        <v/>
      </c>
      <c r="I76" t="n">
        <v/>
      </c>
      <c r="J76" t="n">
        <v/>
      </c>
      <c r="K76" t="n">
        <v/>
      </c>
      <c r="L76" t="n">
        <v>0</v>
      </c>
      <c r="M76" t="n">
        <v/>
      </c>
    </row>
    <row r="77">
      <c r="A77" s="149" t="n">
        <v>23498</v>
      </c>
      <c r="B77" t="n">
        <v/>
      </c>
      <c r="C77" t="n">
        <v/>
      </c>
      <c r="D77" t="n">
        <v/>
      </c>
      <c r="E77" t="n">
        <v/>
      </c>
      <c r="F77" t="n">
        <v/>
      </c>
      <c r="G77" t="n">
        <v/>
      </c>
      <c r="H77" t="n">
        <v/>
      </c>
      <c r="I77" t="n">
        <v/>
      </c>
      <c r="J77" t="n">
        <v/>
      </c>
      <c r="K77" t="n">
        <v/>
      </c>
      <c r="L77" t="n">
        <v>0</v>
      </c>
      <c r="M77" t="n">
        <v/>
      </c>
    </row>
    <row r="78">
      <c r="A78" s="149" t="n">
        <v>23529</v>
      </c>
      <c r="B78" t="n">
        <v/>
      </c>
      <c r="C78" t="n">
        <v/>
      </c>
      <c r="D78" t="n">
        <v/>
      </c>
      <c r="E78" t="n">
        <v/>
      </c>
      <c r="F78" t="n">
        <v/>
      </c>
      <c r="G78" t="n">
        <v/>
      </c>
      <c r="H78" t="n">
        <v/>
      </c>
      <c r="I78" t="n">
        <v/>
      </c>
      <c r="J78" t="n">
        <v/>
      </c>
      <c r="K78" t="n">
        <v/>
      </c>
      <c r="L78" t="n">
        <v>0</v>
      </c>
      <c r="M78" t="n">
        <v/>
      </c>
    </row>
    <row r="79">
      <c r="A79" s="149" t="n">
        <v>23559</v>
      </c>
      <c r="B79" t="n">
        <v/>
      </c>
      <c r="C79" t="n">
        <v/>
      </c>
      <c r="D79" t="n">
        <v/>
      </c>
      <c r="E79" t="n">
        <v/>
      </c>
      <c r="F79" t="n">
        <v/>
      </c>
      <c r="G79" t="n">
        <v/>
      </c>
      <c r="H79" t="n">
        <v/>
      </c>
      <c r="I79" t="n">
        <v/>
      </c>
      <c r="J79" t="n">
        <v/>
      </c>
      <c r="K79" t="n">
        <v/>
      </c>
      <c r="L79" t="n">
        <v>0</v>
      </c>
      <c r="M79" t="n">
        <v/>
      </c>
    </row>
    <row r="80">
      <c r="A80" s="149" t="n">
        <v>23590</v>
      </c>
      <c r="B80" t="n">
        <v/>
      </c>
      <c r="C80" t="n">
        <v/>
      </c>
      <c r="D80" t="n">
        <v/>
      </c>
      <c r="E80" t="n">
        <v/>
      </c>
      <c r="F80" t="n">
        <v/>
      </c>
      <c r="G80" t="n">
        <v/>
      </c>
      <c r="H80" t="n">
        <v/>
      </c>
      <c r="I80" t="n">
        <v/>
      </c>
      <c r="J80" t="n">
        <v/>
      </c>
      <c r="K80" t="n">
        <v/>
      </c>
      <c r="L80" t="n">
        <v>0</v>
      </c>
      <c r="M80" t="n">
        <v/>
      </c>
    </row>
    <row r="81">
      <c r="A81" s="149" t="n">
        <v>23621</v>
      </c>
      <c r="B81" t="n">
        <v/>
      </c>
      <c r="C81" t="n">
        <v/>
      </c>
      <c r="D81" t="n">
        <v/>
      </c>
      <c r="E81" t="n">
        <v/>
      </c>
      <c r="F81" t="n">
        <v/>
      </c>
      <c r="G81" t="n">
        <v/>
      </c>
      <c r="H81" t="n">
        <v/>
      </c>
      <c r="I81" t="n">
        <v/>
      </c>
      <c r="J81" t="n">
        <v/>
      </c>
      <c r="K81" t="n">
        <v/>
      </c>
      <c r="L81" t="n">
        <v>0</v>
      </c>
      <c r="M81" t="n">
        <v/>
      </c>
    </row>
    <row r="82">
      <c r="A82" s="149" t="n">
        <v>23651</v>
      </c>
      <c r="B82" t="n">
        <v/>
      </c>
      <c r="C82" t="n">
        <v/>
      </c>
      <c r="D82" t="n">
        <v/>
      </c>
      <c r="E82" t="n">
        <v/>
      </c>
      <c r="F82" t="n">
        <v/>
      </c>
      <c r="G82" t="n">
        <v/>
      </c>
      <c r="H82" t="n">
        <v/>
      </c>
      <c r="I82" t="n">
        <v/>
      </c>
      <c r="J82" t="n">
        <v/>
      </c>
      <c r="K82" t="n">
        <v/>
      </c>
      <c r="L82" t="n">
        <v>0</v>
      </c>
      <c r="M82" t="n">
        <v/>
      </c>
    </row>
    <row r="83">
      <c r="A83" s="149" t="n">
        <v>23682</v>
      </c>
      <c r="B83" t="n">
        <v/>
      </c>
      <c r="C83" t="n">
        <v/>
      </c>
      <c r="D83" t="n">
        <v/>
      </c>
      <c r="E83" t="n">
        <v/>
      </c>
      <c r="F83" t="n">
        <v/>
      </c>
      <c r="G83" t="n">
        <v/>
      </c>
      <c r="H83" t="n">
        <v/>
      </c>
      <c r="I83" t="n">
        <v/>
      </c>
      <c r="J83" t="n">
        <v/>
      </c>
      <c r="K83" t="n">
        <v/>
      </c>
      <c r="L83" t="n">
        <v>0</v>
      </c>
      <c r="M83" t="n">
        <v/>
      </c>
    </row>
    <row r="84">
      <c r="A84" s="149" t="n">
        <v>23712</v>
      </c>
      <c r="B84" t="n">
        <v/>
      </c>
      <c r="C84" t="n">
        <v/>
      </c>
      <c r="D84" t="n">
        <v/>
      </c>
      <c r="E84" t="n">
        <v/>
      </c>
      <c r="F84" t="n">
        <v/>
      </c>
      <c r="G84" t="n">
        <v/>
      </c>
      <c r="H84" t="n">
        <v/>
      </c>
      <c r="I84" t="n">
        <v/>
      </c>
      <c r="J84" t="n">
        <v/>
      </c>
      <c r="K84" t="n">
        <v/>
      </c>
      <c r="L84" t="n">
        <v>0</v>
      </c>
      <c r="M84" t="n">
        <v/>
      </c>
    </row>
    <row r="85">
      <c r="A85" s="149" t="n">
        <v>23743</v>
      </c>
      <c r="B85" t="n">
        <v/>
      </c>
      <c r="C85" t="n">
        <v/>
      </c>
      <c r="D85" t="n">
        <v/>
      </c>
      <c r="E85" t="n">
        <v/>
      </c>
      <c r="F85" t="n">
        <v/>
      </c>
      <c r="G85" t="n">
        <v/>
      </c>
      <c r="H85" t="n">
        <v/>
      </c>
      <c r="I85" t="n">
        <v/>
      </c>
      <c r="J85" t="n">
        <v/>
      </c>
      <c r="K85" t="n">
        <v/>
      </c>
      <c r="L85" t="n">
        <v>0</v>
      </c>
      <c r="M85" t="n">
        <v/>
      </c>
    </row>
    <row r="86">
      <c r="A86" s="149" t="n">
        <v>23774</v>
      </c>
      <c r="B86" t="n">
        <v/>
      </c>
      <c r="C86" t="n">
        <v/>
      </c>
      <c r="D86" t="n">
        <v/>
      </c>
      <c r="E86" t="n">
        <v/>
      </c>
      <c r="F86" t="n">
        <v/>
      </c>
      <c r="G86" t="n">
        <v/>
      </c>
      <c r="H86" t="n">
        <v/>
      </c>
      <c r="I86" t="n">
        <v/>
      </c>
      <c r="J86" t="n">
        <v/>
      </c>
      <c r="K86" t="n">
        <v/>
      </c>
      <c r="L86" t="n">
        <v>0</v>
      </c>
      <c r="M86" t="n">
        <v/>
      </c>
    </row>
    <row r="87">
      <c r="A87" s="149" t="n">
        <v>23802</v>
      </c>
      <c r="B87" t="n">
        <v/>
      </c>
      <c r="C87" t="n">
        <v/>
      </c>
      <c r="D87" t="n">
        <v/>
      </c>
      <c r="E87" t="n">
        <v/>
      </c>
      <c r="F87" t="n">
        <v/>
      </c>
      <c r="G87" t="n">
        <v/>
      </c>
      <c r="H87" t="n">
        <v/>
      </c>
      <c r="I87" t="n">
        <v/>
      </c>
      <c r="J87" t="n">
        <v/>
      </c>
      <c r="K87" t="n">
        <v/>
      </c>
      <c r="L87" t="n">
        <v>0</v>
      </c>
      <c r="M87" t="n">
        <v/>
      </c>
    </row>
    <row r="88">
      <c r="A88" s="149" t="n">
        <v>23833</v>
      </c>
      <c r="B88" t="n">
        <v/>
      </c>
      <c r="C88" t="n">
        <v/>
      </c>
      <c r="D88" t="n">
        <v/>
      </c>
      <c r="E88" t="n">
        <v/>
      </c>
      <c r="F88" t="n">
        <v/>
      </c>
      <c r="G88" t="n">
        <v/>
      </c>
      <c r="H88" t="n">
        <v/>
      </c>
      <c r="I88" t="n">
        <v/>
      </c>
      <c r="J88" t="n">
        <v/>
      </c>
      <c r="K88" t="n">
        <v/>
      </c>
      <c r="L88" t="n">
        <v>0</v>
      </c>
      <c r="M88" t="n">
        <v/>
      </c>
    </row>
    <row r="89">
      <c r="A89" s="149" t="n">
        <v>23863</v>
      </c>
      <c r="B89" t="n">
        <v/>
      </c>
      <c r="C89" t="n">
        <v/>
      </c>
      <c r="D89" t="n">
        <v/>
      </c>
      <c r="E89" t="n">
        <v/>
      </c>
      <c r="F89" t="n">
        <v/>
      </c>
      <c r="G89" t="n">
        <v/>
      </c>
      <c r="H89" t="n">
        <v/>
      </c>
      <c r="I89" t="n">
        <v/>
      </c>
      <c r="J89" t="n">
        <v/>
      </c>
      <c r="K89" t="n">
        <v/>
      </c>
      <c r="L89" t="n">
        <v>0</v>
      </c>
      <c r="M89" t="n">
        <v/>
      </c>
    </row>
    <row r="90">
      <c r="A90" s="149" t="n">
        <v>23894</v>
      </c>
      <c r="B90" t="n">
        <v/>
      </c>
      <c r="C90" t="n">
        <v/>
      </c>
      <c r="D90" t="n">
        <v/>
      </c>
      <c r="E90" t="n">
        <v/>
      </c>
      <c r="F90" t="n">
        <v/>
      </c>
      <c r="G90" t="n">
        <v/>
      </c>
      <c r="H90" t="n">
        <v/>
      </c>
      <c r="I90" t="n">
        <v/>
      </c>
      <c r="J90" t="n">
        <v/>
      </c>
      <c r="K90" t="n">
        <v/>
      </c>
      <c r="L90" t="n">
        <v>0</v>
      </c>
      <c r="M90" t="n">
        <v/>
      </c>
    </row>
    <row r="91">
      <c r="A91" s="149" t="n">
        <v>23924</v>
      </c>
      <c r="B91" t="n">
        <v/>
      </c>
      <c r="C91" t="n">
        <v/>
      </c>
      <c r="D91" t="n">
        <v/>
      </c>
      <c r="E91" t="n">
        <v/>
      </c>
      <c r="F91" t="n">
        <v/>
      </c>
      <c r="G91" t="n">
        <v/>
      </c>
      <c r="H91" t="n">
        <v/>
      </c>
      <c r="I91" t="n">
        <v/>
      </c>
      <c r="J91" t="n">
        <v/>
      </c>
      <c r="K91" t="n">
        <v/>
      </c>
      <c r="L91" t="n">
        <v>0</v>
      </c>
      <c r="M91" t="n">
        <v/>
      </c>
    </row>
    <row r="92">
      <c r="A92" s="149" t="n">
        <v>23955</v>
      </c>
      <c r="B92" t="n">
        <v/>
      </c>
      <c r="C92" t="n">
        <v/>
      </c>
      <c r="D92" t="n">
        <v/>
      </c>
      <c r="E92" t="n">
        <v/>
      </c>
      <c r="F92" t="n">
        <v/>
      </c>
      <c r="G92" t="n">
        <v/>
      </c>
      <c r="H92" t="n">
        <v/>
      </c>
      <c r="I92" t="n">
        <v/>
      </c>
      <c r="J92" t="n">
        <v/>
      </c>
      <c r="K92" t="n">
        <v/>
      </c>
      <c r="L92" t="n">
        <v>0</v>
      </c>
      <c r="M92" t="n">
        <v/>
      </c>
    </row>
    <row r="93">
      <c r="A93" s="149" t="n">
        <v>23986</v>
      </c>
      <c r="B93" t="n">
        <v/>
      </c>
      <c r="C93" t="n">
        <v/>
      </c>
      <c r="D93" t="n">
        <v/>
      </c>
      <c r="E93" t="n">
        <v/>
      </c>
      <c r="F93" t="n">
        <v/>
      </c>
      <c r="G93" t="n">
        <v/>
      </c>
      <c r="H93" t="n">
        <v/>
      </c>
      <c r="I93" t="n">
        <v/>
      </c>
      <c r="J93" t="n">
        <v/>
      </c>
      <c r="K93" t="n">
        <v/>
      </c>
      <c r="L93" t="n">
        <v>0</v>
      </c>
      <c r="M93" t="n">
        <v/>
      </c>
    </row>
    <row r="94">
      <c r="A94" s="149" t="n">
        <v>24016</v>
      </c>
      <c r="B94" t="n">
        <v/>
      </c>
      <c r="C94" t="n">
        <v/>
      </c>
      <c r="D94" t="n">
        <v/>
      </c>
      <c r="E94" t="n">
        <v/>
      </c>
      <c r="F94" t="n">
        <v/>
      </c>
      <c r="G94" t="n">
        <v/>
      </c>
      <c r="H94" t="n">
        <v/>
      </c>
      <c r="I94" t="n">
        <v/>
      </c>
      <c r="J94" t="n">
        <v/>
      </c>
      <c r="K94" t="n">
        <v/>
      </c>
      <c r="L94" t="n">
        <v>0</v>
      </c>
      <c r="M94" t="n">
        <v/>
      </c>
    </row>
    <row r="95">
      <c r="A95" s="149" t="n">
        <v>24047</v>
      </c>
      <c r="B95" t="n">
        <v/>
      </c>
      <c r="C95" t="n">
        <v/>
      </c>
      <c r="D95" t="n">
        <v/>
      </c>
      <c r="E95" t="n">
        <v/>
      </c>
      <c r="F95" t="n">
        <v/>
      </c>
      <c r="G95" t="n">
        <v/>
      </c>
      <c r="H95" t="n">
        <v/>
      </c>
      <c r="I95" t="n">
        <v/>
      </c>
      <c r="J95" t="n">
        <v/>
      </c>
      <c r="K95" t="n">
        <v/>
      </c>
      <c r="L95" t="n">
        <v>0</v>
      </c>
      <c r="M95" t="n">
        <v/>
      </c>
    </row>
    <row r="96">
      <c r="A96" s="149" t="n">
        <v>24077</v>
      </c>
      <c r="B96" t="n">
        <v/>
      </c>
      <c r="C96" t="n">
        <v/>
      </c>
      <c r="D96" t="n">
        <v/>
      </c>
      <c r="E96" t="n">
        <v/>
      </c>
      <c r="F96" t="n">
        <v/>
      </c>
      <c r="G96" t="n">
        <v/>
      </c>
      <c r="H96" t="n">
        <v/>
      </c>
      <c r="I96" t="n">
        <v/>
      </c>
      <c r="J96" t="n">
        <v/>
      </c>
      <c r="K96" t="n">
        <v/>
      </c>
      <c r="L96" t="n">
        <v>0</v>
      </c>
      <c r="M96" t="n">
        <v/>
      </c>
    </row>
    <row r="97">
      <c r="A97" s="149" t="n">
        <v>24108</v>
      </c>
      <c r="B97" t="n">
        <v/>
      </c>
      <c r="C97" t="n">
        <v/>
      </c>
      <c r="D97" t="n">
        <v/>
      </c>
      <c r="E97" t="n">
        <v/>
      </c>
      <c r="F97" t="n">
        <v/>
      </c>
      <c r="G97" t="n">
        <v/>
      </c>
      <c r="H97" t="n">
        <v/>
      </c>
      <c r="I97" t="n">
        <v/>
      </c>
      <c r="J97" t="n">
        <v/>
      </c>
      <c r="K97" t="n">
        <v/>
      </c>
      <c r="L97" t="n">
        <v>0</v>
      </c>
      <c r="M97" t="n">
        <v/>
      </c>
    </row>
    <row r="98">
      <c r="A98" s="149" t="n">
        <v>24139</v>
      </c>
      <c r="B98" t="n">
        <v/>
      </c>
      <c r="C98" t="n">
        <v/>
      </c>
      <c r="D98" t="n">
        <v/>
      </c>
      <c r="E98" t="n">
        <v/>
      </c>
      <c r="F98" t="n">
        <v/>
      </c>
      <c r="G98" t="n">
        <v/>
      </c>
      <c r="H98" t="n">
        <v/>
      </c>
      <c r="I98" t="n">
        <v/>
      </c>
      <c r="J98" t="n">
        <v/>
      </c>
      <c r="K98" t="n">
        <v/>
      </c>
      <c r="L98" t="n">
        <v>0</v>
      </c>
      <c r="M98" t="n">
        <v/>
      </c>
    </row>
    <row r="99">
      <c r="A99" s="149" t="n">
        <v>24167</v>
      </c>
      <c r="B99" t="n">
        <v/>
      </c>
      <c r="C99" t="n">
        <v/>
      </c>
      <c r="D99" t="n">
        <v/>
      </c>
      <c r="E99" t="n">
        <v/>
      </c>
      <c r="F99" t="n">
        <v/>
      </c>
      <c r="G99" t="n">
        <v/>
      </c>
      <c r="H99" t="n">
        <v/>
      </c>
      <c r="I99" t="n">
        <v/>
      </c>
      <c r="J99" t="n">
        <v/>
      </c>
      <c r="K99" t="n">
        <v/>
      </c>
      <c r="L99" t="n">
        <v>0</v>
      </c>
      <c r="M99" t="n">
        <v/>
      </c>
    </row>
    <row r="100">
      <c r="A100" s="149" t="n">
        <v>24198</v>
      </c>
      <c r="B100" t="n">
        <v/>
      </c>
      <c r="C100" t="n">
        <v/>
      </c>
      <c r="D100" t="n">
        <v/>
      </c>
      <c r="E100" t="n">
        <v/>
      </c>
      <c r="F100" t="n">
        <v/>
      </c>
      <c r="G100" t="n">
        <v/>
      </c>
      <c r="H100" t="n">
        <v/>
      </c>
      <c r="I100" t="n">
        <v/>
      </c>
      <c r="J100" t="n">
        <v/>
      </c>
      <c r="K100" t="n">
        <v/>
      </c>
      <c r="L100" t="n">
        <v>0</v>
      </c>
      <c r="M100" t="n">
        <v/>
      </c>
    </row>
    <row r="101">
      <c r="A101" s="149" t="n">
        <v>24228</v>
      </c>
      <c r="B101" t="n">
        <v/>
      </c>
      <c r="C101" t="n">
        <v/>
      </c>
      <c r="D101" t="n">
        <v/>
      </c>
      <c r="E101" t="n">
        <v/>
      </c>
      <c r="F101" t="n">
        <v/>
      </c>
      <c r="G101" t="n">
        <v/>
      </c>
      <c r="H101" t="n">
        <v/>
      </c>
      <c r="I101" t="n">
        <v/>
      </c>
      <c r="J101" t="n">
        <v/>
      </c>
      <c r="K101" t="n">
        <v/>
      </c>
      <c r="L101" t="n">
        <v>0</v>
      </c>
      <c r="M101" t="n">
        <v/>
      </c>
    </row>
    <row r="102">
      <c r="A102" s="149" t="n">
        <v>24259</v>
      </c>
      <c r="B102" t="n">
        <v/>
      </c>
      <c r="C102" t="n">
        <v/>
      </c>
      <c r="D102" t="n">
        <v/>
      </c>
      <c r="E102" t="n">
        <v/>
      </c>
      <c r="F102" t="n">
        <v/>
      </c>
      <c r="G102" t="n">
        <v/>
      </c>
      <c r="H102" t="n">
        <v/>
      </c>
      <c r="I102" t="n">
        <v/>
      </c>
      <c r="J102" t="n">
        <v/>
      </c>
      <c r="K102" t="n">
        <v/>
      </c>
      <c r="L102" t="n">
        <v>0</v>
      </c>
      <c r="M102" t="n">
        <v/>
      </c>
    </row>
    <row r="103">
      <c r="A103" s="149" t="n">
        <v>24289</v>
      </c>
      <c r="B103" t="n">
        <v/>
      </c>
      <c r="C103" t="n">
        <v/>
      </c>
      <c r="D103" t="n">
        <v/>
      </c>
      <c r="E103" t="n">
        <v/>
      </c>
      <c r="F103" t="n">
        <v/>
      </c>
      <c r="G103" t="n">
        <v/>
      </c>
      <c r="H103" t="n">
        <v/>
      </c>
      <c r="I103" t="n">
        <v/>
      </c>
      <c r="J103" t="n">
        <v/>
      </c>
      <c r="K103" t="n">
        <v/>
      </c>
      <c r="L103" t="n">
        <v>0</v>
      </c>
      <c r="M103" t="n">
        <v/>
      </c>
    </row>
    <row r="104">
      <c r="A104" s="149" t="n">
        <v>24320</v>
      </c>
      <c r="B104" t="n">
        <v/>
      </c>
      <c r="C104" t="n">
        <v/>
      </c>
      <c r="D104" t="n">
        <v/>
      </c>
      <c r="E104" t="n">
        <v/>
      </c>
      <c r="F104" t="n">
        <v/>
      </c>
      <c r="G104" t="n">
        <v/>
      </c>
      <c r="H104" t="n">
        <v/>
      </c>
      <c r="I104" t="n">
        <v/>
      </c>
      <c r="J104" t="n">
        <v/>
      </c>
      <c r="K104" t="n">
        <v/>
      </c>
      <c r="L104" t="n">
        <v>0</v>
      </c>
      <c r="M104" t="n">
        <v/>
      </c>
    </row>
    <row r="105">
      <c r="A105" s="149" t="n">
        <v>24351</v>
      </c>
      <c r="B105" t="n">
        <v/>
      </c>
      <c r="C105" t="n">
        <v/>
      </c>
      <c r="D105" t="n">
        <v/>
      </c>
      <c r="E105" t="n">
        <v/>
      </c>
      <c r="F105" t="n">
        <v/>
      </c>
      <c r="G105" t="n">
        <v/>
      </c>
      <c r="H105" t="n">
        <v/>
      </c>
      <c r="I105" t="n">
        <v/>
      </c>
      <c r="J105" t="n">
        <v/>
      </c>
      <c r="K105" t="n">
        <v/>
      </c>
      <c r="L105" t="n">
        <v>0</v>
      </c>
      <c r="M105" t="n">
        <v/>
      </c>
    </row>
    <row r="106">
      <c r="A106" s="149" t="n">
        <v>24381</v>
      </c>
      <c r="B106" t="n">
        <v/>
      </c>
      <c r="C106" t="n">
        <v/>
      </c>
      <c r="D106" t="n">
        <v/>
      </c>
      <c r="E106" t="n">
        <v/>
      </c>
      <c r="F106" t="n">
        <v/>
      </c>
      <c r="G106" t="n">
        <v/>
      </c>
      <c r="H106" t="n">
        <v/>
      </c>
      <c r="I106" t="n">
        <v/>
      </c>
      <c r="J106" t="n">
        <v/>
      </c>
      <c r="K106" t="n">
        <v/>
      </c>
      <c r="L106" t="n">
        <v>0</v>
      </c>
      <c r="M106" t="n">
        <v/>
      </c>
    </row>
    <row r="107">
      <c r="A107" s="149" t="n">
        <v>24412</v>
      </c>
      <c r="B107" t="n">
        <v/>
      </c>
      <c r="C107" t="n">
        <v/>
      </c>
      <c r="D107" t="n">
        <v/>
      </c>
      <c r="E107" t="n">
        <v/>
      </c>
      <c r="F107" t="n">
        <v/>
      </c>
      <c r="G107" t="n">
        <v/>
      </c>
      <c r="H107" t="n">
        <v/>
      </c>
      <c r="I107" t="n">
        <v/>
      </c>
      <c r="J107" t="n">
        <v/>
      </c>
      <c r="K107" t="n">
        <v/>
      </c>
      <c r="L107" t="n">
        <v>0</v>
      </c>
      <c r="M107" t="n">
        <v/>
      </c>
    </row>
    <row r="108">
      <c r="A108" s="149" t="n">
        <v>24442</v>
      </c>
      <c r="B108" t="n">
        <v/>
      </c>
      <c r="C108" t="n">
        <v/>
      </c>
      <c r="D108" t="n">
        <v/>
      </c>
      <c r="E108" t="n">
        <v/>
      </c>
      <c r="F108" t="n">
        <v/>
      </c>
      <c r="G108" t="n">
        <v/>
      </c>
      <c r="H108" t="n">
        <v/>
      </c>
      <c r="I108" t="n">
        <v/>
      </c>
      <c r="J108" t="n">
        <v/>
      </c>
      <c r="K108" t="n">
        <v/>
      </c>
      <c r="L108" t="n">
        <v>0</v>
      </c>
      <c r="M108" t="n">
        <v/>
      </c>
    </row>
    <row r="109">
      <c r="A109" s="149" t="n">
        <v>24473</v>
      </c>
      <c r="B109" t="n">
        <v/>
      </c>
      <c r="C109" t="n">
        <v/>
      </c>
      <c r="D109" t="n">
        <v/>
      </c>
      <c r="E109" t="n">
        <v/>
      </c>
      <c r="F109" t="n">
        <v/>
      </c>
      <c r="G109" t="n">
        <v/>
      </c>
      <c r="H109" t="n">
        <v/>
      </c>
      <c r="I109" t="n">
        <v/>
      </c>
      <c r="J109" t="n">
        <v/>
      </c>
      <c r="K109" t="n">
        <v/>
      </c>
      <c r="L109" t="n">
        <v>0</v>
      </c>
      <c r="M109" t="n">
        <v/>
      </c>
    </row>
    <row r="110">
      <c r="A110" s="149" t="n">
        <v>24504</v>
      </c>
      <c r="B110" t="n">
        <v/>
      </c>
      <c r="C110" t="n">
        <v/>
      </c>
      <c r="D110" t="n">
        <v/>
      </c>
      <c r="E110" t="n">
        <v/>
      </c>
      <c r="F110" t="n">
        <v/>
      </c>
      <c r="G110" t="n">
        <v/>
      </c>
      <c r="H110" t="n">
        <v/>
      </c>
      <c r="I110" t="n">
        <v/>
      </c>
      <c r="J110" t="n">
        <v/>
      </c>
      <c r="K110" t="n">
        <v/>
      </c>
      <c r="L110" t="n">
        <v>0</v>
      </c>
      <c r="M110" t="n">
        <v/>
      </c>
    </row>
    <row r="111">
      <c r="A111" s="149" t="n">
        <v>24532</v>
      </c>
      <c r="B111" t="n">
        <v/>
      </c>
      <c r="C111" t="n">
        <v/>
      </c>
      <c r="D111" t="n">
        <v/>
      </c>
      <c r="E111" t="n">
        <v/>
      </c>
      <c r="F111" t="n">
        <v/>
      </c>
      <c r="G111" t="n">
        <v/>
      </c>
      <c r="H111" t="n">
        <v/>
      </c>
      <c r="I111" t="n">
        <v/>
      </c>
      <c r="J111" t="n">
        <v/>
      </c>
      <c r="K111" t="n">
        <v/>
      </c>
      <c r="L111" t="n">
        <v>0</v>
      </c>
      <c r="M111" t="n">
        <v/>
      </c>
    </row>
    <row r="112">
      <c r="A112" s="149" t="n">
        <v>24563</v>
      </c>
      <c r="B112" t="n">
        <v/>
      </c>
      <c r="C112" t="n">
        <v/>
      </c>
      <c r="D112" t="n">
        <v/>
      </c>
      <c r="E112" t="n">
        <v/>
      </c>
      <c r="F112" t="n">
        <v/>
      </c>
      <c r="G112" t="n">
        <v/>
      </c>
      <c r="H112" t="n">
        <v/>
      </c>
      <c r="I112" t="n">
        <v/>
      </c>
      <c r="J112" t="n">
        <v/>
      </c>
      <c r="K112" t="n">
        <v/>
      </c>
      <c r="L112" t="n">
        <v>0</v>
      </c>
      <c r="M112" t="n">
        <v/>
      </c>
    </row>
    <row r="113">
      <c r="A113" s="149" t="n">
        <v>24593</v>
      </c>
      <c r="B113" t="n">
        <v/>
      </c>
      <c r="C113" t="n">
        <v/>
      </c>
      <c r="D113" t="n">
        <v/>
      </c>
      <c r="E113" t="n">
        <v/>
      </c>
      <c r="F113" t="n">
        <v/>
      </c>
      <c r="G113" t="n">
        <v/>
      </c>
      <c r="H113" t="n">
        <v/>
      </c>
      <c r="I113" t="n">
        <v/>
      </c>
      <c r="J113" t="n">
        <v/>
      </c>
      <c r="K113" t="n">
        <v/>
      </c>
      <c r="L113" t="n">
        <v>0</v>
      </c>
      <c r="M113" t="n">
        <v/>
      </c>
    </row>
    <row r="114">
      <c r="A114" s="149" t="n">
        <v>24624</v>
      </c>
      <c r="B114" t="n">
        <v/>
      </c>
      <c r="C114" t="n">
        <v/>
      </c>
      <c r="D114" t="n">
        <v/>
      </c>
      <c r="E114" t="n">
        <v/>
      </c>
      <c r="F114" t="n">
        <v/>
      </c>
      <c r="G114" t="n">
        <v/>
      </c>
      <c r="H114" t="n">
        <v/>
      </c>
      <c r="I114" t="n">
        <v/>
      </c>
      <c r="J114" t="n">
        <v/>
      </c>
      <c r="K114" t="n">
        <v/>
      </c>
      <c r="L114" t="n">
        <v>0</v>
      </c>
      <c r="M114" t="n">
        <v/>
      </c>
    </row>
    <row r="115">
      <c r="A115" s="149" t="n">
        <v>24654</v>
      </c>
      <c r="B115" t="n">
        <v/>
      </c>
      <c r="C115" t="n">
        <v/>
      </c>
      <c r="D115" t="n">
        <v/>
      </c>
      <c r="E115" t="n">
        <v/>
      </c>
      <c r="F115" t="n">
        <v/>
      </c>
      <c r="G115" t="n">
        <v/>
      </c>
      <c r="H115" t="n">
        <v/>
      </c>
      <c r="I115" t="n">
        <v/>
      </c>
      <c r="J115" t="n">
        <v/>
      </c>
      <c r="K115" t="n">
        <v/>
      </c>
      <c r="L115" t="n">
        <v>0</v>
      </c>
      <c r="M115" t="n">
        <v/>
      </c>
    </row>
    <row r="116">
      <c r="A116" s="149" t="n">
        <v>24685</v>
      </c>
      <c r="B116" t="n">
        <v/>
      </c>
      <c r="C116" t="n">
        <v/>
      </c>
      <c r="D116" t="n">
        <v/>
      </c>
      <c r="E116" t="n">
        <v/>
      </c>
      <c r="F116" t="n">
        <v/>
      </c>
      <c r="G116" t="n">
        <v/>
      </c>
      <c r="H116" t="n">
        <v/>
      </c>
      <c r="I116" t="n">
        <v/>
      </c>
      <c r="J116" t="n">
        <v/>
      </c>
      <c r="K116" t="n">
        <v/>
      </c>
      <c r="L116" t="n">
        <v>0</v>
      </c>
      <c r="M116" t="n">
        <v/>
      </c>
    </row>
    <row r="117">
      <c r="A117" s="149" t="n">
        <v>24716</v>
      </c>
      <c r="B117" t="n">
        <v/>
      </c>
      <c r="C117" t="n">
        <v/>
      </c>
      <c r="D117" t="n">
        <v/>
      </c>
      <c r="E117" t="n">
        <v/>
      </c>
      <c r="F117" t="n">
        <v/>
      </c>
      <c r="G117" t="n">
        <v/>
      </c>
      <c r="H117" t="n">
        <v/>
      </c>
      <c r="I117" t="n">
        <v/>
      </c>
      <c r="J117" t="n">
        <v/>
      </c>
      <c r="K117" t="n">
        <v/>
      </c>
      <c r="L117" t="n">
        <v>0</v>
      </c>
      <c r="M117" t="n">
        <v/>
      </c>
    </row>
    <row r="118">
      <c r="A118" s="149" t="n">
        <v>24746</v>
      </c>
      <c r="B118" t="n">
        <v/>
      </c>
      <c r="C118" t="n">
        <v/>
      </c>
      <c r="D118" t="n">
        <v/>
      </c>
      <c r="E118" t="n">
        <v/>
      </c>
      <c r="F118" t="n">
        <v/>
      </c>
      <c r="G118" t="n">
        <v/>
      </c>
      <c r="H118" t="n">
        <v/>
      </c>
      <c r="I118" t="n">
        <v/>
      </c>
      <c r="J118" t="n">
        <v/>
      </c>
      <c r="K118" t="n">
        <v/>
      </c>
      <c r="L118" t="n">
        <v>0</v>
      </c>
      <c r="M118" t="n">
        <v/>
      </c>
    </row>
    <row r="119">
      <c r="A119" s="149" t="n">
        <v>24777</v>
      </c>
      <c r="B119" t="n">
        <v/>
      </c>
      <c r="C119" t="n">
        <v/>
      </c>
      <c r="D119" t="n">
        <v/>
      </c>
      <c r="E119" t="n">
        <v/>
      </c>
      <c r="F119" t="n">
        <v/>
      </c>
      <c r="G119" t="n">
        <v/>
      </c>
      <c r="H119" t="n">
        <v/>
      </c>
      <c r="I119" t="n">
        <v/>
      </c>
      <c r="J119" t="n">
        <v/>
      </c>
      <c r="K119" t="n">
        <v/>
      </c>
      <c r="L119" t="n">
        <v>0</v>
      </c>
      <c r="M119" t="n">
        <v/>
      </c>
    </row>
    <row r="120">
      <c r="A120" s="149" t="n">
        <v>24807</v>
      </c>
      <c r="B120" t="n">
        <v/>
      </c>
      <c r="C120" t="n">
        <v/>
      </c>
      <c r="D120" t="n">
        <v/>
      </c>
      <c r="E120" t="n">
        <v/>
      </c>
      <c r="F120" t="n">
        <v/>
      </c>
      <c r="G120" t="n">
        <v/>
      </c>
      <c r="H120" t="n">
        <v/>
      </c>
      <c r="I120" t="n">
        <v/>
      </c>
      <c r="J120" t="n">
        <v/>
      </c>
      <c r="K120" t="n">
        <v/>
      </c>
      <c r="L120" t="n">
        <v>0</v>
      </c>
      <c r="M120" t="n">
        <v/>
      </c>
    </row>
    <row r="121">
      <c r="A121" s="149" t="n">
        <v>24838</v>
      </c>
      <c r="B121" t="n">
        <v/>
      </c>
      <c r="C121" t="n">
        <v/>
      </c>
      <c r="D121" t="n">
        <v/>
      </c>
      <c r="E121" t="n">
        <v/>
      </c>
      <c r="F121" t="n">
        <v/>
      </c>
      <c r="G121" t="n">
        <v/>
      </c>
      <c r="H121" t="n">
        <v/>
      </c>
      <c r="I121" t="n">
        <v/>
      </c>
      <c r="J121" t="n">
        <v/>
      </c>
      <c r="K121" t="n">
        <v/>
      </c>
      <c r="L121" t="n">
        <v>0</v>
      </c>
      <c r="M121" t="n">
        <v/>
      </c>
    </row>
    <row r="122">
      <c r="A122" s="149" t="n">
        <v>24869</v>
      </c>
      <c r="B122" t="n">
        <v/>
      </c>
      <c r="C122" t="n">
        <v/>
      </c>
      <c r="D122" t="n">
        <v/>
      </c>
      <c r="E122" t="n">
        <v/>
      </c>
      <c r="F122" t="n">
        <v/>
      </c>
      <c r="G122" t="n">
        <v/>
      </c>
      <c r="H122" t="n">
        <v/>
      </c>
      <c r="I122" t="n">
        <v/>
      </c>
      <c r="J122" t="n">
        <v/>
      </c>
      <c r="K122" t="n">
        <v/>
      </c>
      <c r="L122" t="n">
        <v>0</v>
      </c>
      <c r="M122" t="n">
        <v>0</v>
      </c>
    </row>
    <row r="123">
      <c r="A123" s="149" t="n">
        <v>24898</v>
      </c>
      <c r="B123" t="n">
        <v/>
      </c>
      <c r="C123" t="n">
        <v/>
      </c>
      <c r="D123" t="n">
        <v/>
      </c>
      <c r="E123" t="n">
        <v/>
      </c>
      <c r="F123" t="n">
        <v/>
      </c>
      <c r="G123" t="n">
        <v/>
      </c>
      <c r="H123" t="n">
        <v/>
      </c>
      <c r="I123" t="n">
        <v/>
      </c>
      <c r="J123" t="n">
        <v/>
      </c>
      <c r="K123" t="n">
        <v/>
      </c>
      <c r="L123" t="n">
        <v>0</v>
      </c>
      <c r="M123" t="n">
        <v>0</v>
      </c>
    </row>
    <row r="124">
      <c r="A124" s="149" t="n">
        <v>24929</v>
      </c>
      <c r="B124" t="n">
        <v/>
      </c>
      <c r="C124" t="n">
        <v/>
      </c>
      <c r="D124" t="n">
        <v/>
      </c>
      <c r="E124" t="n">
        <v/>
      </c>
      <c r="F124" t="n">
        <v/>
      </c>
      <c r="G124" t="n">
        <v/>
      </c>
      <c r="H124" t="n">
        <v/>
      </c>
      <c r="I124" t="n">
        <v/>
      </c>
      <c r="J124" t="n">
        <v/>
      </c>
      <c r="K124" t="n">
        <v/>
      </c>
      <c r="L124" t="n">
        <v>0</v>
      </c>
      <c r="M124" t="n">
        <v>0</v>
      </c>
    </row>
    <row r="125">
      <c r="A125" s="149" t="n">
        <v>24959</v>
      </c>
      <c r="B125" t="n">
        <v/>
      </c>
      <c r="C125" t="n">
        <v/>
      </c>
      <c r="D125" t="n">
        <v/>
      </c>
      <c r="E125" t="n">
        <v/>
      </c>
      <c r="F125" t="n">
        <v/>
      </c>
      <c r="G125" t="n">
        <v/>
      </c>
      <c r="H125" t="n">
        <v/>
      </c>
      <c r="I125" t="n">
        <v/>
      </c>
      <c r="J125" t="n">
        <v/>
      </c>
      <c r="K125" t="n">
        <v/>
      </c>
      <c r="L125" t="n">
        <v>0</v>
      </c>
      <c r="M125" t="n">
        <v>0</v>
      </c>
    </row>
    <row r="126">
      <c r="A126" s="149" t="n">
        <v>24990</v>
      </c>
      <c r="B126" t="n">
        <v/>
      </c>
      <c r="C126" t="n">
        <v/>
      </c>
      <c r="D126" t="n">
        <v/>
      </c>
      <c r="E126" t="n">
        <v/>
      </c>
      <c r="F126" t="n">
        <v/>
      </c>
      <c r="G126" t="n">
        <v/>
      </c>
      <c r="H126" t="n">
        <v/>
      </c>
      <c r="I126" t="n">
        <v/>
      </c>
      <c r="J126" t="n">
        <v/>
      </c>
      <c r="K126" t="n">
        <v/>
      </c>
      <c r="L126" t="n">
        <v>0</v>
      </c>
      <c r="M126" t="n">
        <v>0</v>
      </c>
    </row>
    <row r="127">
      <c r="A127" s="149" t="n">
        <v>25020</v>
      </c>
      <c r="B127" t="n">
        <v/>
      </c>
      <c r="C127" t="n">
        <v/>
      </c>
      <c r="D127" t="n">
        <v/>
      </c>
      <c r="E127" t="n">
        <v/>
      </c>
      <c r="F127" t="n">
        <v/>
      </c>
      <c r="G127" t="n">
        <v/>
      </c>
      <c r="H127" t="n">
        <v/>
      </c>
      <c r="I127" t="n">
        <v/>
      </c>
      <c r="J127" t="n">
        <v/>
      </c>
      <c r="K127" t="n">
        <v/>
      </c>
      <c r="L127" t="n">
        <v>0</v>
      </c>
      <c r="M127" t="n">
        <v>0</v>
      </c>
    </row>
    <row r="128">
      <c r="A128" s="149" t="n">
        <v>25051</v>
      </c>
      <c r="B128" t="n">
        <v/>
      </c>
      <c r="C128" t="n">
        <v/>
      </c>
      <c r="D128" t="n">
        <v/>
      </c>
      <c r="E128" t="n">
        <v/>
      </c>
      <c r="F128" t="n">
        <v/>
      </c>
      <c r="G128" t="n">
        <v/>
      </c>
      <c r="H128" t="n">
        <v/>
      </c>
      <c r="I128" t="n">
        <v/>
      </c>
      <c r="J128" t="n">
        <v/>
      </c>
      <c r="K128" t="n">
        <v/>
      </c>
      <c r="L128" t="n">
        <v>0</v>
      </c>
      <c r="M128" t="n">
        <v>0</v>
      </c>
    </row>
    <row r="129">
      <c r="A129" s="149" t="n">
        <v>25082</v>
      </c>
      <c r="B129" t="n">
        <v/>
      </c>
      <c r="C129" t="n">
        <v/>
      </c>
      <c r="D129" t="n">
        <v/>
      </c>
      <c r="E129" t="n">
        <v/>
      </c>
      <c r="F129" t="n">
        <v/>
      </c>
      <c r="G129" t="n">
        <v/>
      </c>
      <c r="H129" t="n">
        <v/>
      </c>
      <c r="I129" t="n">
        <v/>
      </c>
      <c r="J129" t="n">
        <v/>
      </c>
      <c r="K129" t="n">
        <v/>
      </c>
      <c r="L129" t="n">
        <v>0</v>
      </c>
      <c r="M129" t="n">
        <v>0</v>
      </c>
    </row>
    <row r="130">
      <c r="A130" s="149" t="n">
        <v>25112</v>
      </c>
      <c r="B130" t="n">
        <v/>
      </c>
      <c r="C130" t="n">
        <v/>
      </c>
      <c r="D130" t="n">
        <v/>
      </c>
      <c r="E130" t="n">
        <v/>
      </c>
      <c r="F130" t="n">
        <v/>
      </c>
      <c r="G130" t="n">
        <v/>
      </c>
      <c r="H130" t="n">
        <v/>
      </c>
      <c r="I130" t="n">
        <v/>
      </c>
      <c r="J130" t="n">
        <v/>
      </c>
      <c r="K130" t="n">
        <v/>
      </c>
      <c r="L130" t="n">
        <v>0</v>
      </c>
      <c r="M130" t="n">
        <v>0</v>
      </c>
    </row>
    <row r="131">
      <c r="A131" s="149" t="n">
        <v>25143</v>
      </c>
      <c r="B131" t="n">
        <v/>
      </c>
      <c r="C131" t="n">
        <v/>
      </c>
      <c r="D131" t="n">
        <v/>
      </c>
      <c r="E131" t="n">
        <v/>
      </c>
      <c r="F131" t="n">
        <v/>
      </c>
      <c r="G131" t="n">
        <v/>
      </c>
      <c r="H131" t="n">
        <v/>
      </c>
      <c r="I131" t="n">
        <v/>
      </c>
      <c r="J131" t="n">
        <v/>
      </c>
      <c r="K131" t="n">
        <v/>
      </c>
      <c r="L131" t="n">
        <v>0</v>
      </c>
      <c r="M131" t="n">
        <v>0</v>
      </c>
    </row>
    <row r="132">
      <c r="A132" s="149" t="n">
        <v>25173</v>
      </c>
      <c r="B132" t="n">
        <v/>
      </c>
      <c r="C132" t="n">
        <v/>
      </c>
      <c r="D132" t="n">
        <v/>
      </c>
      <c r="E132" t="n">
        <v/>
      </c>
      <c r="F132" t="n">
        <v/>
      </c>
      <c r="G132" t="n">
        <v/>
      </c>
      <c r="H132" t="n">
        <v/>
      </c>
      <c r="I132" t="n">
        <v/>
      </c>
      <c r="J132" t="n">
        <v/>
      </c>
      <c r="K132" t="n">
        <v/>
      </c>
      <c r="L132" t="n">
        <v>0</v>
      </c>
      <c r="M132" t="n">
        <v>0</v>
      </c>
    </row>
    <row r="133">
      <c r="A133" s="149" t="n">
        <v>25204</v>
      </c>
      <c r="B133" t="n">
        <v/>
      </c>
      <c r="C133" t="n">
        <v/>
      </c>
      <c r="D133" t="n">
        <v/>
      </c>
      <c r="E133" t="n">
        <v/>
      </c>
      <c r="F133" t="n">
        <v/>
      </c>
      <c r="G133" t="n">
        <v/>
      </c>
      <c r="H133" t="n">
        <v/>
      </c>
      <c r="I133" t="n">
        <v/>
      </c>
      <c r="J133" t="n">
        <v/>
      </c>
      <c r="K133" t="n">
        <v/>
      </c>
      <c r="L133" t="n">
        <v>0</v>
      </c>
      <c r="M133" t="n">
        <v>0</v>
      </c>
    </row>
    <row r="134">
      <c r="A134" s="149" t="n">
        <v>25235</v>
      </c>
      <c r="B134" t="n">
        <v/>
      </c>
      <c r="C134" t="n">
        <v/>
      </c>
      <c r="D134" t="n">
        <v/>
      </c>
      <c r="E134" t="n">
        <v/>
      </c>
      <c r="F134" t="n">
        <v/>
      </c>
      <c r="G134" t="n">
        <v/>
      </c>
      <c r="H134" t="n">
        <v/>
      </c>
      <c r="I134" t="n">
        <v/>
      </c>
      <c r="J134" t="n">
        <v/>
      </c>
      <c r="K134" t="n">
        <v/>
      </c>
      <c r="L134" t="n">
        <v>0</v>
      </c>
      <c r="M134" t="n">
        <v>0</v>
      </c>
    </row>
    <row r="135">
      <c r="A135" s="149" t="n">
        <v>25263</v>
      </c>
      <c r="B135" t="n">
        <v/>
      </c>
      <c r="C135" t="n">
        <v/>
      </c>
      <c r="D135" t="n">
        <v/>
      </c>
      <c r="E135" t="n">
        <v/>
      </c>
      <c r="F135" t="n">
        <v/>
      </c>
      <c r="G135" t="n">
        <v/>
      </c>
      <c r="H135" t="n">
        <v/>
      </c>
      <c r="I135" t="n">
        <v/>
      </c>
      <c r="J135" t="n">
        <v/>
      </c>
      <c r="K135" t="n">
        <v/>
      </c>
      <c r="L135" t="n">
        <v>0</v>
      </c>
      <c r="M135" t="n">
        <v>0</v>
      </c>
    </row>
    <row r="136">
      <c r="A136" s="149" t="n">
        <v>25294</v>
      </c>
      <c r="B136" t="n">
        <v/>
      </c>
      <c r="C136" t="n">
        <v/>
      </c>
      <c r="D136" t="n">
        <v/>
      </c>
      <c r="E136" t="n">
        <v/>
      </c>
      <c r="F136" t="n">
        <v/>
      </c>
      <c r="G136" t="n">
        <v/>
      </c>
      <c r="H136" t="n">
        <v/>
      </c>
      <c r="I136" t="n">
        <v/>
      </c>
      <c r="J136" t="n">
        <v/>
      </c>
      <c r="K136" t="n">
        <v/>
      </c>
      <c r="L136" t="n">
        <v>0</v>
      </c>
      <c r="M136" t="n">
        <v>0</v>
      </c>
    </row>
    <row r="137">
      <c r="A137" s="149" t="n">
        <v>25324</v>
      </c>
      <c r="B137" t="n">
        <v/>
      </c>
      <c r="C137" t="n">
        <v/>
      </c>
      <c r="D137" t="n">
        <v/>
      </c>
      <c r="E137" t="n">
        <v/>
      </c>
      <c r="F137" t="n">
        <v/>
      </c>
      <c r="G137" t="n">
        <v/>
      </c>
      <c r="H137" t="n">
        <v/>
      </c>
      <c r="I137" t="n">
        <v/>
      </c>
      <c r="J137" t="n">
        <v/>
      </c>
      <c r="K137" t="n">
        <v/>
      </c>
      <c r="L137" t="n">
        <v>0</v>
      </c>
      <c r="M137" t="n">
        <v>0</v>
      </c>
    </row>
    <row r="138">
      <c r="A138" s="149" t="n">
        <v>25355</v>
      </c>
      <c r="B138" t="n">
        <v/>
      </c>
      <c r="C138" t="n">
        <v/>
      </c>
      <c r="D138" t="n">
        <v/>
      </c>
      <c r="E138" t="n">
        <v/>
      </c>
      <c r="F138" t="n">
        <v/>
      </c>
      <c r="G138" t="n">
        <v/>
      </c>
      <c r="H138" t="n">
        <v/>
      </c>
      <c r="I138" t="n">
        <v/>
      </c>
      <c r="J138" t="n">
        <v/>
      </c>
      <c r="K138" t="n">
        <v/>
      </c>
      <c r="L138" t="n">
        <v>0</v>
      </c>
      <c r="M138" t="n">
        <v>0</v>
      </c>
    </row>
    <row r="139">
      <c r="A139" s="149" t="n">
        <v>25385</v>
      </c>
      <c r="B139" t="n">
        <v/>
      </c>
      <c r="C139" t="n">
        <v/>
      </c>
      <c r="D139" t="n">
        <v/>
      </c>
      <c r="E139" t="n">
        <v/>
      </c>
      <c r="F139" t="n">
        <v/>
      </c>
      <c r="G139" t="n">
        <v/>
      </c>
      <c r="H139" t="n">
        <v/>
      </c>
      <c r="I139" t="n">
        <v/>
      </c>
      <c r="J139" t="n">
        <v/>
      </c>
      <c r="K139" t="n">
        <v/>
      </c>
      <c r="L139" t="n">
        <v>0</v>
      </c>
      <c r="M139" t="n">
        <v>0</v>
      </c>
    </row>
    <row r="140">
      <c r="A140" s="149" t="n">
        <v>25416</v>
      </c>
      <c r="B140" t="n">
        <v/>
      </c>
      <c r="C140" t="n">
        <v/>
      </c>
      <c r="D140" t="n">
        <v/>
      </c>
      <c r="E140" t="n">
        <v/>
      </c>
      <c r="F140" t="n">
        <v/>
      </c>
      <c r="G140" t="n">
        <v/>
      </c>
      <c r="H140" t="n">
        <v/>
      </c>
      <c r="I140" t="n">
        <v/>
      </c>
      <c r="J140" t="n">
        <v/>
      </c>
      <c r="K140" t="n">
        <v/>
      </c>
      <c r="L140" t="n">
        <v>0</v>
      </c>
      <c r="M140" t="n">
        <v>0</v>
      </c>
    </row>
    <row r="141">
      <c r="A141" s="149" t="n">
        <v>25447</v>
      </c>
      <c r="B141" t="n">
        <v/>
      </c>
      <c r="C141" t="n">
        <v/>
      </c>
      <c r="D141" t="n">
        <v/>
      </c>
      <c r="E141" t="n">
        <v/>
      </c>
      <c r="F141" t="n">
        <v/>
      </c>
      <c r="G141" t="n">
        <v/>
      </c>
      <c r="H141" t="n">
        <v/>
      </c>
      <c r="I141" t="n">
        <v/>
      </c>
      <c r="J141" t="n">
        <v/>
      </c>
      <c r="K141" t="n">
        <v/>
      </c>
      <c r="L141" t="n">
        <v>0</v>
      </c>
      <c r="M141" t="n">
        <v>0</v>
      </c>
    </row>
    <row r="142">
      <c r="A142" s="149" t="n">
        <v>25477</v>
      </c>
      <c r="B142" t="n">
        <v/>
      </c>
      <c r="C142" t="n">
        <v/>
      </c>
      <c r="D142" t="n">
        <v/>
      </c>
      <c r="E142" t="n">
        <v/>
      </c>
      <c r="F142" t="n">
        <v/>
      </c>
      <c r="G142" t="n">
        <v/>
      </c>
      <c r="H142" t="n">
        <v/>
      </c>
      <c r="I142" t="n">
        <v/>
      </c>
      <c r="J142" t="n">
        <v/>
      </c>
      <c r="K142" t="n">
        <v/>
      </c>
      <c r="L142" t="n">
        <v>0</v>
      </c>
      <c r="M142" t="n">
        <v>0</v>
      </c>
    </row>
    <row r="143">
      <c r="A143" s="149" t="n">
        <v>25508</v>
      </c>
      <c r="B143" t="n">
        <v/>
      </c>
      <c r="C143" t="n">
        <v/>
      </c>
      <c r="D143" t="n">
        <v/>
      </c>
      <c r="E143" t="n">
        <v/>
      </c>
      <c r="F143" t="n">
        <v/>
      </c>
      <c r="G143" t="n">
        <v/>
      </c>
      <c r="H143" t="n">
        <v/>
      </c>
      <c r="I143" t="n">
        <v/>
      </c>
      <c r="J143" t="n">
        <v/>
      </c>
      <c r="K143" t="n">
        <v/>
      </c>
      <c r="L143" t="n">
        <v>0</v>
      </c>
      <c r="M143" t="n">
        <v>0</v>
      </c>
    </row>
    <row r="144">
      <c r="A144" s="149" t="n">
        <v>25538</v>
      </c>
      <c r="B144" t="n">
        <v/>
      </c>
      <c r="C144" t="n">
        <v/>
      </c>
      <c r="D144" t="n">
        <v/>
      </c>
      <c r="E144" t="n">
        <v/>
      </c>
      <c r="F144" t="n">
        <v/>
      </c>
      <c r="G144" t="n">
        <v/>
      </c>
      <c r="H144" t="n">
        <v/>
      </c>
      <c r="I144" t="n">
        <v/>
      </c>
      <c r="J144" t="n">
        <v/>
      </c>
      <c r="K144" t="n">
        <v/>
      </c>
      <c r="L144" t="n">
        <v>0</v>
      </c>
      <c r="M144" t="n">
        <v>0</v>
      </c>
    </row>
    <row r="145">
      <c r="A145" s="149" t="n">
        <v>25569</v>
      </c>
      <c r="B145" t="n">
        <v/>
      </c>
      <c r="C145" t="n">
        <v/>
      </c>
      <c r="D145" t="n">
        <v/>
      </c>
      <c r="E145" t="n">
        <v/>
      </c>
      <c r="F145" t="n">
        <v/>
      </c>
      <c r="G145" t="n">
        <v/>
      </c>
      <c r="H145" t="n">
        <v/>
      </c>
      <c r="I145" t="n">
        <v/>
      </c>
      <c r="J145" t="n">
        <v/>
      </c>
      <c r="K145" t="n">
        <v/>
      </c>
      <c r="L145" t="n">
        <v>0</v>
      </c>
      <c r="M145" t="n">
        <v>0</v>
      </c>
    </row>
    <row r="146">
      <c r="A146" s="149" t="n">
        <v>25600</v>
      </c>
      <c r="B146" t="n">
        <v/>
      </c>
      <c r="C146" t="n">
        <v/>
      </c>
      <c r="D146" t="n">
        <v/>
      </c>
      <c r="E146" t="n">
        <v/>
      </c>
      <c r="F146" t="n">
        <v/>
      </c>
      <c r="G146" t="n">
        <v/>
      </c>
      <c r="H146" t="n">
        <v/>
      </c>
      <c r="I146" t="n">
        <v/>
      </c>
      <c r="J146" t="n">
        <v/>
      </c>
      <c r="K146" t="n">
        <v/>
      </c>
      <c r="L146" t="n">
        <v>0</v>
      </c>
      <c r="M146" t="n">
        <v>0</v>
      </c>
    </row>
    <row r="147">
      <c r="A147" s="149" t="n">
        <v>25628</v>
      </c>
      <c r="B147" t="n">
        <v/>
      </c>
      <c r="C147" t="n">
        <v/>
      </c>
      <c r="D147" t="n">
        <v/>
      </c>
      <c r="E147" t="n">
        <v/>
      </c>
      <c r="F147" t="n">
        <v/>
      </c>
      <c r="G147" t="n">
        <v/>
      </c>
      <c r="H147" t="n">
        <v/>
      </c>
      <c r="I147" t="n">
        <v/>
      </c>
      <c r="J147" t="n">
        <v/>
      </c>
      <c r="K147" t="n">
        <v/>
      </c>
      <c r="L147" t="n">
        <v>0</v>
      </c>
      <c r="M147" t="n">
        <v>0</v>
      </c>
    </row>
    <row r="148">
      <c r="A148" s="149" t="n">
        <v>25659</v>
      </c>
      <c r="B148" t="n">
        <v/>
      </c>
      <c r="C148" t="n">
        <v/>
      </c>
      <c r="D148" t="n">
        <v/>
      </c>
      <c r="E148" t="n">
        <v/>
      </c>
      <c r="F148" t="n">
        <v/>
      </c>
      <c r="G148" t="n">
        <v/>
      </c>
      <c r="H148" t="n">
        <v/>
      </c>
      <c r="I148" t="n">
        <v/>
      </c>
      <c r="J148" t="n">
        <v/>
      </c>
      <c r="K148" t="n">
        <v/>
      </c>
      <c r="L148" t="n">
        <v>0</v>
      </c>
      <c r="M148" t="n">
        <v>0</v>
      </c>
    </row>
    <row r="149">
      <c r="A149" s="149" t="n">
        <v>25689</v>
      </c>
      <c r="B149" t="n">
        <v/>
      </c>
      <c r="C149" t="n">
        <v/>
      </c>
      <c r="D149" t="n">
        <v/>
      </c>
      <c r="E149" t="n">
        <v/>
      </c>
      <c r="F149" t="n">
        <v/>
      </c>
      <c r="G149" t="n">
        <v/>
      </c>
      <c r="H149" t="n">
        <v/>
      </c>
      <c r="I149" t="n">
        <v/>
      </c>
      <c r="J149" t="n">
        <v/>
      </c>
      <c r="K149" t="n">
        <v/>
      </c>
      <c r="L149" t="n">
        <v>0</v>
      </c>
      <c r="M149" t="n">
        <v>0</v>
      </c>
    </row>
    <row r="150">
      <c r="A150" s="149" t="n">
        <v>25720</v>
      </c>
      <c r="B150" t="n">
        <v/>
      </c>
      <c r="C150" t="n">
        <v/>
      </c>
      <c r="D150" t="n">
        <v/>
      </c>
      <c r="E150" t="n">
        <v/>
      </c>
      <c r="F150" t="n">
        <v/>
      </c>
      <c r="G150" t="n">
        <v/>
      </c>
      <c r="H150" t="n">
        <v/>
      </c>
      <c r="I150" t="n">
        <v/>
      </c>
      <c r="J150" t="n">
        <v/>
      </c>
      <c r="K150" t="n">
        <v/>
      </c>
      <c r="L150" t="n">
        <v>0</v>
      </c>
      <c r="M150" t="n">
        <v>0</v>
      </c>
    </row>
    <row r="151">
      <c r="A151" s="149" t="n">
        <v>25750</v>
      </c>
      <c r="B151" t="n">
        <v/>
      </c>
      <c r="C151" t="n">
        <v/>
      </c>
      <c r="D151" t="n">
        <v/>
      </c>
      <c r="E151" t="n">
        <v/>
      </c>
      <c r="F151" t="n">
        <v/>
      </c>
      <c r="G151" t="n">
        <v/>
      </c>
      <c r="H151" t="n">
        <v/>
      </c>
      <c r="I151" t="n">
        <v/>
      </c>
      <c r="J151" t="n">
        <v/>
      </c>
      <c r="K151" t="n">
        <v/>
      </c>
      <c r="L151" t="n">
        <v>0</v>
      </c>
      <c r="M151" t="n">
        <v>0</v>
      </c>
    </row>
    <row r="152">
      <c r="A152" s="149" t="n">
        <v>25781</v>
      </c>
      <c r="B152" t="n">
        <v/>
      </c>
      <c r="C152" t="n">
        <v/>
      </c>
      <c r="D152" t="n">
        <v/>
      </c>
      <c r="E152" t="n">
        <v/>
      </c>
      <c r="F152" t="n">
        <v/>
      </c>
      <c r="G152" t="n">
        <v/>
      </c>
      <c r="H152" t="n">
        <v/>
      </c>
      <c r="I152" t="n">
        <v/>
      </c>
      <c r="J152" t="n">
        <v/>
      </c>
      <c r="K152" t="n">
        <v/>
      </c>
      <c r="L152" t="n">
        <v>0</v>
      </c>
      <c r="M152" t="n">
        <v>0</v>
      </c>
    </row>
    <row r="153">
      <c r="A153" s="149" t="n">
        <v>25812</v>
      </c>
      <c r="B153" t="n">
        <v/>
      </c>
      <c r="C153" t="n">
        <v/>
      </c>
      <c r="D153" t="n">
        <v/>
      </c>
      <c r="E153" t="n">
        <v/>
      </c>
      <c r="F153" t="n">
        <v/>
      </c>
      <c r="G153" t="n">
        <v/>
      </c>
      <c r="H153" t="n">
        <v/>
      </c>
      <c r="I153" t="n">
        <v/>
      </c>
      <c r="J153" t="n">
        <v/>
      </c>
      <c r="K153" t="n">
        <v/>
      </c>
      <c r="L153" t="n">
        <v>0</v>
      </c>
      <c r="M153" t="n">
        <v>0</v>
      </c>
    </row>
    <row r="154">
      <c r="A154" s="149" t="n">
        <v>25842</v>
      </c>
      <c r="B154" t="n">
        <v/>
      </c>
      <c r="C154" t="n">
        <v/>
      </c>
      <c r="D154" t="n">
        <v/>
      </c>
      <c r="E154" t="n">
        <v/>
      </c>
      <c r="F154" t="n">
        <v/>
      </c>
      <c r="G154" t="n">
        <v/>
      </c>
      <c r="H154" t="n">
        <v/>
      </c>
      <c r="I154" t="n">
        <v/>
      </c>
      <c r="J154" t="n">
        <v/>
      </c>
      <c r="K154" t="n">
        <v/>
      </c>
      <c r="L154" t="n">
        <v>0</v>
      </c>
      <c r="M154" t="n">
        <v>0</v>
      </c>
    </row>
    <row r="155">
      <c r="A155" s="149" t="n">
        <v>25873</v>
      </c>
      <c r="B155" t="n">
        <v/>
      </c>
      <c r="C155" t="n">
        <v/>
      </c>
      <c r="D155" t="n">
        <v/>
      </c>
      <c r="E155" t="n">
        <v/>
      </c>
      <c r="F155" t="n">
        <v/>
      </c>
      <c r="G155" t="n">
        <v/>
      </c>
      <c r="H155" t="n">
        <v/>
      </c>
      <c r="I155" t="n">
        <v/>
      </c>
      <c r="J155" t="n">
        <v/>
      </c>
      <c r="K155" t="n">
        <v/>
      </c>
      <c r="L155" t="n">
        <v>0</v>
      </c>
      <c r="M155" t="n">
        <v>0</v>
      </c>
    </row>
    <row r="156">
      <c r="A156" s="149" t="n">
        <v>25903</v>
      </c>
      <c r="B156" t="n">
        <v/>
      </c>
      <c r="C156" t="n">
        <v/>
      </c>
      <c r="D156" t="n">
        <v/>
      </c>
      <c r="E156" t="n">
        <v/>
      </c>
      <c r="F156" t="n">
        <v/>
      </c>
      <c r="G156" t="n">
        <v/>
      </c>
      <c r="H156" t="n">
        <v/>
      </c>
      <c r="I156" t="n">
        <v/>
      </c>
      <c r="J156" t="n">
        <v/>
      </c>
      <c r="K156" t="n">
        <v/>
      </c>
      <c r="L156" t="n">
        <v>0</v>
      </c>
      <c r="M156" t="n">
        <v>0</v>
      </c>
    </row>
    <row r="157">
      <c r="A157" s="149" t="n">
        <v>25934</v>
      </c>
      <c r="B157" t="n">
        <v/>
      </c>
      <c r="C157" t="n">
        <v/>
      </c>
      <c r="D157" t="n">
        <v/>
      </c>
      <c r="E157" t="n">
        <v/>
      </c>
      <c r="F157" t="n">
        <v/>
      </c>
      <c r="G157" t="n">
        <v/>
      </c>
      <c r="H157" t="n">
        <v/>
      </c>
      <c r="I157" t="n">
        <v/>
      </c>
      <c r="J157" t="n">
        <v/>
      </c>
      <c r="K157" t="n">
        <v/>
      </c>
      <c r="L157" t="n">
        <v>0</v>
      </c>
      <c r="M157" t="n">
        <v>0</v>
      </c>
    </row>
    <row r="158">
      <c r="A158" s="149" t="n">
        <v>25965</v>
      </c>
      <c r="B158" t="n">
        <v/>
      </c>
      <c r="C158" t="n">
        <v/>
      </c>
      <c r="D158" t="n">
        <v/>
      </c>
      <c r="E158" t="n">
        <v/>
      </c>
      <c r="F158" t="n">
        <v/>
      </c>
      <c r="G158" t="n">
        <v/>
      </c>
      <c r="H158" t="n">
        <v/>
      </c>
      <c r="I158" t="n">
        <v/>
      </c>
      <c r="J158" t="n">
        <v/>
      </c>
      <c r="K158" t="n">
        <v/>
      </c>
      <c r="L158" t="n">
        <v>0</v>
      </c>
      <c r="M158" t="n">
        <v>0</v>
      </c>
    </row>
    <row r="159">
      <c r="A159" s="149" t="n">
        <v>25993</v>
      </c>
      <c r="B159" t="n">
        <v/>
      </c>
      <c r="C159" t="n">
        <v/>
      </c>
      <c r="D159" t="n">
        <v/>
      </c>
      <c r="E159" t="n">
        <v/>
      </c>
      <c r="F159" t="n">
        <v/>
      </c>
      <c r="G159" t="n">
        <v/>
      </c>
      <c r="H159" t="n">
        <v/>
      </c>
      <c r="I159" t="n">
        <v/>
      </c>
      <c r="J159" t="n">
        <v/>
      </c>
      <c r="K159" t="n">
        <v/>
      </c>
      <c r="L159" t="n">
        <v>0</v>
      </c>
      <c r="M159" t="n">
        <v>0</v>
      </c>
    </row>
    <row r="160">
      <c r="A160" s="149" t="n">
        <v>26024</v>
      </c>
      <c r="B160" t="n">
        <v/>
      </c>
      <c r="C160" t="n">
        <v/>
      </c>
      <c r="D160" t="n">
        <v/>
      </c>
      <c r="E160" t="n">
        <v/>
      </c>
      <c r="F160" t="n">
        <v/>
      </c>
      <c r="G160" t="n">
        <v/>
      </c>
      <c r="H160" t="n">
        <v/>
      </c>
      <c r="I160" t="n">
        <v/>
      </c>
      <c r="J160" t="n">
        <v/>
      </c>
      <c r="K160" t="n">
        <v/>
      </c>
      <c r="L160" t="n">
        <v>0</v>
      </c>
      <c r="M160" t="n">
        <v>0</v>
      </c>
    </row>
    <row r="161">
      <c r="A161" s="149" t="n">
        <v>26054</v>
      </c>
      <c r="B161" t="n">
        <v/>
      </c>
      <c r="C161" t="n">
        <v/>
      </c>
      <c r="D161" t="n">
        <v/>
      </c>
      <c r="E161" t="n">
        <v/>
      </c>
      <c r="F161" t="n">
        <v/>
      </c>
      <c r="G161" t="n">
        <v/>
      </c>
      <c r="H161" t="n">
        <v/>
      </c>
      <c r="I161" t="n">
        <v/>
      </c>
      <c r="J161" t="n">
        <v/>
      </c>
      <c r="K161" t="n">
        <v/>
      </c>
      <c r="L161" t="n">
        <v>0</v>
      </c>
      <c r="M161" t="n">
        <v>0</v>
      </c>
    </row>
    <row r="162">
      <c r="A162" s="149" t="n">
        <v>26085</v>
      </c>
      <c r="B162" t="n">
        <v/>
      </c>
      <c r="C162" t="n">
        <v/>
      </c>
      <c r="D162" t="n">
        <v/>
      </c>
      <c r="E162" t="n">
        <v/>
      </c>
      <c r="F162" t="n">
        <v/>
      </c>
      <c r="G162" t="n">
        <v/>
      </c>
      <c r="H162" t="n">
        <v/>
      </c>
      <c r="I162" t="n">
        <v/>
      </c>
      <c r="J162" t="n">
        <v/>
      </c>
      <c r="K162" t="n">
        <v/>
      </c>
      <c r="L162" t="n">
        <v>0</v>
      </c>
      <c r="M162" t="n">
        <v>0</v>
      </c>
    </row>
    <row r="163">
      <c r="A163" s="149" t="n">
        <v>26115</v>
      </c>
      <c r="B163" t="n">
        <v/>
      </c>
      <c r="C163" t="n">
        <v/>
      </c>
      <c r="D163" t="n">
        <v/>
      </c>
      <c r="E163" t="n">
        <v/>
      </c>
      <c r="F163" t="n">
        <v/>
      </c>
      <c r="G163" t="n">
        <v/>
      </c>
      <c r="H163" t="n">
        <v/>
      </c>
      <c r="I163" t="n">
        <v/>
      </c>
      <c r="J163" t="n">
        <v/>
      </c>
      <c r="K163" t="n">
        <v/>
      </c>
      <c r="L163" t="n">
        <v>0</v>
      </c>
      <c r="M163" t="n">
        <v>0</v>
      </c>
    </row>
    <row r="164">
      <c r="A164" s="149" t="n">
        <v>26146</v>
      </c>
      <c r="B164" t="n">
        <v/>
      </c>
      <c r="C164" t="n">
        <v/>
      </c>
      <c r="D164" t="n">
        <v/>
      </c>
      <c r="E164" t="n">
        <v/>
      </c>
      <c r="F164" t="n">
        <v/>
      </c>
      <c r="G164" t="n">
        <v/>
      </c>
      <c r="H164" t="n">
        <v/>
      </c>
      <c r="I164" t="n">
        <v/>
      </c>
      <c r="J164" t="n">
        <v/>
      </c>
      <c r="K164" t="n">
        <v/>
      </c>
      <c r="L164" t="n">
        <v>0</v>
      </c>
      <c r="M164" t="n">
        <v>0</v>
      </c>
    </row>
    <row r="165">
      <c r="A165" s="149" t="n">
        <v>26177</v>
      </c>
      <c r="B165" t="n">
        <v/>
      </c>
      <c r="C165" t="n">
        <v/>
      </c>
      <c r="D165" t="n">
        <v/>
      </c>
      <c r="E165" t="n">
        <v/>
      </c>
      <c r="F165" t="n">
        <v/>
      </c>
      <c r="G165" t="n">
        <v/>
      </c>
      <c r="H165" t="n">
        <v/>
      </c>
      <c r="I165" t="n">
        <v/>
      </c>
      <c r="J165" t="n">
        <v/>
      </c>
      <c r="K165" t="n">
        <v/>
      </c>
      <c r="L165" t="n">
        <v>0</v>
      </c>
      <c r="M165" t="n">
        <v>0</v>
      </c>
    </row>
    <row r="166">
      <c r="A166" s="149" t="n">
        <v>26207</v>
      </c>
      <c r="B166" t="n">
        <v/>
      </c>
      <c r="C166" t="n">
        <v/>
      </c>
      <c r="D166" t="n">
        <v/>
      </c>
      <c r="E166" t="n">
        <v/>
      </c>
      <c r="F166" t="n">
        <v/>
      </c>
      <c r="G166" t="n">
        <v/>
      </c>
      <c r="H166" t="n">
        <v/>
      </c>
      <c r="I166" t="n">
        <v/>
      </c>
      <c r="J166" t="n">
        <v/>
      </c>
      <c r="K166" t="n">
        <v/>
      </c>
      <c r="L166" t="n">
        <v>0</v>
      </c>
      <c r="M166" t="n">
        <v>0</v>
      </c>
    </row>
    <row r="167">
      <c r="A167" s="149" t="n">
        <v>26238</v>
      </c>
      <c r="B167" t="n">
        <v/>
      </c>
      <c r="C167" t="n">
        <v/>
      </c>
      <c r="D167" t="n">
        <v/>
      </c>
      <c r="E167" t="n">
        <v/>
      </c>
      <c r="F167" t="n">
        <v/>
      </c>
      <c r="G167" t="n">
        <v/>
      </c>
      <c r="H167" t="n">
        <v/>
      </c>
      <c r="I167" t="n">
        <v/>
      </c>
      <c r="J167" t="n">
        <v/>
      </c>
      <c r="K167" t="n">
        <v/>
      </c>
      <c r="L167" t="n">
        <v>0</v>
      </c>
      <c r="M167" t="n">
        <v>0</v>
      </c>
    </row>
    <row r="168">
      <c r="A168" s="149" t="n">
        <v>26268</v>
      </c>
      <c r="B168" t="n">
        <v/>
      </c>
      <c r="C168" t="n">
        <v/>
      </c>
      <c r="D168" t="n">
        <v/>
      </c>
      <c r="E168" t="n">
        <v/>
      </c>
      <c r="F168" t="n">
        <v/>
      </c>
      <c r="G168" t="n">
        <v/>
      </c>
      <c r="H168" t="n">
        <v/>
      </c>
      <c r="I168" t="n">
        <v/>
      </c>
      <c r="J168" t="n">
        <v/>
      </c>
      <c r="K168" t="n">
        <v/>
      </c>
      <c r="L168" t="n">
        <v>0</v>
      </c>
      <c r="M168" t="n">
        <v>0</v>
      </c>
    </row>
    <row r="169">
      <c r="A169" s="149" t="n">
        <v>26299</v>
      </c>
      <c r="B169" t="n">
        <v/>
      </c>
      <c r="C169" t="n">
        <v/>
      </c>
      <c r="D169" t="n">
        <v/>
      </c>
      <c r="E169" t="n">
        <v/>
      </c>
      <c r="F169" t="n">
        <v/>
      </c>
      <c r="G169" t="n">
        <v/>
      </c>
      <c r="H169" t="n">
        <v/>
      </c>
      <c r="I169" t="n">
        <v/>
      </c>
      <c r="J169" t="n">
        <v/>
      </c>
      <c r="K169" t="n">
        <v/>
      </c>
      <c r="L169" t="n">
        <v>0</v>
      </c>
      <c r="M169" t="n">
        <v>0</v>
      </c>
    </row>
    <row r="170">
      <c r="A170" s="149" t="n">
        <v>26330</v>
      </c>
      <c r="B170" t="n">
        <v/>
      </c>
      <c r="C170" t="n">
        <v/>
      </c>
      <c r="D170" t="n">
        <v/>
      </c>
      <c r="E170" t="n">
        <v/>
      </c>
      <c r="F170" t="n">
        <v/>
      </c>
      <c r="G170" t="n">
        <v/>
      </c>
      <c r="H170" t="n">
        <v/>
      </c>
      <c r="I170" t="n">
        <v/>
      </c>
      <c r="J170" t="n">
        <v/>
      </c>
      <c r="K170" t="n">
        <v/>
      </c>
      <c r="L170" t="n">
        <v>0</v>
      </c>
      <c r="M170" t="n">
        <v>0</v>
      </c>
    </row>
    <row r="171">
      <c r="A171" s="149" t="n">
        <v>26359</v>
      </c>
      <c r="B171" t="n">
        <v/>
      </c>
      <c r="C171" t="n">
        <v/>
      </c>
      <c r="D171" t="n">
        <v/>
      </c>
      <c r="E171" t="n">
        <v/>
      </c>
      <c r="F171" t="n">
        <v/>
      </c>
      <c r="G171" t="n">
        <v/>
      </c>
      <c r="H171" t="n">
        <v/>
      </c>
      <c r="I171" t="n">
        <v/>
      </c>
      <c r="J171" t="n">
        <v/>
      </c>
      <c r="K171" t="n">
        <v/>
      </c>
      <c r="L171" t="n">
        <v>0</v>
      </c>
      <c r="M171" t="n">
        <v>0</v>
      </c>
    </row>
    <row r="172">
      <c r="A172" s="149" t="n">
        <v>26390</v>
      </c>
      <c r="B172" t="n">
        <v/>
      </c>
      <c r="C172" t="n">
        <v/>
      </c>
      <c r="D172" t="n">
        <v/>
      </c>
      <c r="E172" t="n">
        <v/>
      </c>
      <c r="F172" t="n">
        <v/>
      </c>
      <c r="G172" t="n">
        <v/>
      </c>
      <c r="H172" t="n">
        <v/>
      </c>
      <c r="I172" t="n">
        <v/>
      </c>
      <c r="J172" t="n">
        <v/>
      </c>
      <c r="K172" t="n">
        <v/>
      </c>
      <c r="L172" t="n">
        <v>0</v>
      </c>
      <c r="M172" t="n">
        <v>0</v>
      </c>
    </row>
    <row r="173">
      <c r="A173" s="149" t="n">
        <v>26420</v>
      </c>
      <c r="B173" t="n">
        <v/>
      </c>
      <c r="C173" t="n">
        <v/>
      </c>
      <c r="D173" t="n">
        <v/>
      </c>
      <c r="E173" t="n">
        <v/>
      </c>
      <c r="F173" t="n">
        <v/>
      </c>
      <c r="G173" t="n">
        <v/>
      </c>
      <c r="H173" t="n">
        <v/>
      </c>
      <c r="I173" t="n">
        <v/>
      </c>
      <c r="J173" t="n">
        <v/>
      </c>
      <c r="K173" t="n">
        <v/>
      </c>
      <c r="L173" t="n">
        <v>0</v>
      </c>
      <c r="M173" t="n">
        <v>0</v>
      </c>
    </row>
    <row r="174">
      <c r="A174" s="149" t="n">
        <v>26451</v>
      </c>
      <c r="B174" t="n">
        <v/>
      </c>
      <c r="C174" t="n">
        <v/>
      </c>
      <c r="D174" t="n">
        <v/>
      </c>
      <c r="E174" t="n">
        <v/>
      </c>
      <c r="F174" t="n">
        <v/>
      </c>
      <c r="G174" t="n">
        <v/>
      </c>
      <c r="H174" t="n">
        <v/>
      </c>
      <c r="I174" t="n">
        <v/>
      </c>
      <c r="J174" t="n">
        <v/>
      </c>
      <c r="K174" t="n">
        <v/>
      </c>
      <c r="L174" t="n">
        <v>0</v>
      </c>
      <c r="M174" t="n">
        <v>0</v>
      </c>
    </row>
    <row r="175">
      <c r="A175" s="149" t="n">
        <v>26481</v>
      </c>
      <c r="B175" t="n">
        <v/>
      </c>
      <c r="C175" t="n">
        <v/>
      </c>
      <c r="D175" t="n">
        <v/>
      </c>
      <c r="E175" t="n">
        <v/>
      </c>
      <c r="F175" t="n">
        <v/>
      </c>
      <c r="G175" t="n">
        <v/>
      </c>
      <c r="H175" t="n">
        <v/>
      </c>
      <c r="I175" t="n">
        <v/>
      </c>
      <c r="J175" t="n">
        <v/>
      </c>
      <c r="K175" t="n">
        <v/>
      </c>
      <c r="L175" t="n">
        <v>0</v>
      </c>
      <c r="M175" t="n">
        <v>0</v>
      </c>
    </row>
    <row r="176">
      <c r="A176" s="149" t="n">
        <v>26512</v>
      </c>
      <c r="B176" t="n">
        <v/>
      </c>
      <c r="C176" t="n">
        <v/>
      </c>
      <c r="D176" t="n">
        <v/>
      </c>
      <c r="E176" t="n">
        <v/>
      </c>
      <c r="F176" t="n">
        <v/>
      </c>
      <c r="G176" t="n">
        <v/>
      </c>
      <c r="H176" t="n">
        <v/>
      </c>
      <c r="I176" t="n">
        <v/>
      </c>
      <c r="J176" t="n">
        <v/>
      </c>
      <c r="K176" t="n">
        <v/>
      </c>
      <c r="L176" t="n">
        <v>0</v>
      </c>
      <c r="M176" t="n">
        <v>0</v>
      </c>
    </row>
    <row r="177">
      <c r="A177" s="149" t="n">
        <v>26543</v>
      </c>
      <c r="B177" t="n">
        <v/>
      </c>
      <c r="C177" t="n">
        <v/>
      </c>
      <c r="D177" t="n">
        <v/>
      </c>
      <c r="E177" t="n">
        <v/>
      </c>
      <c r="F177" t="n">
        <v/>
      </c>
      <c r="G177" t="n">
        <v/>
      </c>
      <c r="H177" t="n">
        <v/>
      </c>
      <c r="I177" t="n">
        <v/>
      </c>
      <c r="J177" t="n">
        <v/>
      </c>
      <c r="K177" t="n">
        <v/>
      </c>
      <c r="L177" t="n">
        <v>0</v>
      </c>
      <c r="M177" t="n">
        <v>0</v>
      </c>
    </row>
    <row r="178">
      <c r="A178" s="149" t="n">
        <v>26573</v>
      </c>
      <c r="B178" t="n">
        <v/>
      </c>
      <c r="C178" t="n">
        <v/>
      </c>
      <c r="D178" t="n">
        <v/>
      </c>
      <c r="E178" t="n">
        <v/>
      </c>
      <c r="F178" t="n">
        <v/>
      </c>
      <c r="G178" t="n">
        <v/>
      </c>
      <c r="H178" t="n">
        <v/>
      </c>
      <c r="I178" t="n">
        <v/>
      </c>
      <c r="J178" t="n">
        <v/>
      </c>
      <c r="K178" t="n">
        <v/>
      </c>
      <c r="L178" t="n">
        <v>0</v>
      </c>
      <c r="M178" t="n">
        <v>0</v>
      </c>
    </row>
    <row r="179">
      <c r="A179" s="149" t="n">
        <v>26604</v>
      </c>
      <c r="B179" t="n">
        <v/>
      </c>
      <c r="C179" t="n">
        <v/>
      </c>
      <c r="D179" t="n">
        <v/>
      </c>
      <c r="E179" t="n">
        <v/>
      </c>
      <c r="F179" t="n">
        <v/>
      </c>
      <c r="G179" t="n">
        <v/>
      </c>
      <c r="H179" t="n">
        <v/>
      </c>
      <c r="I179" t="n">
        <v/>
      </c>
      <c r="J179" t="n">
        <v/>
      </c>
      <c r="K179" t="n">
        <v/>
      </c>
      <c r="L179" t="n">
        <v>0</v>
      </c>
      <c r="M179" t="n">
        <v>0</v>
      </c>
    </row>
    <row r="180">
      <c r="A180" s="149" t="n">
        <v>26634</v>
      </c>
      <c r="B180" t="n">
        <v/>
      </c>
      <c r="C180" t="n">
        <v/>
      </c>
      <c r="D180" t="n">
        <v/>
      </c>
      <c r="E180" t="n">
        <v/>
      </c>
      <c r="F180" t="n">
        <v/>
      </c>
      <c r="G180" t="n">
        <v/>
      </c>
      <c r="H180" t="n">
        <v/>
      </c>
      <c r="I180" t="n">
        <v/>
      </c>
      <c r="J180" t="n">
        <v/>
      </c>
      <c r="K180" t="n">
        <v/>
      </c>
      <c r="L180" t="n">
        <v>0</v>
      </c>
      <c r="M180" t="n">
        <v>0</v>
      </c>
    </row>
    <row r="181">
      <c r="A181" s="149" t="n">
        <v>26665</v>
      </c>
      <c r="B181" t="n">
        <v/>
      </c>
      <c r="C181" t="n">
        <v/>
      </c>
      <c r="D181" t="n">
        <v/>
      </c>
      <c r="E181" t="n">
        <v/>
      </c>
      <c r="F181" t="n">
        <v/>
      </c>
      <c r="G181" t="n">
        <v/>
      </c>
      <c r="H181" t="n">
        <v/>
      </c>
      <c r="I181" t="n">
        <v/>
      </c>
      <c r="J181" t="n">
        <v/>
      </c>
      <c r="K181" t="n">
        <v/>
      </c>
      <c r="L181" t="n">
        <v>0</v>
      </c>
      <c r="M181" t="n">
        <v>0</v>
      </c>
    </row>
    <row r="182">
      <c r="A182" s="149" t="n">
        <v>26696</v>
      </c>
      <c r="B182" t="n">
        <v/>
      </c>
      <c r="C182" t="n">
        <v/>
      </c>
      <c r="D182" t="n">
        <v/>
      </c>
      <c r="E182" t="n">
        <v/>
      </c>
      <c r="F182" t="n">
        <v/>
      </c>
      <c r="G182" t="n">
        <v/>
      </c>
      <c r="H182" t="n">
        <v/>
      </c>
      <c r="I182" t="n">
        <v/>
      </c>
      <c r="J182" t="n">
        <v/>
      </c>
      <c r="K182" t="n">
        <v/>
      </c>
      <c r="L182" t="n">
        <v>0</v>
      </c>
      <c r="M182" t="n">
        <v>0</v>
      </c>
    </row>
    <row r="183">
      <c r="A183" s="149" t="n">
        <v>26724</v>
      </c>
      <c r="B183" t="n">
        <v/>
      </c>
      <c r="C183" t="n">
        <v/>
      </c>
      <c r="D183" t="n">
        <v/>
      </c>
      <c r="E183" t="n">
        <v/>
      </c>
      <c r="F183" t="n">
        <v/>
      </c>
      <c r="G183" t="n">
        <v/>
      </c>
      <c r="H183" t="n">
        <v/>
      </c>
      <c r="I183" t="n">
        <v/>
      </c>
      <c r="J183" t="n">
        <v/>
      </c>
      <c r="K183" t="n">
        <v/>
      </c>
      <c r="L183" t="n">
        <v>0</v>
      </c>
      <c r="M183" t="n">
        <v>0</v>
      </c>
    </row>
    <row r="184">
      <c r="A184" s="149" t="n">
        <v>26755</v>
      </c>
      <c r="B184" t="n">
        <v/>
      </c>
      <c r="C184" t="n">
        <v/>
      </c>
      <c r="D184" t="n">
        <v/>
      </c>
      <c r="E184" t="n">
        <v/>
      </c>
      <c r="F184" t="n">
        <v/>
      </c>
      <c r="G184" t="n">
        <v/>
      </c>
      <c r="H184" t="n">
        <v/>
      </c>
      <c r="I184" t="n">
        <v/>
      </c>
      <c r="J184" t="n">
        <v/>
      </c>
      <c r="K184" t="n">
        <v/>
      </c>
      <c r="L184" t="n">
        <v>0</v>
      </c>
      <c r="M184" t="n">
        <v>0</v>
      </c>
    </row>
    <row r="185">
      <c r="A185" s="149" t="n">
        <v>26785</v>
      </c>
      <c r="B185" t="n">
        <v/>
      </c>
      <c r="C185" t="n">
        <v/>
      </c>
      <c r="D185" t="n">
        <v/>
      </c>
      <c r="E185" t="n">
        <v/>
      </c>
      <c r="F185" t="n">
        <v/>
      </c>
      <c r="G185" t="n">
        <v/>
      </c>
      <c r="H185" t="n">
        <v/>
      </c>
      <c r="I185" t="n">
        <v/>
      </c>
      <c r="J185" t="n">
        <v/>
      </c>
      <c r="K185" t="n">
        <v/>
      </c>
      <c r="L185" t="n">
        <v>0</v>
      </c>
      <c r="M185" t="n">
        <v>0</v>
      </c>
    </row>
    <row r="186">
      <c r="A186" s="149" t="n">
        <v>26816</v>
      </c>
      <c r="B186" t="n">
        <v/>
      </c>
      <c r="C186" t="n">
        <v/>
      </c>
      <c r="D186" t="n">
        <v/>
      </c>
      <c r="E186" t="n">
        <v/>
      </c>
      <c r="F186" t="n">
        <v/>
      </c>
      <c r="G186" t="n">
        <v/>
      </c>
      <c r="H186" t="n">
        <v/>
      </c>
      <c r="I186" t="n">
        <v/>
      </c>
      <c r="J186" t="n">
        <v/>
      </c>
      <c r="K186" t="n">
        <v/>
      </c>
      <c r="L186" t="n">
        <v>0</v>
      </c>
      <c r="M186" t="n">
        <v>0</v>
      </c>
    </row>
    <row r="187">
      <c r="A187" s="149" t="n">
        <v>26846</v>
      </c>
      <c r="B187" t="n">
        <v/>
      </c>
      <c r="C187" t="n">
        <v/>
      </c>
      <c r="D187" t="n">
        <v/>
      </c>
      <c r="E187" t="n">
        <v/>
      </c>
      <c r="F187" t="n">
        <v/>
      </c>
      <c r="G187" t="n">
        <v/>
      </c>
      <c r="H187" t="n">
        <v/>
      </c>
      <c r="I187" t="n">
        <v/>
      </c>
      <c r="J187" t="n">
        <v/>
      </c>
      <c r="K187" t="n">
        <v/>
      </c>
      <c r="L187" t="n">
        <v>0</v>
      </c>
      <c r="M187" t="n">
        <v>0</v>
      </c>
    </row>
    <row r="188">
      <c r="A188" s="149" t="n">
        <v>26877</v>
      </c>
      <c r="B188" t="n">
        <v/>
      </c>
      <c r="C188" t="n">
        <v/>
      </c>
      <c r="D188" t="n">
        <v/>
      </c>
      <c r="E188" t="n">
        <v/>
      </c>
      <c r="F188" t="n">
        <v/>
      </c>
      <c r="G188" t="n">
        <v/>
      </c>
      <c r="H188" t="n">
        <v/>
      </c>
      <c r="I188" t="n">
        <v/>
      </c>
      <c r="J188" t="n">
        <v/>
      </c>
      <c r="K188" t="n">
        <v/>
      </c>
      <c r="L188" t="n">
        <v>0</v>
      </c>
      <c r="M188" t="n">
        <v>0</v>
      </c>
    </row>
    <row r="189">
      <c r="A189" s="149" t="n">
        <v>26908</v>
      </c>
      <c r="B189" t="n">
        <v/>
      </c>
      <c r="C189" t="n">
        <v/>
      </c>
      <c r="D189" t="n">
        <v/>
      </c>
      <c r="E189" t="n">
        <v/>
      </c>
      <c r="F189" t="n">
        <v/>
      </c>
      <c r="G189" t="n">
        <v/>
      </c>
      <c r="H189" t="n">
        <v/>
      </c>
      <c r="I189" t="n">
        <v/>
      </c>
      <c r="J189" t="n">
        <v/>
      </c>
      <c r="K189" t="n">
        <v/>
      </c>
      <c r="L189" t="n">
        <v>0</v>
      </c>
      <c r="M189" t="n">
        <v>0</v>
      </c>
    </row>
    <row r="190">
      <c r="A190" s="149" t="n">
        <v>26938</v>
      </c>
      <c r="B190" t="n">
        <v/>
      </c>
      <c r="C190" t="n">
        <v/>
      </c>
      <c r="D190" t="n">
        <v/>
      </c>
      <c r="E190" t="n">
        <v/>
      </c>
      <c r="F190" t="n">
        <v/>
      </c>
      <c r="G190" t="n">
        <v/>
      </c>
      <c r="H190" t="n">
        <v/>
      </c>
      <c r="I190" t="n">
        <v/>
      </c>
      <c r="J190" t="n">
        <v/>
      </c>
      <c r="K190" t="n">
        <v/>
      </c>
      <c r="L190" t="n">
        <v>0</v>
      </c>
      <c r="M190" t="n">
        <v>0</v>
      </c>
    </row>
    <row r="191">
      <c r="A191" s="149" t="n">
        <v>26969</v>
      </c>
      <c r="B191" t="n">
        <v/>
      </c>
      <c r="C191" t="n">
        <v/>
      </c>
      <c r="D191" t="n">
        <v/>
      </c>
      <c r="E191" t="n">
        <v/>
      </c>
      <c r="F191" t="n">
        <v/>
      </c>
      <c r="G191" t="n">
        <v/>
      </c>
      <c r="H191" t="n">
        <v/>
      </c>
      <c r="I191" t="n">
        <v/>
      </c>
      <c r="J191" t="n">
        <v/>
      </c>
      <c r="K191" t="n">
        <v/>
      </c>
      <c r="L191" t="n">
        <v>0</v>
      </c>
      <c r="M191" t="n">
        <v>0</v>
      </c>
    </row>
    <row r="192">
      <c r="A192" s="149" t="n">
        <v>26999</v>
      </c>
      <c r="B192" t="n">
        <v/>
      </c>
      <c r="C192" t="n">
        <v/>
      </c>
      <c r="D192" t="n">
        <v/>
      </c>
      <c r="E192" t="n">
        <v/>
      </c>
      <c r="F192" t="n">
        <v/>
      </c>
      <c r="G192" t="n">
        <v/>
      </c>
      <c r="H192" t="n">
        <v/>
      </c>
      <c r="I192" t="n">
        <v/>
      </c>
      <c r="J192" t="n">
        <v/>
      </c>
      <c r="K192" t="n">
        <v/>
      </c>
      <c r="L192" t="n">
        <v>0</v>
      </c>
      <c r="M192" t="n">
        <v>0</v>
      </c>
    </row>
    <row r="193">
      <c r="A193" s="149" t="n">
        <v>27030</v>
      </c>
      <c r="B193" t="n">
        <v/>
      </c>
      <c r="C193" t="n">
        <v/>
      </c>
      <c r="D193" t="n">
        <v/>
      </c>
      <c r="E193" t="n">
        <v/>
      </c>
      <c r="F193" t="n">
        <v/>
      </c>
      <c r="G193" t="n">
        <v/>
      </c>
      <c r="H193" t="n">
        <v/>
      </c>
      <c r="I193" t="n">
        <v/>
      </c>
      <c r="J193" t="n">
        <v/>
      </c>
      <c r="K193" t="n">
        <v/>
      </c>
      <c r="L193" t="n">
        <v>0</v>
      </c>
      <c r="M193" t="n">
        <v>0</v>
      </c>
    </row>
    <row r="194">
      <c r="A194" s="149" t="n">
        <v>27061</v>
      </c>
      <c r="B194" t="n">
        <v/>
      </c>
      <c r="C194" t="n">
        <v/>
      </c>
      <c r="D194" t="n">
        <v/>
      </c>
      <c r="E194" t="n">
        <v/>
      </c>
      <c r="F194" t="n">
        <v/>
      </c>
      <c r="G194" t="n">
        <v/>
      </c>
      <c r="H194" t="n">
        <v/>
      </c>
      <c r="I194" t="n">
        <v/>
      </c>
      <c r="J194" t="n">
        <v/>
      </c>
      <c r="K194" t="n">
        <v/>
      </c>
      <c r="L194" t="n">
        <v>0</v>
      </c>
      <c r="M194" t="n">
        <v>0</v>
      </c>
    </row>
    <row r="195">
      <c r="A195" s="149" t="n">
        <v>27089</v>
      </c>
      <c r="B195" t="n">
        <v/>
      </c>
      <c r="C195" t="n">
        <v/>
      </c>
      <c r="D195" t="n">
        <v/>
      </c>
      <c r="E195" t="n">
        <v/>
      </c>
      <c r="F195" t="n">
        <v/>
      </c>
      <c r="G195" t="n">
        <v/>
      </c>
      <c r="H195" t="n">
        <v/>
      </c>
      <c r="I195" t="n">
        <v/>
      </c>
      <c r="J195" t="n">
        <v/>
      </c>
      <c r="K195" t="n">
        <v/>
      </c>
      <c r="L195" t="n">
        <v>0</v>
      </c>
      <c r="M195" t="n">
        <v>0</v>
      </c>
    </row>
    <row r="196">
      <c r="A196" s="149" t="n">
        <v>27120</v>
      </c>
      <c r="B196" t="n">
        <v/>
      </c>
      <c r="C196" t="n">
        <v/>
      </c>
      <c r="D196" t="n">
        <v/>
      </c>
      <c r="E196" t="n">
        <v/>
      </c>
      <c r="F196" t="n">
        <v/>
      </c>
      <c r="G196" t="n">
        <v/>
      </c>
      <c r="H196" t="n">
        <v/>
      </c>
      <c r="I196" t="n">
        <v/>
      </c>
      <c r="J196" t="n">
        <v/>
      </c>
      <c r="K196" t="n">
        <v/>
      </c>
      <c r="L196" t="n">
        <v>0</v>
      </c>
      <c r="M196" t="n">
        <v>0</v>
      </c>
    </row>
    <row r="197">
      <c r="A197" s="149" t="n">
        <v>27150</v>
      </c>
      <c r="B197" t="n">
        <v/>
      </c>
      <c r="C197" t="n">
        <v/>
      </c>
      <c r="D197" t="n">
        <v/>
      </c>
      <c r="E197" t="n">
        <v/>
      </c>
      <c r="F197" t="n">
        <v/>
      </c>
      <c r="G197" t="n">
        <v/>
      </c>
      <c r="H197" t="n">
        <v/>
      </c>
      <c r="I197" t="n">
        <v/>
      </c>
      <c r="J197" t="n">
        <v/>
      </c>
      <c r="K197" t="n">
        <v/>
      </c>
      <c r="L197" t="n">
        <v>0</v>
      </c>
      <c r="M197" t="n">
        <v>0</v>
      </c>
    </row>
    <row r="198">
      <c r="A198" s="149" t="n">
        <v>27181</v>
      </c>
      <c r="B198" t="n">
        <v/>
      </c>
      <c r="C198" t="n">
        <v/>
      </c>
      <c r="D198" t="n">
        <v/>
      </c>
      <c r="E198" t="n">
        <v/>
      </c>
      <c r="F198" t="n">
        <v/>
      </c>
      <c r="G198" t="n">
        <v/>
      </c>
      <c r="H198" t="n">
        <v/>
      </c>
      <c r="I198" t="n">
        <v/>
      </c>
      <c r="J198" t="n">
        <v/>
      </c>
      <c r="K198" t="n">
        <v/>
      </c>
      <c r="L198" t="n">
        <v>0</v>
      </c>
      <c r="M198" t="n">
        <v>0</v>
      </c>
    </row>
    <row r="199">
      <c r="A199" s="149" t="n">
        <v>27211</v>
      </c>
      <c r="B199" t="n">
        <v/>
      </c>
      <c r="C199" t="n">
        <v/>
      </c>
      <c r="D199" t="n">
        <v/>
      </c>
      <c r="E199" t="n">
        <v/>
      </c>
      <c r="F199" t="n">
        <v/>
      </c>
      <c r="G199" t="n">
        <v/>
      </c>
      <c r="H199" t="n">
        <v/>
      </c>
      <c r="I199" t="n">
        <v/>
      </c>
      <c r="J199" t="n">
        <v/>
      </c>
      <c r="K199" t="n">
        <v/>
      </c>
      <c r="L199" t="n">
        <v>0</v>
      </c>
      <c r="M199" t="n">
        <v>0</v>
      </c>
    </row>
    <row r="200">
      <c r="A200" s="149" t="n">
        <v>27242</v>
      </c>
      <c r="B200" t="n">
        <v/>
      </c>
      <c r="C200" t="n">
        <v/>
      </c>
      <c r="D200" t="n">
        <v/>
      </c>
      <c r="E200" t="n">
        <v/>
      </c>
      <c r="F200" t="n">
        <v/>
      </c>
      <c r="G200" t="n">
        <v/>
      </c>
      <c r="H200" t="n">
        <v/>
      </c>
      <c r="I200" t="n">
        <v/>
      </c>
      <c r="J200" t="n">
        <v/>
      </c>
      <c r="K200" t="n">
        <v/>
      </c>
      <c r="L200" t="n">
        <v>0</v>
      </c>
      <c r="M200" t="n">
        <v>0</v>
      </c>
    </row>
    <row r="201">
      <c r="A201" s="149" t="n">
        <v>27273</v>
      </c>
      <c r="B201" t="n">
        <v/>
      </c>
      <c r="C201" t="n">
        <v/>
      </c>
      <c r="D201" t="n">
        <v/>
      </c>
      <c r="E201" t="n">
        <v/>
      </c>
      <c r="F201" t="n">
        <v/>
      </c>
      <c r="G201" t="n">
        <v/>
      </c>
      <c r="H201" t="n">
        <v/>
      </c>
      <c r="I201" t="n">
        <v/>
      </c>
      <c r="J201" t="n">
        <v/>
      </c>
      <c r="K201" t="n">
        <v/>
      </c>
      <c r="L201" t="n">
        <v>0</v>
      </c>
      <c r="M201" t="n">
        <v>0</v>
      </c>
    </row>
    <row r="202">
      <c r="A202" s="149" t="n">
        <v>27303</v>
      </c>
      <c r="B202" t="n">
        <v/>
      </c>
      <c r="C202" t="n">
        <v/>
      </c>
      <c r="D202" t="n">
        <v/>
      </c>
      <c r="E202" t="n">
        <v/>
      </c>
      <c r="F202" t="n">
        <v/>
      </c>
      <c r="G202" t="n">
        <v/>
      </c>
      <c r="H202" t="n">
        <v/>
      </c>
      <c r="I202" t="n">
        <v/>
      </c>
      <c r="J202" t="n">
        <v/>
      </c>
      <c r="K202" t="n">
        <v/>
      </c>
      <c r="L202" t="n">
        <v>0</v>
      </c>
      <c r="M202" t="n">
        <v>0</v>
      </c>
    </row>
    <row r="203">
      <c r="A203" s="149" t="n">
        <v>27334</v>
      </c>
      <c r="B203" t="n">
        <v/>
      </c>
      <c r="C203" t="n">
        <v/>
      </c>
      <c r="D203" t="n">
        <v/>
      </c>
      <c r="E203" t="n">
        <v/>
      </c>
      <c r="F203" t="n">
        <v/>
      </c>
      <c r="G203" t="n">
        <v/>
      </c>
      <c r="H203" t="n">
        <v/>
      </c>
      <c r="I203" t="n">
        <v/>
      </c>
      <c r="J203" t="n">
        <v/>
      </c>
      <c r="K203" t="n">
        <v/>
      </c>
      <c r="L203" t="n">
        <v>0</v>
      </c>
      <c r="M203" t="n">
        <v>0</v>
      </c>
    </row>
    <row r="204">
      <c r="A204" s="149" t="n">
        <v>27364</v>
      </c>
      <c r="B204" t="n">
        <v/>
      </c>
      <c r="C204" t="n">
        <v/>
      </c>
      <c r="D204" t="n">
        <v/>
      </c>
      <c r="E204" t="n">
        <v/>
      </c>
      <c r="F204" t="n">
        <v/>
      </c>
      <c r="G204" t="n">
        <v/>
      </c>
      <c r="H204" t="n">
        <v/>
      </c>
      <c r="I204" t="n">
        <v/>
      </c>
      <c r="J204" t="n">
        <v/>
      </c>
      <c r="K204" t="n">
        <v/>
      </c>
      <c r="L204" t="n">
        <v>0</v>
      </c>
      <c r="M204" t="n">
        <v>0</v>
      </c>
    </row>
    <row r="205">
      <c r="A205" s="149" t="n">
        <v>27395</v>
      </c>
      <c r="B205" t="n">
        <v/>
      </c>
      <c r="C205" t="n">
        <v/>
      </c>
      <c r="D205" t="n">
        <v/>
      </c>
      <c r="E205" t="n">
        <v/>
      </c>
      <c r="F205" t="n">
        <v/>
      </c>
      <c r="G205" t="n">
        <v/>
      </c>
      <c r="H205" t="n">
        <v/>
      </c>
      <c r="I205" t="n">
        <v/>
      </c>
      <c r="J205" t="n">
        <v/>
      </c>
      <c r="K205" t="n">
        <v/>
      </c>
      <c r="L205" t="n">
        <v>0</v>
      </c>
      <c r="M205" t="n">
        <v>0</v>
      </c>
    </row>
    <row r="206">
      <c r="A206" s="149" t="n">
        <v>27426</v>
      </c>
      <c r="B206" t="n">
        <v/>
      </c>
      <c r="C206" t="n">
        <v/>
      </c>
      <c r="D206" t="n">
        <v/>
      </c>
      <c r="E206" t="n">
        <v/>
      </c>
      <c r="F206" t="n">
        <v/>
      </c>
      <c r="G206" t="n">
        <v/>
      </c>
      <c r="H206" t="n">
        <v/>
      </c>
      <c r="I206" t="n">
        <v/>
      </c>
      <c r="J206" t="n">
        <v/>
      </c>
      <c r="K206" t="n">
        <v/>
      </c>
      <c r="L206" t="n">
        <v>0</v>
      </c>
      <c r="M206" t="n">
        <v>0</v>
      </c>
    </row>
    <row r="207">
      <c r="A207" s="149" t="n">
        <v>27454</v>
      </c>
      <c r="B207" t="n">
        <v/>
      </c>
      <c r="C207" t="n">
        <v/>
      </c>
      <c r="D207" t="n">
        <v/>
      </c>
      <c r="E207" t="n">
        <v/>
      </c>
      <c r="F207" t="n">
        <v/>
      </c>
      <c r="G207" t="n">
        <v/>
      </c>
      <c r="H207" t="n">
        <v/>
      </c>
      <c r="I207" t="n">
        <v/>
      </c>
      <c r="J207" t="n">
        <v/>
      </c>
      <c r="K207" t="n">
        <v/>
      </c>
      <c r="L207" t="n">
        <v>0</v>
      </c>
      <c r="M207" t="n">
        <v>0</v>
      </c>
    </row>
    <row r="208">
      <c r="A208" s="149" t="n">
        <v>27485</v>
      </c>
      <c r="B208" t="n">
        <v/>
      </c>
      <c r="C208" t="n">
        <v/>
      </c>
      <c r="D208" t="n">
        <v/>
      </c>
      <c r="E208" t="n">
        <v/>
      </c>
      <c r="F208" t="n">
        <v/>
      </c>
      <c r="G208" t="n">
        <v/>
      </c>
      <c r="H208" t="n">
        <v/>
      </c>
      <c r="I208" t="n">
        <v/>
      </c>
      <c r="J208" t="n">
        <v/>
      </c>
      <c r="K208" t="n">
        <v/>
      </c>
      <c r="L208" t="n">
        <v>0</v>
      </c>
      <c r="M208" t="n">
        <v>0</v>
      </c>
    </row>
    <row r="209">
      <c r="A209" s="149" t="n">
        <v>27515</v>
      </c>
      <c r="B209" t="n">
        <v/>
      </c>
      <c r="C209" t="n">
        <v/>
      </c>
      <c r="D209" t="n">
        <v/>
      </c>
      <c r="E209" t="n">
        <v/>
      </c>
      <c r="F209" t="n">
        <v/>
      </c>
      <c r="G209" t="n">
        <v/>
      </c>
      <c r="H209" t="n">
        <v/>
      </c>
      <c r="I209" t="n">
        <v/>
      </c>
      <c r="J209" t="n">
        <v/>
      </c>
      <c r="K209" t="n">
        <v/>
      </c>
      <c r="L209" t="n">
        <v>0</v>
      </c>
      <c r="M209" t="n">
        <v>0</v>
      </c>
    </row>
    <row r="210">
      <c r="A210" s="149" t="n">
        <v>27546</v>
      </c>
      <c r="B210" t="n">
        <v/>
      </c>
      <c r="C210" t="n">
        <v/>
      </c>
      <c r="D210" t="n">
        <v/>
      </c>
      <c r="E210" t="n">
        <v/>
      </c>
      <c r="F210" t="n">
        <v/>
      </c>
      <c r="G210" t="n">
        <v/>
      </c>
      <c r="H210" t="n">
        <v/>
      </c>
      <c r="I210" t="n">
        <v/>
      </c>
      <c r="J210" t="n">
        <v/>
      </c>
      <c r="K210" t="n">
        <v/>
      </c>
      <c r="L210" t="n">
        <v>0</v>
      </c>
      <c r="M210" t="n">
        <v>0</v>
      </c>
    </row>
    <row r="211">
      <c r="A211" s="149" t="n">
        <v>27576</v>
      </c>
      <c r="B211" t="n">
        <v/>
      </c>
      <c r="C211" t="n">
        <v/>
      </c>
      <c r="D211" t="n">
        <v/>
      </c>
      <c r="E211" t="n">
        <v/>
      </c>
      <c r="F211" t="n">
        <v/>
      </c>
      <c r="G211" t="n">
        <v/>
      </c>
      <c r="H211" t="n">
        <v/>
      </c>
      <c r="I211" t="n">
        <v/>
      </c>
      <c r="J211" t="n">
        <v/>
      </c>
      <c r="K211" t="n">
        <v/>
      </c>
      <c r="L211" t="n">
        <v>0</v>
      </c>
      <c r="M211" t="n">
        <v>0</v>
      </c>
    </row>
    <row r="212">
      <c r="A212" s="149" t="n">
        <v>27607</v>
      </c>
      <c r="B212" t="n">
        <v/>
      </c>
      <c r="C212" t="n">
        <v/>
      </c>
      <c r="D212" t="n">
        <v/>
      </c>
      <c r="E212" t="n">
        <v/>
      </c>
      <c r="F212" t="n">
        <v/>
      </c>
      <c r="G212" t="n">
        <v/>
      </c>
      <c r="H212" t="n">
        <v/>
      </c>
      <c r="I212" t="n">
        <v/>
      </c>
      <c r="J212" t="n">
        <v/>
      </c>
      <c r="K212" t="n">
        <v/>
      </c>
      <c r="L212" t="n">
        <v>0</v>
      </c>
      <c r="M212" t="n">
        <v>0</v>
      </c>
    </row>
    <row r="213">
      <c r="A213" s="149" t="n">
        <v>27638</v>
      </c>
      <c r="B213" t="n">
        <v/>
      </c>
      <c r="C213" t="n">
        <v/>
      </c>
      <c r="D213" t="n">
        <v/>
      </c>
      <c r="E213" t="n">
        <v/>
      </c>
      <c r="F213" t="n">
        <v/>
      </c>
      <c r="G213" t="n">
        <v/>
      </c>
      <c r="H213" t="n">
        <v/>
      </c>
      <c r="I213" t="n">
        <v/>
      </c>
      <c r="J213" t="n">
        <v/>
      </c>
      <c r="K213" t="n">
        <v/>
      </c>
      <c r="L213" t="n">
        <v>0</v>
      </c>
      <c r="M213" t="n">
        <v>0</v>
      </c>
    </row>
    <row r="214">
      <c r="A214" s="149" t="n">
        <v>27668</v>
      </c>
      <c r="B214" t="n">
        <v/>
      </c>
      <c r="C214" t="n">
        <v/>
      </c>
      <c r="D214" t="n">
        <v/>
      </c>
      <c r="E214" t="n">
        <v/>
      </c>
      <c r="F214" t="n">
        <v/>
      </c>
      <c r="G214" t="n">
        <v/>
      </c>
      <c r="H214" t="n">
        <v/>
      </c>
      <c r="I214" t="n">
        <v/>
      </c>
      <c r="J214" t="n">
        <v/>
      </c>
      <c r="K214" t="n">
        <v/>
      </c>
      <c r="L214" t="n">
        <v>0</v>
      </c>
      <c r="M214" t="n">
        <v>0</v>
      </c>
    </row>
    <row r="215">
      <c r="A215" s="149" t="n">
        <v>27699</v>
      </c>
      <c r="B215" t="n">
        <v/>
      </c>
      <c r="C215" t="n">
        <v/>
      </c>
      <c r="D215" t="n">
        <v/>
      </c>
      <c r="E215" t="n">
        <v/>
      </c>
      <c r="F215" t="n">
        <v/>
      </c>
      <c r="G215" t="n">
        <v/>
      </c>
      <c r="H215" t="n">
        <v/>
      </c>
      <c r="I215" t="n">
        <v/>
      </c>
      <c r="J215" t="n">
        <v/>
      </c>
      <c r="K215" t="n">
        <v/>
      </c>
      <c r="L215" t="n">
        <v>0</v>
      </c>
      <c r="M215" t="n">
        <v>0</v>
      </c>
    </row>
    <row r="216">
      <c r="A216" s="149" t="n">
        <v>27729</v>
      </c>
      <c r="B216" t="n">
        <v/>
      </c>
      <c r="C216" t="n">
        <v/>
      </c>
      <c r="D216" t="n">
        <v/>
      </c>
      <c r="E216" t="n">
        <v/>
      </c>
      <c r="F216" t="n">
        <v/>
      </c>
      <c r="G216" t="n">
        <v/>
      </c>
      <c r="H216" t="n">
        <v/>
      </c>
      <c r="I216" t="n">
        <v/>
      </c>
      <c r="J216" t="n">
        <v/>
      </c>
      <c r="K216" t="n">
        <v/>
      </c>
      <c r="L216" t="n">
        <v>0</v>
      </c>
      <c r="M216" t="n">
        <v>0</v>
      </c>
    </row>
    <row r="217">
      <c r="A217" s="149" t="n">
        <v>27760</v>
      </c>
      <c r="B217" t="n">
        <v/>
      </c>
      <c r="C217" t="n">
        <v/>
      </c>
      <c r="D217" t="n">
        <v/>
      </c>
      <c r="E217" t="n">
        <v/>
      </c>
      <c r="F217" t="n">
        <v/>
      </c>
      <c r="G217" t="n">
        <v/>
      </c>
      <c r="H217" t="n">
        <v/>
      </c>
      <c r="I217" t="n">
        <v/>
      </c>
      <c r="J217" t="n">
        <v/>
      </c>
      <c r="K217" t="n">
        <v/>
      </c>
      <c r="L217" t="n">
        <v>0</v>
      </c>
      <c r="M217" t="n">
        <v>0</v>
      </c>
    </row>
    <row r="218">
      <c r="A218" s="149" t="n">
        <v>27791</v>
      </c>
      <c r="B218" t="n">
        <v/>
      </c>
      <c r="C218" t="n">
        <v/>
      </c>
      <c r="D218" t="n">
        <v/>
      </c>
      <c r="E218" t="n">
        <v/>
      </c>
      <c r="F218" t="n">
        <v/>
      </c>
      <c r="G218" t="n">
        <v/>
      </c>
      <c r="H218" t="n">
        <v/>
      </c>
      <c r="I218" t="n">
        <v/>
      </c>
      <c r="J218" t="n">
        <v/>
      </c>
      <c r="K218" t="n">
        <v/>
      </c>
      <c r="L218" t="n">
        <v>0</v>
      </c>
      <c r="M218" t="n">
        <v>0</v>
      </c>
    </row>
    <row r="219">
      <c r="A219" s="149" t="n">
        <v>27820</v>
      </c>
      <c r="B219" t="n">
        <v/>
      </c>
      <c r="C219" t="n">
        <v/>
      </c>
      <c r="D219" t="n">
        <v/>
      </c>
      <c r="E219" t="n">
        <v/>
      </c>
      <c r="F219" t="n">
        <v/>
      </c>
      <c r="G219" t="n">
        <v/>
      </c>
      <c r="H219" t="n">
        <v/>
      </c>
      <c r="I219" t="n">
        <v/>
      </c>
      <c r="J219" t="n">
        <v/>
      </c>
      <c r="K219" t="n">
        <v/>
      </c>
      <c r="L219" t="n">
        <v>0</v>
      </c>
      <c r="M219" t="n">
        <v>0</v>
      </c>
    </row>
    <row r="220">
      <c r="A220" s="149" t="n">
        <v>27851</v>
      </c>
      <c r="B220" t="n">
        <v/>
      </c>
      <c r="C220" t="n">
        <v/>
      </c>
      <c r="D220" t="n">
        <v/>
      </c>
      <c r="E220" t="n">
        <v/>
      </c>
      <c r="F220" t="n">
        <v/>
      </c>
      <c r="G220" t="n">
        <v/>
      </c>
      <c r="H220" t="n">
        <v/>
      </c>
      <c r="I220" t="n">
        <v/>
      </c>
      <c r="J220" t="n">
        <v/>
      </c>
      <c r="K220" t="n">
        <v/>
      </c>
      <c r="L220" t="n">
        <v>0</v>
      </c>
      <c r="M220" t="n">
        <v>0</v>
      </c>
    </row>
    <row r="221">
      <c r="A221" s="149" t="n">
        <v>27881</v>
      </c>
      <c r="B221" t="n">
        <v/>
      </c>
      <c r="C221" t="n">
        <v/>
      </c>
      <c r="D221" t="n">
        <v/>
      </c>
      <c r="E221" t="n">
        <v/>
      </c>
      <c r="F221" t="n">
        <v/>
      </c>
      <c r="G221" t="n">
        <v/>
      </c>
      <c r="H221" t="n">
        <v/>
      </c>
      <c r="I221" t="n">
        <v/>
      </c>
      <c r="J221" t="n">
        <v/>
      </c>
      <c r="K221" t="n">
        <v/>
      </c>
      <c r="L221" t="n">
        <v>0</v>
      </c>
      <c r="M221" t="n">
        <v>0</v>
      </c>
    </row>
    <row r="222">
      <c r="A222" s="149" t="n">
        <v>27912</v>
      </c>
      <c r="B222" t="n">
        <v/>
      </c>
      <c r="C222" t="n">
        <v/>
      </c>
      <c r="D222" t="n">
        <v/>
      </c>
      <c r="E222" t="n">
        <v/>
      </c>
      <c r="F222" t="n">
        <v/>
      </c>
      <c r="G222" t="n">
        <v/>
      </c>
      <c r="H222" t="n">
        <v/>
      </c>
      <c r="I222" t="n">
        <v/>
      </c>
      <c r="J222" t="n">
        <v/>
      </c>
      <c r="K222" t="n">
        <v/>
      </c>
      <c r="L222" t="n">
        <v>0</v>
      </c>
      <c r="M222" t="n">
        <v>0</v>
      </c>
    </row>
    <row r="223">
      <c r="A223" s="149" t="n">
        <v>27942</v>
      </c>
      <c r="B223" t="n">
        <v/>
      </c>
      <c r="C223" t="n">
        <v/>
      </c>
      <c r="D223" t="n">
        <v/>
      </c>
      <c r="E223" t="n">
        <v/>
      </c>
      <c r="F223" t="n">
        <v/>
      </c>
      <c r="G223" t="n">
        <v/>
      </c>
      <c r="H223" t="n">
        <v/>
      </c>
      <c r="I223" t="n">
        <v/>
      </c>
      <c r="J223" t="n">
        <v/>
      </c>
      <c r="K223" t="n">
        <v/>
      </c>
      <c r="L223" t="n">
        <v>0</v>
      </c>
      <c r="M223" t="n">
        <v>0</v>
      </c>
    </row>
    <row r="224">
      <c r="A224" s="149" t="n">
        <v>27973</v>
      </c>
      <c r="B224" t="n">
        <v/>
      </c>
      <c r="C224" t="n">
        <v/>
      </c>
      <c r="D224" t="n">
        <v/>
      </c>
      <c r="E224" t="n">
        <v/>
      </c>
      <c r="F224" t="n">
        <v/>
      </c>
      <c r="G224" t="n">
        <v/>
      </c>
      <c r="H224" t="n">
        <v/>
      </c>
      <c r="I224" t="n">
        <v/>
      </c>
      <c r="J224" t="n">
        <v/>
      </c>
      <c r="K224" t="n">
        <v/>
      </c>
      <c r="L224" t="n">
        <v>0</v>
      </c>
      <c r="M224" t="n">
        <v>0</v>
      </c>
    </row>
    <row r="225">
      <c r="A225" s="149" t="n">
        <v>28004</v>
      </c>
      <c r="B225" t="n">
        <v/>
      </c>
      <c r="C225" t="n">
        <v/>
      </c>
      <c r="D225" t="n">
        <v/>
      </c>
      <c r="E225" t="n">
        <v/>
      </c>
      <c r="F225" t="n">
        <v/>
      </c>
      <c r="G225" t="n">
        <v/>
      </c>
      <c r="H225" t="n">
        <v/>
      </c>
      <c r="I225" t="n">
        <v/>
      </c>
      <c r="J225" t="n">
        <v/>
      </c>
      <c r="K225" t="n">
        <v/>
      </c>
      <c r="L225" t="n">
        <v>0</v>
      </c>
      <c r="M225" t="n">
        <v>0</v>
      </c>
    </row>
    <row r="226">
      <c r="A226" s="149" t="n">
        <v>28034</v>
      </c>
      <c r="B226" t="n">
        <v/>
      </c>
      <c r="C226" t="n">
        <v/>
      </c>
      <c r="D226" t="n">
        <v/>
      </c>
      <c r="E226" t="n">
        <v/>
      </c>
      <c r="F226" t="n">
        <v/>
      </c>
      <c r="G226" t="n">
        <v/>
      </c>
      <c r="H226" t="n">
        <v/>
      </c>
      <c r="I226" t="n">
        <v/>
      </c>
      <c r="J226" t="n">
        <v/>
      </c>
      <c r="K226" t="n">
        <v/>
      </c>
      <c r="L226" t="n">
        <v>0</v>
      </c>
      <c r="M226" t="n">
        <v>0</v>
      </c>
    </row>
    <row r="227">
      <c r="A227" s="149" t="n">
        <v>28065</v>
      </c>
      <c r="B227" t="n">
        <v/>
      </c>
      <c r="C227" t="n">
        <v/>
      </c>
      <c r="D227" t="n">
        <v/>
      </c>
      <c r="E227" t="n">
        <v/>
      </c>
      <c r="F227" t="n">
        <v/>
      </c>
      <c r="G227" t="n">
        <v/>
      </c>
      <c r="H227" t="n">
        <v/>
      </c>
      <c r="I227" t="n">
        <v/>
      </c>
      <c r="J227" t="n">
        <v/>
      </c>
      <c r="K227" t="n">
        <v/>
      </c>
      <c r="L227" t="n">
        <v>0</v>
      </c>
      <c r="M227" t="n">
        <v>0</v>
      </c>
    </row>
    <row r="228">
      <c r="A228" s="149" t="n">
        <v>28095</v>
      </c>
      <c r="B228" t="n">
        <v/>
      </c>
      <c r="C228" t="n">
        <v/>
      </c>
      <c r="D228" t="n">
        <v/>
      </c>
      <c r="E228" t="n">
        <v/>
      </c>
      <c r="F228" t="n">
        <v/>
      </c>
      <c r="G228" t="n">
        <v/>
      </c>
      <c r="H228" t="n">
        <v/>
      </c>
      <c r="I228" t="n">
        <v/>
      </c>
      <c r="J228" t="n">
        <v/>
      </c>
      <c r="K228" t="n">
        <v/>
      </c>
      <c r="L228" t="n">
        <v>0</v>
      </c>
      <c r="M228" t="n">
        <v>0</v>
      </c>
    </row>
    <row r="229">
      <c r="A229" s="149" t="n">
        <v>28126</v>
      </c>
      <c r="B229" t="n">
        <v/>
      </c>
      <c r="C229" t="n">
        <v/>
      </c>
      <c r="D229" t="n">
        <v/>
      </c>
      <c r="E229" t="n">
        <v/>
      </c>
      <c r="F229" t="n">
        <v/>
      </c>
      <c r="G229" t="n">
        <v/>
      </c>
      <c r="H229" t="n">
        <v/>
      </c>
      <c r="I229" t="n">
        <v/>
      </c>
      <c r="J229" t="n">
        <v/>
      </c>
      <c r="K229" t="n">
        <v/>
      </c>
      <c r="L229" t="n">
        <v>0</v>
      </c>
      <c r="M229" t="n">
        <v>0</v>
      </c>
    </row>
    <row r="230">
      <c r="A230" s="149" t="n">
        <v>28157</v>
      </c>
      <c r="B230" t="n">
        <v/>
      </c>
      <c r="C230" t="n">
        <v/>
      </c>
      <c r="D230" t="n">
        <v/>
      </c>
      <c r="E230" t="n">
        <v/>
      </c>
      <c r="F230" t="n">
        <v/>
      </c>
      <c r="G230" t="n">
        <v/>
      </c>
      <c r="H230" t="n">
        <v/>
      </c>
      <c r="I230" t="n">
        <v/>
      </c>
      <c r="J230" t="n">
        <v/>
      </c>
      <c r="K230" t="n">
        <v/>
      </c>
      <c r="L230" t="n">
        <v>0</v>
      </c>
      <c r="M230" t="n">
        <v>0</v>
      </c>
    </row>
    <row r="231">
      <c r="A231" s="149" t="n">
        <v>28185</v>
      </c>
      <c r="B231" t="n">
        <v/>
      </c>
      <c r="C231" t="n">
        <v/>
      </c>
      <c r="D231" t="n">
        <v/>
      </c>
      <c r="E231" t="n">
        <v/>
      </c>
      <c r="F231" t="n">
        <v/>
      </c>
      <c r="G231" t="n">
        <v/>
      </c>
      <c r="H231" t="n">
        <v/>
      </c>
      <c r="I231" t="n">
        <v/>
      </c>
      <c r="J231" t="n">
        <v/>
      </c>
      <c r="K231" t="n">
        <v/>
      </c>
      <c r="L231" t="n">
        <v>0</v>
      </c>
      <c r="M231" t="n">
        <v>0</v>
      </c>
    </row>
    <row r="232">
      <c r="A232" s="149" t="n">
        <v>28216</v>
      </c>
      <c r="B232" t="n">
        <v/>
      </c>
      <c r="C232" t="n">
        <v/>
      </c>
      <c r="D232" t="n">
        <v/>
      </c>
      <c r="E232" t="n">
        <v/>
      </c>
      <c r="F232" t="n">
        <v/>
      </c>
      <c r="G232" t="n">
        <v/>
      </c>
      <c r="H232" t="n">
        <v/>
      </c>
      <c r="I232" t="n">
        <v/>
      </c>
      <c r="J232" t="n">
        <v/>
      </c>
      <c r="K232" t="n">
        <v/>
      </c>
      <c r="L232" t="n">
        <v>0</v>
      </c>
      <c r="M232" t="n">
        <v>0</v>
      </c>
    </row>
    <row r="233">
      <c r="A233" s="149" t="n">
        <v>28246</v>
      </c>
      <c r="B233" t="n">
        <v/>
      </c>
      <c r="C233" t="n">
        <v/>
      </c>
      <c r="D233" t="n">
        <v/>
      </c>
      <c r="E233" t="n">
        <v/>
      </c>
      <c r="F233" t="n">
        <v/>
      </c>
      <c r="G233" t="n">
        <v/>
      </c>
      <c r="H233" t="n">
        <v/>
      </c>
      <c r="I233" t="n">
        <v/>
      </c>
      <c r="J233" t="n">
        <v/>
      </c>
      <c r="K233" t="n">
        <v/>
      </c>
      <c r="L233" t="n">
        <v>0</v>
      </c>
      <c r="M233" t="n">
        <v>0</v>
      </c>
    </row>
    <row r="234">
      <c r="A234" s="149" t="n">
        <v>28277</v>
      </c>
      <c r="B234" t="n">
        <v/>
      </c>
      <c r="C234" t="n">
        <v/>
      </c>
      <c r="D234" t="n">
        <v/>
      </c>
      <c r="E234" t="n">
        <v/>
      </c>
      <c r="F234" t="n">
        <v/>
      </c>
      <c r="G234" t="n">
        <v/>
      </c>
      <c r="H234" t="n">
        <v/>
      </c>
      <c r="I234" t="n">
        <v/>
      </c>
      <c r="J234" t="n">
        <v/>
      </c>
      <c r="K234" t="n">
        <v/>
      </c>
      <c r="L234" t="n">
        <v>0</v>
      </c>
      <c r="M234" t="n">
        <v>0</v>
      </c>
    </row>
    <row r="235">
      <c r="A235" s="149" t="n">
        <v>28307</v>
      </c>
      <c r="B235" t="n">
        <v/>
      </c>
      <c r="C235" t="n">
        <v/>
      </c>
      <c r="D235" t="n">
        <v/>
      </c>
      <c r="E235" t="n">
        <v/>
      </c>
      <c r="F235" t="n">
        <v/>
      </c>
      <c r="G235" t="n">
        <v/>
      </c>
      <c r="H235" t="n">
        <v/>
      </c>
      <c r="I235" t="n">
        <v/>
      </c>
      <c r="J235" t="n">
        <v/>
      </c>
      <c r="K235" t="n">
        <v/>
      </c>
      <c r="L235" t="n">
        <v>0</v>
      </c>
      <c r="M235" t="n">
        <v>0</v>
      </c>
    </row>
    <row r="236">
      <c r="A236" s="149" t="n">
        <v>28338</v>
      </c>
      <c r="B236" t="n">
        <v/>
      </c>
      <c r="C236" t="n">
        <v/>
      </c>
      <c r="D236" t="n">
        <v/>
      </c>
      <c r="E236" t="n">
        <v/>
      </c>
      <c r="F236" t="n">
        <v/>
      </c>
      <c r="G236" t="n">
        <v/>
      </c>
      <c r="H236" t="n">
        <v/>
      </c>
      <c r="I236" t="n">
        <v/>
      </c>
      <c r="J236" t="n">
        <v/>
      </c>
      <c r="K236" t="n">
        <v/>
      </c>
      <c r="L236" t="n">
        <v>0</v>
      </c>
      <c r="M236" t="n">
        <v>0</v>
      </c>
    </row>
    <row r="237">
      <c r="A237" s="149" t="n">
        <v>28369</v>
      </c>
      <c r="B237" t="n">
        <v/>
      </c>
      <c r="C237" t="n">
        <v/>
      </c>
      <c r="D237" t="n">
        <v/>
      </c>
      <c r="E237" t="n">
        <v/>
      </c>
      <c r="F237" t="n">
        <v/>
      </c>
      <c r="G237" t="n">
        <v/>
      </c>
      <c r="H237" t="n">
        <v/>
      </c>
      <c r="I237" t="n">
        <v/>
      </c>
      <c r="J237" t="n">
        <v/>
      </c>
      <c r="K237" t="n">
        <v/>
      </c>
      <c r="L237" t="n">
        <v>0</v>
      </c>
      <c r="M237" t="n">
        <v>0</v>
      </c>
    </row>
    <row r="238">
      <c r="A238" s="149" t="n">
        <v>28399</v>
      </c>
      <c r="B238" t="n">
        <v/>
      </c>
      <c r="C238" t="n">
        <v/>
      </c>
      <c r="D238" t="n">
        <v/>
      </c>
      <c r="E238" t="n">
        <v/>
      </c>
      <c r="F238" t="n">
        <v/>
      </c>
      <c r="G238" t="n">
        <v/>
      </c>
      <c r="H238" t="n">
        <v/>
      </c>
      <c r="I238" t="n">
        <v/>
      </c>
      <c r="J238" t="n">
        <v/>
      </c>
      <c r="K238" t="n">
        <v/>
      </c>
      <c r="L238" t="n">
        <v>0</v>
      </c>
      <c r="M238" t="n">
        <v>0</v>
      </c>
    </row>
    <row r="239">
      <c r="A239" s="149" t="n">
        <v>28430</v>
      </c>
      <c r="B239" t="n">
        <v/>
      </c>
      <c r="C239" t="n">
        <v/>
      </c>
      <c r="D239" t="n">
        <v/>
      </c>
      <c r="E239" t="n">
        <v/>
      </c>
      <c r="F239" t="n">
        <v/>
      </c>
      <c r="G239" t="n">
        <v/>
      </c>
      <c r="H239" t="n">
        <v/>
      </c>
      <c r="I239" t="n">
        <v/>
      </c>
      <c r="J239" t="n">
        <v/>
      </c>
      <c r="K239" t="n">
        <v/>
      </c>
      <c r="L239" t="n">
        <v>0</v>
      </c>
      <c r="M239" t="n">
        <v>0</v>
      </c>
    </row>
    <row r="240">
      <c r="A240" s="149" t="n">
        <v>28460</v>
      </c>
      <c r="B240" t="n">
        <v/>
      </c>
      <c r="C240" t="n">
        <v/>
      </c>
      <c r="D240" t="n">
        <v/>
      </c>
      <c r="E240" t="n">
        <v/>
      </c>
      <c r="F240" t="n">
        <v/>
      </c>
      <c r="G240" t="n">
        <v/>
      </c>
      <c r="H240" t="n">
        <v/>
      </c>
      <c r="I240" t="n">
        <v/>
      </c>
      <c r="J240" t="n">
        <v/>
      </c>
      <c r="K240" t="n">
        <v/>
      </c>
      <c r="L240" t="n">
        <v>0</v>
      </c>
      <c r="M240" t="n">
        <v>0</v>
      </c>
    </row>
    <row r="241">
      <c r="A241" s="149" t="n">
        <v>28491</v>
      </c>
      <c r="B241" t="n">
        <v/>
      </c>
      <c r="C241" t="n">
        <v/>
      </c>
      <c r="D241" t="n">
        <v/>
      </c>
      <c r="E241" t="n">
        <v/>
      </c>
      <c r="F241" t="n">
        <v/>
      </c>
      <c r="G241" t="n">
        <v/>
      </c>
      <c r="H241" t="n">
        <v/>
      </c>
      <c r="I241" t="n">
        <v/>
      </c>
      <c r="J241" t="n">
        <v/>
      </c>
      <c r="K241" t="n">
        <v/>
      </c>
      <c r="L241" t="n">
        <v>0</v>
      </c>
      <c r="M241" t="n">
        <v>0</v>
      </c>
    </row>
    <row r="242">
      <c r="A242" s="149" t="n">
        <v>28522</v>
      </c>
      <c r="B242" t="n">
        <v/>
      </c>
      <c r="C242" t="n">
        <v/>
      </c>
      <c r="D242" t="n">
        <v/>
      </c>
      <c r="E242" t="n">
        <v/>
      </c>
      <c r="F242" t="n">
        <v/>
      </c>
      <c r="G242" t="n">
        <v/>
      </c>
      <c r="H242" t="n">
        <v/>
      </c>
      <c r="I242" t="n">
        <v/>
      </c>
      <c r="J242" t="n">
        <v/>
      </c>
      <c r="K242" t="n">
        <v/>
      </c>
      <c r="L242" t="n">
        <v>0</v>
      </c>
      <c r="M242" t="n">
        <v>0</v>
      </c>
    </row>
    <row r="243">
      <c r="A243" s="149" t="n">
        <v>28550</v>
      </c>
      <c r="B243" t="n">
        <v/>
      </c>
      <c r="C243" t="n">
        <v/>
      </c>
      <c r="D243" t="n">
        <v/>
      </c>
      <c r="E243" t="n">
        <v/>
      </c>
      <c r="F243" t="n">
        <v/>
      </c>
      <c r="G243" t="n">
        <v/>
      </c>
      <c r="H243" t="n">
        <v/>
      </c>
      <c r="I243" t="n">
        <v/>
      </c>
      <c r="J243" t="n">
        <v/>
      </c>
      <c r="K243" t="n">
        <v/>
      </c>
      <c r="L243" t="n">
        <v>0</v>
      </c>
      <c r="M243" t="n">
        <v>0</v>
      </c>
    </row>
    <row r="244">
      <c r="A244" s="149" t="n">
        <v>28581</v>
      </c>
      <c r="B244" t="n">
        <v/>
      </c>
      <c r="C244" t="n">
        <v/>
      </c>
      <c r="D244" t="n">
        <v/>
      </c>
      <c r="E244" t="n">
        <v/>
      </c>
      <c r="F244" t="n">
        <v/>
      </c>
      <c r="G244" t="n">
        <v/>
      </c>
      <c r="H244" t="n">
        <v/>
      </c>
      <c r="I244" t="n">
        <v/>
      </c>
      <c r="J244" t="n">
        <v/>
      </c>
      <c r="K244" t="n">
        <v/>
      </c>
      <c r="L244" t="n">
        <v>0</v>
      </c>
      <c r="M244" t="n">
        <v>0</v>
      </c>
    </row>
    <row r="245">
      <c r="A245" s="149" t="n">
        <v>28611</v>
      </c>
      <c r="B245" t="n">
        <v/>
      </c>
      <c r="C245" t="n">
        <v/>
      </c>
      <c r="D245" t="n">
        <v/>
      </c>
      <c r="E245" t="n">
        <v/>
      </c>
      <c r="F245" t="n">
        <v/>
      </c>
      <c r="G245" t="n">
        <v/>
      </c>
      <c r="H245" t="n">
        <v/>
      </c>
      <c r="I245" t="n">
        <v/>
      </c>
      <c r="J245" t="n">
        <v/>
      </c>
      <c r="K245" t="n">
        <v/>
      </c>
      <c r="L245" t="n">
        <v>0</v>
      </c>
      <c r="M245" t="n">
        <v>0</v>
      </c>
    </row>
    <row r="246">
      <c r="A246" s="149" t="n">
        <v>28642</v>
      </c>
      <c r="B246" t="n">
        <v/>
      </c>
      <c r="C246" t="n">
        <v/>
      </c>
      <c r="D246" t="n">
        <v/>
      </c>
      <c r="E246" t="n">
        <v/>
      </c>
      <c r="F246" t="n">
        <v/>
      </c>
      <c r="G246" t="n">
        <v/>
      </c>
      <c r="H246" t="n">
        <v/>
      </c>
      <c r="I246" t="n">
        <v/>
      </c>
      <c r="J246" t="n">
        <v/>
      </c>
      <c r="K246" t="n">
        <v/>
      </c>
      <c r="L246" t="n">
        <v>0</v>
      </c>
      <c r="M246" t="n">
        <v>0</v>
      </c>
    </row>
    <row r="247">
      <c r="A247" s="149" t="n">
        <v>28672</v>
      </c>
      <c r="B247" t="n">
        <v/>
      </c>
      <c r="C247" t="n">
        <v/>
      </c>
      <c r="D247" t="n">
        <v/>
      </c>
      <c r="E247" t="n">
        <v/>
      </c>
      <c r="F247" t="n">
        <v/>
      </c>
      <c r="G247" t="n">
        <v/>
      </c>
      <c r="H247" t="n">
        <v/>
      </c>
      <c r="I247" t="n">
        <v/>
      </c>
      <c r="J247" t="n">
        <v/>
      </c>
      <c r="K247" t="n">
        <v/>
      </c>
      <c r="L247" t="n">
        <v>0</v>
      </c>
      <c r="M247" t="n">
        <v>0</v>
      </c>
    </row>
    <row r="248">
      <c r="A248" s="149" t="n">
        <v>28703</v>
      </c>
      <c r="B248" t="n">
        <v/>
      </c>
      <c r="C248" t="n">
        <v/>
      </c>
      <c r="D248" t="n">
        <v/>
      </c>
      <c r="E248" t="n">
        <v/>
      </c>
      <c r="F248" t="n">
        <v/>
      </c>
      <c r="G248" t="n">
        <v/>
      </c>
      <c r="H248" t="n">
        <v/>
      </c>
      <c r="I248" t="n">
        <v/>
      </c>
      <c r="J248" t="n">
        <v/>
      </c>
      <c r="K248" t="n">
        <v/>
      </c>
      <c r="L248" t="n">
        <v>0</v>
      </c>
      <c r="M248" t="n">
        <v>0</v>
      </c>
    </row>
    <row r="249">
      <c r="A249" s="149" t="n">
        <v>28734</v>
      </c>
      <c r="B249" t="n">
        <v/>
      </c>
      <c r="C249" t="n">
        <v/>
      </c>
      <c r="D249" t="n">
        <v/>
      </c>
      <c r="E249" t="n">
        <v/>
      </c>
      <c r="F249" t="n">
        <v/>
      </c>
      <c r="G249" t="n">
        <v/>
      </c>
      <c r="H249" t="n">
        <v/>
      </c>
      <c r="I249" t="n">
        <v/>
      </c>
      <c r="J249" t="n">
        <v/>
      </c>
      <c r="K249" t="n">
        <v/>
      </c>
      <c r="L249" t="n">
        <v>0</v>
      </c>
      <c r="M249" t="n">
        <v>0</v>
      </c>
    </row>
    <row r="250">
      <c r="A250" s="149" t="n">
        <v>28764</v>
      </c>
      <c r="B250" t="n">
        <v/>
      </c>
      <c r="C250" t="n">
        <v/>
      </c>
      <c r="D250" t="n">
        <v/>
      </c>
      <c r="E250" t="n">
        <v/>
      </c>
      <c r="F250" t="n">
        <v/>
      </c>
      <c r="G250" t="n">
        <v/>
      </c>
      <c r="H250" t="n">
        <v/>
      </c>
      <c r="I250" t="n">
        <v/>
      </c>
      <c r="J250" t="n">
        <v/>
      </c>
      <c r="K250" t="n">
        <v/>
      </c>
      <c r="L250" t="n">
        <v>0</v>
      </c>
      <c r="M250" t="n">
        <v>0</v>
      </c>
    </row>
    <row r="251">
      <c r="A251" s="149" t="n">
        <v>28795</v>
      </c>
      <c r="B251" t="n">
        <v/>
      </c>
      <c r="C251" t="n">
        <v/>
      </c>
      <c r="D251" t="n">
        <v/>
      </c>
      <c r="E251" t="n">
        <v/>
      </c>
      <c r="F251" t="n">
        <v/>
      </c>
      <c r="G251" t="n">
        <v/>
      </c>
      <c r="H251" t="n">
        <v/>
      </c>
      <c r="I251" t="n">
        <v/>
      </c>
      <c r="J251" t="n">
        <v/>
      </c>
      <c r="K251" t="n">
        <v/>
      </c>
      <c r="L251" t="n">
        <v>0</v>
      </c>
      <c r="M251" t="n">
        <v>0</v>
      </c>
    </row>
    <row r="252">
      <c r="A252" s="149" t="n">
        <v>28825</v>
      </c>
      <c r="B252" t="n">
        <v/>
      </c>
      <c r="C252" t="n">
        <v/>
      </c>
      <c r="D252" t="n">
        <v/>
      </c>
      <c r="E252" t="n">
        <v/>
      </c>
      <c r="F252" t="n">
        <v/>
      </c>
      <c r="G252" t="n">
        <v/>
      </c>
      <c r="H252" t="n">
        <v/>
      </c>
      <c r="I252" t="n">
        <v/>
      </c>
      <c r="J252" t="n">
        <v/>
      </c>
      <c r="K252" t="n">
        <v/>
      </c>
      <c r="L252" t="n">
        <v>0</v>
      </c>
      <c r="M252" t="n">
        <v>0</v>
      </c>
    </row>
    <row r="253">
      <c r="A253" s="149" t="n">
        <v>28856</v>
      </c>
      <c r="B253" t="n">
        <v/>
      </c>
      <c r="C253" t="n">
        <v/>
      </c>
      <c r="D253" t="n">
        <v/>
      </c>
      <c r="E253" t="n">
        <v/>
      </c>
      <c r="F253" t="n">
        <v/>
      </c>
      <c r="G253" t="n">
        <v/>
      </c>
      <c r="H253" t="n">
        <v/>
      </c>
      <c r="I253" t="n">
        <v/>
      </c>
      <c r="J253" t="n">
        <v/>
      </c>
      <c r="K253" t="n">
        <v/>
      </c>
      <c r="L253" t="n">
        <v>0</v>
      </c>
      <c r="M253" t="n">
        <v>0</v>
      </c>
    </row>
    <row r="254">
      <c r="A254" s="149" t="n">
        <v>28887</v>
      </c>
      <c r="B254" t="n">
        <v/>
      </c>
      <c r="C254" t="n">
        <v/>
      </c>
      <c r="D254" t="n">
        <v/>
      </c>
      <c r="E254" t="n">
        <v/>
      </c>
      <c r="F254" t="n">
        <v/>
      </c>
      <c r="G254" t="n">
        <v/>
      </c>
      <c r="H254" t="n">
        <v/>
      </c>
      <c r="I254" t="n">
        <v/>
      </c>
      <c r="J254" t="n">
        <v/>
      </c>
      <c r="K254" t="n">
        <v/>
      </c>
      <c r="L254" t="n">
        <v>0</v>
      </c>
      <c r="M254" t="n">
        <v>0</v>
      </c>
    </row>
    <row r="255">
      <c r="A255" s="149" t="n">
        <v>28915</v>
      </c>
      <c r="B255" t="n">
        <v/>
      </c>
      <c r="C255" t="n">
        <v/>
      </c>
      <c r="D255" t="n">
        <v/>
      </c>
      <c r="E255" t="n">
        <v/>
      </c>
      <c r="F255" t="n">
        <v/>
      </c>
      <c r="G255" t="n">
        <v/>
      </c>
      <c r="H255" t="n">
        <v/>
      </c>
      <c r="I255" t="n">
        <v/>
      </c>
      <c r="J255" t="n">
        <v/>
      </c>
      <c r="K255" t="n">
        <v/>
      </c>
      <c r="L255" t="n">
        <v>0</v>
      </c>
      <c r="M255" t="n">
        <v>0</v>
      </c>
    </row>
    <row r="256">
      <c r="A256" s="149" t="n">
        <v>28946</v>
      </c>
      <c r="B256" t="n">
        <v/>
      </c>
      <c r="C256" t="n">
        <v/>
      </c>
      <c r="D256" t="n">
        <v/>
      </c>
      <c r="E256" t="n">
        <v/>
      </c>
      <c r="F256" t="n">
        <v/>
      </c>
      <c r="G256" t="n">
        <v/>
      </c>
      <c r="H256" t="n">
        <v/>
      </c>
      <c r="I256" t="n">
        <v/>
      </c>
      <c r="J256" t="n">
        <v/>
      </c>
      <c r="K256" t="n">
        <v/>
      </c>
      <c r="L256" t="n">
        <v>0</v>
      </c>
      <c r="M256" t="n">
        <v>0</v>
      </c>
    </row>
    <row r="257">
      <c r="A257" s="149" t="n">
        <v>28976</v>
      </c>
      <c r="B257" t="n">
        <v/>
      </c>
      <c r="C257" t="n">
        <v/>
      </c>
      <c r="D257" t="n">
        <v/>
      </c>
      <c r="E257" t="n">
        <v/>
      </c>
      <c r="F257" t="n">
        <v/>
      </c>
      <c r="G257" t="n">
        <v/>
      </c>
      <c r="H257" t="n">
        <v/>
      </c>
      <c r="I257" t="n">
        <v/>
      </c>
      <c r="J257" t="n">
        <v/>
      </c>
      <c r="K257" t="n">
        <v/>
      </c>
      <c r="L257" t="n">
        <v>0</v>
      </c>
      <c r="M257" t="n">
        <v>0</v>
      </c>
    </row>
    <row r="258">
      <c r="A258" s="149" t="n">
        <v>29007</v>
      </c>
      <c r="B258" t="n">
        <v/>
      </c>
      <c r="C258" t="n">
        <v/>
      </c>
      <c r="D258" t="n">
        <v/>
      </c>
      <c r="E258" t="n">
        <v/>
      </c>
      <c r="F258" t="n">
        <v/>
      </c>
      <c r="G258" t="n">
        <v/>
      </c>
      <c r="H258" t="n">
        <v/>
      </c>
      <c r="I258" t="n">
        <v/>
      </c>
      <c r="J258" t="n">
        <v/>
      </c>
      <c r="K258" t="n">
        <v/>
      </c>
      <c r="L258" t="n">
        <v>0</v>
      </c>
      <c r="M258" t="n">
        <v>0</v>
      </c>
    </row>
    <row r="259">
      <c r="A259" s="149" t="n">
        <v>29037</v>
      </c>
      <c r="B259" t="n">
        <v/>
      </c>
      <c r="C259" t="n">
        <v/>
      </c>
      <c r="D259" t="n">
        <v/>
      </c>
      <c r="E259" t="n">
        <v/>
      </c>
      <c r="F259" t="n">
        <v/>
      </c>
      <c r="G259" t="n">
        <v/>
      </c>
      <c r="H259" t="n">
        <v/>
      </c>
      <c r="I259" t="n">
        <v/>
      </c>
      <c r="J259" t="n">
        <v/>
      </c>
      <c r="K259" t="n">
        <v/>
      </c>
      <c r="L259" t="n">
        <v>0</v>
      </c>
      <c r="M259" t="n">
        <v>0</v>
      </c>
    </row>
    <row r="260">
      <c r="A260" s="149" t="n">
        <v>29068</v>
      </c>
      <c r="B260" t="n">
        <v/>
      </c>
      <c r="C260" t="n">
        <v/>
      </c>
      <c r="D260" t="n">
        <v/>
      </c>
      <c r="E260" t="n">
        <v/>
      </c>
      <c r="F260" t="n">
        <v/>
      </c>
      <c r="G260" t="n">
        <v/>
      </c>
      <c r="H260" t="n">
        <v/>
      </c>
      <c r="I260" t="n">
        <v/>
      </c>
      <c r="J260" t="n">
        <v/>
      </c>
      <c r="K260" t="n">
        <v/>
      </c>
      <c r="L260" t="n">
        <v>0</v>
      </c>
      <c r="M260" t="n">
        <v>0</v>
      </c>
    </row>
    <row r="261">
      <c r="A261" s="149" t="n">
        <v>29099</v>
      </c>
      <c r="B261" t="n">
        <v/>
      </c>
      <c r="C261" t="n">
        <v/>
      </c>
      <c r="D261" t="n">
        <v/>
      </c>
      <c r="E261" t="n">
        <v/>
      </c>
      <c r="F261" t="n">
        <v/>
      </c>
      <c r="G261" t="n">
        <v/>
      </c>
      <c r="H261" t="n">
        <v/>
      </c>
      <c r="I261" t="n">
        <v/>
      </c>
      <c r="J261" t="n">
        <v/>
      </c>
      <c r="K261" t="n">
        <v/>
      </c>
      <c r="L261" t="n">
        <v>0</v>
      </c>
      <c r="M261" t="n">
        <v>0</v>
      </c>
    </row>
    <row r="262">
      <c r="A262" s="149" t="n">
        <v>29129</v>
      </c>
      <c r="B262" t="n">
        <v/>
      </c>
      <c r="C262" t="n">
        <v/>
      </c>
      <c r="D262" t="n">
        <v/>
      </c>
      <c r="E262" t="n">
        <v/>
      </c>
      <c r="F262" t="n">
        <v/>
      </c>
      <c r="G262" t="n">
        <v/>
      </c>
      <c r="H262" t="n">
        <v/>
      </c>
      <c r="I262" t="n">
        <v/>
      </c>
      <c r="J262" t="n">
        <v/>
      </c>
      <c r="K262" t="n">
        <v/>
      </c>
      <c r="L262" t="n">
        <v>0</v>
      </c>
      <c r="M262" t="n">
        <v>0</v>
      </c>
    </row>
    <row r="263">
      <c r="A263" s="149" t="n">
        <v>29160</v>
      </c>
      <c r="B263" t="n">
        <v/>
      </c>
      <c r="C263" t="n">
        <v/>
      </c>
      <c r="D263" t="n">
        <v/>
      </c>
      <c r="E263" t="n">
        <v/>
      </c>
      <c r="F263" t="n">
        <v/>
      </c>
      <c r="G263" t="n">
        <v/>
      </c>
      <c r="H263" t="n">
        <v/>
      </c>
      <c r="I263" t="n">
        <v/>
      </c>
      <c r="J263" t="n">
        <v/>
      </c>
      <c r="K263" t="n">
        <v/>
      </c>
      <c r="L263" t="n">
        <v>0</v>
      </c>
      <c r="M263" t="n">
        <v>0</v>
      </c>
    </row>
    <row r="264">
      <c r="A264" s="149" t="n">
        <v>29190</v>
      </c>
      <c r="B264" t="n">
        <v/>
      </c>
      <c r="C264" t="n">
        <v/>
      </c>
      <c r="D264" t="n">
        <v/>
      </c>
      <c r="E264" t="n">
        <v/>
      </c>
      <c r="F264" t="n">
        <v/>
      </c>
      <c r="G264" t="n">
        <v/>
      </c>
      <c r="H264" t="n">
        <v/>
      </c>
      <c r="I264" t="n">
        <v/>
      </c>
      <c r="J264" t="n">
        <v/>
      </c>
      <c r="K264" t="n">
        <v/>
      </c>
      <c r="L264" t="n">
        <v>0</v>
      </c>
      <c r="M264" t="n">
        <v>0</v>
      </c>
    </row>
    <row r="265">
      <c r="A265" s="149" t="n">
        <v>29221</v>
      </c>
      <c r="B265" t="n">
        <v/>
      </c>
      <c r="C265" t="n">
        <v/>
      </c>
      <c r="D265" t="n">
        <v/>
      </c>
      <c r="E265" t="n">
        <v/>
      </c>
      <c r="F265" t="n">
        <v/>
      </c>
      <c r="G265" t="n">
        <v/>
      </c>
      <c r="H265" t="n">
        <v/>
      </c>
      <c r="I265" t="n">
        <v/>
      </c>
      <c r="J265" t="n">
        <v/>
      </c>
      <c r="K265" t="n">
        <v/>
      </c>
      <c r="L265" t="n">
        <v>0</v>
      </c>
      <c r="M265" t="n">
        <v>0</v>
      </c>
    </row>
    <row r="266">
      <c r="A266" s="149" t="n">
        <v>29252</v>
      </c>
      <c r="B266" t="n">
        <v/>
      </c>
      <c r="C266" t="n">
        <v/>
      </c>
      <c r="D266" t="n">
        <v/>
      </c>
      <c r="E266" t="n">
        <v/>
      </c>
      <c r="F266" t="n">
        <v/>
      </c>
      <c r="G266" t="n">
        <v/>
      </c>
      <c r="H266" t="n">
        <v/>
      </c>
      <c r="I266" t="n">
        <v/>
      </c>
      <c r="J266" t="n">
        <v/>
      </c>
      <c r="K266" t="n">
        <v/>
      </c>
      <c r="L266" t="n">
        <v>0</v>
      </c>
      <c r="M266" t="n">
        <v>0</v>
      </c>
    </row>
    <row r="267">
      <c r="A267" s="149" t="n">
        <v>29281</v>
      </c>
      <c r="B267" t="n">
        <v/>
      </c>
      <c r="C267" t="n">
        <v/>
      </c>
      <c r="D267" t="n">
        <v/>
      </c>
      <c r="E267" t="n">
        <v/>
      </c>
      <c r="F267" t="n">
        <v/>
      </c>
      <c r="G267" t="n">
        <v/>
      </c>
      <c r="H267" t="n">
        <v/>
      </c>
      <c r="I267" t="n">
        <v/>
      </c>
      <c r="J267" t="n">
        <v/>
      </c>
      <c r="K267" t="n">
        <v/>
      </c>
      <c r="L267" t="n">
        <v>0</v>
      </c>
      <c r="M267" t="n">
        <v>0</v>
      </c>
    </row>
    <row r="268">
      <c r="A268" s="149" t="n">
        <v>29312</v>
      </c>
      <c r="B268" t="n">
        <v/>
      </c>
      <c r="C268" t="n">
        <v/>
      </c>
      <c r="D268" t="n">
        <v/>
      </c>
      <c r="E268" t="n">
        <v/>
      </c>
      <c r="F268" t="n">
        <v/>
      </c>
      <c r="G268" t="n">
        <v/>
      </c>
      <c r="H268" t="n">
        <v/>
      </c>
      <c r="I268" t="n">
        <v/>
      </c>
      <c r="J268" t="n">
        <v/>
      </c>
      <c r="K268" t="n">
        <v/>
      </c>
      <c r="L268" t="n">
        <v>0</v>
      </c>
      <c r="M268" t="n">
        <v>0</v>
      </c>
    </row>
    <row r="269">
      <c r="A269" s="149" t="n">
        <v>29342</v>
      </c>
      <c r="B269" t="n">
        <v/>
      </c>
      <c r="C269" t="n">
        <v/>
      </c>
      <c r="D269" t="n">
        <v/>
      </c>
      <c r="E269" t="n">
        <v/>
      </c>
      <c r="F269" t="n">
        <v/>
      </c>
      <c r="G269" t="n">
        <v/>
      </c>
      <c r="H269" t="n">
        <v/>
      </c>
      <c r="I269" t="n">
        <v/>
      </c>
      <c r="J269" t="n">
        <v/>
      </c>
      <c r="K269" t="n">
        <v/>
      </c>
      <c r="L269" t="n">
        <v>0</v>
      </c>
      <c r="M269" t="n">
        <v>0</v>
      </c>
    </row>
    <row r="270">
      <c r="A270" s="149" t="n">
        <v>29373</v>
      </c>
      <c r="B270" t="n">
        <v/>
      </c>
      <c r="C270" t="n">
        <v/>
      </c>
      <c r="D270" t="n">
        <v/>
      </c>
      <c r="E270" t="n">
        <v/>
      </c>
      <c r="F270" t="n">
        <v/>
      </c>
      <c r="G270" t="n">
        <v/>
      </c>
      <c r="H270" t="n">
        <v/>
      </c>
      <c r="I270" t="n">
        <v/>
      </c>
      <c r="J270" t="n">
        <v/>
      </c>
      <c r="K270" t="n">
        <v/>
      </c>
      <c r="L270" t="n">
        <v>0</v>
      </c>
      <c r="M270" t="n">
        <v>0</v>
      </c>
    </row>
    <row r="271">
      <c r="A271" s="149" t="n">
        <v>29403</v>
      </c>
      <c r="B271" t="n">
        <v/>
      </c>
      <c r="C271" t="n">
        <v/>
      </c>
      <c r="D271" t="n">
        <v/>
      </c>
      <c r="E271" t="n">
        <v/>
      </c>
      <c r="F271" t="n">
        <v/>
      </c>
      <c r="G271" t="n">
        <v/>
      </c>
      <c r="H271" t="n">
        <v/>
      </c>
      <c r="I271" t="n">
        <v/>
      </c>
      <c r="J271" t="n">
        <v/>
      </c>
      <c r="K271" t="n">
        <v/>
      </c>
      <c r="L271" t="n">
        <v>0</v>
      </c>
      <c r="M271" t="n">
        <v>0</v>
      </c>
    </row>
    <row r="272">
      <c r="A272" s="149" t="n">
        <v>29434</v>
      </c>
      <c r="B272" t="n">
        <v/>
      </c>
      <c r="C272" t="n">
        <v/>
      </c>
      <c r="D272" t="n">
        <v/>
      </c>
      <c r="E272" t="n">
        <v/>
      </c>
      <c r="F272" t="n">
        <v/>
      </c>
      <c r="G272" t="n">
        <v/>
      </c>
      <c r="H272" t="n">
        <v/>
      </c>
      <c r="I272" t="n">
        <v/>
      </c>
      <c r="J272" t="n">
        <v/>
      </c>
      <c r="K272" t="n">
        <v/>
      </c>
      <c r="L272" t="n">
        <v>0</v>
      </c>
      <c r="M272" t="n">
        <v>0</v>
      </c>
    </row>
    <row r="273">
      <c r="A273" s="149" t="n">
        <v>29465</v>
      </c>
      <c r="B273" t="n">
        <v/>
      </c>
      <c r="C273" t="n">
        <v/>
      </c>
      <c r="D273" t="n">
        <v/>
      </c>
      <c r="E273" t="n">
        <v/>
      </c>
      <c r="F273" t="n">
        <v/>
      </c>
      <c r="G273" t="n">
        <v/>
      </c>
      <c r="H273" t="n">
        <v/>
      </c>
      <c r="I273" t="n">
        <v/>
      </c>
      <c r="J273" t="n">
        <v/>
      </c>
      <c r="K273" t="n">
        <v/>
      </c>
      <c r="L273" t="n">
        <v>0</v>
      </c>
      <c r="M273" t="n">
        <v>0</v>
      </c>
    </row>
    <row r="274">
      <c r="A274" s="149" t="n">
        <v>29495</v>
      </c>
      <c r="B274" t="n">
        <v/>
      </c>
      <c r="C274" t="n">
        <v/>
      </c>
      <c r="D274" t="n">
        <v/>
      </c>
      <c r="E274" t="n">
        <v/>
      </c>
      <c r="F274" t="n">
        <v/>
      </c>
      <c r="G274" t="n">
        <v/>
      </c>
      <c r="H274" t="n">
        <v/>
      </c>
      <c r="I274" t="n">
        <v/>
      </c>
      <c r="J274" t="n">
        <v/>
      </c>
      <c r="K274" t="n">
        <v/>
      </c>
      <c r="L274" t="n">
        <v>0</v>
      </c>
      <c r="M274" t="n">
        <v>0</v>
      </c>
    </row>
    <row r="275">
      <c r="A275" s="149" t="n">
        <v>29526</v>
      </c>
      <c r="B275" t="n">
        <v/>
      </c>
      <c r="C275" t="n">
        <v/>
      </c>
      <c r="D275" t="n">
        <v/>
      </c>
      <c r="E275" t="n">
        <v/>
      </c>
      <c r="F275" t="n">
        <v/>
      </c>
      <c r="G275" t="n">
        <v/>
      </c>
      <c r="H275" t="n">
        <v/>
      </c>
      <c r="I275" t="n">
        <v/>
      </c>
      <c r="J275" t="n">
        <v/>
      </c>
      <c r="K275" t="n">
        <v/>
      </c>
      <c r="L275" t="n">
        <v>0</v>
      </c>
      <c r="M275" t="n">
        <v>0</v>
      </c>
    </row>
    <row r="276">
      <c r="A276" s="149" t="n">
        <v>29556</v>
      </c>
      <c r="B276" t="n">
        <v/>
      </c>
      <c r="C276" t="n">
        <v/>
      </c>
      <c r="D276" t="n">
        <v/>
      </c>
      <c r="E276" t="n">
        <v/>
      </c>
      <c r="F276" t="n">
        <v/>
      </c>
      <c r="G276" t="n">
        <v/>
      </c>
      <c r="H276" t="n">
        <v/>
      </c>
      <c r="I276" t="n">
        <v/>
      </c>
      <c r="J276" t="n">
        <v/>
      </c>
      <c r="K276" t="n">
        <v/>
      </c>
      <c r="L276" t="n">
        <v>0</v>
      </c>
      <c r="M276" t="n">
        <v>0</v>
      </c>
    </row>
    <row r="277">
      <c r="A277" s="149" t="n">
        <v>29587</v>
      </c>
      <c r="B277" t="n">
        <v/>
      </c>
      <c r="C277" t="n">
        <v/>
      </c>
      <c r="D277" t="n">
        <v/>
      </c>
      <c r="E277" t="n">
        <v/>
      </c>
      <c r="F277" t="n">
        <v/>
      </c>
      <c r="G277" t="n">
        <v/>
      </c>
      <c r="H277" t="n">
        <v/>
      </c>
      <c r="I277" t="n">
        <v/>
      </c>
      <c r="J277" t="n">
        <v/>
      </c>
      <c r="K277" t="n">
        <v/>
      </c>
      <c r="L277" t="n">
        <v>0</v>
      </c>
      <c r="M277" t="n">
        <v>0</v>
      </c>
    </row>
    <row r="278">
      <c r="A278" s="149" t="n">
        <v>29618</v>
      </c>
      <c r="B278" t="n">
        <v/>
      </c>
      <c r="C278" t="n">
        <v/>
      </c>
      <c r="D278" t="n">
        <v/>
      </c>
      <c r="E278" t="n">
        <v/>
      </c>
      <c r="F278" t="n">
        <v/>
      </c>
      <c r="G278" t="n">
        <v/>
      </c>
      <c r="H278" t="n">
        <v/>
      </c>
      <c r="I278" t="n">
        <v/>
      </c>
      <c r="J278" t="n">
        <v/>
      </c>
      <c r="K278" t="n">
        <v/>
      </c>
      <c r="L278" t="n">
        <v>0</v>
      </c>
      <c r="M278" t="n">
        <v>0</v>
      </c>
    </row>
    <row r="279">
      <c r="A279" s="149" t="n">
        <v>29646</v>
      </c>
      <c r="B279" t="n">
        <v/>
      </c>
      <c r="C279" t="n">
        <v/>
      </c>
      <c r="D279" t="n">
        <v/>
      </c>
      <c r="E279" t="n">
        <v/>
      </c>
      <c r="F279" t="n">
        <v/>
      </c>
      <c r="G279" t="n">
        <v/>
      </c>
      <c r="H279" t="n">
        <v/>
      </c>
      <c r="I279" t="n">
        <v/>
      </c>
      <c r="J279" t="n">
        <v/>
      </c>
      <c r="K279" t="n">
        <v/>
      </c>
      <c r="L279" t="n">
        <v>0</v>
      </c>
      <c r="M279" t="n">
        <v>0</v>
      </c>
    </row>
    <row r="280">
      <c r="A280" s="149" t="n">
        <v>29677</v>
      </c>
      <c r="B280" t="n">
        <v/>
      </c>
      <c r="C280" t="n">
        <v/>
      </c>
      <c r="D280" t="n">
        <v/>
      </c>
      <c r="E280" t="n">
        <v/>
      </c>
      <c r="F280" t="n">
        <v/>
      </c>
      <c r="G280" t="n">
        <v/>
      </c>
      <c r="H280" t="n">
        <v/>
      </c>
      <c r="I280" t="n">
        <v/>
      </c>
      <c r="J280" t="n">
        <v/>
      </c>
      <c r="K280" t="n">
        <v/>
      </c>
      <c r="L280" t="n">
        <v>0</v>
      </c>
      <c r="M280" t="n">
        <v>0</v>
      </c>
    </row>
    <row r="281">
      <c r="A281" s="149" t="n">
        <v>29707</v>
      </c>
      <c r="B281" t="n">
        <v/>
      </c>
      <c r="C281" t="n">
        <v/>
      </c>
      <c r="D281" t="n">
        <v/>
      </c>
      <c r="E281" t="n">
        <v/>
      </c>
      <c r="F281" t="n">
        <v/>
      </c>
      <c r="G281" t="n">
        <v/>
      </c>
      <c r="H281" t="n">
        <v/>
      </c>
      <c r="I281" t="n">
        <v/>
      </c>
      <c r="J281" t="n">
        <v/>
      </c>
      <c r="K281" t="n">
        <v/>
      </c>
      <c r="L281" t="n">
        <v>0</v>
      </c>
      <c r="M281" t="n">
        <v>0</v>
      </c>
    </row>
    <row r="282">
      <c r="A282" s="149" t="n">
        <v>29738</v>
      </c>
      <c r="B282" t="n">
        <v/>
      </c>
      <c r="C282" t="n">
        <v/>
      </c>
      <c r="D282" t="n">
        <v/>
      </c>
      <c r="E282" t="n">
        <v/>
      </c>
      <c r="F282" t="n">
        <v/>
      </c>
      <c r="G282" t="n">
        <v/>
      </c>
      <c r="H282" t="n">
        <v/>
      </c>
      <c r="I282" t="n">
        <v/>
      </c>
      <c r="J282" t="n">
        <v/>
      </c>
      <c r="K282" t="n">
        <v/>
      </c>
      <c r="L282" t="n">
        <v>0</v>
      </c>
      <c r="M282" t="n">
        <v>0</v>
      </c>
    </row>
    <row r="283">
      <c r="A283" s="149" t="n">
        <v>29768</v>
      </c>
      <c r="B283" t="n">
        <v/>
      </c>
      <c r="C283" t="n">
        <v/>
      </c>
      <c r="D283" t="n">
        <v/>
      </c>
      <c r="E283" t="n">
        <v/>
      </c>
      <c r="F283" t="n">
        <v/>
      </c>
      <c r="G283" t="n">
        <v/>
      </c>
      <c r="H283" t="n">
        <v/>
      </c>
      <c r="I283" t="n">
        <v/>
      </c>
      <c r="J283" t="n">
        <v/>
      </c>
      <c r="K283" t="n">
        <v/>
      </c>
      <c r="L283" t="n">
        <v>0</v>
      </c>
      <c r="M283" t="n">
        <v>0</v>
      </c>
    </row>
    <row r="284">
      <c r="A284" s="149" t="n">
        <v>29799</v>
      </c>
      <c r="B284" t="n">
        <v/>
      </c>
      <c r="C284" t="n">
        <v/>
      </c>
      <c r="D284" t="n">
        <v/>
      </c>
      <c r="E284" t="n">
        <v/>
      </c>
      <c r="F284" t="n">
        <v/>
      </c>
      <c r="G284" t="n">
        <v/>
      </c>
      <c r="H284" t="n">
        <v/>
      </c>
      <c r="I284" t="n">
        <v/>
      </c>
      <c r="J284" t="n">
        <v/>
      </c>
      <c r="K284" t="n">
        <v/>
      </c>
      <c r="L284" t="n">
        <v>0</v>
      </c>
      <c r="M284" t="n">
        <v>0</v>
      </c>
    </row>
    <row r="285">
      <c r="A285" s="149" t="n">
        <v>29830</v>
      </c>
      <c r="B285" t="n">
        <v/>
      </c>
      <c r="C285" t="n">
        <v/>
      </c>
      <c r="D285" t="n">
        <v/>
      </c>
      <c r="E285" t="n">
        <v/>
      </c>
      <c r="F285" t="n">
        <v/>
      </c>
      <c r="G285" t="n">
        <v/>
      </c>
      <c r="H285" t="n">
        <v/>
      </c>
      <c r="I285" t="n">
        <v/>
      </c>
      <c r="J285" t="n">
        <v/>
      </c>
      <c r="K285" t="n">
        <v/>
      </c>
      <c r="L285" t="n">
        <v>0</v>
      </c>
      <c r="M285" t="n">
        <v>0</v>
      </c>
    </row>
    <row r="286">
      <c r="A286" s="149" t="n">
        <v>29860</v>
      </c>
      <c r="B286" t="n">
        <v/>
      </c>
      <c r="C286" t="n">
        <v/>
      </c>
      <c r="D286" t="n">
        <v/>
      </c>
      <c r="E286" t="n">
        <v/>
      </c>
      <c r="F286" t="n">
        <v/>
      </c>
      <c r="G286" t="n">
        <v/>
      </c>
      <c r="H286" t="n">
        <v/>
      </c>
      <c r="I286" t="n">
        <v/>
      </c>
      <c r="J286" t="n">
        <v/>
      </c>
      <c r="K286" t="n">
        <v/>
      </c>
      <c r="L286" t="n">
        <v>0</v>
      </c>
      <c r="M286" t="n">
        <v>0</v>
      </c>
    </row>
    <row r="287">
      <c r="A287" s="149" t="n">
        <v>29891</v>
      </c>
      <c r="B287" t="n">
        <v/>
      </c>
      <c r="C287" t="n">
        <v/>
      </c>
      <c r="D287" t="n">
        <v/>
      </c>
      <c r="E287" t="n">
        <v/>
      </c>
      <c r="F287" t="n">
        <v/>
      </c>
      <c r="G287" t="n">
        <v/>
      </c>
      <c r="H287" t="n">
        <v/>
      </c>
      <c r="I287" t="n">
        <v/>
      </c>
      <c r="J287" t="n">
        <v/>
      </c>
      <c r="K287" t="n">
        <v/>
      </c>
      <c r="L287" t="n">
        <v>0</v>
      </c>
      <c r="M287" t="n">
        <v>0</v>
      </c>
    </row>
    <row r="288">
      <c r="A288" s="149" t="n">
        <v>29921</v>
      </c>
      <c r="B288" t="n">
        <v/>
      </c>
      <c r="C288" t="n">
        <v/>
      </c>
      <c r="D288" t="n">
        <v/>
      </c>
      <c r="E288" t="n">
        <v/>
      </c>
      <c r="F288" t="n">
        <v/>
      </c>
      <c r="G288" t="n">
        <v/>
      </c>
      <c r="H288" t="n">
        <v/>
      </c>
      <c r="I288" t="n">
        <v/>
      </c>
      <c r="J288" t="n">
        <v/>
      </c>
      <c r="K288" t="n">
        <v/>
      </c>
      <c r="L288" t="n">
        <v>0</v>
      </c>
      <c r="M288" t="n">
        <v>0</v>
      </c>
    </row>
    <row r="289">
      <c r="A289" s="149" t="n">
        <v>29952</v>
      </c>
      <c r="B289" t="n">
        <v/>
      </c>
      <c r="C289" t="n">
        <v/>
      </c>
      <c r="D289" t="n">
        <v/>
      </c>
      <c r="E289" t="n">
        <v/>
      </c>
      <c r="F289" t="n">
        <v/>
      </c>
      <c r="G289" t="n">
        <v/>
      </c>
      <c r="H289" t="n">
        <v/>
      </c>
      <c r="I289" t="n">
        <v/>
      </c>
      <c r="J289" t="n">
        <v/>
      </c>
      <c r="K289" t="n">
        <v/>
      </c>
      <c r="L289" t="n">
        <v>0</v>
      </c>
      <c r="M289" t="n">
        <v>0</v>
      </c>
    </row>
    <row r="290">
      <c r="A290" s="149" t="n">
        <v>29983</v>
      </c>
      <c r="B290" t="n">
        <v/>
      </c>
      <c r="C290" t="n">
        <v/>
      </c>
      <c r="D290" t="n">
        <v/>
      </c>
      <c r="E290" t="n">
        <v/>
      </c>
      <c r="F290" t="n">
        <v/>
      </c>
      <c r="G290" t="n">
        <v/>
      </c>
      <c r="H290" t="n">
        <v/>
      </c>
      <c r="I290" t="n">
        <v/>
      </c>
      <c r="J290" t="n">
        <v/>
      </c>
      <c r="K290" t="n">
        <v/>
      </c>
      <c r="L290" t="n">
        <v>0</v>
      </c>
      <c r="M290" t="n">
        <v>0</v>
      </c>
    </row>
    <row r="291">
      <c r="A291" s="149" t="n">
        <v>30011</v>
      </c>
      <c r="B291" t="n">
        <v/>
      </c>
      <c r="C291" t="n">
        <v/>
      </c>
      <c r="D291" t="n">
        <v/>
      </c>
      <c r="E291" t="n">
        <v/>
      </c>
      <c r="F291" t="n">
        <v/>
      </c>
      <c r="G291" t="n">
        <v/>
      </c>
      <c r="H291" t="n">
        <v/>
      </c>
      <c r="I291" t="n">
        <v/>
      </c>
      <c r="J291" t="n">
        <v/>
      </c>
      <c r="K291" t="n">
        <v/>
      </c>
      <c r="L291" t="n">
        <v>0</v>
      </c>
      <c r="M291" t="n">
        <v>0</v>
      </c>
    </row>
    <row r="292">
      <c r="A292" s="149" t="n">
        <v>30042</v>
      </c>
      <c r="B292" t="n">
        <v/>
      </c>
      <c r="C292" t="n">
        <v/>
      </c>
      <c r="D292" t="n">
        <v/>
      </c>
      <c r="E292" t="n">
        <v/>
      </c>
      <c r="F292" t="n">
        <v/>
      </c>
      <c r="G292" t="n">
        <v/>
      </c>
      <c r="H292" t="n">
        <v/>
      </c>
      <c r="I292" t="n">
        <v/>
      </c>
      <c r="J292" t="n">
        <v/>
      </c>
      <c r="K292" t="n">
        <v/>
      </c>
      <c r="L292" t="n">
        <v>0</v>
      </c>
      <c r="M292" t="n">
        <v>0</v>
      </c>
    </row>
    <row r="293">
      <c r="A293" s="149" t="n">
        <v>30072</v>
      </c>
      <c r="B293" t="n">
        <v/>
      </c>
      <c r="C293" t="n">
        <v/>
      </c>
      <c r="D293" t="n">
        <v/>
      </c>
      <c r="E293" t="n">
        <v/>
      </c>
      <c r="F293" t="n">
        <v/>
      </c>
      <c r="G293" t="n">
        <v/>
      </c>
      <c r="H293" t="n">
        <v/>
      </c>
      <c r="I293" t="n">
        <v/>
      </c>
      <c r="J293" t="n">
        <v/>
      </c>
      <c r="K293" t="n">
        <v/>
      </c>
      <c r="L293" t="n">
        <v>0</v>
      </c>
      <c r="M293" t="n">
        <v>0</v>
      </c>
    </row>
    <row r="294">
      <c r="A294" s="149" t="n">
        <v>30103</v>
      </c>
      <c r="B294" t="n">
        <v/>
      </c>
      <c r="C294" t="n">
        <v/>
      </c>
      <c r="D294" t="n">
        <v/>
      </c>
      <c r="E294" t="n">
        <v/>
      </c>
      <c r="F294" t="n">
        <v/>
      </c>
      <c r="G294" t="n">
        <v/>
      </c>
      <c r="H294" t="n">
        <v/>
      </c>
      <c r="I294" t="n">
        <v/>
      </c>
      <c r="J294" t="n">
        <v/>
      </c>
      <c r="K294" t="n">
        <v/>
      </c>
      <c r="L294" t="n">
        <v>0</v>
      </c>
      <c r="M294" t="n">
        <v>0</v>
      </c>
    </row>
    <row r="295">
      <c r="A295" s="149" t="n">
        <v>30133</v>
      </c>
      <c r="B295" t="n">
        <v/>
      </c>
      <c r="C295" t="n">
        <v/>
      </c>
      <c r="D295" t="n">
        <v/>
      </c>
      <c r="E295" t="n">
        <v/>
      </c>
      <c r="F295" t="n">
        <v/>
      </c>
      <c r="G295" t="n">
        <v/>
      </c>
      <c r="H295" t="n">
        <v/>
      </c>
      <c r="I295" t="n">
        <v/>
      </c>
      <c r="J295" t="n">
        <v/>
      </c>
      <c r="K295" t="n">
        <v/>
      </c>
      <c r="L295" t="n">
        <v>0</v>
      </c>
      <c r="M295" t="n">
        <v>0</v>
      </c>
    </row>
    <row r="296">
      <c r="A296" s="149" t="n">
        <v>30164</v>
      </c>
      <c r="B296" t="n">
        <v/>
      </c>
      <c r="C296" t="n">
        <v/>
      </c>
      <c r="D296" t="n">
        <v/>
      </c>
      <c r="E296" t="n">
        <v/>
      </c>
      <c r="F296" t="n">
        <v/>
      </c>
      <c r="G296" t="n">
        <v/>
      </c>
      <c r="H296" t="n">
        <v/>
      </c>
      <c r="I296" t="n">
        <v/>
      </c>
      <c r="J296" t="n">
        <v/>
      </c>
      <c r="K296" t="n">
        <v/>
      </c>
      <c r="L296" t="n">
        <v>0</v>
      </c>
      <c r="M296" t="n">
        <v>0</v>
      </c>
    </row>
    <row r="297">
      <c r="A297" s="149" t="n">
        <v>30195</v>
      </c>
      <c r="B297" t="n">
        <v/>
      </c>
      <c r="C297" t="n">
        <v/>
      </c>
      <c r="D297" t="n">
        <v/>
      </c>
      <c r="E297" t="n">
        <v/>
      </c>
      <c r="F297" t="n">
        <v/>
      </c>
      <c r="G297" t="n">
        <v/>
      </c>
      <c r="H297" t="n">
        <v/>
      </c>
      <c r="I297" t="n">
        <v/>
      </c>
      <c r="J297" t="n">
        <v/>
      </c>
      <c r="K297" t="n">
        <v/>
      </c>
      <c r="L297" t="n">
        <v>0</v>
      </c>
      <c r="M297" t="n">
        <v>0</v>
      </c>
    </row>
    <row r="298">
      <c r="A298" s="149" t="n">
        <v>30225</v>
      </c>
      <c r="B298" t="n">
        <v/>
      </c>
      <c r="C298" t="n">
        <v/>
      </c>
      <c r="D298" t="n">
        <v/>
      </c>
      <c r="E298" t="n">
        <v/>
      </c>
      <c r="F298" t="n">
        <v/>
      </c>
      <c r="G298" t="n">
        <v/>
      </c>
      <c r="H298" t="n">
        <v/>
      </c>
      <c r="I298" t="n">
        <v/>
      </c>
      <c r="J298" t="n">
        <v/>
      </c>
      <c r="K298" t="n">
        <v/>
      </c>
      <c r="L298" t="n">
        <v>0</v>
      </c>
      <c r="M298" t="n">
        <v>0</v>
      </c>
    </row>
    <row r="299">
      <c r="A299" s="149" t="n">
        <v>30256</v>
      </c>
      <c r="B299" t="n">
        <v/>
      </c>
      <c r="C299" t="n">
        <v/>
      </c>
      <c r="D299" t="n">
        <v/>
      </c>
      <c r="E299" t="n">
        <v/>
      </c>
      <c r="F299" t="n">
        <v/>
      </c>
      <c r="G299" t="n">
        <v/>
      </c>
      <c r="H299" t="n">
        <v/>
      </c>
      <c r="I299" t="n">
        <v/>
      </c>
      <c r="J299" t="n">
        <v/>
      </c>
      <c r="K299" t="n">
        <v/>
      </c>
      <c r="L299" t="n">
        <v>0</v>
      </c>
      <c r="M299" t="n">
        <v>0</v>
      </c>
    </row>
    <row r="300">
      <c r="A300" s="149" t="n">
        <v>30286</v>
      </c>
      <c r="B300" t="n">
        <v/>
      </c>
      <c r="C300" t="n">
        <v/>
      </c>
      <c r="D300" t="n">
        <v/>
      </c>
      <c r="E300" t="n">
        <v/>
      </c>
      <c r="F300" t="n">
        <v/>
      </c>
      <c r="G300" t="n">
        <v/>
      </c>
      <c r="H300" t="n">
        <v/>
      </c>
      <c r="I300" t="n">
        <v/>
      </c>
      <c r="J300" t="n">
        <v/>
      </c>
      <c r="K300" t="n">
        <v/>
      </c>
      <c r="L300" t="n">
        <v>0</v>
      </c>
      <c r="M300" t="n">
        <v>0</v>
      </c>
    </row>
    <row r="301">
      <c r="A301" s="149" t="n">
        <v>30317</v>
      </c>
      <c r="B301" t="n">
        <v/>
      </c>
      <c r="C301" t="n">
        <v/>
      </c>
      <c r="D301" t="n">
        <v/>
      </c>
      <c r="E301" t="n">
        <v/>
      </c>
      <c r="F301" t="n">
        <v/>
      </c>
      <c r="G301" t="n">
        <v/>
      </c>
      <c r="H301" t="n">
        <v/>
      </c>
      <c r="I301" t="n">
        <v/>
      </c>
      <c r="J301" t="n">
        <v/>
      </c>
      <c r="K301" t="n">
        <v/>
      </c>
      <c r="L301" t="n">
        <v>0</v>
      </c>
      <c r="M301" t="n">
        <v>0</v>
      </c>
    </row>
    <row r="302">
      <c r="A302" s="149" t="n">
        <v>30348</v>
      </c>
      <c r="B302" t="n">
        <v/>
      </c>
      <c r="C302" t="n">
        <v/>
      </c>
      <c r="D302" t="n">
        <v/>
      </c>
      <c r="E302" t="n">
        <v/>
      </c>
      <c r="F302" t="n">
        <v/>
      </c>
      <c r="G302" t="n">
        <v/>
      </c>
      <c r="H302" t="n">
        <v/>
      </c>
      <c r="I302" t="n">
        <v/>
      </c>
      <c r="J302" t="n">
        <v/>
      </c>
      <c r="K302" t="n">
        <v/>
      </c>
      <c r="L302" t="n">
        <v>0</v>
      </c>
      <c r="M302" t="n">
        <v>0</v>
      </c>
    </row>
    <row r="303">
      <c r="A303" s="149" t="n">
        <v>30376</v>
      </c>
      <c r="B303" t="n">
        <v/>
      </c>
      <c r="C303" t="n">
        <v/>
      </c>
      <c r="D303" t="n">
        <v/>
      </c>
      <c r="E303" t="n">
        <v/>
      </c>
      <c r="F303" t="n">
        <v/>
      </c>
      <c r="G303" t="n">
        <v/>
      </c>
      <c r="H303" t="n">
        <v/>
      </c>
      <c r="I303" t="n">
        <v/>
      </c>
      <c r="J303" t="n">
        <v/>
      </c>
      <c r="K303" t="n">
        <v/>
      </c>
      <c r="L303" t="n">
        <v>0</v>
      </c>
      <c r="M303" t="n">
        <v>0</v>
      </c>
    </row>
    <row r="304">
      <c r="A304" s="149" t="n">
        <v>30407</v>
      </c>
      <c r="B304" t="n">
        <v/>
      </c>
      <c r="C304" t="n">
        <v/>
      </c>
      <c r="D304" t="n">
        <v/>
      </c>
      <c r="E304" t="n">
        <v/>
      </c>
      <c r="F304" t="n">
        <v/>
      </c>
      <c r="G304" t="n">
        <v/>
      </c>
      <c r="H304" t="n">
        <v/>
      </c>
      <c r="I304" t="n">
        <v/>
      </c>
      <c r="J304" t="n">
        <v/>
      </c>
      <c r="K304" t="n">
        <v/>
      </c>
      <c r="L304" t="n">
        <v>0</v>
      </c>
      <c r="M304" t="n">
        <v>0</v>
      </c>
    </row>
    <row r="305">
      <c r="A305" s="149" t="n">
        <v>30437</v>
      </c>
      <c r="B305" t="n">
        <v/>
      </c>
      <c r="C305" t="n">
        <v/>
      </c>
      <c r="D305" t="n">
        <v/>
      </c>
      <c r="E305" t="n">
        <v/>
      </c>
      <c r="F305" t="n">
        <v/>
      </c>
      <c r="G305" t="n">
        <v/>
      </c>
      <c r="H305" t="n">
        <v/>
      </c>
      <c r="I305" t="n">
        <v/>
      </c>
      <c r="J305" t="n">
        <v/>
      </c>
      <c r="K305" t="n">
        <v/>
      </c>
      <c r="L305" t="n">
        <v>0</v>
      </c>
      <c r="M305" t="n">
        <v>0</v>
      </c>
    </row>
    <row r="306">
      <c r="A306" s="149" t="n">
        <v>30468</v>
      </c>
      <c r="B306" t="n">
        <v/>
      </c>
      <c r="C306" t="n">
        <v/>
      </c>
      <c r="D306" t="n">
        <v/>
      </c>
      <c r="E306" t="n">
        <v/>
      </c>
      <c r="F306" t="n">
        <v/>
      </c>
      <c r="G306" t="n">
        <v/>
      </c>
      <c r="H306" t="n">
        <v/>
      </c>
      <c r="I306" t="n">
        <v/>
      </c>
      <c r="J306" t="n">
        <v/>
      </c>
      <c r="K306" t="n">
        <v/>
      </c>
      <c r="L306" t="n">
        <v>0</v>
      </c>
      <c r="M306" t="n">
        <v>0</v>
      </c>
    </row>
    <row r="307">
      <c r="A307" s="149" t="n">
        <v>30498</v>
      </c>
      <c r="B307" t="n">
        <v/>
      </c>
      <c r="C307" t="n">
        <v/>
      </c>
      <c r="D307" t="n">
        <v/>
      </c>
      <c r="E307" t="n">
        <v/>
      </c>
      <c r="F307" t="n">
        <v/>
      </c>
      <c r="G307" t="n">
        <v/>
      </c>
      <c r="H307" t="n">
        <v/>
      </c>
      <c r="I307" t="n">
        <v/>
      </c>
      <c r="J307" t="n">
        <v/>
      </c>
      <c r="K307" t="n">
        <v/>
      </c>
      <c r="L307" t="n">
        <v>0</v>
      </c>
      <c r="M307" t="n">
        <v>0</v>
      </c>
    </row>
    <row r="308">
      <c r="A308" s="149" t="n">
        <v>30529</v>
      </c>
      <c r="B308" t="n">
        <v/>
      </c>
      <c r="C308" t="n">
        <v/>
      </c>
      <c r="D308" t="n">
        <v/>
      </c>
      <c r="E308" t="n">
        <v/>
      </c>
      <c r="F308" t="n">
        <v/>
      </c>
      <c r="G308" t="n">
        <v/>
      </c>
      <c r="H308" t="n">
        <v/>
      </c>
      <c r="I308" t="n">
        <v/>
      </c>
      <c r="J308" t="n">
        <v/>
      </c>
      <c r="K308" t="n">
        <v/>
      </c>
      <c r="L308" t="n">
        <v>0</v>
      </c>
      <c r="M308" t="n">
        <v>0</v>
      </c>
    </row>
    <row r="309">
      <c r="A309" s="149" t="n">
        <v>30560</v>
      </c>
      <c r="B309" t="n">
        <v/>
      </c>
      <c r="C309" t="n">
        <v/>
      </c>
      <c r="D309" t="n">
        <v/>
      </c>
      <c r="E309" t="n">
        <v/>
      </c>
      <c r="F309" t="n">
        <v/>
      </c>
      <c r="G309" t="n">
        <v/>
      </c>
      <c r="H309" t="n">
        <v/>
      </c>
      <c r="I309" t="n">
        <v/>
      </c>
      <c r="J309" t="n">
        <v/>
      </c>
      <c r="K309" t="n">
        <v/>
      </c>
      <c r="L309" t="n">
        <v>0</v>
      </c>
      <c r="M309" t="n">
        <v>0</v>
      </c>
    </row>
    <row r="310">
      <c r="A310" s="149" t="n">
        <v>30590</v>
      </c>
      <c r="B310" t="n">
        <v/>
      </c>
      <c r="C310" t="n">
        <v/>
      </c>
      <c r="D310" t="n">
        <v/>
      </c>
      <c r="E310" t="n">
        <v/>
      </c>
      <c r="F310" t="n">
        <v/>
      </c>
      <c r="G310" t="n">
        <v/>
      </c>
      <c r="H310" t="n">
        <v/>
      </c>
      <c r="I310" t="n">
        <v/>
      </c>
      <c r="J310" t="n">
        <v/>
      </c>
      <c r="K310" t="n">
        <v/>
      </c>
      <c r="L310" t="n">
        <v>0</v>
      </c>
      <c r="M310" t="n">
        <v>0</v>
      </c>
    </row>
    <row r="311">
      <c r="A311" s="149" t="n">
        <v>30621</v>
      </c>
      <c r="B311" t="n">
        <v/>
      </c>
      <c r="C311" t="n">
        <v/>
      </c>
      <c r="D311" t="n">
        <v/>
      </c>
      <c r="E311" t="n">
        <v/>
      </c>
      <c r="F311" t="n">
        <v/>
      </c>
      <c r="G311" t="n">
        <v/>
      </c>
      <c r="H311" t="n">
        <v/>
      </c>
      <c r="I311" t="n">
        <v/>
      </c>
      <c r="J311" t="n">
        <v/>
      </c>
      <c r="K311" t="n">
        <v/>
      </c>
      <c r="L311" t="n">
        <v>0</v>
      </c>
      <c r="M311" t="n">
        <v>0</v>
      </c>
    </row>
    <row r="312">
      <c r="A312" s="149" t="n">
        <v>30651</v>
      </c>
      <c r="B312" t="n">
        <v/>
      </c>
      <c r="C312" t="n">
        <v/>
      </c>
      <c r="D312" t="n">
        <v/>
      </c>
      <c r="E312" t="n">
        <v/>
      </c>
      <c r="F312" t="n">
        <v/>
      </c>
      <c r="G312" t="n">
        <v/>
      </c>
      <c r="H312" t="n">
        <v/>
      </c>
      <c r="I312" t="n">
        <v/>
      </c>
      <c r="J312" t="n">
        <v/>
      </c>
      <c r="K312" t="n">
        <v/>
      </c>
      <c r="L312" t="n">
        <v>0</v>
      </c>
      <c r="M312" t="n">
        <v>0</v>
      </c>
    </row>
    <row r="313">
      <c r="A313" s="149" t="n">
        <v>30682</v>
      </c>
      <c r="B313" t="n">
        <v/>
      </c>
      <c r="C313" t="n">
        <v/>
      </c>
      <c r="D313" t="n">
        <v/>
      </c>
      <c r="E313" t="n">
        <v/>
      </c>
      <c r="F313" t="n">
        <v/>
      </c>
      <c r="G313" t="n">
        <v/>
      </c>
      <c r="H313" t="n">
        <v/>
      </c>
      <c r="I313" t="n">
        <v/>
      </c>
      <c r="J313" t="n">
        <v/>
      </c>
      <c r="K313" t="n">
        <v/>
      </c>
      <c r="L313" t="n">
        <v>0</v>
      </c>
      <c r="M313" t="n">
        <v>0</v>
      </c>
    </row>
    <row r="314">
      <c r="A314" s="149" t="n">
        <v>30713</v>
      </c>
      <c r="B314" t="n">
        <v/>
      </c>
      <c r="C314" t="n">
        <v/>
      </c>
      <c r="D314" t="n">
        <v/>
      </c>
      <c r="E314" t="n">
        <v/>
      </c>
      <c r="F314" t="n">
        <v/>
      </c>
      <c r="G314" t="n">
        <v/>
      </c>
      <c r="H314" t="n">
        <v/>
      </c>
      <c r="I314" t="n">
        <v/>
      </c>
      <c r="J314" t="n">
        <v/>
      </c>
      <c r="K314" t="n">
        <v/>
      </c>
      <c r="L314" t="n">
        <v>0</v>
      </c>
      <c r="M314" t="n">
        <v>0</v>
      </c>
    </row>
    <row r="315">
      <c r="A315" s="149" t="n">
        <v>30742</v>
      </c>
      <c r="B315" t="n">
        <v/>
      </c>
      <c r="C315" t="n">
        <v/>
      </c>
      <c r="D315" t="n">
        <v/>
      </c>
      <c r="E315" t="n">
        <v/>
      </c>
      <c r="F315" t="n">
        <v/>
      </c>
      <c r="G315" t="n">
        <v/>
      </c>
      <c r="H315" t="n">
        <v/>
      </c>
      <c r="I315" t="n">
        <v/>
      </c>
      <c r="J315" t="n">
        <v/>
      </c>
      <c r="K315" t="n">
        <v/>
      </c>
      <c r="L315" t="n">
        <v>0</v>
      </c>
      <c r="M315" t="n">
        <v>0</v>
      </c>
    </row>
    <row r="316">
      <c r="A316" s="149" t="n">
        <v>30773</v>
      </c>
      <c r="B316" t="n">
        <v/>
      </c>
      <c r="C316" t="n">
        <v/>
      </c>
      <c r="D316" t="n">
        <v/>
      </c>
      <c r="E316" t="n">
        <v/>
      </c>
      <c r="F316" t="n">
        <v/>
      </c>
      <c r="G316" t="n">
        <v/>
      </c>
      <c r="H316" t="n">
        <v/>
      </c>
      <c r="I316" t="n">
        <v/>
      </c>
      <c r="J316" t="n">
        <v/>
      </c>
      <c r="K316" t="n">
        <v/>
      </c>
      <c r="L316" t="n">
        <v>0</v>
      </c>
      <c r="M316" t="n">
        <v>0</v>
      </c>
    </row>
    <row r="317">
      <c r="A317" s="149" t="n">
        <v>30803</v>
      </c>
      <c r="B317" t="n">
        <v/>
      </c>
      <c r="C317" t="n">
        <v/>
      </c>
      <c r="D317" t="n">
        <v/>
      </c>
      <c r="E317" t="n">
        <v/>
      </c>
      <c r="F317" t="n">
        <v/>
      </c>
      <c r="G317" t="n">
        <v/>
      </c>
      <c r="H317" t="n">
        <v/>
      </c>
      <c r="I317" t="n">
        <v/>
      </c>
      <c r="J317" t="n">
        <v/>
      </c>
      <c r="K317" t="n">
        <v/>
      </c>
      <c r="L317" t="n">
        <v>0</v>
      </c>
      <c r="M317" t="n">
        <v>0</v>
      </c>
    </row>
    <row r="318">
      <c r="A318" s="149" t="n">
        <v>30834</v>
      </c>
      <c r="B318" t="n">
        <v/>
      </c>
      <c r="C318" t="n">
        <v/>
      </c>
      <c r="D318" t="n">
        <v/>
      </c>
      <c r="E318" t="n">
        <v/>
      </c>
      <c r="F318" t="n">
        <v/>
      </c>
      <c r="G318" t="n">
        <v/>
      </c>
      <c r="H318" t="n">
        <v/>
      </c>
      <c r="I318" t="n">
        <v/>
      </c>
      <c r="J318" t="n">
        <v/>
      </c>
      <c r="K318" t="n">
        <v/>
      </c>
      <c r="L318" t="n">
        <v>0</v>
      </c>
      <c r="M318" t="n">
        <v>0</v>
      </c>
    </row>
    <row r="319">
      <c r="A319" s="149" t="n">
        <v>30864</v>
      </c>
      <c r="B319" t="n">
        <v/>
      </c>
      <c r="C319" t="n">
        <v/>
      </c>
      <c r="D319" t="n">
        <v/>
      </c>
      <c r="E319" t="n">
        <v/>
      </c>
      <c r="F319" t="n">
        <v/>
      </c>
      <c r="G319" t="n">
        <v/>
      </c>
      <c r="H319" t="n">
        <v/>
      </c>
      <c r="I319" t="n">
        <v/>
      </c>
      <c r="J319" t="n">
        <v/>
      </c>
      <c r="K319" t="n">
        <v/>
      </c>
      <c r="L319" t="n">
        <v>0</v>
      </c>
      <c r="M319" t="n">
        <v>0</v>
      </c>
    </row>
    <row r="320">
      <c r="A320" s="149" t="n">
        <v>30895</v>
      </c>
      <c r="B320" t="n">
        <v/>
      </c>
      <c r="C320" t="n">
        <v/>
      </c>
      <c r="D320" t="n">
        <v/>
      </c>
      <c r="E320" t="n">
        <v/>
      </c>
      <c r="F320" t="n">
        <v/>
      </c>
      <c r="G320" t="n">
        <v/>
      </c>
      <c r="H320" t="n">
        <v/>
      </c>
      <c r="I320" t="n">
        <v/>
      </c>
      <c r="J320" t="n">
        <v/>
      </c>
      <c r="K320" t="n">
        <v/>
      </c>
      <c r="L320" t="n">
        <v>0</v>
      </c>
      <c r="M320" t="n">
        <v>0</v>
      </c>
    </row>
    <row r="321">
      <c r="A321" s="149" t="n">
        <v>30926</v>
      </c>
      <c r="B321" t="n">
        <v/>
      </c>
      <c r="C321" t="n">
        <v/>
      </c>
      <c r="D321" t="n">
        <v/>
      </c>
      <c r="E321" t="n">
        <v/>
      </c>
      <c r="F321" t="n">
        <v/>
      </c>
      <c r="G321" t="n">
        <v/>
      </c>
      <c r="H321" t="n">
        <v/>
      </c>
      <c r="I321" t="n">
        <v/>
      </c>
      <c r="J321" t="n">
        <v/>
      </c>
      <c r="K321" t="n">
        <v/>
      </c>
      <c r="L321" t="n">
        <v>0</v>
      </c>
      <c r="M321" t="n">
        <v>0</v>
      </c>
    </row>
    <row r="322">
      <c r="A322" s="149" t="n">
        <v>30956</v>
      </c>
      <c r="B322" t="n">
        <v/>
      </c>
      <c r="C322" t="n">
        <v/>
      </c>
      <c r="D322" t="n">
        <v/>
      </c>
      <c r="E322" t="n">
        <v/>
      </c>
      <c r="F322" t="n">
        <v/>
      </c>
      <c r="G322" t="n">
        <v/>
      </c>
      <c r="H322" t="n">
        <v/>
      </c>
      <c r="I322" t="n">
        <v/>
      </c>
      <c r="J322" t="n">
        <v/>
      </c>
      <c r="K322" t="n">
        <v/>
      </c>
      <c r="L322" t="n">
        <v>0</v>
      </c>
      <c r="M322" t="n">
        <v>0</v>
      </c>
    </row>
    <row r="323">
      <c r="A323" s="149" t="n">
        <v>30987</v>
      </c>
      <c r="B323" t="n">
        <v/>
      </c>
      <c r="C323" t="n">
        <v/>
      </c>
      <c r="D323" t="n">
        <v/>
      </c>
      <c r="E323" t="n">
        <v/>
      </c>
      <c r="F323" t="n">
        <v/>
      </c>
      <c r="G323" t="n">
        <v/>
      </c>
      <c r="H323" t="n">
        <v/>
      </c>
      <c r="I323" t="n">
        <v/>
      </c>
      <c r="J323" t="n">
        <v/>
      </c>
      <c r="K323" t="n">
        <v/>
      </c>
      <c r="L323" t="n">
        <v>0</v>
      </c>
      <c r="M323" t="n">
        <v>0</v>
      </c>
    </row>
    <row r="324">
      <c r="A324" s="149" t="n">
        <v>31017</v>
      </c>
      <c r="B324" t="n">
        <v/>
      </c>
      <c r="C324" t="n">
        <v/>
      </c>
      <c r="D324" t="n">
        <v/>
      </c>
      <c r="E324" t="n">
        <v/>
      </c>
      <c r="F324" t="n">
        <v/>
      </c>
      <c r="G324" t="n">
        <v/>
      </c>
      <c r="H324" t="n">
        <v/>
      </c>
      <c r="I324" t="n">
        <v/>
      </c>
      <c r="J324" t="n">
        <v/>
      </c>
      <c r="K324" t="n">
        <v/>
      </c>
      <c r="L324" t="n">
        <v>0</v>
      </c>
      <c r="M324" t="n">
        <v>0</v>
      </c>
    </row>
    <row r="325">
      <c r="A325" s="149" t="n">
        <v>31048</v>
      </c>
      <c r="B325" t="n">
        <v/>
      </c>
      <c r="C325" t="n">
        <v/>
      </c>
      <c r="D325" t="n">
        <v/>
      </c>
      <c r="E325" t="n">
        <v/>
      </c>
      <c r="F325" t="n">
        <v/>
      </c>
      <c r="G325" t="n">
        <v/>
      </c>
      <c r="H325" t="n">
        <v/>
      </c>
      <c r="I325" t="n">
        <v/>
      </c>
      <c r="J325" t="n">
        <v/>
      </c>
      <c r="K325" t="n">
        <v/>
      </c>
      <c r="L325" t="n">
        <v>0</v>
      </c>
      <c r="M325" t="n">
        <v>0</v>
      </c>
    </row>
    <row r="326">
      <c r="A326" s="149" t="n">
        <v>31079</v>
      </c>
      <c r="B326" t="n">
        <v/>
      </c>
      <c r="C326" t="n">
        <v/>
      </c>
      <c r="D326" t="n">
        <v/>
      </c>
      <c r="E326" t="n">
        <v/>
      </c>
      <c r="F326" t="n">
        <v/>
      </c>
      <c r="G326" t="n">
        <v/>
      </c>
      <c r="H326" t="n">
        <v/>
      </c>
      <c r="I326" t="n">
        <v/>
      </c>
      <c r="J326" t="n">
        <v/>
      </c>
      <c r="K326" t="n">
        <v/>
      </c>
      <c r="L326" t="n">
        <v>0</v>
      </c>
      <c r="M326" t="n">
        <v>0</v>
      </c>
    </row>
    <row r="327">
      <c r="A327" s="149" t="n">
        <v>31107</v>
      </c>
      <c r="B327" t="n">
        <v/>
      </c>
      <c r="C327" t="n">
        <v/>
      </c>
      <c r="D327" t="n">
        <v/>
      </c>
      <c r="E327" t="n">
        <v/>
      </c>
      <c r="F327" t="n">
        <v/>
      </c>
      <c r="G327" t="n">
        <v/>
      </c>
      <c r="H327" t="n">
        <v/>
      </c>
      <c r="I327" t="n">
        <v/>
      </c>
      <c r="J327" t="n">
        <v/>
      </c>
      <c r="K327" t="n">
        <v/>
      </c>
      <c r="L327" t="n">
        <v>0</v>
      </c>
      <c r="M327" t="n">
        <v>0</v>
      </c>
    </row>
    <row r="328">
      <c r="A328" s="149" t="n">
        <v>31138</v>
      </c>
      <c r="B328" t="n">
        <v/>
      </c>
      <c r="C328" t="n">
        <v/>
      </c>
      <c r="D328" t="n">
        <v/>
      </c>
      <c r="E328" t="n">
        <v/>
      </c>
      <c r="F328" t="n">
        <v/>
      </c>
      <c r="G328" t="n">
        <v/>
      </c>
      <c r="H328" t="n">
        <v/>
      </c>
      <c r="I328" t="n">
        <v/>
      </c>
      <c r="J328" t="n">
        <v/>
      </c>
      <c r="K328" t="n">
        <v/>
      </c>
      <c r="L328" t="n">
        <v>0</v>
      </c>
      <c r="M328" t="n">
        <v>0</v>
      </c>
    </row>
    <row r="329">
      <c r="A329" s="149" t="n">
        <v>31168</v>
      </c>
      <c r="B329" t="n">
        <v/>
      </c>
      <c r="C329" t="n">
        <v/>
      </c>
      <c r="D329" t="n">
        <v/>
      </c>
      <c r="E329" t="n">
        <v/>
      </c>
      <c r="F329" t="n">
        <v/>
      </c>
      <c r="G329" t="n">
        <v/>
      </c>
      <c r="H329" t="n">
        <v/>
      </c>
      <c r="I329" t="n">
        <v/>
      </c>
      <c r="J329" t="n">
        <v/>
      </c>
      <c r="K329" t="n">
        <v/>
      </c>
      <c r="L329" t="n">
        <v>0</v>
      </c>
      <c r="M329" t="n">
        <v>0</v>
      </c>
    </row>
    <row r="330">
      <c r="A330" s="149" t="n">
        <v>31199</v>
      </c>
      <c r="B330" t="n">
        <v/>
      </c>
      <c r="C330" t="n">
        <v/>
      </c>
      <c r="D330" t="n">
        <v/>
      </c>
      <c r="E330" t="n">
        <v/>
      </c>
      <c r="F330" t="n">
        <v/>
      </c>
      <c r="G330" t="n">
        <v/>
      </c>
      <c r="H330" t="n">
        <v/>
      </c>
      <c r="I330" t="n">
        <v/>
      </c>
      <c r="J330" t="n">
        <v/>
      </c>
      <c r="K330" t="n">
        <v/>
      </c>
      <c r="L330" t="n">
        <v>0</v>
      </c>
      <c r="M330" t="n">
        <v>0</v>
      </c>
    </row>
    <row r="331">
      <c r="A331" s="149" t="n">
        <v>31229</v>
      </c>
      <c r="B331" t="n">
        <v/>
      </c>
      <c r="C331" t="n">
        <v/>
      </c>
      <c r="D331" t="n">
        <v/>
      </c>
      <c r="E331" t="n">
        <v/>
      </c>
      <c r="F331" t="n">
        <v/>
      </c>
      <c r="G331" t="n">
        <v/>
      </c>
      <c r="H331" t="n">
        <v/>
      </c>
      <c r="I331" t="n">
        <v/>
      </c>
      <c r="J331" t="n">
        <v/>
      </c>
      <c r="K331" t="n">
        <v/>
      </c>
      <c r="L331" t="n">
        <v>0</v>
      </c>
      <c r="M331" t="n">
        <v>0</v>
      </c>
    </row>
    <row r="332">
      <c r="A332" s="149" t="n">
        <v>31260</v>
      </c>
      <c r="B332" t="n">
        <v/>
      </c>
      <c r="C332" t="n">
        <v/>
      </c>
      <c r="D332" t="n">
        <v/>
      </c>
      <c r="E332" t="n">
        <v/>
      </c>
      <c r="F332" t="n">
        <v/>
      </c>
      <c r="G332" t="n">
        <v/>
      </c>
      <c r="H332" t="n">
        <v/>
      </c>
      <c r="I332" t="n">
        <v/>
      </c>
      <c r="J332" t="n">
        <v/>
      </c>
      <c r="K332" t="n">
        <v/>
      </c>
      <c r="L332" t="n">
        <v>0</v>
      </c>
      <c r="M332" t="n">
        <v>0</v>
      </c>
    </row>
    <row r="333">
      <c r="A333" s="149" t="n">
        <v>31291</v>
      </c>
      <c r="B333" t="n">
        <v/>
      </c>
      <c r="C333" t="n">
        <v/>
      </c>
      <c r="D333" t="n">
        <v/>
      </c>
      <c r="E333" t="n">
        <v/>
      </c>
      <c r="F333" t="n">
        <v/>
      </c>
      <c r="G333" t="n">
        <v/>
      </c>
      <c r="H333" t="n">
        <v/>
      </c>
      <c r="I333" t="n">
        <v/>
      </c>
      <c r="J333" t="n">
        <v/>
      </c>
      <c r="K333" t="n">
        <v/>
      </c>
      <c r="L333" t="n">
        <v>0</v>
      </c>
      <c r="M333" t="n">
        <v>0</v>
      </c>
    </row>
    <row r="334">
      <c r="A334" s="149" t="n">
        <v>31321</v>
      </c>
      <c r="B334" t="n">
        <v/>
      </c>
      <c r="C334" t="n">
        <v/>
      </c>
      <c r="D334" t="n">
        <v/>
      </c>
      <c r="E334" t="n">
        <v/>
      </c>
      <c r="F334" t="n">
        <v/>
      </c>
      <c r="G334" t="n">
        <v/>
      </c>
      <c r="H334" t="n">
        <v/>
      </c>
      <c r="I334" t="n">
        <v/>
      </c>
      <c r="J334" t="n">
        <v/>
      </c>
      <c r="K334" t="n">
        <v/>
      </c>
      <c r="L334" t="n">
        <v>0</v>
      </c>
      <c r="M334" t="n">
        <v>0</v>
      </c>
    </row>
    <row r="335">
      <c r="A335" s="149" t="n">
        <v>31352</v>
      </c>
      <c r="B335" t="n">
        <v/>
      </c>
      <c r="C335" t="n">
        <v/>
      </c>
      <c r="D335" t="n">
        <v/>
      </c>
      <c r="E335" t="n">
        <v/>
      </c>
      <c r="F335" t="n">
        <v/>
      </c>
      <c r="G335" t="n">
        <v/>
      </c>
      <c r="H335" t="n">
        <v/>
      </c>
      <c r="I335" t="n">
        <v/>
      </c>
      <c r="J335" t="n">
        <v/>
      </c>
      <c r="K335" t="n">
        <v/>
      </c>
      <c r="L335" t="n">
        <v>0</v>
      </c>
      <c r="M335" t="n">
        <v>0</v>
      </c>
    </row>
    <row r="336">
      <c r="A336" s="149" t="n">
        <v>31382</v>
      </c>
      <c r="B336" t="n">
        <v/>
      </c>
      <c r="C336" t="n">
        <v/>
      </c>
      <c r="D336" t="n">
        <v/>
      </c>
      <c r="E336" t="n">
        <v/>
      </c>
      <c r="F336" t="n">
        <v/>
      </c>
      <c r="G336" t="n">
        <v/>
      </c>
      <c r="H336" t="n">
        <v/>
      </c>
      <c r="I336" t="n">
        <v/>
      </c>
      <c r="J336" t="n">
        <v/>
      </c>
      <c r="K336" t="n">
        <v/>
      </c>
      <c r="L336" t="n">
        <v>0</v>
      </c>
      <c r="M336" t="n">
        <v>0</v>
      </c>
    </row>
    <row r="337">
      <c r="A337" s="149" t="n">
        <v>31413</v>
      </c>
      <c r="B337" t="n">
        <v/>
      </c>
      <c r="C337" t="n">
        <v/>
      </c>
      <c r="D337" t="n">
        <v/>
      </c>
      <c r="E337" t="n">
        <v/>
      </c>
      <c r="F337" t="n">
        <v/>
      </c>
      <c r="G337" t="n">
        <v/>
      </c>
      <c r="H337" t="n">
        <v/>
      </c>
      <c r="I337" t="n">
        <v/>
      </c>
      <c r="J337" t="n">
        <v/>
      </c>
      <c r="K337" t="n">
        <v/>
      </c>
      <c r="L337" t="n">
        <v>0</v>
      </c>
      <c r="M337" t="n">
        <v>0</v>
      </c>
    </row>
    <row r="338">
      <c r="A338" s="149" t="n">
        <v>31444</v>
      </c>
      <c r="B338" t="n">
        <v/>
      </c>
      <c r="C338" t="n">
        <v/>
      </c>
      <c r="D338" t="n">
        <v/>
      </c>
      <c r="E338" t="n">
        <v/>
      </c>
      <c r="F338" t="n">
        <v/>
      </c>
      <c r="G338" t="n">
        <v/>
      </c>
      <c r="H338" t="n">
        <v/>
      </c>
      <c r="I338" t="n">
        <v/>
      </c>
      <c r="J338" t="n">
        <v/>
      </c>
      <c r="K338" t="n">
        <v/>
      </c>
      <c r="L338" t="n">
        <v>0</v>
      </c>
      <c r="M338" t="n">
        <v>0</v>
      </c>
    </row>
    <row r="339">
      <c r="A339" s="149" t="n">
        <v>31472</v>
      </c>
      <c r="B339" t="n">
        <v/>
      </c>
      <c r="C339" t="n">
        <v/>
      </c>
      <c r="D339" t="n">
        <v/>
      </c>
      <c r="E339" t="n">
        <v/>
      </c>
      <c r="F339" t="n">
        <v/>
      </c>
      <c r="G339" t="n">
        <v/>
      </c>
      <c r="H339" t="n">
        <v/>
      </c>
      <c r="I339" t="n">
        <v/>
      </c>
      <c r="J339" t="n">
        <v/>
      </c>
      <c r="K339" t="n">
        <v/>
      </c>
      <c r="L339" t="n">
        <v>0</v>
      </c>
      <c r="M339" t="n">
        <v>0</v>
      </c>
    </row>
    <row r="340">
      <c r="A340" s="149" t="n">
        <v>31503</v>
      </c>
      <c r="B340" t="n">
        <v/>
      </c>
      <c r="C340" t="n">
        <v/>
      </c>
      <c r="D340" t="n">
        <v/>
      </c>
      <c r="E340" t="n">
        <v/>
      </c>
      <c r="F340" t="n">
        <v/>
      </c>
      <c r="G340" t="n">
        <v/>
      </c>
      <c r="H340" t="n">
        <v/>
      </c>
      <c r="I340" t="n">
        <v/>
      </c>
      <c r="J340" t="n">
        <v/>
      </c>
      <c r="K340" t="n">
        <v/>
      </c>
      <c r="L340" t="n">
        <v>0</v>
      </c>
      <c r="M340" t="n">
        <v>0</v>
      </c>
    </row>
    <row r="341">
      <c r="A341" s="149" t="n">
        <v>31533</v>
      </c>
      <c r="B341" t="n">
        <v/>
      </c>
      <c r="C341" t="n">
        <v/>
      </c>
      <c r="D341" t="n">
        <v/>
      </c>
      <c r="E341" t="n">
        <v/>
      </c>
      <c r="F341" t="n">
        <v/>
      </c>
      <c r="G341" t="n">
        <v/>
      </c>
      <c r="H341" t="n">
        <v/>
      </c>
      <c r="I341" t="n">
        <v/>
      </c>
      <c r="J341" t="n">
        <v/>
      </c>
      <c r="K341" t="n">
        <v/>
      </c>
      <c r="L341" t="n">
        <v>0</v>
      </c>
      <c r="M341" t="n">
        <v>0</v>
      </c>
    </row>
    <row r="342">
      <c r="A342" s="149" t="n">
        <v>31564</v>
      </c>
      <c r="B342" t="n">
        <v/>
      </c>
      <c r="C342" t="n">
        <v/>
      </c>
      <c r="D342" t="n">
        <v/>
      </c>
      <c r="E342" t="n">
        <v/>
      </c>
      <c r="F342" t="n">
        <v/>
      </c>
      <c r="G342" t="n">
        <v/>
      </c>
      <c r="H342" t="n">
        <v/>
      </c>
      <c r="I342" t="n">
        <v/>
      </c>
      <c r="J342" t="n">
        <v/>
      </c>
      <c r="K342" t="n">
        <v/>
      </c>
      <c r="L342" t="n">
        <v>0</v>
      </c>
      <c r="M342" t="n">
        <v>0</v>
      </c>
    </row>
    <row r="343">
      <c r="A343" s="149" t="n">
        <v>31594</v>
      </c>
      <c r="B343" t="n">
        <v/>
      </c>
      <c r="C343" t="n">
        <v/>
      </c>
      <c r="D343" t="n">
        <v/>
      </c>
      <c r="E343" t="n">
        <v/>
      </c>
      <c r="F343" t="n">
        <v/>
      </c>
      <c r="G343" t="n">
        <v/>
      </c>
      <c r="H343" t="n">
        <v/>
      </c>
      <c r="I343" t="n">
        <v/>
      </c>
      <c r="J343" t="n">
        <v/>
      </c>
      <c r="K343" t="n">
        <v/>
      </c>
      <c r="L343" t="n">
        <v>0</v>
      </c>
      <c r="M343" t="n">
        <v>0</v>
      </c>
    </row>
    <row r="344">
      <c r="A344" s="149" t="n">
        <v>31625</v>
      </c>
      <c r="B344" t="n">
        <v/>
      </c>
      <c r="C344" t="n">
        <v/>
      </c>
      <c r="D344" t="n">
        <v/>
      </c>
      <c r="E344" t="n">
        <v/>
      </c>
      <c r="F344" t="n">
        <v/>
      </c>
      <c r="G344" t="n">
        <v/>
      </c>
      <c r="H344" t="n">
        <v/>
      </c>
      <c r="I344" t="n">
        <v/>
      </c>
      <c r="J344" t="n">
        <v/>
      </c>
      <c r="K344" t="n">
        <v/>
      </c>
      <c r="L344" t="n">
        <v>0</v>
      </c>
      <c r="M344" t="n">
        <v>0</v>
      </c>
    </row>
    <row r="345">
      <c r="A345" s="149" t="n">
        <v>31656</v>
      </c>
      <c r="B345" t="n">
        <v/>
      </c>
      <c r="C345" t="n">
        <v/>
      </c>
      <c r="D345" t="n">
        <v/>
      </c>
      <c r="E345" t="n">
        <v/>
      </c>
      <c r="F345" t="n">
        <v/>
      </c>
      <c r="G345" t="n">
        <v/>
      </c>
      <c r="H345" t="n">
        <v/>
      </c>
      <c r="I345" t="n">
        <v/>
      </c>
      <c r="J345" t="n">
        <v/>
      </c>
      <c r="K345" t="n">
        <v/>
      </c>
      <c r="L345" t="n">
        <v>0</v>
      </c>
      <c r="M345" t="n">
        <v>0</v>
      </c>
    </row>
    <row r="346">
      <c r="A346" s="149" t="n">
        <v>31686</v>
      </c>
      <c r="B346" t="n">
        <v/>
      </c>
      <c r="C346" t="n">
        <v/>
      </c>
      <c r="D346" t="n">
        <v/>
      </c>
      <c r="E346" t="n">
        <v/>
      </c>
      <c r="F346" t="n">
        <v/>
      </c>
      <c r="G346" t="n">
        <v/>
      </c>
      <c r="H346" t="n">
        <v/>
      </c>
      <c r="I346" t="n">
        <v/>
      </c>
      <c r="J346" t="n">
        <v/>
      </c>
      <c r="K346" t="n">
        <v/>
      </c>
      <c r="L346" t="n">
        <v>0</v>
      </c>
      <c r="M346" t="n">
        <v>0</v>
      </c>
    </row>
    <row r="347">
      <c r="A347" s="149" t="n">
        <v>31717</v>
      </c>
      <c r="B347" t="n">
        <v/>
      </c>
      <c r="C347" t="n">
        <v/>
      </c>
      <c r="D347" t="n">
        <v/>
      </c>
      <c r="E347" t="n">
        <v/>
      </c>
      <c r="F347" t="n">
        <v/>
      </c>
      <c r="G347" t="n">
        <v/>
      </c>
      <c r="H347" t="n">
        <v/>
      </c>
      <c r="I347" t="n">
        <v/>
      </c>
      <c r="J347" t="n">
        <v/>
      </c>
      <c r="K347" t="n">
        <v/>
      </c>
      <c r="L347" t="n">
        <v>0</v>
      </c>
      <c r="M347" t="n">
        <v>0</v>
      </c>
    </row>
    <row r="348">
      <c r="A348" s="149" t="n">
        <v>31747</v>
      </c>
      <c r="B348" t="n">
        <v/>
      </c>
      <c r="C348" t="n">
        <v/>
      </c>
      <c r="D348" t="n">
        <v/>
      </c>
      <c r="E348" t="n">
        <v/>
      </c>
      <c r="F348" t="n">
        <v/>
      </c>
      <c r="G348" t="n">
        <v/>
      </c>
      <c r="H348" t="n">
        <v/>
      </c>
      <c r="I348" t="n">
        <v/>
      </c>
      <c r="J348" t="n">
        <v/>
      </c>
      <c r="K348" t="n">
        <v/>
      </c>
      <c r="L348" t="n">
        <v>0</v>
      </c>
      <c r="M348" t="n">
        <v>0</v>
      </c>
    </row>
    <row r="349">
      <c r="A349" s="149" t="n">
        <v>31778</v>
      </c>
      <c r="B349" t="n">
        <v/>
      </c>
      <c r="C349" t="n">
        <v/>
      </c>
      <c r="D349" t="n">
        <v/>
      </c>
      <c r="E349" t="n">
        <v/>
      </c>
      <c r="F349" t="n">
        <v/>
      </c>
      <c r="G349" t="n">
        <v/>
      </c>
      <c r="H349" t="n">
        <v/>
      </c>
      <c r="I349" t="n">
        <v/>
      </c>
      <c r="J349" t="n">
        <v/>
      </c>
      <c r="K349" t="n">
        <v/>
      </c>
      <c r="L349" t="n">
        <v>0</v>
      </c>
      <c r="M349" t="n">
        <v>0</v>
      </c>
    </row>
    <row r="350">
      <c r="A350" s="149" t="n">
        <v>31809</v>
      </c>
      <c r="B350" t="n">
        <v/>
      </c>
      <c r="C350" t="n">
        <v/>
      </c>
      <c r="D350" t="n">
        <v/>
      </c>
      <c r="E350" t="n">
        <v/>
      </c>
      <c r="F350" t="n">
        <v/>
      </c>
      <c r="G350" t="n">
        <v/>
      </c>
      <c r="H350" t="n">
        <v/>
      </c>
      <c r="I350" t="n">
        <v/>
      </c>
      <c r="J350" t="n">
        <v/>
      </c>
      <c r="K350" t="n">
        <v/>
      </c>
      <c r="L350" t="n">
        <v>0</v>
      </c>
      <c r="M350" t="n">
        <v>0</v>
      </c>
    </row>
    <row r="351">
      <c r="A351" s="149" t="n">
        <v>31837</v>
      </c>
      <c r="B351" t="n">
        <v/>
      </c>
      <c r="C351" t="n">
        <v/>
      </c>
      <c r="D351" t="n">
        <v/>
      </c>
      <c r="E351" t="n">
        <v/>
      </c>
      <c r="F351" t="n">
        <v/>
      </c>
      <c r="G351" t="n">
        <v/>
      </c>
      <c r="H351" t="n">
        <v/>
      </c>
      <c r="I351" t="n">
        <v/>
      </c>
      <c r="J351" t="n">
        <v/>
      </c>
      <c r="K351" t="n">
        <v/>
      </c>
      <c r="L351" t="n">
        <v>0</v>
      </c>
      <c r="M351" t="n">
        <v>0</v>
      </c>
    </row>
    <row r="352">
      <c r="A352" s="149" t="n">
        <v>31868</v>
      </c>
      <c r="B352" t="n">
        <v/>
      </c>
      <c r="C352" t="n">
        <v/>
      </c>
      <c r="D352" t="n">
        <v/>
      </c>
      <c r="E352" t="n">
        <v/>
      </c>
      <c r="F352" t="n">
        <v/>
      </c>
      <c r="G352" t="n">
        <v/>
      </c>
      <c r="H352" t="n">
        <v/>
      </c>
      <c r="I352" t="n">
        <v/>
      </c>
      <c r="J352" t="n">
        <v/>
      </c>
      <c r="K352" t="n">
        <v/>
      </c>
      <c r="L352" t="n">
        <v>0</v>
      </c>
      <c r="M352" t="n">
        <v>0</v>
      </c>
    </row>
    <row r="353">
      <c r="A353" s="149" t="n">
        <v>31898</v>
      </c>
      <c r="B353" t="n">
        <v/>
      </c>
      <c r="C353" t="n">
        <v/>
      </c>
      <c r="D353" t="n">
        <v/>
      </c>
      <c r="E353" t="n">
        <v/>
      </c>
      <c r="F353" t="n">
        <v/>
      </c>
      <c r="G353" t="n">
        <v/>
      </c>
      <c r="H353" t="n">
        <v/>
      </c>
      <c r="I353" t="n">
        <v/>
      </c>
      <c r="J353" t="n">
        <v/>
      </c>
      <c r="K353" t="n">
        <v/>
      </c>
      <c r="L353" t="n">
        <v>0</v>
      </c>
      <c r="M353" t="n">
        <v>0</v>
      </c>
    </row>
    <row r="354">
      <c r="A354" s="149" t="n">
        <v>31929</v>
      </c>
      <c r="B354" t="n">
        <v/>
      </c>
      <c r="C354" t="n">
        <v/>
      </c>
      <c r="D354" t="n">
        <v/>
      </c>
      <c r="E354" t="n">
        <v/>
      </c>
      <c r="F354" t="n">
        <v/>
      </c>
      <c r="G354" t="n">
        <v/>
      </c>
      <c r="H354" t="n">
        <v/>
      </c>
      <c r="I354" t="n">
        <v/>
      </c>
      <c r="J354" t="n">
        <v/>
      </c>
      <c r="K354" t="n">
        <v/>
      </c>
      <c r="L354" t="n">
        <v>0</v>
      </c>
      <c r="M354" t="n">
        <v>0</v>
      </c>
    </row>
    <row r="355">
      <c r="A355" s="149" t="n">
        <v>31959</v>
      </c>
      <c r="B355" t="n">
        <v/>
      </c>
      <c r="C355" t="n">
        <v/>
      </c>
      <c r="D355" t="n">
        <v/>
      </c>
      <c r="E355" t="n">
        <v/>
      </c>
      <c r="F355" t="n">
        <v/>
      </c>
      <c r="G355" t="n">
        <v/>
      </c>
      <c r="H355" t="n">
        <v/>
      </c>
      <c r="I355" t="n">
        <v/>
      </c>
      <c r="J355" t="n">
        <v/>
      </c>
      <c r="K355" t="n">
        <v/>
      </c>
      <c r="L355" t="n">
        <v>0</v>
      </c>
      <c r="M355" t="n">
        <v>0</v>
      </c>
    </row>
    <row r="356">
      <c r="A356" s="149" t="n">
        <v>31990</v>
      </c>
      <c r="B356" t="n">
        <v/>
      </c>
      <c r="C356" t="n">
        <v/>
      </c>
      <c r="D356" t="n">
        <v/>
      </c>
      <c r="E356" t="n">
        <v/>
      </c>
      <c r="F356" t="n">
        <v/>
      </c>
      <c r="G356" t="n">
        <v/>
      </c>
      <c r="H356" t="n">
        <v/>
      </c>
      <c r="I356" t="n">
        <v/>
      </c>
      <c r="J356" t="n">
        <v/>
      </c>
      <c r="K356" t="n">
        <v/>
      </c>
      <c r="L356" t="n">
        <v>0</v>
      </c>
      <c r="M356" t="n">
        <v>0</v>
      </c>
    </row>
    <row r="357">
      <c r="A357" s="149" t="n">
        <v>32021</v>
      </c>
      <c r="B357" t="n">
        <v/>
      </c>
      <c r="C357" t="n">
        <v/>
      </c>
      <c r="D357" t="n">
        <v/>
      </c>
      <c r="E357" t="n">
        <v/>
      </c>
      <c r="F357" t="n">
        <v/>
      </c>
      <c r="G357" t="n">
        <v/>
      </c>
      <c r="H357" t="n">
        <v/>
      </c>
      <c r="I357" t="n">
        <v/>
      </c>
      <c r="J357" t="n">
        <v/>
      </c>
      <c r="K357" t="n">
        <v/>
      </c>
      <c r="L357" t="n">
        <v>0</v>
      </c>
      <c r="M357" t="n">
        <v>0</v>
      </c>
    </row>
    <row r="358">
      <c r="A358" s="149" t="n">
        <v>32051</v>
      </c>
      <c r="B358" t="n">
        <v/>
      </c>
      <c r="C358" t="n">
        <v/>
      </c>
      <c r="D358" t="n">
        <v/>
      </c>
      <c r="E358" t="n">
        <v/>
      </c>
      <c r="F358" t="n">
        <v/>
      </c>
      <c r="G358" t="n">
        <v/>
      </c>
      <c r="H358" t="n">
        <v/>
      </c>
      <c r="I358" t="n">
        <v/>
      </c>
      <c r="J358" t="n">
        <v/>
      </c>
      <c r="K358" t="n">
        <v/>
      </c>
      <c r="L358" t="n">
        <v>0</v>
      </c>
      <c r="M358" t="n">
        <v>0</v>
      </c>
    </row>
    <row r="359">
      <c r="A359" s="149" t="n">
        <v>32082</v>
      </c>
      <c r="B359" t="n">
        <v/>
      </c>
      <c r="C359" t="n">
        <v/>
      </c>
      <c r="D359" t="n">
        <v/>
      </c>
      <c r="E359" t="n">
        <v/>
      </c>
      <c r="F359" t="n">
        <v/>
      </c>
      <c r="G359" t="n">
        <v/>
      </c>
      <c r="H359" t="n">
        <v/>
      </c>
      <c r="I359" t="n">
        <v/>
      </c>
      <c r="J359" t="n">
        <v/>
      </c>
      <c r="K359" t="n">
        <v/>
      </c>
      <c r="L359" t="n">
        <v>0</v>
      </c>
      <c r="M359" t="n">
        <v>0</v>
      </c>
    </row>
    <row r="360">
      <c r="A360" s="149" t="n">
        <v>32112</v>
      </c>
      <c r="B360" t="n">
        <v/>
      </c>
      <c r="C360" t="n">
        <v/>
      </c>
      <c r="D360" t="n">
        <v/>
      </c>
      <c r="E360" t="n">
        <v/>
      </c>
      <c r="F360" t="n">
        <v/>
      </c>
      <c r="G360" t="n">
        <v/>
      </c>
      <c r="H360" t="n">
        <v/>
      </c>
      <c r="I360" t="n">
        <v/>
      </c>
      <c r="J360" t="n">
        <v/>
      </c>
      <c r="K360" t="n">
        <v/>
      </c>
      <c r="L360" t="n">
        <v>0</v>
      </c>
      <c r="M360" t="n">
        <v>0</v>
      </c>
    </row>
    <row r="361">
      <c r="A361" s="149" t="n">
        <v>32143</v>
      </c>
      <c r="B361" t="n">
        <v/>
      </c>
      <c r="C361" t="n">
        <v/>
      </c>
      <c r="D361" t="n">
        <v/>
      </c>
      <c r="E361" t="n">
        <v/>
      </c>
      <c r="F361" t="n">
        <v/>
      </c>
      <c r="G361" t="n">
        <v/>
      </c>
      <c r="H361" t="n">
        <v/>
      </c>
      <c r="I361" t="n">
        <v/>
      </c>
      <c r="J361" t="n">
        <v/>
      </c>
      <c r="K361" t="n">
        <v/>
      </c>
      <c r="L361" t="n">
        <v>0</v>
      </c>
      <c r="M361" t="n">
        <v>0</v>
      </c>
    </row>
    <row r="362">
      <c r="A362" s="149" t="n">
        <v>32174</v>
      </c>
      <c r="B362" t="n">
        <v/>
      </c>
      <c r="C362" t="n">
        <v/>
      </c>
      <c r="D362" t="n">
        <v/>
      </c>
      <c r="E362" t="n">
        <v/>
      </c>
      <c r="F362" t="n">
        <v/>
      </c>
      <c r="G362" t="n">
        <v/>
      </c>
      <c r="H362" t="n">
        <v/>
      </c>
      <c r="I362" t="n">
        <v/>
      </c>
      <c r="J362" t="n">
        <v/>
      </c>
      <c r="K362" t="n">
        <v/>
      </c>
      <c r="L362" t="n">
        <v>0</v>
      </c>
      <c r="M362" t="n">
        <v>0</v>
      </c>
    </row>
    <row r="363">
      <c r="A363" s="149" t="n">
        <v>32203</v>
      </c>
      <c r="B363" t="n">
        <v/>
      </c>
      <c r="C363" t="n">
        <v/>
      </c>
      <c r="D363" t="n">
        <v/>
      </c>
      <c r="E363" t="n">
        <v/>
      </c>
      <c r="F363" t="n">
        <v/>
      </c>
      <c r="G363" t="n">
        <v/>
      </c>
      <c r="H363" t="n">
        <v/>
      </c>
      <c r="I363" t="n">
        <v/>
      </c>
      <c r="J363" t="n">
        <v/>
      </c>
      <c r="K363" t="n">
        <v/>
      </c>
      <c r="L363" t="n">
        <v>0</v>
      </c>
      <c r="M363" t="n">
        <v>0</v>
      </c>
    </row>
    <row r="364">
      <c r="A364" s="149" t="n">
        <v>32234</v>
      </c>
      <c r="B364" t="n">
        <v/>
      </c>
      <c r="C364" t="n">
        <v/>
      </c>
      <c r="D364" t="n">
        <v/>
      </c>
      <c r="E364" t="n">
        <v/>
      </c>
      <c r="F364" t="n">
        <v/>
      </c>
      <c r="G364" t="n">
        <v/>
      </c>
      <c r="H364" t="n">
        <v/>
      </c>
      <c r="I364" t="n">
        <v/>
      </c>
      <c r="J364" t="n">
        <v/>
      </c>
      <c r="K364" t="n">
        <v/>
      </c>
      <c r="L364" t="n">
        <v>0</v>
      </c>
      <c r="M364" t="n">
        <v>0</v>
      </c>
    </row>
    <row r="365">
      <c r="A365" s="149" t="n">
        <v>32264</v>
      </c>
      <c r="B365" t="n">
        <v/>
      </c>
      <c r="C365" t="n">
        <v/>
      </c>
      <c r="D365" t="n">
        <v/>
      </c>
      <c r="E365" t="n">
        <v/>
      </c>
      <c r="F365" t="n">
        <v/>
      </c>
      <c r="G365" t="n">
        <v/>
      </c>
      <c r="H365" t="n">
        <v/>
      </c>
      <c r="I365" t="n">
        <v/>
      </c>
      <c r="J365" t="n">
        <v/>
      </c>
      <c r="K365" t="n">
        <v/>
      </c>
      <c r="L365" t="n">
        <v>0</v>
      </c>
      <c r="M365" t="n">
        <v>0</v>
      </c>
    </row>
    <row r="366">
      <c r="A366" s="149" t="n">
        <v>32295</v>
      </c>
      <c r="B366" t="n">
        <v/>
      </c>
      <c r="C366" t="n">
        <v/>
      </c>
      <c r="D366" t="n">
        <v/>
      </c>
      <c r="E366" t="n">
        <v/>
      </c>
      <c r="F366" t="n">
        <v/>
      </c>
      <c r="G366" t="n">
        <v/>
      </c>
      <c r="H366" t="n">
        <v/>
      </c>
      <c r="I366" t="n">
        <v/>
      </c>
      <c r="J366" t="n">
        <v/>
      </c>
      <c r="K366" t="n">
        <v/>
      </c>
      <c r="L366" t="n">
        <v>0</v>
      </c>
      <c r="M366" t="n">
        <v>0</v>
      </c>
    </row>
    <row r="367">
      <c r="A367" s="149" t="n">
        <v>32325</v>
      </c>
      <c r="B367" t="n">
        <v/>
      </c>
      <c r="C367" t="n">
        <v/>
      </c>
      <c r="D367" t="n">
        <v/>
      </c>
      <c r="E367" t="n">
        <v/>
      </c>
      <c r="F367" t="n">
        <v/>
      </c>
      <c r="G367" t="n">
        <v/>
      </c>
      <c r="H367" t="n">
        <v/>
      </c>
      <c r="I367" t="n">
        <v/>
      </c>
      <c r="J367" t="n">
        <v/>
      </c>
      <c r="K367" t="n">
        <v/>
      </c>
      <c r="L367" t="n">
        <v>0</v>
      </c>
      <c r="M367" t="n">
        <v>0</v>
      </c>
    </row>
    <row r="368">
      <c r="A368" s="149" t="n">
        <v>32356</v>
      </c>
      <c r="B368" t="n">
        <v/>
      </c>
      <c r="C368" t="n">
        <v/>
      </c>
      <c r="D368" t="n">
        <v/>
      </c>
      <c r="E368" t="n">
        <v/>
      </c>
      <c r="F368" t="n">
        <v/>
      </c>
      <c r="G368" t="n">
        <v/>
      </c>
      <c r="H368" t="n">
        <v/>
      </c>
      <c r="I368" t="n">
        <v/>
      </c>
      <c r="J368" t="n">
        <v/>
      </c>
      <c r="K368" t="n">
        <v/>
      </c>
      <c r="L368" t="n">
        <v>0</v>
      </c>
      <c r="M368" t="n">
        <v>0</v>
      </c>
    </row>
    <row r="369">
      <c r="A369" s="149" t="n">
        <v>32387</v>
      </c>
      <c r="B369" t="n">
        <v/>
      </c>
      <c r="C369" t="n">
        <v/>
      </c>
      <c r="D369" t="n">
        <v/>
      </c>
      <c r="E369" t="n">
        <v/>
      </c>
      <c r="F369" t="n">
        <v/>
      </c>
      <c r="G369" t="n">
        <v/>
      </c>
      <c r="H369" t="n">
        <v/>
      </c>
      <c r="I369" t="n">
        <v/>
      </c>
      <c r="J369" t="n">
        <v/>
      </c>
      <c r="K369" t="n">
        <v/>
      </c>
      <c r="L369" t="n">
        <v>0</v>
      </c>
      <c r="M369" t="n">
        <v>0</v>
      </c>
    </row>
    <row r="370">
      <c r="A370" s="149" t="n">
        <v>32417</v>
      </c>
      <c r="B370" t="n">
        <v/>
      </c>
      <c r="C370" t="n">
        <v/>
      </c>
      <c r="D370" t="n">
        <v/>
      </c>
      <c r="E370" t="n">
        <v/>
      </c>
      <c r="F370" t="n">
        <v/>
      </c>
      <c r="G370" t="n">
        <v/>
      </c>
      <c r="H370" t="n">
        <v/>
      </c>
      <c r="I370" t="n">
        <v/>
      </c>
      <c r="J370" t="n">
        <v/>
      </c>
      <c r="K370" t="n">
        <v/>
      </c>
      <c r="L370" t="n">
        <v>0</v>
      </c>
      <c r="M370" t="n">
        <v>0</v>
      </c>
    </row>
    <row r="371">
      <c r="A371" s="149" t="n">
        <v>32448</v>
      </c>
      <c r="B371" t="n">
        <v/>
      </c>
      <c r="C371" t="n">
        <v/>
      </c>
      <c r="D371" t="n">
        <v/>
      </c>
      <c r="E371" t="n">
        <v/>
      </c>
      <c r="F371" t="n">
        <v/>
      </c>
      <c r="G371" t="n">
        <v/>
      </c>
      <c r="H371" t="n">
        <v/>
      </c>
      <c r="I371" t="n">
        <v/>
      </c>
      <c r="J371" t="n">
        <v/>
      </c>
      <c r="K371" t="n">
        <v/>
      </c>
      <c r="L371" t="n">
        <v>0</v>
      </c>
      <c r="M371" t="n">
        <v>0</v>
      </c>
    </row>
    <row r="372">
      <c r="A372" s="149" t="n">
        <v>32478</v>
      </c>
      <c r="B372" t="n">
        <v/>
      </c>
      <c r="C372" t="n">
        <v/>
      </c>
      <c r="D372" t="n">
        <v/>
      </c>
      <c r="E372" t="n">
        <v/>
      </c>
      <c r="F372" t="n">
        <v/>
      </c>
      <c r="G372" t="n">
        <v/>
      </c>
      <c r="H372" t="n">
        <v/>
      </c>
      <c r="I372" t="n">
        <v/>
      </c>
      <c r="J372" t="n">
        <v/>
      </c>
      <c r="K372" t="n">
        <v/>
      </c>
      <c r="L372" t="n">
        <v>0</v>
      </c>
      <c r="M372" t="n">
        <v>0</v>
      </c>
    </row>
    <row r="373">
      <c r="A373" s="149" t="n">
        <v>32509</v>
      </c>
      <c r="B373" t="n">
        <v/>
      </c>
      <c r="C373" t="n">
        <v/>
      </c>
      <c r="D373" t="n">
        <v/>
      </c>
      <c r="E373" t="n">
        <v/>
      </c>
      <c r="F373" t="n">
        <v/>
      </c>
      <c r="G373" t="n">
        <v/>
      </c>
      <c r="H373" t="n">
        <v/>
      </c>
      <c r="I373" t="n">
        <v/>
      </c>
      <c r="J373" t="n">
        <v/>
      </c>
      <c r="K373" t="n">
        <v/>
      </c>
      <c r="L373" t="n">
        <v>0</v>
      </c>
      <c r="M373" t="n">
        <v>0</v>
      </c>
    </row>
    <row r="374">
      <c r="A374" s="149" t="n">
        <v>32540</v>
      </c>
      <c r="B374" t="n">
        <v/>
      </c>
      <c r="C374" t="n">
        <v/>
      </c>
      <c r="D374" t="n">
        <v/>
      </c>
      <c r="E374" t="n">
        <v/>
      </c>
      <c r="F374" t="n">
        <v/>
      </c>
      <c r="G374" t="n">
        <v/>
      </c>
      <c r="H374" t="n">
        <v/>
      </c>
      <c r="I374" t="n">
        <v/>
      </c>
      <c r="J374" t="n">
        <v/>
      </c>
      <c r="K374" t="n">
        <v/>
      </c>
      <c r="L374" t="n">
        <v>0</v>
      </c>
      <c r="M374" t="n">
        <v>0</v>
      </c>
    </row>
    <row r="375">
      <c r="A375" s="149" t="n">
        <v>32568</v>
      </c>
      <c r="B375" t="n">
        <v/>
      </c>
      <c r="C375" t="n">
        <v/>
      </c>
      <c r="D375" t="n">
        <v/>
      </c>
      <c r="E375" t="n">
        <v/>
      </c>
      <c r="F375" t="n">
        <v/>
      </c>
      <c r="G375" t="n">
        <v/>
      </c>
      <c r="H375" t="n">
        <v/>
      </c>
      <c r="I375" t="n">
        <v/>
      </c>
      <c r="J375" t="n">
        <v/>
      </c>
      <c r="K375" t="n">
        <v/>
      </c>
      <c r="L375" t="n">
        <v>0</v>
      </c>
      <c r="M375" t="n">
        <v>0</v>
      </c>
    </row>
    <row r="376">
      <c r="A376" s="149" t="n">
        <v>32599</v>
      </c>
      <c r="B376" t="n">
        <v/>
      </c>
      <c r="C376" t="n">
        <v/>
      </c>
      <c r="D376" t="n">
        <v/>
      </c>
      <c r="E376" t="n">
        <v/>
      </c>
      <c r="F376" t="n">
        <v/>
      </c>
      <c r="G376" t="n">
        <v/>
      </c>
      <c r="H376" t="n">
        <v/>
      </c>
      <c r="I376" t="n">
        <v/>
      </c>
      <c r="J376" t="n">
        <v/>
      </c>
      <c r="K376" t="n">
        <v/>
      </c>
      <c r="L376" t="n">
        <v>0</v>
      </c>
      <c r="M376" t="n">
        <v>0</v>
      </c>
    </row>
    <row r="377">
      <c r="A377" s="149" t="n">
        <v>32629</v>
      </c>
      <c r="B377" t="n">
        <v/>
      </c>
      <c r="C377" t="n">
        <v/>
      </c>
      <c r="D377" t="n">
        <v/>
      </c>
      <c r="E377" t="n">
        <v/>
      </c>
      <c r="F377" t="n">
        <v/>
      </c>
      <c r="G377" t="n">
        <v/>
      </c>
      <c r="H377" t="n">
        <v/>
      </c>
      <c r="I377" t="n">
        <v/>
      </c>
      <c r="J377" t="n">
        <v/>
      </c>
      <c r="K377" t="n">
        <v/>
      </c>
      <c r="L377" t="n">
        <v>0</v>
      </c>
      <c r="M377" t="n">
        <v>0</v>
      </c>
    </row>
    <row r="378">
      <c r="A378" s="149" t="n">
        <v>32660</v>
      </c>
      <c r="B378" t="n">
        <v/>
      </c>
      <c r="C378" t="n">
        <v/>
      </c>
      <c r="D378" t="n">
        <v/>
      </c>
      <c r="E378" t="n">
        <v/>
      </c>
      <c r="F378" t="n">
        <v/>
      </c>
      <c r="G378" t="n">
        <v/>
      </c>
      <c r="H378" t="n">
        <v/>
      </c>
      <c r="I378" t="n">
        <v/>
      </c>
      <c r="J378" t="n">
        <v/>
      </c>
      <c r="K378" t="n">
        <v/>
      </c>
      <c r="L378" t="n">
        <v>0</v>
      </c>
      <c r="M378" t="n">
        <v>0</v>
      </c>
    </row>
    <row r="379">
      <c r="A379" s="149" t="n">
        <v>32690</v>
      </c>
      <c r="B379" t="n">
        <v/>
      </c>
      <c r="C379" t="n">
        <v/>
      </c>
      <c r="D379" t="n">
        <v/>
      </c>
      <c r="E379" t="n">
        <v/>
      </c>
      <c r="F379" t="n">
        <v/>
      </c>
      <c r="G379" t="n">
        <v/>
      </c>
      <c r="H379" t="n">
        <v/>
      </c>
      <c r="I379" t="n">
        <v/>
      </c>
      <c r="J379" t="n">
        <v/>
      </c>
      <c r="K379" t="n">
        <v/>
      </c>
      <c r="L379" t="n">
        <v>0</v>
      </c>
      <c r="M379" t="n">
        <v>0</v>
      </c>
    </row>
    <row r="380">
      <c r="A380" s="149" t="n">
        <v>32721</v>
      </c>
      <c r="B380" t="n">
        <v/>
      </c>
      <c r="C380" t="n">
        <v/>
      </c>
      <c r="D380" t="n">
        <v/>
      </c>
      <c r="E380" t="n">
        <v/>
      </c>
      <c r="F380" t="n">
        <v/>
      </c>
      <c r="G380" t="n">
        <v/>
      </c>
      <c r="H380" t="n">
        <v/>
      </c>
      <c r="I380" t="n">
        <v/>
      </c>
      <c r="J380" t="n">
        <v/>
      </c>
      <c r="K380" t="n">
        <v/>
      </c>
      <c r="L380" t="n">
        <v>0</v>
      </c>
      <c r="M380" t="n">
        <v>0</v>
      </c>
    </row>
    <row r="381">
      <c r="A381" s="149" t="n">
        <v>32752</v>
      </c>
      <c r="B381" t="n">
        <v/>
      </c>
      <c r="C381" t="n">
        <v/>
      </c>
      <c r="D381" t="n">
        <v/>
      </c>
      <c r="E381" t="n">
        <v/>
      </c>
      <c r="F381" t="n">
        <v/>
      </c>
      <c r="G381" t="n">
        <v/>
      </c>
      <c r="H381" t="n">
        <v/>
      </c>
      <c r="I381" t="n">
        <v/>
      </c>
      <c r="J381" t="n">
        <v/>
      </c>
      <c r="K381" t="n">
        <v/>
      </c>
      <c r="L381" t="n">
        <v>0</v>
      </c>
      <c r="M381" t="n">
        <v>0</v>
      </c>
    </row>
    <row r="382">
      <c r="A382" s="149" t="n">
        <v>32782</v>
      </c>
      <c r="B382" t="n">
        <v/>
      </c>
      <c r="C382" t="n">
        <v/>
      </c>
      <c r="D382" t="n">
        <v/>
      </c>
      <c r="E382" t="n">
        <v/>
      </c>
      <c r="F382" t="n">
        <v/>
      </c>
      <c r="G382" t="n">
        <v/>
      </c>
      <c r="H382" t="n">
        <v/>
      </c>
      <c r="I382" t="n">
        <v/>
      </c>
      <c r="J382" t="n">
        <v/>
      </c>
      <c r="K382" t="n">
        <v/>
      </c>
      <c r="L382" t="n">
        <v>0</v>
      </c>
      <c r="M382" t="n">
        <v>0</v>
      </c>
    </row>
    <row r="383">
      <c r="A383" s="149" t="n">
        <v>32813</v>
      </c>
      <c r="B383" t="n">
        <v/>
      </c>
      <c r="C383" t="n">
        <v/>
      </c>
      <c r="D383" t="n">
        <v/>
      </c>
      <c r="E383" t="n">
        <v/>
      </c>
      <c r="F383" t="n">
        <v/>
      </c>
      <c r="G383" t="n">
        <v/>
      </c>
      <c r="H383" t="n">
        <v/>
      </c>
      <c r="I383" t="n">
        <v/>
      </c>
      <c r="J383" t="n">
        <v/>
      </c>
      <c r="K383" t="n">
        <v/>
      </c>
      <c r="L383" t="n">
        <v>0</v>
      </c>
      <c r="M383" t="n">
        <v>0</v>
      </c>
    </row>
    <row r="384">
      <c r="A384" s="149" t="n">
        <v>32843</v>
      </c>
      <c r="B384" t="n">
        <v/>
      </c>
      <c r="C384" t="n">
        <v/>
      </c>
      <c r="D384" t="n">
        <v/>
      </c>
      <c r="E384" t="n">
        <v/>
      </c>
      <c r="F384" t="n">
        <v/>
      </c>
      <c r="G384" t="n">
        <v/>
      </c>
      <c r="H384" t="n">
        <v/>
      </c>
      <c r="I384" t="n">
        <v/>
      </c>
      <c r="J384" t="n">
        <v/>
      </c>
      <c r="K384" t="n">
        <v/>
      </c>
      <c r="L384" t="n">
        <v>0</v>
      </c>
      <c r="M384" t="n">
        <v>0</v>
      </c>
    </row>
    <row r="385">
      <c r="A385" s="149" t="n">
        <v>32874</v>
      </c>
      <c r="B385" t="n">
        <v/>
      </c>
      <c r="C385" t="n">
        <v/>
      </c>
      <c r="D385" t="n">
        <v/>
      </c>
      <c r="E385" t="n">
        <v/>
      </c>
      <c r="F385" t="n">
        <v/>
      </c>
      <c r="G385" t="n">
        <v/>
      </c>
      <c r="H385" t="n">
        <v/>
      </c>
      <c r="I385" t="n">
        <v/>
      </c>
      <c r="J385" t="n">
        <v/>
      </c>
      <c r="K385" t="n">
        <v/>
      </c>
      <c r="L385" t="n">
        <v>0</v>
      </c>
      <c r="M385" t="n">
        <v>0</v>
      </c>
    </row>
    <row r="386">
      <c r="A386" s="149" t="n">
        <v>32905</v>
      </c>
      <c r="B386" t="n">
        <v/>
      </c>
      <c r="C386" t="n">
        <v/>
      </c>
      <c r="D386" t="n">
        <v/>
      </c>
      <c r="E386" t="n">
        <v/>
      </c>
      <c r="F386" t="n">
        <v/>
      </c>
      <c r="G386" t="n">
        <v/>
      </c>
      <c r="H386" t="n">
        <v/>
      </c>
      <c r="I386" t="n">
        <v/>
      </c>
      <c r="J386" t="n">
        <v/>
      </c>
      <c r="K386" t="n">
        <v/>
      </c>
      <c r="L386" t="n">
        <v>0</v>
      </c>
      <c r="M386" t="n">
        <v>0</v>
      </c>
    </row>
    <row r="387">
      <c r="A387" s="149" t="n">
        <v>32933</v>
      </c>
      <c r="B387" t="n">
        <v/>
      </c>
      <c r="C387" t="n">
        <v/>
      </c>
      <c r="D387" t="n">
        <v/>
      </c>
      <c r="E387" t="n">
        <v/>
      </c>
      <c r="F387" t="n">
        <v/>
      </c>
      <c r="G387" t="n">
        <v/>
      </c>
      <c r="H387" t="n">
        <v/>
      </c>
      <c r="I387" t="n">
        <v/>
      </c>
      <c r="J387" t="n">
        <v/>
      </c>
      <c r="K387" t="n">
        <v/>
      </c>
      <c r="L387" t="n">
        <v>0</v>
      </c>
      <c r="M387" t="n">
        <v>0</v>
      </c>
    </row>
    <row r="388">
      <c r="A388" s="149" t="n">
        <v>32964</v>
      </c>
      <c r="B388" t="n">
        <v/>
      </c>
      <c r="C388" t="n">
        <v/>
      </c>
      <c r="D388" t="n">
        <v/>
      </c>
      <c r="E388" t="n">
        <v/>
      </c>
      <c r="F388" t="n">
        <v/>
      </c>
      <c r="G388" t="n">
        <v/>
      </c>
      <c r="H388" t="n">
        <v/>
      </c>
      <c r="I388" t="n">
        <v/>
      </c>
      <c r="J388" t="n">
        <v/>
      </c>
      <c r="K388" t="n">
        <v/>
      </c>
      <c r="L388" t="n">
        <v>0</v>
      </c>
      <c r="M388" t="n">
        <v>0</v>
      </c>
    </row>
    <row r="389">
      <c r="A389" s="149" t="n">
        <v>32994</v>
      </c>
      <c r="B389" t="n">
        <v/>
      </c>
      <c r="C389" t="n">
        <v/>
      </c>
      <c r="D389" t="n">
        <v/>
      </c>
      <c r="E389" t="n">
        <v/>
      </c>
      <c r="F389" t="n">
        <v/>
      </c>
      <c r="G389" t="n">
        <v/>
      </c>
      <c r="H389" t="n">
        <v/>
      </c>
      <c r="I389" t="n">
        <v/>
      </c>
      <c r="J389" t="n">
        <v/>
      </c>
      <c r="K389" t="n">
        <v/>
      </c>
      <c r="L389" t="n">
        <v>0</v>
      </c>
      <c r="M389" t="n">
        <v>0</v>
      </c>
    </row>
    <row r="390">
      <c r="A390" s="149" t="n">
        <v>33025</v>
      </c>
      <c r="B390" t="n">
        <v/>
      </c>
      <c r="C390" t="n">
        <v/>
      </c>
      <c r="D390" t="n">
        <v/>
      </c>
      <c r="E390" t="n">
        <v/>
      </c>
      <c r="F390" t="n">
        <v/>
      </c>
      <c r="G390" t="n">
        <v/>
      </c>
      <c r="H390" t="n">
        <v/>
      </c>
      <c r="I390" t="n">
        <v/>
      </c>
      <c r="J390" t="n">
        <v/>
      </c>
      <c r="K390" t="n">
        <v/>
      </c>
      <c r="L390" t="n">
        <v>0</v>
      </c>
      <c r="M390" t="n">
        <v>0</v>
      </c>
    </row>
    <row r="391">
      <c r="A391" s="149" t="n">
        <v>33055</v>
      </c>
      <c r="B391" t="n">
        <v/>
      </c>
      <c r="C391" t="n">
        <v/>
      </c>
      <c r="D391" t="n">
        <v/>
      </c>
      <c r="E391" t="n">
        <v/>
      </c>
      <c r="F391" t="n">
        <v/>
      </c>
      <c r="G391" t="n">
        <v/>
      </c>
      <c r="H391" t="n">
        <v/>
      </c>
      <c r="I391" t="n">
        <v/>
      </c>
      <c r="J391" t="n">
        <v/>
      </c>
      <c r="K391" t="n">
        <v/>
      </c>
      <c r="L391" t="n">
        <v>0</v>
      </c>
      <c r="M391" t="n">
        <v>0</v>
      </c>
    </row>
    <row r="392">
      <c r="A392" s="149" t="n">
        <v>33086</v>
      </c>
      <c r="B392" t="n">
        <v/>
      </c>
      <c r="C392" t="n">
        <v/>
      </c>
      <c r="D392" t="n">
        <v/>
      </c>
      <c r="E392" t="n">
        <v/>
      </c>
      <c r="F392" t="n">
        <v/>
      </c>
      <c r="G392" t="n">
        <v/>
      </c>
      <c r="H392" t="n">
        <v/>
      </c>
      <c r="I392" t="n">
        <v/>
      </c>
      <c r="J392" t="n">
        <v/>
      </c>
      <c r="K392" t="n">
        <v/>
      </c>
      <c r="L392" t="n">
        <v>0</v>
      </c>
      <c r="M392" t="n">
        <v>0</v>
      </c>
    </row>
    <row r="393">
      <c r="A393" s="149" t="n">
        <v>33117</v>
      </c>
      <c r="B393" t="n">
        <v/>
      </c>
      <c r="C393" t="n">
        <v/>
      </c>
      <c r="D393" t="n">
        <v/>
      </c>
      <c r="E393" t="n">
        <v/>
      </c>
      <c r="F393" t="n">
        <v/>
      </c>
      <c r="G393" t="n">
        <v/>
      </c>
      <c r="H393" t="n">
        <v/>
      </c>
      <c r="I393" t="n">
        <v/>
      </c>
      <c r="J393" t="n">
        <v/>
      </c>
      <c r="K393" t="n">
        <v/>
      </c>
      <c r="L393" t="n">
        <v>0</v>
      </c>
      <c r="M393" t="n">
        <v>0</v>
      </c>
    </row>
    <row r="394">
      <c r="A394" s="149" t="n">
        <v>33147</v>
      </c>
      <c r="B394" t="n">
        <v/>
      </c>
      <c r="C394" t="n">
        <v/>
      </c>
      <c r="D394" t="n">
        <v/>
      </c>
      <c r="E394" t="n">
        <v/>
      </c>
      <c r="F394" t="n">
        <v/>
      </c>
      <c r="G394" t="n">
        <v/>
      </c>
      <c r="H394" t="n">
        <v/>
      </c>
      <c r="I394" t="n">
        <v/>
      </c>
      <c r="J394" t="n">
        <v/>
      </c>
      <c r="K394" t="n">
        <v/>
      </c>
      <c r="L394" t="n">
        <v>0</v>
      </c>
      <c r="M394" t="n">
        <v>0</v>
      </c>
    </row>
    <row r="395">
      <c r="A395" s="149" t="n">
        <v>33178</v>
      </c>
      <c r="B395" t="n">
        <v/>
      </c>
      <c r="C395" t="n">
        <v/>
      </c>
      <c r="D395" t="n">
        <v/>
      </c>
      <c r="E395" t="n">
        <v/>
      </c>
      <c r="F395" t="n">
        <v/>
      </c>
      <c r="G395" t="n">
        <v/>
      </c>
      <c r="H395" t="n">
        <v/>
      </c>
      <c r="I395" t="n">
        <v/>
      </c>
      <c r="J395" t="n">
        <v/>
      </c>
      <c r="K395" t="n">
        <v/>
      </c>
      <c r="L395" t="n">
        <v>0</v>
      </c>
      <c r="M395" t="n">
        <v>0</v>
      </c>
    </row>
    <row r="396">
      <c r="A396" s="149" t="n">
        <v>33208</v>
      </c>
      <c r="B396" t="n">
        <v/>
      </c>
      <c r="C396" t="n">
        <v/>
      </c>
      <c r="D396" t="n">
        <v/>
      </c>
      <c r="E396" t="n">
        <v/>
      </c>
      <c r="F396" t="n">
        <v/>
      </c>
      <c r="G396" t="n">
        <v/>
      </c>
      <c r="H396" t="n">
        <v/>
      </c>
      <c r="I396" t="n">
        <v/>
      </c>
      <c r="J396" t="n">
        <v/>
      </c>
      <c r="K396" t="n">
        <v/>
      </c>
      <c r="L396" t="n">
        <v>0</v>
      </c>
      <c r="M396" t="n">
        <v>0</v>
      </c>
    </row>
    <row r="397">
      <c r="A397" s="149" t="n">
        <v>33239</v>
      </c>
      <c r="B397" t="n">
        <v/>
      </c>
      <c r="C397" t="n">
        <v/>
      </c>
      <c r="D397" t="n">
        <v/>
      </c>
      <c r="E397" t="n">
        <v/>
      </c>
      <c r="F397" t="n">
        <v/>
      </c>
      <c r="G397" t="n">
        <v/>
      </c>
      <c r="H397" t="n">
        <v/>
      </c>
      <c r="I397" t="n">
        <v/>
      </c>
      <c r="J397" t="n">
        <v/>
      </c>
      <c r="K397" t="n">
        <v/>
      </c>
      <c r="L397" t="n">
        <v>0</v>
      </c>
      <c r="M397" t="n">
        <v>0</v>
      </c>
    </row>
    <row r="398">
      <c r="A398" s="149" t="n">
        <v>33270</v>
      </c>
      <c r="B398" t="n">
        <v/>
      </c>
      <c r="C398" t="n">
        <v/>
      </c>
      <c r="D398" t="n">
        <v/>
      </c>
      <c r="E398" t="n">
        <v/>
      </c>
      <c r="F398" t="n">
        <v/>
      </c>
      <c r="G398" t="n">
        <v/>
      </c>
      <c r="H398" t="n">
        <v/>
      </c>
      <c r="I398" t="n">
        <v/>
      </c>
      <c r="J398" t="n">
        <v/>
      </c>
      <c r="K398" t="n">
        <v/>
      </c>
      <c r="L398" t="n">
        <v>0</v>
      </c>
      <c r="M398" t="n">
        <v>0</v>
      </c>
    </row>
    <row r="399">
      <c r="A399" s="149" t="n">
        <v>33298</v>
      </c>
      <c r="B399" t="n">
        <v/>
      </c>
      <c r="C399" t="n">
        <v/>
      </c>
      <c r="D399" t="n">
        <v/>
      </c>
      <c r="E399" t="n">
        <v/>
      </c>
      <c r="F399" t="n">
        <v/>
      </c>
      <c r="G399" t="n">
        <v/>
      </c>
      <c r="H399" t="n">
        <v/>
      </c>
      <c r="I399" t="n">
        <v/>
      </c>
      <c r="J399" t="n">
        <v/>
      </c>
      <c r="K399" t="n">
        <v/>
      </c>
      <c r="L399" t="n">
        <v>0</v>
      </c>
      <c r="M399" t="n">
        <v>0</v>
      </c>
    </row>
    <row r="400">
      <c r="A400" s="149" t="n">
        <v>33329</v>
      </c>
      <c r="B400" t="n">
        <v/>
      </c>
      <c r="C400" t="n">
        <v/>
      </c>
      <c r="D400" t="n">
        <v/>
      </c>
      <c r="E400" t="n">
        <v/>
      </c>
      <c r="F400" t="n">
        <v/>
      </c>
      <c r="G400" t="n">
        <v/>
      </c>
      <c r="H400" t="n">
        <v/>
      </c>
      <c r="I400" t="n">
        <v/>
      </c>
      <c r="J400" t="n">
        <v/>
      </c>
      <c r="K400" t="n">
        <v/>
      </c>
      <c r="L400" t="n">
        <v>0</v>
      </c>
      <c r="M400" t="n">
        <v>0</v>
      </c>
    </row>
    <row r="401">
      <c r="A401" s="149" t="n">
        <v>33359</v>
      </c>
      <c r="B401" t="n">
        <v/>
      </c>
      <c r="C401" t="n">
        <v/>
      </c>
      <c r="D401" t="n">
        <v/>
      </c>
      <c r="E401" t="n">
        <v/>
      </c>
      <c r="F401" t="n">
        <v/>
      </c>
      <c r="G401" t="n">
        <v/>
      </c>
      <c r="H401" t="n">
        <v/>
      </c>
      <c r="I401" t="n">
        <v/>
      </c>
      <c r="J401" t="n">
        <v/>
      </c>
      <c r="K401" t="n">
        <v/>
      </c>
      <c r="L401" t="n">
        <v>0</v>
      </c>
      <c r="M401" t="n">
        <v>0</v>
      </c>
    </row>
    <row r="402">
      <c r="A402" s="149" t="n">
        <v>33390</v>
      </c>
      <c r="B402" t="n">
        <v/>
      </c>
      <c r="C402" t="n">
        <v/>
      </c>
      <c r="D402" t="n">
        <v/>
      </c>
      <c r="E402" t="n">
        <v/>
      </c>
      <c r="F402" t="n">
        <v/>
      </c>
      <c r="G402" t="n">
        <v/>
      </c>
      <c r="H402" t="n">
        <v/>
      </c>
      <c r="I402" t="n">
        <v/>
      </c>
      <c r="J402" t="n">
        <v/>
      </c>
      <c r="K402" t="n">
        <v/>
      </c>
      <c r="L402" t="n">
        <v>0</v>
      </c>
      <c r="M402" t="n">
        <v>0</v>
      </c>
    </row>
    <row r="403">
      <c r="A403" s="149" t="n">
        <v>33420</v>
      </c>
      <c r="B403" t="n">
        <v/>
      </c>
      <c r="C403" t="n">
        <v/>
      </c>
      <c r="D403" t="n">
        <v/>
      </c>
      <c r="E403" t="n">
        <v/>
      </c>
      <c r="F403" t="n">
        <v/>
      </c>
      <c r="G403" t="n">
        <v/>
      </c>
      <c r="H403" t="n">
        <v/>
      </c>
      <c r="I403" t="n">
        <v/>
      </c>
      <c r="J403" t="n">
        <v/>
      </c>
      <c r="K403" t="n">
        <v/>
      </c>
      <c r="L403" t="n">
        <v>0</v>
      </c>
      <c r="M403" t="n">
        <v>0</v>
      </c>
    </row>
    <row r="404">
      <c r="A404" s="149" t="n">
        <v>33451</v>
      </c>
      <c r="B404" t="n">
        <v/>
      </c>
      <c r="C404" t="n">
        <v/>
      </c>
      <c r="D404" t="n">
        <v/>
      </c>
      <c r="E404" t="n">
        <v/>
      </c>
      <c r="F404" t="n">
        <v/>
      </c>
      <c r="G404" t="n">
        <v/>
      </c>
      <c r="H404" t="n">
        <v/>
      </c>
      <c r="I404" t="n">
        <v/>
      </c>
      <c r="J404" t="n">
        <v/>
      </c>
      <c r="K404" t="n">
        <v/>
      </c>
      <c r="L404" t="n">
        <v>0</v>
      </c>
      <c r="M404" t="n">
        <v>0</v>
      </c>
    </row>
    <row r="405">
      <c r="A405" s="149" t="n">
        <v>33482</v>
      </c>
      <c r="B405" t="n">
        <v/>
      </c>
      <c r="C405" t="n">
        <v/>
      </c>
      <c r="D405" t="n">
        <v/>
      </c>
      <c r="E405" t="n">
        <v/>
      </c>
      <c r="F405" t="n">
        <v/>
      </c>
      <c r="G405" t="n">
        <v/>
      </c>
      <c r="H405" t="n">
        <v/>
      </c>
      <c r="I405" t="n">
        <v/>
      </c>
      <c r="J405" t="n">
        <v/>
      </c>
      <c r="K405" t="n">
        <v/>
      </c>
      <c r="L405" t="n">
        <v>0</v>
      </c>
      <c r="M405" t="n">
        <v>0</v>
      </c>
    </row>
    <row r="406">
      <c r="A406" s="149" t="n">
        <v>33512</v>
      </c>
      <c r="B406" t="n">
        <v/>
      </c>
      <c r="C406" t="n">
        <v/>
      </c>
      <c r="D406" t="n">
        <v/>
      </c>
      <c r="E406" t="n">
        <v/>
      </c>
      <c r="F406" t="n">
        <v/>
      </c>
      <c r="G406" t="n">
        <v/>
      </c>
      <c r="H406" t="n">
        <v/>
      </c>
      <c r="I406" t="n">
        <v/>
      </c>
      <c r="J406" t="n">
        <v/>
      </c>
      <c r="K406" t="n">
        <v/>
      </c>
      <c r="L406" t="n">
        <v>0</v>
      </c>
      <c r="M406" t="n">
        <v>0</v>
      </c>
    </row>
    <row r="407">
      <c r="A407" s="149" t="n">
        <v>33543</v>
      </c>
      <c r="B407" t="n">
        <v/>
      </c>
      <c r="C407" t="n">
        <v/>
      </c>
      <c r="D407" t="n">
        <v/>
      </c>
      <c r="E407" t="n">
        <v/>
      </c>
      <c r="F407" t="n">
        <v/>
      </c>
      <c r="G407" t="n">
        <v/>
      </c>
      <c r="H407" t="n">
        <v/>
      </c>
      <c r="I407" t="n">
        <v/>
      </c>
      <c r="J407" t="n">
        <v/>
      </c>
      <c r="K407" t="n">
        <v/>
      </c>
      <c r="L407" t="n">
        <v>0</v>
      </c>
      <c r="M407" t="n">
        <v>0</v>
      </c>
    </row>
    <row r="408">
      <c r="A408" s="149" t="n">
        <v>33573</v>
      </c>
      <c r="B408" t="n">
        <v/>
      </c>
      <c r="C408" t="n">
        <v/>
      </c>
      <c r="D408" t="n">
        <v/>
      </c>
      <c r="E408" t="n">
        <v/>
      </c>
      <c r="F408" t="n">
        <v/>
      </c>
      <c r="G408" t="n">
        <v/>
      </c>
      <c r="H408" t="n">
        <v/>
      </c>
      <c r="I408" t="n">
        <v/>
      </c>
      <c r="J408" t="n">
        <v/>
      </c>
      <c r="K408" t="n">
        <v/>
      </c>
      <c r="L408" t="n">
        <v>0</v>
      </c>
      <c r="M408" t="n">
        <v>0</v>
      </c>
    </row>
    <row r="409">
      <c r="A409" s="149" t="n">
        <v>33604</v>
      </c>
      <c r="B409" t="n">
        <v/>
      </c>
      <c r="C409" t="n">
        <v/>
      </c>
      <c r="D409" t="n">
        <v/>
      </c>
      <c r="E409" t="n">
        <v/>
      </c>
      <c r="F409" t="n">
        <v/>
      </c>
      <c r="G409" t="n">
        <v/>
      </c>
      <c r="H409" t="n">
        <v/>
      </c>
      <c r="I409" t="n">
        <v/>
      </c>
      <c r="J409" t="n">
        <v/>
      </c>
      <c r="K409" t="n">
        <v>35110</v>
      </c>
      <c r="L409" t="n">
        <v>0</v>
      </c>
      <c r="M409" t="n">
        <v>0</v>
      </c>
    </row>
    <row r="410">
      <c r="A410" s="149"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49"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49"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49"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49"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49"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49"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49"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49"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49"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49"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49"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49"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49"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49"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49"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49"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49"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49"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49"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49"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49"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49"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49"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49"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49"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49"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49"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49"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49"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49"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49"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49"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49"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49"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49"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49"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49"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49"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49"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49"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49"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49"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49"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49"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49"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49"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49"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49"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49"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49"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49"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49"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49"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49"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49"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49"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49"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49"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49"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49"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49"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49"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49"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49"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49"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49"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49"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49"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49"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49"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49"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49"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49"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49"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49"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49"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49"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49"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49"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49"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49"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49"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49"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49"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49"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49"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49"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49"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49"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49"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49"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49"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49"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49"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49"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49"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49"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49"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49"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49"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49"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49"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49"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49"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49"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49"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49"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49"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49"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49"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49"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49"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49"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49"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49"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49"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49"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49"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49"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49"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49"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49"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49"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49"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49"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49"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49"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49"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49"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49"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49"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49"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49"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49"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49"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49"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49"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49"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49"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49"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49"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49"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49"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49"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49"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49"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49"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49"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49"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49"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49"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49"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49"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49"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49"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49"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49"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49"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49"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49"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49"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49"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49"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49"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49"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49"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49"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49"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49"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49"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49"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49"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49"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49"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49"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49"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49"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49"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49"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49"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49"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49"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49"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49"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49"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49"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49"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49"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49"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49"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49"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49"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49"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49"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49"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49"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49"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49"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49"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49"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49"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49"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49"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49"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49"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49"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49"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49"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49"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49"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49"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49"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49"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49"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49"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49"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49"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49"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49"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49"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49"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49"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49"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49"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49"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49"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49"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49"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49"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49"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49"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49"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49"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49"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49"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49"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49"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49"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49" t="n">
        <v>40909</v>
      </c>
      <c r="B649" t="n">
        <v>24032</v>
      </c>
      <c r="C649" t="n">
        <v>29025</v>
      </c>
      <c r="D649" t="n">
        <v>32827</v>
      </c>
      <c r="E649" t="n">
        <v>23025</v>
      </c>
      <c r="F649" t="n">
        <v>10608</v>
      </c>
      <c r="G649" t="n">
        <v>72792</v>
      </c>
      <c r="H649" t="n">
        <v>213798</v>
      </c>
      <c r="I649" t="n">
        <v>151719</v>
      </c>
      <c r="J649" t="n">
        <v>169869</v>
      </c>
      <c r="K649" t="n">
        <v>64937</v>
      </c>
      <c r="L649" t="n">
        <v>224511</v>
      </c>
      <c r="M649" t="n">
        <v>67525</v>
      </c>
    </row>
    <row r="650">
      <c r="A650" s="149" t="n">
        <v>40940</v>
      </c>
      <c r="B650" t="n">
        <v>23437</v>
      </c>
      <c r="C650" t="n">
        <v>29577</v>
      </c>
      <c r="D650" t="n">
        <v>34669</v>
      </c>
      <c r="E650" t="n">
        <v>23993</v>
      </c>
      <c r="F650" t="n">
        <v>10440</v>
      </c>
      <c r="G650" t="n">
        <v>74244</v>
      </c>
      <c r="H650" t="n">
        <v>215027</v>
      </c>
      <c r="I650" t="n">
        <v>154185</v>
      </c>
      <c r="J650" t="n">
        <v>173639</v>
      </c>
      <c r="K650" t="n">
        <v>66132</v>
      </c>
      <c r="L650" t="n">
        <v>228429</v>
      </c>
      <c r="M650" t="n">
        <v>70075</v>
      </c>
    </row>
    <row r="651">
      <c r="A651" s="149" t="n">
        <v>40969</v>
      </c>
      <c r="B651" t="n">
        <v>22871</v>
      </c>
      <c r="C651" t="n">
        <v>29980</v>
      </c>
      <c r="D651" t="n">
        <v>35027</v>
      </c>
      <c r="E651" t="n">
        <v>22863</v>
      </c>
      <c r="F651" t="n">
        <v>10562</v>
      </c>
      <c r="G651" t="n">
        <v>66147</v>
      </c>
      <c r="H651" t="n">
        <v>207437</v>
      </c>
      <c r="I651" t="n">
        <v>153583</v>
      </c>
      <c r="J651" t="n">
        <v>164506</v>
      </c>
      <c r="K651" t="n">
        <v>67944</v>
      </c>
      <c r="L651" t="n">
        <v>219730</v>
      </c>
      <c r="M651" t="n">
        <v>69719</v>
      </c>
    </row>
    <row r="652">
      <c r="A652" s="149" t="n">
        <v>41000</v>
      </c>
      <c r="B652" t="n">
        <v>23144</v>
      </c>
      <c r="C652" t="n">
        <v>29153</v>
      </c>
      <c r="D652" t="n">
        <v>33147</v>
      </c>
      <c r="E652" t="n">
        <v>23240</v>
      </c>
      <c r="F652" t="n">
        <v>10511</v>
      </c>
      <c r="G652" t="n">
        <v>67092</v>
      </c>
      <c r="H652" t="n">
        <v>208556</v>
      </c>
      <c r="I652" t="n">
        <v>151536</v>
      </c>
      <c r="J652" t="n">
        <v>161577</v>
      </c>
      <c r="K652" t="n">
        <v>66849</v>
      </c>
      <c r="L652" t="n">
        <v>218628</v>
      </c>
      <c r="M652" t="n">
        <v>67645</v>
      </c>
    </row>
    <row r="653">
      <c r="A653" s="149" t="n">
        <v>41030</v>
      </c>
      <c r="B653" t="n">
        <v>21478</v>
      </c>
      <c r="C653" t="n">
        <v>28374</v>
      </c>
      <c r="D653" t="n">
        <v>34221</v>
      </c>
      <c r="E653" t="n">
        <v>23413</v>
      </c>
      <c r="F653" t="n">
        <v>10787</v>
      </c>
      <c r="G653" t="n">
        <v>69947</v>
      </c>
      <c r="H653" t="n">
        <v>209652</v>
      </c>
      <c r="I653" t="n">
        <v>150929</v>
      </c>
      <c r="J653" t="n">
        <v>163899</v>
      </c>
      <c r="K653" t="n">
        <v>67240</v>
      </c>
      <c r="L653" t="n">
        <v>220876</v>
      </c>
      <c r="M653" t="n">
        <v>69182</v>
      </c>
    </row>
    <row r="654">
      <c r="A654" s="149" t="n">
        <v>41061</v>
      </c>
      <c r="B654" t="n">
        <v>20854</v>
      </c>
      <c r="C654" t="n">
        <v>28419</v>
      </c>
      <c r="D654" t="n">
        <v>33787</v>
      </c>
      <c r="E654" t="n">
        <v>21312</v>
      </c>
      <c r="F654" t="n">
        <v>10134</v>
      </c>
      <c r="G654" t="n">
        <v>69347</v>
      </c>
      <c r="H654" t="n">
        <v>201871</v>
      </c>
      <c r="I654" t="n">
        <v>147024</v>
      </c>
      <c r="J654" t="n">
        <v>159806</v>
      </c>
      <c r="K654" t="n">
        <v>67691</v>
      </c>
      <c r="L654" t="n">
        <v>216371</v>
      </c>
      <c r="M654" t="n">
        <v>66971</v>
      </c>
    </row>
    <row r="655">
      <c r="A655" s="149" t="n">
        <v>41091</v>
      </c>
      <c r="B655" t="n">
        <v>20895</v>
      </c>
      <c r="C655" t="n">
        <v>28407</v>
      </c>
      <c r="D655" t="n">
        <v>32376</v>
      </c>
      <c r="E655" t="n">
        <v>21477</v>
      </c>
      <c r="F655" t="n">
        <v>10294</v>
      </c>
      <c r="G655" t="n">
        <v>78015</v>
      </c>
      <c r="H655" t="n">
        <v>210138</v>
      </c>
      <c r="I655" t="n">
        <v>146060</v>
      </c>
      <c r="J655" t="n">
        <v>167134</v>
      </c>
      <c r="K655" t="n">
        <v>66900</v>
      </c>
      <c r="L655" t="n">
        <v>224075</v>
      </c>
      <c r="M655" t="n">
        <v>65070</v>
      </c>
    </row>
    <row r="656">
      <c r="A656" s="149" t="n">
        <v>41122</v>
      </c>
      <c r="B656" t="n">
        <v>20743</v>
      </c>
      <c r="C656" t="n">
        <v>28309</v>
      </c>
      <c r="D656" t="n">
        <v>29893</v>
      </c>
      <c r="E656" t="n">
        <v>20952</v>
      </c>
      <c r="F656" t="n">
        <v>10288</v>
      </c>
      <c r="G656" t="n">
        <v>60147</v>
      </c>
      <c r="H656" t="n">
        <v>192404</v>
      </c>
      <c r="I656" t="n">
        <v>142907</v>
      </c>
      <c r="J656" t="n">
        <v>147480</v>
      </c>
      <c r="K656" t="n">
        <v>65497</v>
      </c>
      <c r="L656" t="n">
        <v>203054</v>
      </c>
      <c r="M656" t="n">
        <v>63645</v>
      </c>
    </row>
    <row r="657">
      <c r="A657" s="149" t="n">
        <v>41153</v>
      </c>
      <c r="B657" t="n">
        <v>20965</v>
      </c>
      <c r="C657" t="n">
        <v>28251</v>
      </c>
      <c r="D657" t="n">
        <v>31358</v>
      </c>
      <c r="E657" t="n">
        <v>20827</v>
      </c>
      <c r="F657" t="n">
        <v>10019</v>
      </c>
      <c r="G657" t="n">
        <v>72737</v>
      </c>
      <c r="H657" t="n">
        <v>205808</v>
      </c>
      <c r="I657" t="n">
        <v>144383</v>
      </c>
      <c r="J657" t="n">
        <v>161573</v>
      </c>
      <c r="K657" t="n">
        <v>65411</v>
      </c>
      <c r="L657" t="n">
        <v>217120</v>
      </c>
      <c r="M657" t="n">
        <v>63932</v>
      </c>
    </row>
    <row r="658">
      <c r="A658" s="149" t="n">
        <v>41183</v>
      </c>
      <c r="B658" t="n">
        <v>21390</v>
      </c>
      <c r="C658" t="n">
        <v>28295</v>
      </c>
      <c r="D658" t="n">
        <v>32923</v>
      </c>
      <c r="E658" t="n">
        <v>21116</v>
      </c>
      <c r="F658" t="n">
        <v>10393</v>
      </c>
      <c r="G658" t="n">
        <v>71737</v>
      </c>
      <c r="H658" t="n">
        <v>206576</v>
      </c>
      <c r="I658" t="n">
        <v>147371</v>
      </c>
      <c r="J658" t="n">
        <v>163826</v>
      </c>
      <c r="K658" t="n">
        <v>65637</v>
      </c>
      <c r="L658" t="n">
        <v>219108</v>
      </c>
      <c r="M658" t="n">
        <v>66051</v>
      </c>
    </row>
    <row r="659">
      <c r="A659" s="149" t="n">
        <v>41214</v>
      </c>
      <c r="B659" t="n">
        <v>21281</v>
      </c>
      <c r="C659" t="n">
        <v>28503</v>
      </c>
      <c r="D659" t="n">
        <v>32312</v>
      </c>
      <c r="E659" t="n">
        <v>21197</v>
      </c>
      <c r="F659" t="n">
        <v>10751</v>
      </c>
      <c r="G659" t="n">
        <v>66873</v>
      </c>
      <c r="H659" t="n">
        <v>203305</v>
      </c>
      <c r="I659" t="n">
        <v>147150</v>
      </c>
      <c r="J659" t="n">
        <v>157271</v>
      </c>
      <c r="K659" t="n">
        <v>67449</v>
      </c>
      <c r="L659" t="n">
        <v>214023</v>
      </c>
      <c r="M659" t="n">
        <v>66204</v>
      </c>
    </row>
    <row r="660">
      <c r="A660" s="149" t="n">
        <v>41244</v>
      </c>
      <c r="B660" t="n">
        <v>21667</v>
      </c>
      <c r="C660" t="n">
        <v>27090</v>
      </c>
      <c r="D660" t="n">
        <v>31799</v>
      </c>
      <c r="E660" t="n">
        <v>22100</v>
      </c>
      <c r="F660" t="n">
        <v>10105</v>
      </c>
      <c r="G660" t="n">
        <v>86527</v>
      </c>
      <c r="H660" t="n">
        <v>211264</v>
      </c>
      <c r="I660" t="n">
        <v>146228</v>
      </c>
      <c r="J660" t="n">
        <v>175437</v>
      </c>
      <c r="K660" t="n">
        <v>67154</v>
      </c>
      <c r="L660" t="n">
        <v>232755</v>
      </c>
      <c r="M660" t="n">
        <v>66840</v>
      </c>
    </row>
    <row r="661">
      <c r="A661" s="149" t="n">
        <v>41275</v>
      </c>
      <c r="B661" t="n">
        <v>22089</v>
      </c>
      <c r="C661" t="n">
        <v>30141</v>
      </c>
      <c r="D661" t="n">
        <v>34235</v>
      </c>
      <c r="E661" t="n">
        <v>21125</v>
      </c>
      <c r="F661" t="n">
        <v>9998</v>
      </c>
      <c r="G661" t="n">
        <v>71005</v>
      </c>
      <c r="H661" t="n">
        <v>213298</v>
      </c>
      <c r="I661" t="n">
        <v>151783</v>
      </c>
      <c r="J661" t="n">
        <v>163977</v>
      </c>
      <c r="K661" t="n">
        <v>66841</v>
      </c>
      <c r="L661" t="n">
        <v>222788</v>
      </c>
      <c r="M661" t="n">
        <v>69879</v>
      </c>
    </row>
    <row r="662">
      <c r="A662" s="149" t="n">
        <v>41306</v>
      </c>
      <c r="B662" t="n">
        <v>22457</v>
      </c>
      <c r="C662" t="n">
        <v>29192</v>
      </c>
      <c r="D662" t="n">
        <v>32487</v>
      </c>
      <c r="E662" t="n">
        <v>20371</v>
      </c>
      <c r="F662" t="n">
        <v>10366</v>
      </c>
      <c r="G662" t="n">
        <v>82661</v>
      </c>
      <c r="H662" t="n">
        <v>220700</v>
      </c>
      <c r="I662" t="n">
        <v>149626</v>
      </c>
      <c r="J662" t="n">
        <v>171886</v>
      </c>
      <c r="K662" t="n">
        <v>67781</v>
      </c>
      <c r="L662" t="n">
        <v>232287</v>
      </c>
      <c r="M662" t="n">
        <v>66361</v>
      </c>
    </row>
    <row r="663">
      <c r="A663" s="149" t="n">
        <v>41334</v>
      </c>
      <c r="B663" t="n">
        <v>21178</v>
      </c>
      <c r="C663" t="n">
        <v>29733</v>
      </c>
      <c r="D663" t="n">
        <v>31326</v>
      </c>
      <c r="E663" t="n">
        <v>19580</v>
      </c>
      <c r="F663" t="n">
        <v>10080</v>
      </c>
      <c r="G663" t="n">
        <v>71051</v>
      </c>
      <c r="H663" t="n">
        <v>210080</v>
      </c>
      <c r="I663" t="n">
        <v>146226</v>
      </c>
      <c r="J663" t="n">
        <v>157898</v>
      </c>
      <c r="K663" t="n">
        <v>67952</v>
      </c>
      <c r="L663" t="n">
        <v>217277</v>
      </c>
      <c r="M663" t="n">
        <v>66318</v>
      </c>
    </row>
    <row r="664">
      <c r="A664" s="149" t="n">
        <v>41365</v>
      </c>
      <c r="B664" t="n">
        <v>21896</v>
      </c>
      <c r="C664" t="n">
        <v>29362</v>
      </c>
      <c r="D664" t="n">
        <v>31967</v>
      </c>
      <c r="E664" t="n">
        <v>21416</v>
      </c>
      <c r="F664" t="n">
        <v>10158</v>
      </c>
      <c r="G664" t="n">
        <v>78470</v>
      </c>
      <c r="H664" t="n">
        <v>216982</v>
      </c>
      <c r="I664" t="n">
        <v>149557</v>
      </c>
      <c r="J664" t="n">
        <v>167999</v>
      </c>
      <c r="K664" t="n">
        <v>66418</v>
      </c>
      <c r="L664" t="n">
        <v>228027</v>
      </c>
      <c r="M664" t="n">
        <v>67762</v>
      </c>
    </row>
    <row r="665">
      <c r="A665" s="149" t="n">
        <v>41395</v>
      </c>
      <c r="B665" t="n">
        <v>21814</v>
      </c>
      <c r="C665" t="n">
        <v>28920</v>
      </c>
      <c r="D665" t="n">
        <v>32205</v>
      </c>
      <c r="E665" t="n">
        <v>21805</v>
      </c>
      <c r="F665" t="n">
        <v>10781</v>
      </c>
      <c r="G665" t="n">
        <v>84735</v>
      </c>
      <c r="H665" t="n">
        <v>224465</v>
      </c>
      <c r="I665" t="n">
        <v>150641</v>
      </c>
      <c r="J665" t="n">
        <v>175159</v>
      </c>
      <c r="K665" t="n">
        <v>67597</v>
      </c>
      <c r="L665" t="n">
        <v>235376</v>
      </c>
      <c r="M665" t="n">
        <v>69035</v>
      </c>
    </row>
    <row r="666">
      <c r="A666" s="149" t="n">
        <v>41426</v>
      </c>
      <c r="B666" t="n">
        <v>22062</v>
      </c>
      <c r="C666" t="n">
        <v>28898</v>
      </c>
      <c r="D666" t="n">
        <v>32273</v>
      </c>
      <c r="E666" t="n">
        <v>21571</v>
      </c>
      <c r="F666" t="n">
        <v>10369</v>
      </c>
      <c r="G666" t="n">
        <v>96701</v>
      </c>
      <c r="H666" t="n">
        <v>235211</v>
      </c>
      <c r="I666" t="n">
        <v>150559</v>
      </c>
      <c r="J666" t="n">
        <v>187171</v>
      </c>
      <c r="K666" t="n">
        <v>66735</v>
      </c>
      <c r="L666" t="n">
        <v>247260</v>
      </c>
      <c r="M666" t="n">
        <v>69343</v>
      </c>
    </row>
    <row r="667">
      <c r="A667" s="149" t="n">
        <v>41456</v>
      </c>
      <c r="B667" t="n">
        <v>21296</v>
      </c>
      <c r="C667" t="n">
        <v>28683</v>
      </c>
      <c r="D667" t="n">
        <v>32321</v>
      </c>
      <c r="E667" t="n">
        <v>20922</v>
      </c>
      <c r="F667" t="n">
        <v>9934</v>
      </c>
      <c r="G667" t="n">
        <v>74679</v>
      </c>
      <c r="H667" t="n">
        <v>209913</v>
      </c>
      <c r="I667" t="n">
        <v>148258</v>
      </c>
      <c r="J667" t="n">
        <v>163879</v>
      </c>
      <c r="K667" t="n">
        <v>65819</v>
      </c>
      <c r="L667" t="n">
        <v>222937</v>
      </c>
      <c r="M667" t="n">
        <v>66316</v>
      </c>
    </row>
    <row r="668">
      <c r="A668" s="149" t="n">
        <v>41487</v>
      </c>
      <c r="B668" t="n">
        <v>21617</v>
      </c>
      <c r="C668" t="n">
        <v>29026</v>
      </c>
      <c r="D668" t="n">
        <v>30941</v>
      </c>
      <c r="E668" t="n">
        <v>20152</v>
      </c>
      <c r="F668" t="n">
        <v>10111</v>
      </c>
      <c r="G668" t="n">
        <v>74714</v>
      </c>
      <c r="H668" t="n">
        <v>211847</v>
      </c>
      <c r="I668" t="n">
        <v>147624</v>
      </c>
      <c r="J668" t="n">
        <v>162223</v>
      </c>
      <c r="K668" t="n">
        <v>66036</v>
      </c>
      <c r="L668" t="n">
        <v>222338</v>
      </c>
      <c r="M668" t="n">
        <v>65933</v>
      </c>
    </row>
    <row r="669">
      <c r="A669" s="149" t="n">
        <v>41518</v>
      </c>
      <c r="B669" t="n">
        <v>21829</v>
      </c>
      <c r="C669" t="n">
        <v>28911</v>
      </c>
      <c r="D669" t="n">
        <v>31443</v>
      </c>
      <c r="E669" t="n">
        <v>20799</v>
      </c>
      <c r="F669" t="n">
        <v>10234</v>
      </c>
      <c r="G669" t="n">
        <v>90588</v>
      </c>
      <c r="H669" t="n">
        <v>225775</v>
      </c>
      <c r="I669" t="n">
        <v>148342</v>
      </c>
      <c r="J669" t="n">
        <v>178822</v>
      </c>
      <c r="K669" t="n">
        <v>65417</v>
      </c>
      <c r="L669" t="n">
        <v>238930</v>
      </c>
      <c r="M669" t="n">
        <v>66371</v>
      </c>
    </row>
    <row r="670">
      <c r="A670" s="149" t="n">
        <v>41548</v>
      </c>
      <c r="B670" t="n">
        <v>22175</v>
      </c>
      <c r="C670" t="n">
        <v>28499</v>
      </c>
      <c r="D670" t="n">
        <v>31357</v>
      </c>
      <c r="E670" t="n">
        <v>21497</v>
      </c>
      <c r="F670" t="n">
        <v>10291</v>
      </c>
      <c r="G670" t="n">
        <v>85212</v>
      </c>
      <c r="H670" t="n">
        <v>223139</v>
      </c>
      <c r="I670" t="n">
        <v>148888</v>
      </c>
      <c r="J670" t="n">
        <v>173141</v>
      </c>
      <c r="K670" t="n">
        <v>65186</v>
      </c>
      <c r="L670" t="n">
        <v>234100</v>
      </c>
      <c r="M670" t="n">
        <v>65016</v>
      </c>
    </row>
    <row r="671">
      <c r="A671" s="149" t="n">
        <v>41579</v>
      </c>
      <c r="B671" t="n">
        <v>21827</v>
      </c>
      <c r="C671" t="n">
        <v>28815</v>
      </c>
      <c r="D671" t="n">
        <v>33105</v>
      </c>
      <c r="E671" t="n">
        <v>21702</v>
      </c>
      <c r="F671" t="n">
        <v>9442</v>
      </c>
      <c r="G671" t="n">
        <v>91506</v>
      </c>
      <c r="H671" t="n">
        <v>232225</v>
      </c>
      <c r="I671" t="n">
        <v>150582</v>
      </c>
      <c r="J671" t="n">
        <v>177119</v>
      </c>
      <c r="K671" t="n">
        <v>68009</v>
      </c>
      <c r="L671" t="n">
        <v>242088</v>
      </c>
      <c r="M671" t="n">
        <v>68053</v>
      </c>
    </row>
    <row r="672">
      <c r="A672" s="149" t="n">
        <v>41609</v>
      </c>
      <c r="B672" t="n">
        <v>20961</v>
      </c>
      <c r="C672" t="n">
        <v>26914</v>
      </c>
      <c r="D672" t="n">
        <v>34589</v>
      </c>
      <c r="E672" t="n">
        <v>20263</v>
      </c>
      <c r="F672" t="n">
        <v>10149</v>
      </c>
      <c r="G672" t="n">
        <v>88749</v>
      </c>
      <c r="H672" t="n">
        <v>227537</v>
      </c>
      <c r="I672" t="n">
        <v>148149</v>
      </c>
      <c r="J672" t="n">
        <v>175160</v>
      </c>
      <c r="K672" t="n">
        <v>67503</v>
      </c>
      <c r="L672" t="n">
        <v>236898</v>
      </c>
      <c r="M672" t="n">
        <v>67775</v>
      </c>
    </row>
    <row r="673">
      <c r="A673" s="149" t="n">
        <v>41640</v>
      </c>
      <c r="B673" t="n">
        <v>21604</v>
      </c>
      <c r="C673" t="n">
        <v>29180</v>
      </c>
      <c r="D673" t="n">
        <v>33963</v>
      </c>
      <c r="E673" t="n">
        <v>21545</v>
      </c>
      <c r="F673" t="n">
        <v>10399</v>
      </c>
      <c r="G673" t="n">
        <v>75469</v>
      </c>
      <c r="H673" t="n">
        <v>216655</v>
      </c>
      <c r="I673" t="n">
        <v>151235</v>
      </c>
      <c r="J673" t="n">
        <v>166758</v>
      </c>
      <c r="K673" t="n">
        <v>66205</v>
      </c>
      <c r="L673" t="n">
        <v>226704</v>
      </c>
      <c r="M673" t="n">
        <v>68237</v>
      </c>
    </row>
    <row r="674">
      <c r="A674" s="149" t="n">
        <v>41671</v>
      </c>
      <c r="B674" t="n">
        <v>21705</v>
      </c>
      <c r="C674" t="n">
        <v>29170</v>
      </c>
      <c r="D674" t="n">
        <v>34170</v>
      </c>
      <c r="E674" t="n">
        <v>21254</v>
      </c>
      <c r="F674" t="n">
        <v>10298</v>
      </c>
      <c r="G674" t="n">
        <v>79163</v>
      </c>
      <c r="H674" t="n">
        <v>219545</v>
      </c>
      <c r="I674" t="n">
        <v>151319</v>
      </c>
      <c r="J674" t="n">
        <v>168991</v>
      </c>
      <c r="K674" t="n">
        <v>67120</v>
      </c>
      <c r="L674" t="n">
        <v>230482</v>
      </c>
      <c r="M674" t="n">
        <v>67386</v>
      </c>
    </row>
    <row r="675">
      <c r="A675" s="149" t="n">
        <v>41699</v>
      </c>
      <c r="B675" t="n">
        <v>22141</v>
      </c>
      <c r="C675" t="n">
        <v>29465</v>
      </c>
      <c r="D675" t="n">
        <v>34421</v>
      </c>
      <c r="E675" t="n">
        <v>21560</v>
      </c>
      <c r="F675" t="n">
        <v>10677</v>
      </c>
      <c r="G675" t="n">
        <v>81807</v>
      </c>
      <c r="H675" t="n">
        <v>223009</v>
      </c>
      <c r="I675" t="n">
        <v>153561</v>
      </c>
      <c r="J675" t="n">
        <v>173176</v>
      </c>
      <c r="K675" t="n">
        <v>68135</v>
      </c>
      <c r="L675" t="n">
        <v>235368</v>
      </c>
      <c r="M675" t="n">
        <v>68683</v>
      </c>
    </row>
    <row r="676">
      <c r="A676" s="149" t="n">
        <v>41730</v>
      </c>
      <c r="B676" t="n">
        <v>21769</v>
      </c>
      <c r="C676" t="n">
        <v>29192</v>
      </c>
      <c r="D676" t="n">
        <v>32875</v>
      </c>
      <c r="E676" t="n">
        <v>21674</v>
      </c>
      <c r="F676" t="n">
        <v>10680</v>
      </c>
      <c r="G676" t="n">
        <v>83733</v>
      </c>
      <c r="H676" t="n">
        <v>216304</v>
      </c>
      <c r="I676" t="n">
        <v>151991</v>
      </c>
      <c r="J676" t="n">
        <v>174125</v>
      </c>
      <c r="K676" t="n">
        <v>66704</v>
      </c>
      <c r="L676" t="n">
        <v>235724</v>
      </c>
      <c r="M676" t="n">
        <v>66486</v>
      </c>
    </row>
    <row r="677">
      <c r="A677" s="149" t="n">
        <v>41760</v>
      </c>
      <c r="B677" t="n">
        <v>22149</v>
      </c>
      <c r="C677" t="n">
        <v>30136</v>
      </c>
      <c r="D677" t="n">
        <v>32732</v>
      </c>
      <c r="E677" t="n">
        <v>20805</v>
      </c>
      <c r="F677" t="n">
        <v>10499</v>
      </c>
      <c r="G677" t="n">
        <v>77461</v>
      </c>
      <c r="H677" t="n">
        <v>217466</v>
      </c>
      <c r="I677" t="n">
        <v>152270</v>
      </c>
      <c r="J677" t="n">
        <v>166404</v>
      </c>
      <c r="K677" t="n">
        <v>67233</v>
      </c>
      <c r="L677" t="n">
        <v>229731</v>
      </c>
      <c r="M677" t="n">
        <v>65819</v>
      </c>
    </row>
    <row r="678">
      <c r="A678" s="149" t="n">
        <v>41791</v>
      </c>
      <c r="B678" t="n">
        <v>22513</v>
      </c>
      <c r="C678" t="n">
        <v>29878</v>
      </c>
      <c r="D678" t="n">
        <v>35010</v>
      </c>
      <c r="E678" t="n">
        <v>21813</v>
      </c>
      <c r="F678" t="n">
        <v>10922</v>
      </c>
      <c r="G678" t="n">
        <v>83559</v>
      </c>
      <c r="H678" t="n">
        <v>226627</v>
      </c>
      <c r="I678" t="n">
        <v>156439</v>
      </c>
      <c r="J678" t="n">
        <v>177673</v>
      </c>
      <c r="K678" t="n">
        <v>67210</v>
      </c>
      <c r="L678" t="n">
        <v>239998</v>
      </c>
      <c r="M678" t="n">
        <v>69618</v>
      </c>
    </row>
    <row r="679">
      <c r="A679" s="149" t="n">
        <v>41821</v>
      </c>
      <c r="B679" t="n">
        <v>22669</v>
      </c>
      <c r="C679" t="n">
        <v>29922</v>
      </c>
      <c r="D679" t="n">
        <v>32864</v>
      </c>
      <c r="E679" t="n">
        <v>21178</v>
      </c>
      <c r="F679" t="n">
        <v>10698</v>
      </c>
      <c r="G679" t="n">
        <v>150828</v>
      </c>
      <c r="H679" t="n">
        <v>293790</v>
      </c>
      <c r="I679" t="n">
        <v>153393</v>
      </c>
      <c r="J679" t="n">
        <v>239368</v>
      </c>
      <c r="K679" t="n">
        <v>67196</v>
      </c>
      <c r="L679" t="n">
        <v>304221</v>
      </c>
      <c r="M679" t="n">
        <v>67842</v>
      </c>
    </row>
    <row r="680">
      <c r="A680" s="149" t="n">
        <v>41852</v>
      </c>
      <c r="B680" t="n">
        <v>22140</v>
      </c>
      <c r="C680" t="n">
        <v>30254</v>
      </c>
      <c r="D680" t="n">
        <v>34363</v>
      </c>
      <c r="E680" t="n">
        <v>21622</v>
      </c>
      <c r="F680" t="n">
        <v>10741</v>
      </c>
      <c r="G680" t="n">
        <v>79797</v>
      </c>
      <c r="H680" t="n">
        <v>224569</v>
      </c>
      <c r="I680" t="n">
        <v>155316</v>
      </c>
      <c r="J680" t="n">
        <v>170619</v>
      </c>
      <c r="K680" t="n">
        <v>69173</v>
      </c>
      <c r="L680" t="n">
        <v>235113</v>
      </c>
      <c r="M680" t="n">
        <v>68514</v>
      </c>
    </row>
    <row r="681">
      <c r="A681" s="149" t="n">
        <v>41883</v>
      </c>
      <c r="B681" t="n">
        <v>23030</v>
      </c>
      <c r="C681" t="n">
        <v>30247</v>
      </c>
      <c r="D681" t="n">
        <v>34622</v>
      </c>
      <c r="E681" t="n">
        <v>21161</v>
      </c>
      <c r="F681" t="n">
        <v>11076</v>
      </c>
      <c r="G681" t="n">
        <v>83694</v>
      </c>
      <c r="H681" t="n">
        <v>229338</v>
      </c>
      <c r="I681" t="n">
        <v>156845</v>
      </c>
      <c r="J681" t="n">
        <v>175815</v>
      </c>
      <c r="K681" t="n">
        <v>69236</v>
      </c>
      <c r="L681" t="n">
        <v>240539</v>
      </c>
      <c r="M681" t="n">
        <v>69207</v>
      </c>
    </row>
    <row r="682">
      <c r="A682" s="149" t="n">
        <v>41913</v>
      </c>
      <c r="B682" t="n">
        <v>22003</v>
      </c>
      <c r="C682" t="n">
        <v>30389</v>
      </c>
      <c r="D682" t="n">
        <v>32310</v>
      </c>
      <c r="E682" t="n">
        <v>20638</v>
      </c>
      <c r="F682" t="n">
        <v>10813</v>
      </c>
      <c r="G682" t="n">
        <v>79283</v>
      </c>
      <c r="H682" t="n">
        <v>219533</v>
      </c>
      <c r="I682" t="n">
        <v>152664</v>
      </c>
      <c r="J682" t="n">
        <v>166867</v>
      </c>
      <c r="K682" t="n">
        <v>66959</v>
      </c>
      <c r="L682" t="n">
        <v>231947</v>
      </c>
      <c r="M682" t="n">
        <v>65557</v>
      </c>
    </row>
    <row r="683">
      <c r="A683" s="149" t="n">
        <v>41944</v>
      </c>
      <c r="B683" t="n">
        <v>21119</v>
      </c>
      <c r="C683" t="n">
        <v>30027</v>
      </c>
      <c r="D683" t="n">
        <v>30906</v>
      </c>
      <c r="E683" t="n">
        <v>19832</v>
      </c>
      <c r="F683" t="n">
        <v>10825</v>
      </c>
      <c r="G683" t="n">
        <v>81306</v>
      </c>
      <c r="H683" t="n">
        <v>221162</v>
      </c>
      <c r="I683" t="n">
        <v>148984</v>
      </c>
      <c r="J683" t="n">
        <v>167086</v>
      </c>
      <c r="K683" t="n">
        <v>65797</v>
      </c>
      <c r="L683" t="n">
        <v>230290</v>
      </c>
      <c r="M683" t="n">
        <v>63687</v>
      </c>
    </row>
    <row r="684">
      <c r="A684" s="149" t="n">
        <v>41974</v>
      </c>
      <c r="B684" t="n">
        <v>21151</v>
      </c>
      <c r="C684" t="n">
        <v>30093</v>
      </c>
      <c r="D684" t="n">
        <v>31291</v>
      </c>
      <c r="E684" t="n">
        <v>19989</v>
      </c>
      <c r="F684" t="n">
        <v>11054</v>
      </c>
      <c r="G684" t="n">
        <v>74511</v>
      </c>
      <c r="H684" t="n">
        <v>213860</v>
      </c>
      <c r="I684" t="n">
        <v>150461</v>
      </c>
      <c r="J684" t="n">
        <v>159597</v>
      </c>
      <c r="K684" t="n">
        <v>67092</v>
      </c>
      <c r="L684" t="n">
        <v>224972</v>
      </c>
      <c r="M684" t="n">
        <v>66300</v>
      </c>
    </row>
    <row r="685">
      <c r="A685" s="149" t="n">
        <v>42005</v>
      </c>
      <c r="B685" t="n">
        <v>20665</v>
      </c>
      <c r="C685" t="n">
        <v>28218</v>
      </c>
      <c r="D685" t="n">
        <v>31752</v>
      </c>
      <c r="E685" t="n">
        <v>19683</v>
      </c>
      <c r="F685" t="n">
        <v>10481</v>
      </c>
      <c r="G685" t="n">
        <v>72833</v>
      </c>
      <c r="H685" t="n">
        <v>211466</v>
      </c>
      <c r="I685" t="n">
        <v>147633</v>
      </c>
      <c r="J685" t="n">
        <v>157463</v>
      </c>
      <c r="K685" t="n">
        <v>65491</v>
      </c>
      <c r="L685" t="n">
        <v>220466</v>
      </c>
      <c r="M685" t="n">
        <v>64791</v>
      </c>
    </row>
    <row r="686">
      <c r="A686" s="149" t="n">
        <v>42036</v>
      </c>
      <c r="B686" t="n">
        <v>20269</v>
      </c>
      <c r="C686" t="n">
        <v>28222</v>
      </c>
      <c r="D686" t="n">
        <v>31431</v>
      </c>
      <c r="E686" t="n">
        <v>19430</v>
      </c>
      <c r="F686" t="n">
        <v>10731</v>
      </c>
      <c r="G686" t="n">
        <v>70777</v>
      </c>
      <c r="H686" t="n">
        <v>209406</v>
      </c>
      <c r="I686" t="n">
        <v>146519</v>
      </c>
      <c r="J686" t="n">
        <v>154298</v>
      </c>
      <c r="K686" t="n">
        <v>65735</v>
      </c>
      <c r="L686" t="n">
        <v>217296</v>
      </c>
      <c r="M686" t="n">
        <v>64232</v>
      </c>
    </row>
    <row r="687">
      <c r="A687" s="149" t="n">
        <v>42064</v>
      </c>
      <c r="B687" t="n">
        <v>19109</v>
      </c>
      <c r="C687" t="n">
        <v>28278</v>
      </c>
      <c r="D687" t="n">
        <v>31230</v>
      </c>
      <c r="E687" t="n">
        <v>21180</v>
      </c>
      <c r="F687" t="n">
        <v>10866</v>
      </c>
      <c r="G687" t="n">
        <v>81215</v>
      </c>
      <c r="H687" t="n">
        <v>217526</v>
      </c>
      <c r="I687" t="n">
        <v>147167</v>
      </c>
      <c r="J687" t="n">
        <v>162504</v>
      </c>
      <c r="K687" t="n">
        <v>66307</v>
      </c>
      <c r="L687" t="n">
        <v>228382</v>
      </c>
      <c r="M687" t="n">
        <v>64712</v>
      </c>
    </row>
    <row r="688">
      <c r="A688" s="149" t="n">
        <v>42095</v>
      </c>
      <c r="B688" t="n">
        <v>19310</v>
      </c>
      <c r="C688" t="n">
        <v>28053</v>
      </c>
      <c r="D688" t="n">
        <v>31031</v>
      </c>
      <c r="E688" t="n">
        <v>20645</v>
      </c>
      <c r="F688" t="n">
        <v>10728</v>
      </c>
      <c r="G688" t="n">
        <v>79824</v>
      </c>
      <c r="H688" t="n">
        <v>215883</v>
      </c>
      <c r="I688" t="n">
        <v>146695</v>
      </c>
      <c r="J688" t="n">
        <v>161812</v>
      </c>
      <c r="K688" t="n">
        <v>65722</v>
      </c>
      <c r="L688" t="n">
        <v>226519</v>
      </c>
      <c r="M688" t="n">
        <v>64365</v>
      </c>
    </row>
    <row r="689">
      <c r="A689" s="149" t="n">
        <v>42125</v>
      </c>
      <c r="B689" t="n">
        <v>19320</v>
      </c>
      <c r="C689" t="n">
        <v>28090</v>
      </c>
      <c r="D689" t="n">
        <v>30704</v>
      </c>
      <c r="E689" t="n">
        <v>20134</v>
      </c>
      <c r="F689" t="n">
        <v>10395</v>
      </c>
      <c r="G689" t="n">
        <v>69060</v>
      </c>
      <c r="H689" t="n">
        <v>204127</v>
      </c>
      <c r="I689" t="n">
        <v>145002</v>
      </c>
      <c r="J689" t="n">
        <v>149281</v>
      </c>
      <c r="K689" t="n">
        <v>64884</v>
      </c>
      <c r="L689" t="n">
        <v>214062</v>
      </c>
      <c r="M689" t="n">
        <v>62596</v>
      </c>
    </row>
    <row r="690">
      <c r="A690" s="149" t="n">
        <v>42156</v>
      </c>
      <c r="B690" t="n">
        <v>19263</v>
      </c>
      <c r="C690" t="n">
        <v>28745</v>
      </c>
      <c r="D690" t="n">
        <v>31301</v>
      </c>
      <c r="E690" t="n">
        <v>20748</v>
      </c>
      <c r="F690" t="n">
        <v>10619</v>
      </c>
      <c r="G690" t="n">
        <v>87504</v>
      </c>
      <c r="H690" t="n">
        <v>222452</v>
      </c>
      <c r="I690" t="n">
        <v>147593</v>
      </c>
      <c r="J690" t="n">
        <v>168996</v>
      </c>
      <c r="K690" t="n">
        <v>65496</v>
      </c>
      <c r="L690" t="n">
        <v>235097</v>
      </c>
      <c r="M690" t="n">
        <v>63739</v>
      </c>
    </row>
    <row r="691">
      <c r="A691" s="149" t="n">
        <v>42186</v>
      </c>
      <c r="B691" t="n">
        <v>17917</v>
      </c>
      <c r="C691" t="n">
        <v>28647</v>
      </c>
      <c r="D691" t="n">
        <v>30851</v>
      </c>
      <c r="E691" t="n">
        <v>20748</v>
      </c>
      <c r="F691" t="n">
        <v>10561</v>
      </c>
      <c r="G691" t="n">
        <v>82660</v>
      </c>
      <c r="H691" t="n">
        <v>216416</v>
      </c>
      <c r="I691" t="n">
        <v>145962</v>
      </c>
      <c r="J691" t="n">
        <v>161459</v>
      </c>
      <c r="K691" t="n">
        <v>64938</v>
      </c>
      <c r="L691" t="n">
        <v>228622</v>
      </c>
      <c r="M691" t="n">
        <v>63551</v>
      </c>
    </row>
    <row r="692">
      <c r="A692" s="149" t="n">
        <v>42217</v>
      </c>
      <c r="B692" t="n">
        <v>18242</v>
      </c>
      <c r="C692" t="n">
        <v>27817</v>
      </c>
      <c r="D692" t="n">
        <v>31938</v>
      </c>
      <c r="E692" t="n">
        <v>20559</v>
      </c>
      <c r="F692" t="n">
        <v>10590</v>
      </c>
      <c r="G692" t="n">
        <v>77893</v>
      </c>
      <c r="H692" t="n">
        <v>215447</v>
      </c>
      <c r="I692" t="n">
        <v>146304</v>
      </c>
      <c r="J692" t="n">
        <v>158114</v>
      </c>
      <c r="K692" t="n">
        <v>64879</v>
      </c>
      <c r="L692" t="n">
        <v>224197</v>
      </c>
      <c r="M692" t="n">
        <v>63525</v>
      </c>
    </row>
    <row r="693">
      <c r="A693" s="149" t="n">
        <v>42248</v>
      </c>
      <c r="B693" t="n">
        <v>18165</v>
      </c>
      <c r="C693" t="n">
        <v>28445</v>
      </c>
      <c r="D693" t="n">
        <v>31145</v>
      </c>
      <c r="E693" t="n">
        <v>20381</v>
      </c>
      <c r="F693" t="n">
        <v>10448</v>
      </c>
      <c r="G693" t="n">
        <v>72579</v>
      </c>
      <c r="H693" t="n">
        <v>209174</v>
      </c>
      <c r="I693" t="n">
        <v>145912</v>
      </c>
      <c r="J693" t="n">
        <v>151480</v>
      </c>
      <c r="K693" t="n">
        <v>64821</v>
      </c>
      <c r="L693" t="n">
        <v>218491</v>
      </c>
      <c r="M693" t="n">
        <v>63188</v>
      </c>
    </row>
    <row r="694">
      <c r="A694" s="149" t="n">
        <v>42278</v>
      </c>
      <c r="B694" t="n">
        <v>17846</v>
      </c>
      <c r="C694" t="n">
        <v>27509</v>
      </c>
      <c r="D694" t="n">
        <v>31220</v>
      </c>
      <c r="E694" t="n">
        <v>20228</v>
      </c>
      <c r="F694" t="n">
        <v>10170</v>
      </c>
      <c r="G694" t="n">
        <v>78524</v>
      </c>
      <c r="H694" t="n">
        <v>210661</v>
      </c>
      <c r="I694" t="n">
        <v>144202</v>
      </c>
      <c r="J694" t="n">
        <v>157257</v>
      </c>
      <c r="K694" t="n">
        <v>64110</v>
      </c>
      <c r="L694" t="n">
        <v>222726</v>
      </c>
      <c r="M694" t="n">
        <v>62996</v>
      </c>
    </row>
    <row r="695">
      <c r="A695" s="149" t="n">
        <v>42309</v>
      </c>
      <c r="B695" t="n">
        <v>17524</v>
      </c>
      <c r="C695" t="n">
        <v>27755</v>
      </c>
      <c r="D695" t="n">
        <v>30404</v>
      </c>
      <c r="E695" t="n">
        <v>20056</v>
      </c>
      <c r="F695" t="n">
        <v>10386</v>
      </c>
      <c r="G695" t="n">
        <v>84175</v>
      </c>
      <c r="H695" t="n">
        <v>212466</v>
      </c>
      <c r="I695" t="n">
        <v>143541</v>
      </c>
      <c r="J695" t="n">
        <v>161313</v>
      </c>
      <c r="K695" t="n">
        <v>63224</v>
      </c>
      <c r="L695" t="n">
        <v>227716</v>
      </c>
      <c r="M695" t="n">
        <v>61848</v>
      </c>
    </row>
    <row r="696">
      <c r="A696" s="149" t="n">
        <v>42339</v>
      </c>
      <c r="B696" t="n">
        <v>17124</v>
      </c>
      <c r="C696" t="n">
        <v>27850</v>
      </c>
      <c r="D696" t="n">
        <v>28655</v>
      </c>
      <c r="E696" t="n">
        <v>20596</v>
      </c>
      <c r="F696" t="n">
        <v>10557</v>
      </c>
      <c r="G696" t="n">
        <v>78075</v>
      </c>
      <c r="H696" t="n">
        <v>209769</v>
      </c>
      <c r="I696" t="n">
        <v>142203</v>
      </c>
      <c r="J696" t="n">
        <v>154376</v>
      </c>
      <c r="K696" t="n">
        <v>63244</v>
      </c>
      <c r="L696" t="n">
        <v>220278</v>
      </c>
      <c r="M696" t="n">
        <v>60613</v>
      </c>
    </row>
    <row r="697">
      <c r="A697" s="149" t="n">
        <v>42370</v>
      </c>
      <c r="B697" t="n">
        <v>17074</v>
      </c>
      <c r="C697" t="n">
        <v>28420</v>
      </c>
      <c r="D697" t="n">
        <v>29897</v>
      </c>
      <c r="E697" t="n">
        <v>20960</v>
      </c>
      <c r="F697" t="n">
        <v>10594</v>
      </c>
      <c r="G697" t="n">
        <v>79952</v>
      </c>
      <c r="H697" t="n">
        <v>212421</v>
      </c>
      <c r="I697" t="n">
        <v>144204</v>
      </c>
      <c r="J697" t="n">
        <v>157726</v>
      </c>
      <c r="K697" t="n">
        <v>62116</v>
      </c>
      <c r="L697" t="n">
        <v>224156</v>
      </c>
      <c r="M697" t="n">
        <v>61637</v>
      </c>
    </row>
    <row r="698">
      <c r="A698" s="149" t="n">
        <v>42401</v>
      </c>
      <c r="B698" t="n">
        <v>16624</v>
      </c>
      <c r="C698" t="n">
        <v>28096</v>
      </c>
      <c r="D698" t="n">
        <v>29329</v>
      </c>
      <c r="E698" t="n">
        <v>21271</v>
      </c>
      <c r="F698" t="n">
        <v>10191</v>
      </c>
      <c r="G698" t="n">
        <v>75891</v>
      </c>
      <c r="H698" t="n">
        <v>208470</v>
      </c>
      <c r="I698" t="n">
        <v>142619</v>
      </c>
      <c r="J698" t="n">
        <v>151625</v>
      </c>
      <c r="K698" t="n">
        <v>61521</v>
      </c>
      <c r="L698" t="n">
        <v>218510</v>
      </c>
      <c r="M698" t="n">
        <v>61150</v>
      </c>
    </row>
    <row r="699">
      <c r="A699" s="149" t="n">
        <v>42430</v>
      </c>
      <c r="B699" t="n">
        <v>16547</v>
      </c>
      <c r="C699" t="n">
        <v>27216</v>
      </c>
      <c r="D699" t="n">
        <v>28993</v>
      </c>
      <c r="E699" t="n">
        <v>21033</v>
      </c>
      <c r="F699" t="n">
        <v>9848</v>
      </c>
      <c r="G699" t="n">
        <v>74816</v>
      </c>
      <c r="H699" t="n">
        <v>201996</v>
      </c>
      <c r="I699" t="n">
        <v>141372</v>
      </c>
      <c r="J699" t="n">
        <v>150655</v>
      </c>
      <c r="K699" t="n">
        <v>61133</v>
      </c>
      <c r="L699" t="n">
        <v>216188</v>
      </c>
      <c r="M699" t="n">
        <v>60583</v>
      </c>
    </row>
    <row r="700">
      <c r="A700" s="149" t="n">
        <v>42461</v>
      </c>
      <c r="B700" t="n">
        <v>16598</v>
      </c>
      <c r="C700" t="n">
        <v>28237</v>
      </c>
      <c r="D700" t="n">
        <v>28552</v>
      </c>
      <c r="E700" t="n">
        <v>21755</v>
      </c>
      <c r="F700" t="n">
        <v>9956</v>
      </c>
      <c r="G700" t="n">
        <v>82538</v>
      </c>
      <c r="H700" t="n">
        <v>211258</v>
      </c>
      <c r="I700" t="n">
        <v>142360</v>
      </c>
      <c r="J700" t="n">
        <v>159038</v>
      </c>
      <c r="K700" t="n">
        <v>61671</v>
      </c>
      <c r="L700" t="n">
        <v>224898</v>
      </c>
      <c r="M700" t="n">
        <v>60924</v>
      </c>
    </row>
    <row r="701">
      <c r="A701" s="149" t="n">
        <v>42491</v>
      </c>
      <c r="B701" t="n">
        <v>16633</v>
      </c>
      <c r="C701" t="n">
        <v>28019</v>
      </c>
      <c r="D701" t="n">
        <v>28204</v>
      </c>
      <c r="E701" t="n">
        <v>21603</v>
      </c>
      <c r="F701" t="n">
        <v>9939</v>
      </c>
      <c r="G701" t="n">
        <v>79293</v>
      </c>
      <c r="H701" t="n">
        <v>211188</v>
      </c>
      <c r="I701" t="n">
        <v>141615</v>
      </c>
      <c r="J701" t="n">
        <v>156740</v>
      </c>
      <c r="K701" t="n">
        <v>61126</v>
      </c>
      <c r="L701" t="n">
        <v>220908</v>
      </c>
      <c r="M701" t="n">
        <v>59566</v>
      </c>
    </row>
    <row r="702">
      <c r="A702" s="149" t="n">
        <v>42522</v>
      </c>
      <c r="B702" t="n">
        <v>16422</v>
      </c>
      <c r="C702" t="n">
        <v>27681</v>
      </c>
      <c r="D702" t="n">
        <v>28317</v>
      </c>
      <c r="E702" t="n">
        <v>21509</v>
      </c>
      <c r="F702" t="n">
        <v>9874</v>
      </c>
      <c r="G702" t="n">
        <v>72247</v>
      </c>
      <c r="H702" t="n">
        <v>202807</v>
      </c>
      <c r="I702" t="n">
        <v>140743</v>
      </c>
      <c r="J702" t="n">
        <v>147954</v>
      </c>
      <c r="K702" t="n">
        <v>60609</v>
      </c>
      <c r="L702" t="n">
        <v>212990</v>
      </c>
      <c r="M702" t="n">
        <v>59608</v>
      </c>
    </row>
    <row r="703">
      <c r="A703" s="149" t="n">
        <v>42552</v>
      </c>
      <c r="B703" t="n">
        <v>16721</v>
      </c>
      <c r="C703" t="n">
        <v>27783</v>
      </c>
      <c r="D703" t="n">
        <v>28850</v>
      </c>
      <c r="E703" t="n">
        <v>21512</v>
      </c>
      <c r="F703" t="n">
        <v>10246</v>
      </c>
      <c r="G703" t="n">
        <v>72207</v>
      </c>
      <c r="H703" t="n">
        <v>204914</v>
      </c>
      <c r="I703" t="n">
        <v>141693</v>
      </c>
      <c r="J703" t="n">
        <v>149687</v>
      </c>
      <c r="K703" t="n">
        <v>59441</v>
      </c>
      <c r="L703" t="n">
        <v>213900</v>
      </c>
      <c r="M703" t="n">
        <v>59809</v>
      </c>
    </row>
    <row r="704">
      <c r="A704" s="149" t="n">
        <v>42583</v>
      </c>
      <c r="B704" t="n">
        <v>16645</v>
      </c>
      <c r="C704" t="n">
        <v>27556</v>
      </c>
      <c r="D704" t="n">
        <v>29501</v>
      </c>
      <c r="E704" t="n">
        <v>21391</v>
      </c>
      <c r="F704" t="n">
        <v>10041</v>
      </c>
      <c r="G704" t="n">
        <v>81266</v>
      </c>
      <c r="H704" t="n">
        <v>209179</v>
      </c>
      <c r="I704" t="n">
        <v>141908</v>
      </c>
      <c r="J704" t="n">
        <v>158627</v>
      </c>
      <c r="K704" t="n">
        <v>59905</v>
      </c>
      <c r="L704" t="n">
        <v>223174</v>
      </c>
      <c r="M704" t="n">
        <v>61691</v>
      </c>
    </row>
    <row r="705">
      <c r="A705" s="149" t="n">
        <v>42614</v>
      </c>
      <c r="B705" t="n">
        <v>16761</v>
      </c>
      <c r="C705" t="n">
        <v>27298</v>
      </c>
      <c r="D705" t="n">
        <v>28886</v>
      </c>
      <c r="E705" t="n">
        <v>21205</v>
      </c>
      <c r="F705" t="n">
        <v>10123</v>
      </c>
      <c r="G705" t="n">
        <v>71691</v>
      </c>
      <c r="H705" t="n">
        <v>201229</v>
      </c>
      <c r="I705" t="n">
        <v>141062</v>
      </c>
      <c r="J705" t="n">
        <v>148303</v>
      </c>
      <c r="K705" t="n">
        <v>59991</v>
      </c>
      <c r="L705" t="n">
        <v>212753</v>
      </c>
      <c r="M705" t="n">
        <v>59308</v>
      </c>
    </row>
    <row r="706">
      <c r="A706" s="149" t="n">
        <v>42644</v>
      </c>
      <c r="B706" t="n">
        <v>16742</v>
      </c>
      <c r="C706" t="n">
        <v>28303</v>
      </c>
      <c r="D706" t="n">
        <v>29010</v>
      </c>
      <c r="E706" t="n">
        <v>20922</v>
      </c>
      <c r="F706" t="n">
        <v>10150</v>
      </c>
      <c r="G706" t="n">
        <v>96379</v>
      </c>
      <c r="H706" t="n">
        <v>225358</v>
      </c>
      <c r="I706" t="n">
        <v>141987</v>
      </c>
      <c r="J706" t="n">
        <v>174438</v>
      </c>
      <c r="K706" t="n">
        <v>59411</v>
      </c>
      <c r="L706" t="n">
        <v>238366</v>
      </c>
      <c r="M706" t="n">
        <v>59351</v>
      </c>
    </row>
    <row r="707">
      <c r="A707" s="149" t="n">
        <v>42675</v>
      </c>
      <c r="B707" t="n">
        <v>17295</v>
      </c>
      <c r="C707" t="n">
        <v>28256</v>
      </c>
      <c r="D707" t="n">
        <v>28794</v>
      </c>
      <c r="E707" t="n">
        <v>20849</v>
      </c>
      <c r="F707" t="n">
        <v>10265</v>
      </c>
      <c r="G707" t="n">
        <v>77423</v>
      </c>
      <c r="H707" t="n">
        <v>202565</v>
      </c>
      <c r="I707" t="n">
        <v>142386</v>
      </c>
      <c r="J707" t="n">
        <v>156039</v>
      </c>
      <c r="K707" t="n">
        <v>59487</v>
      </c>
      <c r="L707" t="n">
        <v>219809</v>
      </c>
      <c r="M707" t="n">
        <v>59244</v>
      </c>
    </row>
    <row r="708">
      <c r="A708" s="149" t="n">
        <v>42705</v>
      </c>
      <c r="B708" t="n">
        <v>17358</v>
      </c>
      <c r="C708" t="n">
        <v>27416</v>
      </c>
      <c r="D708" t="n">
        <v>29063</v>
      </c>
      <c r="E708" t="n">
        <v>21377</v>
      </c>
      <c r="F708" t="n">
        <v>10576</v>
      </c>
      <c r="G708" t="n">
        <v>73781</v>
      </c>
      <c r="H708" t="n">
        <v>201103</v>
      </c>
      <c r="I708" t="n">
        <v>142620</v>
      </c>
      <c r="J708" t="n">
        <v>151674</v>
      </c>
      <c r="K708" t="n">
        <v>60013</v>
      </c>
      <c r="L708" t="n">
        <v>216401</v>
      </c>
      <c r="M708" t="n">
        <v>59539</v>
      </c>
    </row>
    <row r="709">
      <c r="A709" s="149" t="n">
        <v>42736</v>
      </c>
      <c r="B709" t="n">
        <v>17767</v>
      </c>
      <c r="C709" t="n">
        <v>27949</v>
      </c>
      <c r="D709" t="n">
        <v>29553</v>
      </c>
      <c r="E709" t="n">
        <v>21416</v>
      </c>
      <c r="F709" t="n">
        <v>10576</v>
      </c>
      <c r="G709" t="n">
        <v>72701</v>
      </c>
      <c r="H709" t="n">
        <v>206243</v>
      </c>
      <c r="I709" t="n">
        <v>144995</v>
      </c>
      <c r="J709" t="n">
        <v>153023</v>
      </c>
      <c r="K709" t="n">
        <v>59778</v>
      </c>
      <c r="L709" t="n">
        <v>217696</v>
      </c>
      <c r="M709" t="n">
        <v>60419</v>
      </c>
    </row>
    <row r="710">
      <c r="A710" s="149" t="n">
        <v>42767</v>
      </c>
      <c r="B710" t="n">
        <v>18278</v>
      </c>
      <c r="C710" t="n">
        <v>27387</v>
      </c>
      <c r="D710" t="n">
        <v>29430</v>
      </c>
      <c r="E710" t="n">
        <v>21789</v>
      </c>
      <c r="F710" t="n">
        <v>10535</v>
      </c>
      <c r="G710" t="n">
        <v>69658</v>
      </c>
      <c r="H710" t="n">
        <v>210003</v>
      </c>
      <c r="I710" t="n">
        <v>145319</v>
      </c>
      <c r="J710" t="n">
        <v>151001</v>
      </c>
      <c r="K710" t="n">
        <v>59987</v>
      </c>
      <c r="L710" t="n">
        <v>214977</v>
      </c>
      <c r="M710" t="n">
        <v>60740</v>
      </c>
    </row>
    <row r="711">
      <c r="A711" s="149" t="n">
        <v>42795</v>
      </c>
      <c r="B711" t="n">
        <v>18435</v>
      </c>
      <c r="C711" t="n">
        <v>29026</v>
      </c>
      <c r="D711" t="n">
        <v>30188</v>
      </c>
      <c r="E711" t="n">
        <v>21068</v>
      </c>
      <c r="F711" t="n">
        <v>10579</v>
      </c>
      <c r="G711" t="n">
        <v>74893</v>
      </c>
      <c r="H711" t="n">
        <v>210478</v>
      </c>
      <c r="I711" t="n">
        <v>146922</v>
      </c>
      <c r="J711" t="n">
        <v>157865</v>
      </c>
      <c r="K711" t="n">
        <v>60681</v>
      </c>
      <c r="L711" t="n">
        <v>221815</v>
      </c>
      <c r="M711" t="n">
        <v>61013</v>
      </c>
    </row>
    <row r="712">
      <c r="A712" s="149" t="n">
        <v>42826</v>
      </c>
      <c r="B712" t="n">
        <v>18356</v>
      </c>
      <c r="C712" t="n">
        <v>28187</v>
      </c>
      <c r="D712" t="n">
        <v>30432</v>
      </c>
      <c r="E712" t="n">
        <v>21249</v>
      </c>
      <c r="F712" t="n">
        <v>10411</v>
      </c>
      <c r="G712" t="n">
        <v>77002</v>
      </c>
      <c r="H712" t="n">
        <v>211179</v>
      </c>
      <c r="I712" t="n">
        <v>146163</v>
      </c>
      <c r="J712" t="n">
        <v>160341</v>
      </c>
      <c r="K712" t="n">
        <v>60445</v>
      </c>
      <c r="L712" t="n">
        <v>223165</v>
      </c>
      <c r="M712" t="n">
        <v>61308</v>
      </c>
    </row>
    <row r="713">
      <c r="A713" s="149" t="n">
        <v>42856</v>
      </c>
      <c r="B713" t="n">
        <v>18545</v>
      </c>
      <c r="C713" t="n">
        <v>28757</v>
      </c>
      <c r="D713" t="n">
        <v>30820</v>
      </c>
      <c r="E713" t="n">
        <v>21310</v>
      </c>
      <c r="F713" t="n">
        <v>10517</v>
      </c>
      <c r="G713" t="n">
        <v>73305</v>
      </c>
      <c r="H713" t="n">
        <v>209836</v>
      </c>
      <c r="I713" t="n">
        <v>147528</v>
      </c>
      <c r="J713" t="n">
        <v>156192</v>
      </c>
      <c r="K713" t="n">
        <v>61109</v>
      </c>
      <c r="L713" t="n">
        <v>220833</v>
      </c>
      <c r="M713" t="n">
        <v>61404</v>
      </c>
    </row>
    <row r="714">
      <c r="A714" s="149" t="n">
        <v>42887</v>
      </c>
      <c r="B714" t="n">
        <v>18514</v>
      </c>
      <c r="C714" t="n">
        <v>28505</v>
      </c>
      <c r="D714" t="n">
        <v>30453</v>
      </c>
      <c r="E714" t="n">
        <v>21044</v>
      </c>
      <c r="F714" t="n">
        <v>10059</v>
      </c>
      <c r="G714" t="n">
        <v>92849</v>
      </c>
      <c r="H714" t="n">
        <v>226112</v>
      </c>
      <c r="I714" t="n">
        <v>146109</v>
      </c>
      <c r="J714" t="n">
        <v>174911</v>
      </c>
      <c r="K714" t="n">
        <v>60720</v>
      </c>
      <c r="L714" t="n">
        <v>238958</v>
      </c>
      <c r="M714" t="n">
        <v>60378</v>
      </c>
    </row>
    <row r="715">
      <c r="A715" s="149" t="n">
        <v>42917</v>
      </c>
      <c r="B715" t="n">
        <v>18695</v>
      </c>
      <c r="C715" t="n">
        <v>28879</v>
      </c>
      <c r="D715" t="n">
        <v>30687</v>
      </c>
      <c r="E715" t="n">
        <v>21851</v>
      </c>
      <c r="F715" t="n">
        <v>10022</v>
      </c>
      <c r="G715" t="n">
        <v>73546</v>
      </c>
      <c r="H715" t="n">
        <v>208934</v>
      </c>
      <c r="I715" t="n">
        <v>147906</v>
      </c>
      <c r="J715" t="n">
        <v>158851</v>
      </c>
      <c r="K715" t="n">
        <v>60854</v>
      </c>
      <c r="L715" t="n">
        <v>221452</v>
      </c>
      <c r="M715" t="n">
        <v>61535</v>
      </c>
    </row>
    <row r="716">
      <c r="A716" s="149" t="n">
        <v>42948</v>
      </c>
      <c r="B716" t="n">
        <v>19360</v>
      </c>
      <c r="C716" t="n">
        <v>29078</v>
      </c>
      <c r="D716" t="n">
        <v>30481</v>
      </c>
      <c r="E716" t="n">
        <v>21724</v>
      </c>
      <c r="F716" t="n">
        <v>10263</v>
      </c>
      <c r="G716" t="n">
        <v>74107</v>
      </c>
      <c r="H716" t="n">
        <v>211561</v>
      </c>
      <c r="I716" t="n">
        <v>148674</v>
      </c>
      <c r="J716" t="n">
        <v>158587</v>
      </c>
      <c r="K716" t="n">
        <v>61707</v>
      </c>
      <c r="L716" t="n">
        <v>222781</v>
      </c>
      <c r="M716" t="n">
        <v>61552</v>
      </c>
    </row>
    <row r="717">
      <c r="A717" s="149" t="n">
        <v>42979</v>
      </c>
      <c r="B717" t="n">
        <v>18811</v>
      </c>
      <c r="C717" t="n">
        <v>29780</v>
      </c>
      <c r="D717" t="n">
        <v>30880</v>
      </c>
      <c r="E717" t="n">
        <v>22353</v>
      </c>
      <c r="F717" t="n">
        <v>10613</v>
      </c>
      <c r="G717" t="n">
        <v>82953</v>
      </c>
      <c r="H717" t="n">
        <v>214530</v>
      </c>
      <c r="I717" t="n">
        <v>150573</v>
      </c>
      <c r="J717" t="n">
        <v>169627</v>
      </c>
      <c r="K717" t="n">
        <v>62405</v>
      </c>
      <c r="L717" t="n">
        <v>233526</v>
      </c>
      <c r="M717" t="n">
        <v>64088</v>
      </c>
    </row>
    <row r="718">
      <c r="A718" s="149" t="n">
        <v>43009</v>
      </c>
      <c r="B718" t="n">
        <v>19652</v>
      </c>
      <c r="C718" t="n">
        <v>29571</v>
      </c>
      <c r="D718" t="n">
        <v>32079</v>
      </c>
      <c r="E718" t="n">
        <v>22167</v>
      </c>
      <c r="F718" t="n">
        <v>10665</v>
      </c>
      <c r="G718" t="n">
        <v>76892</v>
      </c>
      <c r="H718" t="n">
        <v>218187</v>
      </c>
      <c r="I718" t="n">
        <v>152791</v>
      </c>
      <c r="J718" t="n">
        <v>164246</v>
      </c>
      <c r="K718" t="n">
        <v>62741</v>
      </c>
      <c r="L718" t="n">
        <v>229683</v>
      </c>
      <c r="M718" t="n">
        <v>63703</v>
      </c>
    </row>
    <row r="719">
      <c r="A719" s="149" t="n">
        <v>43040</v>
      </c>
      <c r="B719" t="n">
        <v>19619</v>
      </c>
      <c r="C719" t="n">
        <v>30077</v>
      </c>
      <c r="D719" t="n">
        <v>30927</v>
      </c>
      <c r="E719" t="n">
        <v>22833</v>
      </c>
      <c r="F719" t="n">
        <v>10645</v>
      </c>
      <c r="G719" t="n">
        <v>83472</v>
      </c>
      <c r="H719" t="n">
        <v>223365</v>
      </c>
      <c r="I719" t="n">
        <v>153425</v>
      </c>
      <c r="J719" t="n">
        <v>170535</v>
      </c>
      <c r="K719" t="n">
        <v>63498</v>
      </c>
      <c r="L719" t="n">
        <v>236897</v>
      </c>
      <c r="M719" t="n">
        <v>63645</v>
      </c>
    </row>
    <row r="720">
      <c r="A720" s="149" t="n">
        <v>43070</v>
      </c>
      <c r="B720" t="n">
        <v>19651</v>
      </c>
      <c r="C720" t="n">
        <v>30366</v>
      </c>
      <c r="D720" t="n">
        <v>31987</v>
      </c>
      <c r="E720" t="n">
        <v>21855</v>
      </c>
      <c r="F720" t="n">
        <v>10748</v>
      </c>
      <c r="G720" t="n">
        <v>80684</v>
      </c>
      <c r="H720" t="n">
        <v>226348</v>
      </c>
      <c r="I720" t="n">
        <v>154358</v>
      </c>
      <c r="J720" t="n">
        <v>169117</v>
      </c>
      <c r="K720" t="n">
        <v>63977</v>
      </c>
      <c r="L720" t="n">
        <v>235042</v>
      </c>
      <c r="M720" t="n">
        <v>63795</v>
      </c>
    </row>
    <row r="721">
      <c r="A721" s="149" t="n">
        <v>43101</v>
      </c>
      <c r="B721" t="n">
        <v>20045</v>
      </c>
      <c r="C721" t="n">
        <v>30658</v>
      </c>
      <c r="D721" t="n">
        <v>31674</v>
      </c>
      <c r="E721" t="n">
        <v>21694</v>
      </c>
      <c r="F721" t="n">
        <v>10502</v>
      </c>
      <c r="G721" t="n">
        <v>71387</v>
      </c>
      <c r="H721" t="n">
        <v>215201</v>
      </c>
      <c r="I721" t="n">
        <v>153988</v>
      </c>
      <c r="J721" t="n">
        <v>158706</v>
      </c>
      <c r="K721" t="n">
        <v>63556</v>
      </c>
      <c r="L721" t="n">
        <v>225375</v>
      </c>
      <c r="M721" t="n">
        <v>63324</v>
      </c>
    </row>
    <row r="722">
      <c r="A722" s="149" t="n">
        <v>43132</v>
      </c>
      <c r="B722" t="n">
        <v>20835</v>
      </c>
      <c r="C722" t="n">
        <v>30968</v>
      </c>
      <c r="D722" t="n">
        <v>32460</v>
      </c>
      <c r="E722" t="n">
        <v>21341</v>
      </c>
      <c r="F722" t="n">
        <v>10779</v>
      </c>
      <c r="G722" t="n">
        <v>74250</v>
      </c>
      <c r="H722" t="n">
        <v>216508</v>
      </c>
      <c r="I722" t="n">
        <v>156117</v>
      </c>
      <c r="J722" t="n">
        <v>163066</v>
      </c>
      <c r="K722" t="n">
        <v>64012</v>
      </c>
      <c r="L722" t="n">
        <v>230367</v>
      </c>
      <c r="M722" t="n">
        <v>64087</v>
      </c>
    </row>
    <row r="723">
      <c r="A723" s="149" t="n">
        <v>43160</v>
      </c>
      <c r="B723" t="n">
        <v>21181</v>
      </c>
      <c r="C723" t="n">
        <v>31923</v>
      </c>
      <c r="D723" t="n">
        <v>31836</v>
      </c>
      <c r="E723" t="n">
        <v>21408</v>
      </c>
      <c r="F723" t="n">
        <v>10876</v>
      </c>
      <c r="G723" t="n">
        <v>82192</v>
      </c>
      <c r="H723" t="n">
        <v>228341</v>
      </c>
      <c r="I723" t="n">
        <v>156933</v>
      </c>
      <c r="J723" t="n">
        <v>171976</v>
      </c>
      <c r="K723" t="n">
        <v>63867</v>
      </c>
      <c r="L723" t="n">
        <v>239125</v>
      </c>
      <c r="M723" t="n">
        <v>63553</v>
      </c>
    </row>
    <row r="724">
      <c r="A724" s="149" t="n">
        <v>43191</v>
      </c>
      <c r="B724" t="n">
        <v>21959</v>
      </c>
      <c r="C724" t="n">
        <v>32221</v>
      </c>
      <c r="D724" t="n">
        <v>32280</v>
      </c>
      <c r="E724" t="n">
        <v>21856</v>
      </c>
      <c r="F724" t="n">
        <v>11022</v>
      </c>
      <c r="G724" t="n">
        <v>80453</v>
      </c>
      <c r="H724" t="n">
        <v>228749</v>
      </c>
      <c r="I724" t="n">
        <v>159378</v>
      </c>
      <c r="J724" t="n">
        <v>170999</v>
      </c>
      <c r="K724" t="n">
        <v>65011</v>
      </c>
      <c r="L724" t="n">
        <v>239831</v>
      </c>
      <c r="M724" t="n">
        <v>64909</v>
      </c>
    </row>
    <row r="725">
      <c r="A725" s="149" t="n">
        <v>43221</v>
      </c>
      <c r="B725" t="n">
        <v>21989</v>
      </c>
      <c r="C725" t="n">
        <v>32337</v>
      </c>
      <c r="D725" t="n">
        <v>33533</v>
      </c>
      <c r="E725" t="n">
        <v>22150</v>
      </c>
      <c r="F725" t="n">
        <v>11016</v>
      </c>
      <c r="G725" t="n">
        <v>79915</v>
      </c>
      <c r="H725" t="n">
        <v>226554</v>
      </c>
      <c r="I725" t="n">
        <v>161173</v>
      </c>
      <c r="J725" t="n">
        <v>175471</v>
      </c>
      <c r="K725" t="n">
        <v>65092</v>
      </c>
      <c r="L725" t="n">
        <v>241088</v>
      </c>
      <c r="M725" t="n">
        <v>66231</v>
      </c>
    </row>
    <row r="726">
      <c r="A726" s="149" t="n">
        <v>43252</v>
      </c>
      <c r="B726" t="n">
        <v>21982</v>
      </c>
      <c r="C726" t="n">
        <v>32344</v>
      </c>
      <c r="D726" t="n">
        <v>33808</v>
      </c>
      <c r="E726" t="n">
        <v>22335</v>
      </c>
      <c r="F726" t="n">
        <v>11168</v>
      </c>
      <c r="G726" t="n">
        <v>79556</v>
      </c>
      <c r="H726" t="n">
        <v>226427</v>
      </c>
      <c r="I726" t="n">
        <v>161822</v>
      </c>
      <c r="J726" t="n">
        <v>173527</v>
      </c>
      <c r="K726" t="n">
        <v>65980</v>
      </c>
      <c r="L726" t="n">
        <v>241378</v>
      </c>
      <c r="M726" t="n">
        <v>67247</v>
      </c>
    </row>
    <row r="727">
      <c r="A727" s="149" t="n">
        <v>43282</v>
      </c>
      <c r="B727" t="n">
        <v>22084</v>
      </c>
      <c r="C727" t="n">
        <v>32251</v>
      </c>
      <c r="D727" t="n">
        <v>34160</v>
      </c>
      <c r="E727" t="n">
        <v>22478</v>
      </c>
      <c r="F727" t="n">
        <v>11106</v>
      </c>
      <c r="G727" t="n">
        <v>71618</v>
      </c>
      <c r="H727" t="n">
        <v>222741</v>
      </c>
      <c r="I727" t="n">
        <v>162169</v>
      </c>
      <c r="J727" t="n">
        <v>164780</v>
      </c>
      <c r="K727" t="n">
        <v>66517</v>
      </c>
      <c r="L727" t="n">
        <v>233787</v>
      </c>
      <c r="M727" t="n">
        <v>68749</v>
      </c>
    </row>
    <row r="728">
      <c r="A728" s="149" t="n">
        <v>43313</v>
      </c>
      <c r="B728" t="n">
        <v>21863</v>
      </c>
      <c r="C728" t="n">
        <v>31965</v>
      </c>
      <c r="D728" t="n">
        <v>33335</v>
      </c>
      <c r="E728" t="n">
        <v>22193</v>
      </c>
      <c r="F728" t="n">
        <v>11169</v>
      </c>
      <c r="G728" t="n">
        <v>87873</v>
      </c>
      <c r="H728" t="n">
        <v>230514</v>
      </c>
      <c r="I728" t="n">
        <v>160301</v>
      </c>
      <c r="J728" t="n">
        <v>179888</v>
      </c>
      <c r="K728" t="n">
        <v>66126</v>
      </c>
      <c r="L728" t="n">
        <v>248174</v>
      </c>
      <c r="M728" t="n">
        <v>66798</v>
      </c>
    </row>
    <row r="729">
      <c r="A729" s="149" t="n">
        <v>43344</v>
      </c>
      <c r="B729" t="n">
        <v>21740</v>
      </c>
      <c r="C729" t="n">
        <v>31305</v>
      </c>
      <c r="D729" t="n">
        <v>33662</v>
      </c>
      <c r="E729" t="n">
        <v>21724</v>
      </c>
      <c r="F729" t="n">
        <v>11103</v>
      </c>
      <c r="G729" t="n">
        <v>85583</v>
      </c>
      <c r="H729" t="n">
        <v>225632</v>
      </c>
      <c r="I729" t="n">
        <v>159376</v>
      </c>
      <c r="J729" t="n">
        <v>176616</v>
      </c>
      <c r="K729" t="n">
        <v>65978</v>
      </c>
      <c r="L729" t="n">
        <v>244959</v>
      </c>
      <c r="M729" t="n">
        <v>66399</v>
      </c>
    </row>
    <row r="730">
      <c r="A730" s="149" t="n">
        <v>43374</v>
      </c>
      <c r="B730" t="n">
        <v>21833</v>
      </c>
      <c r="C730" t="n">
        <v>31559</v>
      </c>
      <c r="D730" t="n">
        <v>34214</v>
      </c>
      <c r="E730" t="n">
        <v>22537</v>
      </c>
      <c r="F730" t="n">
        <v>11308</v>
      </c>
      <c r="G730" t="n">
        <v>78497</v>
      </c>
      <c r="H730" t="n">
        <v>224668</v>
      </c>
      <c r="I730" t="n">
        <v>160988</v>
      </c>
      <c r="J730" t="n">
        <v>170058</v>
      </c>
      <c r="K730" t="n">
        <v>66450</v>
      </c>
      <c r="L730" t="n">
        <v>239485</v>
      </c>
      <c r="M730" t="n">
        <v>67104</v>
      </c>
    </row>
    <row r="731">
      <c r="A731" s="149" t="n">
        <v>43405</v>
      </c>
      <c r="B731" t="n">
        <v>21438</v>
      </c>
      <c r="C731" t="n">
        <v>31962</v>
      </c>
      <c r="D731" t="n">
        <v>31364</v>
      </c>
      <c r="E731" t="n">
        <v>22597</v>
      </c>
      <c r="F731" t="n">
        <v>10903</v>
      </c>
      <c r="G731" t="n">
        <v>72091</v>
      </c>
      <c r="H731" t="n">
        <v>214673</v>
      </c>
      <c r="I731" t="n">
        <v>157324</v>
      </c>
      <c r="J731" t="n">
        <v>160838</v>
      </c>
      <c r="K731" t="n">
        <v>65739</v>
      </c>
      <c r="L731" t="n">
        <v>229415</v>
      </c>
      <c r="M731" t="n">
        <v>64292</v>
      </c>
    </row>
    <row r="732">
      <c r="A732" s="149" t="n">
        <v>43435</v>
      </c>
      <c r="B732" t="n">
        <v>21299</v>
      </c>
      <c r="C732" t="n">
        <v>31929</v>
      </c>
      <c r="D732" t="n">
        <v>32331</v>
      </c>
      <c r="E732" t="n">
        <v>22470</v>
      </c>
      <c r="F732" t="n">
        <v>10884</v>
      </c>
      <c r="G732" t="n">
        <v>84231</v>
      </c>
      <c r="H732" t="n">
        <v>230978</v>
      </c>
      <c r="I732" t="n">
        <v>158140</v>
      </c>
      <c r="J732" t="n">
        <v>172950</v>
      </c>
      <c r="K732" t="n">
        <v>66066</v>
      </c>
      <c r="L732" t="n">
        <v>242371</v>
      </c>
      <c r="M732" t="n">
        <v>64894</v>
      </c>
    </row>
    <row r="733">
      <c r="A733" s="149" t="n">
        <v>43466</v>
      </c>
      <c r="B733" t="n">
        <v>20097</v>
      </c>
      <c r="C733" t="n">
        <v>31899</v>
      </c>
      <c r="D733" t="n">
        <v>33372</v>
      </c>
      <c r="E733" t="n">
        <v>22092</v>
      </c>
      <c r="F733" t="n">
        <v>10918</v>
      </c>
      <c r="G733" t="n">
        <v>94833</v>
      </c>
      <c r="H733" t="n">
        <v>239654</v>
      </c>
      <c r="I733" t="n">
        <v>157472</v>
      </c>
      <c r="J733" t="n">
        <v>183707</v>
      </c>
      <c r="K733" t="n">
        <v>65825</v>
      </c>
      <c r="L733" t="n">
        <v>252305</v>
      </c>
      <c r="M733" t="n">
        <v>65841</v>
      </c>
    </row>
    <row r="734">
      <c r="A734" s="149" t="n">
        <v>43497</v>
      </c>
      <c r="B734" t="n">
        <v>20659</v>
      </c>
      <c r="C734" t="n">
        <v>31883</v>
      </c>
      <c r="D734" t="n">
        <v>32674</v>
      </c>
      <c r="E734" t="n">
        <v>21831</v>
      </c>
      <c r="F734" t="n">
        <v>10899</v>
      </c>
      <c r="G734" t="n">
        <v>86261</v>
      </c>
      <c r="H734" t="n">
        <v>230943</v>
      </c>
      <c r="I734" t="n">
        <v>156980</v>
      </c>
      <c r="J734" t="n">
        <v>174574</v>
      </c>
      <c r="K734" t="n">
        <v>65952</v>
      </c>
      <c r="L734" t="n">
        <v>243241</v>
      </c>
      <c r="M734" t="n">
        <v>65221</v>
      </c>
    </row>
    <row r="735">
      <c r="A735" s="149" t="n">
        <v>43525</v>
      </c>
      <c r="B735" t="n">
        <v>20480</v>
      </c>
      <c r="C735" t="n">
        <v>31435</v>
      </c>
      <c r="D735" t="n">
        <v>32516</v>
      </c>
      <c r="E735" t="n">
        <v>22183</v>
      </c>
      <c r="F735" t="n">
        <v>11181</v>
      </c>
      <c r="G735" t="n">
        <v>99157</v>
      </c>
      <c r="H735" t="n">
        <v>239381</v>
      </c>
      <c r="I735" t="n">
        <v>156767</v>
      </c>
      <c r="J735" t="n">
        <v>186986</v>
      </c>
      <c r="K735" t="n">
        <v>65892</v>
      </c>
      <c r="L735" t="n">
        <v>255924</v>
      </c>
      <c r="M735" t="n">
        <v>66457</v>
      </c>
    </row>
    <row r="736">
      <c r="A736" s="149" t="n">
        <v>43556</v>
      </c>
      <c r="B736" t="n">
        <v>20466</v>
      </c>
      <c r="C736" t="n">
        <v>32121</v>
      </c>
      <c r="D736" t="n">
        <v>32665</v>
      </c>
      <c r="E736" t="n">
        <v>22571</v>
      </c>
      <c r="F736" t="n">
        <v>11283</v>
      </c>
      <c r="G736" t="n">
        <v>94823</v>
      </c>
      <c r="H736" t="n">
        <v>237159</v>
      </c>
      <c r="I736" t="n">
        <v>157850</v>
      </c>
      <c r="J736" t="n">
        <v>186141</v>
      </c>
      <c r="K736" t="n">
        <v>66315</v>
      </c>
      <c r="L736" t="n">
        <v>252673</v>
      </c>
      <c r="M736" t="n">
        <v>65737</v>
      </c>
    </row>
    <row r="737">
      <c r="A737" s="149" t="n">
        <v>43586</v>
      </c>
      <c r="B737" t="n">
        <v>20044</v>
      </c>
      <c r="C737" t="n">
        <v>32035</v>
      </c>
      <c r="D737" t="n">
        <v>32752</v>
      </c>
      <c r="E737" t="n">
        <v>22247</v>
      </c>
      <c r="F737" t="n">
        <v>11236</v>
      </c>
      <c r="G737" t="n">
        <v>82353</v>
      </c>
      <c r="H737" t="n">
        <v>225087</v>
      </c>
      <c r="I737" t="n">
        <v>157491</v>
      </c>
      <c r="J737" t="n">
        <v>172609</v>
      </c>
      <c r="K737" t="n">
        <v>66597</v>
      </c>
      <c r="L737" t="n">
        <v>239844</v>
      </c>
      <c r="M737" t="n">
        <v>65271</v>
      </c>
    </row>
    <row r="738">
      <c r="A738" s="149" t="n">
        <v>43617</v>
      </c>
      <c r="B738" t="n">
        <v>20419</v>
      </c>
      <c r="C738" t="n">
        <v>32315</v>
      </c>
      <c r="D738" t="n">
        <v>33198</v>
      </c>
      <c r="E738" t="n">
        <v>22159</v>
      </c>
      <c r="F738" t="n">
        <v>11494</v>
      </c>
      <c r="G738" t="n">
        <v>85886</v>
      </c>
      <c r="H738" t="n">
        <v>236096</v>
      </c>
      <c r="I738" t="n">
        <v>158841</v>
      </c>
      <c r="J738" t="n">
        <v>176033</v>
      </c>
      <c r="K738" t="n">
        <v>66297</v>
      </c>
      <c r="L738" t="n">
        <v>244727</v>
      </c>
      <c r="M738" t="n">
        <v>66139</v>
      </c>
    </row>
    <row r="739">
      <c r="A739" s="149" t="n">
        <v>43647</v>
      </c>
      <c r="B739" t="n">
        <v>19853</v>
      </c>
      <c r="C739" t="n">
        <v>32216</v>
      </c>
      <c r="D739" t="n">
        <v>32224</v>
      </c>
      <c r="E739" t="n">
        <v>22156</v>
      </c>
      <c r="F739" t="n">
        <v>11456</v>
      </c>
      <c r="G739" t="n">
        <v>92805</v>
      </c>
      <c r="H739" t="n">
        <v>236007</v>
      </c>
      <c r="I739" t="n">
        <v>156943</v>
      </c>
      <c r="J739" t="n">
        <v>181883</v>
      </c>
      <c r="K739" t="n">
        <v>65881</v>
      </c>
      <c r="L739" t="n">
        <v>249748</v>
      </c>
      <c r="M739" t="n">
        <v>65823</v>
      </c>
    </row>
    <row r="740">
      <c r="A740" s="149" t="n">
        <v>43678</v>
      </c>
      <c r="B740" t="n">
        <v>19709</v>
      </c>
      <c r="C740" t="n">
        <v>32362</v>
      </c>
      <c r="D740" t="n">
        <v>32623</v>
      </c>
      <c r="E740" t="n">
        <v>22152</v>
      </c>
      <c r="F740" t="n">
        <v>11232</v>
      </c>
      <c r="G740" t="n">
        <v>88540</v>
      </c>
      <c r="H740" t="n">
        <v>230663</v>
      </c>
      <c r="I740" t="n">
        <v>157074</v>
      </c>
      <c r="J740" t="n">
        <v>178316</v>
      </c>
      <c r="K740" t="n">
        <v>65847</v>
      </c>
      <c r="L740" t="n">
        <v>245614</v>
      </c>
      <c r="M740" t="n">
        <v>65593</v>
      </c>
    </row>
    <row r="741">
      <c r="A741" s="149" t="n">
        <v>43709</v>
      </c>
      <c r="B741" t="n">
        <v>19471</v>
      </c>
      <c r="C741" t="n">
        <v>31504</v>
      </c>
      <c r="D741" t="n">
        <v>32814</v>
      </c>
      <c r="E741" t="n">
        <v>22039</v>
      </c>
      <c r="F741" t="n">
        <v>11294</v>
      </c>
      <c r="G741" t="n">
        <v>89205</v>
      </c>
      <c r="H741" t="n">
        <v>228583</v>
      </c>
      <c r="I741" t="n">
        <v>156112</v>
      </c>
      <c r="J741" t="n">
        <v>178552</v>
      </c>
      <c r="K741" t="n">
        <v>65250</v>
      </c>
      <c r="L741" t="n">
        <v>245317</v>
      </c>
      <c r="M741" t="n">
        <v>65187</v>
      </c>
    </row>
    <row r="742">
      <c r="A742" s="149" t="n">
        <v>43739</v>
      </c>
      <c r="B742" t="n">
        <v>19236</v>
      </c>
      <c r="C742" t="n">
        <v>31678</v>
      </c>
      <c r="D742" t="n">
        <v>32987</v>
      </c>
      <c r="E742" t="n">
        <v>21855</v>
      </c>
      <c r="F742" t="n">
        <v>11193</v>
      </c>
      <c r="G742" t="n">
        <v>94655</v>
      </c>
      <c r="H742" t="n">
        <v>231646</v>
      </c>
      <c r="I742" t="n">
        <v>156018</v>
      </c>
      <c r="J742" t="n">
        <v>184702</v>
      </c>
      <c r="K742" t="n">
        <v>65403</v>
      </c>
      <c r="L742" t="n">
        <v>250673</v>
      </c>
      <c r="M742" t="n">
        <v>65642</v>
      </c>
    </row>
    <row r="743">
      <c r="A743" s="149" t="n">
        <v>43770</v>
      </c>
      <c r="B743" t="n">
        <v>19840</v>
      </c>
      <c r="C743" t="n">
        <v>31947</v>
      </c>
      <c r="D743" t="n">
        <v>32206</v>
      </c>
      <c r="E743" t="n">
        <v>22041</v>
      </c>
      <c r="F743" t="n">
        <v>11253</v>
      </c>
      <c r="G743" t="n">
        <v>77906</v>
      </c>
      <c r="H743" t="n">
        <v>223422</v>
      </c>
      <c r="I743" t="n">
        <v>156261</v>
      </c>
      <c r="J743" t="n">
        <v>168277</v>
      </c>
      <c r="K743" t="n">
        <v>65034</v>
      </c>
      <c r="L743" t="n">
        <v>234167</v>
      </c>
      <c r="M743" t="n">
        <v>65189</v>
      </c>
    </row>
    <row r="744">
      <c r="A744" s="149" t="n">
        <v>43800</v>
      </c>
      <c r="B744" t="n">
        <v>19237</v>
      </c>
      <c r="C744" t="n">
        <v>31332</v>
      </c>
      <c r="D744" t="n">
        <v>31602</v>
      </c>
      <c r="E744" t="n">
        <v>21965</v>
      </c>
      <c r="F744" t="n">
        <v>11197</v>
      </c>
      <c r="G744" t="n">
        <v>85927</v>
      </c>
      <c r="H744" t="n">
        <v>220138</v>
      </c>
      <c r="I744" t="n">
        <v>154416</v>
      </c>
      <c r="J744" t="n">
        <v>175060</v>
      </c>
      <c r="K744" t="n">
        <v>65223</v>
      </c>
      <c r="L744" t="n">
        <v>240343</v>
      </c>
      <c r="M744" t="n">
        <v>65045</v>
      </c>
    </row>
    <row r="745">
      <c r="A745" s="149" t="n">
        <v>43831</v>
      </c>
      <c r="B745" t="n">
        <v>19217</v>
      </c>
      <c r="C745" t="n">
        <v>30820</v>
      </c>
      <c r="D745" t="n">
        <v>32031</v>
      </c>
      <c r="E745" t="n">
        <v>22629</v>
      </c>
      <c r="F745" t="n">
        <v>11017</v>
      </c>
      <c r="G745" t="n">
        <v>73989</v>
      </c>
      <c r="H745" t="n">
        <v>216266</v>
      </c>
      <c r="I745" t="n">
        <v>154889</v>
      </c>
      <c r="J745" t="n">
        <v>164144</v>
      </c>
      <c r="K745" t="n">
        <v>65297</v>
      </c>
      <c r="L745" t="n">
        <v>228878</v>
      </c>
      <c r="M745" t="n">
        <v>65765</v>
      </c>
    </row>
    <row r="746">
      <c r="A746" s="149" t="n">
        <v>43862</v>
      </c>
      <c r="B746" t="n">
        <v>19169</v>
      </c>
      <c r="C746" t="n">
        <v>30551</v>
      </c>
      <c r="D746" t="n">
        <v>31308</v>
      </c>
      <c r="E746" t="n">
        <v>22704</v>
      </c>
      <c r="F746" t="n">
        <v>11236</v>
      </c>
      <c r="G746" t="n">
        <v>76895</v>
      </c>
      <c r="H746" t="n">
        <v>214429</v>
      </c>
      <c r="I746" t="n">
        <v>154006</v>
      </c>
      <c r="J746" t="n">
        <v>164739</v>
      </c>
      <c r="K746" t="n">
        <v>64967</v>
      </c>
      <c r="L746" t="n">
        <v>230901</v>
      </c>
      <c r="M746" t="n">
        <v>64885</v>
      </c>
    </row>
    <row r="747">
      <c r="A747" s="149" t="n">
        <v>43891</v>
      </c>
      <c r="B747" t="n">
        <v>17935</v>
      </c>
      <c r="C747" t="n">
        <v>28792</v>
      </c>
      <c r="D747" t="n">
        <v>31101</v>
      </c>
      <c r="E747" t="n">
        <v>22617</v>
      </c>
      <c r="F747" t="n">
        <v>11446</v>
      </c>
      <c r="G747" t="n">
        <v>32465</v>
      </c>
      <c r="H747" t="n">
        <v>166862</v>
      </c>
      <c r="I747" t="n">
        <v>150552</v>
      </c>
      <c r="J747" t="n">
        <v>125115</v>
      </c>
      <c r="K747" t="n">
        <v>64064</v>
      </c>
      <c r="L747" t="n">
        <v>183017</v>
      </c>
      <c r="M747" t="n">
        <v>64103</v>
      </c>
    </row>
    <row r="748">
      <c r="A748" s="149" t="n">
        <v>43922</v>
      </c>
      <c r="B748" t="n">
        <v>15615</v>
      </c>
      <c r="C748" t="n">
        <v>24962</v>
      </c>
      <c r="D748" t="n">
        <v>28238</v>
      </c>
      <c r="E748" t="n">
        <v>22605</v>
      </c>
      <c r="F748" t="n">
        <v>10129</v>
      </c>
      <c r="G748" t="n">
        <v>23950</v>
      </c>
      <c r="H748" t="n">
        <v>149372</v>
      </c>
      <c r="I748" t="n">
        <v>137883</v>
      </c>
      <c r="J748" t="n">
        <v>121997</v>
      </c>
      <c r="K748" t="n">
        <v>59402</v>
      </c>
      <c r="L748" t="n">
        <v>161833</v>
      </c>
      <c r="M748" t="n">
        <v>59872</v>
      </c>
    </row>
    <row r="749">
      <c r="A749" s="149" t="n">
        <v>43952</v>
      </c>
      <c r="B749" t="n">
        <v>16103</v>
      </c>
      <c r="C749" t="n">
        <v>26975</v>
      </c>
      <c r="D749" t="n">
        <v>29246</v>
      </c>
      <c r="E749" t="n">
        <v>22699</v>
      </c>
      <c r="F749" t="n">
        <v>10288</v>
      </c>
      <c r="G749" t="n">
        <v>35952</v>
      </c>
      <c r="H749" t="n">
        <v>166186</v>
      </c>
      <c r="I749" t="n">
        <v>143011</v>
      </c>
      <c r="J749" t="n">
        <v>134339</v>
      </c>
      <c r="K749" t="n">
        <v>60874</v>
      </c>
      <c r="L749" t="n">
        <v>178963</v>
      </c>
      <c r="M749" t="n">
        <v>61297</v>
      </c>
    </row>
    <row r="750">
      <c r="A750" s="149" t="n">
        <v>43983</v>
      </c>
      <c r="B750" t="n">
        <v>17719</v>
      </c>
      <c r="C750" t="n">
        <v>29075</v>
      </c>
      <c r="D750" t="n">
        <v>30519</v>
      </c>
      <c r="E750" t="n">
        <v>22999</v>
      </c>
      <c r="F750" t="n">
        <v>10435</v>
      </c>
      <c r="G750" t="n">
        <v>48591</v>
      </c>
      <c r="H750" t="n">
        <v>187472</v>
      </c>
      <c r="I750" t="n">
        <v>150635</v>
      </c>
      <c r="J750" t="n">
        <v>135912</v>
      </c>
      <c r="K750" t="n">
        <v>63672</v>
      </c>
      <c r="L750" t="n">
        <v>199226</v>
      </c>
      <c r="M750" t="n">
        <v>64300</v>
      </c>
    </row>
    <row r="751">
      <c r="A751" s="149" t="n">
        <v>44013</v>
      </c>
      <c r="B751" t="n">
        <v>18203</v>
      </c>
      <c r="C751" t="n">
        <v>30303</v>
      </c>
      <c r="D751" t="n">
        <v>31520</v>
      </c>
      <c r="E751" t="n">
        <v>23302</v>
      </c>
      <c r="F751" t="n">
        <v>11154</v>
      </c>
      <c r="G751" t="n">
        <v>62848</v>
      </c>
      <c r="H751" t="n">
        <v>205339</v>
      </c>
      <c r="I751" t="n">
        <v>155900</v>
      </c>
      <c r="J751" t="n">
        <v>146079</v>
      </c>
      <c r="K751" t="n">
        <v>65681</v>
      </c>
      <c r="L751" t="n">
        <v>218748</v>
      </c>
      <c r="M751" t="n">
        <v>66189</v>
      </c>
    </row>
    <row r="752">
      <c r="A752" s="149" t="n">
        <v>44044</v>
      </c>
      <c r="B752" t="n">
        <v>18738</v>
      </c>
      <c r="C752" t="n">
        <v>30310</v>
      </c>
      <c r="D752" t="n">
        <v>32251</v>
      </c>
      <c r="E752" t="n">
        <v>23790</v>
      </c>
      <c r="F752" t="n">
        <v>11040</v>
      </c>
      <c r="G752" t="n">
        <v>65007</v>
      </c>
      <c r="H752" t="n">
        <v>210181</v>
      </c>
      <c r="I752" t="n">
        <v>158055</v>
      </c>
      <c r="J752" t="n">
        <v>151866</v>
      </c>
      <c r="K752" t="n">
        <v>67055</v>
      </c>
      <c r="L752" t="n">
        <v>223062</v>
      </c>
      <c r="M752" t="n">
        <v>67791</v>
      </c>
    </row>
    <row r="753">
      <c r="A753" s="149" t="n">
        <v>44075</v>
      </c>
      <c r="B753" t="n">
        <v>19293</v>
      </c>
      <c r="C753" t="n">
        <v>30998</v>
      </c>
      <c r="D753" t="n">
        <v>32547</v>
      </c>
      <c r="E753" t="n">
        <v>23658</v>
      </c>
      <c r="F753" t="n">
        <v>11198</v>
      </c>
      <c r="G753" t="n">
        <v>66550</v>
      </c>
      <c r="H753" t="n">
        <v>215572</v>
      </c>
      <c r="I753" t="n">
        <v>160114</v>
      </c>
      <c r="J753" t="n">
        <v>154765</v>
      </c>
      <c r="K753" t="n">
        <v>67319</v>
      </c>
      <c r="L753" t="n">
        <v>226664</v>
      </c>
      <c r="M753" t="n">
        <v>68646</v>
      </c>
    </row>
    <row r="754">
      <c r="A754" s="149" t="n">
        <v>44105</v>
      </c>
      <c r="B754" t="n">
        <v>19679</v>
      </c>
      <c r="C754" t="n">
        <v>31692</v>
      </c>
      <c r="D754" t="n">
        <v>32893</v>
      </c>
      <c r="E754" t="n">
        <v>24445</v>
      </c>
      <c r="F754" t="n">
        <v>11354</v>
      </c>
      <c r="G754" t="n">
        <v>65906</v>
      </c>
      <c r="H754" t="n">
        <v>215790</v>
      </c>
      <c r="I754" t="n">
        <v>162930</v>
      </c>
      <c r="J754" t="n">
        <v>157040</v>
      </c>
      <c r="K754" t="n">
        <v>68790</v>
      </c>
      <c r="L754" t="n">
        <v>228836</v>
      </c>
      <c r="M754" t="n">
        <v>69626</v>
      </c>
    </row>
    <row r="755">
      <c r="A755" s="149" t="n">
        <v>44136</v>
      </c>
      <c r="B755" t="n">
        <v>20065</v>
      </c>
      <c r="C755" t="n">
        <v>31623</v>
      </c>
      <c r="D755" t="n">
        <v>32966</v>
      </c>
      <c r="E755" t="n">
        <v>24559</v>
      </c>
      <c r="F755" t="n">
        <v>11421</v>
      </c>
      <c r="G755" t="n">
        <v>69598</v>
      </c>
      <c r="H755" t="n">
        <v>220355</v>
      </c>
      <c r="I755" t="n">
        <v>164240</v>
      </c>
      <c r="J755" t="n">
        <v>160496</v>
      </c>
      <c r="K755" t="n">
        <v>69601</v>
      </c>
      <c r="L755" t="n">
        <v>233838</v>
      </c>
      <c r="M755" t="n">
        <v>70563</v>
      </c>
    </row>
    <row r="756">
      <c r="A756" s="149" t="n">
        <v>44166</v>
      </c>
      <c r="B756" t="n">
        <v>20298</v>
      </c>
      <c r="C756" t="n">
        <v>32789</v>
      </c>
      <c r="D756" t="n">
        <v>34392</v>
      </c>
      <c r="E756" t="n">
        <v>24561</v>
      </c>
      <c r="F756" t="n">
        <v>11784</v>
      </c>
      <c r="G756" t="n">
        <v>69879</v>
      </c>
      <c r="H756" t="n">
        <v>226260</v>
      </c>
      <c r="I756" t="n">
        <v>167549</v>
      </c>
      <c r="J756" t="n">
        <v>162628</v>
      </c>
      <c r="K756" t="n">
        <v>70042</v>
      </c>
      <c r="L756" t="n">
        <v>237428</v>
      </c>
      <c r="M756" t="n">
        <v>71619</v>
      </c>
    </row>
    <row r="757">
      <c r="A757" s="149" t="n">
        <v>44197</v>
      </c>
      <c r="B757" t="n">
        <v>20852</v>
      </c>
      <c r="C757" t="n">
        <v>33731</v>
      </c>
      <c r="D757" t="n">
        <v>34411</v>
      </c>
      <c r="E757" t="n">
        <v>24715</v>
      </c>
      <c r="F757" t="n">
        <v>12338</v>
      </c>
      <c r="G757" t="n">
        <v>72159</v>
      </c>
      <c r="H757" t="n">
        <v>227501</v>
      </c>
      <c r="I757" t="n">
        <v>171001</v>
      </c>
      <c r="J757" t="n">
        <v>168315</v>
      </c>
      <c r="K757" t="n">
        <v>71414</v>
      </c>
      <c r="L757" t="n">
        <v>243160</v>
      </c>
      <c r="M757" t="n">
        <v>72386</v>
      </c>
    </row>
    <row r="758">
      <c r="A758" s="149" t="n">
        <v>44228</v>
      </c>
      <c r="B758" t="n">
        <v>20840</v>
      </c>
      <c r="C758" t="n">
        <v>33691</v>
      </c>
      <c r="D758" t="n">
        <v>34488</v>
      </c>
      <c r="E758" t="n">
        <v>24536</v>
      </c>
      <c r="F758" t="n">
        <v>12534</v>
      </c>
      <c r="G758" t="n">
        <v>76183</v>
      </c>
      <c r="H758" t="n">
        <v>230452</v>
      </c>
      <c r="I758" t="n">
        <v>170078</v>
      </c>
      <c r="J758" t="n">
        <v>176058</v>
      </c>
      <c r="K758" t="n">
        <v>70785</v>
      </c>
      <c r="L758" t="n">
        <v>246261</v>
      </c>
      <c r="M758" t="n">
        <v>72150</v>
      </c>
    </row>
    <row r="759">
      <c r="A759" s="149" t="n">
        <v>44256</v>
      </c>
      <c r="B759" t="n">
        <v>21959</v>
      </c>
      <c r="C759" t="n">
        <v>36034</v>
      </c>
      <c r="D759" t="n">
        <v>35598</v>
      </c>
      <c r="E759" t="n">
        <v>24675</v>
      </c>
      <c r="F759" t="n">
        <v>12521</v>
      </c>
      <c r="G759" t="n">
        <v>73843</v>
      </c>
      <c r="H759" t="n">
        <v>235711</v>
      </c>
      <c r="I759" t="n">
        <v>175624</v>
      </c>
      <c r="J759" t="n">
        <v>177221</v>
      </c>
      <c r="K759" t="n">
        <v>71883</v>
      </c>
      <c r="L759" t="n">
        <v>249467</v>
      </c>
      <c r="M759" t="n">
        <v>73318</v>
      </c>
    </row>
    <row r="760">
      <c r="A760" s="149" t="n">
        <v>44287</v>
      </c>
      <c r="B760" t="n">
        <v>23133</v>
      </c>
      <c r="C760" t="n">
        <v>36597</v>
      </c>
      <c r="D760" t="n">
        <v>36400</v>
      </c>
      <c r="E760" t="n">
        <v>24787</v>
      </c>
      <c r="F760" t="n">
        <v>12579</v>
      </c>
      <c r="G760" t="n">
        <v>68988</v>
      </c>
      <c r="H760" t="n">
        <v>236886</v>
      </c>
      <c r="I760" t="n">
        <v>178656</v>
      </c>
      <c r="J760" t="n">
        <v>179098</v>
      </c>
      <c r="K760" t="n">
        <v>72559</v>
      </c>
      <c r="L760" t="n">
        <v>247644</v>
      </c>
      <c r="M760" t="n">
        <v>75315</v>
      </c>
    </row>
    <row r="761">
      <c r="A761" s="149" t="n">
        <v>44317</v>
      </c>
      <c r="B761" t="n">
        <v>23829</v>
      </c>
      <c r="C761" t="n">
        <v>35863</v>
      </c>
      <c r="D761" t="n">
        <v>36616</v>
      </c>
      <c r="E761" t="n">
        <v>24777</v>
      </c>
      <c r="F761" t="n">
        <v>12959</v>
      </c>
      <c r="G761" t="n">
        <v>75889</v>
      </c>
      <c r="H761" t="n">
        <v>243568</v>
      </c>
      <c r="I761" t="n">
        <v>179640</v>
      </c>
      <c r="J761" t="n">
        <v>185820</v>
      </c>
      <c r="K761" t="n">
        <v>73260</v>
      </c>
      <c r="L761" t="n">
        <v>255529</v>
      </c>
      <c r="M761" t="n">
        <v>75742</v>
      </c>
    </row>
    <row r="762">
      <c r="A762" s="149" t="n">
        <v>44348</v>
      </c>
      <c r="B762" t="n">
        <v>24033</v>
      </c>
      <c r="C762" t="n">
        <v>35446</v>
      </c>
      <c r="D762" t="n">
        <v>37393</v>
      </c>
      <c r="E762" t="n">
        <v>24973</v>
      </c>
      <c r="F762" t="n">
        <v>12981</v>
      </c>
      <c r="G762" t="n">
        <v>76929</v>
      </c>
      <c r="H762" t="n">
        <v>245971</v>
      </c>
      <c r="I762" t="n">
        <v>180734</v>
      </c>
      <c r="J762" t="n">
        <v>186999</v>
      </c>
      <c r="K762" t="n">
        <v>73732</v>
      </c>
      <c r="L762" t="n">
        <v>257663</v>
      </c>
      <c r="M762" t="n">
        <v>76530</v>
      </c>
    </row>
    <row r="763">
      <c r="A763" s="149" t="n">
        <v>44378</v>
      </c>
      <c r="B763" t="n">
        <v>24442</v>
      </c>
      <c r="C763" t="n">
        <v>35720</v>
      </c>
      <c r="D763" t="n">
        <v>38524</v>
      </c>
      <c r="E763" t="n">
        <v>24950</v>
      </c>
      <c r="F763" t="n">
        <v>12859</v>
      </c>
      <c r="G763" t="n">
        <v>76636</v>
      </c>
      <c r="H763" t="n">
        <v>244787</v>
      </c>
      <c r="I763" t="n">
        <v>182210</v>
      </c>
      <c r="J763" t="n">
        <v>186219</v>
      </c>
      <c r="K763" t="n">
        <v>74393</v>
      </c>
      <c r="L763" t="n">
        <v>258846</v>
      </c>
      <c r="M763" t="n">
        <v>76736</v>
      </c>
    </row>
    <row r="764">
      <c r="A764" s="149" t="n">
        <v>44409</v>
      </c>
      <c r="B764" t="n">
        <v>24118</v>
      </c>
      <c r="C764" t="n">
        <v>36439</v>
      </c>
      <c r="D764" t="n">
        <v>38129</v>
      </c>
      <c r="E764" t="n">
        <v>25341</v>
      </c>
      <c r="F764" t="n">
        <v>13034</v>
      </c>
      <c r="G764" t="n">
        <v>80747</v>
      </c>
      <c r="H764" t="n">
        <v>250697</v>
      </c>
      <c r="I764" t="n">
        <v>182829</v>
      </c>
      <c r="J764" t="n">
        <v>192482</v>
      </c>
      <c r="K764" t="n">
        <v>74956</v>
      </c>
      <c r="L764" t="n">
        <v>263576</v>
      </c>
      <c r="M764" t="n">
        <v>77206</v>
      </c>
    </row>
    <row r="765">
      <c r="A765" s="149" t="n">
        <v>44440</v>
      </c>
      <c r="B765" t="n">
        <v>24207</v>
      </c>
      <c r="C765" t="n">
        <v>36735</v>
      </c>
      <c r="D765" t="n">
        <v>38757</v>
      </c>
      <c r="E765" t="n">
        <v>25211</v>
      </c>
      <c r="F765" t="n">
        <v>13248</v>
      </c>
      <c r="G765" t="n">
        <v>77271</v>
      </c>
      <c r="H765" t="n">
        <v/>
      </c>
      <c r="I765" t="n">
        <v>184082</v>
      </c>
      <c r="J765" t="n">
        <v>191094</v>
      </c>
      <c r="K765" t="n">
        <v/>
      </c>
      <c r="L765" t="n">
        <v>261353</v>
      </c>
      <c r="M765" t="n">
        <v>78190</v>
      </c>
    </row>
    <row r="766">
      <c r="A766" s="149" t="n">
        <v>44470</v>
      </c>
      <c r="B766" t="n">
        <v>24438</v>
      </c>
      <c r="C766" t="n">
        <v>36511</v>
      </c>
      <c r="D766" t="n">
        <v>38569</v>
      </c>
      <c r="E766" t="n">
        <v>25449</v>
      </c>
      <c r="F766" t="n">
        <v>13454</v>
      </c>
      <c r="G766" t="n">
        <v>77042</v>
      </c>
      <c r="H766" t="n">
        <v/>
      </c>
      <c r="I766" t="n">
        <v>184686</v>
      </c>
      <c r="J766" t="n">
        <v>189188</v>
      </c>
      <c r="K766" t="n">
        <v/>
      </c>
      <c r="L766" t="n">
        <v>261728</v>
      </c>
      <c r="M766" t="n">
        <v>78819</v>
      </c>
    </row>
    <row r="767">
      <c r="A767" s="149" t="n">
        <v>44501</v>
      </c>
      <c r="B767" t="n">
        <v>24424</v>
      </c>
      <c r="C767" t="n">
        <v>36998</v>
      </c>
      <c r="D767" t="n">
        <v>38231</v>
      </c>
      <c r="E767" t="n">
        <v>26508</v>
      </c>
      <c r="F767" t="n">
        <v>13433</v>
      </c>
      <c r="G767" t="n">
        <v>83357</v>
      </c>
      <c r="H767" t="n">
        <v/>
      </c>
      <c r="I767" t="n">
        <v>186682</v>
      </c>
      <c r="J767" t="n">
        <v>196196</v>
      </c>
      <c r="K767" t="n">
        <v/>
      </c>
      <c r="L767" t="n">
        <v>270039</v>
      </c>
      <c r="M767" t="n">
        <v>78973</v>
      </c>
    </row>
    <row r="768">
      <c r="A768" s="149" t="n">
        <v>44531</v>
      </c>
      <c r="B768" t="n">
        <v>24937</v>
      </c>
      <c r="C768" t="n">
        <v>37689</v>
      </c>
      <c r="D768" t="n">
        <v>38309</v>
      </c>
      <c r="E768" t="n">
        <v>25784</v>
      </c>
      <c r="F768" t="n">
        <v>13454</v>
      </c>
      <c r="G768" t="n">
        <v>80306</v>
      </c>
      <c r="H768" t="n">
        <v/>
      </c>
      <c r="I768" t="n">
        <v>187882</v>
      </c>
      <c r="J768" t="n">
        <v>192388</v>
      </c>
      <c r="K768" t="n">
        <v/>
      </c>
      <c r="L768" t="n">
        <v>268188</v>
      </c>
      <c r="M768" t="n">
        <v>79183</v>
      </c>
    </row>
    <row r="769">
      <c r="A769" s="149" t="n">
        <v>44562</v>
      </c>
      <c r="B769" t="n">
        <v>25292</v>
      </c>
      <c r="C769" t="n">
        <v>37524</v>
      </c>
      <c r="D769" t="n">
        <v>39614</v>
      </c>
      <c r="E769" t="n">
        <v>25791</v>
      </c>
      <c r="F769" t="n">
        <v>13338</v>
      </c>
      <c r="G769" t="n">
        <v>87637</v>
      </c>
      <c r="H769" t="n">
        <v/>
      </c>
      <c r="I769" t="n">
        <v>189818</v>
      </c>
      <c r="J769" t="n">
        <v>202069</v>
      </c>
      <c r="K769" t="n">
        <v/>
      </c>
      <c r="L769" t="n">
        <v>277455</v>
      </c>
      <c r="M769" t="n">
        <v>79986</v>
      </c>
    </row>
    <row r="770">
      <c r="A770" s="149" t="n">
        <v>44593</v>
      </c>
      <c r="B770" t="n">
        <v>24929</v>
      </c>
      <c r="C770" t="n">
        <v>37435</v>
      </c>
      <c r="D770" t="n">
        <v>38869</v>
      </c>
      <c r="E770" t="n">
        <v>25573</v>
      </c>
      <c r="F770" t="n">
        <v>13628</v>
      </c>
      <c r="G770" t="n">
        <v>82572</v>
      </c>
      <c r="H770" t="n">
        <v/>
      </c>
      <c r="I770" t="n">
        <v>188940</v>
      </c>
      <c r="J770" t="n">
        <v>196194</v>
      </c>
      <c r="K770" t="n">
        <v/>
      </c>
      <c r="L770" t="n">
        <v>271512</v>
      </c>
      <c r="M770" t="n">
        <v>80093</v>
      </c>
    </row>
    <row r="771">
      <c r="A771" s="149" t="n">
        <v>44621</v>
      </c>
      <c r="B771" t="n">
        <v>25551</v>
      </c>
      <c r="C771" t="n">
        <v>38117</v>
      </c>
      <c r="D771" t="n">
        <v>39015</v>
      </c>
      <c r="E771" t="n">
        <v>26274</v>
      </c>
      <c r="F771" t="n">
        <v>14137</v>
      </c>
      <c r="G771" t="n">
        <v>83694</v>
      </c>
      <c r="H771" t="n">
        <v/>
      </c>
      <c r="I771" t="n">
        <v>191319</v>
      </c>
      <c r="J771" t="n">
        <v>197357</v>
      </c>
      <c r="K771" t="n">
        <v/>
      </c>
      <c r="L771" t="n">
        <v>275013</v>
      </c>
      <c r="M771" t="n">
        <v>80783</v>
      </c>
    </row>
    <row r="772">
      <c r="A772" s="149" t="n">
        <v>44652</v>
      </c>
      <c r="B772" t="n">
        <v>20911</v>
      </c>
      <c r="C772" t="n">
        <v>36928</v>
      </c>
      <c r="D772" t="n">
        <v>37736</v>
      </c>
      <c r="E772" t="n">
        <v>23762</v>
      </c>
      <c r="F772" t="n">
        <v>13572</v>
      </c>
      <c r="G772" t="n">
        <v>86741</v>
      </c>
      <c r="H772" t="n">
        <v/>
      </c>
      <c r="I772" t="n">
        <v>178585</v>
      </c>
      <c r="J772" t="n">
        <v>188273</v>
      </c>
      <c r="K772" t="n">
        <v/>
      </c>
      <c r="L772" t="n">
        <v>265326</v>
      </c>
      <c r="M772" t="n">
        <v>73070</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80"/>
  <sheetViews>
    <sheetView tabSelected="1" zoomScale="150" zoomScaleNormal="150" workbookViewId="0">
      <pane xSplit="2" ySplit="6" topLeftCell="C62" activePane="bottomRight" state="frozen"/>
      <selection pane="topRight" activeCell="C1" sqref="C1"/>
      <selection pane="bottomLeft" activeCell="A7" sqref="A7"/>
      <selection pane="bottomRight" activeCell="Y83" sqref="Y83"/>
    </sheetView>
  </sheetViews>
  <sheetFormatPr baseColWidth="10" defaultColWidth="9.1640625" defaultRowHeight="15"/>
  <cols>
    <col width="9.1640625" customWidth="1" style="129" min="1" max="1"/>
    <col width="10.6640625" bestFit="1" customWidth="1" style="129" min="2" max="2"/>
    <col width="9.1640625" customWidth="1" style="129" min="3" max="5"/>
    <col width="9.1640625" customWidth="1" style="129" min="6" max="16384"/>
  </cols>
  <sheetData>
    <row r="3" ht="16" customHeight="1" s="142" thickBot="1"/>
    <row r="4" ht="19" customHeight="1" s="142">
      <c r="C4" s="144" t="inlineStr">
        <is>
          <t>New Orders</t>
        </is>
      </c>
      <c r="D4" s="145" t="n"/>
      <c r="E4" s="144" t="inlineStr">
        <is>
          <t>New Orders ex Transport</t>
        </is>
      </c>
      <c r="F4" s="145" t="n"/>
      <c r="G4" s="146" t="inlineStr">
        <is>
          <t>New Orders Nondefense = Core</t>
        </is>
      </c>
      <c r="H4" s="145" t="n"/>
      <c r="I4" s="144" t="inlineStr">
        <is>
          <t>Manufacturing</t>
        </is>
      </c>
      <c r="J4" s="145" t="n"/>
      <c r="K4" s="144" t="inlineStr">
        <is>
          <t>Transportation Equipment</t>
        </is>
      </c>
      <c r="L4" s="145" t="n"/>
      <c r="M4" s="144" t="inlineStr">
        <is>
          <t>Fabricated Metal Products</t>
        </is>
      </c>
      <c r="N4" s="145" t="n"/>
      <c r="O4" s="144" t="inlineStr">
        <is>
          <t xml:space="preserve"> Machinery</t>
        </is>
      </c>
      <c r="P4" s="145" t="n"/>
      <c r="Q4" s="144" t="inlineStr">
        <is>
          <t>Computers</t>
        </is>
      </c>
      <c r="R4" s="145" t="n"/>
      <c r="S4" s="144" t="inlineStr">
        <is>
          <t>Primary Metals</t>
        </is>
      </c>
      <c r="T4" s="145" t="n"/>
      <c r="U4" s="144" t="inlineStr">
        <is>
          <t>Electrical Equipment</t>
        </is>
      </c>
      <c r="V4" s="145" t="n"/>
    </row>
    <row r="5" ht="15.75" customHeight="1" s="142" thickBot="1">
      <c r="C5" s="90" t="inlineStr">
        <is>
          <t>DGORDER</t>
        </is>
      </c>
      <c r="D5" s="91" t="inlineStr">
        <is>
          <t>mom</t>
        </is>
      </c>
      <c r="E5" s="90" t="inlineStr">
        <is>
          <t>ADXTNO</t>
        </is>
      </c>
      <c r="F5" s="91" t="inlineStr">
        <is>
          <t>mom</t>
        </is>
      </c>
      <c r="G5" s="92" t="inlineStr">
        <is>
          <t>NEWORDER</t>
        </is>
      </c>
      <c r="H5" s="91" t="inlineStr">
        <is>
          <t>mom</t>
        </is>
      </c>
      <c r="I5" s="90" t="inlineStr">
        <is>
          <t>AMTUNO</t>
        </is>
      </c>
      <c r="J5" s="91" t="inlineStr">
        <is>
          <t>mom</t>
        </is>
      </c>
      <c r="K5" s="92" t="inlineStr">
        <is>
          <t>A36SNO</t>
        </is>
      </c>
      <c r="L5" s="91" t="inlineStr">
        <is>
          <t>mom</t>
        </is>
      </c>
      <c r="M5" s="92" t="inlineStr">
        <is>
          <t>A32SNO</t>
        </is>
      </c>
      <c r="N5" s="91" t="inlineStr">
        <is>
          <t>mom</t>
        </is>
      </c>
      <c r="O5" s="92" t="inlineStr">
        <is>
          <t>A33SNO</t>
        </is>
      </c>
      <c r="P5" s="91" t="inlineStr">
        <is>
          <t>mom</t>
        </is>
      </c>
      <c r="Q5" s="92" t="inlineStr">
        <is>
          <t>A34SNO</t>
        </is>
      </c>
      <c r="R5" s="91" t="inlineStr">
        <is>
          <t>mom</t>
        </is>
      </c>
      <c r="S5" s="92" t="inlineStr">
        <is>
          <t>A31SNO</t>
        </is>
      </c>
      <c r="T5" s="91" t="inlineStr">
        <is>
          <t>mom</t>
        </is>
      </c>
      <c r="U5" s="92" t="inlineStr">
        <is>
          <t>A35SNO</t>
        </is>
      </c>
      <c r="V5" s="91" t="inlineStr">
        <is>
          <t>mom</t>
        </is>
      </c>
    </row>
    <row r="7">
      <c r="B7" s="93" t="n">
        <v>42370</v>
      </c>
      <c r="C7" s="94">
        <f>VLOOKUP(B7,Database!$A:$M,MATCH(Recap!$C$5,Database!$A$1:$M$1,),)</f>
        <v/>
      </c>
      <c r="D7" s="95" t="n"/>
      <c r="E7" s="94">
        <f>VLOOKUP(B7,Database!$A:$M,MATCH(Recap!$E$5,Database!$A$1:$M$1,),)</f>
        <v/>
      </c>
      <c r="F7" s="95" t="n"/>
      <c r="G7" s="94">
        <f>VLOOKUP(B7,Database!$A:$M,MATCH(Recap!$G$5,Database!$A$1:$M$1,),)</f>
        <v/>
      </c>
      <c r="H7" s="95" t="n"/>
      <c r="I7" s="94">
        <f>VLOOKUP(B7,Database!$A:$M,MATCH(Recap!$I$5,Database!$A$1:$M$1,),)</f>
        <v/>
      </c>
      <c r="J7" s="95" t="n"/>
      <c r="K7" s="94">
        <f>VLOOKUP(B7,Database!$A:$M,MATCH(Recap!$K$5,Database!$A$1:$M$1,),)</f>
        <v/>
      </c>
      <c r="L7" s="95" t="n"/>
      <c r="M7" s="94">
        <f>VLOOKUP(B7,Database!$A:$M,MATCH(Recap!$M$5,Database!$A$1:$M$1,),)</f>
        <v/>
      </c>
      <c r="N7" s="95" t="n"/>
      <c r="O7" s="94">
        <f>VLOOKUP(B7,Database!$A:$M,MATCH(Recap!$O$5,Database!$A$1:$M$1,),)</f>
        <v/>
      </c>
      <c r="P7" s="95" t="n"/>
      <c r="Q7" s="94">
        <f>VLOOKUP(B7,Database!$A:$M,MATCH(Recap!$Q$5,Database!$A$1:$M$1,),)</f>
        <v/>
      </c>
      <c r="R7" s="95" t="n"/>
      <c r="S7" s="94">
        <f>VLOOKUP(B7,Database!$A:$M,MATCH(Recap!$S$5,Database!$A$1:$M$1,),)</f>
        <v/>
      </c>
      <c r="T7" s="95" t="n"/>
      <c r="U7" s="94">
        <f>VLOOKUP(B7,Database!$A:$M,MATCH(Recap!$U$5,Database!$A$1:$M$1,),)</f>
        <v/>
      </c>
      <c r="V7" s="95" t="n"/>
    </row>
    <row r="8">
      <c r="B8" s="93" t="n">
        <v>42401</v>
      </c>
      <c r="C8" s="94">
        <f>VLOOKUP(B8,Database!$A:$M,MATCH(Recap!$C$5,Database!$A$1:$M$1,),)</f>
        <v/>
      </c>
      <c r="D8" s="96">
        <f>(C8-C7)/C7</f>
        <v/>
      </c>
      <c r="E8" s="94">
        <f>VLOOKUP(B8,Database!$A:$M,MATCH(Recap!$E$5,Database!$A$1:$M$1,),)</f>
        <v/>
      </c>
      <c r="F8" s="96">
        <f>(E8-E7)/E7</f>
        <v/>
      </c>
      <c r="G8" s="94">
        <f>VLOOKUP(B8,Database!$A:$M,MATCH(Recap!$G$5,Database!$A$1:$M$1,),)</f>
        <v/>
      </c>
      <c r="H8" s="96">
        <f>(G8-G7)/G7</f>
        <v/>
      </c>
      <c r="I8" s="94">
        <f>VLOOKUP(B8,Database!$A:$M,MATCH(Recap!$I$5,Database!$A$1:$M$1,),)</f>
        <v/>
      </c>
      <c r="J8" s="96">
        <f>(I8-I7)/I7</f>
        <v/>
      </c>
      <c r="K8" s="94">
        <f>VLOOKUP(B8,Database!$A:$M,MATCH(Recap!$K$5,Database!$A$1:$M$1,),)</f>
        <v/>
      </c>
      <c r="L8" s="96">
        <f>(K8-K7)/K7</f>
        <v/>
      </c>
      <c r="M8" s="94">
        <f>VLOOKUP(B8,Database!$A:$M,MATCH(Recap!$M$5,Database!$A$1:$M$1,),)</f>
        <v/>
      </c>
      <c r="N8" s="96">
        <f>(M8-M7)/M7</f>
        <v/>
      </c>
      <c r="O8" s="94">
        <f>VLOOKUP(B8,Database!$A:$M,MATCH(Recap!$O$5,Database!$A$1:$M$1,),)</f>
        <v/>
      </c>
      <c r="P8" s="96">
        <f>(O8-O7)/O7</f>
        <v/>
      </c>
      <c r="Q8" s="94">
        <f>VLOOKUP(B8,Database!$A:$M,MATCH(Recap!$Q$5,Database!$A$1:$M$1,),)</f>
        <v/>
      </c>
      <c r="R8" s="96">
        <f>(Q8-Q7)/Q7</f>
        <v/>
      </c>
      <c r="S8" s="94">
        <f>VLOOKUP(B8,Database!$A:$M,MATCH(Recap!$S$5,Database!$A$1:$M$1,),)</f>
        <v/>
      </c>
      <c r="T8" s="96">
        <f>(S8-S7)/S7</f>
        <v/>
      </c>
      <c r="U8" s="94">
        <f>VLOOKUP(B8,Database!$A:$M,MATCH(Recap!$U$5,Database!$A$1:$M$1,),)</f>
        <v/>
      </c>
      <c r="V8" s="96">
        <f>(U8-U7)/U7</f>
        <v/>
      </c>
    </row>
    <row r="9">
      <c r="B9" s="93" t="n">
        <v>42430</v>
      </c>
      <c r="C9" s="94">
        <f>VLOOKUP(B9,Database!$A:$M,MATCH(Recap!$C$5,Database!$A$1:$M$1,),)</f>
        <v/>
      </c>
      <c r="D9" s="96">
        <f>(C9-C8)/C8</f>
        <v/>
      </c>
      <c r="E9" s="94">
        <f>VLOOKUP(B9,Database!$A:$M,MATCH(Recap!$E$5,Database!$A$1:$M$1,),)</f>
        <v/>
      </c>
      <c r="F9" s="96">
        <f>(E9-E8)/E8</f>
        <v/>
      </c>
      <c r="G9" s="94">
        <f>VLOOKUP(B9,Database!$A:$M,MATCH(Recap!$G$5,Database!$A$1:$M$1,),)</f>
        <v/>
      </c>
      <c r="H9" s="96">
        <f>(G9-G8)/G8</f>
        <v/>
      </c>
      <c r="I9" s="94">
        <f>VLOOKUP(B9,Database!$A:$M,MATCH(Recap!$I$5,Database!$A$1:$M$1,),)</f>
        <v/>
      </c>
      <c r="J9" s="96">
        <f>(I9-I8)/I8</f>
        <v/>
      </c>
      <c r="K9" s="94">
        <f>VLOOKUP(B9,Database!$A:$M,MATCH(Recap!$K$5,Database!$A$1:$M$1,),)</f>
        <v/>
      </c>
      <c r="L9" s="96">
        <f>(K9-K8)/K8</f>
        <v/>
      </c>
      <c r="M9" s="94">
        <f>VLOOKUP(B9,Database!$A:$M,MATCH(Recap!$M$5,Database!$A$1:$M$1,),)</f>
        <v/>
      </c>
      <c r="N9" s="96">
        <f>(M9-M8)/M8</f>
        <v/>
      </c>
      <c r="O9" s="94">
        <f>VLOOKUP(B9,Database!$A:$M,MATCH(Recap!$O$5,Database!$A$1:$M$1,),)</f>
        <v/>
      </c>
      <c r="P9" s="96">
        <f>(O9-O8)/O8</f>
        <v/>
      </c>
      <c r="Q9" s="94">
        <f>VLOOKUP(B9,Database!$A:$M,MATCH(Recap!$Q$5,Database!$A$1:$M$1,),)</f>
        <v/>
      </c>
      <c r="R9" s="96">
        <f>(Q9-Q8)/Q8</f>
        <v/>
      </c>
      <c r="S9" s="94">
        <f>VLOOKUP(B9,Database!$A:$M,MATCH(Recap!$S$5,Database!$A$1:$M$1,),)</f>
        <v/>
      </c>
      <c r="T9" s="96">
        <f>(S9-S8)/S8</f>
        <v/>
      </c>
      <c r="U9" s="94">
        <f>VLOOKUP(B9,Database!$A:$M,MATCH(Recap!$U$5,Database!$A$1:$M$1,),)</f>
        <v/>
      </c>
      <c r="V9" s="96">
        <f>(U9-U8)/U8</f>
        <v/>
      </c>
    </row>
    <row r="10">
      <c r="B10" s="93" t="n">
        <v>42461</v>
      </c>
      <c r="C10" s="94">
        <f>VLOOKUP(B10,Database!$A:$M,MATCH(Recap!$C$5,Database!$A$1:$M$1,),)</f>
        <v/>
      </c>
      <c r="D10" s="96">
        <f>(C10-C9)/C9</f>
        <v/>
      </c>
      <c r="E10" s="94">
        <f>VLOOKUP(B10,Database!$A:$M,MATCH(Recap!$E$5,Database!$A$1:$M$1,),)</f>
        <v/>
      </c>
      <c r="F10" s="96">
        <f>(E10-E9)/E9</f>
        <v/>
      </c>
      <c r="G10" s="94">
        <f>VLOOKUP(B10,Database!$A:$M,MATCH(Recap!$G$5,Database!$A$1:$M$1,),)</f>
        <v/>
      </c>
      <c r="H10" s="96">
        <f>(G10-G9)/G9</f>
        <v/>
      </c>
      <c r="I10" s="94">
        <f>VLOOKUP(B10,Database!$A:$M,MATCH(Recap!$I$5,Database!$A$1:$M$1,),)</f>
        <v/>
      </c>
      <c r="J10" s="96">
        <f>(I10-I9)/I9</f>
        <v/>
      </c>
      <c r="K10" s="94">
        <f>VLOOKUP(B10,Database!$A:$M,MATCH(Recap!$K$5,Database!$A$1:$M$1,),)</f>
        <v/>
      </c>
      <c r="L10" s="96">
        <f>(K10-K9)/K9</f>
        <v/>
      </c>
      <c r="M10" s="94">
        <f>VLOOKUP(B10,Database!$A:$M,MATCH(Recap!$M$5,Database!$A$1:$M$1,),)</f>
        <v/>
      </c>
      <c r="N10" s="96">
        <f>(M10-M9)/M9</f>
        <v/>
      </c>
      <c r="O10" s="94">
        <f>VLOOKUP(B10,Database!$A:$M,MATCH(Recap!$O$5,Database!$A$1:$M$1,),)</f>
        <v/>
      </c>
      <c r="P10" s="96">
        <f>(O10-O9)/O9</f>
        <v/>
      </c>
      <c r="Q10" s="94">
        <f>VLOOKUP(B10,Database!$A:$M,MATCH(Recap!$Q$5,Database!$A$1:$M$1,),)</f>
        <v/>
      </c>
      <c r="R10" s="96">
        <f>(Q10-Q9)/Q9</f>
        <v/>
      </c>
      <c r="S10" s="94">
        <f>VLOOKUP(B10,Database!$A:$M,MATCH(Recap!$S$5,Database!$A$1:$M$1,),)</f>
        <v/>
      </c>
      <c r="T10" s="96">
        <f>(S10-S9)/S9</f>
        <v/>
      </c>
      <c r="U10" s="94">
        <f>VLOOKUP(B10,Database!$A:$M,MATCH(Recap!$U$5,Database!$A$1:$M$1,),)</f>
        <v/>
      </c>
      <c r="V10" s="96">
        <f>(U10-U9)/U9</f>
        <v/>
      </c>
    </row>
    <row r="11">
      <c r="B11" s="93" t="n">
        <v>42491</v>
      </c>
      <c r="C11" s="94">
        <f>VLOOKUP(B11,Database!$A:$M,MATCH(Recap!$C$5,Database!$A$1:$M$1,),)</f>
        <v/>
      </c>
      <c r="D11" s="96">
        <f>(C11-C10)/C10</f>
        <v/>
      </c>
      <c r="E11" s="94">
        <f>VLOOKUP(B11,Database!$A:$M,MATCH(Recap!$E$5,Database!$A$1:$M$1,),)</f>
        <v/>
      </c>
      <c r="F11" s="96">
        <f>(E11-E10)/E10</f>
        <v/>
      </c>
      <c r="G11" s="94">
        <f>VLOOKUP(B11,Database!$A:$M,MATCH(Recap!$G$5,Database!$A$1:$M$1,),)</f>
        <v/>
      </c>
      <c r="H11" s="96">
        <f>(G11-G10)/G10</f>
        <v/>
      </c>
      <c r="I11" s="94">
        <f>VLOOKUP(B11,Database!$A:$M,MATCH(Recap!$I$5,Database!$A$1:$M$1,),)</f>
        <v/>
      </c>
      <c r="J11" s="96">
        <f>(I11-I10)/I10</f>
        <v/>
      </c>
      <c r="K11" s="94">
        <f>VLOOKUP(B11,Database!$A:$M,MATCH(Recap!$K$5,Database!$A$1:$M$1,),)</f>
        <v/>
      </c>
      <c r="L11" s="96">
        <f>(K11-K10)/K10</f>
        <v/>
      </c>
      <c r="M11" s="94">
        <f>VLOOKUP(B11,Database!$A:$M,MATCH(Recap!$M$5,Database!$A$1:$M$1,),)</f>
        <v/>
      </c>
      <c r="N11" s="96">
        <f>(M11-M10)/M10</f>
        <v/>
      </c>
      <c r="O11" s="94">
        <f>VLOOKUP(B11,Database!$A:$M,MATCH(Recap!$O$5,Database!$A$1:$M$1,),)</f>
        <v/>
      </c>
      <c r="P11" s="96">
        <f>(O11-O10)/O10</f>
        <v/>
      </c>
      <c r="Q11" s="94">
        <f>VLOOKUP(B11,Database!$A:$M,MATCH(Recap!$Q$5,Database!$A$1:$M$1,),)</f>
        <v/>
      </c>
      <c r="R11" s="96">
        <f>(Q11-Q10)/Q10</f>
        <v/>
      </c>
      <c r="S11" s="94">
        <f>VLOOKUP(B11,Database!$A:$M,MATCH(Recap!$S$5,Database!$A$1:$M$1,),)</f>
        <v/>
      </c>
      <c r="T11" s="96">
        <f>(S11-S10)/S10</f>
        <v/>
      </c>
      <c r="U11" s="94">
        <f>VLOOKUP(B11,Database!$A:$M,MATCH(Recap!$U$5,Database!$A$1:$M$1,),)</f>
        <v/>
      </c>
      <c r="V11" s="96">
        <f>(U11-U10)/U10</f>
        <v/>
      </c>
    </row>
    <row r="12">
      <c r="B12" s="93" t="n">
        <v>42522</v>
      </c>
      <c r="C12" s="94">
        <f>VLOOKUP(B12,Database!$A:$M,MATCH(Recap!$C$5,Database!$A$1:$M$1,),)</f>
        <v/>
      </c>
      <c r="D12" s="96">
        <f>(C12-C11)/C11</f>
        <v/>
      </c>
      <c r="E12" s="94">
        <f>VLOOKUP(B12,Database!$A:$M,MATCH(Recap!$E$5,Database!$A$1:$M$1,),)</f>
        <v/>
      </c>
      <c r="F12" s="96">
        <f>(E12-E11)/E11</f>
        <v/>
      </c>
      <c r="G12" s="94">
        <f>VLOOKUP(B12,Database!$A:$M,MATCH(Recap!$G$5,Database!$A$1:$M$1,),)</f>
        <v/>
      </c>
      <c r="H12" s="96">
        <f>(G12-G11)/G11</f>
        <v/>
      </c>
      <c r="I12" s="94">
        <f>VLOOKUP(B12,Database!$A:$M,MATCH(Recap!$I$5,Database!$A$1:$M$1,),)</f>
        <v/>
      </c>
      <c r="J12" s="96">
        <f>(I12-I11)/I11</f>
        <v/>
      </c>
      <c r="K12" s="94">
        <f>VLOOKUP(B12,Database!$A:$M,MATCH(Recap!$K$5,Database!$A$1:$M$1,),)</f>
        <v/>
      </c>
      <c r="L12" s="96">
        <f>(K12-K11)/K11</f>
        <v/>
      </c>
      <c r="M12" s="94">
        <f>VLOOKUP(B12,Database!$A:$M,MATCH(Recap!$M$5,Database!$A$1:$M$1,),)</f>
        <v/>
      </c>
      <c r="N12" s="96">
        <f>(M12-M11)/M11</f>
        <v/>
      </c>
      <c r="O12" s="94">
        <f>VLOOKUP(B12,Database!$A:$M,MATCH(Recap!$O$5,Database!$A$1:$M$1,),)</f>
        <v/>
      </c>
      <c r="P12" s="96">
        <f>(O12-O11)/O11</f>
        <v/>
      </c>
      <c r="Q12" s="94">
        <f>VLOOKUP(B12,Database!$A:$M,MATCH(Recap!$Q$5,Database!$A$1:$M$1,),)</f>
        <v/>
      </c>
      <c r="R12" s="96">
        <f>(Q12-Q11)/Q11</f>
        <v/>
      </c>
      <c r="S12" s="94">
        <f>VLOOKUP(B12,Database!$A:$M,MATCH(Recap!$S$5,Database!$A$1:$M$1,),)</f>
        <v/>
      </c>
      <c r="T12" s="96">
        <f>(S12-S11)/S11</f>
        <v/>
      </c>
      <c r="U12" s="94">
        <f>VLOOKUP(B12,Database!$A:$M,MATCH(Recap!$U$5,Database!$A$1:$M$1,),)</f>
        <v/>
      </c>
      <c r="V12" s="96">
        <f>(U12-U11)/U11</f>
        <v/>
      </c>
    </row>
    <row r="13">
      <c r="B13" s="93" t="n">
        <v>42552</v>
      </c>
      <c r="C13" s="94">
        <f>VLOOKUP(B13,Database!$A:$M,MATCH(Recap!$C$5,Database!$A$1:$M$1,),)</f>
        <v/>
      </c>
      <c r="D13" s="96">
        <f>(C13-C12)/C12</f>
        <v/>
      </c>
      <c r="E13" s="94">
        <f>VLOOKUP(B13,Database!$A:$M,MATCH(Recap!$E$5,Database!$A$1:$M$1,),)</f>
        <v/>
      </c>
      <c r="F13" s="96">
        <f>(E13-E12)/E12</f>
        <v/>
      </c>
      <c r="G13" s="94">
        <f>VLOOKUP(B13,Database!$A:$M,MATCH(Recap!$G$5,Database!$A$1:$M$1,),)</f>
        <v/>
      </c>
      <c r="H13" s="96">
        <f>(G13-G12)/G12</f>
        <v/>
      </c>
      <c r="I13" s="94">
        <f>VLOOKUP(B13,Database!$A:$M,MATCH(Recap!$I$5,Database!$A$1:$M$1,),)</f>
        <v/>
      </c>
      <c r="J13" s="96">
        <f>(I13-I12)/I12</f>
        <v/>
      </c>
      <c r="K13" s="94">
        <f>VLOOKUP(B13,Database!$A:$M,MATCH(Recap!$K$5,Database!$A$1:$M$1,),)</f>
        <v/>
      </c>
      <c r="L13" s="96">
        <f>(K13-K12)/K12</f>
        <v/>
      </c>
      <c r="M13" s="94">
        <f>VLOOKUP(B13,Database!$A:$M,MATCH(Recap!$M$5,Database!$A$1:$M$1,),)</f>
        <v/>
      </c>
      <c r="N13" s="96">
        <f>(M13-M12)/M12</f>
        <v/>
      </c>
      <c r="O13" s="94">
        <f>VLOOKUP(B13,Database!$A:$M,MATCH(Recap!$O$5,Database!$A$1:$M$1,),)</f>
        <v/>
      </c>
      <c r="P13" s="96">
        <f>(O13-O12)/O12</f>
        <v/>
      </c>
      <c r="Q13" s="94">
        <f>VLOOKUP(B13,Database!$A:$M,MATCH(Recap!$Q$5,Database!$A$1:$M$1,),)</f>
        <v/>
      </c>
      <c r="R13" s="96">
        <f>(Q13-Q12)/Q12</f>
        <v/>
      </c>
      <c r="S13" s="94">
        <f>VLOOKUP(B13,Database!$A:$M,MATCH(Recap!$S$5,Database!$A$1:$M$1,),)</f>
        <v/>
      </c>
      <c r="T13" s="96">
        <f>(S13-S12)/S12</f>
        <v/>
      </c>
      <c r="U13" s="94">
        <f>VLOOKUP(B13,Database!$A:$M,MATCH(Recap!$U$5,Database!$A$1:$M$1,),)</f>
        <v/>
      </c>
      <c r="V13" s="96">
        <f>(U13-U12)/U12</f>
        <v/>
      </c>
    </row>
    <row r="14">
      <c r="B14" s="93" t="n">
        <v>42583</v>
      </c>
      <c r="C14" s="94">
        <f>VLOOKUP(B14,Database!$A:$M,MATCH(Recap!$C$5,Database!$A$1:$M$1,),)</f>
        <v/>
      </c>
      <c r="D14" s="96">
        <f>(C14-C13)/C13</f>
        <v/>
      </c>
      <c r="E14" s="94">
        <f>VLOOKUP(B14,Database!$A:$M,MATCH(Recap!$E$5,Database!$A$1:$M$1,),)</f>
        <v/>
      </c>
      <c r="F14" s="96">
        <f>(E14-E13)/E13</f>
        <v/>
      </c>
      <c r="G14" s="94">
        <f>VLOOKUP(B14,Database!$A:$M,MATCH(Recap!$G$5,Database!$A$1:$M$1,),)</f>
        <v/>
      </c>
      <c r="H14" s="96">
        <f>(G14-G13)/G13</f>
        <v/>
      </c>
      <c r="I14" s="94">
        <f>VLOOKUP(B14,Database!$A:$M,MATCH(Recap!$I$5,Database!$A$1:$M$1,),)</f>
        <v/>
      </c>
      <c r="J14" s="96">
        <f>(I14-I13)/I13</f>
        <v/>
      </c>
      <c r="K14" s="94">
        <f>VLOOKUP(B14,Database!$A:$M,MATCH(Recap!$K$5,Database!$A$1:$M$1,),)</f>
        <v/>
      </c>
      <c r="L14" s="96">
        <f>(K14-K13)/K13</f>
        <v/>
      </c>
      <c r="M14" s="94">
        <f>VLOOKUP(B14,Database!$A:$M,MATCH(Recap!$M$5,Database!$A$1:$M$1,),)</f>
        <v/>
      </c>
      <c r="N14" s="96">
        <f>(M14-M13)/M13</f>
        <v/>
      </c>
      <c r="O14" s="94">
        <f>VLOOKUP(B14,Database!$A:$M,MATCH(Recap!$O$5,Database!$A$1:$M$1,),)</f>
        <v/>
      </c>
      <c r="P14" s="96">
        <f>(O14-O13)/O13</f>
        <v/>
      </c>
      <c r="Q14" s="94">
        <f>VLOOKUP(B14,Database!$A:$M,MATCH(Recap!$Q$5,Database!$A$1:$M$1,),)</f>
        <v/>
      </c>
      <c r="R14" s="96">
        <f>(Q14-Q13)/Q13</f>
        <v/>
      </c>
      <c r="S14" s="94">
        <f>VLOOKUP(B14,Database!$A:$M,MATCH(Recap!$S$5,Database!$A$1:$M$1,),)</f>
        <v/>
      </c>
      <c r="T14" s="96">
        <f>(S14-S13)/S13</f>
        <v/>
      </c>
      <c r="U14" s="94">
        <f>VLOOKUP(B14,Database!$A:$M,MATCH(Recap!$U$5,Database!$A$1:$M$1,),)</f>
        <v/>
      </c>
      <c r="V14" s="96">
        <f>(U14-U13)/U13</f>
        <v/>
      </c>
    </row>
    <row r="15">
      <c r="B15" s="93" t="n">
        <v>42614</v>
      </c>
      <c r="C15" s="94">
        <f>VLOOKUP(B15,Database!$A:$M,MATCH(Recap!$C$5,Database!$A$1:$M$1,),)</f>
        <v/>
      </c>
      <c r="D15" s="96">
        <f>(C15-C14)/C14</f>
        <v/>
      </c>
      <c r="E15" s="94">
        <f>VLOOKUP(B15,Database!$A:$M,MATCH(Recap!$E$5,Database!$A$1:$M$1,),)</f>
        <v/>
      </c>
      <c r="F15" s="96">
        <f>(E15-E14)/E14</f>
        <v/>
      </c>
      <c r="G15" s="94">
        <f>VLOOKUP(B15,Database!$A:$M,MATCH(Recap!$G$5,Database!$A$1:$M$1,),)</f>
        <v/>
      </c>
      <c r="H15" s="96">
        <f>(G15-G14)/G14</f>
        <v/>
      </c>
      <c r="I15" s="94">
        <f>VLOOKUP(B15,Database!$A:$M,MATCH(Recap!$I$5,Database!$A$1:$M$1,),)</f>
        <v/>
      </c>
      <c r="J15" s="96">
        <f>(I15-I14)/I14</f>
        <v/>
      </c>
      <c r="K15" s="94">
        <f>VLOOKUP(B15,Database!$A:$M,MATCH(Recap!$K$5,Database!$A$1:$M$1,),)</f>
        <v/>
      </c>
      <c r="L15" s="96">
        <f>(K15-K14)/K14</f>
        <v/>
      </c>
      <c r="M15" s="94">
        <f>VLOOKUP(B15,Database!$A:$M,MATCH(Recap!$M$5,Database!$A$1:$M$1,),)</f>
        <v/>
      </c>
      <c r="N15" s="96">
        <f>(M15-M14)/M14</f>
        <v/>
      </c>
      <c r="O15" s="94">
        <f>VLOOKUP(B15,Database!$A:$M,MATCH(Recap!$O$5,Database!$A$1:$M$1,),)</f>
        <v/>
      </c>
      <c r="P15" s="96">
        <f>(O15-O14)/O14</f>
        <v/>
      </c>
      <c r="Q15" s="94">
        <f>VLOOKUP(B15,Database!$A:$M,MATCH(Recap!$Q$5,Database!$A$1:$M$1,),)</f>
        <v/>
      </c>
      <c r="R15" s="96">
        <f>(Q15-Q14)/Q14</f>
        <v/>
      </c>
      <c r="S15" s="94">
        <f>VLOOKUP(B15,Database!$A:$M,MATCH(Recap!$S$5,Database!$A$1:$M$1,),)</f>
        <v/>
      </c>
      <c r="T15" s="96">
        <f>(S15-S14)/S14</f>
        <v/>
      </c>
      <c r="U15" s="94">
        <f>VLOOKUP(B15,Database!$A:$M,MATCH(Recap!$U$5,Database!$A$1:$M$1,),)</f>
        <v/>
      </c>
      <c r="V15" s="96">
        <f>(U15-U14)/U14</f>
        <v/>
      </c>
    </row>
    <row r="16">
      <c r="B16" s="93" t="n">
        <v>42644</v>
      </c>
      <c r="C16" s="94">
        <f>VLOOKUP(B16,Database!$A:$M,MATCH(Recap!$C$5,Database!$A$1:$M$1,),)</f>
        <v/>
      </c>
      <c r="D16" s="96">
        <f>(C16-C15)/C15</f>
        <v/>
      </c>
      <c r="E16" s="94">
        <f>VLOOKUP(B16,Database!$A:$M,MATCH(Recap!$E$5,Database!$A$1:$M$1,),)</f>
        <v/>
      </c>
      <c r="F16" s="96">
        <f>(E16-E15)/E15</f>
        <v/>
      </c>
      <c r="G16" s="94">
        <f>VLOOKUP(B16,Database!$A:$M,MATCH(Recap!$G$5,Database!$A$1:$M$1,),)</f>
        <v/>
      </c>
      <c r="H16" s="96">
        <f>(G16-G15)/G15</f>
        <v/>
      </c>
      <c r="I16" s="94">
        <f>VLOOKUP(B16,Database!$A:$M,MATCH(Recap!$I$5,Database!$A$1:$M$1,),)</f>
        <v/>
      </c>
      <c r="J16" s="96">
        <f>(I16-I15)/I15</f>
        <v/>
      </c>
      <c r="K16" s="94">
        <f>VLOOKUP(B16,Database!$A:$M,MATCH(Recap!$K$5,Database!$A$1:$M$1,),)</f>
        <v/>
      </c>
      <c r="L16" s="96">
        <f>(K16-K15)/K15</f>
        <v/>
      </c>
      <c r="M16" s="94">
        <f>VLOOKUP(B16,Database!$A:$M,MATCH(Recap!$M$5,Database!$A$1:$M$1,),)</f>
        <v/>
      </c>
      <c r="N16" s="96">
        <f>(M16-M15)/M15</f>
        <v/>
      </c>
      <c r="O16" s="94">
        <f>VLOOKUP(B16,Database!$A:$M,MATCH(Recap!$O$5,Database!$A$1:$M$1,),)</f>
        <v/>
      </c>
      <c r="P16" s="96">
        <f>(O16-O15)/O15</f>
        <v/>
      </c>
      <c r="Q16" s="94">
        <f>VLOOKUP(B16,Database!$A:$M,MATCH(Recap!$Q$5,Database!$A$1:$M$1,),)</f>
        <v/>
      </c>
      <c r="R16" s="96">
        <f>(Q16-Q15)/Q15</f>
        <v/>
      </c>
      <c r="S16" s="94">
        <f>VLOOKUP(B16,Database!$A:$M,MATCH(Recap!$S$5,Database!$A$1:$M$1,),)</f>
        <v/>
      </c>
      <c r="T16" s="96">
        <f>(S16-S15)/S15</f>
        <v/>
      </c>
      <c r="U16" s="94">
        <f>VLOOKUP(B16,Database!$A:$M,MATCH(Recap!$U$5,Database!$A$1:$M$1,),)</f>
        <v/>
      </c>
      <c r="V16" s="96">
        <f>(U16-U15)/U15</f>
        <v/>
      </c>
    </row>
    <row r="17">
      <c r="B17" s="93" t="n">
        <v>42675</v>
      </c>
      <c r="C17" s="94">
        <f>VLOOKUP(B17,Database!$A:$M,MATCH(Recap!$C$5,Database!$A$1:$M$1,),)</f>
        <v/>
      </c>
      <c r="D17" s="96">
        <f>(C17-C16)/C16</f>
        <v/>
      </c>
      <c r="E17" s="94">
        <f>VLOOKUP(B17,Database!$A:$M,MATCH(Recap!$E$5,Database!$A$1:$M$1,),)</f>
        <v/>
      </c>
      <c r="F17" s="96">
        <f>(E17-E16)/E16</f>
        <v/>
      </c>
      <c r="G17" s="94">
        <f>VLOOKUP(B17,Database!$A:$M,MATCH(Recap!$G$5,Database!$A$1:$M$1,),)</f>
        <v/>
      </c>
      <c r="H17" s="96">
        <f>(G17-G16)/G16</f>
        <v/>
      </c>
      <c r="I17" s="94">
        <f>VLOOKUP(B17,Database!$A:$M,MATCH(Recap!$I$5,Database!$A$1:$M$1,),)</f>
        <v/>
      </c>
      <c r="J17" s="96">
        <f>(I17-I16)/I16</f>
        <v/>
      </c>
      <c r="K17" s="94">
        <f>VLOOKUP(B17,Database!$A:$M,MATCH(Recap!$K$5,Database!$A$1:$M$1,),)</f>
        <v/>
      </c>
      <c r="L17" s="96">
        <f>(K17-K16)/K16</f>
        <v/>
      </c>
      <c r="M17" s="94">
        <f>VLOOKUP(B17,Database!$A:$M,MATCH(Recap!$M$5,Database!$A$1:$M$1,),)</f>
        <v/>
      </c>
      <c r="N17" s="96">
        <f>(M17-M16)/M16</f>
        <v/>
      </c>
      <c r="O17" s="94">
        <f>VLOOKUP(B17,Database!$A:$M,MATCH(Recap!$O$5,Database!$A$1:$M$1,),)</f>
        <v/>
      </c>
      <c r="P17" s="96">
        <f>(O17-O16)/O16</f>
        <v/>
      </c>
      <c r="Q17" s="94">
        <f>VLOOKUP(B17,Database!$A:$M,MATCH(Recap!$Q$5,Database!$A$1:$M$1,),)</f>
        <v/>
      </c>
      <c r="R17" s="96">
        <f>(Q17-Q16)/Q16</f>
        <v/>
      </c>
      <c r="S17" s="94">
        <f>VLOOKUP(B17,Database!$A:$M,MATCH(Recap!$S$5,Database!$A$1:$M$1,),)</f>
        <v/>
      </c>
      <c r="T17" s="96">
        <f>(S17-S16)/S16</f>
        <v/>
      </c>
      <c r="U17" s="94">
        <f>VLOOKUP(B17,Database!$A:$M,MATCH(Recap!$U$5,Database!$A$1:$M$1,),)</f>
        <v/>
      </c>
      <c r="V17" s="96">
        <f>(U17-U16)/U16</f>
        <v/>
      </c>
    </row>
    <row r="18">
      <c r="B18" s="93" t="n">
        <v>42705</v>
      </c>
      <c r="C18" s="94">
        <f>VLOOKUP(B18,Database!$A:$M,MATCH(Recap!$C$5,Database!$A$1:$M$1,),)</f>
        <v/>
      </c>
      <c r="D18" s="96">
        <f>(C18-C17)/C17</f>
        <v/>
      </c>
      <c r="E18" s="94">
        <f>VLOOKUP(B18,Database!$A:$M,MATCH(Recap!$E$5,Database!$A$1:$M$1,),)</f>
        <v/>
      </c>
      <c r="F18" s="96">
        <f>(E18-E17)/E17</f>
        <v/>
      </c>
      <c r="G18" s="94">
        <f>VLOOKUP(B18,Database!$A:$M,MATCH(Recap!$G$5,Database!$A$1:$M$1,),)</f>
        <v/>
      </c>
      <c r="H18" s="96">
        <f>(G18-G17)/G17</f>
        <v/>
      </c>
      <c r="I18" s="94">
        <f>VLOOKUP(B18,Database!$A:$M,MATCH(Recap!$I$5,Database!$A$1:$M$1,),)</f>
        <v/>
      </c>
      <c r="J18" s="96">
        <f>(I18-I17)/I17</f>
        <v/>
      </c>
      <c r="K18" s="94">
        <f>VLOOKUP(B18,Database!$A:$M,MATCH(Recap!$K$5,Database!$A$1:$M$1,),)</f>
        <v/>
      </c>
      <c r="L18" s="96">
        <f>(K18-K17)/K17</f>
        <v/>
      </c>
      <c r="M18" s="94">
        <f>VLOOKUP(B18,Database!$A:$M,MATCH(Recap!$M$5,Database!$A$1:$M$1,),)</f>
        <v/>
      </c>
      <c r="N18" s="96">
        <f>(M18-M17)/M17</f>
        <v/>
      </c>
      <c r="O18" s="94">
        <f>VLOOKUP(B18,Database!$A:$M,MATCH(Recap!$O$5,Database!$A$1:$M$1,),)</f>
        <v/>
      </c>
      <c r="P18" s="96">
        <f>(O18-O17)/O17</f>
        <v/>
      </c>
      <c r="Q18" s="94">
        <f>VLOOKUP(B18,Database!$A:$M,MATCH(Recap!$Q$5,Database!$A$1:$M$1,),)</f>
        <v/>
      </c>
      <c r="R18" s="96">
        <f>(Q18-Q17)/Q17</f>
        <v/>
      </c>
      <c r="S18" s="94">
        <f>VLOOKUP(B18,Database!$A:$M,MATCH(Recap!$S$5,Database!$A$1:$M$1,),)</f>
        <v/>
      </c>
      <c r="T18" s="96">
        <f>(S18-S17)/S17</f>
        <v/>
      </c>
      <c r="U18" s="94">
        <f>VLOOKUP(B18,Database!$A:$M,MATCH(Recap!$U$5,Database!$A$1:$M$1,),)</f>
        <v/>
      </c>
      <c r="V18" s="96">
        <f>(U18-U17)/U17</f>
        <v/>
      </c>
    </row>
    <row r="19">
      <c r="B19" s="93" t="n">
        <v>42736</v>
      </c>
      <c r="C19" s="94">
        <f>VLOOKUP(B19,Database!$A:$M,MATCH(Recap!$C$5,Database!$A$1:$M$1,),)</f>
        <v/>
      </c>
      <c r="D19" s="96">
        <f>(C19-C18)/C18</f>
        <v/>
      </c>
      <c r="E19" s="94">
        <f>VLOOKUP(B19,Database!$A:$M,MATCH(Recap!$E$5,Database!$A$1:$M$1,),)</f>
        <v/>
      </c>
      <c r="F19" s="96">
        <f>(E19-E18)/E18</f>
        <v/>
      </c>
      <c r="G19" s="94">
        <f>VLOOKUP(B19,Database!$A:$M,MATCH(Recap!$G$5,Database!$A$1:$M$1,),)</f>
        <v/>
      </c>
      <c r="H19" s="96">
        <f>(G19-G18)/G18</f>
        <v/>
      </c>
      <c r="I19" s="94">
        <f>VLOOKUP(B19,Database!$A:$M,MATCH(Recap!$I$5,Database!$A$1:$M$1,),)</f>
        <v/>
      </c>
      <c r="J19" s="96">
        <f>(I19-I18)/I18</f>
        <v/>
      </c>
      <c r="K19" s="94">
        <f>VLOOKUP(B19,Database!$A:$M,MATCH(Recap!$K$5,Database!$A$1:$M$1,),)</f>
        <v/>
      </c>
      <c r="L19" s="96">
        <f>(K19-K18)/K18</f>
        <v/>
      </c>
      <c r="M19" s="94">
        <f>VLOOKUP(B19,Database!$A:$M,MATCH(Recap!$M$5,Database!$A$1:$M$1,),)</f>
        <v/>
      </c>
      <c r="N19" s="96">
        <f>(M19-M18)/M18</f>
        <v/>
      </c>
      <c r="O19" s="94">
        <f>VLOOKUP(B19,Database!$A:$M,MATCH(Recap!$O$5,Database!$A$1:$M$1,),)</f>
        <v/>
      </c>
      <c r="P19" s="96">
        <f>(O19-O18)/O18</f>
        <v/>
      </c>
      <c r="Q19" s="94">
        <f>VLOOKUP(B19,Database!$A:$M,MATCH(Recap!$Q$5,Database!$A$1:$M$1,),)</f>
        <v/>
      </c>
      <c r="R19" s="96">
        <f>(Q19-Q18)/Q18</f>
        <v/>
      </c>
      <c r="S19" s="94">
        <f>VLOOKUP(B19,Database!$A:$M,MATCH(Recap!$S$5,Database!$A$1:$M$1,),)</f>
        <v/>
      </c>
      <c r="T19" s="96">
        <f>(S19-S18)/S18</f>
        <v/>
      </c>
      <c r="U19" s="94">
        <f>VLOOKUP(B19,Database!$A:$M,MATCH(Recap!$U$5,Database!$A$1:$M$1,),)</f>
        <v/>
      </c>
      <c r="V19" s="96">
        <f>(U19-U18)/U18</f>
        <v/>
      </c>
    </row>
    <row r="20">
      <c r="B20" s="93" t="n">
        <v>42767</v>
      </c>
      <c r="C20" s="94">
        <f>VLOOKUP(B20,Database!$A:$M,MATCH(Recap!$C$5,Database!$A$1:$M$1,),)</f>
        <v/>
      </c>
      <c r="D20" s="96">
        <f>(C20-C19)/C19</f>
        <v/>
      </c>
      <c r="E20" s="94">
        <f>VLOOKUP(B20,Database!$A:$M,MATCH(Recap!$E$5,Database!$A$1:$M$1,),)</f>
        <v/>
      </c>
      <c r="F20" s="96">
        <f>(E20-E19)/E19</f>
        <v/>
      </c>
      <c r="G20" s="94">
        <f>VLOOKUP(B20,Database!$A:$M,MATCH(Recap!$G$5,Database!$A$1:$M$1,),)</f>
        <v/>
      </c>
      <c r="H20" s="96">
        <f>(G20-G19)/G19</f>
        <v/>
      </c>
      <c r="I20" s="94">
        <f>VLOOKUP(B20,Database!$A:$M,MATCH(Recap!$I$5,Database!$A$1:$M$1,),)</f>
        <v/>
      </c>
      <c r="J20" s="96">
        <f>(I20-I19)/I19</f>
        <v/>
      </c>
      <c r="K20" s="94">
        <f>VLOOKUP(B20,Database!$A:$M,MATCH(Recap!$K$5,Database!$A$1:$M$1,),)</f>
        <v/>
      </c>
      <c r="L20" s="96">
        <f>(K20-K19)/K19</f>
        <v/>
      </c>
      <c r="M20" s="94">
        <f>VLOOKUP(B20,Database!$A:$M,MATCH(Recap!$M$5,Database!$A$1:$M$1,),)</f>
        <v/>
      </c>
      <c r="N20" s="96">
        <f>(M20-M19)/M19</f>
        <v/>
      </c>
      <c r="O20" s="94">
        <f>VLOOKUP(B20,Database!$A:$M,MATCH(Recap!$O$5,Database!$A$1:$M$1,),)</f>
        <v/>
      </c>
      <c r="P20" s="96">
        <f>(O20-O19)/O19</f>
        <v/>
      </c>
      <c r="Q20" s="94">
        <f>VLOOKUP(B20,Database!$A:$M,MATCH(Recap!$Q$5,Database!$A$1:$M$1,),)</f>
        <v/>
      </c>
      <c r="R20" s="96">
        <f>(Q20-Q19)/Q19</f>
        <v/>
      </c>
      <c r="S20" s="94">
        <f>VLOOKUP(B20,Database!$A:$M,MATCH(Recap!$S$5,Database!$A$1:$M$1,),)</f>
        <v/>
      </c>
      <c r="T20" s="96">
        <f>(S20-S19)/S19</f>
        <v/>
      </c>
      <c r="U20" s="94">
        <f>VLOOKUP(B20,Database!$A:$M,MATCH(Recap!$U$5,Database!$A$1:$M$1,),)</f>
        <v/>
      </c>
      <c r="V20" s="96">
        <f>(U20-U19)/U19</f>
        <v/>
      </c>
    </row>
    <row r="21">
      <c r="B21" s="93" t="n">
        <v>42795</v>
      </c>
      <c r="C21" s="94">
        <f>VLOOKUP(B21,Database!$A:$M,MATCH(Recap!$C$5,Database!$A$1:$M$1,),)</f>
        <v/>
      </c>
      <c r="D21" s="96">
        <f>(C21-C20)/C20</f>
        <v/>
      </c>
      <c r="E21" s="94">
        <f>VLOOKUP(B21,Database!$A:$M,MATCH(Recap!$E$5,Database!$A$1:$M$1,),)</f>
        <v/>
      </c>
      <c r="F21" s="96">
        <f>(E21-E20)/E20</f>
        <v/>
      </c>
      <c r="G21" s="94">
        <f>VLOOKUP(B21,Database!$A:$M,MATCH(Recap!$G$5,Database!$A$1:$M$1,),)</f>
        <v/>
      </c>
      <c r="H21" s="96">
        <f>(G21-G20)/G20</f>
        <v/>
      </c>
      <c r="I21" s="94">
        <f>VLOOKUP(B21,Database!$A:$M,MATCH(Recap!$I$5,Database!$A$1:$M$1,),)</f>
        <v/>
      </c>
      <c r="J21" s="96">
        <f>(I21-I20)/I20</f>
        <v/>
      </c>
      <c r="K21" s="94">
        <f>VLOOKUP(B21,Database!$A:$M,MATCH(Recap!$K$5,Database!$A$1:$M$1,),)</f>
        <v/>
      </c>
      <c r="L21" s="96">
        <f>(K21-K20)/K20</f>
        <v/>
      </c>
      <c r="M21" s="94">
        <f>VLOOKUP(B21,Database!$A:$M,MATCH(Recap!$M$5,Database!$A$1:$M$1,),)</f>
        <v/>
      </c>
      <c r="N21" s="96">
        <f>(M21-M20)/M20</f>
        <v/>
      </c>
      <c r="O21" s="94">
        <f>VLOOKUP(B21,Database!$A:$M,MATCH(Recap!$O$5,Database!$A$1:$M$1,),)</f>
        <v/>
      </c>
      <c r="P21" s="96">
        <f>(O21-O20)/O20</f>
        <v/>
      </c>
      <c r="Q21" s="94">
        <f>VLOOKUP(B21,Database!$A:$M,MATCH(Recap!$Q$5,Database!$A$1:$M$1,),)</f>
        <v/>
      </c>
      <c r="R21" s="96">
        <f>(Q21-Q20)/Q20</f>
        <v/>
      </c>
      <c r="S21" s="94">
        <f>VLOOKUP(B21,Database!$A:$M,MATCH(Recap!$S$5,Database!$A$1:$M$1,),)</f>
        <v/>
      </c>
      <c r="T21" s="96">
        <f>(S21-S20)/S20</f>
        <v/>
      </c>
      <c r="U21" s="94">
        <f>VLOOKUP(B21,Database!$A:$M,MATCH(Recap!$U$5,Database!$A$1:$M$1,),)</f>
        <v/>
      </c>
      <c r="V21" s="96">
        <f>(U21-U20)/U20</f>
        <v/>
      </c>
    </row>
    <row r="22">
      <c r="B22" s="93" t="n">
        <v>42826</v>
      </c>
      <c r="C22" s="94">
        <f>VLOOKUP(B22,Database!$A:$M,MATCH(Recap!$C$5,Database!$A$1:$M$1,),)</f>
        <v/>
      </c>
      <c r="D22" s="96">
        <f>(C22-C21)/C21</f>
        <v/>
      </c>
      <c r="E22" s="94">
        <f>VLOOKUP(B22,Database!$A:$M,MATCH(Recap!$E$5,Database!$A$1:$M$1,),)</f>
        <v/>
      </c>
      <c r="F22" s="96">
        <f>(E22-E21)/E21</f>
        <v/>
      </c>
      <c r="G22" s="94">
        <f>VLOOKUP(B22,Database!$A:$M,MATCH(Recap!$G$5,Database!$A$1:$M$1,),)</f>
        <v/>
      </c>
      <c r="H22" s="96">
        <f>(G22-G21)/G21</f>
        <v/>
      </c>
      <c r="I22" s="94">
        <f>VLOOKUP(B22,Database!$A:$M,MATCH(Recap!$I$5,Database!$A$1:$M$1,),)</f>
        <v/>
      </c>
      <c r="J22" s="96">
        <f>(I22-I21)/I21</f>
        <v/>
      </c>
      <c r="K22" s="94">
        <f>VLOOKUP(B22,Database!$A:$M,MATCH(Recap!$K$5,Database!$A$1:$M$1,),)</f>
        <v/>
      </c>
      <c r="L22" s="96">
        <f>(K22-K21)/K21</f>
        <v/>
      </c>
      <c r="M22" s="94">
        <f>VLOOKUP(B22,Database!$A:$M,MATCH(Recap!$M$5,Database!$A$1:$M$1,),)</f>
        <v/>
      </c>
      <c r="N22" s="96">
        <f>(M22-M21)/M21</f>
        <v/>
      </c>
      <c r="O22" s="94">
        <f>VLOOKUP(B22,Database!$A:$M,MATCH(Recap!$O$5,Database!$A$1:$M$1,),)</f>
        <v/>
      </c>
      <c r="P22" s="96">
        <f>(O22-O21)/O21</f>
        <v/>
      </c>
      <c r="Q22" s="94">
        <f>VLOOKUP(B22,Database!$A:$M,MATCH(Recap!$Q$5,Database!$A$1:$M$1,),)</f>
        <v/>
      </c>
      <c r="R22" s="96">
        <f>(Q22-Q21)/Q21</f>
        <v/>
      </c>
      <c r="S22" s="94">
        <f>VLOOKUP(B22,Database!$A:$M,MATCH(Recap!$S$5,Database!$A$1:$M$1,),)</f>
        <v/>
      </c>
      <c r="T22" s="96">
        <f>(S22-S21)/S21</f>
        <v/>
      </c>
      <c r="U22" s="94">
        <f>VLOOKUP(B22,Database!$A:$M,MATCH(Recap!$U$5,Database!$A$1:$M$1,),)</f>
        <v/>
      </c>
      <c r="V22" s="96">
        <f>(U22-U21)/U21</f>
        <v/>
      </c>
    </row>
    <row r="23">
      <c r="B23" s="93" t="n">
        <v>42856</v>
      </c>
      <c r="C23" s="94">
        <f>VLOOKUP(B23,Database!$A:$M,MATCH(Recap!$C$5,Database!$A$1:$M$1,),)</f>
        <v/>
      </c>
      <c r="D23" s="96">
        <f>(C23-C22)/C22</f>
        <v/>
      </c>
      <c r="E23" s="94">
        <f>VLOOKUP(B23,Database!$A:$M,MATCH(Recap!$E$5,Database!$A$1:$M$1,),)</f>
        <v/>
      </c>
      <c r="F23" s="96">
        <f>(E23-E22)/E22</f>
        <v/>
      </c>
      <c r="G23" s="94">
        <f>VLOOKUP(B23,Database!$A:$M,MATCH(Recap!$G$5,Database!$A$1:$M$1,),)</f>
        <v/>
      </c>
      <c r="H23" s="96">
        <f>(G23-G22)/G22</f>
        <v/>
      </c>
      <c r="I23" s="94">
        <f>VLOOKUP(B23,Database!$A:$M,MATCH(Recap!$I$5,Database!$A$1:$M$1,),)</f>
        <v/>
      </c>
      <c r="J23" s="96">
        <f>(I23-I22)/I22</f>
        <v/>
      </c>
      <c r="K23" s="94">
        <f>VLOOKUP(B23,Database!$A:$M,MATCH(Recap!$K$5,Database!$A$1:$M$1,),)</f>
        <v/>
      </c>
      <c r="L23" s="96">
        <f>(K23-K22)/K22</f>
        <v/>
      </c>
      <c r="M23" s="94">
        <f>VLOOKUP(B23,Database!$A:$M,MATCH(Recap!$M$5,Database!$A$1:$M$1,),)</f>
        <v/>
      </c>
      <c r="N23" s="96">
        <f>(M23-M22)/M22</f>
        <v/>
      </c>
      <c r="O23" s="94">
        <f>VLOOKUP(B23,Database!$A:$M,MATCH(Recap!$O$5,Database!$A$1:$M$1,),)</f>
        <v/>
      </c>
      <c r="P23" s="96">
        <f>(O23-O22)/O22</f>
        <v/>
      </c>
      <c r="Q23" s="94">
        <f>VLOOKUP(B23,Database!$A:$M,MATCH(Recap!$Q$5,Database!$A$1:$M$1,),)</f>
        <v/>
      </c>
      <c r="R23" s="96">
        <f>(Q23-Q22)/Q22</f>
        <v/>
      </c>
      <c r="S23" s="94">
        <f>VLOOKUP(B23,Database!$A:$M,MATCH(Recap!$S$5,Database!$A$1:$M$1,),)</f>
        <v/>
      </c>
      <c r="T23" s="96">
        <f>(S23-S22)/S22</f>
        <v/>
      </c>
      <c r="U23" s="94">
        <f>VLOOKUP(B23,Database!$A:$M,MATCH(Recap!$U$5,Database!$A$1:$M$1,),)</f>
        <v/>
      </c>
      <c r="V23" s="96">
        <f>(U23-U22)/U22</f>
        <v/>
      </c>
    </row>
    <row r="24">
      <c r="B24" s="93" t="n">
        <v>42887</v>
      </c>
      <c r="C24" s="94">
        <f>VLOOKUP(B24,Database!$A:$M,MATCH(Recap!$C$5,Database!$A$1:$M$1,),)</f>
        <v/>
      </c>
      <c r="D24" s="96">
        <f>(C24-C23)/C23</f>
        <v/>
      </c>
      <c r="E24" s="94">
        <f>VLOOKUP(B24,Database!$A:$M,MATCH(Recap!$E$5,Database!$A$1:$M$1,),)</f>
        <v/>
      </c>
      <c r="F24" s="96">
        <f>(E24-E23)/E23</f>
        <v/>
      </c>
      <c r="G24" s="94">
        <f>VLOOKUP(B24,Database!$A:$M,MATCH(Recap!$G$5,Database!$A$1:$M$1,),)</f>
        <v/>
      </c>
      <c r="H24" s="96">
        <f>(G24-G23)/G23</f>
        <v/>
      </c>
      <c r="I24" s="94">
        <f>VLOOKUP(B24,Database!$A:$M,MATCH(Recap!$I$5,Database!$A$1:$M$1,),)</f>
        <v/>
      </c>
      <c r="J24" s="96">
        <f>(I24-I23)/I23</f>
        <v/>
      </c>
      <c r="K24" s="94">
        <f>VLOOKUP(B24,Database!$A:$M,MATCH(Recap!$K$5,Database!$A$1:$M$1,),)</f>
        <v/>
      </c>
      <c r="L24" s="96">
        <f>(K24-K23)/K23</f>
        <v/>
      </c>
      <c r="M24" s="94">
        <f>VLOOKUP(B24,Database!$A:$M,MATCH(Recap!$M$5,Database!$A$1:$M$1,),)</f>
        <v/>
      </c>
      <c r="N24" s="96">
        <f>(M24-M23)/M23</f>
        <v/>
      </c>
      <c r="O24" s="94">
        <f>VLOOKUP(B24,Database!$A:$M,MATCH(Recap!$O$5,Database!$A$1:$M$1,),)</f>
        <v/>
      </c>
      <c r="P24" s="96">
        <f>(O24-O23)/O23</f>
        <v/>
      </c>
      <c r="Q24" s="94">
        <f>VLOOKUP(B24,Database!$A:$M,MATCH(Recap!$Q$5,Database!$A$1:$M$1,),)</f>
        <v/>
      </c>
      <c r="R24" s="96">
        <f>(Q24-Q23)/Q23</f>
        <v/>
      </c>
      <c r="S24" s="94">
        <f>VLOOKUP(B24,Database!$A:$M,MATCH(Recap!$S$5,Database!$A$1:$M$1,),)</f>
        <v/>
      </c>
      <c r="T24" s="96">
        <f>(S24-S23)/S23</f>
        <v/>
      </c>
      <c r="U24" s="94">
        <f>VLOOKUP(B24,Database!$A:$M,MATCH(Recap!$U$5,Database!$A$1:$M$1,),)</f>
        <v/>
      </c>
      <c r="V24" s="96">
        <f>(U24-U23)/U23</f>
        <v/>
      </c>
    </row>
    <row r="25">
      <c r="B25" s="93" t="n">
        <v>42917</v>
      </c>
      <c r="C25" s="94">
        <f>VLOOKUP(B25,Database!$A:$M,MATCH(Recap!$C$5,Database!$A$1:$M$1,),)</f>
        <v/>
      </c>
      <c r="D25" s="96">
        <f>(C25-C24)/C24</f>
        <v/>
      </c>
      <c r="E25" s="94">
        <f>VLOOKUP(B25,Database!$A:$M,MATCH(Recap!$E$5,Database!$A$1:$M$1,),)</f>
        <v/>
      </c>
      <c r="F25" s="96">
        <f>(E25-E24)/E24</f>
        <v/>
      </c>
      <c r="G25" s="94">
        <f>VLOOKUP(B25,Database!$A:$M,MATCH(Recap!$G$5,Database!$A$1:$M$1,),)</f>
        <v/>
      </c>
      <c r="H25" s="96">
        <f>(G25-G24)/G24</f>
        <v/>
      </c>
      <c r="I25" s="94">
        <f>VLOOKUP(B25,Database!$A:$M,MATCH(Recap!$I$5,Database!$A$1:$M$1,),)</f>
        <v/>
      </c>
      <c r="J25" s="96">
        <f>(I25-I24)/I24</f>
        <v/>
      </c>
      <c r="K25" s="94">
        <f>VLOOKUP(B25,Database!$A:$M,MATCH(Recap!$K$5,Database!$A$1:$M$1,),)</f>
        <v/>
      </c>
      <c r="L25" s="96">
        <f>(K25-K24)/K24</f>
        <v/>
      </c>
      <c r="M25" s="94">
        <f>VLOOKUP(B25,Database!$A:$M,MATCH(Recap!$M$5,Database!$A$1:$M$1,),)</f>
        <v/>
      </c>
      <c r="N25" s="96">
        <f>(M25-M24)/M24</f>
        <v/>
      </c>
      <c r="O25" s="94">
        <f>VLOOKUP(B25,Database!$A:$M,MATCH(Recap!$O$5,Database!$A$1:$M$1,),)</f>
        <v/>
      </c>
      <c r="P25" s="96">
        <f>(O25-O24)/O24</f>
        <v/>
      </c>
      <c r="Q25" s="94">
        <f>VLOOKUP(B25,Database!$A:$M,MATCH(Recap!$Q$5,Database!$A$1:$M$1,),)</f>
        <v/>
      </c>
      <c r="R25" s="96">
        <f>(Q25-Q24)/Q24</f>
        <v/>
      </c>
      <c r="S25" s="94">
        <f>VLOOKUP(B25,Database!$A:$M,MATCH(Recap!$S$5,Database!$A$1:$M$1,),)</f>
        <v/>
      </c>
      <c r="T25" s="96">
        <f>(S25-S24)/S24</f>
        <v/>
      </c>
      <c r="U25" s="94">
        <f>VLOOKUP(B25,Database!$A:$M,MATCH(Recap!$U$5,Database!$A$1:$M$1,),)</f>
        <v/>
      </c>
      <c r="V25" s="96">
        <f>(U25-U24)/U24</f>
        <v/>
      </c>
    </row>
    <row r="26">
      <c r="B26" s="93" t="n">
        <v>42948</v>
      </c>
      <c r="C26" s="94">
        <f>VLOOKUP(B26,Database!$A:$M,MATCH(Recap!$C$5,Database!$A$1:$M$1,),)</f>
        <v/>
      </c>
      <c r="D26" s="96">
        <f>(C26-C25)/C25</f>
        <v/>
      </c>
      <c r="E26" s="94">
        <f>VLOOKUP(B26,Database!$A:$M,MATCH(Recap!$E$5,Database!$A$1:$M$1,),)</f>
        <v/>
      </c>
      <c r="F26" s="96">
        <f>(E26-E25)/E25</f>
        <v/>
      </c>
      <c r="G26" s="94">
        <f>VLOOKUP(B26,Database!$A:$M,MATCH(Recap!$G$5,Database!$A$1:$M$1,),)</f>
        <v/>
      </c>
      <c r="H26" s="96">
        <f>(G26-G25)/G25</f>
        <v/>
      </c>
      <c r="I26" s="94">
        <f>VLOOKUP(B26,Database!$A:$M,MATCH(Recap!$I$5,Database!$A$1:$M$1,),)</f>
        <v/>
      </c>
      <c r="J26" s="96">
        <f>(I26-I25)/I25</f>
        <v/>
      </c>
      <c r="K26" s="94">
        <f>VLOOKUP(B26,Database!$A:$M,MATCH(Recap!$K$5,Database!$A$1:$M$1,),)</f>
        <v/>
      </c>
      <c r="L26" s="96">
        <f>(K26-K25)/K25</f>
        <v/>
      </c>
      <c r="M26" s="94">
        <f>VLOOKUP(B26,Database!$A:$M,MATCH(Recap!$M$5,Database!$A$1:$M$1,),)</f>
        <v/>
      </c>
      <c r="N26" s="96">
        <f>(M26-M25)/M25</f>
        <v/>
      </c>
      <c r="O26" s="94">
        <f>VLOOKUP(B26,Database!$A:$M,MATCH(Recap!$O$5,Database!$A$1:$M$1,),)</f>
        <v/>
      </c>
      <c r="P26" s="96">
        <f>(O26-O25)/O25</f>
        <v/>
      </c>
      <c r="Q26" s="94">
        <f>VLOOKUP(B26,Database!$A:$M,MATCH(Recap!$Q$5,Database!$A$1:$M$1,),)</f>
        <v/>
      </c>
      <c r="R26" s="96">
        <f>(Q26-Q25)/Q25</f>
        <v/>
      </c>
      <c r="S26" s="94">
        <f>VLOOKUP(B26,Database!$A:$M,MATCH(Recap!$S$5,Database!$A$1:$M$1,),)</f>
        <v/>
      </c>
      <c r="T26" s="96">
        <f>(S26-S25)/S25</f>
        <v/>
      </c>
      <c r="U26" s="94">
        <f>VLOOKUP(B26,Database!$A:$M,MATCH(Recap!$U$5,Database!$A$1:$M$1,),)</f>
        <v/>
      </c>
      <c r="V26" s="96">
        <f>(U26-U25)/U25</f>
        <v/>
      </c>
    </row>
    <row r="27">
      <c r="B27" s="93" t="n">
        <v>42979</v>
      </c>
      <c r="C27" s="94">
        <f>VLOOKUP(B27,Database!$A:$M,MATCH(Recap!$C$5,Database!$A$1:$M$1,),)</f>
        <v/>
      </c>
      <c r="D27" s="96">
        <f>(C27-C26)/C26</f>
        <v/>
      </c>
      <c r="E27" s="94">
        <f>VLOOKUP(B27,Database!$A:$M,MATCH(Recap!$E$5,Database!$A$1:$M$1,),)</f>
        <v/>
      </c>
      <c r="F27" s="96">
        <f>(E27-E26)/E26</f>
        <v/>
      </c>
      <c r="G27" s="94">
        <f>VLOOKUP(B27,Database!$A:$M,MATCH(Recap!$G$5,Database!$A$1:$M$1,),)</f>
        <v/>
      </c>
      <c r="H27" s="96">
        <f>(G27-G26)/G26</f>
        <v/>
      </c>
      <c r="I27" s="94">
        <f>VLOOKUP(B27,Database!$A:$M,MATCH(Recap!$I$5,Database!$A$1:$M$1,),)</f>
        <v/>
      </c>
      <c r="J27" s="96">
        <f>(I27-I26)/I26</f>
        <v/>
      </c>
      <c r="K27" s="94">
        <f>VLOOKUP(B27,Database!$A:$M,MATCH(Recap!$K$5,Database!$A$1:$M$1,),)</f>
        <v/>
      </c>
      <c r="L27" s="96">
        <f>(K27-K26)/K26</f>
        <v/>
      </c>
      <c r="M27" s="94">
        <f>VLOOKUP(B27,Database!$A:$M,MATCH(Recap!$M$5,Database!$A$1:$M$1,),)</f>
        <v/>
      </c>
      <c r="N27" s="96">
        <f>(M27-M26)/M26</f>
        <v/>
      </c>
      <c r="O27" s="94">
        <f>VLOOKUP(B27,Database!$A:$M,MATCH(Recap!$O$5,Database!$A$1:$M$1,),)</f>
        <v/>
      </c>
      <c r="P27" s="96">
        <f>(O27-O26)/O26</f>
        <v/>
      </c>
      <c r="Q27" s="94">
        <f>VLOOKUP(B27,Database!$A:$M,MATCH(Recap!$Q$5,Database!$A$1:$M$1,),)</f>
        <v/>
      </c>
      <c r="R27" s="96">
        <f>(Q27-Q26)/Q26</f>
        <v/>
      </c>
      <c r="S27" s="94">
        <f>VLOOKUP(B27,Database!$A:$M,MATCH(Recap!$S$5,Database!$A$1:$M$1,),)</f>
        <v/>
      </c>
      <c r="T27" s="96">
        <f>(S27-S26)/S26</f>
        <v/>
      </c>
      <c r="U27" s="94">
        <f>VLOOKUP(B27,Database!$A:$M,MATCH(Recap!$U$5,Database!$A$1:$M$1,),)</f>
        <v/>
      </c>
      <c r="V27" s="96">
        <f>(U27-U26)/U26</f>
        <v/>
      </c>
    </row>
    <row r="28">
      <c r="B28" s="93" t="n">
        <v>43009</v>
      </c>
      <c r="C28" s="94">
        <f>VLOOKUP(B28,Database!$A:$M,MATCH(Recap!$C$5,Database!$A$1:$M$1,),)</f>
        <v/>
      </c>
      <c r="D28" s="96">
        <f>(C28-C27)/C27</f>
        <v/>
      </c>
      <c r="E28" s="94">
        <f>VLOOKUP(B28,Database!$A:$M,MATCH(Recap!$E$5,Database!$A$1:$M$1,),)</f>
        <v/>
      </c>
      <c r="F28" s="96">
        <f>(E28-E27)/E27</f>
        <v/>
      </c>
      <c r="G28" s="94">
        <f>VLOOKUP(B28,Database!$A:$M,MATCH(Recap!$G$5,Database!$A$1:$M$1,),)</f>
        <v/>
      </c>
      <c r="H28" s="96">
        <f>(G28-G27)/G27</f>
        <v/>
      </c>
      <c r="I28" s="94">
        <f>VLOOKUP(B28,Database!$A:$M,MATCH(Recap!$I$5,Database!$A$1:$M$1,),)</f>
        <v/>
      </c>
      <c r="J28" s="96">
        <f>(I28-I27)/I27</f>
        <v/>
      </c>
      <c r="K28" s="94">
        <f>VLOOKUP(B28,Database!$A:$M,MATCH(Recap!$K$5,Database!$A$1:$M$1,),)</f>
        <v/>
      </c>
      <c r="L28" s="96">
        <f>(K28-K27)/K27</f>
        <v/>
      </c>
      <c r="M28" s="94">
        <f>VLOOKUP(B28,Database!$A:$M,MATCH(Recap!$M$5,Database!$A$1:$M$1,),)</f>
        <v/>
      </c>
      <c r="N28" s="96">
        <f>(M28-M27)/M27</f>
        <v/>
      </c>
      <c r="O28" s="94">
        <f>VLOOKUP(B28,Database!$A:$M,MATCH(Recap!$O$5,Database!$A$1:$M$1,),)</f>
        <v/>
      </c>
      <c r="P28" s="96">
        <f>(O28-O27)/O27</f>
        <v/>
      </c>
      <c r="Q28" s="94">
        <f>VLOOKUP(B28,Database!$A:$M,MATCH(Recap!$Q$5,Database!$A$1:$M$1,),)</f>
        <v/>
      </c>
      <c r="R28" s="96">
        <f>(Q28-Q27)/Q27</f>
        <v/>
      </c>
      <c r="S28" s="94">
        <f>VLOOKUP(B28,Database!$A:$M,MATCH(Recap!$S$5,Database!$A$1:$M$1,),)</f>
        <v/>
      </c>
      <c r="T28" s="96">
        <f>(S28-S27)/S27</f>
        <v/>
      </c>
      <c r="U28" s="94">
        <f>VLOOKUP(B28,Database!$A:$M,MATCH(Recap!$U$5,Database!$A$1:$M$1,),)</f>
        <v/>
      </c>
      <c r="V28" s="96">
        <f>(U28-U27)/U27</f>
        <v/>
      </c>
    </row>
    <row r="29">
      <c r="B29" s="93" t="n">
        <v>43040</v>
      </c>
      <c r="C29" s="94">
        <f>VLOOKUP(B29,Database!$A:$M,MATCH(Recap!$C$5,Database!$A$1:$M$1,),)</f>
        <v/>
      </c>
      <c r="D29" s="96">
        <f>(C29-C28)/C28</f>
        <v/>
      </c>
      <c r="E29" s="94">
        <f>VLOOKUP(B29,Database!$A:$M,MATCH(Recap!$E$5,Database!$A$1:$M$1,),)</f>
        <v/>
      </c>
      <c r="F29" s="96">
        <f>(E29-E28)/E28</f>
        <v/>
      </c>
      <c r="G29" s="94">
        <f>VLOOKUP(B29,Database!$A:$M,MATCH(Recap!$G$5,Database!$A$1:$M$1,),)</f>
        <v/>
      </c>
      <c r="H29" s="96">
        <f>(G29-G28)/G28</f>
        <v/>
      </c>
      <c r="I29" s="94">
        <f>VLOOKUP(B29,Database!$A:$M,MATCH(Recap!$I$5,Database!$A$1:$M$1,),)</f>
        <v/>
      </c>
      <c r="J29" s="96">
        <f>(I29-I28)/I28</f>
        <v/>
      </c>
      <c r="K29" s="94">
        <f>VLOOKUP(B29,Database!$A:$M,MATCH(Recap!$K$5,Database!$A$1:$M$1,),)</f>
        <v/>
      </c>
      <c r="L29" s="96">
        <f>(K29-K28)/K28</f>
        <v/>
      </c>
      <c r="M29" s="94">
        <f>VLOOKUP(B29,Database!$A:$M,MATCH(Recap!$M$5,Database!$A$1:$M$1,),)</f>
        <v/>
      </c>
      <c r="N29" s="96">
        <f>(M29-M28)/M28</f>
        <v/>
      </c>
      <c r="O29" s="94">
        <f>VLOOKUP(B29,Database!$A:$M,MATCH(Recap!$O$5,Database!$A$1:$M$1,),)</f>
        <v/>
      </c>
      <c r="P29" s="96">
        <f>(O29-O28)/O28</f>
        <v/>
      </c>
      <c r="Q29" s="94">
        <f>VLOOKUP(B29,Database!$A:$M,MATCH(Recap!$Q$5,Database!$A$1:$M$1,),)</f>
        <v/>
      </c>
      <c r="R29" s="96">
        <f>(Q29-Q28)/Q28</f>
        <v/>
      </c>
      <c r="S29" s="94">
        <f>VLOOKUP(B29,Database!$A:$M,MATCH(Recap!$S$5,Database!$A$1:$M$1,),)</f>
        <v/>
      </c>
      <c r="T29" s="96">
        <f>(S29-S28)/S28</f>
        <v/>
      </c>
      <c r="U29" s="94">
        <f>VLOOKUP(B29,Database!$A:$M,MATCH(Recap!$U$5,Database!$A$1:$M$1,),)</f>
        <v/>
      </c>
      <c r="V29" s="96">
        <f>(U29-U28)/U28</f>
        <v/>
      </c>
    </row>
    <row r="30">
      <c r="B30" s="93" t="n">
        <v>43070</v>
      </c>
      <c r="C30" s="94">
        <f>VLOOKUP(B30,Database!$A:$M,MATCH(Recap!$C$5,Database!$A$1:$M$1,),)</f>
        <v/>
      </c>
      <c r="D30" s="96">
        <f>(C30-C29)/C29</f>
        <v/>
      </c>
      <c r="E30" s="94">
        <f>VLOOKUP(B30,Database!$A:$M,MATCH(Recap!$E$5,Database!$A$1:$M$1,),)</f>
        <v/>
      </c>
      <c r="F30" s="96">
        <f>(E30-E29)/E29</f>
        <v/>
      </c>
      <c r="G30" s="94">
        <f>VLOOKUP(B30,Database!$A:$M,MATCH(Recap!$G$5,Database!$A$1:$M$1,),)</f>
        <v/>
      </c>
      <c r="H30" s="96">
        <f>(G30-G29)/G29</f>
        <v/>
      </c>
      <c r="I30" s="94">
        <f>VLOOKUP(B30,Database!$A:$M,MATCH(Recap!$I$5,Database!$A$1:$M$1,),)</f>
        <v/>
      </c>
      <c r="J30" s="96">
        <f>(I30-I29)/I29</f>
        <v/>
      </c>
      <c r="K30" s="94">
        <f>VLOOKUP(B30,Database!$A:$M,MATCH(Recap!$K$5,Database!$A$1:$M$1,),)</f>
        <v/>
      </c>
      <c r="L30" s="96">
        <f>(K30-K29)/K29</f>
        <v/>
      </c>
      <c r="M30" s="94">
        <f>VLOOKUP(B30,Database!$A:$M,MATCH(Recap!$M$5,Database!$A$1:$M$1,),)</f>
        <v/>
      </c>
      <c r="N30" s="96">
        <f>(M30-M29)/M29</f>
        <v/>
      </c>
      <c r="O30" s="94">
        <f>VLOOKUP(B30,Database!$A:$M,MATCH(Recap!$O$5,Database!$A$1:$M$1,),)</f>
        <v/>
      </c>
      <c r="P30" s="96">
        <f>(O30-O29)/O29</f>
        <v/>
      </c>
      <c r="Q30" s="94">
        <f>VLOOKUP(B30,Database!$A:$M,MATCH(Recap!$Q$5,Database!$A$1:$M$1,),)</f>
        <v/>
      </c>
      <c r="R30" s="96">
        <f>(Q30-Q29)/Q29</f>
        <v/>
      </c>
      <c r="S30" s="94">
        <f>VLOOKUP(B30,Database!$A:$M,MATCH(Recap!$S$5,Database!$A$1:$M$1,),)</f>
        <v/>
      </c>
      <c r="T30" s="96">
        <f>(S30-S29)/S29</f>
        <v/>
      </c>
      <c r="U30" s="94">
        <f>VLOOKUP(B30,Database!$A:$M,MATCH(Recap!$U$5,Database!$A$1:$M$1,),)</f>
        <v/>
      </c>
      <c r="V30" s="96">
        <f>(U30-U29)/U29</f>
        <v/>
      </c>
    </row>
    <row r="31">
      <c r="B31" s="93" t="n">
        <v>43101</v>
      </c>
      <c r="C31" s="94">
        <f>VLOOKUP(B31,Database!$A:$M,MATCH(Recap!$C$5,Database!$A$1:$M$1,),)</f>
        <v/>
      </c>
      <c r="D31" s="96">
        <f>(C31-C30)/C30</f>
        <v/>
      </c>
      <c r="E31" s="94">
        <f>VLOOKUP(B31,Database!$A:$M,MATCH(Recap!$E$5,Database!$A$1:$M$1,),)</f>
        <v/>
      </c>
      <c r="F31" s="96">
        <f>(E31-E30)/E30</f>
        <v/>
      </c>
      <c r="G31" s="94">
        <f>VLOOKUP(B31,Database!$A:$M,MATCH(Recap!$G$5,Database!$A$1:$M$1,),)</f>
        <v/>
      </c>
      <c r="H31" s="96">
        <f>(G31-G30)/G30</f>
        <v/>
      </c>
      <c r="I31" s="94">
        <f>VLOOKUP(B31,Database!$A:$M,MATCH(Recap!$I$5,Database!$A$1:$M$1,),)</f>
        <v/>
      </c>
      <c r="J31" s="96">
        <f>(I31-I30)/I30</f>
        <v/>
      </c>
      <c r="K31" s="94">
        <f>VLOOKUP(B31,Database!$A:$M,MATCH(Recap!$K$5,Database!$A$1:$M$1,),)</f>
        <v/>
      </c>
      <c r="L31" s="96">
        <f>(K31-K30)/K30</f>
        <v/>
      </c>
      <c r="M31" s="94">
        <f>VLOOKUP(B31,Database!$A:$M,MATCH(Recap!$M$5,Database!$A$1:$M$1,),)</f>
        <v/>
      </c>
      <c r="N31" s="96">
        <f>(M31-M30)/M30</f>
        <v/>
      </c>
      <c r="O31" s="94">
        <f>VLOOKUP(B31,Database!$A:$M,MATCH(Recap!$O$5,Database!$A$1:$M$1,),)</f>
        <v/>
      </c>
      <c r="P31" s="96">
        <f>(O31-O30)/O30</f>
        <v/>
      </c>
      <c r="Q31" s="94">
        <f>VLOOKUP(B31,Database!$A:$M,MATCH(Recap!$Q$5,Database!$A$1:$M$1,),)</f>
        <v/>
      </c>
      <c r="R31" s="96">
        <f>(Q31-Q30)/Q30</f>
        <v/>
      </c>
      <c r="S31" s="94">
        <f>VLOOKUP(B31,Database!$A:$M,MATCH(Recap!$S$5,Database!$A$1:$M$1,),)</f>
        <v/>
      </c>
      <c r="T31" s="96">
        <f>(S31-S30)/S30</f>
        <v/>
      </c>
      <c r="U31" s="94">
        <f>VLOOKUP(B31,Database!$A:$M,MATCH(Recap!$U$5,Database!$A$1:$M$1,),)</f>
        <v/>
      </c>
      <c r="V31" s="96">
        <f>(U31-U30)/U30</f>
        <v/>
      </c>
    </row>
    <row r="32">
      <c r="B32" s="93" t="n">
        <v>43132</v>
      </c>
      <c r="C32" s="94">
        <f>VLOOKUP(B32,Database!$A:$M,MATCH(Recap!$C$5,Database!$A$1:$M$1,),)</f>
        <v/>
      </c>
      <c r="D32" s="96">
        <f>(C32-C31)/C31</f>
        <v/>
      </c>
      <c r="E32" s="94">
        <f>VLOOKUP(B32,Database!$A:$M,MATCH(Recap!$E$5,Database!$A$1:$M$1,),)</f>
        <v/>
      </c>
      <c r="F32" s="96">
        <f>(E32-E31)/E31</f>
        <v/>
      </c>
      <c r="G32" s="94">
        <f>VLOOKUP(B32,Database!$A:$M,MATCH(Recap!$G$5,Database!$A$1:$M$1,),)</f>
        <v/>
      </c>
      <c r="H32" s="96">
        <f>(G32-G31)/G31</f>
        <v/>
      </c>
      <c r="I32" s="94">
        <f>VLOOKUP(B32,Database!$A:$M,MATCH(Recap!$I$5,Database!$A$1:$M$1,),)</f>
        <v/>
      </c>
      <c r="J32" s="96">
        <f>(I32-I31)/I31</f>
        <v/>
      </c>
      <c r="K32" s="94">
        <f>VLOOKUP(B32,Database!$A:$M,MATCH(Recap!$K$5,Database!$A$1:$M$1,),)</f>
        <v/>
      </c>
      <c r="L32" s="96">
        <f>(K32-K31)/K31</f>
        <v/>
      </c>
      <c r="M32" s="94">
        <f>VLOOKUP(B32,Database!$A:$M,MATCH(Recap!$M$5,Database!$A$1:$M$1,),)</f>
        <v/>
      </c>
      <c r="N32" s="96">
        <f>(M32-M31)/M31</f>
        <v/>
      </c>
      <c r="O32" s="94">
        <f>VLOOKUP(B32,Database!$A:$M,MATCH(Recap!$O$5,Database!$A$1:$M$1,),)</f>
        <v/>
      </c>
      <c r="P32" s="96">
        <f>(O32-O31)/O31</f>
        <v/>
      </c>
      <c r="Q32" s="94">
        <f>VLOOKUP(B32,Database!$A:$M,MATCH(Recap!$Q$5,Database!$A$1:$M$1,),)</f>
        <v/>
      </c>
      <c r="R32" s="96">
        <f>(Q32-Q31)/Q31</f>
        <v/>
      </c>
      <c r="S32" s="94">
        <f>VLOOKUP(B32,Database!$A:$M,MATCH(Recap!$S$5,Database!$A$1:$M$1,),)</f>
        <v/>
      </c>
      <c r="T32" s="96">
        <f>(S32-S31)/S31</f>
        <v/>
      </c>
      <c r="U32" s="94">
        <f>VLOOKUP(B32,Database!$A:$M,MATCH(Recap!$U$5,Database!$A$1:$M$1,),)</f>
        <v/>
      </c>
      <c r="V32" s="96">
        <f>(U32-U31)/U31</f>
        <v/>
      </c>
    </row>
    <row r="33">
      <c r="B33" s="93" t="n">
        <v>43160</v>
      </c>
      <c r="C33" s="94">
        <f>VLOOKUP(B33,Database!$A:$M,MATCH(Recap!$C$5,Database!$A$1:$M$1,),)</f>
        <v/>
      </c>
      <c r="D33" s="96">
        <f>(C33-C32)/C32</f>
        <v/>
      </c>
      <c r="E33" s="94">
        <f>VLOOKUP(B33,Database!$A:$M,MATCH(Recap!$E$5,Database!$A$1:$M$1,),)</f>
        <v/>
      </c>
      <c r="F33" s="96">
        <f>(E33-E32)/E32</f>
        <v/>
      </c>
      <c r="G33" s="94">
        <f>VLOOKUP(B33,Database!$A:$M,MATCH(Recap!$G$5,Database!$A$1:$M$1,),)</f>
        <v/>
      </c>
      <c r="H33" s="96">
        <f>(G33-G32)/G32</f>
        <v/>
      </c>
      <c r="I33" s="94">
        <f>VLOOKUP(B33,Database!$A:$M,MATCH(Recap!$I$5,Database!$A$1:$M$1,),)</f>
        <v/>
      </c>
      <c r="J33" s="96">
        <f>(I33-I32)/I32</f>
        <v/>
      </c>
      <c r="K33" s="94">
        <f>VLOOKUP(B33,Database!$A:$M,MATCH(Recap!$K$5,Database!$A$1:$M$1,),)</f>
        <v/>
      </c>
      <c r="L33" s="96">
        <f>(K33-K32)/K32</f>
        <v/>
      </c>
      <c r="M33" s="94">
        <f>VLOOKUP(B33,Database!$A:$M,MATCH(Recap!$M$5,Database!$A$1:$M$1,),)</f>
        <v/>
      </c>
      <c r="N33" s="96">
        <f>(M33-M32)/M32</f>
        <v/>
      </c>
      <c r="O33" s="94">
        <f>VLOOKUP(B33,Database!$A:$M,MATCH(Recap!$O$5,Database!$A$1:$M$1,),)</f>
        <v/>
      </c>
      <c r="P33" s="96">
        <f>(O33-O32)/O32</f>
        <v/>
      </c>
      <c r="Q33" s="94">
        <f>VLOOKUP(B33,Database!$A:$M,MATCH(Recap!$Q$5,Database!$A$1:$M$1,),)</f>
        <v/>
      </c>
      <c r="R33" s="96">
        <f>(Q33-Q32)/Q32</f>
        <v/>
      </c>
      <c r="S33" s="94">
        <f>VLOOKUP(B33,Database!$A:$M,MATCH(Recap!$S$5,Database!$A$1:$M$1,),)</f>
        <v/>
      </c>
      <c r="T33" s="96">
        <f>(S33-S32)/S32</f>
        <v/>
      </c>
      <c r="U33" s="94">
        <f>VLOOKUP(B33,Database!$A:$M,MATCH(Recap!$U$5,Database!$A$1:$M$1,),)</f>
        <v/>
      </c>
      <c r="V33" s="96">
        <f>(U33-U32)/U32</f>
        <v/>
      </c>
    </row>
    <row r="34">
      <c r="B34" s="93" t="n">
        <v>43191</v>
      </c>
      <c r="C34" s="94">
        <f>VLOOKUP(B34,Database!$A:$M,MATCH(Recap!$C$5,Database!$A$1:$M$1,),)</f>
        <v/>
      </c>
      <c r="D34" s="96">
        <f>(C34-C33)/C33</f>
        <v/>
      </c>
      <c r="E34" s="94">
        <f>VLOOKUP(B34,Database!$A:$M,MATCH(Recap!$E$5,Database!$A$1:$M$1,),)</f>
        <v/>
      </c>
      <c r="F34" s="96">
        <f>(E34-E33)/E33</f>
        <v/>
      </c>
      <c r="G34" s="94">
        <f>VLOOKUP(B34,Database!$A:$M,MATCH(Recap!$G$5,Database!$A$1:$M$1,),)</f>
        <v/>
      </c>
      <c r="H34" s="96">
        <f>(G34-G33)/G33</f>
        <v/>
      </c>
      <c r="I34" s="94">
        <f>VLOOKUP(B34,Database!$A:$M,MATCH(Recap!$I$5,Database!$A$1:$M$1,),)</f>
        <v/>
      </c>
      <c r="J34" s="96">
        <f>(I34-I33)/I33</f>
        <v/>
      </c>
      <c r="K34" s="94">
        <f>VLOOKUP(B34,Database!$A:$M,MATCH(Recap!$K$5,Database!$A$1:$M$1,),)</f>
        <v/>
      </c>
      <c r="L34" s="96">
        <f>(K34-K33)/K33</f>
        <v/>
      </c>
      <c r="M34" s="94">
        <f>VLOOKUP(B34,Database!$A:$M,MATCH(Recap!$M$5,Database!$A$1:$M$1,),)</f>
        <v/>
      </c>
      <c r="N34" s="96">
        <f>(M34-M33)/M33</f>
        <v/>
      </c>
      <c r="O34" s="94">
        <f>VLOOKUP(B34,Database!$A:$M,MATCH(Recap!$O$5,Database!$A$1:$M$1,),)</f>
        <v/>
      </c>
      <c r="P34" s="96">
        <f>(O34-O33)/O33</f>
        <v/>
      </c>
      <c r="Q34" s="94">
        <f>VLOOKUP(B34,Database!$A:$M,MATCH(Recap!$Q$5,Database!$A$1:$M$1,),)</f>
        <v/>
      </c>
      <c r="R34" s="96">
        <f>(Q34-Q33)/Q33</f>
        <v/>
      </c>
      <c r="S34" s="94">
        <f>VLOOKUP(B34,Database!$A:$M,MATCH(Recap!$S$5,Database!$A$1:$M$1,),)</f>
        <v/>
      </c>
      <c r="T34" s="96">
        <f>(S34-S33)/S33</f>
        <v/>
      </c>
      <c r="U34" s="94">
        <f>VLOOKUP(B34,Database!$A:$M,MATCH(Recap!$U$5,Database!$A$1:$M$1,),)</f>
        <v/>
      </c>
      <c r="V34" s="96">
        <f>(U34-U33)/U33</f>
        <v/>
      </c>
    </row>
    <row r="35">
      <c r="B35" s="93" t="n">
        <v>43221</v>
      </c>
      <c r="C35" s="94">
        <f>VLOOKUP(B35,Database!$A:$M,MATCH(Recap!$C$5,Database!$A$1:$M$1,),)</f>
        <v/>
      </c>
      <c r="D35" s="96">
        <f>(C35-C34)/C34</f>
        <v/>
      </c>
      <c r="E35" s="94">
        <f>VLOOKUP(B35,Database!$A:$M,MATCH(Recap!$E$5,Database!$A$1:$M$1,),)</f>
        <v/>
      </c>
      <c r="F35" s="96">
        <f>(E35-E34)/E34</f>
        <v/>
      </c>
      <c r="G35" s="94">
        <f>VLOOKUP(B35,Database!$A:$M,MATCH(Recap!$G$5,Database!$A$1:$M$1,),)</f>
        <v/>
      </c>
      <c r="H35" s="96">
        <f>(G35-G34)/G34</f>
        <v/>
      </c>
      <c r="I35" s="94">
        <f>VLOOKUP(B35,Database!$A:$M,MATCH(Recap!$I$5,Database!$A$1:$M$1,),)</f>
        <v/>
      </c>
      <c r="J35" s="96">
        <f>(I35-I34)/I34</f>
        <v/>
      </c>
      <c r="K35" s="94">
        <f>VLOOKUP(B35,Database!$A:$M,MATCH(Recap!$K$5,Database!$A$1:$M$1,),)</f>
        <v/>
      </c>
      <c r="L35" s="96">
        <f>(K35-K34)/K34</f>
        <v/>
      </c>
      <c r="M35" s="94">
        <f>VLOOKUP(B35,Database!$A:$M,MATCH(Recap!$M$5,Database!$A$1:$M$1,),)</f>
        <v/>
      </c>
      <c r="N35" s="96">
        <f>(M35-M34)/M34</f>
        <v/>
      </c>
      <c r="O35" s="94">
        <f>VLOOKUP(B35,Database!$A:$M,MATCH(Recap!$O$5,Database!$A$1:$M$1,),)</f>
        <v/>
      </c>
      <c r="P35" s="96">
        <f>(O35-O34)/O34</f>
        <v/>
      </c>
      <c r="Q35" s="94">
        <f>VLOOKUP(B35,Database!$A:$M,MATCH(Recap!$Q$5,Database!$A$1:$M$1,),)</f>
        <v/>
      </c>
      <c r="R35" s="96">
        <f>(Q35-Q34)/Q34</f>
        <v/>
      </c>
      <c r="S35" s="94">
        <f>VLOOKUP(B35,Database!$A:$M,MATCH(Recap!$S$5,Database!$A$1:$M$1,),)</f>
        <v/>
      </c>
      <c r="T35" s="96">
        <f>(S35-S34)/S34</f>
        <v/>
      </c>
      <c r="U35" s="94">
        <f>VLOOKUP(B35,Database!$A:$M,MATCH(Recap!$U$5,Database!$A$1:$M$1,),)</f>
        <v/>
      </c>
      <c r="V35" s="96">
        <f>(U35-U34)/U34</f>
        <v/>
      </c>
    </row>
    <row r="36">
      <c r="B36" s="93" t="n">
        <v>43252</v>
      </c>
      <c r="C36" s="94">
        <f>VLOOKUP(B36,Database!$A:$M,MATCH(Recap!$C$5,Database!$A$1:$M$1,),)</f>
        <v/>
      </c>
      <c r="D36" s="96">
        <f>(C36-C35)/C35</f>
        <v/>
      </c>
      <c r="E36" s="94">
        <f>VLOOKUP(B36,Database!$A:$M,MATCH(Recap!$E$5,Database!$A$1:$M$1,),)</f>
        <v/>
      </c>
      <c r="F36" s="96">
        <f>(E36-E35)/E35</f>
        <v/>
      </c>
      <c r="G36" s="94">
        <f>VLOOKUP(B36,Database!$A:$M,MATCH(Recap!$G$5,Database!$A$1:$M$1,),)</f>
        <v/>
      </c>
      <c r="H36" s="96">
        <f>(G36-G35)/G35</f>
        <v/>
      </c>
      <c r="I36" s="94">
        <f>VLOOKUP(B36,Database!$A:$M,MATCH(Recap!$I$5,Database!$A$1:$M$1,),)</f>
        <v/>
      </c>
      <c r="J36" s="96">
        <f>(I36-I35)/I35</f>
        <v/>
      </c>
      <c r="K36" s="94">
        <f>VLOOKUP(B36,Database!$A:$M,MATCH(Recap!$K$5,Database!$A$1:$M$1,),)</f>
        <v/>
      </c>
      <c r="L36" s="96">
        <f>(K36-K35)/K35</f>
        <v/>
      </c>
      <c r="M36" s="94">
        <f>VLOOKUP(B36,Database!$A:$M,MATCH(Recap!$M$5,Database!$A$1:$M$1,),)</f>
        <v/>
      </c>
      <c r="N36" s="96">
        <f>(M36-M35)/M35</f>
        <v/>
      </c>
      <c r="O36" s="94">
        <f>VLOOKUP(B36,Database!$A:$M,MATCH(Recap!$O$5,Database!$A$1:$M$1,),)</f>
        <v/>
      </c>
      <c r="P36" s="96">
        <f>(O36-O35)/O35</f>
        <v/>
      </c>
      <c r="Q36" s="94">
        <f>VLOOKUP(B36,Database!$A:$M,MATCH(Recap!$Q$5,Database!$A$1:$M$1,),)</f>
        <v/>
      </c>
      <c r="R36" s="96">
        <f>(Q36-Q35)/Q35</f>
        <v/>
      </c>
      <c r="S36" s="94">
        <f>VLOOKUP(B36,Database!$A:$M,MATCH(Recap!$S$5,Database!$A$1:$M$1,),)</f>
        <v/>
      </c>
      <c r="T36" s="96">
        <f>(S36-S35)/S35</f>
        <v/>
      </c>
      <c r="U36" s="94">
        <f>VLOOKUP(B36,Database!$A:$M,MATCH(Recap!$U$5,Database!$A$1:$M$1,),)</f>
        <v/>
      </c>
      <c r="V36" s="96">
        <f>(U36-U35)/U35</f>
        <v/>
      </c>
    </row>
    <row r="37">
      <c r="B37" s="93" t="n">
        <v>43282</v>
      </c>
      <c r="C37" s="94">
        <f>VLOOKUP(B37,Database!$A:$M,MATCH(Recap!$C$5,Database!$A$1:$M$1,),)</f>
        <v/>
      </c>
      <c r="D37" s="96">
        <f>(C37-C36)/C36</f>
        <v/>
      </c>
      <c r="E37" s="94">
        <f>VLOOKUP(B37,Database!$A:$M,MATCH(Recap!$E$5,Database!$A$1:$M$1,),)</f>
        <v/>
      </c>
      <c r="F37" s="96">
        <f>(E37-E36)/E36</f>
        <v/>
      </c>
      <c r="G37" s="94">
        <f>VLOOKUP(B37,Database!$A:$M,MATCH(Recap!$G$5,Database!$A$1:$M$1,),)</f>
        <v/>
      </c>
      <c r="H37" s="96">
        <f>(G37-G36)/G36</f>
        <v/>
      </c>
      <c r="I37" s="94">
        <f>VLOOKUP(B37,Database!$A:$M,MATCH(Recap!$I$5,Database!$A$1:$M$1,),)</f>
        <v/>
      </c>
      <c r="J37" s="96">
        <f>(I37-I36)/I36</f>
        <v/>
      </c>
      <c r="K37" s="94">
        <f>VLOOKUP(B37,Database!$A:$M,MATCH(Recap!$K$5,Database!$A$1:$M$1,),)</f>
        <v/>
      </c>
      <c r="L37" s="96">
        <f>(K37-K36)/K36</f>
        <v/>
      </c>
      <c r="M37" s="94">
        <f>VLOOKUP(B37,Database!$A:$M,MATCH(Recap!$M$5,Database!$A$1:$M$1,),)</f>
        <v/>
      </c>
      <c r="N37" s="96">
        <f>(M37-M36)/M36</f>
        <v/>
      </c>
      <c r="O37" s="94">
        <f>VLOOKUP(B37,Database!$A:$M,MATCH(Recap!$O$5,Database!$A$1:$M$1,),)</f>
        <v/>
      </c>
      <c r="P37" s="96">
        <f>(O37-O36)/O36</f>
        <v/>
      </c>
      <c r="Q37" s="94">
        <f>VLOOKUP(B37,Database!$A:$M,MATCH(Recap!$Q$5,Database!$A$1:$M$1,),)</f>
        <v/>
      </c>
      <c r="R37" s="96">
        <f>(Q37-Q36)/Q36</f>
        <v/>
      </c>
      <c r="S37" s="94">
        <f>VLOOKUP(B37,Database!$A:$M,MATCH(Recap!$S$5,Database!$A$1:$M$1,),)</f>
        <v/>
      </c>
      <c r="T37" s="96">
        <f>(S37-S36)/S36</f>
        <v/>
      </c>
      <c r="U37" s="94">
        <f>VLOOKUP(B37,Database!$A:$M,MATCH(Recap!$U$5,Database!$A$1:$M$1,),)</f>
        <v/>
      </c>
      <c r="V37" s="96">
        <f>(U37-U36)/U36</f>
        <v/>
      </c>
    </row>
    <row r="38">
      <c r="B38" s="93" t="n">
        <v>43313</v>
      </c>
      <c r="C38" s="94">
        <f>VLOOKUP(B38,Database!$A:$M,MATCH(Recap!$C$5,Database!$A$1:$M$1,),)</f>
        <v/>
      </c>
      <c r="D38" s="96">
        <f>(C38-C37)/C37</f>
        <v/>
      </c>
      <c r="E38" s="94">
        <f>VLOOKUP(B38,Database!$A:$M,MATCH(Recap!$E$5,Database!$A$1:$M$1,),)</f>
        <v/>
      </c>
      <c r="F38" s="96">
        <f>(E38-E37)/E37</f>
        <v/>
      </c>
      <c r="G38" s="94">
        <f>VLOOKUP(B38,Database!$A:$M,MATCH(Recap!$G$5,Database!$A$1:$M$1,),)</f>
        <v/>
      </c>
      <c r="H38" s="96">
        <f>(G38-G37)/G37</f>
        <v/>
      </c>
      <c r="I38" s="94">
        <f>VLOOKUP(B38,Database!$A:$M,MATCH(Recap!$I$5,Database!$A$1:$M$1,),)</f>
        <v/>
      </c>
      <c r="J38" s="96">
        <f>(I38-I37)/I37</f>
        <v/>
      </c>
      <c r="K38" s="94">
        <f>VLOOKUP(B38,Database!$A:$M,MATCH(Recap!$K$5,Database!$A$1:$M$1,),)</f>
        <v/>
      </c>
      <c r="L38" s="96">
        <f>(K38-K37)/K37</f>
        <v/>
      </c>
      <c r="M38" s="94">
        <f>VLOOKUP(B38,Database!$A:$M,MATCH(Recap!$M$5,Database!$A$1:$M$1,),)</f>
        <v/>
      </c>
      <c r="N38" s="96">
        <f>(M38-M37)/M37</f>
        <v/>
      </c>
      <c r="O38" s="94">
        <f>VLOOKUP(B38,Database!$A:$M,MATCH(Recap!$O$5,Database!$A$1:$M$1,),)</f>
        <v/>
      </c>
      <c r="P38" s="96">
        <f>(O38-O37)/O37</f>
        <v/>
      </c>
      <c r="Q38" s="94">
        <f>VLOOKUP(B38,Database!$A:$M,MATCH(Recap!$Q$5,Database!$A$1:$M$1,),)</f>
        <v/>
      </c>
      <c r="R38" s="96">
        <f>(Q38-Q37)/Q37</f>
        <v/>
      </c>
      <c r="S38" s="94">
        <f>VLOOKUP(B38,Database!$A:$M,MATCH(Recap!$S$5,Database!$A$1:$M$1,),)</f>
        <v/>
      </c>
      <c r="T38" s="96">
        <f>(S38-S37)/S37</f>
        <v/>
      </c>
      <c r="U38" s="94">
        <f>VLOOKUP(B38,Database!$A:$M,MATCH(Recap!$U$5,Database!$A$1:$M$1,),)</f>
        <v/>
      </c>
      <c r="V38" s="96">
        <f>(U38-U37)/U37</f>
        <v/>
      </c>
    </row>
    <row r="39">
      <c r="B39" s="93" t="n">
        <v>43344</v>
      </c>
      <c r="C39" s="94">
        <f>VLOOKUP(B39,Database!$A:$M,MATCH(Recap!$C$5,Database!$A$1:$M$1,),)</f>
        <v/>
      </c>
      <c r="D39" s="96">
        <f>(C39-C38)/C38</f>
        <v/>
      </c>
      <c r="E39" s="94">
        <f>VLOOKUP(B39,Database!$A:$M,MATCH(Recap!$E$5,Database!$A$1:$M$1,),)</f>
        <v/>
      </c>
      <c r="F39" s="96">
        <f>(E39-E38)/E38</f>
        <v/>
      </c>
      <c r="G39" s="94">
        <f>VLOOKUP(B39,Database!$A:$M,MATCH(Recap!$G$5,Database!$A$1:$M$1,),)</f>
        <v/>
      </c>
      <c r="H39" s="96">
        <f>(G39-G38)/G38</f>
        <v/>
      </c>
      <c r="I39" s="94">
        <f>VLOOKUP(B39,Database!$A:$M,MATCH(Recap!$I$5,Database!$A$1:$M$1,),)</f>
        <v/>
      </c>
      <c r="J39" s="96">
        <f>(I39-I38)/I38</f>
        <v/>
      </c>
      <c r="K39" s="94">
        <f>VLOOKUP(B39,Database!$A:$M,MATCH(Recap!$K$5,Database!$A$1:$M$1,),)</f>
        <v/>
      </c>
      <c r="L39" s="96">
        <f>(K39-K38)/K38</f>
        <v/>
      </c>
      <c r="M39" s="94">
        <f>VLOOKUP(B39,Database!$A:$M,MATCH(Recap!$M$5,Database!$A$1:$M$1,),)</f>
        <v/>
      </c>
      <c r="N39" s="96">
        <f>(M39-M38)/M38</f>
        <v/>
      </c>
      <c r="O39" s="94">
        <f>VLOOKUP(B39,Database!$A:$M,MATCH(Recap!$O$5,Database!$A$1:$M$1,),)</f>
        <v/>
      </c>
      <c r="P39" s="96">
        <f>(O39-O38)/O38</f>
        <v/>
      </c>
      <c r="Q39" s="94">
        <f>VLOOKUP(B39,Database!$A:$M,MATCH(Recap!$Q$5,Database!$A$1:$M$1,),)</f>
        <v/>
      </c>
      <c r="R39" s="96">
        <f>(Q39-Q38)/Q38</f>
        <v/>
      </c>
      <c r="S39" s="94">
        <f>VLOOKUP(B39,Database!$A:$M,MATCH(Recap!$S$5,Database!$A$1:$M$1,),)</f>
        <v/>
      </c>
      <c r="T39" s="96">
        <f>(S39-S38)/S38</f>
        <v/>
      </c>
      <c r="U39" s="94">
        <f>VLOOKUP(B39,Database!$A:$M,MATCH(Recap!$U$5,Database!$A$1:$M$1,),)</f>
        <v/>
      </c>
      <c r="V39" s="96">
        <f>(U39-U38)/U38</f>
        <v/>
      </c>
    </row>
    <row r="40">
      <c r="B40" s="93" t="n">
        <v>43374</v>
      </c>
      <c r="C40" s="94">
        <f>VLOOKUP(B40,Database!$A:$M,MATCH(Recap!$C$5,Database!$A$1:$M$1,),)</f>
        <v/>
      </c>
      <c r="D40" s="96">
        <f>(C40-C39)/C39</f>
        <v/>
      </c>
      <c r="E40" s="94">
        <f>VLOOKUP(B40,Database!$A:$M,MATCH(Recap!$E$5,Database!$A$1:$M$1,),)</f>
        <v/>
      </c>
      <c r="F40" s="96">
        <f>(E40-E39)/E39</f>
        <v/>
      </c>
      <c r="G40" s="94">
        <f>VLOOKUP(B40,Database!$A:$M,MATCH(Recap!$G$5,Database!$A$1:$M$1,),)</f>
        <v/>
      </c>
      <c r="H40" s="96">
        <f>(G40-G39)/G39</f>
        <v/>
      </c>
      <c r="I40" s="94">
        <f>VLOOKUP(B40,Database!$A:$M,MATCH(Recap!$I$5,Database!$A$1:$M$1,),)</f>
        <v/>
      </c>
      <c r="J40" s="96">
        <f>(I40-I39)/I39</f>
        <v/>
      </c>
      <c r="K40" s="94">
        <f>VLOOKUP(B40,Database!$A:$M,MATCH(Recap!$K$5,Database!$A$1:$M$1,),)</f>
        <v/>
      </c>
      <c r="L40" s="96">
        <f>(K40-K39)/K39</f>
        <v/>
      </c>
      <c r="M40" s="94">
        <f>VLOOKUP(B40,Database!$A:$M,MATCH(Recap!$M$5,Database!$A$1:$M$1,),)</f>
        <v/>
      </c>
      <c r="N40" s="96">
        <f>(M40-M39)/M39</f>
        <v/>
      </c>
      <c r="O40" s="94">
        <f>VLOOKUP(B40,Database!$A:$M,MATCH(Recap!$O$5,Database!$A$1:$M$1,),)</f>
        <v/>
      </c>
      <c r="P40" s="96">
        <f>(O40-O39)/O39</f>
        <v/>
      </c>
      <c r="Q40" s="94">
        <f>VLOOKUP(B40,Database!$A:$M,MATCH(Recap!$Q$5,Database!$A$1:$M$1,),)</f>
        <v/>
      </c>
      <c r="R40" s="96">
        <f>(Q40-Q39)/Q39</f>
        <v/>
      </c>
      <c r="S40" s="94">
        <f>VLOOKUP(B40,Database!$A:$M,MATCH(Recap!$S$5,Database!$A$1:$M$1,),)</f>
        <v/>
      </c>
      <c r="T40" s="96">
        <f>(S40-S39)/S39</f>
        <v/>
      </c>
      <c r="U40" s="94">
        <f>VLOOKUP(B40,Database!$A:$M,MATCH(Recap!$U$5,Database!$A$1:$M$1,),)</f>
        <v/>
      </c>
      <c r="V40" s="96">
        <f>(U40-U39)/U39</f>
        <v/>
      </c>
    </row>
    <row r="41">
      <c r="B41" s="93" t="n">
        <v>43405</v>
      </c>
      <c r="C41" s="94">
        <f>VLOOKUP(B41,Database!$A:$M,MATCH(Recap!$C$5,Database!$A$1:$M$1,),)</f>
        <v/>
      </c>
      <c r="D41" s="96">
        <f>(C41-C40)/C40</f>
        <v/>
      </c>
      <c r="E41" s="94">
        <f>VLOOKUP(B41,Database!$A:$M,MATCH(Recap!$E$5,Database!$A$1:$M$1,),)</f>
        <v/>
      </c>
      <c r="F41" s="96">
        <f>(E41-E40)/E40</f>
        <v/>
      </c>
      <c r="G41" s="94">
        <f>VLOOKUP(B41,Database!$A:$M,MATCH(Recap!$G$5,Database!$A$1:$M$1,),)</f>
        <v/>
      </c>
      <c r="H41" s="96">
        <f>(G41-G40)/G40</f>
        <v/>
      </c>
      <c r="I41" s="94">
        <f>VLOOKUP(B41,Database!$A:$M,MATCH(Recap!$I$5,Database!$A$1:$M$1,),)</f>
        <v/>
      </c>
      <c r="J41" s="96">
        <f>(I41-I40)/I40</f>
        <v/>
      </c>
      <c r="K41" s="94">
        <f>VLOOKUP(B41,Database!$A:$M,MATCH(Recap!$K$5,Database!$A$1:$M$1,),)</f>
        <v/>
      </c>
      <c r="L41" s="96">
        <f>(K41-K40)/K40</f>
        <v/>
      </c>
      <c r="M41" s="94">
        <f>VLOOKUP(B41,Database!$A:$M,MATCH(Recap!$M$5,Database!$A$1:$M$1,),)</f>
        <v/>
      </c>
      <c r="N41" s="96">
        <f>(M41-M40)/M40</f>
        <v/>
      </c>
      <c r="O41" s="94">
        <f>VLOOKUP(B41,Database!$A:$M,MATCH(Recap!$O$5,Database!$A$1:$M$1,),)</f>
        <v/>
      </c>
      <c r="P41" s="96">
        <f>(O41-O40)/O40</f>
        <v/>
      </c>
      <c r="Q41" s="94">
        <f>VLOOKUP(B41,Database!$A:$M,MATCH(Recap!$Q$5,Database!$A$1:$M$1,),)</f>
        <v/>
      </c>
      <c r="R41" s="96">
        <f>(Q41-Q40)/Q40</f>
        <v/>
      </c>
      <c r="S41" s="94">
        <f>VLOOKUP(B41,Database!$A:$M,MATCH(Recap!$S$5,Database!$A$1:$M$1,),)</f>
        <v/>
      </c>
      <c r="T41" s="96">
        <f>(S41-S40)/S40</f>
        <v/>
      </c>
      <c r="U41" s="94">
        <f>VLOOKUP(B41,Database!$A:$M,MATCH(Recap!$U$5,Database!$A$1:$M$1,),)</f>
        <v/>
      </c>
      <c r="V41" s="96">
        <f>(U41-U40)/U40</f>
        <v/>
      </c>
    </row>
    <row r="42">
      <c r="B42" s="93" t="n">
        <v>43435</v>
      </c>
      <c r="C42" s="94">
        <f>VLOOKUP(B42,Database!$A:$M,MATCH(Recap!$C$5,Database!$A$1:$M$1,),)</f>
        <v/>
      </c>
      <c r="D42" s="96">
        <f>(C42-C41)/C41</f>
        <v/>
      </c>
      <c r="E42" s="94">
        <f>VLOOKUP(B42,Database!$A:$M,MATCH(Recap!$E$5,Database!$A$1:$M$1,),)</f>
        <v/>
      </c>
      <c r="F42" s="96">
        <f>(E42-E41)/E41</f>
        <v/>
      </c>
      <c r="G42" s="94">
        <f>VLOOKUP(B42,Database!$A:$M,MATCH(Recap!$G$5,Database!$A$1:$M$1,),)</f>
        <v/>
      </c>
      <c r="H42" s="96">
        <f>(G42-G41)/G41</f>
        <v/>
      </c>
      <c r="I42" s="94">
        <f>VLOOKUP(B42,Database!$A:$M,MATCH(Recap!$I$5,Database!$A$1:$M$1,),)</f>
        <v/>
      </c>
      <c r="J42" s="96">
        <f>(I42-I41)/I41</f>
        <v/>
      </c>
      <c r="K42" s="94">
        <f>VLOOKUP(B42,Database!$A:$M,MATCH(Recap!$K$5,Database!$A$1:$M$1,),)</f>
        <v/>
      </c>
      <c r="L42" s="96">
        <f>(K42-K41)/K41</f>
        <v/>
      </c>
      <c r="M42" s="94">
        <f>VLOOKUP(B42,Database!$A:$M,MATCH(Recap!$M$5,Database!$A$1:$M$1,),)</f>
        <v/>
      </c>
      <c r="N42" s="96">
        <f>(M42-M41)/M41</f>
        <v/>
      </c>
      <c r="O42" s="94">
        <f>VLOOKUP(B42,Database!$A:$M,MATCH(Recap!$O$5,Database!$A$1:$M$1,),)</f>
        <v/>
      </c>
      <c r="P42" s="96">
        <f>(O42-O41)/O41</f>
        <v/>
      </c>
      <c r="Q42" s="94">
        <f>VLOOKUP(B42,Database!$A:$M,MATCH(Recap!$Q$5,Database!$A$1:$M$1,),)</f>
        <v/>
      </c>
      <c r="R42" s="96">
        <f>(Q42-Q41)/Q41</f>
        <v/>
      </c>
      <c r="S42" s="94">
        <f>VLOOKUP(B42,Database!$A:$M,MATCH(Recap!$S$5,Database!$A$1:$M$1,),)</f>
        <v/>
      </c>
      <c r="T42" s="96">
        <f>(S42-S41)/S41</f>
        <v/>
      </c>
      <c r="U42" s="94">
        <f>VLOOKUP(B42,Database!$A:$M,MATCH(Recap!$U$5,Database!$A$1:$M$1,),)</f>
        <v/>
      </c>
      <c r="V42" s="96">
        <f>(U42-U41)/U41</f>
        <v/>
      </c>
    </row>
    <row r="43">
      <c r="B43" s="93" t="n">
        <v>43466</v>
      </c>
      <c r="C43" s="94">
        <f>VLOOKUP(B43,Database!$A:$M,MATCH(Recap!$C$5,Database!$A$1:$M$1,),)</f>
        <v/>
      </c>
      <c r="D43" s="96">
        <f>(C43-C42)/C42</f>
        <v/>
      </c>
      <c r="E43" s="94">
        <f>VLOOKUP(B43,Database!$A:$M,MATCH(Recap!$E$5,Database!$A$1:$M$1,),)</f>
        <v/>
      </c>
      <c r="F43" s="96">
        <f>(E43-E42)/E42</f>
        <v/>
      </c>
      <c r="G43" s="94">
        <f>VLOOKUP(B43,Database!$A:$M,MATCH(Recap!$G$5,Database!$A$1:$M$1,),)</f>
        <v/>
      </c>
      <c r="H43" s="96">
        <f>(G43-G42)/G42</f>
        <v/>
      </c>
      <c r="I43" s="94">
        <f>VLOOKUP(B43,Database!$A:$M,MATCH(Recap!$I$5,Database!$A$1:$M$1,),)</f>
        <v/>
      </c>
      <c r="J43" s="96">
        <f>(I43-I42)/I42</f>
        <v/>
      </c>
      <c r="K43" s="94">
        <f>VLOOKUP(B43,Database!$A:$M,MATCH(Recap!$K$5,Database!$A$1:$M$1,),)</f>
        <v/>
      </c>
      <c r="L43" s="96">
        <f>(K43-K42)/K42</f>
        <v/>
      </c>
      <c r="M43" s="94">
        <f>VLOOKUP(B43,Database!$A:$M,MATCH(Recap!$M$5,Database!$A$1:$M$1,),)</f>
        <v/>
      </c>
      <c r="N43" s="96">
        <f>(M43-M42)/M42</f>
        <v/>
      </c>
      <c r="O43" s="94">
        <f>VLOOKUP(B43,Database!$A:$M,MATCH(Recap!$O$5,Database!$A$1:$M$1,),)</f>
        <v/>
      </c>
      <c r="P43" s="96">
        <f>(O43-O42)/O42</f>
        <v/>
      </c>
      <c r="Q43" s="94">
        <f>VLOOKUP(B43,Database!$A:$M,MATCH(Recap!$Q$5,Database!$A$1:$M$1,),)</f>
        <v/>
      </c>
      <c r="R43" s="96">
        <f>(Q43-Q42)/Q42</f>
        <v/>
      </c>
      <c r="S43" s="94">
        <f>VLOOKUP(B43,Database!$A:$M,MATCH(Recap!$S$5,Database!$A$1:$M$1,),)</f>
        <v/>
      </c>
      <c r="T43" s="96">
        <f>(S43-S42)/S42</f>
        <v/>
      </c>
      <c r="U43" s="94">
        <f>VLOOKUP(B43,Database!$A:$M,MATCH(Recap!$U$5,Database!$A$1:$M$1,),)</f>
        <v/>
      </c>
      <c r="V43" s="96">
        <f>(U43-U42)/U42</f>
        <v/>
      </c>
    </row>
    <row r="44">
      <c r="B44" s="93" t="n">
        <v>43497</v>
      </c>
      <c r="C44" s="94">
        <f>VLOOKUP(B44,Database!$A:$M,MATCH(Recap!$C$5,Database!$A$1:$M$1,),)</f>
        <v/>
      </c>
      <c r="D44" s="96">
        <f>(C44-C43)/C43</f>
        <v/>
      </c>
      <c r="E44" s="94">
        <f>VLOOKUP(B44,Database!$A:$M,MATCH(Recap!$E$5,Database!$A$1:$M$1,),)</f>
        <v/>
      </c>
      <c r="F44" s="96">
        <f>(E44-E43)/E43</f>
        <v/>
      </c>
      <c r="G44" s="94">
        <f>VLOOKUP(B44,Database!$A:$M,MATCH(Recap!$G$5,Database!$A$1:$M$1,),)</f>
        <v/>
      </c>
      <c r="H44" s="96">
        <f>(G44-G43)/G43</f>
        <v/>
      </c>
      <c r="I44" s="94">
        <f>VLOOKUP(B44,Database!$A:$M,MATCH(Recap!$I$5,Database!$A$1:$M$1,),)</f>
        <v/>
      </c>
      <c r="J44" s="96">
        <f>(I44-I43)/I43</f>
        <v/>
      </c>
      <c r="K44" s="94">
        <f>VLOOKUP(B44,Database!$A:$M,MATCH(Recap!$K$5,Database!$A$1:$M$1,),)</f>
        <v/>
      </c>
      <c r="L44" s="96">
        <f>(K44-K43)/K43</f>
        <v/>
      </c>
      <c r="M44" s="94">
        <f>VLOOKUP(B44,Database!$A:$M,MATCH(Recap!$M$5,Database!$A$1:$M$1,),)</f>
        <v/>
      </c>
      <c r="N44" s="96">
        <f>(M44-M43)/M43</f>
        <v/>
      </c>
      <c r="O44" s="94">
        <f>VLOOKUP(B44,Database!$A:$M,MATCH(Recap!$O$5,Database!$A$1:$M$1,),)</f>
        <v/>
      </c>
      <c r="P44" s="96">
        <f>(O44-O43)/O43</f>
        <v/>
      </c>
      <c r="Q44" s="94">
        <f>VLOOKUP(B44,Database!$A:$M,MATCH(Recap!$Q$5,Database!$A$1:$M$1,),)</f>
        <v/>
      </c>
      <c r="R44" s="96">
        <f>(Q44-Q43)/Q43</f>
        <v/>
      </c>
      <c r="S44" s="94">
        <f>VLOOKUP(B44,Database!$A:$M,MATCH(Recap!$S$5,Database!$A$1:$M$1,),)</f>
        <v/>
      </c>
      <c r="T44" s="96">
        <f>(S44-S43)/S43</f>
        <v/>
      </c>
      <c r="U44" s="94">
        <f>VLOOKUP(B44,Database!$A:$M,MATCH(Recap!$U$5,Database!$A$1:$M$1,),)</f>
        <v/>
      </c>
      <c r="V44" s="96">
        <f>(U44-U43)/U43</f>
        <v/>
      </c>
    </row>
    <row r="45">
      <c r="B45" s="93" t="n">
        <v>43525</v>
      </c>
      <c r="C45" s="94">
        <f>VLOOKUP(B45,Database!$A:$M,MATCH(Recap!$C$5,Database!$A$1:$M$1,),)</f>
        <v/>
      </c>
      <c r="D45" s="96">
        <f>(C45-C44)/C44</f>
        <v/>
      </c>
      <c r="E45" s="94">
        <f>VLOOKUP(B45,Database!$A:$M,MATCH(Recap!$E$5,Database!$A$1:$M$1,),)</f>
        <v/>
      </c>
      <c r="F45" s="96">
        <f>(E45-E44)/E44</f>
        <v/>
      </c>
      <c r="G45" s="94">
        <f>VLOOKUP(B45,Database!$A:$M,MATCH(Recap!$G$5,Database!$A$1:$M$1,),)</f>
        <v/>
      </c>
      <c r="H45" s="96">
        <f>(G45-G44)/G44</f>
        <v/>
      </c>
      <c r="I45" s="94">
        <f>VLOOKUP(B45,Database!$A:$M,MATCH(Recap!$I$5,Database!$A$1:$M$1,),)</f>
        <v/>
      </c>
      <c r="J45" s="96">
        <f>(I45-I44)/I44</f>
        <v/>
      </c>
      <c r="K45" s="94">
        <f>VLOOKUP(B45,Database!$A:$M,MATCH(Recap!$K$5,Database!$A$1:$M$1,),)</f>
        <v/>
      </c>
      <c r="L45" s="96">
        <f>(K45-K44)/K44</f>
        <v/>
      </c>
      <c r="M45" s="94">
        <f>VLOOKUP(B45,Database!$A:$M,MATCH(Recap!$M$5,Database!$A$1:$M$1,),)</f>
        <v/>
      </c>
      <c r="N45" s="96">
        <f>(M45-M44)/M44</f>
        <v/>
      </c>
      <c r="O45" s="94">
        <f>VLOOKUP(B45,Database!$A:$M,MATCH(Recap!$O$5,Database!$A$1:$M$1,),)</f>
        <v/>
      </c>
      <c r="P45" s="96">
        <f>(O45-O44)/O44</f>
        <v/>
      </c>
      <c r="Q45" s="94">
        <f>VLOOKUP(B45,Database!$A:$M,MATCH(Recap!$Q$5,Database!$A$1:$M$1,),)</f>
        <v/>
      </c>
      <c r="R45" s="96">
        <f>(Q45-Q44)/Q44</f>
        <v/>
      </c>
      <c r="S45" s="94">
        <f>VLOOKUP(B45,Database!$A:$M,MATCH(Recap!$S$5,Database!$A$1:$M$1,),)</f>
        <v/>
      </c>
      <c r="T45" s="96">
        <f>(S45-S44)/S44</f>
        <v/>
      </c>
      <c r="U45" s="94">
        <f>VLOOKUP(B45,Database!$A:$M,MATCH(Recap!$U$5,Database!$A$1:$M$1,),)</f>
        <v/>
      </c>
      <c r="V45" s="96">
        <f>(U45-U44)/U44</f>
        <v/>
      </c>
    </row>
    <row r="46">
      <c r="B46" s="93" t="n">
        <v>43556</v>
      </c>
      <c r="C46" s="94">
        <f>VLOOKUP(B46,Database!$A:$M,MATCH(Recap!$C$5,Database!$A$1:$M$1,),)</f>
        <v/>
      </c>
      <c r="D46" s="96">
        <f>(C46-C45)/C45</f>
        <v/>
      </c>
      <c r="E46" s="94">
        <f>VLOOKUP(B46,Database!$A:$M,MATCH(Recap!$E$5,Database!$A$1:$M$1,),)</f>
        <v/>
      </c>
      <c r="F46" s="96">
        <f>(E46-E45)/E45</f>
        <v/>
      </c>
      <c r="G46" s="94">
        <f>VLOOKUP(B46,Database!$A:$M,MATCH(Recap!$G$5,Database!$A$1:$M$1,),)</f>
        <v/>
      </c>
      <c r="H46" s="96">
        <f>(G46-G45)/G45</f>
        <v/>
      </c>
      <c r="I46" s="94">
        <f>VLOOKUP(B46,Database!$A:$M,MATCH(Recap!$I$5,Database!$A$1:$M$1,),)</f>
        <v/>
      </c>
      <c r="J46" s="96">
        <f>(I46-I45)/I45</f>
        <v/>
      </c>
      <c r="K46" s="94">
        <f>VLOOKUP(B46,Database!$A:$M,MATCH(Recap!$K$5,Database!$A$1:$M$1,),)</f>
        <v/>
      </c>
      <c r="L46" s="96">
        <f>(K46-K45)/K45</f>
        <v/>
      </c>
      <c r="M46" s="94">
        <f>VLOOKUP(B46,Database!$A:$M,MATCH(Recap!$M$5,Database!$A$1:$M$1,),)</f>
        <v/>
      </c>
      <c r="N46" s="96">
        <f>(M46-M45)/M45</f>
        <v/>
      </c>
      <c r="O46" s="94">
        <f>VLOOKUP(B46,Database!$A:$M,MATCH(Recap!$O$5,Database!$A$1:$M$1,),)</f>
        <v/>
      </c>
      <c r="P46" s="96">
        <f>(O46-O45)/O45</f>
        <v/>
      </c>
      <c r="Q46" s="94">
        <f>VLOOKUP(B46,Database!$A:$M,MATCH(Recap!$Q$5,Database!$A$1:$M$1,),)</f>
        <v/>
      </c>
      <c r="R46" s="96">
        <f>(Q46-Q45)/Q45</f>
        <v/>
      </c>
      <c r="S46" s="94">
        <f>VLOOKUP(B46,Database!$A:$M,MATCH(Recap!$S$5,Database!$A$1:$M$1,),)</f>
        <v/>
      </c>
      <c r="T46" s="96">
        <f>(S46-S45)/S45</f>
        <v/>
      </c>
      <c r="U46" s="94">
        <f>VLOOKUP(B46,Database!$A:$M,MATCH(Recap!$U$5,Database!$A$1:$M$1,),)</f>
        <v/>
      </c>
      <c r="V46" s="96">
        <f>(U46-U45)/U45</f>
        <v/>
      </c>
    </row>
    <row r="47">
      <c r="B47" s="93" t="n">
        <v>43586</v>
      </c>
      <c r="C47" s="94">
        <f>VLOOKUP(B47,Database!$A:$M,MATCH(Recap!$C$5,Database!$A$1:$M$1,),)</f>
        <v/>
      </c>
      <c r="D47" s="96">
        <f>(C47-C46)/C46</f>
        <v/>
      </c>
      <c r="E47" s="94">
        <f>VLOOKUP(B47,Database!$A:$M,MATCH(Recap!$E$5,Database!$A$1:$M$1,),)</f>
        <v/>
      </c>
      <c r="F47" s="96">
        <f>(E47-E46)/E46</f>
        <v/>
      </c>
      <c r="G47" s="94">
        <f>VLOOKUP(B47,Database!$A:$M,MATCH(Recap!$G$5,Database!$A$1:$M$1,),)</f>
        <v/>
      </c>
      <c r="H47" s="96">
        <f>(G47-G46)/G46</f>
        <v/>
      </c>
      <c r="I47" s="94">
        <f>VLOOKUP(B47,Database!$A:$M,MATCH(Recap!$I$5,Database!$A$1:$M$1,),)</f>
        <v/>
      </c>
      <c r="J47" s="96">
        <f>(I47-I46)/I46</f>
        <v/>
      </c>
      <c r="K47" s="94">
        <f>VLOOKUP(B47,Database!$A:$M,MATCH(Recap!$K$5,Database!$A$1:$M$1,),)</f>
        <v/>
      </c>
      <c r="L47" s="96">
        <f>(K47-K46)/K46</f>
        <v/>
      </c>
      <c r="M47" s="94">
        <f>VLOOKUP(B47,Database!$A:$M,MATCH(Recap!$M$5,Database!$A$1:$M$1,),)</f>
        <v/>
      </c>
      <c r="N47" s="96">
        <f>(M47-M46)/M46</f>
        <v/>
      </c>
      <c r="O47" s="94">
        <f>VLOOKUP(B47,Database!$A:$M,MATCH(Recap!$O$5,Database!$A$1:$M$1,),)</f>
        <v/>
      </c>
      <c r="P47" s="96">
        <f>(O47-O46)/O46</f>
        <v/>
      </c>
      <c r="Q47" s="94">
        <f>VLOOKUP(B47,Database!$A:$M,MATCH(Recap!$Q$5,Database!$A$1:$M$1,),)</f>
        <v/>
      </c>
      <c r="R47" s="96">
        <f>(Q47-Q46)/Q46</f>
        <v/>
      </c>
      <c r="S47" s="94">
        <f>VLOOKUP(B47,Database!$A:$M,MATCH(Recap!$S$5,Database!$A$1:$M$1,),)</f>
        <v/>
      </c>
      <c r="T47" s="96">
        <f>(S47-S46)/S46</f>
        <v/>
      </c>
      <c r="U47" s="94">
        <f>VLOOKUP(B47,Database!$A:$M,MATCH(Recap!$U$5,Database!$A$1:$M$1,),)</f>
        <v/>
      </c>
      <c r="V47" s="96">
        <f>(U47-U46)/U46</f>
        <v/>
      </c>
    </row>
    <row r="48">
      <c r="B48" s="93" t="n">
        <v>43617</v>
      </c>
      <c r="C48" s="94">
        <f>VLOOKUP(B48,Database!$A:$M,MATCH(Recap!$C$5,Database!$A$1:$M$1,),)</f>
        <v/>
      </c>
      <c r="D48" s="96">
        <f>(C48-C47)/C47</f>
        <v/>
      </c>
      <c r="E48" s="94">
        <f>VLOOKUP(B48,Database!$A:$M,MATCH(Recap!$E$5,Database!$A$1:$M$1,),)</f>
        <v/>
      </c>
      <c r="F48" s="96">
        <f>(E48-E47)/E47</f>
        <v/>
      </c>
      <c r="G48" s="94">
        <f>VLOOKUP(B48,Database!$A:$M,MATCH(Recap!$G$5,Database!$A$1:$M$1,),)</f>
        <v/>
      </c>
      <c r="H48" s="96">
        <f>(G48-G47)/G47</f>
        <v/>
      </c>
      <c r="I48" s="94">
        <f>VLOOKUP(B48,Database!$A:$M,MATCH(Recap!$I$5,Database!$A$1:$M$1,),)</f>
        <v/>
      </c>
      <c r="J48" s="96">
        <f>(I48-I47)/I47</f>
        <v/>
      </c>
      <c r="K48" s="94">
        <f>VLOOKUP(B48,Database!$A:$M,MATCH(Recap!$K$5,Database!$A$1:$M$1,),)</f>
        <v/>
      </c>
      <c r="L48" s="96">
        <f>(K48-K47)/K47</f>
        <v/>
      </c>
      <c r="M48" s="94">
        <f>VLOOKUP(B48,Database!$A:$M,MATCH(Recap!$M$5,Database!$A$1:$M$1,),)</f>
        <v/>
      </c>
      <c r="N48" s="96">
        <f>(M48-M47)/M47</f>
        <v/>
      </c>
      <c r="O48" s="94">
        <f>VLOOKUP(B48,Database!$A:$M,MATCH(Recap!$O$5,Database!$A$1:$M$1,),)</f>
        <v/>
      </c>
      <c r="P48" s="96">
        <f>(O48-O47)/O47</f>
        <v/>
      </c>
      <c r="Q48" s="94">
        <f>VLOOKUP(B48,Database!$A:$M,MATCH(Recap!$Q$5,Database!$A$1:$M$1,),)</f>
        <v/>
      </c>
      <c r="R48" s="96">
        <f>(Q48-Q47)/Q47</f>
        <v/>
      </c>
      <c r="S48" s="94">
        <f>VLOOKUP(B48,Database!$A:$M,MATCH(Recap!$S$5,Database!$A$1:$M$1,),)</f>
        <v/>
      </c>
      <c r="T48" s="96">
        <f>(S48-S47)/S47</f>
        <v/>
      </c>
      <c r="U48" s="94">
        <f>VLOOKUP(B48,Database!$A:$M,MATCH(Recap!$U$5,Database!$A$1:$M$1,),)</f>
        <v/>
      </c>
      <c r="V48" s="96">
        <f>(U48-U47)/U47</f>
        <v/>
      </c>
    </row>
    <row r="49">
      <c r="B49" s="93" t="n">
        <v>43647</v>
      </c>
      <c r="C49" s="94">
        <f>VLOOKUP(B49,Database!$A:$M,MATCH(Recap!$C$5,Database!$A$1:$M$1,),)</f>
        <v/>
      </c>
      <c r="D49" s="96">
        <f>(C49-C48)/C48</f>
        <v/>
      </c>
      <c r="E49" s="94">
        <f>VLOOKUP(B49,Database!$A:$M,MATCH(Recap!$E$5,Database!$A$1:$M$1,),)</f>
        <v/>
      </c>
      <c r="F49" s="96">
        <f>(E49-E48)/E48</f>
        <v/>
      </c>
      <c r="G49" s="94">
        <f>VLOOKUP(B49,Database!$A:$M,MATCH(Recap!$G$5,Database!$A$1:$M$1,),)</f>
        <v/>
      </c>
      <c r="H49" s="96">
        <f>(G49-G48)/G48</f>
        <v/>
      </c>
      <c r="I49" s="94">
        <f>VLOOKUP(B49,Database!$A:$M,MATCH(Recap!$I$5,Database!$A$1:$M$1,),)</f>
        <v/>
      </c>
      <c r="J49" s="96">
        <f>(I49-I48)/I48</f>
        <v/>
      </c>
      <c r="K49" s="94">
        <f>VLOOKUP(B49,Database!$A:$M,MATCH(Recap!$K$5,Database!$A$1:$M$1,),)</f>
        <v/>
      </c>
      <c r="L49" s="96">
        <f>(K49-K48)/K48</f>
        <v/>
      </c>
      <c r="M49" s="94">
        <f>VLOOKUP(B49,Database!$A:$M,MATCH(Recap!$M$5,Database!$A$1:$M$1,),)</f>
        <v/>
      </c>
      <c r="N49" s="96">
        <f>(M49-M48)/M48</f>
        <v/>
      </c>
      <c r="O49" s="94">
        <f>VLOOKUP(B49,Database!$A:$M,MATCH(Recap!$O$5,Database!$A$1:$M$1,),)</f>
        <v/>
      </c>
      <c r="P49" s="96">
        <f>(O49-O48)/O48</f>
        <v/>
      </c>
      <c r="Q49" s="94">
        <f>VLOOKUP(B49,Database!$A:$M,MATCH(Recap!$Q$5,Database!$A$1:$M$1,),)</f>
        <v/>
      </c>
      <c r="R49" s="96">
        <f>(Q49-Q48)/Q48</f>
        <v/>
      </c>
      <c r="S49" s="94">
        <f>VLOOKUP(B49,Database!$A:$M,MATCH(Recap!$S$5,Database!$A$1:$M$1,),)</f>
        <v/>
      </c>
      <c r="T49" s="96">
        <f>(S49-S48)/S48</f>
        <v/>
      </c>
      <c r="U49" s="94">
        <f>VLOOKUP(B49,Database!$A:$M,MATCH(Recap!$U$5,Database!$A$1:$M$1,),)</f>
        <v/>
      </c>
      <c r="V49" s="96">
        <f>(U49-U48)/U48</f>
        <v/>
      </c>
    </row>
    <row r="50">
      <c r="B50" s="93" t="n">
        <v>43678</v>
      </c>
      <c r="C50" s="94">
        <f>VLOOKUP(B50,Database!$A:$M,MATCH(Recap!$C$5,Database!$A$1:$M$1,),)</f>
        <v/>
      </c>
      <c r="D50" s="96">
        <f>(C50-C49)/C49</f>
        <v/>
      </c>
      <c r="E50" s="94">
        <f>VLOOKUP(B50,Database!$A:$M,MATCH(Recap!$E$5,Database!$A$1:$M$1,),)</f>
        <v/>
      </c>
      <c r="F50" s="96">
        <f>(E50-E49)/E49</f>
        <v/>
      </c>
      <c r="G50" s="94">
        <f>VLOOKUP(B50,Database!$A:$M,MATCH(Recap!$G$5,Database!$A$1:$M$1,),)</f>
        <v/>
      </c>
      <c r="H50" s="96">
        <f>(G50-G49)/G49</f>
        <v/>
      </c>
      <c r="I50" s="94">
        <f>VLOOKUP(B50,Database!$A:$M,MATCH(Recap!$I$5,Database!$A$1:$M$1,),)</f>
        <v/>
      </c>
      <c r="J50" s="96">
        <f>(I50-I49)/I49</f>
        <v/>
      </c>
      <c r="K50" s="94">
        <f>VLOOKUP(B50,Database!$A:$M,MATCH(Recap!$K$5,Database!$A$1:$M$1,),)</f>
        <v/>
      </c>
      <c r="L50" s="96">
        <f>(K50-K49)/K49</f>
        <v/>
      </c>
      <c r="M50" s="94">
        <f>VLOOKUP(B50,Database!$A:$M,MATCH(Recap!$M$5,Database!$A$1:$M$1,),)</f>
        <v/>
      </c>
      <c r="N50" s="96">
        <f>(M50-M49)/M49</f>
        <v/>
      </c>
      <c r="O50" s="94">
        <f>VLOOKUP(B50,Database!$A:$M,MATCH(Recap!$O$5,Database!$A$1:$M$1,),)</f>
        <v/>
      </c>
      <c r="P50" s="96">
        <f>(O50-O49)/O49</f>
        <v/>
      </c>
      <c r="Q50" s="94">
        <f>VLOOKUP(B50,Database!$A:$M,MATCH(Recap!$Q$5,Database!$A$1:$M$1,),)</f>
        <v/>
      </c>
      <c r="R50" s="96">
        <f>(Q50-Q49)/Q49</f>
        <v/>
      </c>
      <c r="S50" s="94">
        <f>VLOOKUP(B50,Database!$A:$M,MATCH(Recap!$S$5,Database!$A$1:$M$1,),)</f>
        <v/>
      </c>
      <c r="T50" s="96">
        <f>(S50-S49)/S49</f>
        <v/>
      </c>
      <c r="U50" s="94">
        <f>VLOOKUP(B50,Database!$A:$M,MATCH(Recap!$U$5,Database!$A$1:$M$1,),)</f>
        <v/>
      </c>
      <c r="V50" s="96">
        <f>(U50-U49)/U49</f>
        <v/>
      </c>
    </row>
    <row r="51">
      <c r="B51" s="93" t="n">
        <v>43709</v>
      </c>
      <c r="C51" s="94">
        <f>VLOOKUP(B51,Database!$A:$M,MATCH(Recap!$C$5,Database!$A$1:$M$1,),)</f>
        <v/>
      </c>
      <c r="D51" s="96">
        <f>(C51-C50)/C50</f>
        <v/>
      </c>
      <c r="E51" s="94">
        <f>VLOOKUP(B51,Database!$A:$M,MATCH(Recap!$E$5,Database!$A$1:$M$1,),)</f>
        <v/>
      </c>
      <c r="F51" s="96">
        <f>(E51-E50)/E50</f>
        <v/>
      </c>
      <c r="G51" s="94">
        <f>VLOOKUP(B51,Database!$A:$M,MATCH(Recap!$G$5,Database!$A$1:$M$1,),)</f>
        <v/>
      </c>
      <c r="H51" s="96">
        <f>(G51-G50)/G50</f>
        <v/>
      </c>
      <c r="I51" s="94">
        <f>VLOOKUP(B51,Database!$A:$M,MATCH(Recap!$I$5,Database!$A$1:$M$1,),)</f>
        <v/>
      </c>
      <c r="J51" s="96">
        <f>(I51-I50)/I50</f>
        <v/>
      </c>
      <c r="K51" s="94">
        <f>VLOOKUP(B51,Database!$A:$M,MATCH(Recap!$K$5,Database!$A$1:$M$1,),)</f>
        <v/>
      </c>
      <c r="L51" s="96">
        <f>(K51-K50)/K50</f>
        <v/>
      </c>
      <c r="M51" s="94">
        <f>VLOOKUP(B51,Database!$A:$M,MATCH(Recap!$M$5,Database!$A$1:$M$1,),)</f>
        <v/>
      </c>
      <c r="N51" s="96">
        <f>(M51-M50)/M50</f>
        <v/>
      </c>
      <c r="O51" s="94">
        <f>VLOOKUP(B51,Database!$A:$M,MATCH(Recap!$O$5,Database!$A$1:$M$1,),)</f>
        <v/>
      </c>
      <c r="P51" s="96">
        <f>(O51-O50)/O50</f>
        <v/>
      </c>
      <c r="Q51" s="94">
        <f>VLOOKUP(B51,Database!$A:$M,MATCH(Recap!$Q$5,Database!$A$1:$M$1,),)</f>
        <v/>
      </c>
      <c r="R51" s="96">
        <f>(Q51-Q50)/Q50</f>
        <v/>
      </c>
      <c r="S51" s="94">
        <f>VLOOKUP(B51,Database!$A:$M,MATCH(Recap!$S$5,Database!$A$1:$M$1,),)</f>
        <v/>
      </c>
      <c r="T51" s="96">
        <f>(S51-S50)/S50</f>
        <v/>
      </c>
      <c r="U51" s="94">
        <f>VLOOKUP(B51,Database!$A:$M,MATCH(Recap!$U$5,Database!$A$1:$M$1,),)</f>
        <v/>
      </c>
      <c r="V51" s="96">
        <f>(U51-U50)/U50</f>
        <v/>
      </c>
    </row>
    <row r="52">
      <c r="B52" s="93" t="n">
        <v>43739</v>
      </c>
      <c r="C52" s="94">
        <f>VLOOKUP(B52,Database!$A:$M,MATCH(Recap!$C$5,Database!$A$1:$M$1,),)</f>
        <v/>
      </c>
      <c r="D52" s="96">
        <f>(C52-C51)/C51</f>
        <v/>
      </c>
      <c r="E52" s="94">
        <f>VLOOKUP(B52,Database!$A:$M,MATCH(Recap!$E$5,Database!$A$1:$M$1,),)</f>
        <v/>
      </c>
      <c r="F52" s="96">
        <f>(E52-E51)/E51</f>
        <v/>
      </c>
      <c r="G52" s="94">
        <f>VLOOKUP(B52,Database!$A:$M,MATCH(Recap!$G$5,Database!$A$1:$M$1,),)</f>
        <v/>
      </c>
      <c r="H52" s="96">
        <f>(G52-G51)/G51</f>
        <v/>
      </c>
      <c r="I52" s="94">
        <f>VLOOKUP(B52,Database!$A:$M,MATCH(Recap!$I$5,Database!$A$1:$M$1,),)</f>
        <v/>
      </c>
      <c r="J52" s="96">
        <f>(I52-I51)/I51</f>
        <v/>
      </c>
      <c r="K52" s="94">
        <f>VLOOKUP(B52,Database!$A:$M,MATCH(Recap!$K$5,Database!$A$1:$M$1,),)</f>
        <v/>
      </c>
      <c r="L52" s="96">
        <f>(K52-K51)/K51</f>
        <v/>
      </c>
      <c r="M52" s="94">
        <f>VLOOKUP(B52,Database!$A:$M,MATCH(Recap!$M$5,Database!$A$1:$M$1,),)</f>
        <v/>
      </c>
      <c r="N52" s="96">
        <f>(M52-M51)/M51</f>
        <v/>
      </c>
      <c r="O52" s="94">
        <f>VLOOKUP(B52,Database!$A:$M,MATCH(Recap!$O$5,Database!$A$1:$M$1,),)</f>
        <v/>
      </c>
      <c r="P52" s="96">
        <f>(O52-O51)/O51</f>
        <v/>
      </c>
      <c r="Q52" s="94">
        <f>VLOOKUP(B52,Database!$A:$M,MATCH(Recap!$Q$5,Database!$A$1:$M$1,),)</f>
        <v/>
      </c>
      <c r="R52" s="96">
        <f>(Q52-Q51)/Q51</f>
        <v/>
      </c>
      <c r="S52" s="94">
        <f>VLOOKUP(B52,Database!$A:$M,MATCH(Recap!$S$5,Database!$A$1:$M$1,),)</f>
        <v/>
      </c>
      <c r="T52" s="96">
        <f>(S52-S51)/S51</f>
        <v/>
      </c>
      <c r="U52" s="94">
        <f>VLOOKUP(B52,Database!$A:$M,MATCH(Recap!$U$5,Database!$A$1:$M$1,),)</f>
        <v/>
      </c>
      <c r="V52" s="96">
        <f>(U52-U51)/U51</f>
        <v/>
      </c>
    </row>
    <row r="53">
      <c r="B53" s="93" t="n">
        <v>43770</v>
      </c>
      <c r="C53" s="94">
        <f>VLOOKUP(B53,Database!$A:$M,MATCH(Recap!$C$5,Database!$A$1:$M$1,),)</f>
        <v/>
      </c>
      <c r="D53" s="96">
        <f>(C53-C52)/C52</f>
        <v/>
      </c>
      <c r="E53" s="94">
        <f>VLOOKUP(B53,Database!$A:$M,MATCH(Recap!$E$5,Database!$A$1:$M$1,),)</f>
        <v/>
      </c>
      <c r="F53" s="96">
        <f>(E53-E52)/E52</f>
        <v/>
      </c>
      <c r="G53" s="94">
        <f>VLOOKUP(B53,Database!$A:$M,MATCH(Recap!$G$5,Database!$A$1:$M$1,),)</f>
        <v/>
      </c>
      <c r="H53" s="96">
        <f>(G53-G52)/G52</f>
        <v/>
      </c>
      <c r="I53" s="94">
        <f>VLOOKUP(B53,Database!$A:$M,MATCH(Recap!$I$5,Database!$A$1:$M$1,),)</f>
        <v/>
      </c>
      <c r="J53" s="96">
        <f>(I53-I52)/I52</f>
        <v/>
      </c>
      <c r="K53" s="94">
        <f>VLOOKUP(B53,Database!$A:$M,MATCH(Recap!$K$5,Database!$A$1:$M$1,),)</f>
        <v/>
      </c>
      <c r="L53" s="96">
        <f>(K53-K52)/K52</f>
        <v/>
      </c>
      <c r="M53" s="94">
        <f>VLOOKUP(B53,Database!$A:$M,MATCH(Recap!$M$5,Database!$A$1:$M$1,),)</f>
        <v/>
      </c>
      <c r="N53" s="96">
        <f>(M53-M52)/M52</f>
        <v/>
      </c>
      <c r="O53" s="94">
        <f>VLOOKUP(B53,Database!$A:$M,MATCH(Recap!$O$5,Database!$A$1:$M$1,),)</f>
        <v/>
      </c>
      <c r="P53" s="96">
        <f>(O53-O52)/O52</f>
        <v/>
      </c>
      <c r="Q53" s="94">
        <f>VLOOKUP(B53,Database!$A:$M,MATCH(Recap!$Q$5,Database!$A$1:$M$1,),)</f>
        <v/>
      </c>
      <c r="R53" s="96">
        <f>(Q53-Q52)/Q52</f>
        <v/>
      </c>
      <c r="S53" s="94">
        <f>VLOOKUP(B53,Database!$A:$M,MATCH(Recap!$S$5,Database!$A$1:$M$1,),)</f>
        <v/>
      </c>
      <c r="T53" s="96">
        <f>(S53-S52)/S52</f>
        <v/>
      </c>
      <c r="U53" s="94">
        <f>VLOOKUP(B53,Database!$A:$M,MATCH(Recap!$U$5,Database!$A$1:$M$1,),)</f>
        <v/>
      </c>
      <c r="V53" s="96">
        <f>(U53-U52)/U52</f>
        <v/>
      </c>
    </row>
    <row r="54">
      <c r="B54" s="93" t="n">
        <v>43800</v>
      </c>
      <c r="C54" s="94">
        <f>VLOOKUP(B54,Database!$A:$M,MATCH(Recap!$C$5,Database!$A$1:$M$1,),)</f>
        <v/>
      </c>
      <c r="D54" s="96">
        <f>(C54-C53)/C53</f>
        <v/>
      </c>
      <c r="E54" s="94">
        <f>VLOOKUP(B54,Database!$A:$M,MATCH(Recap!$E$5,Database!$A$1:$M$1,),)</f>
        <v/>
      </c>
      <c r="F54" s="96">
        <f>(E54-E53)/E53</f>
        <v/>
      </c>
      <c r="G54" s="94">
        <f>VLOOKUP(B54,Database!$A:$M,MATCH(Recap!$G$5,Database!$A$1:$M$1,),)</f>
        <v/>
      </c>
      <c r="H54" s="96">
        <f>(G54-G53)/G53</f>
        <v/>
      </c>
      <c r="I54" s="94">
        <f>VLOOKUP(B54,Database!$A:$M,MATCH(Recap!$I$5,Database!$A$1:$M$1,),)</f>
        <v/>
      </c>
      <c r="J54" s="96">
        <f>(I54-I53)/I53</f>
        <v/>
      </c>
      <c r="K54" s="94">
        <f>VLOOKUP(B54,Database!$A:$M,MATCH(Recap!$K$5,Database!$A$1:$M$1,),)</f>
        <v/>
      </c>
      <c r="L54" s="96">
        <f>(K54-K53)/K53</f>
        <v/>
      </c>
      <c r="M54" s="94">
        <f>VLOOKUP(B54,Database!$A:$M,MATCH(Recap!$M$5,Database!$A$1:$M$1,),)</f>
        <v/>
      </c>
      <c r="N54" s="96">
        <f>(M54-M53)/M53</f>
        <v/>
      </c>
      <c r="O54" s="94">
        <f>VLOOKUP(B54,Database!$A:$M,MATCH(Recap!$O$5,Database!$A$1:$M$1,),)</f>
        <v/>
      </c>
      <c r="P54" s="96">
        <f>(O54-O53)/O53</f>
        <v/>
      </c>
      <c r="Q54" s="94">
        <f>VLOOKUP(B54,Database!$A:$M,MATCH(Recap!$Q$5,Database!$A$1:$M$1,),)</f>
        <v/>
      </c>
      <c r="R54" s="96">
        <f>(Q54-Q53)/Q53</f>
        <v/>
      </c>
      <c r="S54" s="94">
        <f>VLOOKUP(B54,Database!$A:$M,MATCH(Recap!$S$5,Database!$A$1:$M$1,),)</f>
        <v/>
      </c>
      <c r="T54" s="96">
        <f>(S54-S53)/S53</f>
        <v/>
      </c>
      <c r="U54" s="94">
        <f>VLOOKUP(B54,Database!$A:$M,MATCH(Recap!$U$5,Database!$A$1:$M$1,),)</f>
        <v/>
      </c>
      <c r="V54" s="96">
        <f>(U54-U53)/U53</f>
        <v/>
      </c>
    </row>
    <row r="55">
      <c r="B55" s="93" t="n">
        <v>43831</v>
      </c>
      <c r="C55" s="94">
        <f>VLOOKUP(B55,Database!$A:$M,MATCH(Recap!$C$5,Database!$A$1:$M$1,),)</f>
        <v/>
      </c>
      <c r="D55" s="96">
        <f>(C55-C54)/C54</f>
        <v/>
      </c>
      <c r="E55" s="94">
        <f>VLOOKUP(B55,Database!$A:$M,MATCH(Recap!$E$5,Database!$A$1:$M$1,),)</f>
        <v/>
      </c>
      <c r="F55" s="96">
        <f>(E55-E54)/E54</f>
        <v/>
      </c>
      <c r="G55" s="94">
        <f>VLOOKUP(B55,Database!$A:$M,MATCH(Recap!$G$5,Database!$A$1:$M$1,),)</f>
        <v/>
      </c>
      <c r="H55" s="96">
        <f>(G55-G54)/G54</f>
        <v/>
      </c>
      <c r="I55" s="94">
        <f>VLOOKUP(B55,Database!$A:$M,MATCH(Recap!$I$5,Database!$A$1:$M$1,),)</f>
        <v/>
      </c>
      <c r="J55" s="96">
        <f>(I55-I54)/I54</f>
        <v/>
      </c>
      <c r="K55" s="94">
        <f>VLOOKUP(B55,Database!$A:$M,MATCH(Recap!$K$5,Database!$A$1:$M$1,),)</f>
        <v/>
      </c>
      <c r="L55" s="96">
        <f>(K55-K54)/K54</f>
        <v/>
      </c>
      <c r="M55" s="94">
        <f>VLOOKUP(B55,Database!$A:$M,MATCH(Recap!$M$5,Database!$A$1:$M$1,),)</f>
        <v/>
      </c>
      <c r="N55" s="96">
        <f>(M55-M54)/M54</f>
        <v/>
      </c>
      <c r="O55" s="94">
        <f>VLOOKUP(B55,Database!$A:$M,MATCH(Recap!$O$5,Database!$A$1:$M$1,),)</f>
        <v/>
      </c>
      <c r="P55" s="96">
        <f>(O55-O54)/O54</f>
        <v/>
      </c>
      <c r="Q55" s="94">
        <f>VLOOKUP(B55,Database!$A:$M,MATCH(Recap!$Q$5,Database!$A$1:$M$1,),)</f>
        <v/>
      </c>
      <c r="R55" s="96">
        <f>(Q55-Q54)/Q54</f>
        <v/>
      </c>
      <c r="S55" s="94">
        <f>VLOOKUP(B55,Database!$A:$M,MATCH(Recap!$S$5,Database!$A$1:$M$1,),)</f>
        <v/>
      </c>
      <c r="T55" s="96">
        <f>(S55-S54)/S54</f>
        <v/>
      </c>
      <c r="U55" s="94">
        <f>VLOOKUP(B55,Database!$A:$M,MATCH(Recap!$U$5,Database!$A$1:$M$1,),)</f>
        <v/>
      </c>
      <c r="V55" s="96">
        <f>(U55-U54)/U54</f>
        <v/>
      </c>
    </row>
    <row r="56">
      <c r="B56" s="93" t="n">
        <v>43862</v>
      </c>
      <c r="C56" s="94">
        <f>VLOOKUP(B56,Database!$A:$M,MATCH(Recap!$C$5,Database!$A$1:$M$1,),)</f>
        <v/>
      </c>
      <c r="D56" s="96">
        <f>(C56-C55)/C55</f>
        <v/>
      </c>
      <c r="E56" s="94">
        <f>VLOOKUP(B56,Database!$A:$M,MATCH(Recap!$E$5,Database!$A$1:$M$1,),)</f>
        <v/>
      </c>
      <c r="F56" s="96">
        <f>(E56-E55)/E55</f>
        <v/>
      </c>
      <c r="G56" s="94">
        <f>VLOOKUP(B56,Database!$A:$M,MATCH(Recap!$G$5,Database!$A$1:$M$1,),)</f>
        <v/>
      </c>
      <c r="H56" s="96">
        <f>(G56-G55)/G55</f>
        <v/>
      </c>
      <c r="I56" s="94">
        <f>VLOOKUP(B56,Database!$A:$M,MATCH(Recap!$I$5,Database!$A$1:$M$1,),)</f>
        <v/>
      </c>
      <c r="J56" s="96">
        <f>(I56-I55)/I55</f>
        <v/>
      </c>
      <c r="K56" s="94">
        <f>VLOOKUP(B56,Database!$A:$M,MATCH(Recap!$K$5,Database!$A$1:$M$1,),)</f>
        <v/>
      </c>
      <c r="L56" s="96">
        <f>(K56-K55)/K55</f>
        <v/>
      </c>
      <c r="M56" s="94">
        <f>VLOOKUP(B56,Database!$A:$M,MATCH(Recap!$M$5,Database!$A$1:$M$1,),)</f>
        <v/>
      </c>
      <c r="N56" s="96">
        <f>(M56-M55)/M55</f>
        <v/>
      </c>
      <c r="O56" s="94">
        <f>VLOOKUP(B56,Database!$A:$M,MATCH(Recap!$O$5,Database!$A$1:$M$1,),)</f>
        <v/>
      </c>
      <c r="P56" s="96">
        <f>(O56-O55)/O55</f>
        <v/>
      </c>
      <c r="Q56" s="94">
        <f>VLOOKUP(B56,Database!$A:$M,MATCH(Recap!$Q$5,Database!$A$1:$M$1,),)</f>
        <v/>
      </c>
      <c r="R56" s="96">
        <f>(Q56-Q55)/Q55</f>
        <v/>
      </c>
      <c r="S56" s="94">
        <f>VLOOKUP(B56,Database!$A:$M,MATCH(Recap!$S$5,Database!$A$1:$M$1,),)</f>
        <v/>
      </c>
      <c r="T56" s="96">
        <f>(S56-S55)/S55</f>
        <v/>
      </c>
      <c r="U56" s="94">
        <f>VLOOKUP(B56,Database!$A:$M,MATCH(Recap!$U$5,Database!$A$1:$M$1,),)</f>
        <v/>
      </c>
      <c r="V56" s="96">
        <f>(U56-U55)/U55</f>
        <v/>
      </c>
    </row>
    <row r="57">
      <c r="B57" s="93" t="n">
        <v>43891</v>
      </c>
      <c r="C57" s="94">
        <f>VLOOKUP(B57,Database!$A:$M,MATCH(Recap!$C$5,Database!$A$1:$M$1,),)</f>
        <v/>
      </c>
      <c r="D57" s="96">
        <f>(C57-C56)/C56</f>
        <v/>
      </c>
      <c r="E57" s="94">
        <f>VLOOKUP(B57,Database!$A:$M,MATCH(Recap!$E$5,Database!$A$1:$M$1,),)</f>
        <v/>
      </c>
      <c r="F57" s="96">
        <f>(E57-E56)/E56</f>
        <v/>
      </c>
      <c r="G57" s="94">
        <f>VLOOKUP(B57,Database!$A:$M,MATCH(Recap!$G$5,Database!$A$1:$M$1,),)</f>
        <v/>
      </c>
      <c r="H57" s="96">
        <f>(G57-G56)/G56</f>
        <v/>
      </c>
      <c r="I57" s="94">
        <f>VLOOKUP(B57,Database!$A:$M,MATCH(Recap!$I$5,Database!$A$1:$M$1,),)</f>
        <v/>
      </c>
      <c r="J57" s="96">
        <f>(I57-I56)/I56</f>
        <v/>
      </c>
      <c r="K57" s="94">
        <f>VLOOKUP(B57,Database!$A:$M,MATCH(Recap!$K$5,Database!$A$1:$M$1,),)</f>
        <v/>
      </c>
      <c r="L57" s="96">
        <f>(K57-K56)/K56</f>
        <v/>
      </c>
      <c r="M57" s="94">
        <f>VLOOKUP(B57,Database!$A:$M,MATCH(Recap!$M$5,Database!$A$1:$M$1,),)</f>
        <v/>
      </c>
      <c r="N57" s="96">
        <f>(M57-M56)/M56</f>
        <v/>
      </c>
      <c r="O57" s="94">
        <f>VLOOKUP(B57,Database!$A:$M,MATCH(Recap!$O$5,Database!$A$1:$M$1,),)</f>
        <v/>
      </c>
      <c r="P57" s="96">
        <f>(O57-O56)/O56</f>
        <v/>
      </c>
      <c r="Q57" s="94">
        <f>VLOOKUP(B57,Database!$A:$M,MATCH(Recap!$Q$5,Database!$A$1:$M$1,),)</f>
        <v/>
      </c>
      <c r="R57" s="96">
        <f>(Q57-Q56)/Q56</f>
        <v/>
      </c>
      <c r="S57" s="94">
        <f>VLOOKUP(B57,Database!$A:$M,MATCH(Recap!$S$5,Database!$A$1:$M$1,),)</f>
        <v/>
      </c>
      <c r="T57" s="96">
        <f>(S57-S56)/S56</f>
        <v/>
      </c>
      <c r="U57" s="94">
        <f>VLOOKUP(B57,Database!$A:$M,MATCH(Recap!$U$5,Database!$A$1:$M$1,),)</f>
        <v/>
      </c>
      <c r="V57" s="96">
        <f>(U57-U56)/U56</f>
        <v/>
      </c>
    </row>
    <row r="58">
      <c r="B58" s="93" t="n">
        <v>43922</v>
      </c>
      <c r="C58" s="94">
        <f>VLOOKUP(B58,Database!$A:$M,MATCH(Recap!$C$5,Database!$A$1:$M$1,),)</f>
        <v/>
      </c>
      <c r="D58" s="96">
        <f>(C58-C57)/C57</f>
        <v/>
      </c>
      <c r="E58" s="94">
        <f>VLOOKUP(B58,Database!$A:$M,MATCH(Recap!$E$5,Database!$A$1:$M$1,),)</f>
        <v/>
      </c>
      <c r="F58" s="96">
        <f>(E58-E57)/E57</f>
        <v/>
      </c>
      <c r="G58" s="94">
        <f>VLOOKUP(B58,Database!$A:$M,MATCH(Recap!$G$5,Database!$A$1:$M$1,),)</f>
        <v/>
      </c>
      <c r="H58" s="96">
        <f>(G58-G57)/G57</f>
        <v/>
      </c>
      <c r="I58" s="94">
        <f>VLOOKUP(B58,Database!$A:$M,MATCH(Recap!$I$5,Database!$A$1:$M$1,),)</f>
        <v/>
      </c>
      <c r="J58" s="96">
        <f>(I58-I57)/I57</f>
        <v/>
      </c>
      <c r="K58" s="94">
        <f>VLOOKUP(B58,Database!$A:$M,MATCH(Recap!$K$5,Database!$A$1:$M$1,),)</f>
        <v/>
      </c>
      <c r="L58" s="96">
        <f>(K58-K57)/K57</f>
        <v/>
      </c>
      <c r="M58" s="94">
        <f>VLOOKUP(B58,Database!$A:$M,MATCH(Recap!$M$5,Database!$A$1:$M$1,),)</f>
        <v/>
      </c>
      <c r="N58" s="96">
        <f>(M58-M57)/M57</f>
        <v/>
      </c>
      <c r="O58" s="94">
        <f>VLOOKUP(B58,Database!$A:$M,MATCH(Recap!$O$5,Database!$A$1:$M$1,),)</f>
        <v/>
      </c>
      <c r="P58" s="96">
        <f>(O58-O57)/O57</f>
        <v/>
      </c>
      <c r="Q58" s="94">
        <f>VLOOKUP(B58,Database!$A:$M,MATCH(Recap!$Q$5,Database!$A$1:$M$1,),)</f>
        <v/>
      </c>
      <c r="R58" s="96">
        <f>(Q58-Q57)/Q57</f>
        <v/>
      </c>
      <c r="S58" s="94">
        <f>VLOOKUP(B58,Database!$A:$M,MATCH(Recap!$S$5,Database!$A$1:$M$1,),)</f>
        <v/>
      </c>
      <c r="T58" s="96">
        <f>(S58-S57)/S57</f>
        <v/>
      </c>
      <c r="U58" s="94">
        <f>VLOOKUP(B58,Database!$A:$M,MATCH(Recap!$U$5,Database!$A$1:$M$1,),)</f>
        <v/>
      </c>
      <c r="V58" s="96">
        <f>(U58-U57)/U57</f>
        <v/>
      </c>
    </row>
    <row r="59">
      <c r="B59" s="93" t="n">
        <v>43952</v>
      </c>
      <c r="C59" s="94">
        <f>VLOOKUP(B59,Database!$A:$M,MATCH(Recap!$C$5,Database!$A$1:$M$1,),)</f>
        <v/>
      </c>
      <c r="D59" s="96">
        <f>(C59-C58)/C58</f>
        <v/>
      </c>
      <c r="E59" s="94">
        <f>VLOOKUP(B59,Database!$A:$M,MATCH(Recap!$E$5,Database!$A$1:$M$1,),)</f>
        <v/>
      </c>
      <c r="F59" s="96">
        <f>(E59-E58)/E58</f>
        <v/>
      </c>
      <c r="G59" s="94">
        <f>VLOOKUP(B59,Database!$A:$M,MATCH(Recap!$G$5,Database!$A$1:$M$1,),)</f>
        <v/>
      </c>
      <c r="H59" s="96">
        <f>(G59-G58)/G58</f>
        <v/>
      </c>
      <c r="I59" s="94">
        <f>VLOOKUP(B59,Database!$A:$M,MATCH(Recap!$I$5,Database!$A$1:$M$1,),)</f>
        <v/>
      </c>
      <c r="J59" s="96">
        <f>(I59-I58)/I58</f>
        <v/>
      </c>
      <c r="K59" s="94">
        <f>VLOOKUP(B59,Database!$A:$M,MATCH(Recap!$K$5,Database!$A$1:$M$1,),)</f>
        <v/>
      </c>
      <c r="L59" s="96">
        <f>(K59-K58)/K58</f>
        <v/>
      </c>
      <c r="M59" s="94">
        <f>VLOOKUP(B59,Database!$A:$M,MATCH(Recap!$M$5,Database!$A$1:$M$1,),)</f>
        <v/>
      </c>
      <c r="N59" s="96">
        <f>(M59-M58)/M58</f>
        <v/>
      </c>
      <c r="O59" s="94">
        <f>VLOOKUP(B59,Database!$A:$M,MATCH(Recap!$O$5,Database!$A$1:$M$1,),)</f>
        <v/>
      </c>
      <c r="P59" s="96">
        <f>(O59-O58)/O58</f>
        <v/>
      </c>
      <c r="Q59" s="94">
        <f>VLOOKUP(B59,Database!$A:$M,MATCH(Recap!$Q$5,Database!$A$1:$M$1,),)</f>
        <v/>
      </c>
      <c r="R59" s="96">
        <f>(Q59-Q58)/Q58</f>
        <v/>
      </c>
      <c r="S59" s="94">
        <f>VLOOKUP(B59,Database!$A:$M,MATCH(Recap!$S$5,Database!$A$1:$M$1,),)</f>
        <v/>
      </c>
      <c r="T59" s="96">
        <f>(S59-S58)/S58</f>
        <v/>
      </c>
      <c r="U59" s="94">
        <f>VLOOKUP(B59,Database!$A:$M,MATCH(Recap!$U$5,Database!$A$1:$M$1,),)</f>
        <v/>
      </c>
      <c r="V59" s="96">
        <f>(U59-U58)/U58</f>
        <v/>
      </c>
    </row>
    <row r="60">
      <c r="B60" s="93" t="n">
        <v>43983</v>
      </c>
      <c r="C60" s="94">
        <f>VLOOKUP(B60,Database!$A:$M,MATCH(Recap!$C$5,Database!$A$1:$M$1,),)</f>
        <v/>
      </c>
      <c r="D60" s="96">
        <f>(C60-C59)/C59</f>
        <v/>
      </c>
      <c r="E60" s="94">
        <f>VLOOKUP(B60,Database!$A:$M,MATCH(Recap!$E$5,Database!$A$1:$M$1,),)</f>
        <v/>
      </c>
      <c r="F60" s="96">
        <f>(E60-E59)/E59</f>
        <v/>
      </c>
      <c r="G60" s="94">
        <f>VLOOKUP(B60,Database!$A:$M,MATCH(Recap!$G$5,Database!$A$1:$M$1,),)</f>
        <v/>
      </c>
      <c r="H60" s="96">
        <f>(G60-G59)/G59</f>
        <v/>
      </c>
      <c r="I60" s="94">
        <f>VLOOKUP(B60,Database!$A:$M,MATCH(Recap!$I$5,Database!$A$1:$M$1,),)</f>
        <v/>
      </c>
      <c r="J60" s="96">
        <f>(I60-I59)/I59</f>
        <v/>
      </c>
      <c r="K60" s="94">
        <f>VLOOKUP(B60,Database!$A:$M,MATCH(Recap!$K$5,Database!$A$1:$M$1,),)</f>
        <v/>
      </c>
      <c r="L60" s="96">
        <f>(K60-K59)/K59</f>
        <v/>
      </c>
      <c r="M60" s="94">
        <f>VLOOKUP(B60,Database!$A:$M,MATCH(Recap!$M$5,Database!$A$1:$M$1,),)</f>
        <v/>
      </c>
      <c r="N60" s="96">
        <f>(M60-M59)/M59</f>
        <v/>
      </c>
      <c r="O60" s="94">
        <f>VLOOKUP(B60,Database!$A:$M,MATCH(Recap!$O$5,Database!$A$1:$M$1,),)</f>
        <v/>
      </c>
      <c r="P60" s="96">
        <f>(O60-O59)/O59</f>
        <v/>
      </c>
      <c r="Q60" s="94">
        <f>VLOOKUP(B60,Database!$A:$M,MATCH(Recap!$Q$5,Database!$A$1:$M$1,),)</f>
        <v/>
      </c>
      <c r="R60" s="96">
        <f>(Q60-Q59)/Q59</f>
        <v/>
      </c>
      <c r="S60" s="94">
        <f>VLOOKUP(B60,Database!$A:$M,MATCH(Recap!$S$5,Database!$A$1:$M$1,),)</f>
        <v/>
      </c>
      <c r="T60" s="96">
        <f>(S60-S59)/S59</f>
        <v/>
      </c>
      <c r="U60" s="94">
        <f>VLOOKUP(B60,Database!$A:$M,MATCH(Recap!$U$5,Database!$A$1:$M$1,),)</f>
        <v/>
      </c>
      <c r="V60" s="96">
        <f>(U60-U59)/U59</f>
        <v/>
      </c>
    </row>
    <row r="61">
      <c r="B61" s="93" t="n">
        <v>44013</v>
      </c>
      <c r="C61" s="94">
        <f>VLOOKUP(B61,Database!$A:$M,MATCH(Recap!$C$5,Database!$A$1:$M$1,),)</f>
        <v/>
      </c>
      <c r="D61" s="96">
        <f>(C61-C60)/C60</f>
        <v/>
      </c>
      <c r="E61" s="94">
        <f>VLOOKUP(B61,Database!$A:$M,MATCH(Recap!$E$5,Database!$A$1:$M$1,),)</f>
        <v/>
      </c>
      <c r="F61" s="96">
        <f>(E61-E60)/E60</f>
        <v/>
      </c>
      <c r="G61" s="94">
        <f>VLOOKUP(B61,Database!$A:$M,MATCH(Recap!$G$5,Database!$A$1:$M$1,),)</f>
        <v/>
      </c>
      <c r="H61" s="96">
        <f>(G61-G60)/G60</f>
        <v/>
      </c>
      <c r="I61" s="94">
        <f>VLOOKUP(B61,Database!$A:$M,MATCH(Recap!$I$5,Database!$A$1:$M$1,),)</f>
        <v/>
      </c>
      <c r="J61" s="96">
        <f>(I61-I60)/I60</f>
        <v/>
      </c>
      <c r="K61" s="94">
        <f>VLOOKUP(B61,Database!$A:$M,MATCH(Recap!$K$5,Database!$A$1:$M$1,),)</f>
        <v/>
      </c>
      <c r="L61" s="96">
        <f>(K61-K60)/K60</f>
        <v/>
      </c>
      <c r="M61" s="94">
        <f>VLOOKUP(B61,Database!$A:$M,MATCH(Recap!$M$5,Database!$A$1:$M$1,),)</f>
        <v/>
      </c>
      <c r="N61" s="96">
        <f>(M61-M60)/M60</f>
        <v/>
      </c>
      <c r="O61" s="94">
        <f>VLOOKUP(B61,Database!$A:$M,MATCH(Recap!$O$5,Database!$A$1:$M$1,),)</f>
        <v/>
      </c>
      <c r="P61" s="96">
        <f>(O61-O60)/O60</f>
        <v/>
      </c>
      <c r="Q61" s="94">
        <f>VLOOKUP(B61,Database!$A:$M,MATCH(Recap!$Q$5,Database!$A$1:$M$1,),)</f>
        <v/>
      </c>
      <c r="R61" s="96">
        <f>(Q61-Q60)/Q60</f>
        <v/>
      </c>
      <c r="S61" s="94">
        <f>VLOOKUP(B61,Database!$A:$M,MATCH(Recap!$S$5,Database!$A$1:$M$1,),)</f>
        <v/>
      </c>
      <c r="T61" s="96">
        <f>(S61-S60)/S60</f>
        <v/>
      </c>
      <c r="U61" s="94">
        <f>VLOOKUP(B61,Database!$A:$M,MATCH(Recap!$U$5,Database!$A$1:$M$1,),)</f>
        <v/>
      </c>
      <c r="V61" s="96">
        <f>(U61-U60)/U60</f>
        <v/>
      </c>
    </row>
    <row r="62">
      <c r="B62" s="93" t="n">
        <v>44044</v>
      </c>
      <c r="C62" s="94">
        <f>VLOOKUP(B62,Database!$A:$M,MATCH(Recap!$C$5,Database!$A$1:$M$1,),)</f>
        <v/>
      </c>
      <c r="D62" s="96">
        <f>(C62-C61)/C61</f>
        <v/>
      </c>
      <c r="E62" s="94">
        <f>VLOOKUP(B62,Database!$A:$M,MATCH(Recap!$E$5,Database!$A$1:$M$1,),)</f>
        <v/>
      </c>
      <c r="F62" s="96">
        <f>(E62-E61)/E61</f>
        <v/>
      </c>
      <c r="G62" s="94">
        <f>VLOOKUP(B62,Database!$A:$M,MATCH(Recap!$G$5,Database!$A$1:$M$1,),)</f>
        <v/>
      </c>
      <c r="H62" s="96">
        <f>(G62-G61)/G61</f>
        <v/>
      </c>
      <c r="I62" s="94">
        <f>VLOOKUP(B62,Database!$A:$M,MATCH(Recap!$I$5,Database!$A$1:$M$1,),)</f>
        <v/>
      </c>
      <c r="J62" s="96">
        <f>(I62-I61)/I61</f>
        <v/>
      </c>
      <c r="K62" s="94">
        <f>VLOOKUP(B62,Database!$A:$M,MATCH(Recap!$K$5,Database!$A$1:$M$1,),)</f>
        <v/>
      </c>
      <c r="L62" s="96">
        <f>(K62-K61)/K61</f>
        <v/>
      </c>
      <c r="M62" s="94">
        <f>VLOOKUP(B62,Database!$A:$M,MATCH(Recap!$M$5,Database!$A$1:$M$1,),)</f>
        <v/>
      </c>
      <c r="N62" s="96">
        <f>(M62-M61)/M61</f>
        <v/>
      </c>
      <c r="O62" s="94">
        <f>VLOOKUP(B62,Database!$A:$M,MATCH(Recap!$O$5,Database!$A$1:$M$1,),)</f>
        <v/>
      </c>
      <c r="P62" s="96">
        <f>(O62-O61)/O61</f>
        <v/>
      </c>
      <c r="Q62" s="94">
        <f>VLOOKUP(B62,Database!$A:$M,MATCH(Recap!$Q$5,Database!$A$1:$M$1,),)</f>
        <v/>
      </c>
      <c r="R62" s="96">
        <f>(Q62-Q61)/Q61</f>
        <v/>
      </c>
      <c r="S62" s="94">
        <f>VLOOKUP(B62,Database!$A:$M,MATCH(Recap!$S$5,Database!$A$1:$M$1,),)</f>
        <v/>
      </c>
      <c r="T62" s="96">
        <f>(S62-S61)/S61</f>
        <v/>
      </c>
      <c r="U62" s="94">
        <f>VLOOKUP(B62,Database!$A:$M,MATCH(Recap!$U$5,Database!$A$1:$M$1,),)</f>
        <v/>
      </c>
      <c r="V62" s="96">
        <f>(U62-U61)/U61</f>
        <v/>
      </c>
    </row>
    <row r="63">
      <c r="B63" s="93" t="n">
        <v>44075</v>
      </c>
      <c r="C63" s="94">
        <f>VLOOKUP(B63,Database!$A:$M,MATCH(Recap!$C$5,Database!$A$1:$M$1,),)</f>
        <v/>
      </c>
      <c r="D63" s="96">
        <f>(C63-C62)/C62</f>
        <v/>
      </c>
      <c r="E63" s="94">
        <f>VLOOKUP(B63,Database!$A:$M,MATCH(Recap!$E$5,Database!$A$1:$M$1,),)</f>
        <v/>
      </c>
      <c r="F63" s="96">
        <f>(E63-E62)/E62</f>
        <v/>
      </c>
      <c r="G63" s="94">
        <f>VLOOKUP(B63,Database!$A:$M,MATCH(Recap!$G$5,Database!$A$1:$M$1,),)</f>
        <v/>
      </c>
      <c r="H63" s="96">
        <f>(G63-G62)/G62</f>
        <v/>
      </c>
      <c r="I63" s="94">
        <f>VLOOKUP(B63,Database!$A:$M,MATCH(Recap!$I$5,Database!$A$1:$M$1,),)</f>
        <v/>
      </c>
      <c r="J63" s="96">
        <f>(I63-I62)/I62</f>
        <v/>
      </c>
      <c r="K63" s="94">
        <f>VLOOKUP(B63,Database!$A:$M,MATCH(Recap!$K$5,Database!$A$1:$M$1,),)</f>
        <v/>
      </c>
      <c r="L63" s="96">
        <f>(K63-K62)/K62</f>
        <v/>
      </c>
      <c r="M63" s="94">
        <f>VLOOKUP(B63,Database!$A:$M,MATCH(Recap!$M$5,Database!$A$1:$M$1,),)</f>
        <v/>
      </c>
      <c r="N63" s="96">
        <f>(M63-M62)/M62</f>
        <v/>
      </c>
      <c r="O63" s="94">
        <f>VLOOKUP(B63,Database!$A:$M,MATCH(Recap!$O$5,Database!$A$1:$M$1,),)</f>
        <v/>
      </c>
      <c r="P63" s="96">
        <f>(O63-O62)/O62</f>
        <v/>
      </c>
      <c r="Q63" s="94">
        <f>VLOOKUP(B63,Database!$A:$M,MATCH(Recap!$Q$5,Database!$A$1:$M$1,),)</f>
        <v/>
      </c>
      <c r="R63" s="96">
        <f>(Q63-Q62)/Q62</f>
        <v/>
      </c>
      <c r="S63" s="94">
        <f>VLOOKUP(B63,Database!$A:$M,MATCH(Recap!$S$5,Database!$A$1:$M$1,),)</f>
        <v/>
      </c>
      <c r="T63" s="96">
        <f>(S63-S62)/S62</f>
        <v/>
      </c>
      <c r="U63" s="94">
        <f>VLOOKUP(B63,Database!$A:$M,MATCH(Recap!$U$5,Database!$A$1:$M$1,),)</f>
        <v/>
      </c>
      <c r="V63" s="96">
        <f>(U63-U62)/U62</f>
        <v/>
      </c>
    </row>
    <row r="64">
      <c r="B64" s="93" t="n">
        <v>44105</v>
      </c>
      <c r="C64" s="94">
        <f>VLOOKUP(B64,Database!$A:$M,MATCH(Recap!$C$5,Database!$A$1:$M$1,),)</f>
        <v/>
      </c>
      <c r="D64" s="96">
        <f>(C64-C63)/C63</f>
        <v/>
      </c>
      <c r="E64" s="94">
        <f>VLOOKUP(B64,Database!$A:$M,MATCH(Recap!$E$5,Database!$A$1:$M$1,),)</f>
        <v/>
      </c>
      <c r="F64" s="96">
        <f>(E64-E63)/E63</f>
        <v/>
      </c>
      <c r="G64" s="94">
        <f>VLOOKUP(B64,Database!$A:$M,MATCH(Recap!$G$5,Database!$A$1:$M$1,),)</f>
        <v/>
      </c>
      <c r="H64" s="96">
        <f>(G64-G63)/G63</f>
        <v/>
      </c>
      <c r="I64" s="94">
        <f>VLOOKUP(B64,Database!$A:$M,MATCH(Recap!$I$5,Database!$A$1:$M$1,),)</f>
        <v/>
      </c>
      <c r="J64" s="96">
        <f>(I64-I63)/I63</f>
        <v/>
      </c>
      <c r="K64" s="94">
        <f>VLOOKUP(B64,Database!$A:$M,MATCH(Recap!$K$5,Database!$A$1:$M$1,),)</f>
        <v/>
      </c>
      <c r="L64" s="96">
        <f>(K64-K63)/K63</f>
        <v/>
      </c>
      <c r="M64" s="94">
        <f>VLOOKUP(B64,Database!$A:$M,MATCH(Recap!$M$5,Database!$A$1:$M$1,),)</f>
        <v/>
      </c>
      <c r="N64" s="96">
        <f>(M64-M63)/M63</f>
        <v/>
      </c>
      <c r="O64" s="94">
        <f>VLOOKUP(B64,Database!$A:$M,MATCH(Recap!$O$5,Database!$A$1:$M$1,),)</f>
        <v/>
      </c>
      <c r="P64" s="96">
        <f>(O64-O63)/O63</f>
        <v/>
      </c>
      <c r="Q64" s="94">
        <f>VLOOKUP(B64,Database!$A:$M,MATCH(Recap!$Q$5,Database!$A$1:$M$1,),)</f>
        <v/>
      </c>
      <c r="R64" s="96">
        <f>(Q64-Q63)/Q63</f>
        <v/>
      </c>
      <c r="S64" s="94">
        <f>VLOOKUP(B64,Database!$A:$M,MATCH(Recap!$S$5,Database!$A$1:$M$1,),)</f>
        <v/>
      </c>
      <c r="T64" s="96">
        <f>(S64-S63)/S63</f>
        <v/>
      </c>
      <c r="U64" s="94">
        <f>VLOOKUP(B64,Database!$A:$M,MATCH(Recap!$U$5,Database!$A$1:$M$1,),)</f>
        <v/>
      </c>
      <c r="V64" s="96">
        <f>(U64-U63)/U63</f>
        <v/>
      </c>
    </row>
    <row r="65">
      <c r="B65" s="93" t="n">
        <v>44136</v>
      </c>
      <c r="C65" s="94">
        <f>VLOOKUP(B65,Database!$A:$M,MATCH(Recap!$C$5,Database!$A$1:$M$1,),)</f>
        <v/>
      </c>
      <c r="D65" s="96">
        <f>(C65-C64)/C64</f>
        <v/>
      </c>
      <c r="E65" s="94">
        <f>VLOOKUP(B65,Database!$A:$M,MATCH(Recap!$E$5,Database!$A$1:$M$1,),)</f>
        <v/>
      </c>
      <c r="F65" s="96">
        <f>(E65-E64)/E64</f>
        <v/>
      </c>
      <c r="G65" s="94">
        <f>VLOOKUP(B65,Database!$A:$M,MATCH(Recap!$G$5,Database!$A$1:$M$1,),)</f>
        <v/>
      </c>
      <c r="H65" s="96">
        <f>(G65-G64)/G64</f>
        <v/>
      </c>
      <c r="I65" s="94">
        <f>VLOOKUP(B65,Database!$A:$M,MATCH(Recap!$I$5,Database!$A$1:$M$1,),)</f>
        <v/>
      </c>
      <c r="J65" s="96">
        <f>(I65-I64)/I64</f>
        <v/>
      </c>
      <c r="K65" s="94">
        <f>VLOOKUP(B65,Database!$A:$M,MATCH(Recap!$K$5,Database!$A$1:$M$1,),)</f>
        <v/>
      </c>
      <c r="L65" s="96">
        <f>(K65-K64)/K64</f>
        <v/>
      </c>
      <c r="M65" s="94">
        <f>VLOOKUP(B65,Database!$A:$M,MATCH(Recap!$M$5,Database!$A$1:$M$1,),)</f>
        <v/>
      </c>
      <c r="N65" s="96">
        <f>(M65-M64)/M64</f>
        <v/>
      </c>
      <c r="O65" s="94">
        <f>VLOOKUP(B65,Database!$A:$M,MATCH(Recap!$O$5,Database!$A$1:$M$1,),)</f>
        <v/>
      </c>
      <c r="P65" s="96">
        <f>(O65-O64)/O64</f>
        <v/>
      </c>
      <c r="Q65" s="94">
        <f>VLOOKUP(B65,Database!$A:$M,MATCH(Recap!$Q$5,Database!$A$1:$M$1,),)</f>
        <v/>
      </c>
      <c r="R65" s="96">
        <f>(Q65-Q64)/Q64</f>
        <v/>
      </c>
      <c r="S65" s="94">
        <f>VLOOKUP(B65,Database!$A:$M,MATCH(Recap!$S$5,Database!$A$1:$M$1,),)</f>
        <v/>
      </c>
      <c r="T65" s="96">
        <f>(S65-S64)/S64</f>
        <v/>
      </c>
      <c r="U65" s="94">
        <f>VLOOKUP(B65,Database!$A:$M,MATCH(Recap!$U$5,Database!$A$1:$M$1,),)</f>
        <v/>
      </c>
      <c r="V65" s="96">
        <f>(U65-U64)/U64</f>
        <v/>
      </c>
    </row>
    <row r="66">
      <c r="B66" s="93" t="n">
        <v>44166</v>
      </c>
      <c r="C66" s="94">
        <f>VLOOKUP(B66,Database!$A:$M,MATCH(Recap!$C$5,Database!$A$1:$M$1,),)</f>
        <v/>
      </c>
      <c r="D66" s="96">
        <f>(C66-C65)/C65</f>
        <v/>
      </c>
      <c r="E66" s="94">
        <f>VLOOKUP(B66,Database!$A:$M,MATCH(Recap!$E$5,Database!$A$1:$M$1,),)</f>
        <v/>
      </c>
      <c r="F66" s="96">
        <f>(E66-E65)/E65</f>
        <v/>
      </c>
      <c r="G66" s="94">
        <f>VLOOKUP(B66,Database!$A:$M,MATCH(Recap!$G$5,Database!$A$1:$M$1,),)</f>
        <v/>
      </c>
      <c r="H66" s="96">
        <f>(G66-G65)/G65</f>
        <v/>
      </c>
      <c r="I66" s="94">
        <f>VLOOKUP(B66,Database!$A:$M,MATCH(Recap!$I$5,Database!$A$1:$M$1,),)</f>
        <v/>
      </c>
      <c r="J66" s="96">
        <f>(I66-I65)/I65</f>
        <v/>
      </c>
      <c r="K66" s="94">
        <f>VLOOKUP(B66,Database!$A:$M,MATCH(Recap!$K$5,Database!$A$1:$M$1,),)</f>
        <v/>
      </c>
      <c r="L66" s="96">
        <f>(K66-K65)/K65</f>
        <v/>
      </c>
      <c r="M66" s="94">
        <f>VLOOKUP(B66,Database!$A:$M,MATCH(Recap!$M$5,Database!$A$1:$M$1,),)</f>
        <v/>
      </c>
      <c r="N66" s="96">
        <f>(M66-M65)/M65</f>
        <v/>
      </c>
      <c r="O66" s="94">
        <f>VLOOKUP(B66,Database!$A:$M,MATCH(Recap!$O$5,Database!$A$1:$M$1,),)</f>
        <v/>
      </c>
      <c r="P66" s="96">
        <f>(O66-O65)/O65</f>
        <v/>
      </c>
      <c r="Q66" s="94">
        <f>VLOOKUP(B66,Database!$A:$M,MATCH(Recap!$Q$5,Database!$A$1:$M$1,),)</f>
        <v/>
      </c>
      <c r="R66" s="96">
        <f>(Q66-Q65)/Q65</f>
        <v/>
      </c>
      <c r="S66" s="94">
        <f>VLOOKUP(B66,Database!$A:$M,MATCH(Recap!$S$5,Database!$A$1:$M$1,),)</f>
        <v/>
      </c>
      <c r="T66" s="96">
        <f>(S66-S65)/S65</f>
        <v/>
      </c>
      <c r="U66" s="94">
        <f>VLOOKUP(B66,Database!$A:$M,MATCH(Recap!$U$5,Database!$A$1:$M$1,),)</f>
        <v/>
      </c>
      <c r="V66" s="96">
        <f>(U66-U65)/U65</f>
        <v/>
      </c>
    </row>
    <row r="67">
      <c r="B67" s="93" t="n">
        <v>44197</v>
      </c>
      <c r="C67" s="94">
        <f>VLOOKUP(B67,Database!$A:$M,MATCH(Recap!$C$5,Database!$A$1:$M$1,),)</f>
        <v/>
      </c>
      <c r="D67" s="96">
        <f>(C67-C66)/C66</f>
        <v/>
      </c>
      <c r="E67" s="94">
        <f>VLOOKUP(B67,Database!$A:$M,MATCH(Recap!$E$5,Database!$A$1:$M$1,),)</f>
        <v/>
      </c>
      <c r="F67" s="96">
        <f>(E67-E66)/E66</f>
        <v/>
      </c>
      <c r="G67" s="94">
        <f>VLOOKUP(B67,Database!$A:$M,MATCH(Recap!$G$5,Database!$A$1:$M$1,),)</f>
        <v/>
      </c>
      <c r="H67" s="96">
        <f>(G67-G66)/G66</f>
        <v/>
      </c>
      <c r="I67" s="94">
        <f>VLOOKUP(B67,Database!$A:$M,MATCH(Recap!$I$5,Database!$A$1:$M$1,),)</f>
        <v/>
      </c>
      <c r="J67" s="96">
        <f>(I67-I66)/I66</f>
        <v/>
      </c>
      <c r="K67" s="94">
        <f>VLOOKUP(B67,Database!$A:$M,MATCH(Recap!$K$5,Database!$A$1:$M$1,),)</f>
        <v/>
      </c>
      <c r="L67" s="96">
        <f>(K67-K66)/K66</f>
        <v/>
      </c>
      <c r="M67" s="94">
        <f>VLOOKUP(B67,Database!$A:$M,MATCH(Recap!$M$5,Database!$A$1:$M$1,),)</f>
        <v/>
      </c>
      <c r="N67" s="96">
        <f>(M67-M66)/M66</f>
        <v/>
      </c>
      <c r="O67" s="94">
        <f>VLOOKUP(B67,Database!$A:$M,MATCH(Recap!$O$5,Database!$A$1:$M$1,),)</f>
        <v/>
      </c>
      <c r="P67" s="96">
        <f>(O67-O66)/O66</f>
        <v/>
      </c>
      <c r="Q67" s="94">
        <f>VLOOKUP(B67,Database!$A:$M,MATCH(Recap!$Q$5,Database!$A$1:$M$1,),)</f>
        <v/>
      </c>
      <c r="R67" s="96">
        <f>(Q67-Q66)/Q66</f>
        <v/>
      </c>
      <c r="S67" s="94">
        <f>VLOOKUP(B67,Database!$A:$M,MATCH(Recap!$S$5,Database!$A$1:$M$1,),)</f>
        <v/>
      </c>
      <c r="T67" s="96">
        <f>(S67-S66)/S66</f>
        <v/>
      </c>
      <c r="U67" s="94">
        <f>VLOOKUP(B67,Database!$A:$M,MATCH(Recap!$U$5,Database!$A$1:$M$1,),)</f>
        <v/>
      </c>
      <c r="V67" s="96">
        <f>(U67-U66)/U66</f>
        <v/>
      </c>
    </row>
    <row r="68">
      <c r="B68" s="93" t="n">
        <v>44228</v>
      </c>
      <c r="C68" s="94">
        <f>VLOOKUP(B68,Database!$A:$M,MATCH(Recap!$C$5,Database!$A$1:$M$1,),)</f>
        <v/>
      </c>
      <c r="D68" s="96">
        <f>(C68-C67)/C67</f>
        <v/>
      </c>
      <c r="E68" s="94">
        <f>VLOOKUP(B68,Database!$A:$M,MATCH(Recap!$E$5,Database!$A$1:$M$1,),)</f>
        <v/>
      </c>
      <c r="F68" s="96">
        <f>(E68-E67)/E67</f>
        <v/>
      </c>
      <c r="G68" s="94">
        <f>VLOOKUP(B68,Database!$A:$M,MATCH(Recap!$G$5,Database!$A$1:$M$1,),)</f>
        <v/>
      </c>
      <c r="H68" s="96">
        <f>(G68-G67)/G67</f>
        <v/>
      </c>
      <c r="I68" s="94">
        <f>VLOOKUP(B68,Database!$A:$M,MATCH(Recap!$I$5,Database!$A$1:$M$1,),)</f>
        <v/>
      </c>
      <c r="J68" s="96">
        <f>(I68-I67)/I67</f>
        <v/>
      </c>
      <c r="K68" s="94">
        <f>VLOOKUP(B68,Database!$A:$M,MATCH(Recap!$K$5,Database!$A$1:$M$1,),)</f>
        <v/>
      </c>
      <c r="L68" s="96">
        <f>(K68-K67)/K67</f>
        <v/>
      </c>
      <c r="M68" s="94">
        <f>VLOOKUP(B68,Database!$A:$M,MATCH(Recap!$M$5,Database!$A$1:$M$1,),)</f>
        <v/>
      </c>
      <c r="N68" s="96">
        <f>(M68-M67)/M67</f>
        <v/>
      </c>
      <c r="O68" s="94">
        <f>VLOOKUP(B68,Database!$A:$M,MATCH(Recap!$O$5,Database!$A$1:$M$1,),)</f>
        <v/>
      </c>
      <c r="P68" s="96">
        <f>(O68-O67)/O67</f>
        <v/>
      </c>
      <c r="Q68" s="94">
        <f>VLOOKUP(B68,Database!$A:$M,MATCH(Recap!$Q$5,Database!$A$1:$M$1,),)</f>
        <v/>
      </c>
      <c r="R68" s="96">
        <f>(Q68-Q67)/Q67</f>
        <v/>
      </c>
      <c r="S68" s="94">
        <f>VLOOKUP(B68,Database!$A:$M,MATCH(Recap!$S$5,Database!$A$1:$M$1,),)</f>
        <v/>
      </c>
      <c r="T68" s="96">
        <f>(S68-S67)/S67</f>
        <v/>
      </c>
      <c r="U68" s="94">
        <f>VLOOKUP(B68,Database!$A:$M,MATCH(Recap!$U$5,Database!$A$1:$M$1,),)</f>
        <v/>
      </c>
      <c r="V68" s="96">
        <f>(U68-U67)/U67</f>
        <v/>
      </c>
    </row>
    <row r="69">
      <c r="B69" s="93" t="n">
        <v>44256</v>
      </c>
      <c r="C69" s="94">
        <f>VLOOKUP(B69,Database!$A:$M,MATCH(Recap!$C$5,Database!$A$1:$M$1,),)</f>
        <v/>
      </c>
      <c r="D69" s="96">
        <f>(C69-C68)/C68</f>
        <v/>
      </c>
      <c r="E69" s="94">
        <f>VLOOKUP(B69,Database!$A:$M,MATCH(Recap!$E$5,Database!$A$1:$M$1,),)</f>
        <v/>
      </c>
      <c r="F69" s="96">
        <f>(E69-E68)/E68</f>
        <v/>
      </c>
      <c r="G69" s="94">
        <f>VLOOKUP(B69,Database!$A:$M,MATCH(Recap!$G$5,Database!$A$1:$M$1,),)</f>
        <v/>
      </c>
      <c r="H69" s="96">
        <f>(G69-G68)/G68</f>
        <v/>
      </c>
      <c r="I69" s="94">
        <f>VLOOKUP(B69,Database!$A:$M,MATCH(Recap!$I$5,Database!$A$1:$M$1,),)</f>
        <v/>
      </c>
      <c r="J69" s="96">
        <f>(I69-I68)/I68</f>
        <v/>
      </c>
      <c r="K69" s="94">
        <f>VLOOKUP(B69,Database!$A:$M,MATCH(Recap!$K$5,Database!$A$1:$M$1,),)</f>
        <v/>
      </c>
      <c r="L69" s="96">
        <f>(K69-K68)/K68</f>
        <v/>
      </c>
      <c r="M69" s="94">
        <f>VLOOKUP(B69,Database!$A:$M,MATCH(Recap!$M$5,Database!$A$1:$M$1,),)</f>
        <v/>
      </c>
      <c r="N69" s="96">
        <f>(M69-M68)/M68</f>
        <v/>
      </c>
      <c r="O69" s="94">
        <f>VLOOKUP(B69,Database!$A:$M,MATCH(Recap!$O$5,Database!$A$1:$M$1,),)</f>
        <v/>
      </c>
      <c r="P69" s="96">
        <f>(O69-O68)/O68</f>
        <v/>
      </c>
      <c r="Q69" s="94">
        <f>VLOOKUP(B69,Database!$A:$M,MATCH(Recap!$Q$5,Database!$A$1:$M$1,),)</f>
        <v/>
      </c>
      <c r="R69" s="96">
        <f>(Q69-Q68)/Q68</f>
        <v/>
      </c>
      <c r="S69" s="94">
        <f>VLOOKUP(B69,Database!$A:$M,MATCH(Recap!$S$5,Database!$A$1:$M$1,),)</f>
        <v/>
      </c>
      <c r="T69" s="96">
        <f>(S69-S68)/S68</f>
        <v/>
      </c>
      <c r="U69" s="94">
        <f>VLOOKUP(B69,Database!$A:$M,MATCH(Recap!$U$5,Database!$A$1:$M$1,),)</f>
        <v/>
      </c>
      <c r="V69" s="96">
        <f>(U69-U68)/U68</f>
        <v/>
      </c>
    </row>
    <row r="70">
      <c r="B70" s="93" t="n">
        <v>44287</v>
      </c>
      <c r="C70" s="94">
        <f>VLOOKUP(B70,Database!$A:$M,MATCH(Recap!$C$5,Database!$A$1:$M$1,),)</f>
        <v/>
      </c>
      <c r="D70" s="96">
        <f>(C70-C69)/C69</f>
        <v/>
      </c>
      <c r="E70" s="94">
        <f>VLOOKUP(B70,Database!$A:$M,MATCH(Recap!$E$5,Database!$A$1:$M$1,),)</f>
        <v/>
      </c>
      <c r="F70" s="96">
        <f>(E70-E69)/E69</f>
        <v/>
      </c>
      <c r="G70" s="94">
        <f>VLOOKUP(B70,Database!$A:$M,MATCH(Recap!$G$5,Database!$A$1:$M$1,),)</f>
        <v/>
      </c>
      <c r="H70" s="96">
        <f>(G70-G69)/G69</f>
        <v/>
      </c>
      <c r="I70" s="94">
        <f>VLOOKUP(B70,Database!$A:$M,MATCH(Recap!$I$5,Database!$A$1:$M$1,),)</f>
        <v/>
      </c>
      <c r="J70" s="96">
        <f>(I70-I69)/I69</f>
        <v/>
      </c>
      <c r="K70" s="94">
        <f>VLOOKUP(B70,Database!$A:$M,MATCH(Recap!$K$5,Database!$A$1:$M$1,),)</f>
        <v/>
      </c>
      <c r="L70" s="96">
        <f>(K70-K69)/K69</f>
        <v/>
      </c>
      <c r="M70" s="94">
        <f>VLOOKUP(B70,Database!$A:$M,MATCH(Recap!$M$5,Database!$A$1:$M$1,),)</f>
        <v/>
      </c>
      <c r="N70" s="96">
        <f>(M70-M69)/M69</f>
        <v/>
      </c>
      <c r="O70" s="94">
        <f>VLOOKUP(B70,Database!$A:$M,MATCH(Recap!$O$5,Database!$A$1:$M$1,),)</f>
        <v/>
      </c>
      <c r="P70" s="96">
        <f>(O70-O69)/O69</f>
        <v/>
      </c>
      <c r="Q70" s="94">
        <f>VLOOKUP(B70,Database!$A:$M,MATCH(Recap!$Q$5,Database!$A$1:$M$1,),)</f>
        <v/>
      </c>
      <c r="R70" s="96">
        <f>(Q70-Q69)/Q69</f>
        <v/>
      </c>
      <c r="S70" s="94">
        <f>VLOOKUP(B70,Database!$A:$M,MATCH(Recap!$S$5,Database!$A$1:$M$1,),)</f>
        <v/>
      </c>
      <c r="T70" s="96">
        <f>(S70-S69)/S69</f>
        <v/>
      </c>
      <c r="U70" s="94">
        <f>VLOOKUP(B70,Database!$A:$M,MATCH(Recap!$U$5,Database!$A$1:$M$1,),)</f>
        <v/>
      </c>
      <c r="V70" s="96">
        <f>(U70-U69)/U69</f>
        <v/>
      </c>
    </row>
    <row r="71">
      <c r="B71" s="93" t="n">
        <v>44317</v>
      </c>
      <c r="C71" s="94">
        <f>VLOOKUP(B71,Database!$A:$M,MATCH(Recap!$C$5,Database!$A$1:$M$1,),)</f>
        <v/>
      </c>
      <c r="D71" s="96">
        <f>(C71-C70)/C70</f>
        <v/>
      </c>
      <c r="E71" s="94">
        <f>VLOOKUP(B71,Database!$A:$M,MATCH(Recap!$E$5,Database!$A$1:$M$1,),)</f>
        <v/>
      </c>
      <c r="F71" s="96">
        <f>(E71-E70)/E70</f>
        <v/>
      </c>
      <c r="G71" s="94">
        <f>VLOOKUP(B71,Database!$A:$M,MATCH(Recap!$G$5,Database!$A$1:$M$1,),)</f>
        <v/>
      </c>
      <c r="H71" s="96">
        <f>(G71-G70)/G70</f>
        <v/>
      </c>
      <c r="I71" s="94">
        <f>VLOOKUP(B71,Database!$A:$M,MATCH(Recap!$I$5,Database!$A$1:$M$1,),)</f>
        <v/>
      </c>
      <c r="J71" s="96">
        <f>(I71-I70)/I70</f>
        <v/>
      </c>
      <c r="K71" s="94">
        <f>VLOOKUP(B71,Database!$A:$M,MATCH(Recap!$K$5,Database!$A$1:$M$1,),)</f>
        <v/>
      </c>
      <c r="L71" s="96">
        <f>(K71-K70)/K70</f>
        <v/>
      </c>
      <c r="M71" s="94">
        <f>VLOOKUP(B71,Database!$A:$M,MATCH(Recap!$M$5,Database!$A$1:$M$1,),)</f>
        <v/>
      </c>
      <c r="N71" s="96">
        <f>(M71-M70)/M70</f>
        <v/>
      </c>
      <c r="O71" s="94">
        <f>VLOOKUP(B71,Database!$A:$M,MATCH(Recap!$O$5,Database!$A$1:$M$1,),)</f>
        <v/>
      </c>
      <c r="P71" s="96">
        <f>(O71-O70)/O70</f>
        <v/>
      </c>
      <c r="Q71" s="94">
        <f>VLOOKUP(B71,Database!$A:$M,MATCH(Recap!$Q$5,Database!$A$1:$M$1,),)</f>
        <v/>
      </c>
      <c r="R71" s="96">
        <f>(Q71-Q70)/Q70</f>
        <v/>
      </c>
      <c r="S71" s="94">
        <f>VLOOKUP(B71,Database!$A:$M,MATCH(Recap!$S$5,Database!$A$1:$M$1,),)</f>
        <v/>
      </c>
      <c r="T71" s="96">
        <f>(S71-S70)/S70</f>
        <v/>
      </c>
      <c r="U71" s="94">
        <f>VLOOKUP(B71,Database!$A:$M,MATCH(Recap!$U$5,Database!$A$1:$M$1,),)</f>
        <v/>
      </c>
      <c r="V71" s="96">
        <f>(U71-U70)/U70</f>
        <v/>
      </c>
    </row>
    <row r="72">
      <c r="B72" s="93" t="n">
        <v>44348</v>
      </c>
      <c r="C72" s="94">
        <f>VLOOKUP(B72,Database!$A:$M,MATCH(Recap!$C$5,Database!$A$1:$M$1,),)</f>
        <v/>
      </c>
      <c r="D72" s="96">
        <f>(C72-C71)/C71</f>
        <v/>
      </c>
      <c r="E72" s="94">
        <f>VLOOKUP(B72,Database!$A:$M,MATCH(Recap!$E$5,Database!$A$1:$M$1,),)</f>
        <v/>
      </c>
      <c r="F72" s="96">
        <f>(E72-E71)/E71</f>
        <v/>
      </c>
      <c r="G72" s="94">
        <f>VLOOKUP(B72,Database!$A:$M,MATCH(Recap!$G$5,Database!$A$1:$M$1,),)</f>
        <v/>
      </c>
      <c r="H72" s="96">
        <f>(G72-G71)/G71</f>
        <v/>
      </c>
      <c r="I72" s="94">
        <f>VLOOKUP(B72,Database!$A:$M,MATCH(Recap!$I$5,Database!$A$1:$M$1,),)</f>
        <v/>
      </c>
      <c r="J72" s="96">
        <f>(I72-I71)/I71</f>
        <v/>
      </c>
      <c r="K72" s="94">
        <f>VLOOKUP(B72,Database!$A:$M,MATCH(Recap!$K$5,Database!$A$1:$M$1,),)</f>
        <v/>
      </c>
      <c r="L72" s="96">
        <f>(K72-K71)/K71</f>
        <v/>
      </c>
      <c r="M72" s="94">
        <f>VLOOKUP(B72,Database!$A:$M,MATCH(Recap!$M$5,Database!$A$1:$M$1,),)</f>
        <v/>
      </c>
      <c r="N72" s="96">
        <f>(M72-M71)/M71</f>
        <v/>
      </c>
      <c r="O72" s="94">
        <f>VLOOKUP(B72,Database!$A:$M,MATCH(Recap!$O$5,Database!$A$1:$M$1,),)</f>
        <v/>
      </c>
      <c r="P72" s="96">
        <f>(O72-O71)/O71</f>
        <v/>
      </c>
      <c r="Q72" s="94">
        <f>VLOOKUP(B72,Database!$A:$M,MATCH(Recap!$Q$5,Database!$A$1:$M$1,),)</f>
        <v/>
      </c>
      <c r="R72" s="96">
        <f>(Q72-Q71)/Q71</f>
        <v/>
      </c>
      <c r="S72" s="94">
        <f>VLOOKUP(B72,Database!$A:$M,MATCH(Recap!$S$5,Database!$A$1:$M$1,),)</f>
        <v/>
      </c>
      <c r="T72" s="96">
        <f>(S72-S71)/S71</f>
        <v/>
      </c>
      <c r="U72" s="94">
        <f>VLOOKUP(B72,Database!$A:$M,MATCH(Recap!$U$5,Database!$A$1:$M$1,),)</f>
        <v/>
      </c>
      <c r="V72" s="96">
        <f>(U72-U71)/U71</f>
        <v/>
      </c>
    </row>
    <row r="73">
      <c r="B73" s="93" t="n">
        <v>44378</v>
      </c>
      <c r="C73" s="94">
        <f>VLOOKUP(B73,Database!$A:$M,MATCH(Recap!$C$5,Database!$A$1:$M$1,),)</f>
        <v/>
      </c>
      <c r="D73" s="96">
        <f>(C73-C72)/C72</f>
        <v/>
      </c>
      <c r="E73" s="94">
        <f>VLOOKUP(B73,Database!$A:$M,MATCH(Recap!$E$5,Database!$A$1:$M$1,),)</f>
        <v/>
      </c>
      <c r="F73" s="96">
        <f>(E73-E72)/E72</f>
        <v/>
      </c>
      <c r="G73" s="94">
        <f>VLOOKUP(B73,Database!$A:$M,MATCH(Recap!$G$5,Database!$A$1:$M$1,),)</f>
        <v/>
      </c>
      <c r="H73" s="96">
        <f>(G73-G72)/G72</f>
        <v/>
      </c>
      <c r="I73" s="94">
        <f>VLOOKUP(B73,Database!$A:$M,MATCH(Recap!$I$5,Database!$A$1:$M$1,),)</f>
        <v/>
      </c>
      <c r="J73" s="96">
        <f>(I73-I72)/I72</f>
        <v/>
      </c>
      <c r="K73" s="94">
        <f>VLOOKUP(B73,Database!$A:$M,MATCH(Recap!$K$5,Database!$A$1:$M$1,),)</f>
        <v/>
      </c>
      <c r="L73" s="96">
        <f>(K73-K72)/K72</f>
        <v/>
      </c>
      <c r="M73" s="94">
        <f>VLOOKUP(B73,Database!$A:$M,MATCH(Recap!$M$5,Database!$A$1:$M$1,),)</f>
        <v/>
      </c>
      <c r="N73" s="96">
        <f>(M73-M72)/M72</f>
        <v/>
      </c>
      <c r="O73" s="94">
        <f>VLOOKUP(B73,Database!$A:$M,MATCH(Recap!$O$5,Database!$A$1:$M$1,),)</f>
        <v/>
      </c>
      <c r="P73" s="96">
        <f>(O73-O72)/O72</f>
        <v/>
      </c>
      <c r="Q73" s="94">
        <f>VLOOKUP(B73,Database!$A:$M,MATCH(Recap!$Q$5,Database!$A$1:$M$1,),)</f>
        <v/>
      </c>
      <c r="R73" s="96">
        <f>(Q73-Q72)/Q72</f>
        <v/>
      </c>
      <c r="S73" s="94">
        <f>VLOOKUP(B73,Database!$A:$M,MATCH(Recap!$S$5,Database!$A$1:$M$1,),)</f>
        <v/>
      </c>
      <c r="T73" s="96">
        <f>(S73-S72)/S72</f>
        <v/>
      </c>
      <c r="U73" s="94">
        <f>VLOOKUP(B73,Database!$A:$M,MATCH(Recap!$U$5,Database!$A$1:$M$1,),)</f>
        <v/>
      </c>
      <c r="V73" s="96">
        <f>(U73-U72)/U72</f>
        <v/>
      </c>
    </row>
    <row r="74">
      <c r="B74" s="93" t="n">
        <v>44409</v>
      </c>
      <c r="C74" s="94">
        <f>VLOOKUP(B74,Database!$A:$M,MATCH(Recap!$C$5,Database!$A$1:$M$1,),)</f>
        <v/>
      </c>
      <c r="D74" s="96">
        <f>(C74-C73)/C73</f>
        <v/>
      </c>
      <c r="E74" s="94">
        <f>VLOOKUP(B74,Database!$A:$M,MATCH(Recap!$E$5,Database!$A$1:$M$1,),)</f>
        <v/>
      </c>
      <c r="F74" s="96">
        <f>(E74-E73)/E73</f>
        <v/>
      </c>
      <c r="G74" s="94">
        <f>VLOOKUP(B74,Database!$A:$M,MATCH(Recap!$G$5,Database!$A$1:$M$1,),)</f>
        <v/>
      </c>
      <c r="H74" s="96">
        <f>(G74-G73)/G73</f>
        <v/>
      </c>
      <c r="I74" s="94">
        <f>VLOOKUP(B74,Database!$A:$M,MATCH(Recap!$I$5,Database!$A$1:$M$1,),)</f>
        <v/>
      </c>
      <c r="J74" s="96">
        <f>(I74-I73)/I73</f>
        <v/>
      </c>
      <c r="K74" s="94">
        <f>VLOOKUP(B74,Database!$A:$M,MATCH(Recap!$K$5,Database!$A$1:$M$1,),)</f>
        <v/>
      </c>
      <c r="L74" s="96">
        <f>(K74-K73)/K73</f>
        <v/>
      </c>
      <c r="M74" s="94">
        <f>VLOOKUP(B74,Database!$A:$M,MATCH(Recap!$M$5,Database!$A$1:$M$1,),)</f>
        <v/>
      </c>
      <c r="N74" s="96">
        <f>(M74-M73)/M73</f>
        <v/>
      </c>
      <c r="O74" s="94">
        <f>VLOOKUP(B74,Database!$A:$M,MATCH(Recap!$O$5,Database!$A$1:$M$1,),)</f>
        <v/>
      </c>
      <c r="P74" s="96">
        <f>(O74-O73)/O73</f>
        <v/>
      </c>
      <c r="Q74" s="94">
        <f>VLOOKUP(B74,Database!$A:$M,MATCH(Recap!$Q$5,Database!$A$1:$M$1,),)</f>
        <v/>
      </c>
      <c r="R74" s="96">
        <f>(Q74-Q73)/Q73</f>
        <v/>
      </c>
      <c r="S74" s="94">
        <f>VLOOKUP(B74,Database!$A:$M,MATCH(Recap!$S$5,Database!$A$1:$M$1,),)</f>
        <v/>
      </c>
      <c r="T74" s="96">
        <f>(S74-S73)/S73</f>
        <v/>
      </c>
      <c r="U74" s="94">
        <f>VLOOKUP(B74,Database!$A:$M,MATCH(Recap!$U$5,Database!$A$1:$M$1,),)</f>
        <v/>
      </c>
      <c r="V74" s="96">
        <f>(U74-U73)/U73</f>
        <v/>
      </c>
    </row>
    <row r="75">
      <c r="B75" s="93" t="n">
        <v>44440</v>
      </c>
      <c r="C75" s="94">
        <f>VLOOKUP(B75,Database!$A:$M,MATCH(Recap!$C$5,Database!$A$1:$M$1,),)</f>
        <v/>
      </c>
      <c r="D75" s="96">
        <f>(C75-C74)/C74</f>
        <v/>
      </c>
      <c r="E75" s="94">
        <f>VLOOKUP(B75,Database!$A:$M,MATCH(Recap!$E$5,Database!$A$1:$M$1,),)</f>
        <v/>
      </c>
      <c r="F75" s="96">
        <f>(E75-E74)/E74</f>
        <v/>
      </c>
      <c r="G75" s="94">
        <f>VLOOKUP(B75,Database!$A:$M,MATCH(Recap!$G$5,Database!$A$1:$M$1,),)</f>
        <v/>
      </c>
      <c r="H75" s="96">
        <f>(G75-G74)/G74</f>
        <v/>
      </c>
      <c r="I75" s="94">
        <f>VLOOKUP(B75,Database!$A:$M,MATCH(Recap!$I$5,Database!$A$1:$M$1,),)</f>
        <v/>
      </c>
      <c r="J75" s="96">
        <f>(I75-I74)/I74</f>
        <v/>
      </c>
      <c r="K75" s="94">
        <f>VLOOKUP(B75,Database!$A:$M,MATCH(Recap!$K$5,Database!$A$1:$M$1,),)</f>
        <v/>
      </c>
      <c r="L75" s="96">
        <f>(K75-K74)/K74</f>
        <v/>
      </c>
      <c r="M75" s="94">
        <f>VLOOKUP(B75,Database!$A:$M,MATCH(Recap!$M$5,Database!$A$1:$M$1,),)</f>
        <v/>
      </c>
      <c r="N75" s="96">
        <f>(M75-M74)/M74</f>
        <v/>
      </c>
      <c r="O75" s="94">
        <f>VLOOKUP(B75,Database!$A:$M,MATCH(Recap!$O$5,Database!$A$1:$M$1,),)</f>
        <v/>
      </c>
      <c r="P75" s="96">
        <f>(O75-O74)/O74</f>
        <v/>
      </c>
      <c r="Q75" s="94">
        <f>VLOOKUP(B75,Database!$A:$M,MATCH(Recap!$Q$5,Database!$A$1:$M$1,),)</f>
        <v/>
      </c>
      <c r="R75" s="96">
        <f>(Q75-Q74)/Q74</f>
        <v/>
      </c>
      <c r="S75" s="94">
        <f>VLOOKUP(B75,Database!$A:$M,MATCH(Recap!$S$5,Database!$A$1:$M$1,),)</f>
        <v/>
      </c>
      <c r="T75" s="96">
        <f>(S75-S74)/S74</f>
        <v/>
      </c>
      <c r="U75" s="94">
        <f>VLOOKUP(B75,Database!$A:$M,MATCH(Recap!$U$5,Database!$A$1:$M$1,),)</f>
        <v/>
      </c>
      <c r="V75" s="96">
        <f>(U75-U74)/U74</f>
        <v/>
      </c>
    </row>
    <row r="76">
      <c r="B76" s="93" t="n">
        <v>44470</v>
      </c>
      <c r="C76" s="94">
        <f>VLOOKUP(B76,Database!$A:$M,MATCH(Recap!$C$5,Database!$A$1:$M$1,),)</f>
        <v/>
      </c>
      <c r="D76" s="96">
        <f>(C76-C75)/C75</f>
        <v/>
      </c>
      <c r="E76" s="94">
        <f>VLOOKUP(B76,Database!$A:$M,MATCH(Recap!$E$5,Database!$A$1:$M$1,),)</f>
        <v/>
      </c>
      <c r="F76" s="96">
        <f>(E76-E75)/E75</f>
        <v/>
      </c>
      <c r="G76" s="94">
        <f>VLOOKUP(B76,Database!$A:$M,MATCH(Recap!$G$5,Database!$A$1:$M$1,),)</f>
        <v/>
      </c>
      <c r="H76" s="96">
        <f>(G76-G75)/G75</f>
        <v/>
      </c>
      <c r="I76" s="94">
        <f>VLOOKUP(B76,Database!$A:$M,MATCH(Recap!$I$5,Database!$A$1:$M$1,),)</f>
        <v/>
      </c>
      <c r="J76" s="96">
        <f>(I76-I75)/I75</f>
        <v/>
      </c>
      <c r="K76" s="94">
        <f>VLOOKUP(B76,Database!$A:$M,MATCH(Recap!$K$5,Database!$A$1:$M$1,),)</f>
        <v/>
      </c>
      <c r="L76" s="96">
        <f>(K76-K75)/K75</f>
        <v/>
      </c>
      <c r="M76" s="94">
        <f>VLOOKUP(B76,Database!$A:$M,MATCH(Recap!$M$5,Database!$A$1:$M$1,),)</f>
        <v/>
      </c>
      <c r="N76" s="96">
        <f>(M76-M75)/M75</f>
        <v/>
      </c>
      <c r="O76" s="94">
        <f>VLOOKUP(B76,Database!$A:$M,MATCH(Recap!$O$5,Database!$A$1:$M$1,),)</f>
        <v/>
      </c>
      <c r="P76" s="96">
        <f>(O76-O75)/O75</f>
        <v/>
      </c>
      <c r="Q76" s="94">
        <f>VLOOKUP(B76,Database!$A:$M,MATCH(Recap!$Q$5,Database!$A$1:$M$1,),)</f>
        <v/>
      </c>
      <c r="R76" s="96">
        <f>(Q76-Q75)/Q75</f>
        <v/>
      </c>
      <c r="S76" s="94">
        <f>VLOOKUP(B76,Database!$A:$M,MATCH(Recap!$S$5,Database!$A$1:$M$1,),)</f>
        <v/>
      </c>
      <c r="T76" s="96">
        <f>(S76-S75)/S75</f>
        <v/>
      </c>
      <c r="U76" s="94">
        <f>VLOOKUP(B76,Database!$A:$M,MATCH(Recap!$U$5,Database!$A$1:$M$1,),)</f>
        <v/>
      </c>
      <c r="V76" s="96">
        <f>(U76-U75)/U75</f>
        <v/>
      </c>
    </row>
    <row r="77">
      <c r="B77" s="93" t="n">
        <v>44501</v>
      </c>
      <c r="C77" s="94">
        <f>VLOOKUP(B77,Database!$A:$M,MATCH(Recap!$C$5,Database!$A$1:$M$1,),)</f>
        <v/>
      </c>
      <c r="D77" s="96">
        <f>(C77-C76)/C76</f>
        <v/>
      </c>
      <c r="E77" s="94">
        <f>VLOOKUP(B77,Database!$A:$M,MATCH(Recap!$E$5,Database!$A$1:$M$1,),)</f>
        <v/>
      </c>
      <c r="F77" s="96">
        <f>(E77-E76)/E76</f>
        <v/>
      </c>
      <c r="G77" s="94">
        <f>VLOOKUP(B77,Database!$A:$M,MATCH(Recap!$G$5,Database!$A$1:$M$1,),)</f>
        <v/>
      </c>
      <c r="H77" s="96">
        <f>(G77-G76)/G76</f>
        <v/>
      </c>
      <c r="I77" s="94">
        <f>VLOOKUP(B77,Database!$A:$M,MATCH(Recap!$I$5,Database!$A$1:$M$1,),)</f>
        <v/>
      </c>
      <c r="J77" s="96">
        <f>(I77-I76)/I76</f>
        <v/>
      </c>
      <c r="K77" s="94">
        <f>VLOOKUP(B77,Database!$A:$M,MATCH(Recap!$K$5,Database!$A$1:$M$1,),)</f>
        <v/>
      </c>
      <c r="L77" s="96">
        <f>(K77-K76)/K76</f>
        <v/>
      </c>
      <c r="M77" s="94">
        <f>VLOOKUP(B77,Database!$A:$M,MATCH(Recap!$M$5,Database!$A$1:$M$1,),)</f>
        <v/>
      </c>
      <c r="N77" s="96">
        <f>(M77-M76)/M76</f>
        <v/>
      </c>
      <c r="O77" s="94">
        <f>VLOOKUP(B77,Database!$A:$M,MATCH(Recap!$O$5,Database!$A$1:$M$1,),)</f>
        <v/>
      </c>
      <c r="P77" s="96">
        <f>(O77-O76)/O76</f>
        <v/>
      </c>
      <c r="Q77" s="94">
        <f>VLOOKUP(B77,Database!$A:$M,MATCH(Recap!$Q$5,Database!$A$1:$M$1,),)</f>
        <v/>
      </c>
      <c r="R77" s="96">
        <f>(Q77-Q76)/Q76</f>
        <v/>
      </c>
      <c r="S77" s="94">
        <f>VLOOKUP(B77,Database!$A:$M,MATCH(Recap!$S$5,Database!$A$1:$M$1,),)</f>
        <v/>
      </c>
      <c r="T77" s="96">
        <f>(S77-S76)/S76</f>
        <v/>
      </c>
      <c r="U77" s="94">
        <f>VLOOKUP(B77,Database!$A:$M,MATCH(Recap!$U$5,Database!$A$1:$M$1,),)</f>
        <v/>
      </c>
      <c r="V77" s="96">
        <f>(U77-U76)/U76</f>
        <v/>
      </c>
    </row>
    <row r="78">
      <c r="B78" s="93" t="n">
        <v>44531</v>
      </c>
      <c r="C78" s="94">
        <f>VLOOKUP(B78,Database!$A:$M,MATCH(Recap!$C$5,Database!$A$1:$M$1,),)</f>
        <v/>
      </c>
      <c r="D78" s="96">
        <f>(C78-C77)/C77</f>
        <v/>
      </c>
      <c r="E78" s="94">
        <f>VLOOKUP(B78,Database!$A:$M,MATCH(Recap!$E$5,Database!$A$1:$M$1,),)</f>
        <v/>
      </c>
      <c r="F78" s="96">
        <f>(E78-E77)/E77</f>
        <v/>
      </c>
      <c r="G78" s="94">
        <f>VLOOKUP(B78,Database!$A:$M,MATCH(Recap!$G$5,Database!$A$1:$M$1,),)</f>
        <v/>
      </c>
      <c r="H78" s="96">
        <f>(G78-G77)/G77</f>
        <v/>
      </c>
      <c r="I78" s="94">
        <f>VLOOKUP(B78,Database!$A:$M,MATCH(Recap!$I$5,Database!$A$1:$M$1,),)</f>
        <v/>
      </c>
      <c r="J78" s="96">
        <f>(I78-I77)/I77</f>
        <v/>
      </c>
      <c r="K78" s="94">
        <f>VLOOKUP(B78,Database!$A:$M,MATCH(Recap!$K$5,Database!$A$1:$M$1,),)</f>
        <v/>
      </c>
      <c r="L78" s="96">
        <f>(K78-K77)/K77</f>
        <v/>
      </c>
      <c r="M78" s="94">
        <f>VLOOKUP(B78,Database!$A:$M,MATCH(Recap!$M$5,Database!$A$1:$M$1,),)</f>
        <v/>
      </c>
      <c r="N78" s="96">
        <f>(M78-M77)/M77</f>
        <v/>
      </c>
      <c r="O78" s="94">
        <f>VLOOKUP(B78,Database!$A:$M,MATCH(Recap!$O$5,Database!$A$1:$M$1,),)</f>
        <v/>
      </c>
      <c r="P78" s="96">
        <f>(O78-O77)/O77</f>
        <v/>
      </c>
      <c r="Q78" s="94">
        <f>VLOOKUP(B78,Database!$A:$M,MATCH(Recap!$Q$5,Database!$A$1:$M$1,),)</f>
        <v/>
      </c>
      <c r="R78" s="96">
        <f>(Q78-Q77)/Q77</f>
        <v/>
      </c>
      <c r="S78" s="94">
        <f>VLOOKUP(B78,Database!$A:$M,MATCH(Recap!$S$5,Database!$A$1:$M$1,),)</f>
        <v/>
      </c>
      <c r="T78" s="96">
        <f>(S78-S77)/S77</f>
        <v/>
      </c>
      <c r="U78" s="94">
        <f>VLOOKUP(B78,Database!$A:$M,MATCH(Recap!$U$5,Database!$A$1:$M$1,),)</f>
        <v/>
      </c>
      <c r="V78" s="96">
        <f>(U78-U77)/U77</f>
        <v/>
      </c>
    </row>
    <row r="79">
      <c r="B79" s="93" t="n">
        <v>44562</v>
      </c>
      <c r="C79" s="94">
        <f>VLOOKUP(B79,Database!$A:$M,MATCH(Recap!$C$5,Database!$A$1:$M$1,),)</f>
        <v/>
      </c>
      <c r="D79" s="96">
        <f>(C79-C78)/C78</f>
        <v/>
      </c>
      <c r="E79" s="94">
        <f>VLOOKUP(B79,Database!$A:$M,MATCH(Recap!$E$5,Database!$A$1:$M$1,),)</f>
        <v/>
      </c>
      <c r="F79" s="96">
        <f>(E79-E78)/E78</f>
        <v/>
      </c>
      <c r="G79" s="94">
        <f>VLOOKUP(B79,Database!$A:$M,MATCH(Recap!$G$5,Database!$A$1:$M$1,),)</f>
        <v/>
      </c>
      <c r="H79" s="96">
        <f>(G79-G78)/G78</f>
        <v/>
      </c>
      <c r="I79" s="94">
        <f>VLOOKUP(B79,Database!$A:$M,MATCH(Recap!$I$5,Database!$A$1:$M$1,),)</f>
        <v/>
      </c>
      <c r="J79" s="96">
        <f>(I79-I78)/I78</f>
        <v/>
      </c>
      <c r="K79" s="94">
        <f>VLOOKUP(B79,Database!$A:$M,MATCH(Recap!$K$5,Database!$A$1:$M$1,),)</f>
        <v/>
      </c>
      <c r="L79" s="96">
        <f>(K79-K78)/K78</f>
        <v/>
      </c>
      <c r="M79" s="94">
        <f>VLOOKUP(B79,Database!$A:$M,MATCH(Recap!$M$5,Database!$A$1:$M$1,),)</f>
        <v/>
      </c>
      <c r="N79" s="96">
        <f>(M79-M78)/M78</f>
        <v/>
      </c>
      <c r="O79" s="94">
        <f>VLOOKUP(B79,Database!$A:$M,MATCH(Recap!$O$5,Database!$A$1:$M$1,),)</f>
        <v/>
      </c>
      <c r="P79" s="96">
        <f>(O79-O78)/O78</f>
        <v/>
      </c>
      <c r="Q79" s="94">
        <f>VLOOKUP(B79,Database!$A:$M,MATCH(Recap!$Q$5,Database!$A$1:$M$1,),)</f>
        <v/>
      </c>
      <c r="R79" s="96">
        <f>(Q79-Q78)/Q78</f>
        <v/>
      </c>
      <c r="S79" s="94">
        <f>VLOOKUP(B79,Database!$A:$M,MATCH(Recap!$S$5,Database!$A$1:$M$1,),)</f>
        <v/>
      </c>
      <c r="T79" s="96">
        <f>(S79-S78)/S78</f>
        <v/>
      </c>
      <c r="U79" s="94">
        <f>VLOOKUP(B79,Database!$A:$M,MATCH(Recap!$U$5,Database!$A$1:$M$1,),)</f>
        <v/>
      </c>
      <c r="V79" s="96">
        <f>(U79-U78)/U78</f>
        <v/>
      </c>
    </row>
    <row r="80">
      <c r="B80" s="93" t="n">
        <v>44593</v>
      </c>
      <c r="C80" s="94">
        <f>VLOOKUP(B80,Database!$A:$M,MATCH(Recap!$C$5,Database!$A$1:$M$1,),)</f>
        <v/>
      </c>
      <c r="D80" s="96">
        <f>(C80-C79)/C79</f>
        <v/>
      </c>
      <c r="E80" s="94">
        <f>VLOOKUP(B80,Database!$A:$M,MATCH(Recap!$E$5,Database!$A$1:$M$1,),)</f>
        <v/>
      </c>
      <c r="F80" s="96">
        <f>(E80-E79)/E79</f>
        <v/>
      </c>
      <c r="G80" s="94">
        <f>VLOOKUP(B80,Database!$A:$M,MATCH(Recap!$G$5,Database!$A$1:$M$1,),)</f>
        <v/>
      </c>
      <c r="H80" s="96">
        <f>(G80-G79)/G79</f>
        <v/>
      </c>
      <c r="I80" s="94">
        <f>VLOOKUP(B80,Database!$A:$M,MATCH(Recap!$I$5,Database!$A$1:$M$1,),)</f>
        <v/>
      </c>
      <c r="J80" s="96">
        <f>(I80-I79)/I79</f>
        <v/>
      </c>
      <c r="K80" s="94">
        <f>VLOOKUP(B80,Database!$A:$M,MATCH(Recap!$K$5,Database!$A$1:$M$1,),)</f>
        <v/>
      </c>
      <c r="L80" s="96">
        <f>(K80-K79)/K79</f>
        <v/>
      </c>
      <c r="M80" s="94">
        <f>VLOOKUP(B80,Database!$A:$M,MATCH(Recap!$M$5,Database!$A$1:$M$1,),)</f>
        <v/>
      </c>
      <c r="N80" s="96">
        <f>(M80-M79)/M79</f>
        <v/>
      </c>
      <c r="O80" s="94">
        <f>VLOOKUP(B80,Database!$A:$M,MATCH(Recap!$O$5,Database!$A$1:$M$1,),)</f>
        <v/>
      </c>
      <c r="P80" s="96">
        <f>(O80-O79)/O79</f>
        <v/>
      </c>
      <c r="Q80" s="94">
        <f>VLOOKUP(B80,Database!$A:$M,MATCH(Recap!$Q$5,Database!$A$1:$M$1,),)</f>
        <v/>
      </c>
      <c r="R80" s="96">
        <f>(Q80-Q79)/Q79</f>
        <v/>
      </c>
      <c r="S80" s="94">
        <f>VLOOKUP(B80,Database!$A:$M,MATCH(Recap!$S$5,Database!$A$1:$M$1,),)</f>
        <v/>
      </c>
      <c r="T80" s="96">
        <f>(S80-S79)/S79</f>
        <v/>
      </c>
      <c r="U80" s="94">
        <f>VLOOKUP(B80,Database!$A:$M,MATCH(Recap!$U$5,Database!$A$1:$M$1,),)</f>
        <v/>
      </c>
      <c r="V80" s="96">
        <f>(U80-U79)/U79</f>
        <v/>
      </c>
    </row>
  </sheetData>
  <mergeCells count="10">
    <mergeCell ref="C4:D4"/>
    <mergeCell ref="E4:F4"/>
    <mergeCell ref="G4:H4"/>
    <mergeCell ref="I4:J4"/>
    <mergeCell ref="K4:L4"/>
    <mergeCell ref="M4:N4"/>
    <mergeCell ref="O4:P4"/>
    <mergeCell ref="Q4:R4"/>
    <mergeCell ref="S4:T4"/>
    <mergeCell ref="U4:V4"/>
  </mergeCells>
  <conditionalFormatting sqref="D8:D80">
    <cfRule type="colorScale" priority="11">
      <colorScale>
        <cfvo type="min"/>
        <cfvo type="percentile" val="50"/>
        <cfvo type="max"/>
        <color rgb="FFF8696B"/>
        <color rgb="FFFFEB84"/>
        <color rgb="FF63BE7B"/>
      </colorScale>
    </cfRule>
  </conditionalFormatting>
  <conditionalFormatting sqref="F8:F80">
    <cfRule type="colorScale" priority="12">
      <colorScale>
        <cfvo type="min"/>
        <cfvo type="percentile" val="50"/>
        <cfvo type="max"/>
        <color rgb="FFF8696B"/>
        <color rgb="FFFFEB84"/>
        <color rgb="FF63BE7B"/>
      </colorScale>
    </cfRule>
  </conditionalFormatting>
  <conditionalFormatting sqref="H8:H80">
    <cfRule type="colorScale" priority="13">
      <colorScale>
        <cfvo type="min"/>
        <cfvo type="percentile" val="50"/>
        <cfvo type="max"/>
        <color rgb="FFF8696B"/>
        <color rgb="FFFFEB84"/>
        <color rgb="FF63BE7B"/>
      </colorScale>
    </cfRule>
  </conditionalFormatting>
  <conditionalFormatting sqref="J8:J80">
    <cfRule type="colorScale" priority="14">
      <colorScale>
        <cfvo type="min"/>
        <cfvo type="percentile" val="50"/>
        <cfvo type="max"/>
        <color rgb="FFF8696B"/>
        <color rgb="FFFFEB84"/>
        <color rgb="FF63BE7B"/>
      </colorScale>
    </cfRule>
  </conditionalFormatting>
  <conditionalFormatting sqref="L8:L80">
    <cfRule type="colorScale" priority="15">
      <colorScale>
        <cfvo type="min"/>
        <cfvo type="percentile" val="50"/>
        <cfvo type="max"/>
        <color rgb="FFF8696B"/>
        <color rgb="FFFFEB84"/>
        <color rgb="FF63BE7B"/>
      </colorScale>
    </cfRule>
  </conditionalFormatting>
  <conditionalFormatting sqref="N8:N80">
    <cfRule type="colorScale" priority="16">
      <colorScale>
        <cfvo type="min"/>
        <cfvo type="percentile" val="50"/>
        <cfvo type="max"/>
        <color rgb="FFF8696B"/>
        <color rgb="FFFFEB84"/>
        <color rgb="FF63BE7B"/>
      </colorScale>
    </cfRule>
  </conditionalFormatting>
  <conditionalFormatting sqref="P8:P80">
    <cfRule type="colorScale" priority="17">
      <colorScale>
        <cfvo type="min"/>
        <cfvo type="percentile" val="50"/>
        <cfvo type="max"/>
        <color rgb="FFF8696B"/>
        <color rgb="FFFFEB84"/>
        <color rgb="FF63BE7B"/>
      </colorScale>
    </cfRule>
  </conditionalFormatting>
  <conditionalFormatting sqref="R8:R80">
    <cfRule type="colorScale" priority="18">
      <colorScale>
        <cfvo type="min"/>
        <cfvo type="percentile" val="50"/>
        <cfvo type="max"/>
        <color rgb="FFF8696B"/>
        <color rgb="FFFFEB84"/>
        <color rgb="FF63BE7B"/>
      </colorScale>
    </cfRule>
  </conditionalFormatting>
  <conditionalFormatting sqref="T8:T80">
    <cfRule type="colorScale" priority="19">
      <colorScale>
        <cfvo type="min"/>
        <cfvo type="percentile" val="50"/>
        <cfvo type="max"/>
        <color rgb="FFF8696B"/>
        <color rgb="FFFFEB84"/>
        <color rgb="FF63BE7B"/>
      </colorScale>
    </cfRule>
  </conditionalFormatting>
  <conditionalFormatting sqref="V8:V80">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tabColor rgb="FFFF0000"/>
    <outlinePr summaryBelow="1" summaryRight="1"/>
    <pageSetUpPr/>
  </sheetPr>
  <dimension ref="A1:C366"/>
  <sheetViews>
    <sheetView zoomScale="150" zoomScaleNormal="150" workbookViewId="0">
      <pane ySplit="5" topLeftCell="A352" activePane="bottomLeft" state="frozen"/>
      <selection pane="bottomLeft" activeCell="G367" sqref="G367"/>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68" t="inlineStr">
        <is>
          <t>NEWORDER</t>
        </is>
      </c>
      <c r="B1" s="69" t="inlineStr">
        <is>
          <t>CORE ORDERS</t>
        </is>
      </c>
      <c r="C1" s="70" t="n"/>
    </row>
    <row r="2">
      <c r="A2" s="68" t="inlineStr">
        <is>
          <t>Manufacturers' New Orders: Nondefense Capital Goods Excluding Aircraft</t>
        </is>
      </c>
      <c r="B2" s="68" t="n"/>
      <c r="C2" s="69" t="n"/>
    </row>
    <row r="3">
      <c r="B3" s="68" t="n"/>
      <c r="C3" s="69" t="n"/>
    </row>
    <row r="4" ht="16" customHeight="1" s="142" thickBot="1"/>
    <row r="5" ht="68.25" customHeight="1" s="142">
      <c r="A5" s="72" t="inlineStr">
        <is>
          <t>Date</t>
        </is>
      </c>
      <c r="B5" s="73" t="inlineStr">
        <is>
          <t>New Orders - Nondefense Capital Goods Excluding Aircraft</t>
        </is>
      </c>
      <c r="C5" s="111" t="inlineStr">
        <is>
          <t>mom %</t>
        </is>
      </c>
    </row>
    <row r="6">
      <c r="A6" s="74" t="n">
        <v>33635</v>
      </c>
      <c r="B6" s="75">
        <f>VLOOKUP(A6,Database!A:M,MATCH($A$1,Database!$A$1:$M$1,),)</f>
        <v/>
      </c>
      <c r="C6" s="112" t="n"/>
    </row>
    <row r="7">
      <c r="A7" s="74" t="n">
        <v>33664</v>
      </c>
      <c r="B7" s="75">
        <f>VLOOKUP(A7,Database!A:M,MATCH($A$1,Database!$A$1:$M$1,),)</f>
        <v/>
      </c>
      <c r="C7" s="113">
        <f>(Table535[[#This Row],[New Orders - Nondefense Capital Goods Excluding Aircraft]]-B6)/B6</f>
        <v/>
      </c>
    </row>
    <row r="8">
      <c r="A8" s="74" t="n">
        <v>33695</v>
      </c>
      <c r="B8" s="75">
        <f>VLOOKUP(A8,Database!A:M,MATCH($A$1,Database!$A$1:$M$1,),)</f>
        <v/>
      </c>
      <c r="C8" s="113">
        <f>(Table535[[#This Row],[New Orders - Nondefense Capital Goods Excluding Aircraft]]-B7)/B7</f>
        <v/>
      </c>
    </row>
    <row r="9">
      <c r="A9" s="74" t="n">
        <v>33725</v>
      </c>
      <c r="B9" s="75">
        <f>VLOOKUP(A9,Database!A:M,MATCH($A$1,Database!$A$1:$M$1,),)</f>
        <v/>
      </c>
      <c r="C9" s="113">
        <f>(Table535[[#This Row],[New Orders - Nondefense Capital Goods Excluding Aircraft]]-B8)/B8</f>
        <v/>
      </c>
    </row>
    <row r="10">
      <c r="A10" s="74" t="n">
        <v>33756</v>
      </c>
      <c r="B10" s="75">
        <f>VLOOKUP(A10,Database!A:M,MATCH($A$1,Database!$A$1:$M$1,),)</f>
        <v/>
      </c>
      <c r="C10" s="113">
        <f>(Table535[[#This Row],[New Orders - Nondefense Capital Goods Excluding Aircraft]]-B9)/B9</f>
        <v/>
      </c>
    </row>
    <row r="11">
      <c r="A11" s="74" t="n">
        <v>33786</v>
      </c>
      <c r="B11" s="75">
        <f>VLOOKUP(A11,Database!A:M,MATCH($A$1,Database!$A$1:$M$1,),)</f>
        <v/>
      </c>
      <c r="C11" s="113">
        <f>(Table535[[#This Row],[New Orders - Nondefense Capital Goods Excluding Aircraft]]-B10)/B10</f>
        <v/>
      </c>
    </row>
    <row r="12">
      <c r="A12" s="74" t="n">
        <v>33817</v>
      </c>
      <c r="B12" s="75">
        <f>VLOOKUP(A12,Database!A:M,MATCH($A$1,Database!$A$1:$M$1,),)</f>
        <v/>
      </c>
      <c r="C12" s="113">
        <f>(Table535[[#This Row],[New Orders - Nondefense Capital Goods Excluding Aircraft]]-B11)/B11</f>
        <v/>
      </c>
    </row>
    <row r="13">
      <c r="A13" s="74" t="n">
        <v>33848</v>
      </c>
      <c r="B13" s="75">
        <f>VLOOKUP(A13,Database!A:M,MATCH($A$1,Database!$A$1:$M$1,),)</f>
        <v/>
      </c>
      <c r="C13" s="113">
        <f>(Table535[[#This Row],[New Orders - Nondefense Capital Goods Excluding Aircraft]]-B12)/B12</f>
        <v/>
      </c>
    </row>
    <row r="14">
      <c r="A14" s="74" t="n">
        <v>33878</v>
      </c>
      <c r="B14" s="75">
        <f>VLOOKUP(A14,Database!A:M,MATCH($A$1,Database!$A$1:$M$1,),)</f>
        <v/>
      </c>
      <c r="C14" s="113">
        <f>(Table535[[#This Row],[New Orders - Nondefense Capital Goods Excluding Aircraft]]-B13)/B13</f>
        <v/>
      </c>
    </row>
    <row r="15">
      <c r="A15" s="74" t="n">
        <v>33909</v>
      </c>
      <c r="B15" s="75">
        <f>VLOOKUP(A15,Database!A:M,MATCH($A$1,Database!$A$1:$M$1,),)</f>
        <v/>
      </c>
      <c r="C15" s="113">
        <f>(Table535[[#This Row],[New Orders - Nondefense Capital Goods Excluding Aircraft]]-B14)/B14</f>
        <v/>
      </c>
    </row>
    <row r="16">
      <c r="A16" s="74" t="n">
        <v>33939</v>
      </c>
      <c r="B16" s="75">
        <f>VLOOKUP(A16,Database!A:M,MATCH($A$1,Database!$A$1:$M$1,),)</f>
        <v/>
      </c>
      <c r="C16" s="113">
        <f>(Table535[[#This Row],[New Orders - Nondefense Capital Goods Excluding Aircraft]]-B15)/B15</f>
        <v/>
      </c>
    </row>
    <row r="17">
      <c r="A17" s="74" t="n">
        <v>33970</v>
      </c>
      <c r="B17" s="75">
        <f>VLOOKUP(A17,Database!A:M,MATCH($A$1,Database!$A$1:$M$1,),)</f>
        <v/>
      </c>
      <c r="C17" s="113">
        <f>(Table535[[#This Row],[New Orders - Nondefense Capital Goods Excluding Aircraft]]-B16)/B16</f>
        <v/>
      </c>
    </row>
    <row r="18">
      <c r="A18" s="74" t="n">
        <v>34001</v>
      </c>
      <c r="B18" s="75">
        <f>VLOOKUP(A18,Database!A:M,MATCH($A$1,Database!$A$1:$M$1,),)</f>
        <v/>
      </c>
      <c r="C18" s="113">
        <f>(Table535[[#This Row],[New Orders - Nondefense Capital Goods Excluding Aircraft]]-B17)/B17</f>
        <v/>
      </c>
    </row>
    <row r="19">
      <c r="A19" s="74" t="n">
        <v>34029</v>
      </c>
      <c r="B19" s="75">
        <f>VLOOKUP(A19,Database!A:M,MATCH($A$1,Database!$A$1:$M$1,),)</f>
        <v/>
      </c>
      <c r="C19" s="113">
        <f>(Table535[[#This Row],[New Orders - Nondefense Capital Goods Excluding Aircraft]]-B18)/B18</f>
        <v/>
      </c>
    </row>
    <row r="20">
      <c r="A20" s="74" t="n">
        <v>34060</v>
      </c>
      <c r="B20" s="75">
        <f>VLOOKUP(A20,Database!A:M,MATCH($A$1,Database!$A$1:$M$1,),)</f>
        <v/>
      </c>
      <c r="C20" s="113">
        <f>(Table535[[#This Row],[New Orders - Nondefense Capital Goods Excluding Aircraft]]-B19)/B19</f>
        <v/>
      </c>
    </row>
    <row r="21">
      <c r="A21" s="74" t="n">
        <v>34090</v>
      </c>
      <c r="B21" s="75">
        <f>VLOOKUP(A21,Database!A:M,MATCH($A$1,Database!$A$1:$M$1,),)</f>
        <v/>
      </c>
      <c r="C21" s="113">
        <f>(Table535[[#This Row],[New Orders - Nondefense Capital Goods Excluding Aircraft]]-B20)/B20</f>
        <v/>
      </c>
    </row>
    <row r="22">
      <c r="A22" s="74" t="n">
        <v>34121</v>
      </c>
      <c r="B22" s="75">
        <f>VLOOKUP(A22,Database!A:M,MATCH($A$1,Database!$A$1:$M$1,),)</f>
        <v/>
      </c>
      <c r="C22" s="113">
        <f>(Table535[[#This Row],[New Orders - Nondefense Capital Goods Excluding Aircraft]]-B21)/B21</f>
        <v/>
      </c>
    </row>
    <row r="23">
      <c r="A23" s="74" t="n">
        <v>34151</v>
      </c>
      <c r="B23" s="75">
        <f>VLOOKUP(A23,Database!A:M,MATCH($A$1,Database!$A$1:$M$1,),)</f>
        <v/>
      </c>
      <c r="C23" s="113">
        <f>(Table535[[#This Row],[New Orders - Nondefense Capital Goods Excluding Aircraft]]-B22)/B22</f>
        <v/>
      </c>
    </row>
    <row r="24">
      <c r="A24" s="74" t="n">
        <v>34182</v>
      </c>
      <c r="B24" s="75">
        <f>VLOOKUP(A24,Database!A:M,MATCH($A$1,Database!$A$1:$M$1,),)</f>
        <v/>
      </c>
      <c r="C24" s="113">
        <f>(Table535[[#This Row],[New Orders - Nondefense Capital Goods Excluding Aircraft]]-B23)/B23</f>
        <v/>
      </c>
    </row>
    <row r="25">
      <c r="A25" s="74" t="n">
        <v>34213</v>
      </c>
      <c r="B25" s="75">
        <f>VLOOKUP(A25,Database!A:M,MATCH($A$1,Database!$A$1:$M$1,),)</f>
        <v/>
      </c>
      <c r="C25" s="113">
        <f>(Table535[[#This Row],[New Orders - Nondefense Capital Goods Excluding Aircraft]]-B24)/B24</f>
        <v/>
      </c>
    </row>
    <row r="26">
      <c r="A26" s="74" t="n">
        <v>34243</v>
      </c>
      <c r="B26" s="75">
        <f>VLOOKUP(A26,Database!A:M,MATCH($A$1,Database!$A$1:$M$1,),)</f>
        <v/>
      </c>
      <c r="C26" s="113">
        <f>(Table535[[#This Row],[New Orders - Nondefense Capital Goods Excluding Aircraft]]-B25)/B25</f>
        <v/>
      </c>
    </row>
    <row r="27">
      <c r="A27" s="74" t="n">
        <v>34274</v>
      </c>
      <c r="B27" s="75">
        <f>VLOOKUP(A27,Database!A:M,MATCH($A$1,Database!$A$1:$M$1,),)</f>
        <v/>
      </c>
      <c r="C27" s="113">
        <f>(Table535[[#This Row],[New Orders - Nondefense Capital Goods Excluding Aircraft]]-B26)/B26</f>
        <v/>
      </c>
    </row>
    <row r="28">
      <c r="A28" s="74" t="n">
        <v>34304</v>
      </c>
      <c r="B28" s="75">
        <f>VLOOKUP(A28,Database!A:M,MATCH($A$1,Database!$A$1:$M$1,),)</f>
        <v/>
      </c>
      <c r="C28" s="113">
        <f>(Table535[[#This Row],[New Orders - Nondefense Capital Goods Excluding Aircraft]]-B27)/B27</f>
        <v/>
      </c>
    </row>
    <row r="29">
      <c r="A29" s="74" t="n">
        <v>34335</v>
      </c>
      <c r="B29" s="75">
        <f>VLOOKUP(A29,Database!A:M,MATCH($A$1,Database!$A$1:$M$1,),)</f>
        <v/>
      </c>
      <c r="C29" s="113">
        <f>(Table535[[#This Row],[New Orders - Nondefense Capital Goods Excluding Aircraft]]-B28)/B28</f>
        <v/>
      </c>
    </row>
    <row r="30">
      <c r="A30" s="74" t="n">
        <v>34366</v>
      </c>
      <c r="B30" s="75">
        <f>VLOOKUP(A30,Database!A:M,MATCH($A$1,Database!$A$1:$M$1,),)</f>
        <v/>
      </c>
      <c r="C30" s="113">
        <f>(Table535[[#This Row],[New Orders - Nondefense Capital Goods Excluding Aircraft]]-B29)/B29</f>
        <v/>
      </c>
    </row>
    <row r="31">
      <c r="A31" s="74" t="n">
        <v>34394</v>
      </c>
      <c r="B31" s="75">
        <f>VLOOKUP(A31,Database!A:M,MATCH($A$1,Database!$A$1:$M$1,),)</f>
        <v/>
      </c>
      <c r="C31" s="113">
        <f>(Table535[[#This Row],[New Orders - Nondefense Capital Goods Excluding Aircraft]]-B30)/B30</f>
        <v/>
      </c>
    </row>
    <row r="32">
      <c r="A32" s="74" t="n">
        <v>34425</v>
      </c>
      <c r="B32" s="75">
        <f>VLOOKUP(A32,Database!A:M,MATCH($A$1,Database!$A$1:$M$1,),)</f>
        <v/>
      </c>
      <c r="C32" s="113">
        <f>(Table535[[#This Row],[New Orders - Nondefense Capital Goods Excluding Aircraft]]-B31)/B31</f>
        <v/>
      </c>
    </row>
    <row r="33">
      <c r="A33" s="74" t="n">
        <v>34455</v>
      </c>
      <c r="B33" s="75">
        <f>VLOOKUP(A33,Database!A:M,MATCH($A$1,Database!$A$1:$M$1,),)</f>
        <v/>
      </c>
      <c r="C33" s="113">
        <f>(Table535[[#This Row],[New Orders - Nondefense Capital Goods Excluding Aircraft]]-B32)/B32</f>
        <v/>
      </c>
    </row>
    <row r="34">
      <c r="A34" s="74" t="n">
        <v>34486</v>
      </c>
      <c r="B34" s="75">
        <f>VLOOKUP(A34,Database!A:M,MATCH($A$1,Database!$A$1:$M$1,),)</f>
        <v/>
      </c>
      <c r="C34" s="113">
        <f>(Table535[[#This Row],[New Orders - Nondefense Capital Goods Excluding Aircraft]]-B33)/B33</f>
        <v/>
      </c>
    </row>
    <row r="35">
      <c r="A35" s="74" t="n">
        <v>34516</v>
      </c>
      <c r="B35" s="75">
        <f>VLOOKUP(A35,Database!A:M,MATCH($A$1,Database!$A$1:$M$1,),)</f>
        <v/>
      </c>
      <c r="C35" s="113">
        <f>(Table535[[#This Row],[New Orders - Nondefense Capital Goods Excluding Aircraft]]-B34)/B34</f>
        <v/>
      </c>
    </row>
    <row r="36">
      <c r="A36" s="74" t="n">
        <v>34547</v>
      </c>
      <c r="B36" s="75">
        <f>VLOOKUP(A36,Database!A:M,MATCH($A$1,Database!$A$1:$M$1,),)</f>
        <v/>
      </c>
      <c r="C36" s="113">
        <f>(Table535[[#This Row],[New Orders - Nondefense Capital Goods Excluding Aircraft]]-B35)/B35</f>
        <v/>
      </c>
    </row>
    <row r="37">
      <c r="A37" s="74" t="n">
        <v>34578</v>
      </c>
      <c r="B37" s="75">
        <f>VLOOKUP(A37,Database!A:M,MATCH($A$1,Database!$A$1:$M$1,),)</f>
        <v/>
      </c>
      <c r="C37" s="113">
        <f>(Table535[[#This Row],[New Orders - Nondefense Capital Goods Excluding Aircraft]]-B36)/B36</f>
        <v/>
      </c>
    </row>
    <row r="38">
      <c r="A38" s="74" t="n">
        <v>34608</v>
      </c>
      <c r="B38" s="75">
        <f>VLOOKUP(A38,Database!A:M,MATCH($A$1,Database!$A$1:$M$1,),)</f>
        <v/>
      </c>
      <c r="C38" s="113">
        <f>(Table535[[#This Row],[New Orders - Nondefense Capital Goods Excluding Aircraft]]-B37)/B37</f>
        <v/>
      </c>
    </row>
    <row r="39">
      <c r="A39" s="74" t="n">
        <v>34639</v>
      </c>
      <c r="B39" s="75">
        <f>VLOOKUP(A39,Database!A:M,MATCH($A$1,Database!$A$1:$M$1,),)</f>
        <v/>
      </c>
      <c r="C39" s="113">
        <f>(Table535[[#This Row],[New Orders - Nondefense Capital Goods Excluding Aircraft]]-B38)/B38</f>
        <v/>
      </c>
    </row>
    <row r="40">
      <c r="A40" s="74" t="n">
        <v>34669</v>
      </c>
      <c r="B40" s="75">
        <f>VLOOKUP(A40,Database!A:M,MATCH($A$1,Database!$A$1:$M$1,),)</f>
        <v/>
      </c>
      <c r="C40" s="113">
        <f>(Table535[[#This Row],[New Orders - Nondefense Capital Goods Excluding Aircraft]]-B39)/B39</f>
        <v/>
      </c>
    </row>
    <row r="41">
      <c r="A41" s="74" t="n">
        <v>34700</v>
      </c>
      <c r="B41" s="75">
        <f>VLOOKUP(A41,Database!A:M,MATCH($A$1,Database!$A$1:$M$1,),)</f>
        <v/>
      </c>
      <c r="C41" s="113">
        <f>(Table535[[#This Row],[New Orders - Nondefense Capital Goods Excluding Aircraft]]-B40)/B40</f>
        <v/>
      </c>
    </row>
    <row r="42">
      <c r="A42" s="74" t="n">
        <v>34731</v>
      </c>
      <c r="B42" s="75">
        <f>VLOOKUP(A42,Database!A:M,MATCH($A$1,Database!$A$1:$M$1,),)</f>
        <v/>
      </c>
      <c r="C42" s="113">
        <f>(Table535[[#This Row],[New Orders - Nondefense Capital Goods Excluding Aircraft]]-B41)/B41</f>
        <v/>
      </c>
    </row>
    <row r="43">
      <c r="A43" s="74" t="n">
        <v>34759</v>
      </c>
      <c r="B43" s="75">
        <f>VLOOKUP(A43,Database!A:M,MATCH($A$1,Database!$A$1:$M$1,),)</f>
        <v/>
      </c>
      <c r="C43" s="113">
        <f>(Table535[[#This Row],[New Orders - Nondefense Capital Goods Excluding Aircraft]]-B42)/B42</f>
        <v/>
      </c>
    </row>
    <row r="44">
      <c r="A44" s="74" t="n">
        <v>34790</v>
      </c>
      <c r="B44" s="75">
        <f>VLOOKUP(A44,Database!A:M,MATCH($A$1,Database!$A$1:$M$1,),)</f>
        <v/>
      </c>
      <c r="C44" s="113">
        <f>(Table535[[#This Row],[New Orders - Nondefense Capital Goods Excluding Aircraft]]-B43)/B43</f>
        <v/>
      </c>
    </row>
    <row r="45">
      <c r="A45" s="74" t="n">
        <v>34820</v>
      </c>
      <c r="B45" s="75">
        <f>VLOOKUP(A45,Database!A:M,MATCH($A$1,Database!$A$1:$M$1,),)</f>
        <v/>
      </c>
      <c r="C45" s="113">
        <f>(Table535[[#This Row],[New Orders - Nondefense Capital Goods Excluding Aircraft]]-B44)/B44</f>
        <v/>
      </c>
    </row>
    <row r="46">
      <c r="A46" s="74" t="n">
        <v>34851</v>
      </c>
      <c r="B46" s="75">
        <f>VLOOKUP(A46,Database!A:M,MATCH($A$1,Database!$A$1:$M$1,),)</f>
        <v/>
      </c>
      <c r="C46" s="113">
        <f>(Table535[[#This Row],[New Orders - Nondefense Capital Goods Excluding Aircraft]]-B45)/B45</f>
        <v/>
      </c>
    </row>
    <row r="47">
      <c r="A47" s="74" t="n">
        <v>34881</v>
      </c>
      <c r="B47" s="75">
        <f>VLOOKUP(A47,Database!A:M,MATCH($A$1,Database!$A$1:$M$1,),)</f>
        <v/>
      </c>
      <c r="C47" s="113">
        <f>(Table535[[#This Row],[New Orders - Nondefense Capital Goods Excluding Aircraft]]-B46)/B46</f>
        <v/>
      </c>
    </row>
    <row r="48">
      <c r="A48" s="74" t="n">
        <v>34912</v>
      </c>
      <c r="B48" s="75">
        <f>VLOOKUP(A48,Database!A:M,MATCH($A$1,Database!$A$1:$M$1,),)</f>
        <v/>
      </c>
      <c r="C48" s="113">
        <f>(Table535[[#This Row],[New Orders - Nondefense Capital Goods Excluding Aircraft]]-B47)/B47</f>
        <v/>
      </c>
    </row>
    <row r="49">
      <c r="A49" s="74" t="n">
        <v>34943</v>
      </c>
      <c r="B49" s="75">
        <f>VLOOKUP(A49,Database!A:M,MATCH($A$1,Database!$A$1:$M$1,),)</f>
        <v/>
      </c>
      <c r="C49" s="113">
        <f>(Table535[[#This Row],[New Orders - Nondefense Capital Goods Excluding Aircraft]]-B48)/B48</f>
        <v/>
      </c>
    </row>
    <row r="50">
      <c r="A50" s="74" t="n">
        <v>34973</v>
      </c>
      <c r="B50" s="75">
        <f>VLOOKUP(A50,Database!A:M,MATCH($A$1,Database!$A$1:$M$1,),)</f>
        <v/>
      </c>
      <c r="C50" s="113">
        <f>(Table535[[#This Row],[New Orders - Nondefense Capital Goods Excluding Aircraft]]-B49)/B49</f>
        <v/>
      </c>
    </row>
    <row r="51">
      <c r="A51" s="74" t="n">
        <v>35004</v>
      </c>
      <c r="B51" s="75">
        <f>VLOOKUP(A51,Database!A:M,MATCH($A$1,Database!$A$1:$M$1,),)</f>
        <v/>
      </c>
      <c r="C51" s="113">
        <f>(Table535[[#This Row],[New Orders - Nondefense Capital Goods Excluding Aircraft]]-B50)/B50</f>
        <v/>
      </c>
    </row>
    <row r="52">
      <c r="A52" s="74" t="n">
        <v>35034</v>
      </c>
      <c r="B52" s="75">
        <f>VLOOKUP(A52,Database!A:M,MATCH($A$1,Database!$A$1:$M$1,),)</f>
        <v/>
      </c>
      <c r="C52" s="113">
        <f>(Table535[[#This Row],[New Orders - Nondefense Capital Goods Excluding Aircraft]]-B51)/B51</f>
        <v/>
      </c>
    </row>
    <row r="53">
      <c r="A53" s="74" t="n">
        <v>35065</v>
      </c>
      <c r="B53" s="75">
        <f>VLOOKUP(A53,Database!A:M,MATCH($A$1,Database!$A$1:$M$1,),)</f>
        <v/>
      </c>
      <c r="C53" s="113">
        <f>(Table535[[#This Row],[New Orders - Nondefense Capital Goods Excluding Aircraft]]-B52)/B52</f>
        <v/>
      </c>
    </row>
    <row r="54">
      <c r="A54" s="74" t="n">
        <v>35096</v>
      </c>
      <c r="B54" s="75">
        <f>VLOOKUP(A54,Database!A:M,MATCH($A$1,Database!$A$1:$M$1,),)</f>
        <v/>
      </c>
      <c r="C54" s="113">
        <f>(Table535[[#This Row],[New Orders - Nondefense Capital Goods Excluding Aircraft]]-B53)/B53</f>
        <v/>
      </c>
    </row>
    <row r="55">
      <c r="A55" s="74" t="n">
        <v>35125</v>
      </c>
      <c r="B55" s="75">
        <f>VLOOKUP(A55,Database!A:M,MATCH($A$1,Database!$A$1:$M$1,),)</f>
        <v/>
      </c>
      <c r="C55" s="113">
        <f>(Table535[[#This Row],[New Orders - Nondefense Capital Goods Excluding Aircraft]]-B54)/B54</f>
        <v/>
      </c>
    </row>
    <row r="56">
      <c r="A56" s="74" t="n">
        <v>35156</v>
      </c>
      <c r="B56" s="75">
        <f>VLOOKUP(A56,Database!A:M,MATCH($A$1,Database!$A$1:$M$1,),)</f>
        <v/>
      </c>
      <c r="C56" s="113">
        <f>(Table535[[#This Row],[New Orders - Nondefense Capital Goods Excluding Aircraft]]-B55)/B55</f>
        <v/>
      </c>
    </row>
    <row r="57">
      <c r="A57" s="74" t="n">
        <v>35186</v>
      </c>
      <c r="B57" s="75">
        <f>VLOOKUP(A57,Database!A:M,MATCH($A$1,Database!$A$1:$M$1,),)</f>
        <v/>
      </c>
      <c r="C57" s="113">
        <f>(Table535[[#This Row],[New Orders - Nondefense Capital Goods Excluding Aircraft]]-B56)/B56</f>
        <v/>
      </c>
    </row>
    <row r="58">
      <c r="A58" s="74" t="n">
        <v>35217</v>
      </c>
      <c r="B58" s="75">
        <f>VLOOKUP(A58,Database!A:M,MATCH($A$1,Database!$A$1:$M$1,),)</f>
        <v/>
      </c>
      <c r="C58" s="113">
        <f>(Table535[[#This Row],[New Orders - Nondefense Capital Goods Excluding Aircraft]]-B57)/B57</f>
        <v/>
      </c>
    </row>
    <row r="59">
      <c r="A59" s="74" t="n">
        <v>35247</v>
      </c>
      <c r="B59" s="75">
        <f>VLOOKUP(A59,Database!A:M,MATCH($A$1,Database!$A$1:$M$1,),)</f>
        <v/>
      </c>
      <c r="C59" s="113">
        <f>(Table535[[#This Row],[New Orders - Nondefense Capital Goods Excluding Aircraft]]-B58)/B58</f>
        <v/>
      </c>
    </row>
    <row r="60">
      <c r="A60" s="74" t="n">
        <v>35278</v>
      </c>
      <c r="B60" s="75">
        <f>VLOOKUP(A60,Database!A:M,MATCH($A$1,Database!$A$1:$M$1,),)</f>
        <v/>
      </c>
      <c r="C60" s="113">
        <f>(Table535[[#This Row],[New Orders - Nondefense Capital Goods Excluding Aircraft]]-B59)/B59</f>
        <v/>
      </c>
    </row>
    <row r="61">
      <c r="A61" s="74" t="n">
        <v>35309</v>
      </c>
      <c r="B61" s="75">
        <f>VLOOKUP(A61,Database!A:M,MATCH($A$1,Database!$A$1:$M$1,),)</f>
        <v/>
      </c>
      <c r="C61" s="113">
        <f>(Table535[[#This Row],[New Orders - Nondefense Capital Goods Excluding Aircraft]]-B60)/B60</f>
        <v/>
      </c>
    </row>
    <row r="62">
      <c r="A62" s="74" t="n">
        <v>35339</v>
      </c>
      <c r="B62" s="75">
        <f>VLOOKUP(A62,Database!A:M,MATCH($A$1,Database!$A$1:$M$1,),)</f>
        <v/>
      </c>
      <c r="C62" s="113">
        <f>(Table535[[#This Row],[New Orders - Nondefense Capital Goods Excluding Aircraft]]-B61)/B61</f>
        <v/>
      </c>
    </row>
    <row r="63">
      <c r="A63" s="74" t="n">
        <v>35370</v>
      </c>
      <c r="B63" s="75">
        <f>VLOOKUP(A63,Database!A:M,MATCH($A$1,Database!$A$1:$M$1,),)</f>
        <v/>
      </c>
      <c r="C63" s="113">
        <f>(Table535[[#This Row],[New Orders - Nondefense Capital Goods Excluding Aircraft]]-B62)/B62</f>
        <v/>
      </c>
    </row>
    <row r="64">
      <c r="A64" s="74" t="n">
        <v>35400</v>
      </c>
      <c r="B64" s="75">
        <f>VLOOKUP(A64,Database!A:M,MATCH($A$1,Database!$A$1:$M$1,),)</f>
        <v/>
      </c>
      <c r="C64" s="113">
        <f>(Table535[[#This Row],[New Orders - Nondefense Capital Goods Excluding Aircraft]]-B63)/B63</f>
        <v/>
      </c>
    </row>
    <row r="65">
      <c r="A65" s="74" t="n">
        <v>35431</v>
      </c>
      <c r="B65" s="75">
        <f>VLOOKUP(A65,Database!A:M,MATCH($A$1,Database!$A$1:$M$1,),)</f>
        <v/>
      </c>
      <c r="C65" s="113">
        <f>(Table535[[#This Row],[New Orders - Nondefense Capital Goods Excluding Aircraft]]-B64)/B64</f>
        <v/>
      </c>
    </row>
    <row r="66">
      <c r="A66" s="74" t="n">
        <v>35462</v>
      </c>
      <c r="B66" s="75">
        <f>VLOOKUP(A66,Database!A:M,MATCH($A$1,Database!$A$1:$M$1,),)</f>
        <v/>
      </c>
      <c r="C66" s="113">
        <f>(Table535[[#This Row],[New Orders - Nondefense Capital Goods Excluding Aircraft]]-B65)/B65</f>
        <v/>
      </c>
    </row>
    <row r="67">
      <c r="A67" s="74" t="n">
        <v>35490</v>
      </c>
      <c r="B67" s="75">
        <f>VLOOKUP(A67,Database!A:M,MATCH($A$1,Database!$A$1:$M$1,),)</f>
        <v/>
      </c>
      <c r="C67" s="113">
        <f>(Table535[[#This Row],[New Orders - Nondefense Capital Goods Excluding Aircraft]]-B66)/B66</f>
        <v/>
      </c>
    </row>
    <row r="68">
      <c r="A68" s="74" t="n">
        <v>35521</v>
      </c>
      <c r="B68" s="75">
        <f>VLOOKUP(A68,Database!A:M,MATCH($A$1,Database!$A$1:$M$1,),)</f>
        <v/>
      </c>
      <c r="C68" s="113">
        <f>(Table535[[#This Row],[New Orders - Nondefense Capital Goods Excluding Aircraft]]-B67)/B67</f>
        <v/>
      </c>
    </row>
    <row r="69">
      <c r="A69" s="74" t="n">
        <v>35551</v>
      </c>
      <c r="B69" s="75">
        <f>VLOOKUP(A69,Database!A:M,MATCH($A$1,Database!$A$1:$M$1,),)</f>
        <v/>
      </c>
      <c r="C69" s="113">
        <f>(Table535[[#This Row],[New Orders - Nondefense Capital Goods Excluding Aircraft]]-B68)/B68</f>
        <v/>
      </c>
    </row>
    <row r="70">
      <c r="A70" s="74" t="n">
        <v>35582</v>
      </c>
      <c r="B70" s="75">
        <f>VLOOKUP(A70,Database!A:M,MATCH($A$1,Database!$A$1:$M$1,),)</f>
        <v/>
      </c>
      <c r="C70" s="113">
        <f>(Table535[[#This Row],[New Orders - Nondefense Capital Goods Excluding Aircraft]]-B69)/B69</f>
        <v/>
      </c>
    </row>
    <row r="71">
      <c r="A71" s="74" t="n">
        <v>35612</v>
      </c>
      <c r="B71" s="75">
        <f>VLOOKUP(A71,Database!A:M,MATCH($A$1,Database!$A$1:$M$1,),)</f>
        <v/>
      </c>
      <c r="C71" s="113">
        <f>(Table535[[#This Row],[New Orders - Nondefense Capital Goods Excluding Aircraft]]-B70)/B70</f>
        <v/>
      </c>
    </row>
    <row r="72">
      <c r="A72" s="74" t="n">
        <v>35643</v>
      </c>
      <c r="B72" s="75">
        <f>VLOOKUP(A72,Database!A:M,MATCH($A$1,Database!$A$1:$M$1,),)</f>
        <v/>
      </c>
      <c r="C72" s="113">
        <f>(Table535[[#This Row],[New Orders - Nondefense Capital Goods Excluding Aircraft]]-B71)/B71</f>
        <v/>
      </c>
    </row>
    <row r="73">
      <c r="A73" s="74" t="n">
        <v>35674</v>
      </c>
      <c r="B73" s="75">
        <f>VLOOKUP(A73,Database!A:M,MATCH($A$1,Database!$A$1:$M$1,),)</f>
        <v/>
      </c>
      <c r="C73" s="113">
        <f>(Table535[[#This Row],[New Orders - Nondefense Capital Goods Excluding Aircraft]]-B72)/B72</f>
        <v/>
      </c>
    </row>
    <row r="74">
      <c r="A74" s="74" t="n">
        <v>35704</v>
      </c>
      <c r="B74" s="75">
        <f>VLOOKUP(A74,Database!A:M,MATCH($A$1,Database!$A$1:$M$1,),)</f>
        <v/>
      </c>
      <c r="C74" s="113">
        <f>(Table535[[#This Row],[New Orders - Nondefense Capital Goods Excluding Aircraft]]-B73)/B73</f>
        <v/>
      </c>
    </row>
    <row r="75">
      <c r="A75" s="74" t="n">
        <v>35735</v>
      </c>
      <c r="B75" s="75">
        <f>VLOOKUP(A75,Database!A:M,MATCH($A$1,Database!$A$1:$M$1,),)</f>
        <v/>
      </c>
      <c r="C75" s="113">
        <f>(Table535[[#This Row],[New Orders - Nondefense Capital Goods Excluding Aircraft]]-B74)/B74</f>
        <v/>
      </c>
    </row>
    <row r="76">
      <c r="A76" s="74" t="n">
        <v>35765</v>
      </c>
      <c r="B76" s="75">
        <f>VLOOKUP(A76,Database!A:M,MATCH($A$1,Database!$A$1:$M$1,),)</f>
        <v/>
      </c>
      <c r="C76" s="113">
        <f>(Table535[[#This Row],[New Orders - Nondefense Capital Goods Excluding Aircraft]]-B75)/B75</f>
        <v/>
      </c>
    </row>
    <row r="77">
      <c r="A77" s="74" t="n">
        <v>35796</v>
      </c>
      <c r="B77" s="75">
        <f>VLOOKUP(A77,Database!A:M,MATCH($A$1,Database!$A$1:$M$1,),)</f>
        <v/>
      </c>
      <c r="C77" s="113">
        <f>(Table535[[#This Row],[New Orders - Nondefense Capital Goods Excluding Aircraft]]-B76)/B76</f>
        <v/>
      </c>
    </row>
    <row r="78">
      <c r="A78" s="74" t="n">
        <v>35827</v>
      </c>
      <c r="B78" s="75">
        <f>VLOOKUP(A78,Database!A:M,MATCH($A$1,Database!$A$1:$M$1,),)</f>
        <v/>
      </c>
      <c r="C78" s="113">
        <f>(Table535[[#This Row],[New Orders - Nondefense Capital Goods Excluding Aircraft]]-B77)/B77</f>
        <v/>
      </c>
    </row>
    <row r="79">
      <c r="A79" s="74" t="n">
        <v>35855</v>
      </c>
      <c r="B79" s="75">
        <f>VLOOKUP(A79,Database!A:M,MATCH($A$1,Database!$A$1:$M$1,),)</f>
        <v/>
      </c>
      <c r="C79" s="113">
        <f>(Table535[[#This Row],[New Orders - Nondefense Capital Goods Excluding Aircraft]]-B78)/B78</f>
        <v/>
      </c>
    </row>
    <row r="80">
      <c r="A80" s="74" t="n">
        <v>35886</v>
      </c>
      <c r="B80" s="75">
        <f>VLOOKUP(A80,Database!A:M,MATCH($A$1,Database!$A$1:$M$1,),)</f>
        <v/>
      </c>
      <c r="C80" s="113">
        <f>(Table535[[#This Row],[New Orders - Nondefense Capital Goods Excluding Aircraft]]-B79)/B79</f>
        <v/>
      </c>
    </row>
    <row r="81">
      <c r="A81" s="74" t="n">
        <v>35916</v>
      </c>
      <c r="B81" s="75">
        <f>VLOOKUP(A81,Database!A:M,MATCH($A$1,Database!$A$1:$M$1,),)</f>
        <v/>
      </c>
      <c r="C81" s="113">
        <f>(Table535[[#This Row],[New Orders - Nondefense Capital Goods Excluding Aircraft]]-B80)/B80</f>
        <v/>
      </c>
    </row>
    <row r="82">
      <c r="A82" s="74" t="n">
        <v>35947</v>
      </c>
      <c r="B82" s="75">
        <f>VLOOKUP(A82,Database!A:M,MATCH($A$1,Database!$A$1:$M$1,),)</f>
        <v/>
      </c>
      <c r="C82" s="113">
        <f>(Table535[[#This Row],[New Orders - Nondefense Capital Goods Excluding Aircraft]]-B81)/B81</f>
        <v/>
      </c>
    </row>
    <row r="83">
      <c r="A83" s="74" t="n">
        <v>35977</v>
      </c>
      <c r="B83" s="75">
        <f>VLOOKUP(A83,Database!A:M,MATCH($A$1,Database!$A$1:$M$1,),)</f>
        <v/>
      </c>
      <c r="C83" s="113">
        <f>(Table535[[#This Row],[New Orders - Nondefense Capital Goods Excluding Aircraft]]-B82)/B82</f>
        <v/>
      </c>
    </row>
    <row r="84">
      <c r="A84" s="74" t="n">
        <v>36008</v>
      </c>
      <c r="B84" s="75">
        <f>VLOOKUP(A84,Database!A:M,MATCH($A$1,Database!$A$1:$M$1,),)</f>
        <v/>
      </c>
      <c r="C84" s="113">
        <f>(Table535[[#This Row],[New Orders - Nondefense Capital Goods Excluding Aircraft]]-B83)/B83</f>
        <v/>
      </c>
    </row>
    <row r="85">
      <c r="A85" s="74" t="n">
        <v>36039</v>
      </c>
      <c r="B85" s="75">
        <f>VLOOKUP(A85,Database!A:M,MATCH($A$1,Database!$A$1:$M$1,),)</f>
        <v/>
      </c>
      <c r="C85" s="113">
        <f>(Table535[[#This Row],[New Orders - Nondefense Capital Goods Excluding Aircraft]]-B84)/B84</f>
        <v/>
      </c>
    </row>
    <row r="86">
      <c r="A86" s="74" t="n">
        <v>36069</v>
      </c>
      <c r="B86" s="75">
        <f>VLOOKUP(A86,Database!A:M,MATCH($A$1,Database!$A$1:$M$1,),)</f>
        <v/>
      </c>
      <c r="C86" s="113">
        <f>(Table535[[#This Row],[New Orders - Nondefense Capital Goods Excluding Aircraft]]-B85)/B85</f>
        <v/>
      </c>
    </row>
    <row r="87">
      <c r="A87" s="74" t="n">
        <v>36100</v>
      </c>
      <c r="B87" s="75">
        <f>VLOOKUP(A87,Database!A:M,MATCH($A$1,Database!$A$1:$M$1,),)</f>
        <v/>
      </c>
      <c r="C87" s="113">
        <f>(Table535[[#This Row],[New Orders - Nondefense Capital Goods Excluding Aircraft]]-B86)/B86</f>
        <v/>
      </c>
    </row>
    <row r="88">
      <c r="A88" s="74" t="n">
        <v>36130</v>
      </c>
      <c r="B88" s="75">
        <f>VLOOKUP(A88,Database!A:M,MATCH($A$1,Database!$A$1:$M$1,),)</f>
        <v/>
      </c>
      <c r="C88" s="113">
        <f>(Table535[[#This Row],[New Orders - Nondefense Capital Goods Excluding Aircraft]]-B87)/B87</f>
        <v/>
      </c>
    </row>
    <row r="89">
      <c r="A89" s="74" t="n">
        <v>36161</v>
      </c>
      <c r="B89" s="75">
        <f>VLOOKUP(A89,Database!A:M,MATCH($A$1,Database!$A$1:$M$1,),)</f>
        <v/>
      </c>
      <c r="C89" s="113">
        <f>(Table535[[#This Row],[New Orders - Nondefense Capital Goods Excluding Aircraft]]-B88)/B88</f>
        <v/>
      </c>
    </row>
    <row r="90">
      <c r="A90" s="74" t="n">
        <v>36192</v>
      </c>
      <c r="B90" s="75">
        <f>VLOOKUP(A90,Database!A:M,MATCH($A$1,Database!$A$1:$M$1,),)</f>
        <v/>
      </c>
      <c r="C90" s="113">
        <f>(Table535[[#This Row],[New Orders - Nondefense Capital Goods Excluding Aircraft]]-B89)/B89</f>
        <v/>
      </c>
    </row>
    <row r="91">
      <c r="A91" s="74" t="n">
        <v>36220</v>
      </c>
      <c r="B91" s="75">
        <f>VLOOKUP(A91,Database!A:M,MATCH($A$1,Database!$A$1:$M$1,),)</f>
        <v/>
      </c>
      <c r="C91" s="113">
        <f>(Table535[[#This Row],[New Orders - Nondefense Capital Goods Excluding Aircraft]]-B90)/B90</f>
        <v/>
      </c>
    </row>
    <row r="92">
      <c r="A92" s="74" t="n">
        <v>36251</v>
      </c>
      <c r="B92" s="75">
        <f>VLOOKUP(A92,Database!A:M,MATCH($A$1,Database!$A$1:$M$1,),)</f>
        <v/>
      </c>
      <c r="C92" s="113">
        <f>(Table535[[#This Row],[New Orders - Nondefense Capital Goods Excluding Aircraft]]-B91)/B91</f>
        <v/>
      </c>
    </row>
    <row r="93">
      <c r="A93" s="74" t="n">
        <v>36281</v>
      </c>
      <c r="B93" s="75">
        <f>VLOOKUP(A93,Database!A:M,MATCH($A$1,Database!$A$1:$M$1,),)</f>
        <v/>
      </c>
      <c r="C93" s="113">
        <f>(Table535[[#This Row],[New Orders - Nondefense Capital Goods Excluding Aircraft]]-B92)/B92</f>
        <v/>
      </c>
    </row>
    <row r="94">
      <c r="A94" s="74" t="n">
        <v>36312</v>
      </c>
      <c r="B94" s="75">
        <f>VLOOKUP(A94,Database!A:M,MATCH($A$1,Database!$A$1:$M$1,),)</f>
        <v/>
      </c>
      <c r="C94" s="113">
        <f>(Table535[[#This Row],[New Orders - Nondefense Capital Goods Excluding Aircraft]]-B93)/B93</f>
        <v/>
      </c>
    </row>
    <row r="95">
      <c r="A95" s="74" t="n">
        <v>36342</v>
      </c>
      <c r="B95" s="75">
        <f>VLOOKUP(A95,Database!A:M,MATCH($A$1,Database!$A$1:$M$1,),)</f>
        <v/>
      </c>
      <c r="C95" s="113">
        <f>(Table535[[#This Row],[New Orders - Nondefense Capital Goods Excluding Aircraft]]-B94)/B94</f>
        <v/>
      </c>
    </row>
    <row r="96">
      <c r="A96" s="74" t="n">
        <v>36373</v>
      </c>
      <c r="B96" s="75">
        <f>VLOOKUP(A96,Database!A:M,MATCH($A$1,Database!$A$1:$M$1,),)</f>
        <v/>
      </c>
      <c r="C96" s="113">
        <f>(Table535[[#This Row],[New Orders - Nondefense Capital Goods Excluding Aircraft]]-B95)/B95</f>
        <v/>
      </c>
    </row>
    <row r="97">
      <c r="A97" s="74" t="n">
        <v>36404</v>
      </c>
      <c r="B97" s="75">
        <f>VLOOKUP(A97,Database!A:M,MATCH($A$1,Database!$A$1:$M$1,),)</f>
        <v/>
      </c>
      <c r="C97" s="113">
        <f>(Table535[[#This Row],[New Orders - Nondefense Capital Goods Excluding Aircraft]]-B96)/B96</f>
        <v/>
      </c>
    </row>
    <row r="98">
      <c r="A98" s="74" t="n">
        <v>36434</v>
      </c>
      <c r="B98" s="75">
        <f>VLOOKUP(A98,Database!A:M,MATCH($A$1,Database!$A$1:$M$1,),)</f>
        <v/>
      </c>
      <c r="C98" s="113">
        <f>(Table535[[#This Row],[New Orders - Nondefense Capital Goods Excluding Aircraft]]-B97)/B97</f>
        <v/>
      </c>
    </row>
    <row r="99">
      <c r="A99" s="74" t="n">
        <v>36465</v>
      </c>
      <c r="B99" s="75">
        <f>VLOOKUP(A99,Database!A:M,MATCH($A$1,Database!$A$1:$M$1,),)</f>
        <v/>
      </c>
      <c r="C99" s="113">
        <f>(Table535[[#This Row],[New Orders - Nondefense Capital Goods Excluding Aircraft]]-B98)/B98</f>
        <v/>
      </c>
    </row>
    <row r="100">
      <c r="A100" s="74" t="n">
        <v>36495</v>
      </c>
      <c r="B100" s="75">
        <f>VLOOKUP(A100,Database!A:M,MATCH($A$1,Database!$A$1:$M$1,),)</f>
        <v/>
      </c>
      <c r="C100" s="113">
        <f>(Table535[[#This Row],[New Orders - Nondefense Capital Goods Excluding Aircraft]]-B99)/B99</f>
        <v/>
      </c>
    </row>
    <row r="101">
      <c r="A101" s="74" t="n">
        <v>36526</v>
      </c>
      <c r="B101" s="75">
        <f>VLOOKUP(A101,Database!A:M,MATCH($A$1,Database!$A$1:$M$1,),)</f>
        <v/>
      </c>
      <c r="C101" s="113">
        <f>(Table535[[#This Row],[New Orders - Nondefense Capital Goods Excluding Aircraft]]-B100)/B100</f>
        <v/>
      </c>
    </row>
    <row r="102">
      <c r="A102" s="74" t="n">
        <v>36557</v>
      </c>
      <c r="B102" s="75">
        <f>VLOOKUP(A102,Database!A:M,MATCH($A$1,Database!$A$1:$M$1,),)</f>
        <v/>
      </c>
      <c r="C102" s="113">
        <f>(Table535[[#This Row],[New Orders - Nondefense Capital Goods Excluding Aircraft]]-B101)/B101</f>
        <v/>
      </c>
    </row>
    <row r="103">
      <c r="A103" s="74" t="n">
        <v>36586</v>
      </c>
      <c r="B103" s="75">
        <f>VLOOKUP(A103,Database!A:M,MATCH($A$1,Database!$A$1:$M$1,),)</f>
        <v/>
      </c>
      <c r="C103" s="113">
        <f>(Table535[[#This Row],[New Orders - Nondefense Capital Goods Excluding Aircraft]]-B102)/B102</f>
        <v/>
      </c>
    </row>
    <row r="104">
      <c r="A104" s="74" t="n">
        <v>36617</v>
      </c>
      <c r="B104" s="75">
        <f>VLOOKUP(A104,Database!A:M,MATCH($A$1,Database!$A$1:$M$1,),)</f>
        <v/>
      </c>
      <c r="C104" s="113">
        <f>(Table535[[#This Row],[New Orders - Nondefense Capital Goods Excluding Aircraft]]-B103)/B103</f>
        <v/>
      </c>
    </row>
    <row r="105">
      <c r="A105" s="74" t="n">
        <v>36647</v>
      </c>
      <c r="B105" s="75">
        <f>VLOOKUP(A105,Database!A:M,MATCH($A$1,Database!$A$1:$M$1,),)</f>
        <v/>
      </c>
      <c r="C105" s="113">
        <f>(Table535[[#This Row],[New Orders - Nondefense Capital Goods Excluding Aircraft]]-B104)/B104</f>
        <v/>
      </c>
    </row>
    <row r="106">
      <c r="A106" s="74" t="n">
        <v>36678</v>
      </c>
      <c r="B106" s="75">
        <f>VLOOKUP(A106,Database!A:M,MATCH($A$1,Database!$A$1:$M$1,),)</f>
        <v/>
      </c>
      <c r="C106" s="113">
        <f>(Table535[[#This Row],[New Orders - Nondefense Capital Goods Excluding Aircraft]]-B105)/B105</f>
        <v/>
      </c>
    </row>
    <row r="107">
      <c r="A107" s="74" t="n">
        <v>36708</v>
      </c>
      <c r="B107" s="75">
        <f>VLOOKUP(A107,Database!A:M,MATCH($A$1,Database!$A$1:$M$1,),)</f>
        <v/>
      </c>
      <c r="C107" s="113">
        <f>(Table535[[#This Row],[New Orders - Nondefense Capital Goods Excluding Aircraft]]-B106)/B106</f>
        <v/>
      </c>
    </row>
    <row r="108">
      <c r="A108" s="74" t="n">
        <v>36739</v>
      </c>
      <c r="B108" s="75">
        <f>VLOOKUP(A108,Database!A:M,MATCH($A$1,Database!$A$1:$M$1,),)</f>
        <v/>
      </c>
      <c r="C108" s="113">
        <f>(Table535[[#This Row],[New Orders - Nondefense Capital Goods Excluding Aircraft]]-B107)/B107</f>
        <v/>
      </c>
    </row>
    <row r="109">
      <c r="A109" s="74" t="n">
        <v>36770</v>
      </c>
      <c r="B109" s="75">
        <f>VLOOKUP(A109,Database!A:M,MATCH($A$1,Database!$A$1:$M$1,),)</f>
        <v/>
      </c>
      <c r="C109" s="113">
        <f>(Table535[[#This Row],[New Orders - Nondefense Capital Goods Excluding Aircraft]]-B108)/B108</f>
        <v/>
      </c>
    </row>
    <row r="110">
      <c r="A110" s="74" t="n">
        <v>36800</v>
      </c>
      <c r="B110" s="75">
        <f>VLOOKUP(A110,Database!A:M,MATCH($A$1,Database!$A$1:$M$1,),)</f>
        <v/>
      </c>
      <c r="C110" s="113">
        <f>(Table535[[#This Row],[New Orders - Nondefense Capital Goods Excluding Aircraft]]-B109)/B109</f>
        <v/>
      </c>
    </row>
    <row r="111">
      <c r="A111" s="74" t="n">
        <v>36831</v>
      </c>
      <c r="B111" s="75">
        <f>VLOOKUP(A111,Database!A:M,MATCH($A$1,Database!$A$1:$M$1,),)</f>
        <v/>
      </c>
      <c r="C111" s="113">
        <f>(Table535[[#This Row],[New Orders - Nondefense Capital Goods Excluding Aircraft]]-B110)/B110</f>
        <v/>
      </c>
    </row>
    <row r="112">
      <c r="A112" s="74" t="n">
        <v>36861</v>
      </c>
      <c r="B112" s="75">
        <f>VLOOKUP(A112,Database!A:M,MATCH($A$1,Database!$A$1:$M$1,),)</f>
        <v/>
      </c>
      <c r="C112" s="113">
        <f>(Table535[[#This Row],[New Orders - Nondefense Capital Goods Excluding Aircraft]]-B111)/B111</f>
        <v/>
      </c>
    </row>
    <row r="113">
      <c r="A113" s="74" t="n">
        <v>36892</v>
      </c>
      <c r="B113" s="75">
        <f>VLOOKUP(A113,Database!A:M,MATCH($A$1,Database!$A$1:$M$1,),)</f>
        <v/>
      </c>
      <c r="C113" s="113">
        <f>(Table535[[#This Row],[New Orders - Nondefense Capital Goods Excluding Aircraft]]-B112)/B112</f>
        <v/>
      </c>
    </row>
    <row r="114">
      <c r="A114" s="74" t="n">
        <v>36923</v>
      </c>
      <c r="B114" s="75">
        <f>VLOOKUP(A114,Database!A:M,MATCH($A$1,Database!$A$1:$M$1,),)</f>
        <v/>
      </c>
      <c r="C114" s="113">
        <f>(Table535[[#This Row],[New Orders - Nondefense Capital Goods Excluding Aircraft]]-B113)/B113</f>
        <v/>
      </c>
    </row>
    <row r="115">
      <c r="A115" s="74" t="n">
        <v>36951</v>
      </c>
      <c r="B115" s="75">
        <f>VLOOKUP(A115,Database!A:M,MATCH($A$1,Database!$A$1:$M$1,),)</f>
        <v/>
      </c>
      <c r="C115" s="113">
        <f>(Table535[[#This Row],[New Orders - Nondefense Capital Goods Excluding Aircraft]]-B114)/B114</f>
        <v/>
      </c>
    </row>
    <row r="116">
      <c r="A116" s="74" t="n">
        <v>36982</v>
      </c>
      <c r="B116" s="75">
        <f>VLOOKUP(A116,Database!A:M,MATCH($A$1,Database!$A$1:$M$1,),)</f>
        <v/>
      </c>
      <c r="C116" s="113">
        <f>(Table535[[#This Row],[New Orders - Nondefense Capital Goods Excluding Aircraft]]-B115)/B115</f>
        <v/>
      </c>
    </row>
    <row r="117">
      <c r="A117" s="74" t="n">
        <v>37012</v>
      </c>
      <c r="B117" s="75">
        <f>VLOOKUP(A117,Database!A:M,MATCH($A$1,Database!$A$1:$M$1,),)</f>
        <v/>
      </c>
      <c r="C117" s="113">
        <f>(Table535[[#This Row],[New Orders - Nondefense Capital Goods Excluding Aircraft]]-B116)/B116</f>
        <v/>
      </c>
    </row>
    <row r="118">
      <c r="A118" s="74" t="n">
        <v>37043</v>
      </c>
      <c r="B118" s="75">
        <f>VLOOKUP(A118,Database!A:M,MATCH($A$1,Database!$A$1:$M$1,),)</f>
        <v/>
      </c>
      <c r="C118" s="113">
        <f>(Table535[[#This Row],[New Orders - Nondefense Capital Goods Excluding Aircraft]]-B117)/B117</f>
        <v/>
      </c>
    </row>
    <row r="119">
      <c r="A119" s="74" t="n">
        <v>37073</v>
      </c>
      <c r="B119" s="75">
        <f>VLOOKUP(A119,Database!A:M,MATCH($A$1,Database!$A$1:$M$1,),)</f>
        <v/>
      </c>
      <c r="C119" s="113">
        <f>(Table535[[#This Row],[New Orders - Nondefense Capital Goods Excluding Aircraft]]-B118)/B118</f>
        <v/>
      </c>
    </row>
    <row r="120">
      <c r="A120" s="74" t="n">
        <v>37104</v>
      </c>
      <c r="B120" s="75">
        <f>VLOOKUP(A120,Database!A:M,MATCH($A$1,Database!$A$1:$M$1,),)</f>
        <v/>
      </c>
      <c r="C120" s="113">
        <f>(Table535[[#This Row],[New Orders - Nondefense Capital Goods Excluding Aircraft]]-B119)/B119</f>
        <v/>
      </c>
    </row>
    <row r="121">
      <c r="A121" s="74" t="n">
        <v>37135</v>
      </c>
      <c r="B121" s="75">
        <f>VLOOKUP(A121,Database!A:M,MATCH($A$1,Database!$A$1:$M$1,),)</f>
        <v/>
      </c>
      <c r="C121" s="113">
        <f>(Table535[[#This Row],[New Orders - Nondefense Capital Goods Excluding Aircraft]]-B120)/B120</f>
        <v/>
      </c>
    </row>
    <row r="122">
      <c r="A122" s="74" t="n">
        <v>37165</v>
      </c>
      <c r="B122" s="75">
        <f>VLOOKUP(A122,Database!A:M,MATCH($A$1,Database!$A$1:$M$1,),)</f>
        <v/>
      </c>
      <c r="C122" s="113">
        <f>(Table535[[#This Row],[New Orders - Nondefense Capital Goods Excluding Aircraft]]-B121)/B121</f>
        <v/>
      </c>
    </row>
    <row r="123">
      <c r="A123" s="74" t="n">
        <v>37196</v>
      </c>
      <c r="B123" s="75">
        <f>VLOOKUP(A123,Database!A:M,MATCH($A$1,Database!$A$1:$M$1,),)</f>
        <v/>
      </c>
      <c r="C123" s="113">
        <f>(Table535[[#This Row],[New Orders - Nondefense Capital Goods Excluding Aircraft]]-B122)/B122</f>
        <v/>
      </c>
    </row>
    <row r="124">
      <c r="A124" s="74" t="n">
        <v>37226</v>
      </c>
      <c r="B124" s="75">
        <f>VLOOKUP(A124,Database!A:M,MATCH($A$1,Database!$A$1:$M$1,),)</f>
        <v/>
      </c>
      <c r="C124" s="113">
        <f>(Table535[[#This Row],[New Orders - Nondefense Capital Goods Excluding Aircraft]]-B123)/B123</f>
        <v/>
      </c>
    </row>
    <row r="125">
      <c r="A125" s="74" t="n">
        <v>37257</v>
      </c>
      <c r="B125" s="75">
        <f>VLOOKUP(A125,Database!A:M,MATCH($A$1,Database!$A$1:$M$1,),)</f>
        <v/>
      </c>
      <c r="C125" s="113">
        <f>(Table535[[#This Row],[New Orders - Nondefense Capital Goods Excluding Aircraft]]-B124)/B124</f>
        <v/>
      </c>
    </row>
    <row r="126">
      <c r="A126" s="74" t="n">
        <v>37288</v>
      </c>
      <c r="B126" s="75">
        <f>VLOOKUP(A126,Database!A:M,MATCH($A$1,Database!$A$1:$M$1,),)</f>
        <v/>
      </c>
      <c r="C126" s="113">
        <f>(Table535[[#This Row],[New Orders - Nondefense Capital Goods Excluding Aircraft]]-B125)/B125</f>
        <v/>
      </c>
    </row>
    <row r="127">
      <c r="A127" s="74" t="n">
        <v>37316</v>
      </c>
      <c r="B127" s="75">
        <f>VLOOKUP(A127,Database!A:M,MATCH($A$1,Database!$A$1:$M$1,),)</f>
        <v/>
      </c>
      <c r="C127" s="113">
        <f>(Table535[[#This Row],[New Orders - Nondefense Capital Goods Excluding Aircraft]]-B126)/B126</f>
        <v/>
      </c>
    </row>
    <row r="128">
      <c r="A128" s="74" t="n">
        <v>37347</v>
      </c>
      <c r="B128" s="75">
        <f>VLOOKUP(A128,Database!A:M,MATCH($A$1,Database!$A$1:$M$1,),)</f>
        <v/>
      </c>
      <c r="C128" s="113">
        <f>(Table535[[#This Row],[New Orders - Nondefense Capital Goods Excluding Aircraft]]-B127)/B127</f>
        <v/>
      </c>
    </row>
    <row r="129">
      <c r="A129" s="74" t="n">
        <v>37377</v>
      </c>
      <c r="B129" s="75">
        <f>VLOOKUP(A129,Database!A:M,MATCH($A$1,Database!$A$1:$M$1,),)</f>
        <v/>
      </c>
      <c r="C129" s="113">
        <f>(Table535[[#This Row],[New Orders - Nondefense Capital Goods Excluding Aircraft]]-B128)/B128</f>
        <v/>
      </c>
    </row>
    <row r="130">
      <c r="A130" s="74" t="n">
        <v>37408</v>
      </c>
      <c r="B130" s="75">
        <f>VLOOKUP(A130,Database!A:M,MATCH($A$1,Database!$A$1:$M$1,),)</f>
        <v/>
      </c>
      <c r="C130" s="113">
        <f>(Table535[[#This Row],[New Orders - Nondefense Capital Goods Excluding Aircraft]]-B129)/B129</f>
        <v/>
      </c>
    </row>
    <row r="131">
      <c r="A131" s="74" t="n">
        <v>37438</v>
      </c>
      <c r="B131" s="75">
        <f>VLOOKUP(A131,Database!A:M,MATCH($A$1,Database!$A$1:$M$1,),)</f>
        <v/>
      </c>
      <c r="C131" s="113">
        <f>(Table535[[#This Row],[New Orders - Nondefense Capital Goods Excluding Aircraft]]-B130)/B130</f>
        <v/>
      </c>
    </row>
    <row r="132">
      <c r="A132" s="74" t="n">
        <v>37469</v>
      </c>
      <c r="B132" s="75">
        <f>VLOOKUP(A132,Database!A:M,MATCH($A$1,Database!$A$1:$M$1,),)</f>
        <v/>
      </c>
      <c r="C132" s="113">
        <f>(Table535[[#This Row],[New Orders - Nondefense Capital Goods Excluding Aircraft]]-B131)/B131</f>
        <v/>
      </c>
    </row>
    <row r="133">
      <c r="A133" s="74" t="n">
        <v>37500</v>
      </c>
      <c r="B133" s="75">
        <f>VLOOKUP(A133,Database!A:M,MATCH($A$1,Database!$A$1:$M$1,),)</f>
        <v/>
      </c>
      <c r="C133" s="113">
        <f>(Table535[[#This Row],[New Orders - Nondefense Capital Goods Excluding Aircraft]]-B132)/B132</f>
        <v/>
      </c>
    </row>
    <row r="134">
      <c r="A134" s="74" t="n">
        <v>37530</v>
      </c>
      <c r="B134" s="75">
        <f>VLOOKUP(A134,Database!A:M,MATCH($A$1,Database!$A$1:$M$1,),)</f>
        <v/>
      </c>
      <c r="C134" s="113">
        <f>(Table535[[#This Row],[New Orders - Nondefense Capital Goods Excluding Aircraft]]-B133)/B133</f>
        <v/>
      </c>
    </row>
    <row r="135">
      <c r="A135" s="74" t="n">
        <v>37561</v>
      </c>
      <c r="B135" s="75">
        <f>VLOOKUP(A135,Database!A:M,MATCH($A$1,Database!$A$1:$M$1,),)</f>
        <v/>
      </c>
      <c r="C135" s="113">
        <f>(Table535[[#This Row],[New Orders - Nondefense Capital Goods Excluding Aircraft]]-B134)/B134</f>
        <v/>
      </c>
    </row>
    <row r="136">
      <c r="A136" s="74" t="n">
        <v>37591</v>
      </c>
      <c r="B136" s="75">
        <f>VLOOKUP(A136,Database!A:M,MATCH($A$1,Database!$A$1:$M$1,),)</f>
        <v/>
      </c>
      <c r="C136" s="113">
        <f>(Table535[[#This Row],[New Orders - Nondefense Capital Goods Excluding Aircraft]]-B135)/B135</f>
        <v/>
      </c>
    </row>
    <row r="137">
      <c r="A137" s="74" t="n">
        <v>37622</v>
      </c>
      <c r="B137" s="75">
        <f>VLOOKUP(A137,Database!A:M,MATCH($A$1,Database!$A$1:$M$1,),)</f>
        <v/>
      </c>
      <c r="C137" s="113">
        <f>(Table535[[#This Row],[New Orders - Nondefense Capital Goods Excluding Aircraft]]-B136)/B136</f>
        <v/>
      </c>
    </row>
    <row r="138">
      <c r="A138" s="74" t="n">
        <v>37653</v>
      </c>
      <c r="B138" s="75">
        <f>VLOOKUP(A138,Database!A:M,MATCH($A$1,Database!$A$1:$M$1,),)</f>
        <v/>
      </c>
      <c r="C138" s="113">
        <f>(Table535[[#This Row],[New Orders - Nondefense Capital Goods Excluding Aircraft]]-B137)/B137</f>
        <v/>
      </c>
    </row>
    <row r="139">
      <c r="A139" s="74" t="n">
        <v>37681</v>
      </c>
      <c r="B139" s="75">
        <f>VLOOKUP(A139,Database!A:M,MATCH($A$1,Database!$A$1:$M$1,),)</f>
        <v/>
      </c>
      <c r="C139" s="113">
        <f>(Table535[[#This Row],[New Orders - Nondefense Capital Goods Excluding Aircraft]]-B138)/B138</f>
        <v/>
      </c>
    </row>
    <row r="140">
      <c r="A140" s="74" t="n">
        <v>37712</v>
      </c>
      <c r="B140" s="75">
        <f>VLOOKUP(A140,Database!A:M,MATCH($A$1,Database!$A$1:$M$1,),)</f>
        <v/>
      </c>
      <c r="C140" s="113">
        <f>(Table535[[#This Row],[New Orders - Nondefense Capital Goods Excluding Aircraft]]-B139)/B139</f>
        <v/>
      </c>
    </row>
    <row r="141">
      <c r="A141" s="74" t="n">
        <v>37742</v>
      </c>
      <c r="B141" s="75">
        <f>VLOOKUP(A141,Database!A:M,MATCH($A$1,Database!$A$1:$M$1,),)</f>
        <v/>
      </c>
      <c r="C141" s="113">
        <f>(Table535[[#This Row],[New Orders - Nondefense Capital Goods Excluding Aircraft]]-B140)/B140</f>
        <v/>
      </c>
    </row>
    <row r="142">
      <c r="A142" s="74" t="n">
        <v>37773</v>
      </c>
      <c r="B142" s="75">
        <f>VLOOKUP(A142,Database!A:M,MATCH($A$1,Database!$A$1:$M$1,),)</f>
        <v/>
      </c>
      <c r="C142" s="113">
        <f>(Table535[[#This Row],[New Orders - Nondefense Capital Goods Excluding Aircraft]]-B141)/B141</f>
        <v/>
      </c>
    </row>
    <row r="143">
      <c r="A143" s="74" t="n">
        <v>37803</v>
      </c>
      <c r="B143" s="75">
        <f>VLOOKUP(A143,Database!A:M,MATCH($A$1,Database!$A$1:$M$1,),)</f>
        <v/>
      </c>
      <c r="C143" s="113">
        <f>(Table535[[#This Row],[New Orders - Nondefense Capital Goods Excluding Aircraft]]-B142)/B142</f>
        <v/>
      </c>
    </row>
    <row r="144">
      <c r="A144" s="74" t="n">
        <v>37834</v>
      </c>
      <c r="B144" s="75">
        <f>VLOOKUP(A144,Database!A:M,MATCH($A$1,Database!$A$1:$M$1,),)</f>
        <v/>
      </c>
      <c r="C144" s="113">
        <f>(Table535[[#This Row],[New Orders - Nondefense Capital Goods Excluding Aircraft]]-B143)/B143</f>
        <v/>
      </c>
    </row>
    <row r="145">
      <c r="A145" s="74" t="n">
        <v>37865</v>
      </c>
      <c r="B145" s="75">
        <f>VLOOKUP(A145,Database!A:M,MATCH($A$1,Database!$A$1:$M$1,),)</f>
        <v/>
      </c>
      <c r="C145" s="113">
        <f>(Table535[[#This Row],[New Orders - Nondefense Capital Goods Excluding Aircraft]]-B144)/B144</f>
        <v/>
      </c>
    </row>
    <row r="146">
      <c r="A146" s="74" t="n">
        <v>37895</v>
      </c>
      <c r="B146" s="75">
        <f>VLOOKUP(A146,Database!A:M,MATCH($A$1,Database!$A$1:$M$1,),)</f>
        <v/>
      </c>
      <c r="C146" s="113">
        <f>(Table535[[#This Row],[New Orders - Nondefense Capital Goods Excluding Aircraft]]-B145)/B145</f>
        <v/>
      </c>
    </row>
    <row r="147">
      <c r="A147" s="74" t="n">
        <v>37926</v>
      </c>
      <c r="B147" s="75">
        <f>VLOOKUP(A147,Database!A:M,MATCH($A$1,Database!$A$1:$M$1,),)</f>
        <v/>
      </c>
      <c r="C147" s="113">
        <f>(Table535[[#This Row],[New Orders - Nondefense Capital Goods Excluding Aircraft]]-B146)/B146</f>
        <v/>
      </c>
    </row>
    <row r="148">
      <c r="A148" s="74" t="n">
        <v>37956</v>
      </c>
      <c r="B148" s="75">
        <f>VLOOKUP(A148,Database!A:M,MATCH($A$1,Database!$A$1:$M$1,),)</f>
        <v/>
      </c>
      <c r="C148" s="113">
        <f>(Table535[[#This Row],[New Orders - Nondefense Capital Goods Excluding Aircraft]]-B147)/B147</f>
        <v/>
      </c>
    </row>
    <row r="149">
      <c r="A149" s="74" t="n">
        <v>37987</v>
      </c>
      <c r="B149" s="75">
        <f>VLOOKUP(A149,Database!A:M,MATCH($A$1,Database!$A$1:$M$1,),)</f>
        <v/>
      </c>
      <c r="C149" s="113">
        <f>(Table535[[#This Row],[New Orders - Nondefense Capital Goods Excluding Aircraft]]-B148)/B148</f>
        <v/>
      </c>
    </row>
    <row r="150">
      <c r="A150" s="74" t="n">
        <v>38018</v>
      </c>
      <c r="B150" s="75">
        <f>VLOOKUP(A150,Database!A:M,MATCH($A$1,Database!$A$1:$M$1,),)</f>
        <v/>
      </c>
      <c r="C150" s="113">
        <f>(Table535[[#This Row],[New Orders - Nondefense Capital Goods Excluding Aircraft]]-B149)/B149</f>
        <v/>
      </c>
    </row>
    <row r="151">
      <c r="A151" s="74" t="n">
        <v>38047</v>
      </c>
      <c r="B151" s="75">
        <f>VLOOKUP(A151,Database!A:M,MATCH($A$1,Database!$A$1:$M$1,),)</f>
        <v/>
      </c>
      <c r="C151" s="113">
        <f>(Table535[[#This Row],[New Orders - Nondefense Capital Goods Excluding Aircraft]]-B150)/B150</f>
        <v/>
      </c>
    </row>
    <row r="152">
      <c r="A152" s="74" t="n">
        <v>38078</v>
      </c>
      <c r="B152" s="75">
        <f>VLOOKUP(A152,Database!A:M,MATCH($A$1,Database!$A$1:$M$1,),)</f>
        <v/>
      </c>
      <c r="C152" s="113">
        <f>(Table535[[#This Row],[New Orders - Nondefense Capital Goods Excluding Aircraft]]-B151)/B151</f>
        <v/>
      </c>
    </row>
    <row r="153">
      <c r="A153" s="74" t="n">
        <v>38108</v>
      </c>
      <c r="B153" s="75">
        <f>VLOOKUP(A153,Database!A:M,MATCH($A$1,Database!$A$1:$M$1,),)</f>
        <v/>
      </c>
      <c r="C153" s="113">
        <f>(Table535[[#This Row],[New Orders - Nondefense Capital Goods Excluding Aircraft]]-B152)/B152</f>
        <v/>
      </c>
    </row>
    <row r="154">
      <c r="A154" s="74" t="n">
        <v>38139</v>
      </c>
      <c r="B154" s="75">
        <f>VLOOKUP(A154,Database!A:M,MATCH($A$1,Database!$A$1:$M$1,),)</f>
        <v/>
      </c>
      <c r="C154" s="113">
        <f>(Table535[[#This Row],[New Orders - Nondefense Capital Goods Excluding Aircraft]]-B153)/B153</f>
        <v/>
      </c>
    </row>
    <row r="155">
      <c r="A155" s="74" t="n">
        <v>38169</v>
      </c>
      <c r="B155" s="75">
        <f>VLOOKUP(A155,Database!A:M,MATCH($A$1,Database!$A$1:$M$1,),)</f>
        <v/>
      </c>
      <c r="C155" s="113">
        <f>(Table535[[#This Row],[New Orders - Nondefense Capital Goods Excluding Aircraft]]-B154)/B154</f>
        <v/>
      </c>
    </row>
    <row r="156">
      <c r="A156" s="74" t="n">
        <v>38200</v>
      </c>
      <c r="B156" s="75">
        <f>VLOOKUP(A156,Database!A:M,MATCH($A$1,Database!$A$1:$M$1,),)</f>
        <v/>
      </c>
      <c r="C156" s="113">
        <f>(Table535[[#This Row],[New Orders - Nondefense Capital Goods Excluding Aircraft]]-B155)/B155</f>
        <v/>
      </c>
    </row>
    <row r="157">
      <c r="A157" s="74" t="n">
        <v>38231</v>
      </c>
      <c r="B157" s="75">
        <f>VLOOKUP(A157,Database!A:M,MATCH($A$1,Database!$A$1:$M$1,),)</f>
        <v/>
      </c>
      <c r="C157" s="113">
        <f>(Table535[[#This Row],[New Orders - Nondefense Capital Goods Excluding Aircraft]]-B156)/B156</f>
        <v/>
      </c>
    </row>
    <row r="158">
      <c r="A158" s="74" t="n">
        <v>38261</v>
      </c>
      <c r="B158" s="75">
        <f>VLOOKUP(A158,Database!A:M,MATCH($A$1,Database!$A$1:$M$1,),)</f>
        <v/>
      </c>
      <c r="C158" s="113">
        <f>(Table535[[#This Row],[New Orders - Nondefense Capital Goods Excluding Aircraft]]-B157)/B157</f>
        <v/>
      </c>
    </row>
    <row r="159">
      <c r="A159" s="74" t="n">
        <v>38292</v>
      </c>
      <c r="B159" s="75">
        <f>VLOOKUP(A159,Database!A:M,MATCH($A$1,Database!$A$1:$M$1,),)</f>
        <v/>
      </c>
      <c r="C159" s="113">
        <f>(Table535[[#This Row],[New Orders - Nondefense Capital Goods Excluding Aircraft]]-B158)/B158</f>
        <v/>
      </c>
    </row>
    <row r="160">
      <c r="A160" s="74" t="n">
        <v>38322</v>
      </c>
      <c r="B160" s="75">
        <f>VLOOKUP(A160,Database!A:M,MATCH($A$1,Database!$A$1:$M$1,),)</f>
        <v/>
      </c>
      <c r="C160" s="113">
        <f>(Table535[[#This Row],[New Orders - Nondefense Capital Goods Excluding Aircraft]]-B159)/B159</f>
        <v/>
      </c>
    </row>
    <row r="161">
      <c r="A161" s="74" t="n">
        <v>38353</v>
      </c>
      <c r="B161" s="75">
        <f>VLOOKUP(A161,Database!A:M,MATCH($A$1,Database!$A$1:$M$1,),)</f>
        <v/>
      </c>
      <c r="C161" s="113">
        <f>(Table535[[#This Row],[New Orders - Nondefense Capital Goods Excluding Aircraft]]-B160)/B160</f>
        <v/>
      </c>
    </row>
    <row r="162">
      <c r="A162" s="74" t="n">
        <v>38384</v>
      </c>
      <c r="B162" s="75">
        <f>VLOOKUP(A162,Database!A:M,MATCH($A$1,Database!$A$1:$M$1,),)</f>
        <v/>
      </c>
      <c r="C162" s="113">
        <f>(Table535[[#This Row],[New Orders - Nondefense Capital Goods Excluding Aircraft]]-B161)/B161</f>
        <v/>
      </c>
    </row>
    <row r="163">
      <c r="A163" s="74" t="n">
        <v>38412</v>
      </c>
      <c r="B163" s="75">
        <f>VLOOKUP(A163,Database!A:M,MATCH($A$1,Database!$A$1:$M$1,),)</f>
        <v/>
      </c>
      <c r="C163" s="113">
        <f>(Table535[[#This Row],[New Orders - Nondefense Capital Goods Excluding Aircraft]]-B162)/B162</f>
        <v/>
      </c>
    </row>
    <row r="164">
      <c r="A164" s="74" t="n">
        <v>38443</v>
      </c>
      <c r="B164" s="75">
        <f>VLOOKUP(A164,Database!A:M,MATCH($A$1,Database!$A$1:$M$1,),)</f>
        <v/>
      </c>
      <c r="C164" s="113">
        <f>(Table535[[#This Row],[New Orders - Nondefense Capital Goods Excluding Aircraft]]-B163)/B163</f>
        <v/>
      </c>
    </row>
    <row r="165">
      <c r="A165" s="74" t="n">
        <v>38473</v>
      </c>
      <c r="B165" s="75">
        <f>VLOOKUP(A165,Database!A:M,MATCH($A$1,Database!$A$1:$M$1,),)</f>
        <v/>
      </c>
      <c r="C165" s="113">
        <f>(Table535[[#This Row],[New Orders - Nondefense Capital Goods Excluding Aircraft]]-B164)/B164</f>
        <v/>
      </c>
    </row>
    <row r="166">
      <c r="A166" s="74" t="n">
        <v>38504</v>
      </c>
      <c r="B166" s="75">
        <f>VLOOKUP(A166,Database!A:M,MATCH($A$1,Database!$A$1:$M$1,),)</f>
        <v/>
      </c>
      <c r="C166" s="113">
        <f>(Table535[[#This Row],[New Orders - Nondefense Capital Goods Excluding Aircraft]]-B165)/B165</f>
        <v/>
      </c>
    </row>
    <row r="167">
      <c r="A167" s="74" t="n">
        <v>38534</v>
      </c>
      <c r="B167" s="75">
        <f>VLOOKUP(A167,Database!A:M,MATCH($A$1,Database!$A$1:$M$1,),)</f>
        <v/>
      </c>
      <c r="C167" s="113">
        <f>(Table535[[#This Row],[New Orders - Nondefense Capital Goods Excluding Aircraft]]-B166)/B166</f>
        <v/>
      </c>
    </row>
    <row r="168">
      <c r="A168" s="74" t="n">
        <v>38565</v>
      </c>
      <c r="B168" s="75">
        <f>VLOOKUP(A168,Database!A:M,MATCH($A$1,Database!$A$1:$M$1,),)</f>
        <v/>
      </c>
      <c r="C168" s="113">
        <f>(Table535[[#This Row],[New Orders - Nondefense Capital Goods Excluding Aircraft]]-B167)/B167</f>
        <v/>
      </c>
    </row>
    <row r="169">
      <c r="A169" s="74" t="n">
        <v>38596</v>
      </c>
      <c r="B169" s="75">
        <f>VLOOKUP(A169,Database!A:M,MATCH($A$1,Database!$A$1:$M$1,),)</f>
        <v/>
      </c>
      <c r="C169" s="113">
        <f>(Table535[[#This Row],[New Orders - Nondefense Capital Goods Excluding Aircraft]]-B168)/B168</f>
        <v/>
      </c>
    </row>
    <row r="170">
      <c r="A170" s="74" t="n">
        <v>38626</v>
      </c>
      <c r="B170" s="75">
        <f>VLOOKUP(A170,Database!A:M,MATCH($A$1,Database!$A$1:$M$1,),)</f>
        <v/>
      </c>
      <c r="C170" s="113">
        <f>(Table535[[#This Row],[New Orders - Nondefense Capital Goods Excluding Aircraft]]-B169)/B169</f>
        <v/>
      </c>
    </row>
    <row r="171">
      <c r="A171" s="74" t="n">
        <v>38657</v>
      </c>
      <c r="B171" s="75">
        <f>VLOOKUP(A171,Database!A:M,MATCH($A$1,Database!$A$1:$M$1,),)</f>
        <v/>
      </c>
      <c r="C171" s="113">
        <f>(Table535[[#This Row],[New Orders - Nondefense Capital Goods Excluding Aircraft]]-B170)/B170</f>
        <v/>
      </c>
    </row>
    <row r="172">
      <c r="A172" s="74" t="n">
        <v>38687</v>
      </c>
      <c r="B172" s="75">
        <f>VLOOKUP(A172,Database!A:M,MATCH($A$1,Database!$A$1:$M$1,),)</f>
        <v/>
      </c>
      <c r="C172" s="113">
        <f>(Table535[[#This Row],[New Orders - Nondefense Capital Goods Excluding Aircraft]]-B171)/B171</f>
        <v/>
      </c>
    </row>
    <row r="173">
      <c r="A173" s="74" t="n">
        <v>38718</v>
      </c>
      <c r="B173" s="75">
        <f>VLOOKUP(A173,Database!A:M,MATCH($A$1,Database!$A$1:$M$1,),)</f>
        <v/>
      </c>
      <c r="C173" s="113">
        <f>(Table535[[#This Row],[New Orders - Nondefense Capital Goods Excluding Aircraft]]-B172)/B172</f>
        <v/>
      </c>
    </row>
    <row r="174">
      <c r="A174" s="74" t="n">
        <v>38749</v>
      </c>
      <c r="B174" s="75">
        <f>VLOOKUP(A174,Database!A:M,MATCH($A$1,Database!$A$1:$M$1,),)</f>
        <v/>
      </c>
      <c r="C174" s="113">
        <f>(Table535[[#This Row],[New Orders - Nondefense Capital Goods Excluding Aircraft]]-B173)/B173</f>
        <v/>
      </c>
    </row>
    <row r="175">
      <c r="A175" s="74" t="n">
        <v>38777</v>
      </c>
      <c r="B175" s="75">
        <f>VLOOKUP(A175,Database!A:M,MATCH($A$1,Database!$A$1:$M$1,),)</f>
        <v/>
      </c>
      <c r="C175" s="113">
        <f>(Table535[[#This Row],[New Orders - Nondefense Capital Goods Excluding Aircraft]]-B174)/B174</f>
        <v/>
      </c>
    </row>
    <row r="176">
      <c r="A176" s="74" t="n">
        <v>38808</v>
      </c>
      <c r="B176" s="75">
        <f>VLOOKUP(A176,Database!A:M,MATCH($A$1,Database!$A$1:$M$1,),)</f>
        <v/>
      </c>
      <c r="C176" s="113">
        <f>(Table535[[#This Row],[New Orders - Nondefense Capital Goods Excluding Aircraft]]-B175)/B175</f>
        <v/>
      </c>
    </row>
    <row r="177">
      <c r="A177" s="74" t="n">
        <v>38838</v>
      </c>
      <c r="B177" s="75">
        <f>VLOOKUP(A177,Database!A:M,MATCH($A$1,Database!$A$1:$M$1,),)</f>
        <v/>
      </c>
      <c r="C177" s="113">
        <f>(Table535[[#This Row],[New Orders - Nondefense Capital Goods Excluding Aircraft]]-B176)/B176</f>
        <v/>
      </c>
    </row>
    <row r="178">
      <c r="A178" s="74" t="n">
        <v>38869</v>
      </c>
      <c r="B178" s="75">
        <f>VLOOKUP(A178,Database!A:M,MATCH($A$1,Database!$A$1:$M$1,),)</f>
        <v/>
      </c>
      <c r="C178" s="113">
        <f>(Table535[[#This Row],[New Orders - Nondefense Capital Goods Excluding Aircraft]]-B177)/B177</f>
        <v/>
      </c>
    </row>
    <row r="179">
      <c r="A179" s="74" t="n">
        <v>38899</v>
      </c>
      <c r="B179" s="75">
        <f>VLOOKUP(A179,Database!A:M,MATCH($A$1,Database!$A$1:$M$1,),)</f>
        <v/>
      </c>
      <c r="C179" s="113">
        <f>(Table535[[#This Row],[New Orders - Nondefense Capital Goods Excluding Aircraft]]-B178)/B178</f>
        <v/>
      </c>
    </row>
    <row r="180">
      <c r="A180" s="74" t="n">
        <v>38930</v>
      </c>
      <c r="B180" s="75">
        <f>VLOOKUP(A180,Database!A:M,MATCH($A$1,Database!$A$1:$M$1,),)</f>
        <v/>
      </c>
      <c r="C180" s="113">
        <f>(Table535[[#This Row],[New Orders - Nondefense Capital Goods Excluding Aircraft]]-B179)/B179</f>
        <v/>
      </c>
    </row>
    <row r="181">
      <c r="A181" s="74" t="n">
        <v>38961</v>
      </c>
      <c r="B181" s="75">
        <f>VLOOKUP(A181,Database!A:M,MATCH($A$1,Database!$A$1:$M$1,),)</f>
        <v/>
      </c>
      <c r="C181" s="113">
        <f>(Table535[[#This Row],[New Orders - Nondefense Capital Goods Excluding Aircraft]]-B180)/B180</f>
        <v/>
      </c>
    </row>
    <row r="182">
      <c r="A182" s="74" t="n">
        <v>38991</v>
      </c>
      <c r="B182" s="75">
        <f>VLOOKUP(A182,Database!A:M,MATCH($A$1,Database!$A$1:$M$1,),)</f>
        <v/>
      </c>
      <c r="C182" s="113">
        <f>(Table535[[#This Row],[New Orders - Nondefense Capital Goods Excluding Aircraft]]-B181)/B181</f>
        <v/>
      </c>
    </row>
    <row r="183">
      <c r="A183" s="74" t="n">
        <v>39022</v>
      </c>
      <c r="B183" s="75">
        <f>VLOOKUP(A183,Database!A:M,MATCH($A$1,Database!$A$1:$M$1,),)</f>
        <v/>
      </c>
      <c r="C183" s="113">
        <f>(Table535[[#This Row],[New Orders - Nondefense Capital Goods Excluding Aircraft]]-B182)/B182</f>
        <v/>
      </c>
    </row>
    <row r="184">
      <c r="A184" s="74" t="n">
        <v>39052</v>
      </c>
      <c r="B184" s="75">
        <f>VLOOKUP(A184,Database!A:M,MATCH($A$1,Database!$A$1:$M$1,),)</f>
        <v/>
      </c>
      <c r="C184" s="113">
        <f>(Table535[[#This Row],[New Orders - Nondefense Capital Goods Excluding Aircraft]]-B183)/B183</f>
        <v/>
      </c>
    </row>
    <row r="185">
      <c r="A185" s="74" t="n">
        <v>39083</v>
      </c>
      <c r="B185" s="75">
        <f>VLOOKUP(A185,Database!A:M,MATCH($A$1,Database!$A$1:$M$1,),)</f>
        <v/>
      </c>
      <c r="C185" s="113">
        <f>(Table535[[#This Row],[New Orders - Nondefense Capital Goods Excluding Aircraft]]-B184)/B184</f>
        <v/>
      </c>
    </row>
    <row r="186">
      <c r="A186" s="74" t="n">
        <v>39114</v>
      </c>
      <c r="B186" s="75">
        <f>VLOOKUP(A186,Database!A:M,MATCH($A$1,Database!$A$1:$M$1,),)</f>
        <v/>
      </c>
      <c r="C186" s="113">
        <f>(Table535[[#This Row],[New Orders - Nondefense Capital Goods Excluding Aircraft]]-B185)/B185</f>
        <v/>
      </c>
    </row>
    <row r="187">
      <c r="A187" s="74" t="n">
        <v>39142</v>
      </c>
      <c r="B187" s="75">
        <f>VLOOKUP(A187,Database!A:M,MATCH($A$1,Database!$A$1:$M$1,),)</f>
        <v/>
      </c>
      <c r="C187" s="113">
        <f>(Table535[[#This Row],[New Orders - Nondefense Capital Goods Excluding Aircraft]]-B186)/B186</f>
        <v/>
      </c>
    </row>
    <row r="188">
      <c r="A188" s="74" t="n">
        <v>39173</v>
      </c>
      <c r="B188" s="75">
        <f>VLOOKUP(A188,Database!A:M,MATCH($A$1,Database!$A$1:$M$1,),)</f>
        <v/>
      </c>
      <c r="C188" s="113">
        <f>(Table535[[#This Row],[New Orders - Nondefense Capital Goods Excluding Aircraft]]-B187)/B187</f>
        <v/>
      </c>
    </row>
    <row r="189">
      <c r="A189" s="74" t="n">
        <v>39203</v>
      </c>
      <c r="B189" s="75">
        <f>VLOOKUP(A189,Database!A:M,MATCH($A$1,Database!$A$1:$M$1,),)</f>
        <v/>
      </c>
      <c r="C189" s="113">
        <f>(Table535[[#This Row],[New Orders - Nondefense Capital Goods Excluding Aircraft]]-B188)/B188</f>
        <v/>
      </c>
    </row>
    <row r="190">
      <c r="A190" s="74" t="n">
        <v>39234</v>
      </c>
      <c r="B190" s="75">
        <f>VLOOKUP(A190,Database!A:M,MATCH($A$1,Database!$A$1:$M$1,),)</f>
        <v/>
      </c>
      <c r="C190" s="113">
        <f>(Table535[[#This Row],[New Orders - Nondefense Capital Goods Excluding Aircraft]]-B189)/B189</f>
        <v/>
      </c>
    </row>
    <row r="191">
      <c r="A191" s="74" t="n">
        <v>39264</v>
      </c>
      <c r="B191" s="75">
        <f>VLOOKUP(A191,Database!A:M,MATCH($A$1,Database!$A$1:$M$1,),)</f>
        <v/>
      </c>
      <c r="C191" s="113">
        <f>(Table535[[#This Row],[New Orders - Nondefense Capital Goods Excluding Aircraft]]-B190)/B190</f>
        <v/>
      </c>
    </row>
    <row r="192">
      <c r="A192" s="74" t="n">
        <v>39295</v>
      </c>
      <c r="B192" s="75">
        <f>VLOOKUP(A192,Database!A:M,MATCH($A$1,Database!$A$1:$M$1,),)</f>
        <v/>
      </c>
      <c r="C192" s="113">
        <f>(Table535[[#This Row],[New Orders - Nondefense Capital Goods Excluding Aircraft]]-B191)/B191</f>
        <v/>
      </c>
    </row>
    <row r="193">
      <c r="A193" s="74" t="n">
        <v>39326</v>
      </c>
      <c r="B193" s="75">
        <f>VLOOKUP(A193,Database!A:M,MATCH($A$1,Database!$A$1:$M$1,),)</f>
        <v/>
      </c>
      <c r="C193" s="113">
        <f>(Table535[[#This Row],[New Orders - Nondefense Capital Goods Excluding Aircraft]]-B192)/B192</f>
        <v/>
      </c>
    </row>
    <row r="194">
      <c r="A194" s="74" t="n">
        <v>39356</v>
      </c>
      <c r="B194" s="75">
        <f>VLOOKUP(A194,Database!A:M,MATCH($A$1,Database!$A$1:$M$1,),)</f>
        <v/>
      </c>
      <c r="C194" s="113">
        <f>(Table535[[#This Row],[New Orders - Nondefense Capital Goods Excluding Aircraft]]-B193)/B193</f>
        <v/>
      </c>
    </row>
    <row r="195">
      <c r="A195" s="74" t="n">
        <v>39387</v>
      </c>
      <c r="B195" s="75">
        <f>VLOOKUP(A195,Database!A:M,MATCH($A$1,Database!$A$1:$M$1,),)</f>
        <v/>
      </c>
      <c r="C195" s="113">
        <f>(Table535[[#This Row],[New Orders - Nondefense Capital Goods Excluding Aircraft]]-B194)/B194</f>
        <v/>
      </c>
    </row>
    <row r="196">
      <c r="A196" s="74" t="n">
        <v>39417</v>
      </c>
      <c r="B196" s="75">
        <f>VLOOKUP(A196,Database!A:M,MATCH($A$1,Database!$A$1:$M$1,),)</f>
        <v/>
      </c>
      <c r="C196" s="113">
        <f>(Table535[[#This Row],[New Orders - Nondefense Capital Goods Excluding Aircraft]]-B195)/B195</f>
        <v/>
      </c>
    </row>
    <row r="197">
      <c r="A197" s="74" t="n">
        <v>39448</v>
      </c>
      <c r="B197" s="75">
        <f>VLOOKUP(A197,Database!A:M,MATCH($A$1,Database!$A$1:$M$1,),)</f>
        <v/>
      </c>
      <c r="C197" s="113">
        <f>(Table535[[#This Row],[New Orders - Nondefense Capital Goods Excluding Aircraft]]-B196)/B196</f>
        <v/>
      </c>
    </row>
    <row r="198">
      <c r="A198" s="74" t="n">
        <v>39479</v>
      </c>
      <c r="B198" s="75">
        <f>VLOOKUP(A198,Database!A:M,MATCH($A$1,Database!$A$1:$M$1,),)</f>
        <v/>
      </c>
      <c r="C198" s="113">
        <f>(Table535[[#This Row],[New Orders - Nondefense Capital Goods Excluding Aircraft]]-B197)/B197</f>
        <v/>
      </c>
    </row>
    <row r="199">
      <c r="A199" s="74" t="n">
        <v>39508</v>
      </c>
      <c r="B199" s="75">
        <f>VLOOKUP(A199,Database!A:M,MATCH($A$1,Database!$A$1:$M$1,),)</f>
        <v/>
      </c>
      <c r="C199" s="113">
        <f>(Table535[[#This Row],[New Orders - Nondefense Capital Goods Excluding Aircraft]]-B198)/B198</f>
        <v/>
      </c>
    </row>
    <row r="200">
      <c r="A200" s="74" t="n">
        <v>39539</v>
      </c>
      <c r="B200" s="75">
        <f>VLOOKUP(A200,Database!A:M,MATCH($A$1,Database!$A$1:$M$1,),)</f>
        <v/>
      </c>
      <c r="C200" s="113">
        <f>(Table535[[#This Row],[New Orders - Nondefense Capital Goods Excluding Aircraft]]-B199)/B199</f>
        <v/>
      </c>
    </row>
    <row r="201">
      <c r="A201" s="74" t="n">
        <v>39569</v>
      </c>
      <c r="B201" s="75">
        <f>VLOOKUP(A201,Database!A:M,MATCH($A$1,Database!$A$1:$M$1,),)</f>
        <v/>
      </c>
      <c r="C201" s="113">
        <f>(Table535[[#This Row],[New Orders - Nondefense Capital Goods Excluding Aircraft]]-B200)/B200</f>
        <v/>
      </c>
    </row>
    <row r="202">
      <c r="A202" s="74" t="n">
        <v>39600</v>
      </c>
      <c r="B202" s="75">
        <f>VLOOKUP(A202,Database!A:M,MATCH($A$1,Database!$A$1:$M$1,),)</f>
        <v/>
      </c>
      <c r="C202" s="113">
        <f>(Table535[[#This Row],[New Orders - Nondefense Capital Goods Excluding Aircraft]]-B201)/B201</f>
        <v/>
      </c>
    </row>
    <row r="203">
      <c r="A203" s="74" t="n">
        <v>39630</v>
      </c>
      <c r="B203" s="75">
        <f>VLOOKUP(A203,Database!A:M,MATCH($A$1,Database!$A$1:$M$1,),)</f>
        <v/>
      </c>
      <c r="C203" s="113">
        <f>(Table535[[#This Row],[New Orders - Nondefense Capital Goods Excluding Aircraft]]-B202)/B202</f>
        <v/>
      </c>
    </row>
    <row r="204">
      <c r="A204" s="74" t="n">
        <v>39661</v>
      </c>
      <c r="B204" s="75">
        <f>VLOOKUP(A204,Database!A:M,MATCH($A$1,Database!$A$1:$M$1,),)</f>
        <v/>
      </c>
      <c r="C204" s="113">
        <f>(Table535[[#This Row],[New Orders - Nondefense Capital Goods Excluding Aircraft]]-B203)/B203</f>
        <v/>
      </c>
    </row>
    <row r="205">
      <c r="A205" s="74" t="n">
        <v>39692</v>
      </c>
      <c r="B205" s="75">
        <f>VLOOKUP(A205,Database!A:M,MATCH($A$1,Database!$A$1:$M$1,),)</f>
        <v/>
      </c>
      <c r="C205" s="113">
        <f>(Table535[[#This Row],[New Orders - Nondefense Capital Goods Excluding Aircraft]]-B204)/B204</f>
        <v/>
      </c>
    </row>
    <row r="206">
      <c r="A206" s="74" t="n">
        <v>39722</v>
      </c>
      <c r="B206" s="75">
        <f>VLOOKUP(A206,Database!A:M,MATCH($A$1,Database!$A$1:$M$1,),)</f>
        <v/>
      </c>
      <c r="C206" s="113">
        <f>(Table535[[#This Row],[New Orders - Nondefense Capital Goods Excluding Aircraft]]-B205)/B205</f>
        <v/>
      </c>
    </row>
    <row r="207">
      <c r="A207" s="74" t="n">
        <v>39753</v>
      </c>
      <c r="B207" s="75">
        <f>VLOOKUP(A207,Database!A:M,MATCH($A$1,Database!$A$1:$M$1,),)</f>
        <v/>
      </c>
      <c r="C207" s="113">
        <f>(Table535[[#This Row],[New Orders - Nondefense Capital Goods Excluding Aircraft]]-B206)/B206</f>
        <v/>
      </c>
    </row>
    <row r="208">
      <c r="A208" s="74" t="n">
        <v>39783</v>
      </c>
      <c r="B208" s="75">
        <f>VLOOKUP(A208,Database!A:M,MATCH($A$1,Database!$A$1:$M$1,),)</f>
        <v/>
      </c>
      <c r="C208" s="113">
        <f>(Table535[[#This Row],[New Orders - Nondefense Capital Goods Excluding Aircraft]]-B207)/B207</f>
        <v/>
      </c>
    </row>
    <row r="209">
      <c r="A209" s="74" t="n">
        <v>39814</v>
      </c>
      <c r="B209" s="75">
        <f>VLOOKUP(A209,Database!A:M,MATCH($A$1,Database!$A$1:$M$1,),)</f>
        <v/>
      </c>
      <c r="C209" s="113">
        <f>(Table535[[#This Row],[New Orders - Nondefense Capital Goods Excluding Aircraft]]-B208)/B208</f>
        <v/>
      </c>
    </row>
    <row r="210">
      <c r="A210" s="74" t="n">
        <v>39845</v>
      </c>
      <c r="B210" s="75">
        <f>VLOOKUP(A210,Database!A:M,MATCH($A$1,Database!$A$1:$M$1,),)</f>
        <v/>
      </c>
      <c r="C210" s="113">
        <f>(Table535[[#This Row],[New Orders - Nondefense Capital Goods Excluding Aircraft]]-B209)/B209</f>
        <v/>
      </c>
    </row>
    <row r="211">
      <c r="A211" s="74" t="n">
        <v>39873</v>
      </c>
      <c r="B211" s="75">
        <f>VLOOKUP(A211,Database!A:M,MATCH($A$1,Database!$A$1:$M$1,),)</f>
        <v/>
      </c>
      <c r="C211" s="113">
        <f>(Table535[[#This Row],[New Orders - Nondefense Capital Goods Excluding Aircraft]]-B210)/B210</f>
        <v/>
      </c>
    </row>
    <row r="212">
      <c r="A212" s="74" t="n">
        <v>39904</v>
      </c>
      <c r="B212" s="75">
        <f>VLOOKUP(A212,Database!A:M,MATCH($A$1,Database!$A$1:$M$1,),)</f>
        <v/>
      </c>
      <c r="C212" s="113">
        <f>(Table535[[#This Row],[New Orders - Nondefense Capital Goods Excluding Aircraft]]-B211)/B211</f>
        <v/>
      </c>
    </row>
    <row r="213">
      <c r="A213" s="74" t="n">
        <v>39934</v>
      </c>
      <c r="B213" s="75">
        <f>VLOOKUP(A213,Database!A:M,MATCH($A$1,Database!$A$1:$M$1,),)</f>
        <v/>
      </c>
      <c r="C213" s="113">
        <f>(Table535[[#This Row],[New Orders - Nondefense Capital Goods Excluding Aircraft]]-B212)/B212</f>
        <v/>
      </c>
    </row>
    <row r="214">
      <c r="A214" s="74" t="n">
        <v>39965</v>
      </c>
      <c r="B214" s="75">
        <f>VLOOKUP(A214,Database!A:M,MATCH($A$1,Database!$A$1:$M$1,),)</f>
        <v/>
      </c>
      <c r="C214" s="113">
        <f>(Table535[[#This Row],[New Orders - Nondefense Capital Goods Excluding Aircraft]]-B213)/B213</f>
        <v/>
      </c>
    </row>
    <row r="215">
      <c r="A215" s="74" t="n">
        <v>39995</v>
      </c>
      <c r="B215" s="75">
        <f>VLOOKUP(A215,Database!A:M,MATCH($A$1,Database!$A$1:$M$1,),)</f>
        <v/>
      </c>
      <c r="C215" s="113">
        <f>(Table535[[#This Row],[New Orders - Nondefense Capital Goods Excluding Aircraft]]-B214)/B214</f>
        <v/>
      </c>
    </row>
    <row r="216">
      <c r="A216" s="74" t="n">
        <v>40026</v>
      </c>
      <c r="B216" s="75">
        <f>VLOOKUP(A216,Database!A:M,MATCH($A$1,Database!$A$1:$M$1,),)</f>
        <v/>
      </c>
      <c r="C216" s="113">
        <f>(Table535[[#This Row],[New Orders - Nondefense Capital Goods Excluding Aircraft]]-B215)/B215</f>
        <v/>
      </c>
    </row>
    <row r="217">
      <c r="A217" s="74" t="n">
        <v>40057</v>
      </c>
      <c r="B217" s="75">
        <f>VLOOKUP(A217,Database!A:M,MATCH($A$1,Database!$A$1:$M$1,),)</f>
        <v/>
      </c>
      <c r="C217" s="113">
        <f>(Table535[[#This Row],[New Orders - Nondefense Capital Goods Excluding Aircraft]]-B216)/B216</f>
        <v/>
      </c>
    </row>
    <row r="218">
      <c r="A218" s="74" t="n">
        <v>40087</v>
      </c>
      <c r="B218" s="75">
        <f>VLOOKUP(A218,Database!A:M,MATCH($A$1,Database!$A$1:$M$1,),)</f>
        <v/>
      </c>
      <c r="C218" s="113">
        <f>(Table535[[#This Row],[New Orders - Nondefense Capital Goods Excluding Aircraft]]-B217)/B217</f>
        <v/>
      </c>
    </row>
    <row r="219">
      <c r="A219" s="74" t="n">
        <v>40118</v>
      </c>
      <c r="B219" s="75">
        <f>VLOOKUP(A219,Database!A:M,MATCH($A$1,Database!$A$1:$M$1,),)</f>
        <v/>
      </c>
      <c r="C219" s="113">
        <f>(Table535[[#This Row],[New Orders - Nondefense Capital Goods Excluding Aircraft]]-B218)/B218</f>
        <v/>
      </c>
    </row>
    <row r="220">
      <c r="A220" s="74" t="n">
        <v>40148</v>
      </c>
      <c r="B220" s="75">
        <f>VLOOKUP(A220,Database!A:M,MATCH($A$1,Database!$A$1:$M$1,),)</f>
        <v/>
      </c>
      <c r="C220" s="113">
        <f>(Table535[[#This Row],[New Orders - Nondefense Capital Goods Excluding Aircraft]]-B219)/B219</f>
        <v/>
      </c>
    </row>
    <row r="221">
      <c r="A221" s="74" t="n">
        <v>40179</v>
      </c>
      <c r="B221" s="75">
        <f>VLOOKUP(A221,Database!A:M,MATCH($A$1,Database!$A$1:$M$1,),)</f>
        <v/>
      </c>
      <c r="C221" s="113">
        <f>(Table535[[#This Row],[New Orders - Nondefense Capital Goods Excluding Aircraft]]-B220)/B220</f>
        <v/>
      </c>
    </row>
    <row r="222">
      <c r="A222" s="74" t="n">
        <v>40210</v>
      </c>
      <c r="B222" s="75">
        <f>VLOOKUP(A222,Database!A:M,MATCH($A$1,Database!$A$1:$M$1,),)</f>
        <v/>
      </c>
      <c r="C222" s="113">
        <f>(Table535[[#This Row],[New Orders - Nondefense Capital Goods Excluding Aircraft]]-B221)/B221</f>
        <v/>
      </c>
    </row>
    <row r="223">
      <c r="A223" s="74" t="n">
        <v>40238</v>
      </c>
      <c r="B223" s="75">
        <f>VLOOKUP(A223,Database!A:M,MATCH($A$1,Database!$A$1:$M$1,),)</f>
        <v/>
      </c>
      <c r="C223" s="113">
        <f>(Table535[[#This Row],[New Orders - Nondefense Capital Goods Excluding Aircraft]]-B222)/B222</f>
        <v/>
      </c>
    </row>
    <row r="224">
      <c r="A224" s="74" t="n">
        <v>40269</v>
      </c>
      <c r="B224" s="75">
        <f>VLOOKUP(A224,Database!A:M,MATCH($A$1,Database!$A$1:$M$1,),)</f>
        <v/>
      </c>
      <c r="C224" s="113">
        <f>(Table535[[#This Row],[New Orders - Nondefense Capital Goods Excluding Aircraft]]-B223)/B223</f>
        <v/>
      </c>
    </row>
    <row r="225">
      <c r="A225" s="74" t="n">
        <v>40299</v>
      </c>
      <c r="B225" s="75">
        <f>VLOOKUP(A225,Database!A:M,MATCH($A$1,Database!$A$1:$M$1,),)</f>
        <v/>
      </c>
      <c r="C225" s="113">
        <f>(Table535[[#This Row],[New Orders - Nondefense Capital Goods Excluding Aircraft]]-B224)/B224</f>
        <v/>
      </c>
    </row>
    <row r="226">
      <c r="A226" s="74" t="n">
        <v>40330</v>
      </c>
      <c r="B226" s="75">
        <f>VLOOKUP(A226,Database!A:M,MATCH($A$1,Database!$A$1:$M$1,),)</f>
        <v/>
      </c>
      <c r="C226" s="113">
        <f>(Table535[[#This Row],[New Orders - Nondefense Capital Goods Excluding Aircraft]]-B225)/B225</f>
        <v/>
      </c>
    </row>
    <row r="227">
      <c r="A227" s="74" t="n">
        <v>40360</v>
      </c>
      <c r="B227" s="75">
        <f>VLOOKUP(A227,Database!A:M,MATCH($A$1,Database!$A$1:$M$1,),)</f>
        <v/>
      </c>
      <c r="C227" s="113">
        <f>(Table535[[#This Row],[New Orders - Nondefense Capital Goods Excluding Aircraft]]-B226)/B226</f>
        <v/>
      </c>
    </row>
    <row r="228">
      <c r="A228" s="74" t="n">
        <v>40391</v>
      </c>
      <c r="B228" s="75">
        <f>VLOOKUP(A228,Database!A:M,MATCH($A$1,Database!$A$1:$M$1,),)</f>
        <v/>
      </c>
      <c r="C228" s="113">
        <f>(Table535[[#This Row],[New Orders - Nondefense Capital Goods Excluding Aircraft]]-B227)/B227</f>
        <v/>
      </c>
    </row>
    <row r="229">
      <c r="A229" s="74" t="n">
        <v>40422</v>
      </c>
      <c r="B229" s="75">
        <f>VLOOKUP(A229,Database!A:M,MATCH($A$1,Database!$A$1:$M$1,),)</f>
        <v/>
      </c>
      <c r="C229" s="113">
        <f>(Table535[[#This Row],[New Orders - Nondefense Capital Goods Excluding Aircraft]]-B228)/B228</f>
        <v/>
      </c>
    </row>
    <row r="230">
      <c r="A230" s="74" t="n">
        <v>40452</v>
      </c>
      <c r="B230" s="75">
        <f>VLOOKUP(A230,Database!A:M,MATCH($A$1,Database!$A$1:$M$1,),)</f>
        <v/>
      </c>
      <c r="C230" s="113">
        <f>(Table535[[#This Row],[New Orders - Nondefense Capital Goods Excluding Aircraft]]-B229)/B229</f>
        <v/>
      </c>
    </row>
    <row r="231">
      <c r="A231" s="74" t="n">
        <v>40483</v>
      </c>
      <c r="B231" s="75">
        <f>VLOOKUP(A231,Database!A:M,MATCH($A$1,Database!$A$1:$M$1,),)</f>
        <v/>
      </c>
      <c r="C231" s="113">
        <f>(Table535[[#This Row],[New Orders - Nondefense Capital Goods Excluding Aircraft]]-B230)/B230</f>
        <v/>
      </c>
    </row>
    <row r="232">
      <c r="A232" s="74" t="n">
        <v>40513</v>
      </c>
      <c r="B232" s="75">
        <f>VLOOKUP(A232,Database!A:M,MATCH($A$1,Database!$A$1:$M$1,),)</f>
        <v/>
      </c>
      <c r="C232" s="113">
        <f>(Table535[[#This Row],[New Orders - Nondefense Capital Goods Excluding Aircraft]]-B231)/B231</f>
        <v/>
      </c>
    </row>
    <row r="233">
      <c r="A233" s="74" t="n">
        <v>40544</v>
      </c>
      <c r="B233" s="75">
        <f>VLOOKUP(A233,Database!A:M,MATCH($A$1,Database!$A$1:$M$1,),)</f>
        <v/>
      </c>
      <c r="C233" s="113">
        <f>(Table535[[#This Row],[New Orders - Nondefense Capital Goods Excluding Aircraft]]-B232)/B232</f>
        <v/>
      </c>
    </row>
    <row r="234">
      <c r="A234" s="74" t="n">
        <v>40575</v>
      </c>
      <c r="B234" s="75">
        <f>VLOOKUP(A234,Database!A:M,MATCH($A$1,Database!$A$1:$M$1,),)</f>
        <v/>
      </c>
      <c r="C234" s="113">
        <f>(Table535[[#This Row],[New Orders - Nondefense Capital Goods Excluding Aircraft]]-B233)/B233</f>
        <v/>
      </c>
    </row>
    <row r="235">
      <c r="A235" s="74" t="n">
        <v>40603</v>
      </c>
      <c r="B235" s="75">
        <f>VLOOKUP(A235,Database!A:M,MATCH($A$1,Database!$A$1:$M$1,),)</f>
        <v/>
      </c>
      <c r="C235" s="113">
        <f>(Table535[[#This Row],[New Orders - Nondefense Capital Goods Excluding Aircraft]]-B234)/B234</f>
        <v/>
      </c>
    </row>
    <row r="236">
      <c r="A236" s="74" t="n">
        <v>40634</v>
      </c>
      <c r="B236" s="75">
        <f>VLOOKUP(A236,Database!A:M,MATCH($A$1,Database!$A$1:$M$1,),)</f>
        <v/>
      </c>
      <c r="C236" s="113">
        <f>(Table535[[#This Row],[New Orders - Nondefense Capital Goods Excluding Aircraft]]-B235)/B235</f>
        <v/>
      </c>
    </row>
    <row r="237">
      <c r="A237" s="74" t="n">
        <v>40664</v>
      </c>
      <c r="B237" s="75">
        <f>VLOOKUP(A237,Database!A:M,MATCH($A$1,Database!$A$1:$M$1,),)</f>
        <v/>
      </c>
      <c r="C237" s="113">
        <f>(Table535[[#This Row],[New Orders - Nondefense Capital Goods Excluding Aircraft]]-B236)/B236</f>
        <v/>
      </c>
    </row>
    <row r="238">
      <c r="A238" s="74" t="n">
        <v>40695</v>
      </c>
      <c r="B238" s="75">
        <f>VLOOKUP(A238,Database!A:M,MATCH($A$1,Database!$A$1:$M$1,),)</f>
        <v/>
      </c>
      <c r="C238" s="113">
        <f>(Table535[[#This Row],[New Orders - Nondefense Capital Goods Excluding Aircraft]]-B237)/B237</f>
        <v/>
      </c>
    </row>
    <row r="239">
      <c r="A239" s="74" t="n">
        <v>40725</v>
      </c>
      <c r="B239" s="75">
        <f>VLOOKUP(A239,Database!A:M,MATCH($A$1,Database!$A$1:$M$1,),)</f>
        <v/>
      </c>
      <c r="C239" s="113">
        <f>(Table535[[#This Row],[New Orders - Nondefense Capital Goods Excluding Aircraft]]-B238)/B238</f>
        <v/>
      </c>
    </row>
    <row r="240">
      <c r="A240" s="74" t="n">
        <v>40756</v>
      </c>
      <c r="B240" s="75">
        <f>VLOOKUP(A240,Database!A:M,MATCH($A$1,Database!$A$1:$M$1,),)</f>
        <v/>
      </c>
      <c r="C240" s="113">
        <f>(Table535[[#This Row],[New Orders - Nondefense Capital Goods Excluding Aircraft]]-B239)/B239</f>
        <v/>
      </c>
    </row>
    <row r="241">
      <c r="A241" s="74" t="n">
        <v>40787</v>
      </c>
      <c r="B241" s="75">
        <f>VLOOKUP(A241,Database!A:M,MATCH($A$1,Database!$A$1:$M$1,),)</f>
        <v/>
      </c>
      <c r="C241" s="113">
        <f>(Table535[[#This Row],[New Orders - Nondefense Capital Goods Excluding Aircraft]]-B240)/B240</f>
        <v/>
      </c>
    </row>
    <row r="242">
      <c r="A242" s="74" t="n">
        <v>40817</v>
      </c>
      <c r="B242" s="75">
        <f>VLOOKUP(A242,Database!A:M,MATCH($A$1,Database!$A$1:$M$1,),)</f>
        <v/>
      </c>
      <c r="C242" s="113">
        <f>(Table535[[#This Row],[New Orders - Nondefense Capital Goods Excluding Aircraft]]-B241)/B241</f>
        <v/>
      </c>
    </row>
    <row r="243">
      <c r="A243" s="74" t="n">
        <v>40848</v>
      </c>
      <c r="B243" s="75">
        <f>VLOOKUP(A243,Database!A:M,MATCH($A$1,Database!$A$1:$M$1,),)</f>
        <v/>
      </c>
      <c r="C243" s="113">
        <f>(Table535[[#This Row],[New Orders - Nondefense Capital Goods Excluding Aircraft]]-B242)/B242</f>
        <v/>
      </c>
    </row>
    <row r="244">
      <c r="A244" s="74" t="n">
        <v>40878</v>
      </c>
      <c r="B244" s="75">
        <f>VLOOKUP(A244,Database!A:M,MATCH($A$1,Database!$A$1:$M$1,),)</f>
        <v/>
      </c>
      <c r="C244" s="113">
        <f>(Table535[[#This Row],[New Orders - Nondefense Capital Goods Excluding Aircraft]]-B243)/B243</f>
        <v/>
      </c>
    </row>
    <row r="245">
      <c r="A245" s="74" t="n">
        <v>40909</v>
      </c>
      <c r="B245" s="75">
        <f>VLOOKUP(A245,Database!A:M,MATCH($A$1,Database!$A$1:$M$1,),)</f>
        <v/>
      </c>
      <c r="C245" s="113">
        <f>(Table535[[#This Row],[New Orders - Nondefense Capital Goods Excluding Aircraft]]-B244)/B244</f>
        <v/>
      </c>
    </row>
    <row r="246">
      <c r="A246" s="74" t="n">
        <v>40940</v>
      </c>
      <c r="B246" s="75">
        <f>VLOOKUP(A246,Database!A:M,MATCH($A$1,Database!$A$1:$M$1,),)</f>
        <v/>
      </c>
      <c r="C246" s="113">
        <f>(Table535[[#This Row],[New Orders - Nondefense Capital Goods Excluding Aircraft]]-B245)/B245</f>
        <v/>
      </c>
    </row>
    <row r="247">
      <c r="A247" s="74" t="n">
        <v>40969</v>
      </c>
      <c r="B247" s="75">
        <f>VLOOKUP(A247,Database!A:M,MATCH($A$1,Database!$A$1:$M$1,),)</f>
        <v/>
      </c>
      <c r="C247" s="113">
        <f>(Table535[[#This Row],[New Orders - Nondefense Capital Goods Excluding Aircraft]]-B246)/B246</f>
        <v/>
      </c>
    </row>
    <row r="248">
      <c r="A248" s="74" t="n">
        <v>41000</v>
      </c>
      <c r="B248" s="75">
        <f>VLOOKUP(A248,Database!A:M,MATCH($A$1,Database!$A$1:$M$1,),)</f>
        <v/>
      </c>
      <c r="C248" s="113">
        <f>(Table535[[#This Row],[New Orders - Nondefense Capital Goods Excluding Aircraft]]-B247)/B247</f>
        <v/>
      </c>
    </row>
    <row r="249">
      <c r="A249" s="74" t="n">
        <v>41030</v>
      </c>
      <c r="B249" s="75">
        <f>VLOOKUP(A249,Database!A:M,MATCH($A$1,Database!$A$1:$M$1,),)</f>
        <v/>
      </c>
      <c r="C249" s="113">
        <f>(Table535[[#This Row],[New Orders - Nondefense Capital Goods Excluding Aircraft]]-B248)/B248</f>
        <v/>
      </c>
    </row>
    <row r="250">
      <c r="A250" s="74" t="n">
        <v>41061</v>
      </c>
      <c r="B250" s="75">
        <f>VLOOKUP(A250,Database!A:M,MATCH($A$1,Database!$A$1:$M$1,),)</f>
        <v/>
      </c>
      <c r="C250" s="113">
        <f>(Table535[[#This Row],[New Orders - Nondefense Capital Goods Excluding Aircraft]]-B249)/B249</f>
        <v/>
      </c>
    </row>
    <row r="251">
      <c r="A251" s="74" t="n">
        <v>41091</v>
      </c>
      <c r="B251" s="75">
        <f>VLOOKUP(A251,Database!A:M,MATCH($A$1,Database!$A$1:$M$1,),)</f>
        <v/>
      </c>
      <c r="C251" s="113">
        <f>(Table535[[#This Row],[New Orders - Nondefense Capital Goods Excluding Aircraft]]-B250)/B250</f>
        <v/>
      </c>
    </row>
    <row r="252">
      <c r="A252" s="74" t="n">
        <v>41122</v>
      </c>
      <c r="B252" s="75">
        <f>VLOOKUP(A252,Database!A:M,MATCH($A$1,Database!$A$1:$M$1,),)</f>
        <v/>
      </c>
      <c r="C252" s="113">
        <f>(Table535[[#This Row],[New Orders - Nondefense Capital Goods Excluding Aircraft]]-B251)/B251</f>
        <v/>
      </c>
    </row>
    <row r="253">
      <c r="A253" s="74" t="n">
        <v>41153</v>
      </c>
      <c r="B253" s="75">
        <f>VLOOKUP(A253,Database!A:M,MATCH($A$1,Database!$A$1:$M$1,),)</f>
        <v/>
      </c>
      <c r="C253" s="113">
        <f>(Table535[[#This Row],[New Orders - Nondefense Capital Goods Excluding Aircraft]]-B252)/B252</f>
        <v/>
      </c>
    </row>
    <row r="254">
      <c r="A254" s="74" t="n">
        <v>41183</v>
      </c>
      <c r="B254" s="75">
        <f>VLOOKUP(A254,Database!A:M,MATCH($A$1,Database!$A$1:$M$1,),)</f>
        <v/>
      </c>
      <c r="C254" s="113">
        <f>(Table535[[#This Row],[New Orders - Nondefense Capital Goods Excluding Aircraft]]-B253)/B253</f>
        <v/>
      </c>
    </row>
    <row r="255">
      <c r="A255" s="74" t="n">
        <v>41214</v>
      </c>
      <c r="B255" s="75">
        <f>VLOOKUP(A255,Database!A:M,MATCH($A$1,Database!$A$1:$M$1,),)</f>
        <v/>
      </c>
      <c r="C255" s="113">
        <f>(Table535[[#This Row],[New Orders - Nondefense Capital Goods Excluding Aircraft]]-B254)/B254</f>
        <v/>
      </c>
    </row>
    <row r="256">
      <c r="A256" s="74" t="n">
        <v>41244</v>
      </c>
      <c r="B256" s="75">
        <f>VLOOKUP(A256,Database!A:M,MATCH($A$1,Database!$A$1:$M$1,),)</f>
        <v/>
      </c>
      <c r="C256" s="113">
        <f>(Table535[[#This Row],[New Orders - Nondefense Capital Goods Excluding Aircraft]]-B255)/B255</f>
        <v/>
      </c>
    </row>
    <row r="257">
      <c r="A257" s="74" t="n">
        <v>41275</v>
      </c>
      <c r="B257" s="75">
        <f>VLOOKUP(A257,Database!A:M,MATCH($A$1,Database!$A$1:$M$1,),)</f>
        <v/>
      </c>
      <c r="C257" s="113">
        <f>(Table535[[#This Row],[New Orders - Nondefense Capital Goods Excluding Aircraft]]-B256)/B256</f>
        <v/>
      </c>
    </row>
    <row r="258">
      <c r="A258" s="74" t="n">
        <v>41306</v>
      </c>
      <c r="B258" s="75">
        <f>VLOOKUP(A258,Database!A:M,MATCH($A$1,Database!$A$1:$M$1,),)</f>
        <v/>
      </c>
      <c r="C258" s="113">
        <f>(Table535[[#This Row],[New Orders - Nondefense Capital Goods Excluding Aircraft]]-B257)/B257</f>
        <v/>
      </c>
    </row>
    <row r="259">
      <c r="A259" s="74" t="n">
        <v>41334</v>
      </c>
      <c r="B259" s="75">
        <f>VLOOKUP(A259,Database!A:M,MATCH($A$1,Database!$A$1:$M$1,),)</f>
        <v/>
      </c>
      <c r="C259" s="113">
        <f>(Table535[[#This Row],[New Orders - Nondefense Capital Goods Excluding Aircraft]]-B258)/B258</f>
        <v/>
      </c>
    </row>
    <row r="260">
      <c r="A260" s="74" t="n">
        <v>41365</v>
      </c>
      <c r="B260" s="75">
        <f>VLOOKUP(A260,Database!A:M,MATCH($A$1,Database!$A$1:$M$1,),)</f>
        <v/>
      </c>
      <c r="C260" s="113">
        <f>(Table535[[#This Row],[New Orders - Nondefense Capital Goods Excluding Aircraft]]-B259)/B259</f>
        <v/>
      </c>
    </row>
    <row r="261">
      <c r="A261" s="74" t="n">
        <v>41395</v>
      </c>
      <c r="B261" s="75">
        <f>VLOOKUP(A261,Database!A:M,MATCH($A$1,Database!$A$1:$M$1,),)</f>
        <v/>
      </c>
      <c r="C261" s="113">
        <f>(Table535[[#This Row],[New Orders - Nondefense Capital Goods Excluding Aircraft]]-B260)/B260</f>
        <v/>
      </c>
    </row>
    <row r="262">
      <c r="A262" s="74" t="n">
        <v>41426</v>
      </c>
      <c r="B262" s="75">
        <f>VLOOKUP(A262,Database!A:M,MATCH($A$1,Database!$A$1:$M$1,),)</f>
        <v/>
      </c>
      <c r="C262" s="113">
        <f>(Table535[[#This Row],[New Orders - Nondefense Capital Goods Excluding Aircraft]]-B261)/B261</f>
        <v/>
      </c>
    </row>
    <row r="263">
      <c r="A263" s="74" t="n">
        <v>41456</v>
      </c>
      <c r="B263" s="75">
        <f>VLOOKUP(A263,Database!A:M,MATCH($A$1,Database!$A$1:$M$1,),)</f>
        <v/>
      </c>
      <c r="C263" s="113">
        <f>(Table535[[#This Row],[New Orders - Nondefense Capital Goods Excluding Aircraft]]-B262)/B262</f>
        <v/>
      </c>
    </row>
    <row r="264">
      <c r="A264" s="74" t="n">
        <v>41487</v>
      </c>
      <c r="B264" s="75">
        <f>VLOOKUP(A264,Database!A:M,MATCH($A$1,Database!$A$1:$M$1,),)</f>
        <v/>
      </c>
      <c r="C264" s="113">
        <f>(Table535[[#This Row],[New Orders - Nondefense Capital Goods Excluding Aircraft]]-B263)/B263</f>
        <v/>
      </c>
    </row>
    <row r="265">
      <c r="A265" s="74" t="n">
        <v>41518</v>
      </c>
      <c r="B265" s="75">
        <f>VLOOKUP(A265,Database!A:M,MATCH($A$1,Database!$A$1:$M$1,),)</f>
        <v/>
      </c>
      <c r="C265" s="113">
        <f>(Table535[[#This Row],[New Orders - Nondefense Capital Goods Excluding Aircraft]]-B264)/B264</f>
        <v/>
      </c>
    </row>
    <row r="266">
      <c r="A266" s="74" t="n">
        <v>41548</v>
      </c>
      <c r="B266" s="75">
        <f>VLOOKUP(A266,Database!A:M,MATCH($A$1,Database!$A$1:$M$1,),)</f>
        <v/>
      </c>
      <c r="C266" s="113">
        <f>(Table535[[#This Row],[New Orders - Nondefense Capital Goods Excluding Aircraft]]-B265)/B265</f>
        <v/>
      </c>
    </row>
    <row r="267">
      <c r="A267" s="74" t="n">
        <v>41579</v>
      </c>
      <c r="B267" s="75">
        <f>VLOOKUP(A267,Database!A:M,MATCH($A$1,Database!$A$1:$M$1,),)</f>
        <v/>
      </c>
      <c r="C267" s="113">
        <f>(Table535[[#This Row],[New Orders - Nondefense Capital Goods Excluding Aircraft]]-B266)/B266</f>
        <v/>
      </c>
    </row>
    <row r="268">
      <c r="A268" s="74" t="n">
        <v>41609</v>
      </c>
      <c r="B268" s="75">
        <f>VLOOKUP(A268,Database!A:M,MATCH($A$1,Database!$A$1:$M$1,),)</f>
        <v/>
      </c>
      <c r="C268" s="113">
        <f>(Table535[[#This Row],[New Orders - Nondefense Capital Goods Excluding Aircraft]]-B267)/B267</f>
        <v/>
      </c>
    </row>
    <row r="269">
      <c r="A269" s="74" t="n">
        <v>41640</v>
      </c>
      <c r="B269" s="75">
        <f>VLOOKUP(A269,Database!A:M,MATCH($A$1,Database!$A$1:$M$1,),)</f>
        <v/>
      </c>
      <c r="C269" s="113">
        <f>(Table535[[#This Row],[New Orders - Nondefense Capital Goods Excluding Aircraft]]-B268)/B268</f>
        <v/>
      </c>
    </row>
    <row r="270">
      <c r="A270" s="74" t="n">
        <v>41671</v>
      </c>
      <c r="B270" s="75">
        <f>VLOOKUP(A270,Database!A:M,MATCH($A$1,Database!$A$1:$M$1,),)</f>
        <v/>
      </c>
      <c r="C270" s="113">
        <f>(Table535[[#This Row],[New Orders - Nondefense Capital Goods Excluding Aircraft]]-B269)/B269</f>
        <v/>
      </c>
    </row>
    <row r="271">
      <c r="A271" s="74" t="n">
        <v>41699</v>
      </c>
      <c r="B271" s="75">
        <f>VLOOKUP(A271,Database!A:M,MATCH($A$1,Database!$A$1:$M$1,),)</f>
        <v/>
      </c>
      <c r="C271" s="113">
        <f>(Table535[[#This Row],[New Orders - Nondefense Capital Goods Excluding Aircraft]]-B270)/B270</f>
        <v/>
      </c>
    </row>
    <row r="272">
      <c r="A272" s="74" t="n">
        <v>41730</v>
      </c>
      <c r="B272" s="75">
        <f>VLOOKUP(A272,Database!A:M,MATCH($A$1,Database!$A$1:$M$1,),)</f>
        <v/>
      </c>
      <c r="C272" s="113">
        <f>(Table535[[#This Row],[New Orders - Nondefense Capital Goods Excluding Aircraft]]-B271)/B271</f>
        <v/>
      </c>
    </row>
    <row r="273">
      <c r="A273" s="74" t="n">
        <v>41760</v>
      </c>
      <c r="B273" s="75">
        <f>VLOOKUP(A273,Database!A:M,MATCH($A$1,Database!$A$1:$M$1,),)</f>
        <v/>
      </c>
      <c r="C273" s="113">
        <f>(Table535[[#This Row],[New Orders - Nondefense Capital Goods Excluding Aircraft]]-B272)/B272</f>
        <v/>
      </c>
    </row>
    <row r="274">
      <c r="A274" s="74" t="n">
        <v>41791</v>
      </c>
      <c r="B274" s="75">
        <f>VLOOKUP(A274,Database!A:M,MATCH($A$1,Database!$A$1:$M$1,),)</f>
        <v/>
      </c>
      <c r="C274" s="113">
        <f>(Table535[[#This Row],[New Orders - Nondefense Capital Goods Excluding Aircraft]]-B273)/B273</f>
        <v/>
      </c>
    </row>
    <row r="275">
      <c r="A275" s="74" t="n">
        <v>41821</v>
      </c>
      <c r="B275" s="75">
        <f>VLOOKUP(A275,Database!A:M,MATCH($A$1,Database!$A$1:$M$1,),)</f>
        <v/>
      </c>
      <c r="C275" s="113">
        <f>(Table535[[#This Row],[New Orders - Nondefense Capital Goods Excluding Aircraft]]-B274)/B274</f>
        <v/>
      </c>
    </row>
    <row r="276">
      <c r="A276" s="74" t="n">
        <v>41852</v>
      </c>
      <c r="B276" s="75">
        <f>VLOOKUP(A276,Database!A:M,MATCH($A$1,Database!$A$1:$M$1,),)</f>
        <v/>
      </c>
      <c r="C276" s="113">
        <f>(Table535[[#This Row],[New Orders - Nondefense Capital Goods Excluding Aircraft]]-B275)/B275</f>
        <v/>
      </c>
    </row>
    <row r="277">
      <c r="A277" s="74" t="n">
        <v>41883</v>
      </c>
      <c r="B277" s="75">
        <f>VLOOKUP(A277,Database!A:M,MATCH($A$1,Database!$A$1:$M$1,),)</f>
        <v/>
      </c>
      <c r="C277" s="113">
        <f>(Table535[[#This Row],[New Orders - Nondefense Capital Goods Excluding Aircraft]]-B276)/B276</f>
        <v/>
      </c>
    </row>
    <row r="278">
      <c r="A278" s="74" t="n">
        <v>41913</v>
      </c>
      <c r="B278" s="75">
        <f>VLOOKUP(A278,Database!A:M,MATCH($A$1,Database!$A$1:$M$1,),)</f>
        <v/>
      </c>
      <c r="C278" s="113">
        <f>(Table535[[#This Row],[New Orders - Nondefense Capital Goods Excluding Aircraft]]-B277)/B277</f>
        <v/>
      </c>
    </row>
    <row r="279">
      <c r="A279" s="74" t="n">
        <v>41944</v>
      </c>
      <c r="B279" s="75">
        <f>VLOOKUP(A279,Database!A:M,MATCH($A$1,Database!$A$1:$M$1,),)</f>
        <v/>
      </c>
      <c r="C279" s="113">
        <f>(Table535[[#This Row],[New Orders - Nondefense Capital Goods Excluding Aircraft]]-B278)/B278</f>
        <v/>
      </c>
    </row>
    <row r="280">
      <c r="A280" s="74" t="n">
        <v>41974</v>
      </c>
      <c r="B280" s="75">
        <f>VLOOKUP(A280,Database!A:M,MATCH($A$1,Database!$A$1:$M$1,),)</f>
        <v/>
      </c>
      <c r="C280" s="113">
        <f>(Table535[[#This Row],[New Orders - Nondefense Capital Goods Excluding Aircraft]]-B279)/B279</f>
        <v/>
      </c>
    </row>
    <row r="281">
      <c r="A281" s="74" t="n">
        <v>42005</v>
      </c>
      <c r="B281" s="75">
        <f>VLOOKUP(A281,Database!A:M,MATCH($A$1,Database!$A$1:$M$1,),)</f>
        <v/>
      </c>
      <c r="C281" s="113">
        <f>(Table535[[#This Row],[New Orders - Nondefense Capital Goods Excluding Aircraft]]-B280)/B280</f>
        <v/>
      </c>
    </row>
    <row r="282">
      <c r="A282" s="74" t="n">
        <v>42036</v>
      </c>
      <c r="B282" s="75">
        <f>VLOOKUP(A282,Database!A:M,MATCH($A$1,Database!$A$1:$M$1,),)</f>
        <v/>
      </c>
      <c r="C282" s="113">
        <f>(Table535[[#This Row],[New Orders - Nondefense Capital Goods Excluding Aircraft]]-B281)/B281</f>
        <v/>
      </c>
    </row>
    <row r="283">
      <c r="A283" s="74" t="n">
        <v>42064</v>
      </c>
      <c r="B283" s="75">
        <f>VLOOKUP(A283,Database!A:M,MATCH($A$1,Database!$A$1:$M$1,),)</f>
        <v/>
      </c>
      <c r="C283" s="113">
        <f>(Table535[[#This Row],[New Orders - Nondefense Capital Goods Excluding Aircraft]]-B282)/B282</f>
        <v/>
      </c>
    </row>
    <row r="284">
      <c r="A284" s="74" t="n">
        <v>42095</v>
      </c>
      <c r="B284" s="75">
        <f>VLOOKUP(A284,Database!A:M,MATCH($A$1,Database!$A$1:$M$1,),)</f>
        <v/>
      </c>
      <c r="C284" s="113">
        <f>(Table535[[#This Row],[New Orders - Nondefense Capital Goods Excluding Aircraft]]-B283)/B283</f>
        <v/>
      </c>
    </row>
    <row r="285">
      <c r="A285" s="74" t="n">
        <v>42125</v>
      </c>
      <c r="B285" s="75">
        <f>VLOOKUP(A285,Database!A:M,MATCH($A$1,Database!$A$1:$M$1,),)</f>
        <v/>
      </c>
      <c r="C285" s="113">
        <f>(Table535[[#This Row],[New Orders - Nondefense Capital Goods Excluding Aircraft]]-B284)/B284</f>
        <v/>
      </c>
    </row>
    <row r="286">
      <c r="A286" s="74" t="n">
        <v>42156</v>
      </c>
      <c r="B286" s="75">
        <f>VLOOKUP(A286,Database!A:M,MATCH($A$1,Database!$A$1:$M$1,),)</f>
        <v/>
      </c>
      <c r="C286" s="113">
        <f>(Table535[[#This Row],[New Orders - Nondefense Capital Goods Excluding Aircraft]]-B285)/B285</f>
        <v/>
      </c>
    </row>
    <row r="287">
      <c r="A287" s="74" t="n">
        <v>42186</v>
      </c>
      <c r="B287" s="75">
        <f>VLOOKUP(A287,Database!A:M,MATCH($A$1,Database!$A$1:$M$1,),)</f>
        <v/>
      </c>
      <c r="C287" s="113">
        <f>(Table535[[#This Row],[New Orders - Nondefense Capital Goods Excluding Aircraft]]-B286)/B286</f>
        <v/>
      </c>
    </row>
    <row r="288">
      <c r="A288" s="74" t="n">
        <v>42217</v>
      </c>
      <c r="B288" s="75">
        <f>VLOOKUP(A288,Database!A:M,MATCH($A$1,Database!$A$1:$M$1,),)</f>
        <v/>
      </c>
      <c r="C288" s="113">
        <f>(Table535[[#This Row],[New Orders - Nondefense Capital Goods Excluding Aircraft]]-B287)/B287</f>
        <v/>
      </c>
    </row>
    <row r="289">
      <c r="A289" s="74" t="n">
        <v>42248</v>
      </c>
      <c r="B289" s="75">
        <f>VLOOKUP(A289,Database!A:M,MATCH($A$1,Database!$A$1:$M$1,),)</f>
        <v/>
      </c>
      <c r="C289" s="113">
        <f>(Table535[[#This Row],[New Orders - Nondefense Capital Goods Excluding Aircraft]]-B288)/B288</f>
        <v/>
      </c>
    </row>
    <row r="290">
      <c r="A290" s="74" t="n">
        <v>42278</v>
      </c>
      <c r="B290" s="75">
        <f>VLOOKUP(A290,Database!A:M,MATCH($A$1,Database!$A$1:$M$1,),)</f>
        <v/>
      </c>
      <c r="C290" s="113">
        <f>(Table535[[#This Row],[New Orders - Nondefense Capital Goods Excluding Aircraft]]-B289)/B289</f>
        <v/>
      </c>
    </row>
    <row r="291">
      <c r="A291" s="74" t="n">
        <v>42309</v>
      </c>
      <c r="B291" s="75">
        <f>VLOOKUP(A291,Database!A:M,MATCH($A$1,Database!$A$1:$M$1,),)</f>
        <v/>
      </c>
      <c r="C291" s="113">
        <f>(Table535[[#This Row],[New Orders - Nondefense Capital Goods Excluding Aircraft]]-B290)/B290</f>
        <v/>
      </c>
    </row>
    <row r="292">
      <c r="A292" s="74" t="n">
        <v>42339</v>
      </c>
      <c r="B292" s="75">
        <f>VLOOKUP(A292,Database!A:M,MATCH($A$1,Database!$A$1:$M$1,),)</f>
        <v/>
      </c>
      <c r="C292" s="113">
        <f>(Table535[[#This Row],[New Orders - Nondefense Capital Goods Excluding Aircraft]]-B291)/B291</f>
        <v/>
      </c>
    </row>
    <row r="293">
      <c r="A293" s="74" t="n">
        <v>42370</v>
      </c>
      <c r="B293" s="75">
        <f>VLOOKUP(A293,Database!A:M,MATCH($A$1,Database!$A$1:$M$1,),)</f>
        <v/>
      </c>
      <c r="C293" s="113">
        <f>(Table535[[#This Row],[New Orders - Nondefense Capital Goods Excluding Aircraft]]-B292)/B292</f>
        <v/>
      </c>
    </row>
    <row r="294">
      <c r="A294" s="74" t="n">
        <v>42401</v>
      </c>
      <c r="B294" s="75">
        <f>VLOOKUP(A294,Database!A:M,MATCH($A$1,Database!$A$1:$M$1,),)</f>
        <v/>
      </c>
      <c r="C294" s="113">
        <f>(Table535[[#This Row],[New Orders - Nondefense Capital Goods Excluding Aircraft]]-B293)/B293</f>
        <v/>
      </c>
    </row>
    <row r="295">
      <c r="A295" s="74" t="n">
        <v>42430</v>
      </c>
      <c r="B295" s="75">
        <f>VLOOKUP(A295,Database!A:M,MATCH($A$1,Database!$A$1:$M$1,),)</f>
        <v/>
      </c>
      <c r="C295" s="113">
        <f>(Table535[[#This Row],[New Orders - Nondefense Capital Goods Excluding Aircraft]]-B294)/B294</f>
        <v/>
      </c>
    </row>
    <row r="296">
      <c r="A296" s="74" t="n">
        <v>42461</v>
      </c>
      <c r="B296" s="75">
        <f>VLOOKUP(A296,Database!A:M,MATCH($A$1,Database!$A$1:$M$1,),)</f>
        <v/>
      </c>
      <c r="C296" s="113">
        <f>(Table535[[#This Row],[New Orders - Nondefense Capital Goods Excluding Aircraft]]-B295)/B295</f>
        <v/>
      </c>
    </row>
    <row r="297">
      <c r="A297" s="74" t="n">
        <v>42491</v>
      </c>
      <c r="B297" s="75">
        <f>VLOOKUP(A297,Database!A:M,MATCH($A$1,Database!$A$1:$M$1,),)</f>
        <v/>
      </c>
      <c r="C297" s="113">
        <f>(Table535[[#This Row],[New Orders - Nondefense Capital Goods Excluding Aircraft]]-B296)/B296</f>
        <v/>
      </c>
    </row>
    <row r="298">
      <c r="A298" s="74" t="n">
        <v>42522</v>
      </c>
      <c r="B298" s="75">
        <f>VLOOKUP(A298,Database!A:M,MATCH($A$1,Database!$A$1:$M$1,),)</f>
        <v/>
      </c>
      <c r="C298" s="113">
        <f>(Table535[[#This Row],[New Orders - Nondefense Capital Goods Excluding Aircraft]]-B297)/B297</f>
        <v/>
      </c>
    </row>
    <row r="299">
      <c r="A299" s="74" t="n">
        <v>42552</v>
      </c>
      <c r="B299" s="75">
        <f>VLOOKUP(A299,Database!A:M,MATCH($A$1,Database!$A$1:$M$1,),)</f>
        <v/>
      </c>
      <c r="C299" s="113">
        <f>(Table535[[#This Row],[New Orders - Nondefense Capital Goods Excluding Aircraft]]-B298)/B298</f>
        <v/>
      </c>
    </row>
    <row r="300">
      <c r="A300" s="74" t="n">
        <v>42583</v>
      </c>
      <c r="B300" s="75">
        <f>VLOOKUP(A300,Database!A:M,MATCH($A$1,Database!$A$1:$M$1,),)</f>
        <v/>
      </c>
      <c r="C300" s="113">
        <f>(Table535[[#This Row],[New Orders - Nondefense Capital Goods Excluding Aircraft]]-B299)/B299</f>
        <v/>
      </c>
    </row>
    <row r="301">
      <c r="A301" s="74" t="n">
        <v>42614</v>
      </c>
      <c r="B301" s="75">
        <f>VLOOKUP(A301,Database!A:M,MATCH($A$1,Database!$A$1:$M$1,),)</f>
        <v/>
      </c>
      <c r="C301" s="113">
        <f>(Table535[[#This Row],[New Orders - Nondefense Capital Goods Excluding Aircraft]]-B300)/B300</f>
        <v/>
      </c>
    </row>
    <row r="302">
      <c r="A302" s="74" t="n">
        <v>42644</v>
      </c>
      <c r="B302" s="75">
        <f>VLOOKUP(A302,Database!A:M,MATCH($A$1,Database!$A$1:$M$1,),)</f>
        <v/>
      </c>
      <c r="C302" s="113">
        <f>(Table535[[#This Row],[New Orders - Nondefense Capital Goods Excluding Aircraft]]-B301)/B301</f>
        <v/>
      </c>
    </row>
    <row r="303">
      <c r="A303" s="74" t="n">
        <v>42675</v>
      </c>
      <c r="B303" s="75">
        <f>VLOOKUP(A303,Database!A:M,MATCH($A$1,Database!$A$1:$M$1,),)</f>
        <v/>
      </c>
      <c r="C303" s="113">
        <f>(Table535[[#This Row],[New Orders - Nondefense Capital Goods Excluding Aircraft]]-B302)/B302</f>
        <v/>
      </c>
    </row>
    <row r="304">
      <c r="A304" s="74" t="n">
        <v>42705</v>
      </c>
      <c r="B304" s="75">
        <f>VLOOKUP(A304,Database!A:M,MATCH($A$1,Database!$A$1:$M$1,),)</f>
        <v/>
      </c>
      <c r="C304" s="113">
        <f>(Table535[[#This Row],[New Orders - Nondefense Capital Goods Excluding Aircraft]]-B303)/B303</f>
        <v/>
      </c>
    </row>
    <row r="305">
      <c r="A305" s="74" t="n">
        <v>42736</v>
      </c>
      <c r="B305" s="75">
        <f>VLOOKUP(A305,Database!A:M,MATCH($A$1,Database!$A$1:$M$1,),)</f>
        <v/>
      </c>
      <c r="C305" s="113">
        <f>(Table535[[#This Row],[New Orders - Nondefense Capital Goods Excluding Aircraft]]-B304)/B304</f>
        <v/>
      </c>
    </row>
    <row r="306">
      <c r="A306" s="74" t="n">
        <v>42767</v>
      </c>
      <c r="B306" s="75">
        <f>VLOOKUP(A306,Database!A:M,MATCH($A$1,Database!$A$1:$M$1,),)</f>
        <v/>
      </c>
      <c r="C306" s="113">
        <f>(Table535[[#This Row],[New Orders - Nondefense Capital Goods Excluding Aircraft]]-B305)/B305</f>
        <v/>
      </c>
    </row>
    <row r="307">
      <c r="A307" s="74" t="n">
        <v>42795</v>
      </c>
      <c r="B307" s="75">
        <f>VLOOKUP(A307,Database!A:M,MATCH($A$1,Database!$A$1:$M$1,),)</f>
        <v/>
      </c>
      <c r="C307" s="113">
        <f>(Table535[[#This Row],[New Orders - Nondefense Capital Goods Excluding Aircraft]]-B306)/B306</f>
        <v/>
      </c>
    </row>
    <row r="308">
      <c r="A308" s="74" t="n">
        <v>42826</v>
      </c>
      <c r="B308" s="75">
        <f>VLOOKUP(A308,Database!A:M,MATCH($A$1,Database!$A$1:$M$1,),)</f>
        <v/>
      </c>
      <c r="C308" s="113">
        <f>(Table535[[#This Row],[New Orders - Nondefense Capital Goods Excluding Aircraft]]-B307)/B307</f>
        <v/>
      </c>
    </row>
    <row r="309">
      <c r="A309" s="74" t="n">
        <v>42856</v>
      </c>
      <c r="B309" s="75">
        <f>VLOOKUP(A309,Database!A:M,MATCH($A$1,Database!$A$1:$M$1,),)</f>
        <v/>
      </c>
      <c r="C309" s="113">
        <f>(Table535[[#This Row],[New Orders - Nondefense Capital Goods Excluding Aircraft]]-B308)/B308</f>
        <v/>
      </c>
    </row>
    <row r="310">
      <c r="A310" s="74" t="n">
        <v>42887</v>
      </c>
      <c r="B310" s="75">
        <f>VLOOKUP(A310,Database!A:M,MATCH($A$1,Database!$A$1:$M$1,),)</f>
        <v/>
      </c>
      <c r="C310" s="113">
        <f>(Table535[[#This Row],[New Orders - Nondefense Capital Goods Excluding Aircraft]]-B309)/B309</f>
        <v/>
      </c>
    </row>
    <row r="311">
      <c r="A311" s="74" t="n">
        <v>42917</v>
      </c>
      <c r="B311" s="75">
        <f>VLOOKUP(A311,Database!A:M,MATCH($A$1,Database!$A$1:$M$1,),)</f>
        <v/>
      </c>
      <c r="C311" s="113">
        <f>(Table535[[#This Row],[New Orders - Nondefense Capital Goods Excluding Aircraft]]-B310)/B310</f>
        <v/>
      </c>
    </row>
    <row r="312">
      <c r="A312" s="74" t="n">
        <v>42948</v>
      </c>
      <c r="B312" s="75">
        <f>VLOOKUP(A312,Database!A:M,MATCH($A$1,Database!$A$1:$M$1,),)</f>
        <v/>
      </c>
      <c r="C312" s="113">
        <f>(Table535[[#This Row],[New Orders - Nondefense Capital Goods Excluding Aircraft]]-B311)/B311</f>
        <v/>
      </c>
    </row>
    <row r="313">
      <c r="A313" s="74" t="n">
        <v>42979</v>
      </c>
      <c r="B313" s="75">
        <f>VLOOKUP(A313,Database!A:M,MATCH($A$1,Database!$A$1:$M$1,),)</f>
        <v/>
      </c>
      <c r="C313" s="113">
        <f>(Table535[[#This Row],[New Orders - Nondefense Capital Goods Excluding Aircraft]]-B312)/B312</f>
        <v/>
      </c>
    </row>
    <row r="314">
      <c r="A314" s="74" t="n">
        <v>43009</v>
      </c>
      <c r="B314" s="75">
        <f>VLOOKUP(A314,Database!A:M,MATCH($A$1,Database!$A$1:$M$1,),)</f>
        <v/>
      </c>
      <c r="C314" s="113">
        <f>(Table535[[#This Row],[New Orders - Nondefense Capital Goods Excluding Aircraft]]-B313)/B313</f>
        <v/>
      </c>
    </row>
    <row r="315">
      <c r="A315" s="74" t="n">
        <v>43040</v>
      </c>
      <c r="B315" s="75">
        <f>VLOOKUP(A315,Database!A:M,MATCH($A$1,Database!$A$1:$M$1,),)</f>
        <v/>
      </c>
      <c r="C315" s="113">
        <f>(Table535[[#This Row],[New Orders - Nondefense Capital Goods Excluding Aircraft]]-B314)/B314</f>
        <v/>
      </c>
    </row>
    <row r="316">
      <c r="A316" s="74" t="n">
        <v>43070</v>
      </c>
      <c r="B316" s="75">
        <f>VLOOKUP(A316,Database!A:M,MATCH($A$1,Database!$A$1:$M$1,),)</f>
        <v/>
      </c>
      <c r="C316" s="113">
        <f>(Table535[[#This Row],[New Orders - Nondefense Capital Goods Excluding Aircraft]]-B315)/B315</f>
        <v/>
      </c>
    </row>
    <row r="317">
      <c r="A317" s="74" t="n">
        <v>43101</v>
      </c>
      <c r="B317" s="75">
        <f>VLOOKUP(A317,Database!A:M,MATCH($A$1,Database!$A$1:$M$1,),)</f>
        <v/>
      </c>
      <c r="C317" s="113">
        <f>(Table535[[#This Row],[New Orders - Nondefense Capital Goods Excluding Aircraft]]-B316)/B316</f>
        <v/>
      </c>
    </row>
    <row r="318">
      <c r="A318" s="74" t="n">
        <v>43132</v>
      </c>
      <c r="B318" s="75">
        <f>VLOOKUP(A318,Database!A:M,MATCH($A$1,Database!$A$1:$M$1,),)</f>
        <v/>
      </c>
      <c r="C318" s="113">
        <f>(Table535[[#This Row],[New Orders - Nondefense Capital Goods Excluding Aircraft]]-B317)/B317</f>
        <v/>
      </c>
    </row>
    <row r="319">
      <c r="A319" s="74" t="n">
        <v>43160</v>
      </c>
      <c r="B319" s="75">
        <f>VLOOKUP(A319,Database!A:M,MATCH($A$1,Database!$A$1:$M$1,),)</f>
        <v/>
      </c>
      <c r="C319" s="113">
        <f>(Table535[[#This Row],[New Orders - Nondefense Capital Goods Excluding Aircraft]]-B318)/B318</f>
        <v/>
      </c>
    </row>
    <row r="320">
      <c r="A320" s="74" t="n">
        <v>43191</v>
      </c>
      <c r="B320" s="75">
        <f>VLOOKUP(A320,Database!A:M,MATCH($A$1,Database!$A$1:$M$1,),)</f>
        <v/>
      </c>
      <c r="C320" s="113">
        <f>(Table535[[#This Row],[New Orders - Nondefense Capital Goods Excluding Aircraft]]-B319)/B319</f>
        <v/>
      </c>
    </row>
    <row r="321">
      <c r="A321" s="74" t="n">
        <v>43221</v>
      </c>
      <c r="B321" s="75">
        <f>VLOOKUP(A321,Database!A:M,MATCH($A$1,Database!$A$1:$M$1,),)</f>
        <v/>
      </c>
      <c r="C321" s="113">
        <f>(Table535[[#This Row],[New Orders - Nondefense Capital Goods Excluding Aircraft]]-B320)/B320</f>
        <v/>
      </c>
    </row>
    <row r="322">
      <c r="A322" s="74" t="n">
        <v>43252</v>
      </c>
      <c r="B322" s="75">
        <f>VLOOKUP(A322,Database!A:M,MATCH($A$1,Database!$A$1:$M$1,),)</f>
        <v/>
      </c>
      <c r="C322" s="113">
        <f>(Table535[[#This Row],[New Orders - Nondefense Capital Goods Excluding Aircraft]]-B321)/B321</f>
        <v/>
      </c>
    </row>
    <row r="323">
      <c r="A323" s="74" t="n">
        <v>43282</v>
      </c>
      <c r="B323" s="75">
        <f>VLOOKUP(A323,Database!A:M,MATCH($A$1,Database!$A$1:$M$1,),)</f>
        <v/>
      </c>
      <c r="C323" s="113">
        <f>(Table535[[#This Row],[New Orders - Nondefense Capital Goods Excluding Aircraft]]-B322)/B322</f>
        <v/>
      </c>
    </row>
    <row r="324">
      <c r="A324" s="74" t="n">
        <v>43313</v>
      </c>
      <c r="B324" s="75">
        <f>VLOOKUP(A324,Database!A:M,MATCH($A$1,Database!$A$1:$M$1,),)</f>
        <v/>
      </c>
      <c r="C324" s="113">
        <f>(Table535[[#This Row],[New Orders - Nondefense Capital Goods Excluding Aircraft]]-B323)/B323</f>
        <v/>
      </c>
    </row>
    <row r="325">
      <c r="A325" s="74" t="n">
        <v>43344</v>
      </c>
      <c r="B325" s="75">
        <f>VLOOKUP(A325,Database!A:M,MATCH($A$1,Database!$A$1:$M$1,),)</f>
        <v/>
      </c>
      <c r="C325" s="113">
        <f>(Table535[[#This Row],[New Orders - Nondefense Capital Goods Excluding Aircraft]]-B324)/B324</f>
        <v/>
      </c>
    </row>
    <row r="326">
      <c r="A326" s="74" t="n">
        <v>43374</v>
      </c>
      <c r="B326" s="75">
        <f>VLOOKUP(A326,Database!A:M,MATCH($A$1,Database!$A$1:$M$1,),)</f>
        <v/>
      </c>
      <c r="C326" s="113">
        <f>(Table535[[#This Row],[New Orders - Nondefense Capital Goods Excluding Aircraft]]-B325)/B325</f>
        <v/>
      </c>
    </row>
    <row r="327">
      <c r="A327" s="74" t="n">
        <v>43405</v>
      </c>
      <c r="B327" s="75">
        <f>VLOOKUP(A327,Database!A:M,MATCH($A$1,Database!$A$1:$M$1,),)</f>
        <v/>
      </c>
      <c r="C327" s="113">
        <f>(Table535[[#This Row],[New Orders - Nondefense Capital Goods Excluding Aircraft]]-B326)/B326</f>
        <v/>
      </c>
    </row>
    <row r="328">
      <c r="A328" s="74" t="n">
        <v>43435</v>
      </c>
      <c r="B328" s="75">
        <f>VLOOKUP(A328,Database!A:M,MATCH($A$1,Database!$A$1:$M$1,),)</f>
        <v/>
      </c>
      <c r="C328" s="113">
        <f>(Table535[[#This Row],[New Orders - Nondefense Capital Goods Excluding Aircraft]]-B327)/B327</f>
        <v/>
      </c>
    </row>
    <row r="329">
      <c r="A329" s="74" t="n">
        <v>43466</v>
      </c>
      <c r="B329" s="75">
        <f>VLOOKUP(A329,Database!A:M,MATCH($A$1,Database!$A$1:$M$1,),)</f>
        <v/>
      </c>
      <c r="C329" s="113">
        <f>(Table535[[#This Row],[New Orders - Nondefense Capital Goods Excluding Aircraft]]-B328)/B328</f>
        <v/>
      </c>
    </row>
    <row r="330">
      <c r="A330" s="74" t="n">
        <v>43497</v>
      </c>
      <c r="B330" s="75">
        <f>VLOOKUP(A330,Database!A:M,MATCH($A$1,Database!$A$1:$M$1,),)</f>
        <v/>
      </c>
      <c r="C330" s="113">
        <f>(Table535[[#This Row],[New Orders - Nondefense Capital Goods Excluding Aircraft]]-B329)/B329</f>
        <v/>
      </c>
    </row>
    <row r="331">
      <c r="A331" s="74" t="n">
        <v>43525</v>
      </c>
      <c r="B331" s="75">
        <f>VLOOKUP(A331,Database!A:M,MATCH($A$1,Database!$A$1:$M$1,),)</f>
        <v/>
      </c>
      <c r="C331" s="113">
        <f>(Table535[[#This Row],[New Orders - Nondefense Capital Goods Excluding Aircraft]]-B330)/B330</f>
        <v/>
      </c>
    </row>
    <row r="332">
      <c r="A332" s="74" t="n">
        <v>43556</v>
      </c>
      <c r="B332" s="75">
        <f>VLOOKUP(A332,Database!A:M,MATCH($A$1,Database!$A$1:$M$1,),)</f>
        <v/>
      </c>
      <c r="C332" s="113">
        <f>(Table535[[#This Row],[New Orders - Nondefense Capital Goods Excluding Aircraft]]-B331)/B331</f>
        <v/>
      </c>
    </row>
    <row r="333">
      <c r="A333" s="74" t="n">
        <v>43586</v>
      </c>
      <c r="B333" s="75">
        <f>VLOOKUP(A333,Database!A:M,MATCH($A$1,Database!$A$1:$M$1,),)</f>
        <v/>
      </c>
      <c r="C333" s="113">
        <f>(Table535[[#This Row],[New Orders - Nondefense Capital Goods Excluding Aircraft]]-B332)/B332</f>
        <v/>
      </c>
    </row>
    <row r="334">
      <c r="A334" s="74" t="n">
        <v>43617</v>
      </c>
      <c r="B334" s="75">
        <f>VLOOKUP(A334,Database!A:M,MATCH($A$1,Database!$A$1:$M$1,),)</f>
        <v/>
      </c>
      <c r="C334" s="113">
        <f>(Table535[[#This Row],[New Orders - Nondefense Capital Goods Excluding Aircraft]]-B333)/B333</f>
        <v/>
      </c>
    </row>
    <row r="335">
      <c r="A335" s="74" t="n">
        <v>43647</v>
      </c>
      <c r="B335" s="75">
        <f>VLOOKUP(A335,Database!A:M,MATCH($A$1,Database!$A$1:$M$1,),)</f>
        <v/>
      </c>
      <c r="C335" s="113">
        <f>(Table535[[#This Row],[New Orders - Nondefense Capital Goods Excluding Aircraft]]-B334)/B334</f>
        <v/>
      </c>
    </row>
    <row r="336">
      <c r="A336" s="74" t="n">
        <v>43678</v>
      </c>
      <c r="B336" s="75">
        <f>VLOOKUP(A336,Database!A:M,MATCH($A$1,Database!$A$1:$M$1,),)</f>
        <v/>
      </c>
      <c r="C336" s="113">
        <f>(Table535[[#This Row],[New Orders - Nondefense Capital Goods Excluding Aircraft]]-B335)/B335</f>
        <v/>
      </c>
    </row>
    <row r="337">
      <c r="A337" s="74" t="n">
        <v>43709</v>
      </c>
      <c r="B337" s="75">
        <f>VLOOKUP(A337,Database!A:M,MATCH($A$1,Database!$A$1:$M$1,),)</f>
        <v/>
      </c>
      <c r="C337" s="113">
        <f>(Table535[[#This Row],[New Orders - Nondefense Capital Goods Excluding Aircraft]]-B336)/B336</f>
        <v/>
      </c>
    </row>
    <row r="338">
      <c r="A338" s="74" t="n">
        <v>43739</v>
      </c>
      <c r="B338" s="75">
        <f>VLOOKUP(A338,Database!A:M,MATCH($A$1,Database!$A$1:$M$1,),)</f>
        <v/>
      </c>
      <c r="C338" s="113">
        <f>(Table535[[#This Row],[New Orders - Nondefense Capital Goods Excluding Aircraft]]-B337)/B337</f>
        <v/>
      </c>
    </row>
    <row r="339">
      <c r="A339" s="74" t="n">
        <v>43770</v>
      </c>
      <c r="B339" s="75">
        <f>VLOOKUP(A339,Database!A:M,MATCH($A$1,Database!$A$1:$M$1,),)</f>
        <v/>
      </c>
      <c r="C339" s="113">
        <f>(Table535[[#This Row],[New Orders - Nondefense Capital Goods Excluding Aircraft]]-B338)/B338</f>
        <v/>
      </c>
    </row>
    <row r="340">
      <c r="A340" s="74" t="n">
        <v>43800</v>
      </c>
      <c r="B340" s="75">
        <f>VLOOKUP(A340,Database!A:M,MATCH($A$1,Database!$A$1:$M$1,),)</f>
        <v/>
      </c>
      <c r="C340" s="113">
        <f>(Table535[[#This Row],[New Orders - Nondefense Capital Goods Excluding Aircraft]]-B339)/B339</f>
        <v/>
      </c>
    </row>
    <row r="341">
      <c r="A341" s="74" t="n">
        <v>43831</v>
      </c>
      <c r="B341" s="75">
        <f>VLOOKUP(A341,Database!A:M,MATCH($A$1,Database!$A$1:$M$1,),)</f>
        <v/>
      </c>
      <c r="C341" s="113">
        <f>(Table535[[#This Row],[New Orders - Nondefense Capital Goods Excluding Aircraft]]-B340)/B340</f>
        <v/>
      </c>
    </row>
    <row r="342">
      <c r="A342" s="74" t="n">
        <v>43862</v>
      </c>
      <c r="B342" s="75">
        <f>VLOOKUP(A342,Database!A:M,MATCH($A$1,Database!$A$1:$M$1,),)</f>
        <v/>
      </c>
      <c r="C342" s="113">
        <f>(Table535[[#This Row],[New Orders - Nondefense Capital Goods Excluding Aircraft]]-B341)/B341</f>
        <v/>
      </c>
    </row>
    <row r="343">
      <c r="A343" s="74" t="n">
        <v>43891</v>
      </c>
      <c r="B343" s="75">
        <f>VLOOKUP(A343,Database!A:M,MATCH($A$1,Database!$A$1:$M$1,),)</f>
        <v/>
      </c>
      <c r="C343" s="113">
        <f>(Table535[[#This Row],[New Orders - Nondefense Capital Goods Excluding Aircraft]]-B342)/B342</f>
        <v/>
      </c>
    </row>
    <row r="344">
      <c r="A344" s="74" t="n">
        <v>43922</v>
      </c>
      <c r="B344" s="75">
        <f>VLOOKUP(A344,Database!A:M,MATCH($A$1,Database!$A$1:$M$1,),)</f>
        <v/>
      </c>
      <c r="C344" s="113">
        <f>(Table535[[#This Row],[New Orders - Nondefense Capital Goods Excluding Aircraft]]-B343)/B343</f>
        <v/>
      </c>
    </row>
    <row r="345">
      <c r="A345" s="74" t="n">
        <v>43952</v>
      </c>
      <c r="B345" s="75">
        <f>VLOOKUP(A345,Database!A:M,MATCH($A$1,Database!$A$1:$M$1,),)</f>
        <v/>
      </c>
      <c r="C345" s="113">
        <f>(Table535[[#This Row],[New Orders - Nondefense Capital Goods Excluding Aircraft]]-B344)/B344</f>
        <v/>
      </c>
    </row>
    <row r="346">
      <c r="A346" s="74" t="n">
        <v>43983</v>
      </c>
      <c r="B346" s="75">
        <f>VLOOKUP(A346,Database!A:M,MATCH($A$1,Database!$A$1:$M$1,),)</f>
        <v/>
      </c>
      <c r="C346" s="113">
        <f>(Table535[[#This Row],[New Orders - Nondefense Capital Goods Excluding Aircraft]]-B345)/B345</f>
        <v/>
      </c>
    </row>
    <row r="347">
      <c r="A347" s="74" t="n">
        <v>44013</v>
      </c>
      <c r="B347" s="75">
        <f>VLOOKUP(A347,Database!A:M,MATCH($A$1,Database!$A$1:$M$1,),)</f>
        <v/>
      </c>
      <c r="C347" s="113">
        <f>(Table535[[#This Row],[New Orders - Nondefense Capital Goods Excluding Aircraft]]-B346)/B346</f>
        <v/>
      </c>
    </row>
    <row r="348">
      <c r="A348" s="74" t="n">
        <v>44044</v>
      </c>
      <c r="B348" s="75">
        <f>VLOOKUP(A348,Database!A:M,MATCH($A$1,Database!$A$1:$M$1,),)</f>
        <v/>
      </c>
      <c r="C348" s="113">
        <f>(Table535[[#This Row],[New Orders - Nondefense Capital Goods Excluding Aircraft]]-B347)/B347</f>
        <v/>
      </c>
    </row>
    <row r="349">
      <c r="A349" s="74" t="n">
        <v>44075</v>
      </c>
      <c r="B349" s="75">
        <f>VLOOKUP(A349,Database!A:M,MATCH($A$1,Database!$A$1:$M$1,),)</f>
        <v/>
      </c>
      <c r="C349" s="113">
        <f>(Table535[[#This Row],[New Orders - Nondefense Capital Goods Excluding Aircraft]]-B348)/B348</f>
        <v/>
      </c>
    </row>
    <row r="350">
      <c r="A350" s="74" t="n">
        <v>44105</v>
      </c>
      <c r="B350" s="75">
        <f>VLOOKUP(A350,Database!A:M,MATCH($A$1,Database!$A$1:$M$1,),)</f>
        <v/>
      </c>
      <c r="C350" s="113">
        <f>(Table535[[#This Row],[New Orders - Nondefense Capital Goods Excluding Aircraft]]-B349)/B349</f>
        <v/>
      </c>
    </row>
    <row r="351">
      <c r="A351" s="74" t="n">
        <v>44136</v>
      </c>
      <c r="B351" s="75">
        <f>VLOOKUP(A351,Database!A:M,MATCH($A$1,Database!$A$1:$M$1,),)</f>
        <v/>
      </c>
      <c r="C351" s="113">
        <f>(Table535[[#This Row],[New Orders - Nondefense Capital Goods Excluding Aircraft]]-B350)/B350</f>
        <v/>
      </c>
    </row>
    <row r="352">
      <c r="A352" s="74" t="n">
        <v>44166</v>
      </c>
      <c r="B352" s="75">
        <f>VLOOKUP(A352,Database!A:M,MATCH($A$1,Database!$A$1:$M$1,),)</f>
        <v/>
      </c>
      <c r="C352" s="113">
        <f>(Table535[[#This Row],[New Orders - Nondefense Capital Goods Excluding Aircraft]]-B351)/B351</f>
        <v/>
      </c>
    </row>
    <row r="353">
      <c r="A353" s="74" t="n">
        <v>44197</v>
      </c>
      <c r="B353" s="75">
        <f>VLOOKUP(A353,Database!A:M,MATCH($A$1,Database!$A$1:$M$1,),)</f>
        <v/>
      </c>
      <c r="C353" s="113">
        <f>(Table535[[#This Row],[New Orders - Nondefense Capital Goods Excluding Aircraft]]-B352)/B352</f>
        <v/>
      </c>
    </row>
    <row r="354">
      <c r="A354" s="74" t="n">
        <v>44228</v>
      </c>
      <c r="B354" s="75">
        <f>VLOOKUP(A354,Database!A:M,MATCH($A$1,Database!$A$1:$M$1,),)</f>
        <v/>
      </c>
      <c r="C354" s="113">
        <f>(Table535[[#This Row],[New Orders - Nondefense Capital Goods Excluding Aircraft]]-B353)/B353</f>
        <v/>
      </c>
    </row>
    <row r="355">
      <c r="A355" s="74" t="n">
        <v>44256</v>
      </c>
      <c r="B355" s="75">
        <f>VLOOKUP(A355,Database!A:M,MATCH($A$1,Database!$A$1:$M$1,),)</f>
        <v/>
      </c>
      <c r="C355" s="113">
        <f>(Table535[[#This Row],[New Orders - Nondefense Capital Goods Excluding Aircraft]]-B354)/B354</f>
        <v/>
      </c>
    </row>
    <row r="356">
      <c r="A356" s="74" t="n">
        <v>44287</v>
      </c>
      <c r="B356" s="75">
        <f>VLOOKUP(A356,Database!A:M,MATCH($A$1,Database!$A$1:$M$1,),)</f>
        <v/>
      </c>
      <c r="C356" s="113">
        <f>(Table535[[#This Row],[New Orders - Nondefense Capital Goods Excluding Aircraft]]-B355)/B355</f>
        <v/>
      </c>
    </row>
    <row r="357">
      <c r="A357" s="74" t="n">
        <v>44317</v>
      </c>
      <c r="B357" s="75">
        <f>VLOOKUP(A357,Database!A:M,MATCH($A$1,Database!$A$1:$M$1,),)</f>
        <v/>
      </c>
      <c r="C357" s="113">
        <f>(Table535[[#This Row],[New Orders - Nondefense Capital Goods Excluding Aircraft]]-B356)/B356</f>
        <v/>
      </c>
    </row>
    <row r="358">
      <c r="A358" s="74" t="n">
        <v>44348</v>
      </c>
      <c r="B358" s="75">
        <f>VLOOKUP(A358,Database!A:M,MATCH($A$1,Database!$A$1:$M$1,),)</f>
        <v/>
      </c>
      <c r="C358" s="113">
        <f>(Table535[[#This Row],[New Orders - Nondefense Capital Goods Excluding Aircraft]]-B357)/B357</f>
        <v/>
      </c>
    </row>
    <row r="359">
      <c r="A359" s="74" t="n">
        <v>44378</v>
      </c>
      <c r="B359" s="75">
        <f>VLOOKUP(A359,Database!A:M,MATCH($A$1,Database!$A$1:$M$1,),)</f>
        <v/>
      </c>
      <c r="C359" s="113">
        <f>(Table535[[#This Row],[New Orders - Nondefense Capital Goods Excluding Aircraft]]-B358)/B358</f>
        <v/>
      </c>
    </row>
    <row r="360">
      <c r="A360" s="74" t="n">
        <v>44409</v>
      </c>
      <c r="B360" s="75">
        <f>VLOOKUP(A360,Database!A:M,MATCH($A$1,Database!$A$1:$M$1,),)</f>
        <v/>
      </c>
      <c r="C360" s="113">
        <f>(Table535[[#This Row],[New Orders - Nondefense Capital Goods Excluding Aircraft]]-B359)/B359</f>
        <v/>
      </c>
    </row>
    <row r="361">
      <c r="A361" s="74" t="n">
        <v>44440</v>
      </c>
      <c r="B361" s="75">
        <f>VLOOKUP(A361,Database!A:M,MATCH($A$1,Database!$A$1:$M$1,),)</f>
        <v/>
      </c>
      <c r="C361" s="113">
        <f>(Table535[[#This Row],[New Orders - Nondefense Capital Goods Excluding Aircraft]]-B360)/B360</f>
        <v/>
      </c>
    </row>
    <row r="362">
      <c r="A362" s="74" t="n">
        <v>44470</v>
      </c>
      <c r="B362" s="75">
        <f>VLOOKUP(A362,Database!A:M,MATCH($A$1,Database!$A$1:$M$1,),)</f>
        <v/>
      </c>
      <c r="C362" s="113">
        <f>(Table535[[#This Row],[New Orders - Nondefense Capital Goods Excluding Aircraft]]-B361)/B361</f>
        <v/>
      </c>
    </row>
    <row r="363">
      <c r="A363" s="74" t="n">
        <v>44501</v>
      </c>
      <c r="B363" s="75">
        <f>VLOOKUP(A363,Database!A:M,MATCH($A$1,Database!$A$1:$M$1,),)</f>
        <v/>
      </c>
      <c r="C363" s="113">
        <f>(Table535[[#This Row],[New Orders - Nondefense Capital Goods Excluding Aircraft]]-B362)/B362</f>
        <v/>
      </c>
    </row>
    <row r="364">
      <c r="A364" s="74" t="n">
        <v>44531</v>
      </c>
      <c r="B364" s="75">
        <f>VLOOKUP(A364,Database!A:M,MATCH($A$1,Database!$A$1:$M$1,),)</f>
        <v/>
      </c>
      <c r="C364" s="113">
        <f>(Table535[[#This Row],[New Orders - Nondefense Capital Goods Excluding Aircraft]]-B363)/B363</f>
        <v/>
      </c>
    </row>
    <row r="365">
      <c r="A365" s="74" t="n">
        <v>44562</v>
      </c>
      <c r="B365" s="75">
        <f>VLOOKUP(A365,Database!A:M,MATCH($A$1,Database!$A$1:$M$1,),)</f>
        <v/>
      </c>
      <c r="C365" s="113">
        <f>(Table535[[#This Row],[New Orders - Nondefense Capital Goods Excluding Aircraft]]-B364)/B364</f>
        <v/>
      </c>
    </row>
    <row r="366">
      <c r="A366" s="74" t="n">
        <v>44593</v>
      </c>
      <c r="B366" s="75">
        <f>VLOOKUP(A366,Database!A:M,MATCH($A$1,Database!$A$1:$M$1,),)</f>
        <v/>
      </c>
      <c r="C366" s="113">
        <f>(Table535[[#This Row],[New Orders - Nondefense Capital Goods Excluding Aircraft]]-B365)/B365</f>
        <v/>
      </c>
    </row>
  </sheetData>
  <conditionalFormatting sqref="B4:B5 C2:C3">
    <cfRule type="colorScale" priority="2">
      <colorScale>
        <cfvo type="min"/>
        <cfvo type="percentile" val="50"/>
        <cfvo type="max"/>
        <color rgb="FFF8696B"/>
        <color rgb="FFFFEB84"/>
        <color rgb="FF63BE7B"/>
      </colorScale>
    </cfRule>
  </conditionalFormatting>
  <conditionalFormatting sqref="C221:C36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C366"/>
  <sheetViews>
    <sheetView zoomScale="160" zoomScaleNormal="160" workbookViewId="0">
      <pane ySplit="5" topLeftCell="A357" activePane="bottomLeft" state="frozen"/>
      <selection pane="bottomLeft" activeCell="E371" sqref="E371"/>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1" t="inlineStr">
        <is>
          <t>DGORDER</t>
        </is>
      </c>
      <c r="C1" s="70" t="n"/>
    </row>
    <row r="2">
      <c r="A2" s="71" t="inlineStr">
        <is>
          <t>Manufacturers' New Orders: Durable Goods</t>
        </is>
      </c>
      <c r="B2" s="68" t="n"/>
      <c r="C2" s="69" t="n"/>
    </row>
    <row r="3">
      <c r="B3" s="68" t="n"/>
      <c r="C3" s="69" t="n"/>
    </row>
    <row r="4" ht="16" customHeight="1" s="142" thickBot="1"/>
    <row r="5" ht="68.25" customHeight="1" s="142">
      <c r="A5" s="72" t="inlineStr">
        <is>
          <t>Date</t>
        </is>
      </c>
      <c r="B5" s="73" t="inlineStr">
        <is>
          <t>Manufacturers' New Orders: Durable Goods</t>
        </is>
      </c>
      <c r="C5" s="111" t="inlineStr">
        <is>
          <t>mom %</t>
        </is>
      </c>
    </row>
    <row r="6">
      <c r="A6" s="74" t="n">
        <v>33635</v>
      </c>
      <c r="B6" s="75">
        <f>VLOOKUP(A6,Database!A:M,MATCH($A$1,Database!$A$1:$M$1,),)</f>
        <v/>
      </c>
      <c r="C6" s="112" t="n"/>
    </row>
    <row r="7">
      <c r="A7" s="74" t="n">
        <v>33664</v>
      </c>
      <c r="B7" s="75">
        <f>VLOOKUP(A7,Database!A:M,MATCH($A$1,Database!$A$1:$M$1,),)</f>
        <v/>
      </c>
      <c r="C7" s="113">
        <f>(Table53514[[#This Row],[Manufacturers'' New Orders: Durable Goods]]-B6)/B6</f>
        <v/>
      </c>
    </row>
    <row r="8">
      <c r="A8" s="74" t="n">
        <v>33695</v>
      </c>
      <c r="B8" s="75">
        <f>VLOOKUP(A8,Database!A:M,MATCH($A$1,Database!$A$1:$M$1,),)</f>
        <v/>
      </c>
      <c r="C8" s="113">
        <f>(Table53514[[#This Row],[Manufacturers'' New Orders: Durable Goods]]-B7)/B7</f>
        <v/>
      </c>
    </row>
    <row r="9">
      <c r="A9" s="74" t="n">
        <v>33725</v>
      </c>
      <c r="B9" s="75">
        <f>VLOOKUP(A9,Database!A:M,MATCH($A$1,Database!$A$1:$M$1,),)</f>
        <v/>
      </c>
      <c r="C9" s="113">
        <f>(Table53514[[#This Row],[Manufacturers'' New Orders: Durable Goods]]-B8)/B8</f>
        <v/>
      </c>
    </row>
    <row r="10">
      <c r="A10" s="74" t="n">
        <v>33756</v>
      </c>
      <c r="B10" s="75">
        <f>VLOOKUP(A10,Database!A:M,MATCH($A$1,Database!$A$1:$M$1,),)</f>
        <v/>
      </c>
      <c r="C10" s="113">
        <f>(Table53514[[#This Row],[Manufacturers'' New Orders: Durable Goods]]-B9)/B9</f>
        <v/>
      </c>
    </row>
    <row r="11">
      <c r="A11" s="74" t="n">
        <v>33786</v>
      </c>
      <c r="B11" s="75">
        <f>VLOOKUP(A11,Database!A:M,MATCH($A$1,Database!$A$1:$M$1,),)</f>
        <v/>
      </c>
      <c r="C11" s="113">
        <f>(Table53514[[#This Row],[Manufacturers'' New Orders: Durable Goods]]-B10)/B10</f>
        <v/>
      </c>
    </row>
    <row r="12">
      <c r="A12" s="74" t="n">
        <v>33817</v>
      </c>
      <c r="B12" s="75">
        <f>VLOOKUP(A12,Database!A:M,MATCH($A$1,Database!$A$1:$M$1,),)</f>
        <v/>
      </c>
      <c r="C12" s="113">
        <f>(Table53514[[#This Row],[Manufacturers'' New Orders: Durable Goods]]-B11)/B11</f>
        <v/>
      </c>
    </row>
    <row r="13">
      <c r="A13" s="74" t="n">
        <v>33848</v>
      </c>
      <c r="B13" s="75">
        <f>VLOOKUP(A13,Database!A:M,MATCH($A$1,Database!$A$1:$M$1,),)</f>
        <v/>
      </c>
      <c r="C13" s="113">
        <f>(Table53514[[#This Row],[Manufacturers'' New Orders: Durable Goods]]-B12)/B12</f>
        <v/>
      </c>
    </row>
    <row r="14">
      <c r="A14" s="74" t="n">
        <v>33878</v>
      </c>
      <c r="B14" s="75">
        <f>VLOOKUP(A14,Database!A:M,MATCH($A$1,Database!$A$1:$M$1,),)</f>
        <v/>
      </c>
      <c r="C14" s="113">
        <f>(Table53514[[#This Row],[Manufacturers'' New Orders: Durable Goods]]-B13)/B13</f>
        <v/>
      </c>
    </row>
    <row r="15">
      <c r="A15" s="74" t="n">
        <v>33909</v>
      </c>
      <c r="B15" s="75">
        <f>VLOOKUP(A15,Database!A:M,MATCH($A$1,Database!$A$1:$M$1,),)</f>
        <v/>
      </c>
      <c r="C15" s="113">
        <f>(Table53514[[#This Row],[Manufacturers'' New Orders: Durable Goods]]-B14)/B14</f>
        <v/>
      </c>
    </row>
    <row r="16">
      <c r="A16" s="74" t="n">
        <v>33939</v>
      </c>
      <c r="B16" s="75">
        <f>VLOOKUP(A16,Database!A:M,MATCH($A$1,Database!$A$1:$M$1,),)</f>
        <v/>
      </c>
      <c r="C16" s="113">
        <f>(Table53514[[#This Row],[Manufacturers'' New Orders: Durable Goods]]-B15)/B15</f>
        <v/>
      </c>
    </row>
    <row r="17">
      <c r="A17" s="74" t="n">
        <v>33970</v>
      </c>
      <c r="B17" s="75">
        <f>VLOOKUP(A17,Database!A:M,MATCH($A$1,Database!$A$1:$M$1,),)</f>
        <v/>
      </c>
      <c r="C17" s="113">
        <f>(Table53514[[#This Row],[Manufacturers'' New Orders: Durable Goods]]-B16)/B16</f>
        <v/>
      </c>
    </row>
    <row r="18">
      <c r="A18" s="74" t="n">
        <v>34001</v>
      </c>
      <c r="B18" s="75">
        <f>VLOOKUP(A18,Database!A:M,MATCH($A$1,Database!$A$1:$M$1,),)</f>
        <v/>
      </c>
      <c r="C18" s="113">
        <f>(Table53514[[#This Row],[Manufacturers'' New Orders: Durable Goods]]-B17)/B17</f>
        <v/>
      </c>
    </row>
    <row r="19">
      <c r="A19" s="74" t="n">
        <v>34029</v>
      </c>
      <c r="B19" s="75">
        <f>VLOOKUP(A19,Database!A:M,MATCH($A$1,Database!$A$1:$M$1,),)</f>
        <v/>
      </c>
      <c r="C19" s="113">
        <f>(Table53514[[#This Row],[Manufacturers'' New Orders: Durable Goods]]-B18)/B18</f>
        <v/>
      </c>
    </row>
    <row r="20">
      <c r="A20" s="74" t="n">
        <v>34060</v>
      </c>
      <c r="B20" s="75">
        <f>VLOOKUP(A20,Database!A:M,MATCH($A$1,Database!$A$1:$M$1,),)</f>
        <v/>
      </c>
      <c r="C20" s="113">
        <f>(Table53514[[#This Row],[Manufacturers'' New Orders: Durable Goods]]-B19)/B19</f>
        <v/>
      </c>
    </row>
    <row r="21">
      <c r="A21" s="74" t="n">
        <v>34090</v>
      </c>
      <c r="B21" s="75">
        <f>VLOOKUP(A21,Database!A:M,MATCH($A$1,Database!$A$1:$M$1,),)</f>
        <v/>
      </c>
      <c r="C21" s="113">
        <f>(Table53514[[#This Row],[Manufacturers'' New Orders: Durable Goods]]-B20)/B20</f>
        <v/>
      </c>
    </row>
    <row r="22">
      <c r="A22" s="74" t="n">
        <v>34121</v>
      </c>
      <c r="B22" s="75">
        <f>VLOOKUP(A22,Database!A:M,MATCH($A$1,Database!$A$1:$M$1,),)</f>
        <v/>
      </c>
      <c r="C22" s="113">
        <f>(Table53514[[#This Row],[Manufacturers'' New Orders: Durable Goods]]-B21)/B21</f>
        <v/>
      </c>
    </row>
    <row r="23">
      <c r="A23" s="74" t="n">
        <v>34151</v>
      </c>
      <c r="B23" s="75">
        <f>VLOOKUP(A23,Database!A:M,MATCH($A$1,Database!$A$1:$M$1,),)</f>
        <v/>
      </c>
      <c r="C23" s="113">
        <f>(Table53514[[#This Row],[Manufacturers'' New Orders: Durable Goods]]-B22)/B22</f>
        <v/>
      </c>
    </row>
    <row r="24">
      <c r="A24" s="74" t="n">
        <v>34182</v>
      </c>
      <c r="B24" s="75">
        <f>VLOOKUP(A24,Database!A:M,MATCH($A$1,Database!$A$1:$M$1,),)</f>
        <v/>
      </c>
      <c r="C24" s="113">
        <f>(Table53514[[#This Row],[Manufacturers'' New Orders: Durable Goods]]-B23)/B23</f>
        <v/>
      </c>
    </row>
    <row r="25">
      <c r="A25" s="74" t="n">
        <v>34213</v>
      </c>
      <c r="B25" s="75">
        <f>VLOOKUP(A25,Database!A:M,MATCH($A$1,Database!$A$1:$M$1,),)</f>
        <v/>
      </c>
      <c r="C25" s="113">
        <f>(Table53514[[#This Row],[Manufacturers'' New Orders: Durable Goods]]-B24)/B24</f>
        <v/>
      </c>
    </row>
    <row r="26">
      <c r="A26" s="74" t="n">
        <v>34243</v>
      </c>
      <c r="B26" s="75">
        <f>VLOOKUP(A26,Database!A:M,MATCH($A$1,Database!$A$1:$M$1,),)</f>
        <v/>
      </c>
      <c r="C26" s="113">
        <f>(Table53514[[#This Row],[Manufacturers'' New Orders: Durable Goods]]-B25)/B25</f>
        <v/>
      </c>
    </row>
    <row r="27">
      <c r="A27" s="74" t="n">
        <v>34274</v>
      </c>
      <c r="B27" s="75">
        <f>VLOOKUP(A27,Database!A:M,MATCH($A$1,Database!$A$1:$M$1,),)</f>
        <v/>
      </c>
      <c r="C27" s="113">
        <f>(Table53514[[#This Row],[Manufacturers'' New Orders: Durable Goods]]-B26)/B26</f>
        <v/>
      </c>
    </row>
    <row r="28">
      <c r="A28" s="74" t="n">
        <v>34304</v>
      </c>
      <c r="B28" s="75">
        <f>VLOOKUP(A28,Database!A:M,MATCH($A$1,Database!$A$1:$M$1,),)</f>
        <v/>
      </c>
      <c r="C28" s="113">
        <f>(Table53514[[#This Row],[Manufacturers'' New Orders: Durable Goods]]-B27)/B27</f>
        <v/>
      </c>
    </row>
    <row r="29">
      <c r="A29" s="74" t="n">
        <v>34335</v>
      </c>
      <c r="B29" s="75">
        <f>VLOOKUP(A29,Database!A:M,MATCH($A$1,Database!$A$1:$M$1,),)</f>
        <v/>
      </c>
      <c r="C29" s="113">
        <f>(Table53514[[#This Row],[Manufacturers'' New Orders: Durable Goods]]-B28)/B28</f>
        <v/>
      </c>
    </row>
    <row r="30">
      <c r="A30" s="74" t="n">
        <v>34366</v>
      </c>
      <c r="B30" s="75">
        <f>VLOOKUP(A30,Database!A:M,MATCH($A$1,Database!$A$1:$M$1,),)</f>
        <v/>
      </c>
      <c r="C30" s="113">
        <f>(Table53514[[#This Row],[Manufacturers'' New Orders: Durable Goods]]-B29)/B29</f>
        <v/>
      </c>
    </row>
    <row r="31">
      <c r="A31" s="74" t="n">
        <v>34394</v>
      </c>
      <c r="B31" s="75">
        <f>VLOOKUP(A31,Database!A:M,MATCH($A$1,Database!$A$1:$M$1,),)</f>
        <v/>
      </c>
      <c r="C31" s="113">
        <f>(Table53514[[#This Row],[Manufacturers'' New Orders: Durable Goods]]-B30)/B30</f>
        <v/>
      </c>
    </row>
    <row r="32">
      <c r="A32" s="74" t="n">
        <v>34425</v>
      </c>
      <c r="B32" s="75">
        <f>VLOOKUP(A32,Database!A:M,MATCH($A$1,Database!$A$1:$M$1,),)</f>
        <v/>
      </c>
      <c r="C32" s="113">
        <f>(Table53514[[#This Row],[Manufacturers'' New Orders: Durable Goods]]-B31)/B31</f>
        <v/>
      </c>
    </row>
    <row r="33">
      <c r="A33" s="74" t="n">
        <v>34455</v>
      </c>
      <c r="B33" s="75">
        <f>VLOOKUP(A33,Database!A:M,MATCH($A$1,Database!$A$1:$M$1,),)</f>
        <v/>
      </c>
      <c r="C33" s="113">
        <f>(Table53514[[#This Row],[Manufacturers'' New Orders: Durable Goods]]-B32)/B32</f>
        <v/>
      </c>
    </row>
    <row r="34">
      <c r="A34" s="74" t="n">
        <v>34486</v>
      </c>
      <c r="B34" s="75">
        <f>VLOOKUP(A34,Database!A:M,MATCH($A$1,Database!$A$1:$M$1,),)</f>
        <v/>
      </c>
      <c r="C34" s="113">
        <f>(Table53514[[#This Row],[Manufacturers'' New Orders: Durable Goods]]-B33)/B33</f>
        <v/>
      </c>
    </row>
    <row r="35">
      <c r="A35" s="74" t="n">
        <v>34516</v>
      </c>
      <c r="B35" s="75">
        <f>VLOOKUP(A35,Database!A:M,MATCH($A$1,Database!$A$1:$M$1,),)</f>
        <v/>
      </c>
      <c r="C35" s="113">
        <f>(Table53514[[#This Row],[Manufacturers'' New Orders: Durable Goods]]-B34)/B34</f>
        <v/>
      </c>
    </row>
    <row r="36">
      <c r="A36" s="74" t="n">
        <v>34547</v>
      </c>
      <c r="B36" s="75">
        <f>VLOOKUP(A36,Database!A:M,MATCH($A$1,Database!$A$1:$M$1,),)</f>
        <v/>
      </c>
      <c r="C36" s="113">
        <f>(Table53514[[#This Row],[Manufacturers'' New Orders: Durable Goods]]-B35)/B35</f>
        <v/>
      </c>
    </row>
    <row r="37">
      <c r="A37" s="74" t="n">
        <v>34578</v>
      </c>
      <c r="B37" s="75">
        <f>VLOOKUP(A37,Database!A:M,MATCH($A$1,Database!$A$1:$M$1,),)</f>
        <v/>
      </c>
      <c r="C37" s="113">
        <f>(Table53514[[#This Row],[Manufacturers'' New Orders: Durable Goods]]-B36)/B36</f>
        <v/>
      </c>
    </row>
    <row r="38">
      <c r="A38" s="74" t="n">
        <v>34608</v>
      </c>
      <c r="B38" s="75">
        <f>VLOOKUP(A38,Database!A:M,MATCH($A$1,Database!$A$1:$M$1,),)</f>
        <v/>
      </c>
      <c r="C38" s="113">
        <f>(Table53514[[#This Row],[Manufacturers'' New Orders: Durable Goods]]-B37)/B37</f>
        <v/>
      </c>
    </row>
    <row r="39">
      <c r="A39" s="74" t="n">
        <v>34639</v>
      </c>
      <c r="B39" s="75">
        <f>VLOOKUP(A39,Database!A:M,MATCH($A$1,Database!$A$1:$M$1,),)</f>
        <v/>
      </c>
      <c r="C39" s="113">
        <f>(Table53514[[#This Row],[Manufacturers'' New Orders: Durable Goods]]-B38)/B38</f>
        <v/>
      </c>
    </row>
    <row r="40">
      <c r="A40" s="74" t="n">
        <v>34669</v>
      </c>
      <c r="B40" s="75">
        <f>VLOOKUP(A40,Database!A:M,MATCH($A$1,Database!$A$1:$M$1,),)</f>
        <v/>
      </c>
      <c r="C40" s="113">
        <f>(Table53514[[#This Row],[Manufacturers'' New Orders: Durable Goods]]-B39)/B39</f>
        <v/>
      </c>
    </row>
    <row r="41">
      <c r="A41" s="74" t="n">
        <v>34700</v>
      </c>
      <c r="B41" s="75">
        <f>VLOOKUP(A41,Database!A:M,MATCH($A$1,Database!$A$1:$M$1,),)</f>
        <v/>
      </c>
      <c r="C41" s="113">
        <f>(Table53514[[#This Row],[Manufacturers'' New Orders: Durable Goods]]-B40)/B40</f>
        <v/>
      </c>
    </row>
    <row r="42">
      <c r="A42" s="74" t="n">
        <v>34731</v>
      </c>
      <c r="B42" s="75">
        <f>VLOOKUP(A42,Database!A:M,MATCH($A$1,Database!$A$1:$M$1,),)</f>
        <v/>
      </c>
      <c r="C42" s="113">
        <f>(Table53514[[#This Row],[Manufacturers'' New Orders: Durable Goods]]-B41)/B41</f>
        <v/>
      </c>
    </row>
    <row r="43">
      <c r="A43" s="74" t="n">
        <v>34759</v>
      </c>
      <c r="B43" s="75">
        <f>VLOOKUP(A43,Database!A:M,MATCH($A$1,Database!$A$1:$M$1,),)</f>
        <v/>
      </c>
      <c r="C43" s="113">
        <f>(Table53514[[#This Row],[Manufacturers'' New Orders: Durable Goods]]-B42)/B42</f>
        <v/>
      </c>
    </row>
    <row r="44">
      <c r="A44" s="74" t="n">
        <v>34790</v>
      </c>
      <c r="B44" s="75">
        <f>VLOOKUP(A44,Database!A:M,MATCH($A$1,Database!$A$1:$M$1,),)</f>
        <v/>
      </c>
      <c r="C44" s="113">
        <f>(Table53514[[#This Row],[Manufacturers'' New Orders: Durable Goods]]-B43)/B43</f>
        <v/>
      </c>
    </row>
    <row r="45">
      <c r="A45" s="74" t="n">
        <v>34820</v>
      </c>
      <c r="B45" s="75">
        <f>VLOOKUP(A45,Database!A:M,MATCH($A$1,Database!$A$1:$M$1,),)</f>
        <v/>
      </c>
      <c r="C45" s="113">
        <f>(Table53514[[#This Row],[Manufacturers'' New Orders: Durable Goods]]-B44)/B44</f>
        <v/>
      </c>
    </row>
    <row r="46">
      <c r="A46" s="74" t="n">
        <v>34851</v>
      </c>
      <c r="B46" s="75">
        <f>VLOOKUP(A46,Database!A:M,MATCH($A$1,Database!$A$1:$M$1,),)</f>
        <v/>
      </c>
      <c r="C46" s="113">
        <f>(Table53514[[#This Row],[Manufacturers'' New Orders: Durable Goods]]-B45)/B45</f>
        <v/>
      </c>
    </row>
    <row r="47">
      <c r="A47" s="74" t="n">
        <v>34881</v>
      </c>
      <c r="B47" s="75">
        <f>VLOOKUP(A47,Database!A:M,MATCH($A$1,Database!$A$1:$M$1,),)</f>
        <v/>
      </c>
      <c r="C47" s="113">
        <f>(Table53514[[#This Row],[Manufacturers'' New Orders: Durable Goods]]-B46)/B46</f>
        <v/>
      </c>
    </row>
    <row r="48">
      <c r="A48" s="74" t="n">
        <v>34912</v>
      </c>
      <c r="B48" s="75">
        <f>VLOOKUP(A48,Database!A:M,MATCH($A$1,Database!$A$1:$M$1,),)</f>
        <v/>
      </c>
      <c r="C48" s="113">
        <f>(Table53514[[#This Row],[Manufacturers'' New Orders: Durable Goods]]-B47)/B47</f>
        <v/>
      </c>
    </row>
    <row r="49">
      <c r="A49" s="74" t="n">
        <v>34943</v>
      </c>
      <c r="B49" s="75">
        <f>VLOOKUP(A49,Database!A:M,MATCH($A$1,Database!$A$1:$M$1,),)</f>
        <v/>
      </c>
      <c r="C49" s="113">
        <f>(Table53514[[#This Row],[Manufacturers'' New Orders: Durable Goods]]-B48)/B48</f>
        <v/>
      </c>
    </row>
    <row r="50">
      <c r="A50" s="74" t="n">
        <v>34973</v>
      </c>
      <c r="B50" s="75">
        <f>VLOOKUP(A50,Database!A:M,MATCH($A$1,Database!$A$1:$M$1,),)</f>
        <v/>
      </c>
      <c r="C50" s="113">
        <f>(Table53514[[#This Row],[Manufacturers'' New Orders: Durable Goods]]-B49)/B49</f>
        <v/>
      </c>
    </row>
    <row r="51">
      <c r="A51" s="74" t="n">
        <v>35004</v>
      </c>
      <c r="B51" s="75">
        <f>VLOOKUP(A51,Database!A:M,MATCH($A$1,Database!$A$1:$M$1,),)</f>
        <v/>
      </c>
      <c r="C51" s="113">
        <f>(Table53514[[#This Row],[Manufacturers'' New Orders: Durable Goods]]-B50)/B50</f>
        <v/>
      </c>
    </row>
    <row r="52">
      <c r="A52" s="74" t="n">
        <v>35034</v>
      </c>
      <c r="B52" s="75">
        <f>VLOOKUP(A52,Database!A:M,MATCH($A$1,Database!$A$1:$M$1,),)</f>
        <v/>
      </c>
      <c r="C52" s="113">
        <f>(Table53514[[#This Row],[Manufacturers'' New Orders: Durable Goods]]-B51)/B51</f>
        <v/>
      </c>
    </row>
    <row r="53">
      <c r="A53" s="74" t="n">
        <v>35065</v>
      </c>
      <c r="B53" s="75">
        <f>VLOOKUP(A53,Database!A:M,MATCH($A$1,Database!$A$1:$M$1,),)</f>
        <v/>
      </c>
      <c r="C53" s="113">
        <f>(Table53514[[#This Row],[Manufacturers'' New Orders: Durable Goods]]-B52)/B52</f>
        <v/>
      </c>
    </row>
    <row r="54">
      <c r="A54" s="74" t="n">
        <v>35096</v>
      </c>
      <c r="B54" s="75">
        <f>VLOOKUP(A54,Database!A:M,MATCH($A$1,Database!$A$1:$M$1,),)</f>
        <v/>
      </c>
      <c r="C54" s="113">
        <f>(Table53514[[#This Row],[Manufacturers'' New Orders: Durable Goods]]-B53)/B53</f>
        <v/>
      </c>
    </row>
    <row r="55">
      <c r="A55" s="74" t="n">
        <v>35125</v>
      </c>
      <c r="B55" s="75">
        <f>VLOOKUP(A55,Database!A:M,MATCH($A$1,Database!$A$1:$M$1,),)</f>
        <v/>
      </c>
      <c r="C55" s="113">
        <f>(Table53514[[#This Row],[Manufacturers'' New Orders: Durable Goods]]-B54)/B54</f>
        <v/>
      </c>
    </row>
    <row r="56">
      <c r="A56" s="74" t="n">
        <v>35156</v>
      </c>
      <c r="B56" s="75">
        <f>VLOOKUP(A56,Database!A:M,MATCH($A$1,Database!$A$1:$M$1,),)</f>
        <v/>
      </c>
      <c r="C56" s="113">
        <f>(Table53514[[#This Row],[Manufacturers'' New Orders: Durable Goods]]-B55)/B55</f>
        <v/>
      </c>
    </row>
    <row r="57">
      <c r="A57" s="74" t="n">
        <v>35186</v>
      </c>
      <c r="B57" s="75">
        <f>VLOOKUP(A57,Database!A:M,MATCH($A$1,Database!$A$1:$M$1,),)</f>
        <v/>
      </c>
      <c r="C57" s="113">
        <f>(Table53514[[#This Row],[Manufacturers'' New Orders: Durable Goods]]-B56)/B56</f>
        <v/>
      </c>
    </row>
    <row r="58">
      <c r="A58" s="74" t="n">
        <v>35217</v>
      </c>
      <c r="B58" s="75">
        <f>VLOOKUP(A58,Database!A:M,MATCH($A$1,Database!$A$1:$M$1,),)</f>
        <v/>
      </c>
      <c r="C58" s="113">
        <f>(Table53514[[#This Row],[Manufacturers'' New Orders: Durable Goods]]-B57)/B57</f>
        <v/>
      </c>
    </row>
    <row r="59">
      <c r="A59" s="74" t="n">
        <v>35247</v>
      </c>
      <c r="B59" s="75">
        <f>VLOOKUP(A59,Database!A:M,MATCH($A$1,Database!$A$1:$M$1,),)</f>
        <v/>
      </c>
      <c r="C59" s="113">
        <f>(Table53514[[#This Row],[Manufacturers'' New Orders: Durable Goods]]-B58)/B58</f>
        <v/>
      </c>
    </row>
    <row r="60">
      <c r="A60" s="74" t="n">
        <v>35278</v>
      </c>
      <c r="B60" s="75">
        <f>VLOOKUP(A60,Database!A:M,MATCH($A$1,Database!$A$1:$M$1,),)</f>
        <v/>
      </c>
      <c r="C60" s="113">
        <f>(Table53514[[#This Row],[Manufacturers'' New Orders: Durable Goods]]-B59)/B59</f>
        <v/>
      </c>
    </row>
    <row r="61">
      <c r="A61" s="74" t="n">
        <v>35309</v>
      </c>
      <c r="B61" s="75">
        <f>VLOOKUP(A61,Database!A:M,MATCH($A$1,Database!$A$1:$M$1,),)</f>
        <v/>
      </c>
      <c r="C61" s="113">
        <f>(Table53514[[#This Row],[Manufacturers'' New Orders: Durable Goods]]-B60)/B60</f>
        <v/>
      </c>
    </row>
    <row r="62">
      <c r="A62" s="74" t="n">
        <v>35339</v>
      </c>
      <c r="B62" s="75">
        <f>VLOOKUP(A62,Database!A:M,MATCH($A$1,Database!$A$1:$M$1,),)</f>
        <v/>
      </c>
      <c r="C62" s="113">
        <f>(Table53514[[#This Row],[Manufacturers'' New Orders: Durable Goods]]-B61)/B61</f>
        <v/>
      </c>
    </row>
    <row r="63">
      <c r="A63" s="74" t="n">
        <v>35370</v>
      </c>
      <c r="B63" s="75">
        <f>VLOOKUP(A63,Database!A:M,MATCH($A$1,Database!$A$1:$M$1,),)</f>
        <v/>
      </c>
      <c r="C63" s="113">
        <f>(Table53514[[#This Row],[Manufacturers'' New Orders: Durable Goods]]-B62)/B62</f>
        <v/>
      </c>
    </row>
    <row r="64">
      <c r="A64" s="74" t="n">
        <v>35400</v>
      </c>
      <c r="B64" s="75">
        <f>VLOOKUP(A64,Database!A:M,MATCH($A$1,Database!$A$1:$M$1,),)</f>
        <v/>
      </c>
      <c r="C64" s="113">
        <f>(Table53514[[#This Row],[Manufacturers'' New Orders: Durable Goods]]-B63)/B63</f>
        <v/>
      </c>
    </row>
    <row r="65">
      <c r="A65" s="74" t="n">
        <v>35431</v>
      </c>
      <c r="B65" s="75">
        <f>VLOOKUP(A65,Database!A:M,MATCH($A$1,Database!$A$1:$M$1,),)</f>
        <v/>
      </c>
      <c r="C65" s="113">
        <f>(Table53514[[#This Row],[Manufacturers'' New Orders: Durable Goods]]-B64)/B64</f>
        <v/>
      </c>
    </row>
    <row r="66">
      <c r="A66" s="74" t="n">
        <v>35462</v>
      </c>
      <c r="B66" s="75">
        <f>VLOOKUP(A66,Database!A:M,MATCH($A$1,Database!$A$1:$M$1,),)</f>
        <v/>
      </c>
      <c r="C66" s="113">
        <f>(Table53514[[#This Row],[Manufacturers'' New Orders: Durable Goods]]-B65)/B65</f>
        <v/>
      </c>
    </row>
    <row r="67">
      <c r="A67" s="74" t="n">
        <v>35490</v>
      </c>
      <c r="B67" s="75">
        <f>VLOOKUP(A67,Database!A:M,MATCH($A$1,Database!$A$1:$M$1,),)</f>
        <v/>
      </c>
      <c r="C67" s="113">
        <f>(Table53514[[#This Row],[Manufacturers'' New Orders: Durable Goods]]-B66)/B66</f>
        <v/>
      </c>
    </row>
    <row r="68">
      <c r="A68" s="74" t="n">
        <v>35521</v>
      </c>
      <c r="B68" s="75">
        <f>VLOOKUP(A68,Database!A:M,MATCH($A$1,Database!$A$1:$M$1,),)</f>
        <v/>
      </c>
      <c r="C68" s="113">
        <f>(Table53514[[#This Row],[Manufacturers'' New Orders: Durable Goods]]-B67)/B67</f>
        <v/>
      </c>
    </row>
    <row r="69">
      <c r="A69" s="74" t="n">
        <v>35551</v>
      </c>
      <c r="B69" s="75">
        <f>VLOOKUP(A69,Database!A:M,MATCH($A$1,Database!$A$1:$M$1,),)</f>
        <v/>
      </c>
      <c r="C69" s="113">
        <f>(Table53514[[#This Row],[Manufacturers'' New Orders: Durable Goods]]-B68)/B68</f>
        <v/>
      </c>
    </row>
    <row r="70">
      <c r="A70" s="74" t="n">
        <v>35582</v>
      </c>
      <c r="B70" s="75">
        <f>VLOOKUP(A70,Database!A:M,MATCH($A$1,Database!$A$1:$M$1,),)</f>
        <v/>
      </c>
      <c r="C70" s="113">
        <f>(Table53514[[#This Row],[Manufacturers'' New Orders: Durable Goods]]-B69)/B69</f>
        <v/>
      </c>
    </row>
    <row r="71">
      <c r="A71" s="74" t="n">
        <v>35612</v>
      </c>
      <c r="B71" s="75">
        <f>VLOOKUP(A71,Database!A:M,MATCH($A$1,Database!$A$1:$M$1,),)</f>
        <v/>
      </c>
      <c r="C71" s="113">
        <f>(Table53514[[#This Row],[Manufacturers'' New Orders: Durable Goods]]-B70)/B70</f>
        <v/>
      </c>
    </row>
    <row r="72">
      <c r="A72" s="74" t="n">
        <v>35643</v>
      </c>
      <c r="B72" s="75">
        <f>VLOOKUP(A72,Database!A:M,MATCH($A$1,Database!$A$1:$M$1,),)</f>
        <v/>
      </c>
      <c r="C72" s="113">
        <f>(Table53514[[#This Row],[Manufacturers'' New Orders: Durable Goods]]-B71)/B71</f>
        <v/>
      </c>
    </row>
    <row r="73">
      <c r="A73" s="74" t="n">
        <v>35674</v>
      </c>
      <c r="B73" s="75">
        <f>VLOOKUP(A73,Database!A:M,MATCH($A$1,Database!$A$1:$M$1,),)</f>
        <v/>
      </c>
      <c r="C73" s="113">
        <f>(Table53514[[#This Row],[Manufacturers'' New Orders: Durable Goods]]-B72)/B72</f>
        <v/>
      </c>
    </row>
    <row r="74">
      <c r="A74" s="74" t="n">
        <v>35704</v>
      </c>
      <c r="B74" s="75">
        <f>VLOOKUP(A74,Database!A:M,MATCH($A$1,Database!$A$1:$M$1,),)</f>
        <v/>
      </c>
      <c r="C74" s="113">
        <f>(Table53514[[#This Row],[Manufacturers'' New Orders: Durable Goods]]-B73)/B73</f>
        <v/>
      </c>
    </row>
    <row r="75">
      <c r="A75" s="74" t="n">
        <v>35735</v>
      </c>
      <c r="B75" s="75">
        <f>VLOOKUP(A75,Database!A:M,MATCH($A$1,Database!$A$1:$M$1,),)</f>
        <v/>
      </c>
      <c r="C75" s="113">
        <f>(Table53514[[#This Row],[Manufacturers'' New Orders: Durable Goods]]-B74)/B74</f>
        <v/>
      </c>
    </row>
    <row r="76">
      <c r="A76" s="74" t="n">
        <v>35765</v>
      </c>
      <c r="B76" s="75">
        <f>VLOOKUP(A76,Database!A:M,MATCH($A$1,Database!$A$1:$M$1,),)</f>
        <v/>
      </c>
      <c r="C76" s="113">
        <f>(Table53514[[#This Row],[Manufacturers'' New Orders: Durable Goods]]-B75)/B75</f>
        <v/>
      </c>
    </row>
    <row r="77">
      <c r="A77" s="74" t="n">
        <v>35796</v>
      </c>
      <c r="B77" s="75">
        <f>VLOOKUP(A77,Database!A:M,MATCH($A$1,Database!$A$1:$M$1,),)</f>
        <v/>
      </c>
      <c r="C77" s="113">
        <f>(Table53514[[#This Row],[Manufacturers'' New Orders: Durable Goods]]-B76)/B76</f>
        <v/>
      </c>
    </row>
    <row r="78">
      <c r="A78" s="74" t="n">
        <v>35827</v>
      </c>
      <c r="B78" s="75">
        <f>VLOOKUP(A78,Database!A:M,MATCH($A$1,Database!$A$1:$M$1,),)</f>
        <v/>
      </c>
      <c r="C78" s="113">
        <f>(Table53514[[#This Row],[Manufacturers'' New Orders: Durable Goods]]-B77)/B77</f>
        <v/>
      </c>
    </row>
    <row r="79">
      <c r="A79" s="74" t="n">
        <v>35855</v>
      </c>
      <c r="B79" s="75">
        <f>VLOOKUP(A79,Database!A:M,MATCH($A$1,Database!$A$1:$M$1,),)</f>
        <v/>
      </c>
      <c r="C79" s="113">
        <f>(Table53514[[#This Row],[Manufacturers'' New Orders: Durable Goods]]-B78)/B78</f>
        <v/>
      </c>
    </row>
    <row r="80">
      <c r="A80" s="74" t="n">
        <v>35886</v>
      </c>
      <c r="B80" s="75">
        <f>VLOOKUP(A80,Database!A:M,MATCH($A$1,Database!$A$1:$M$1,),)</f>
        <v/>
      </c>
      <c r="C80" s="113">
        <f>(Table53514[[#This Row],[Manufacturers'' New Orders: Durable Goods]]-B79)/B79</f>
        <v/>
      </c>
    </row>
    <row r="81">
      <c r="A81" s="74" t="n">
        <v>35916</v>
      </c>
      <c r="B81" s="75">
        <f>VLOOKUP(A81,Database!A:M,MATCH($A$1,Database!$A$1:$M$1,),)</f>
        <v/>
      </c>
      <c r="C81" s="113">
        <f>(Table53514[[#This Row],[Manufacturers'' New Orders: Durable Goods]]-B80)/B80</f>
        <v/>
      </c>
    </row>
    <row r="82">
      <c r="A82" s="74" t="n">
        <v>35947</v>
      </c>
      <c r="B82" s="75">
        <f>VLOOKUP(A82,Database!A:M,MATCH($A$1,Database!$A$1:$M$1,),)</f>
        <v/>
      </c>
      <c r="C82" s="113">
        <f>(Table53514[[#This Row],[Manufacturers'' New Orders: Durable Goods]]-B81)/B81</f>
        <v/>
      </c>
    </row>
    <row r="83">
      <c r="A83" s="74" t="n">
        <v>35977</v>
      </c>
      <c r="B83" s="75">
        <f>VLOOKUP(A83,Database!A:M,MATCH($A$1,Database!$A$1:$M$1,),)</f>
        <v/>
      </c>
      <c r="C83" s="113">
        <f>(Table53514[[#This Row],[Manufacturers'' New Orders: Durable Goods]]-B82)/B82</f>
        <v/>
      </c>
    </row>
    <row r="84">
      <c r="A84" s="74" t="n">
        <v>36008</v>
      </c>
      <c r="B84" s="75">
        <f>VLOOKUP(A84,Database!A:M,MATCH($A$1,Database!$A$1:$M$1,),)</f>
        <v/>
      </c>
      <c r="C84" s="113">
        <f>(Table53514[[#This Row],[Manufacturers'' New Orders: Durable Goods]]-B83)/B83</f>
        <v/>
      </c>
    </row>
    <row r="85">
      <c r="A85" s="74" t="n">
        <v>36039</v>
      </c>
      <c r="B85" s="75">
        <f>VLOOKUP(A85,Database!A:M,MATCH($A$1,Database!$A$1:$M$1,),)</f>
        <v/>
      </c>
      <c r="C85" s="113">
        <f>(Table53514[[#This Row],[Manufacturers'' New Orders: Durable Goods]]-B84)/B84</f>
        <v/>
      </c>
    </row>
    <row r="86">
      <c r="A86" s="74" t="n">
        <v>36069</v>
      </c>
      <c r="B86" s="75">
        <f>VLOOKUP(A86,Database!A:M,MATCH($A$1,Database!$A$1:$M$1,),)</f>
        <v/>
      </c>
      <c r="C86" s="113">
        <f>(Table53514[[#This Row],[Manufacturers'' New Orders: Durable Goods]]-B85)/B85</f>
        <v/>
      </c>
    </row>
    <row r="87">
      <c r="A87" s="74" t="n">
        <v>36100</v>
      </c>
      <c r="B87" s="75">
        <f>VLOOKUP(A87,Database!A:M,MATCH($A$1,Database!$A$1:$M$1,),)</f>
        <v/>
      </c>
      <c r="C87" s="113">
        <f>(Table53514[[#This Row],[Manufacturers'' New Orders: Durable Goods]]-B86)/B86</f>
        <v/>
      </c>
    </row>
    <row r="88">
      <c r="A88" s="74" t="n">
        <v>36130</v>
      </c>
      <c r="B88" s="75">
        <f>VLOOKUP(A88,Database!A:M,MATCH($A$1,Database!$A$1:$M$1,),)</f>
        <v/>
      </c>
      <c r="C88" s="113">
        <f>(Table53514[[#This Row],[Manufacturers'' New Orders: Durable Goods]]-B87)/B87</f>
        <v/>
      </c>
    </row>
    <row r="89">
      <c r="A89" s="74" t="n">
        <v>36161</v>
      </c>
      <c r="B89" s="75">
        <f>VLOOKUP(A89,Database!A:M,MATCH($A$1,Database!$A$1:$M$1,),)</f>
        <v/>
      </c>
      <c r="C89" s="113">
        <f>(Table53514[[#This Row],[Manufacturers'' New Orders: Durable Goods]]-B88)/B88</f>
        <v/>
      </c>
    </row>
    <row r="90">
      <c r="A90" s="74" t="n">
        <v>36192</v>
      </c>
      <c r="B90" s="75">
        <f>VLOOKUP(A90,Database!A:M,MATCH($A$1,Database!$A$1:$M$1,),)</f>
        <v/>
      </c>
      <c r="C90" s="113">
        <f>(Table53514[[#This Row],[Manufacturers'' New Orders: Durable Goods]]-B89)/B89</f>
        <v/>
      </c>
    </row>
    <row r="91">
      <c r="A91" s="74" t="n">
        <v>36220</v>
      </c>
      <c r="B91" s="75">
        <f>VLOOKUP(A91,Database!A:M,MATCH($A$1,Database!$A$1:$M$1,),)</f>
        <v/>
      </c>
      <c r="C91" s="113">
        <f>(Table53514[[#This Row],[Manufacturers'' New Orders: Durable Goods]]-B90)/B90</f>
        <v/>
      </c>
    </row>
    <row r="92">
      <c r="A92" s="74" t="n">
        <v>36251</v>
      </c>
      <c r="B92" s="75">
        <f>VLOOKUP(A92,Database!A:M,MATCH($A$1,Database!$A$1:$M$1,),)</f>
        <v/>
      </c>
      <c r="C92" s="113">
        <f>(Table53514[[#This Row],[Manufacturers'' New Orders: Durable Goods]]-B91)/B91</f>
        <v/>
      </c>
    </row>
    <row r="93">
      <c r="A93" s="74" t="n">
        <v>36281</v>
      </c>
      <c r="B93" s="75">
        <f>VLOOKUP(A93,Database!A:M,MATCH($A$1,Database!$A$1:$M$1,),)</f>
        <v/>
      </c>
      <c r="C93" s="113">
        <f>(Table53514[[#This Row],[Manufacturers'' New Orders: Durable Goods]]-B92)/B92</f>
        <v/>
      </c>
    </row>
    <row r="94">
      <c r="A94" s="74" t="n">
        <v>36312</v>
      </c>
      <c r="B94" s="75">
        <f>VLOOKUP(A94,Database!A:M,MATCH($A$1,Database!$A$1:$M$1,),)</f>
        <v/>
      </c>
      <c r="C94" s="113">
        <f>(Table53514[[#This Row],[Manufacturers'' New Orders: Durable Goods]]-B93)/B93</f>
        <v/>
      </c>
    </row>
    <row r="95">
      <c r="A95" s="74" t="n">
        <v>36342</v>
      </c>
      <c r="B95" s="75">
        <f>VLOOKUP(A95,Database!A:M,MATCH($A$1,Database!$A$1:$M$1,),)</f>
        <v/>
      </c>
      <c r="C95" s="113">
        <f>(Table53514[[#This Row],[Manufacturers'' New Orders: Durable Goods]]-B94)/B94</f>
        <v/>
      </c>
    </row>
    <row r="96">
      <c r="A96" s="74" t="n">
        <v>36373</v>
      </c>
      <c r="B96" s="75">
        <f>VLOOKUP(A96,Database!A:M,MATCH($A$1,Database!$A$1:$M$1,),)</f>
        <v/>
      </c>
      <c r="C96" s="113">
        <f>(Table53514[[#This Row],[Manufacturers'' New Orders: Durable Goods]]-B95)/B95</f>
        <v/>
      </c>
    </row>
    <row r="97">
      <c r="A97" s="74" t="n">
        <v>36404</v>
      </c>
      <c r="B97" s="75">
        <f>VLOOKUP(A97,Database!A:M,MATCH($A$1,Database!$A$1:$M$1,),)</f>
        <v/>
      </c>
      <c r="C97" s="113">
        <f>(Table53514[[#This Row],[Manufacturers'' New Orders: Durable Goods]]-B96)/B96</f>
        <v/>
      </c>
    </row>
    <row r="98">
      <c r="A98" s="74" t="n">
        <v>36434</v>
      </c>
      <c r="B98" s="75">
        <f>VLOOKUP(A98,Database!A:M,MATCH($A$1,Database!$A$1:$M$1,),)</f>
        <v/>
      </c>
      <c r="C98" s="113">
        <f>(Table53514[[#This Row],[Manufacturers'' New Orders: Durable Goods]]-B97)/B97</f>
        <v/>
      </c>
    </row>
    <row r="99">
      <c r="A99" s="74" t="n">
        <v>36465</v>
      </c>
      <c r="B99" s="75">
        <f>VLOOKUP(A99,Database!A:M,MATCH($A$1,Database!$A$1:$M$1,),)</f>
        <v/>
      </c>
      <c r="C99" s="113">
        <f>(Table53514[[#This Row],[Manufacturers'' New Orders: Durable Goods]]-B98)/B98</f>
        <v/>
      </c>
    </row>
    <row r="100">
      <c r="A100" s="74" t="n">
        <v>36495</v>
      </c>
      <c r="B100" s="75">
        <f>VLOOKUP(A100,Database!A:M,MATCH($A$1,Database!$A$1:$M$1,),)</f>
        <v/>
      </c>
      <c r="C100" s="113">
        <f>(Table53514[[#This Row],[Manufacturers'' New Orders: Durable Goods]]-B99)/B99</f>
        <v/>
      </c>
    </row>
    <row r="101">
      <c r="A101" s="74" t="n">
        <v>36526</v>
      </c>
      <c r="B101" s="75">
        <f>VLOOKUP(A101,Database!A:M,MATCH($A$1,Database!$A$1:$M$1,),)</f>
        <v/>
      </c>
      <c r="C101" s="113">
        <f>(Table53514[[#This Row],[Manufacturers'' New Orders: Durable Goods]]-B100)/B100</f>
        <v/>
      </c>
    </row>
    <row r="102">
      <c r="A102" s="74" t="n">
        <v>36557</v>
      </c>
      <c r="B102" s="75">
        <f>VLOOKUP(A102,Database!A:M,MATCH($A$1,Database!$A$1:$M$1,),)</f>
        <v/>
      </c>
      <c r="C102" s="113">
        <f>(Table53514[[#This Row],[Manufacturers'' New Orders: Durable Goods]]-B101)/B101</f>
        <v/>
      </c>
    </row>
    <row r="103">
      <c r="A103" s="74" t="n">
        <v>36586</v>
      </c>
      <c r="B103" s="75">
        <f>VLOOKUP(A103,Database!A:M,MATCH($A$1,Database!$A$1:$M$1,),)</f>
        <v/>
      </c>
      <c r="C103" s="113">
        <f>(Table53514[[#This Row],[Manufacturers'' New Orders: Durable Goods]]-B102)/B102</f>
        <v/>
      </c>
    </row>
    <row r="104">
      <c r="A104" s="74" t="n">
        <v>36617</v>
      </c>
      <c r="B104" s="75">
        <f>VLOOKUP(A104,Database!A:M,MATCH($A$1,Database!$A$1:$M$1,),)</f>
        <v/>
      </c>
      <c r="C104" s="113">
        <f>(Table53514[[#This Row],[Manufacturers'' New Orders: Durable Goods]]-B103)/B103</f>
        <v/>
      </c>
    </row>
    <row r="105">
      <c r="A105" s="74" t="n">
        <v>36647</v>
      </c>
      <c r="B105" s="75">
        <f>VLOOKUP(A105,Database!A:M,MATCH($A$1,Database!$A$1:$M$1,),)</f>
        <v/>
      </c>
      <c r="C105" s="113">
        <f>(Table53514[[#This Row],[Manufacturers'' New Orders: Durable Goods]]-B104)/B104</f>
        <v/>
      </c>
    </row>
    <row r="106">
      <c r="A106" s="74" t="n">
        <v>36678</v>
      </c>
      <c r="B106" s="75">
        <f>VLOOKUP(A106,Database!A:M,MATCH($A$1,Database!$A$1:$M$1,),)</f>
        <v/>
      </c>
      <c r="C106" s="113">
        <f>(Table53514[[#This Row],[Manufacturers'' New Orders: Durable Goods]]-B105)/B105</f>
        <v/>
      </c>
    </row>
    <row r="107">
      <c r="A107" s="74" t="n">
        <v>36708</v>
      </c>
      <c r="B107" s="75">
        <f>VLOOKUP(A107,Database!A:M,MATCH($A$1,Database!$A$1:$M$1,),)</f>
        <v/>
      </c>
      <c r="C107" s="113">
        <f>(Table53514[[#This Row],[Manufacturers'' New Orders: Durable Goods]]-B106)/B106</f>
        <v/>
      </c>
    </row>
    <row r="108">
      <c r="A108" s="74" t="n">
        <v>36739</v>
      </c>
      <c r="B108" s="75">
        <f>VLOOKUP(A108,Database!A:M,MATCH($A$1,Database!$A$1:$M$1,),)</f>
        <v/>
      </c>
      <c r="C108" s="113">
        <f>(Table53514[[#This Row],[Manufacturers'' New Orders: Durable Goods]]-B107)/B107</f>
        <v/>
      </c>
    </row>
    <row r="109">
      <c r="A109" s="74" t="n">
        <v>36770</v>
      </c>
      <c r="B109" s="75">
        <f>VLOOKUP(A109,Database!A:M,MATCH($A$1,Database!$A$1:$M$1,),)</f>
        <v/>
      </c>
      <c r="C109" s="113">
        <f>(Table53514[[#This Row],[Manufacturers'' New Orders: Durable Goods]]-B108)/B108</f>
        <v/>
      </c>
    </row>
    <row r="110">
      <c r="A110" s="74" t="n">
        <v>36800</v>
      </c>
      <c r="B110" s="75">
        <f>VLOOKUP(A110,Database!A:M,MATCH($A$1,Database!$A$1:$M$1,),)</f>
        <v/>
      </c>
      <c r="C110" s="113">
        <f>(Table53514[[#This Row],[Manufacturers'' New Orders: Durable Goods]]-B109)/B109</f>
        <v/>
      </c>
    </row>
    <row r="111">
      <c r="A111" s="74" t="n">
        <v>36831</v>
      </c>
      <c r="B111" s="75">
        <f>VLOOKUP(A111,Database!A:M,MATCH($A$1,Database!$A$1:$M$1,),)</f>
        <v/>
      </c>
      <c r="C111" s="113">
        <f>(Table53514[[#This Row],[Manufacturers'' New Orders: Durable Goods]]-B110)/B110</f>
        <v/>
      </c>
    </row>
    <row r="112">
      <c r="A112" s="74" t="n">
        <v>36861</v>
      </c>
      <c r="B112" s="75">
        <f>VLOOKUP(A112,Database!A:M,MATCH($A$1,Database!$A$1:$M$1,),)</f>
        <v/>
      </c>
      <c r="C112" s="113">
        <f>(Table53514[[#This Row],[Manufacturers'' New Orders: Durable Goods]]-B111)/B111</f>
        <v/>
      </c>
    </row>
    <row r="113">
      <c r="A113" s="74" t="n">
        <v>36892</v>
      </c>
      <c r="B113" s="75">
        <f>VLOOKUP(A113,Database!A:M,MATCH($A$1,Database!$A$1:$M$1,),)</f>
        <v/>
      </c>
      <c r="C113" s="113">
        <f>(Table53514[[#This Row],[Manufacturers'' New Orders: Durable Goods]]-B112)/B112</f>
        <v/>
      </c>
    </row>
    <row r="114">
      <c r="A114" s="74" t="n">
        <v>36923</v>
      </c>
      <c r="B114" s="75">
        <f>VLOOKUP(A114,Database!A:M,MATCH($A$1,Database!$A$1:$M$1,),)</f>
        <v/>
      </c>
      <c r="C114" s="113">
        <f>(Table53514[[#This Row],[Manufacturers'' New Orders: Durable Goods]]-B113)/B113</f>
        <v/>
      </c>
    </row>
    <row r="115">
      <c r="A115" s="74" t="n">
        <v>36951</v>
      </c>
      <c r="B115" s="75">
        <f>VLOOKUP(A115,Database!A:M,MATCH($A$1,Database!$A$1:$M$1,),)</f>
        <v/>
      </c>
      <c r="C115" s="113">
        <f>(Table53514[[#This Row],[Manufacturers'' New Orders: Durable Goods]]-B114)/B114</f>
        <v/>
      </c>
    </row>
    <row r="116">
      <c r="A116" s="74" t="n">
        <v>36982</v>
      </c>
      <c r="B116" s="75">
        <f>VLOOKUP(A116,Database!A:M,MATCH($A$1,Database!$A$1:$M$1,),)</f>
        <v/>
      </c>
      <c r="C116" s="113">
        <f>(Table53514[[#This Row],[Manufacturers'' New Orders: Durable Goods]]-B115)/B115</f>
        <v/>
      </c>
    </row>
    <row r="117">
      <c r="A117" s="74" t="n">
        <v>37012</v>
      </c>
      <c r="B117" s="75">
        <f>VLOOKUP(A117,Database!A:M,MATCH($A$1,Database!$A$1:$M$1,),)</f>
        <v/>
      </c>
      <c r="C117" s="113">
        <f>(Table53514[[#This Row],[Manufacturers'' New Orders: Durable Goods]]-B116)/B116</f>
        <v/>
      </c>
    </row>
    <row r="118">
      <c r="A118" s="74" t="n">
        <v>37043</v>
      </c>
      <c r="B118" s="75">
        <f>VLOOKUP(A118,Database!A:M,MATCH($A$1,Database!$A$1:$M$1,),)</f>
        <v/>
      </c>
      <c r="C118" s="113">
        <f>(Table53514[[#This Row],[Manufacturers'' New Orders: Durable Goods]]-B117)/B117</f>
        <v/>
      </c>
    </row>
    <row r="119">
      <c r="A119" s="74" t="n">
        <v>37073</v>
      </c>
      <c r="B119" s="75">
        <f>VLOOKUP(A119,Database!A:M,MATCH($A$1,Database!$A$1:$M$1,),)</f>
        <v/>
      </c>
      <c r="C119" s="113">
        <f>(Table53514[[#This Row],[Manufacturers'' New Orders: Durable Goods]]-B118)/B118</f>
        <v/>
      </c>
    </row>
    <row r="120">
      <c r="A120" s="74" t="n">
        <v>37104</v>
      </c>
      <c r="B120" s="75">
        <f>VLOOKUP(A120,Database!A:M,MATCH($A$1,Database!$A$1:$M$1,),)</f>
        <v/>
      </c>
      <c r="C120" s="113">
        <f>(Table53514[[#This Row],[Manufacturers'' New Orders: Durable Goods]]-B119)/B119</f>
        <v/>
      </c>
    </row>
    <row r="121">
      <c r="A121" s="74" t="n">
        <v>37135</v>
      </c>
      <c r="B121" s="75">
        <f>VLOOKUP(A121,Database!A:M,MATCH($A$1,Database!$A$1:$M$1,),)</f>
        <v/>
      </c>
      <c r="C121" s="113">
        <f>(Table53514[[#This Row],[Manufacturers'' New Orders: Durable Goods]]-B120)/B120</f>
        <v/>
      </c>
    </row>
    <row r="122">
      <c r="A122" s="74" t="n">
        <v>37165</v>
      </c>
      <c r="B122" s="75">
        <f>VLOOKUP(A122,Database!A:M,MATCH($A$1,Database!$A$1:$M$1,),)</f>
        <v/>
      </c>
      <c r="C122" s="113">
        <f>(Table53514[[#This Row],[Manufacturers'' New Orders: Durable Goods]]-B121)/B121</f>
        <v/>
      </c>
    </row>
    <row r="123">
      <c r="A123" s="74" t="n">
        <v>37196</v>
      </c>
      <c r="B123" s="75">
        <f>VLOOKUP(A123,Database!A:M,MATCH($A$1,Database!$A$1:$M$1,),)</f>
        <v/>
      </c>
      <c r="C123" s="113">
        <f>(Table53514[[#This Row],[Manufacturers'' New Orders: Durable Goods]]-B122)/B122</f>
        <v/>
      </c>
    </row>
    <row r="124">
      <c r="A124" s="74" t="n">
        <v>37226</v>
      </c>
      <c r="B124" s="75">
        <f>VLOOKUP(A124,Database!A:M,MATCH($A$1,Database!$A$1:$M$1,),)</f>
        <v/>
      </c>
      <c r="C124" s="113">
        <f>(Table53514[[#This Row],[Manufacturers'' New Orders: Durable Goods]]-B123)/B123</f>
        <v/>
      </c>
    </row>
    <row r="125">
      <c r="A125" s="74" t="n">
        <v>37257</v>
      </c>
      <c r="B125" s="75">
        <f>VLOOKUP(A125,Database!A:M,MATCH($A$1,Database!$A$1:$M$1,),)</f>
        <v/>
      </c>
      <c r="C125" s="113">
        <f>(Table53514[[#This Row],[Manufacturers'' New Orders: Durable Goods]]-B124)/B124</f>
        <v/>
      </c>
    </row>
    <row r="126">
      <c r="A126" s="74" t="n">
        <v>37288</v>
      </c>
      <c r="B126" s="75">
        <f>VLOOKUP(A126,Database!A:M,MATCH($A$1,Database!$A$1:$M$1,),)</f>
        <v/>
      </c>
      <c r="C126" s="113">
        <f>(Table53514[[#This Row],[Manufacturers'' New Orders: Durable Goods]]-B125)/B125</f>
        <v/>
      </c>
    </row>
    <row r="127">
      <c r="A127" s="74" t="n">
        <v>37316</v>
      </c>
      <c r="B127" s="75">
        <f>VLOOKUP(A127,Database!A:M,MATCH($A$1,Database!$A$1:$M$1,),)</f>
        <v/>
      </c>
      <c r="C127" s="113">
        <f>(Table53514[[#This Row],[Manufacturers'' New Orders: Durable Goods]]-B126)/B126</f>
        <v/>
      </c>
    </row>
    <row r="128">
      <c r="A128" s="74" t="n">
        <v>37347</v>
      </c>
      <c r="B128" s="75">
        <f>VLOOKUP(A128,Database!A:M,MATCH($A$1,Database!$A$1:$M$1,),)</f>
        <v/>
      </c>
      <c r="C128" s="113">
        <f>(Table53514[[#This Row],[Manufacturers'' New Orders: Durable Goods]]-B127)/B127</f>
        <v/>
      </c>
    </row>
    <row r="129">
      <c r="A129" s="74" t="n">
        <v>37377</v>
      </c>
      <c r="B129" s="75">
        <f>VLOOKUP(A129,Database!A:M,MATCH($A$1,Database!$A$1:$M$1,),)</f>
        <v/>
      </c>
      <c r="C129" s="113">
        <f>(Table53514[[#This Row],[Manufacturers'' New Orders: Durable Goods]]-B128)/B128</f>
        <v/>
      </c>
    </row>
    <row r="130">
      <c r="A130" s="74" t="n">
        <v>37408</v>
      </c>
      <c r="B130" s="75">
        <f>VLOOKUP(A130,Database!A:M,MATCH($A$1,Database!$A$1:$M$1,),)</f>
        <v/>
      </c>
      <c r="C130" s="113">
        <f>(Table53514[[#This Row],[Manufacturers'' New Orders: Durable Goods]]-B129)/B129</f>
        <v/>
      </c>
    </row>
    <row r="131">
      <c r="A131" s="74" t="n">
        <v>37438</v>
      </c>
      <c r="B131" s="75">
        <f>VLOOKUP(A131,Database!A:M,MATCH($A$1,Database!$A$1:$M$1,),)</f>
        <v/>
      </c>
      <c r="C131" s="113">
        <f>(Table53514[[#This Row],[Manufacturers'' New Orders: Durable Goods]]-B130)/B130</f>
        <v/>
      </c>
    </row>
    <row r="132">
      <c r="A132" s="74" t="n">
        <v>37469</v>
      </c>
      <c r="B132" s="75">
        <f>VLOOKUP(A132,Database!A:M,MATCH($A$1,Database!$A$1:$M$1,),)</f>
        <v/>
      </c>
      <c r="C132" s="113">
        <f>(Table53514[[#This Row],[Manufacturers'' New Orders: Durable Goods]]-B131)/B131</f>
        <v/>
      </c>
    </row>
    <row r="133">
      <c r="A133" s="74" t="n">
        <v>37500</v>
      </c>
      <c r="B133" s="75">
        <f>VLOOKUP(A133,Database!A:M,MATCH($A$1,Database!$A$1:$M$1,),)</f>
        <v/>
      </c>
      <c r="C133" s="113">
        <f>(Table53514[[#This Row],[Manufacturers'' New Orders: Durable Goods]]-B132)/B132</f>
        <v/>
      </c>
    </row>
    <row r="134">
      <c r="A134" s="74" t="n">
        <v>37530</v>
      </c>
      <c r="B134" s="75">
        <f>VLOOKUP(A134,Database!A:M,MATCH($A$1,Database!$A$1:$M$1,),)</f>
        <v/>
      </c>
      <c r="C134" s="113">
        <f>(Table53514[[#This Row],[Manufacturers'' New Orders: Durable Goods]]-B133)/B133</f>
        <v/>
      </c>
    </row>
    <row r="135">
      <c r="A135" s="74" t="n">
        <v>37561</v>
      </c>
      <c r="B135" s="75">
        <f>VLOOKUP(A135,Database!A:M,MATCH($A$1,Database!$A$1:$M$1,),)</f>
        <v/>
      </c>
      <c r="C135" s="113">
        <f>(Table53514[[#This Row],[Manufacturers'' New Orders: Durable Goods]]-B134)/B134</f>
        <v/>
      </c>
    </row>
    <row r="136">
      <c r="A136" s="74" t="n">
        <v>37591</v>
      </c>
      <c r="B136" s="75">
        <f>VLOOKUP(A136,Database!A:M,MATCH($A$1,Database!$A$1:$M$1,),)</f>
        <v/>
      </c>
      <c r="C136" s="113">
        <f>(Table53514[[#This Row],[Manufacturers'' New Orders: Durable Goods]]-B135)/B135</f>
        <v/>
      </c>
    </row>
    <row r="137">
      <c r="A137" s="74" t="n">
        <v>37622</v>
      </c>
      <c r="B137" s="75">
        <f>VLOOKUP(A137,Database!A:M,MATCH($A$1,Database!$A$1:$M$1,),)</f>
        <v/>
      </c>
      <c r="C137" s="113">
        <f>(Table53514[[#This Row],[Manufacturers'' New Orders: Durable Goods]]-B136)/B136</f>
        <v/>
      </c>
    </row>
    <row r="138">
      <c r="A138" s="74" t="n">
        <v>37653</v>
      </c>
      <c r="B138" s="75">
        <f>VLOOKUP(A138,Database!A:M,MATCH($A$1,Database!$A$1:$M$1,),)</f>
        <v/>
      </c>
      <c r="C138" s="113">
        <f>(Table53514[[#This Row],[Manufacturers'' New Orders: Durable Goods]]-B137)/B137</f>
        <v/>
      </c>
    </row>
    <row r="139">
      <c r="A139" s="74" t="n">
        <v>37681</v>
      </c>
      <c r="B139" s="75">
        <f>VLOOKUP(A139,Database!A:M,MATCH($A$1,Database!$A$1:$M$1,),)</f>
        <v/>
      </c>
      <c r="C139" s="113">
        <f>(Table53514[[#This Row],[Manufacturers'' New Orders: Durable Goods]]-B138)/B138</f>
        <v/>
      </c>
    </row>
    <row r="140">
      <c r="A140" s="74" t="n">
        <v>37712</v>
      </c>
      <c r="B140" s="75">
        <f>VLOOKUP(A140,Database!A:M,MATCH($A$1,Database!$A$1:$M$1,),)</f>
        <v/>
      </c>
      <c r="C140" s="113">
        <f>(Table53514[[#This Row],[Manufacturers'' New Orders: Durable Goods]]-B139)/B139</f>
        <v/>
      </c>
    </row>
    <row r="141">
      <c r="A141" s="74" t="n">
        <v>37742</v>
      </c>
      <c r="B141" s="75">
        <f>VLOOKUP(A141,Database!A:M,MATCH($A$1,Database!$A$1:$M$1,),)</f>
        <v/>
      </c>
      <c r="C141" s="113">
        <f>(Table53514[[#This Row],[Manufacturers'' New Orders: Durable Goods]]-B140)/B140</f>
        <v/>
      </c>
    </row>
    <row r="142">
      <c r="A142" s="74" t="n">
        <v>37773</v>
      </c>
      <c r="B142" s="75">
        <f>VLOOKUP(A142,Database!A:M,MATCH($A$1,Database!$A$1:$M$1,),)</f>
        <v/>
      </c>
      <c r="C142" s="113">
        <f>(Table53514[[#This Row],[Manufacturers'' New Orders: Durable Goods]]-B141)/B141</f>
        <v/>
      </c>
    </row>
    <row r="143">
      <c r="A143" s="74" t="n">
        <v>37803</v>
      </c>
      <c r="B143" s="75">
        <f>VLOOKUP(A143,Database!A:M,MATCH($A$1,Database!$A$1:$M$1,),)</f>
        <v/>
      </c>
      <c r="C143" s="113">
        <f>(Table53514[[#This Row],[Manufacturers'' New Orders: Durable Goods]]-B142)/B142</f>
        <v/>
      </c>
    </row>
    <row r="144">
      <c r="A144" s="74" t="n">
        <v>37834</v>
      </c>
      <c r="B144" s="75">
        <f>VLOOKUP(A144,Database!A:M,MATCH($A$1,Database!$A$1:$M$1,),)</f>
        <v/>
      </c>
      <c r="C144" s="113">
        <f>(Table53514[[#This Row],[Manufacturers'' New Orders: Durable Goods]]-B143)/B143</f>
        <v/>
      </c>
    </row>
    <row r="145">
      <c r="A145" s="74" t="n">
        <v>37865</v>
      </c>
      <c r="B145" s="75">
        <f>VLOOKUP(A145,Database!A:M,MATCH($A$1,Database!$A$1:$M$1,),)</f>
        <v/>
      </c>
      <c r="C145" s="113">
        <f>(Table53514[[#This Row],[Manufacturers'' New Orders: Durable Goods]]-B144)/B144</f>
        <v/>
      </c>
    </row>
    <row r="146">
      <c r="A146" s="74" t="n">
        <v>37895</v>
      </c>
      <c r="B146" s="75">
        <f>VLOOKUP(A146,Database!A:M,MATCH($A$1,Database!$A$1:$M$1,),)</f>
        <v/>
      </c>
      <c r="C146" s="113">
        <f>(Table53514[[#This Row],[Manufacturers'' New Orders: Durable Goods]]-B145)/B145</f>
        <v/>
      </c>
    </row>
    <row r="147">
      <c r="A147" s="74" t="n">
        <v>37926</v>
      </c>
      <c r="B147" s="75">
        <f>VLOOKUP(A147,Database!A:M,MATCH($A$1,Database!$A$1:$M$1,),)</f>
        <v/>
      </c>
      <c r="C147" s="113">
        <f>(Table53514[[#This Row],[Manufacturers'' New Orders: Durable Goods]]-B146)/B146</f>
        <v/>
      </c>
    </row>
    <row r="148">
      <c r="A148" s="74" t="n">
        <v>37956</v>
      </c>
      <c r="B148" s="75">
        <f>VLOOKUP(A148,Database!A:M,MATCH($A$1,Database!$A$1:$M$1,),)</f>
        <v/>
      </c>
      <c r="C148" s="113">
        <f>(Table53514[[#This Row],[Manufacturers'' New Orders: Durable Goods]]-B147)/B147</f>
        <v/>
      </c>
    </row>
    <row r="149">
      <c r="A149" s="74" t="n">
        <v>37987</v>
      </c>
      <c r="B149" s="75">
        <f>VLOOKUP(A149,Database!A:M,MATCH($A$1,Database!$A$1:$M$1,),)</f>
        <v/>
      </c>
      <c r="C149" s="113">
        <f>(Table53514[[#This Row],[Manufacturers'' New Orders: Durable Goods]]-B148)/B148</f>
        <v/>
      </c>
    </row>
    <row r="150">
      <c r="A150" s="74" t="n">
        <v>38018</v>
      </c>
      <c r="B150" s="75">
        <f>VLOOKUP(A150,Database!A:M,MATCH($A$1,Database!$A$1:$M$1,),)</f>
        <v/>
      </c>
      <c r="C150" s="113">
        <f>(Table53514[[#This Row],[Manufacturers'' New Orders: Durable Goods]]-B149)/B149</f>
        <v/>
      </c>
    </row>
    <row r="151">
      <c r="A151" s="74" t="n">
        <v>38047</v>
      </c>
      <c r="B151" s="75">
        <f>VLOOKUP(A151,Database!A:M,MATCH($A$1,Database!$A$1:$M$1,),)</f>
        <v/>
      </c>
      <c r="C151" s="113">
        <f>(Table53514[[#This Row],[Manufacturers'' New Orders: Durable Goods]]-B150)/B150</f>
        <v/>
      </c>
    </row>
    <row r="152">
      <c r="A152" s="74" t="n">
        <v>38078</v>
      </c>
      <c r="B152" s="75">
        <f>VLOOKUP(A152,Database!A:M,MATCH($A$1,Database!$A$1:$M$1,),)</f>
        <v/>
      </c>
      <c r="C152" s="113">
        <f>(Table53514[[#This Row],[Manufacturers'' New Orders: Durable Goods]]-B151)/B151</f>
        <v/>
      </c>
    </row>
    <row r="153">
      <c r="A153" s="74" t="n">
        <v>38108</v>
      </c>
      <c r="B153" s="75">
        <f>VLOOKUP(A153,Database!A:M,MATCH($A$1,Database!$A$1:$M$1,),)</f>
        <v/>
      </c>
      <c r="C153" s="113">
        <f>(Table53514[[#This Row],[Manufacturers'' New Orders: Durable Goods]]-B152)/B152</f>
        <v/>
      </c>
    </row>
    <row r="154">
      <c r="A154" s="74" t="n">
        <v>38139</v>
      </c>
      <c r="B154" s="75">
        <f>VLOOKUP(A154,Database!A:M,MATCH($A$1,Database!$A$1:$M$1,),)</f>
        <v/>
      </c>
      <c r="C154" s="113">
        <f>(Table53514[[#This Row],[Manufacturers'' New Orders: Durable Goods]]-B153)/B153</f>
        <v/>
      </c>
    </row>
    <row r="155">
      <c r="A155" s="74" t="n">
        <v>38169</v>
      </c>
      <c r="B155" s="75">
        <f>VLOOKUP(A155,Database!A:M,MATCH($A$1,Database!$A$1:$M$1,),)</f>
        <v/>
      </c>
      <c r="C155" s="113">
        <f>(Table53514[[#This Row],[Manufacturers'' New Orders: Durable Goods]]-B154)/B154</f>
        <v/>
      </c>
    </row>
    <row r="156">
      <c r="A156" s="74" t="n">
        <v>38200</v>
      </c>
      <c r="B156" s="75">
        <f>VLOOKUP(A156,Database!A:M,MATCH($A$1,Database!$A$1:$M$1,),)</f>
        <v/>
      </c>
      <c r="C156" s="113">
        <f>(Table53514[[#This Row],[Manufacturers'' New Orders: Durable Goods]]-B155)/B155</f>
        <v/>
      </c>
    </row>
    <row r="157">
      <c r="A157" s="74" t="n">
        <v>38231</v>
      </c>
      <c r="B157" s="75">
        <f>VLOOKUP(A157,Database!A:M,MATCH($A$1,Database!$A$1:$M$1,),)</f>
        <v/>
      </c>
      <c r="C157" s="113">
        <f>(Table53514[[#This Row],[Manufacturers'' New Orders: Durable Goods]]-B156)/B156</f>
        <v/>
      </c>
    </row>
    <row r="158">
      <c r="A158" s="74" t="n">
        <v>38261</v>
      </c>
      <c r="B158" s="75">
        <f>VLOOKUP(A158,Database!A:M,MATCH($A$1,Database!$A$1:$M$1,),)</f>
        <v/>
      </c>
      <c r="C158" s="113">
        <f>(Table53514[[#This Row],[Manufacturers'' New Orders: Durable Goods]]-B157)/B157</f>
        <v/>
      </c>
    </row>
    <row r="159">
      <c r="A159" s="74" t="n">
        <v>38292</v>
      </c>
      <c r="B159" s="75">
        <f>VLOOKUP(A159,Database!A:M,MATCH($A$1,Database!$A$1:$M$1,),)</f>
        <v/>
      </c>
      <c r="C159" s="113">
        <f>(Table53514[[#This Row],[Manufacturers'' New Orders: Durable Goods]]-B158)/B158</f>
        <v/>
      </c>
    </row>
    <row r="160">
      <c r="A160" s="74" t="n">
        <v>38322</v>
      </c>
      <c r="B160" s="75">
        <f>VLOOKUP(A160,Database!A:M,MATCH($A$1,Database!$A$1:$M$1,),)</f>
        <v/>
      </c>
      <c r="C160" s="113">
        <f>(Table53514[[#This Row],[Manufacturers'' New Orders: Durable Goods]]-B159)/B159</f>
        <v/>
      </c>
    </row>
    <row r="161">
      <c r="A161" s="74" t="n">
        <v>38353</v>
      </c>
      <c r="B161" s="75">
        <f>VLOOKUP(A161,Database!A:M,MATCH($A$1,Database!$A$1:$M$1,),)</f>
        <v/>
      </c>
      <c r="C161" s="113">
        <f>(Table53514[[#This Row],[Manufacturers'' New Orders: Durable Goods]]-B160)/B160</f>
        <v/>
      </c>
    </row>
    <row r="162">
      <c r="A162" s="74" t="n">
        <v>38384</v>
      </c>
      <c r="B162" s="75">
        <f>VLOOKUP(A162,Database!A:M,MATCH($A$1,Database!$A$1:$M$1,),)</f>
        <v/>
      </c>
      <c r="C162" s="113">
        <f>(Table53514[[#This Row],[Manufacturers'' New Orders: Durable Goods]]-B161)/B161</f>
        <v/>
      </c>
    </row>
    <row r="163">
      <c r="A163" s="74" t="n">
        <v>38412</v>
      </c>
      <c r="B163" s="75">
        <f>VLOOKUP(A163,Database!A:M,MATCH($A$1,Database!$A$1:$M$1,),)</f>
        <v/>
      </c>
      <c r="C163" s="113">
        <f>(Table53514[[#This Row],[Manufacturers'' New Orders: Durable Goods]]-B162)/B162</f>
        <v/>
      </c>
    </row>
    <row r="164">
      <c r="A164" s="74" t="n">
        <v>38443</v>
      </c>
      <c r="B164" s="75">
        <f>VLOOKUP(A164,Database!A:M,MATCH($A$1,Database!$A$1:$M$1,),)</f>
        <v/>
      </c>
      <c r="C164" s="113">
        <f>(Table53514[[#This Row],[Manufacturers'' New Orders: Durable Goods]]-B163)/B163</f>
        <v/>
      </c>
    </row>
    <row r="165">
      <c r="A165" s="74" t="n">
        <v>38473</v>
      </c>
      <c r="B165" s="75">
        <f>VLOOKUP(A165,Database!A:M,MATCH($A$1,Database!$A$1:$M$1,),)</f>
        <v/>
      </c>
      <c r="C165" s="113">
        <f>(Table53514[[#This Row],[Manufacturers'' New Orders: Durable Goods]]-B164)/B164</f>
        <v/>
      </c>
    </row>
    <row r="166">
      <c r="A166" s="74" t="n">
        <v>38504</v>
      </c>
      <c r="B166" s="75">
        <f>VLOOKUP(A166,Database!A:M,MATCH($A$1,Database!$A$1:$M$1,),)</f>
        <v/>
      </c>
      <c r="C166" s="113">
        <f>(Table53514[[#This Row],[Manufacturers'' New Orders: Durable Goods]]-B165)/B165</f>
        <v/>
      </c>
    </row>
    <row r="167">
      <c r="A167" s="74" t="n">
        <v>38534</v>
      </c>
      <c r="B167" s="75">
        <f>VLOOKUP(A167,Database!A:M,MATCH($A$1,Database!$A$1:$M$1,),)</f>
        <v/>
      </c>
      <c r="C167" s="113">
        <f>(Table53514[[#This Row],[Manufacturers'' New Orders: Durable Goods]]-B166)/B166</f>
        <v/>
      </c>
    </row>
    <row r="168">
      <c r="A168" s="74" t="n">
        <v>38565</v>
      </c>
      <c r="B168" s="75">
        <f>VLOOKUP(A168,Database!A:M,MATCH($A$1,Database!$A$1:$M$1,),)</f>
        <v/>
      </c>
      <c r="C168" s="113">
        <f>(Table53514[[#This Row],[Manufacturers'' New Orders: Durable Goods]]-B167)/B167</f>
        <v/>
      </c>
    </row>
    <row r="169">
      <c r="A169" s="74" t="n">
        <v>38596</v>
      </c>
      <c r="B169" s="75">
        <f>VLOOKUP(A169,Database!A:M,MATCH($A$1,Database!$A$1:$M$1,),)</f>
        <v/>
      </c>
      <c r="C169" s="113">
        <f>(Table53514[[#This Row],[Manufacturers'' New Orders: Durable Goods]]-B168)/B168</f>
        <v/>
      </c>
    </row>
    <row r="170">
      <c r="A170" s="74" t="n">
        <v>38626</v>
      </c>
      <c r="B170" s="75">
        <f>VLOOKUP(A170,Database!A:M,MATCH($A$1,Database!$A$1:$M$1,),)</f>
        <v/>
      </c>
      <c r="C170" s="113">
        <f>(Table53514[[#This Row],[Manufacturers'' New Orders: Durable Goods]]-B169)/B169</f>
        <v/>
      </c>
    </row>
    <row r="171">
      <c r="A171" s="74" t="n">
        <v>38657</v>
      </c>
      <c r="B171" s="75">
        <f>VLOOKUP(A171,Database!A:M,MATCH($A$1,Database!$A$1:$M$1,),)</f>
        <v/>
      </c>
      <c r="C171" s="113">
        <f>(Table53514[[#This Row],[Manufacturers'' New Orders: Durable Goods]]-B170)/B170</f>
        <v/>
      </c>
    </row>
    <row r="172">
      <c r="A172" s="74" t="n">
        <v>38687</v>
      </c>
      <c r="B172" s="75">
        <f>VLOOKUP(A172,Database!A:M,MATCH($A$1,Database!$A$1:$M$1,),)</f>
        <v/>
      </c>
      <c r="C172" s="113">
        <f>(Table53514[[#This Row],[Manufacturers'' New Orders: Durable Goods]]-B171)/B171</f>
        <v/>
      </c>
    </row>
    <row r="173">
      <c r="A173" s="74" t="n">
        <v>38718</v>
      </c>
      <c r="B173" s="75">
        <f>VLOOKUP(A173,Database!A:M,MATCH($A$1,Database!$A$1:$M$1,),)</f>
        <v/>
      </c>
      <c r="C173" s="113">
        <f>(Table53514[[#This Row],[Manufacturers'' New Orders: Durable Goods]]-B172)/B172</f>
        <v/>
      </c>
    </row>
    <row r="174">
      <c r="A174" s="74" t="n">
        <v>38749</v>
      </c>
      <c r="B174" s="75">
        <f>VLOOKUP(A174,Database!A:M,MATCH($A$1,Database!$A$1:$M$1,),)</f>
        <v/>
      </c>
      <c r="C174" s="113">
        <f>(Table53514[[#This Row],[Manufacturers'' New Orders: Durable Goods]]-B173)/B173</f>
        <v/>
      </c>
    </row>
    <row r="175">
      <c r="A175" s="74" t="n">
        <v>38777</v>
      </c>
      <c r="B175" s="75">
        <f>VLOOKUP(A175,Database!A:M,MATCH($A$1,Database!$A$1:$M$1,),)</f>
        <v/>
      </c>
      <c r="C175" s="113">
        <f>(Table53514[[#This Row],[Manufacturers'' New Orders: Durable Goods]]-B174)/B174</f>
        <v/>
      </c>
    </row>
    <row r="176">
      <c r="A176" s="74" t="n">
        <v>38808</v>
      </c>
      <c r="B176" s="75">
        <f>VLOOKUP(A176,Database!A:M,MATCH($A$1,Database!$A$1:$M$1,),)</f>
        <v/>
      </c>
      <c r="C176" s="113">
        <f>(Table53514[[#This Row],[Manufacturers'' New Orders: Durable Goods]]-B175)/B175</f>
        <v/>
      </c>
    </row>
    <row r="177">
      <c r="A177" s="74" t="n">
        <v>38838</v>
      </c>
      <c r="B177" s="75">
        <f>VLOOKUP(A177,Database!A:M,MATCH($A$1,Database!$A$1:$M$1,),)</f>
        <v/>
      </c>
      <c r="C177" s="113">
        <f>(Table53514[[#This Row],[Manufacturers'' New Orders: Durable Goods]]-B176)/B176</f>
        <v/>
      </c>
    </row>
    <row r="178">
      <c r="A178" s="74" t="n">
        <v>38869</v>
      </c>
      <c r="B178" s="75">
        <f>VLOOKUP(A178,Database!A:M,MATCH($A$1,Database!$A$1:$M$1,),)</f>
        <v/>
      </c>
      <c r="C178" s="113">
        <f>(Table53514[[#This Row],[Manufacturers'' New Orders: Durable Goods]]-B177)/B177</f>
        <v/>
      </c>
    </row>
    <row r="179">
      <c r="A179" s="74" t="n">
        <v>38899</v>
      </c>
      <c r="B179" s="75">
        <f>VLOOKUP(A179,Database!A:M,MATCH($A$1,Database!$A$1:$M$1,),)</f>
        <v/>
      </c>
      <c r="C179" s="113">
        <f>(Table53514[[#This Row],[Manufacturers'' New Orders: Durable Goods]]-B178)/B178</f>
        <v/>
      </c>
    </row>
    <row r="180">
      <c r="A180" s="74" t="n">
        <v>38930</v>
      </c>
      <c r="B180" s="75">
        <f>VLOOKUP(A180,Database!A:M,MATCH($A$1,Database!$A$1:$M$1,),)</f>
        <v/>
      </c>
      <c r="C180" s="113">
        <f>(Table53514[[#This Row],[Manufacturers'' New Orders: Durable Goods]]-B179)/B179</f>
        <v/>
      </c>
    </row>
    <row r="181">
      <c r="A181" s="74" t="n">
        <v>38961</v>
      </c>
      <c r="B181" s="75">
        <f>VLOOKUP(A181,Database!A:M,MATCH($A$1,Database!$A$1:$M$1,),)</f>
        <v/>
      </c>
      <c r="C181" s="113">
        <f>(Table53514[[#This Row],[Manufacturers'' New Orders: Durable Goods]]-B180)/B180</f>
        <v/>
      </c>
    </row>
    <row r="182">
      <c r="A182" s="74" t="n">
        <v>38991</v>
      </c>
      <c r="B182" s="75">
        <f>VLOOKUP(A182,Database!A:M,MATCH($A$1,Database!$A$1:$M$1,),)</f>
        <v/>
      </c>
      <c r="C182" s="113">
        <f>(Table53514[[#This Row],[Manufacturers'' New Orders: Durable Goods]]-B181)/B181</f>
        <v/>
      </c>
    </row>
    <row r="183">
      <c r="A183" s="74" t="n">
        <v>39022</v>
      </c>
      <c r="B183" s="75">
        <f>VLOOKUP(A183,Database!A:M,MATCH($A$1,Database!$A$1:$M$1,),)</f>
        <v/>
      </c>
      <c r="C183" s="113">
        <f>(Table53514[[#This Row],[Manufacturers'' New Orders: Durable Goods]]-B182)/B182</f>
        <v/>
      </c>
    </row>
    <row r="184">
      <c r="A184" s="74" t="n">
        <v>39052</v>
      </c>
      <c r="B184" s="75">
        <f>VLOOKUP(A184,Database!A:M,MATCH($A$1,Database!$A$1:$M$1,),)</f>
        <v/>
      </c>
      <c r="C184" s="113">
        <f>(Table53514[[#This Row],[Manufacturers'' New Orders: Durable Goods]]-B183)/B183</f>
        <v/>
      </c>
    </row>
    <row r="185">
      <c r="A185" s="74" t="n">
        <v>39083</v>
      </c>
      <c r="B185" s="75">
        <f>VLOOKUP(A185,Database!A:M,MATCH($A$1,Database!$A$1:$M$1,),)</f>
        <v/>
      </c>
      <c r="C185" s="113">
        <f>(Table53514[[#This Row],[Manufacturers'' New Orders: Durable Goods]]-B184)/B184</f>
        <v/>
      </c>
    </row>
    <row r="186">
      <c r="A186" s="74" t="n">
        <v>39114</v>
      </c>
      <c r="B186" s="75">
        <f>VLOOKUP(A186,Database!A:M,MATCH($A$1,Database!$A$1:$M$1,),)</f>
        <v/>
      </c>
      <c r="C186" s="113">
        <f>(Table53514[[#This Row],[Manufacturers'' New Orders: Durable Goods]]-B185)/B185</f>
        <v/>
      </c>
    </row>
    <row r="187">
      <c r="A187" s="74" t="n">
        <v>39142</v>
      </c>
      <c r="B187" s="75">
        <f>VLOOKUP(A187,Database!A:M,MATCH($A$1,Database!$A$1:$M$1,),)</f>
        <v/>
      </c>
      <c r="C187" s="113">
        <f>(Table53514[[#This Row],[Manufacturers'' New Orders: Durable Goods]]-B186)/B186</f>
        <v/>
      </c>
    </row>
    <row r="188">
      <c r="A188" s="74" t="n">
        <v>39173</v>
      </c>
      <c r="B188" s="75">
        <f>VLOOKUP(A188,Database!A:M,MATCH($A$1,Database!$A$1:$M$1,),)</f>
        <v/>
      </c>
      <c r="C188" s="113">
        <f>(Table53514[[#This Row],[Manufacturers'' New Orders: Durable Goods]]-B187)/B187</f>
        <v/>
      </c>
    </row>
    <row r="189">
      <c r="A189" s="74" t="n">
        <v>39203</v>
      </c>
      <c r="B189" s="75">
        <f>VLOOKUP(A189,Database!A:M,MATCH($A$1,Database!$A$1:$M$1,),)</f>
        <v/>
      </c>
      <c r="C189" s="113">
        <f>(Table53514[[#This Row],[Manufacturers'' New Orders: Durable Goods]]-B188)/B188</f>
        <v/>
      </c>
    </row>
    <row r="190">
      <c r="A190" s="74" t="n">
        <v>39234</v>
      </c>
      <c r="B190" s="75">
        <f>VLOOKUP(A190,Database!A:M,MATCH($A$1,Database!$A$1:$M$1,),)</f>
        <v/>
      </c>
      <c r="C190" s="113">
        <f>(Table53514[[#This Row],[Manufacturers'' New Orders: Durable Goods]]-B189)/B189</f>
        <v/>
      </c>
    </row>
    <row r="191">
      <c r="A191" s="74" t="n">
        <v>39264</v>
      </c>
      <c r="B191" s="75">
        <f>VLOOKUP(A191,Database!A:M,MATCH($A$1,Database!$A$1:$M$1,),)</f>
        <v/>
      </c>
      <c r="C191" s="113">
        <f>(Table53514[[#This Row],[Manufacturers'' New Orders: Durable Goods]]-B190)/B190</f>
        <v/>
      </c>
    </row>
    <row r="192">
      <c r="A192" s="74" t="n">
        <v>39295</v>
      </c>
      <c r="B192" s="75">
        <f>VLOOKUP(A192,Database!A:M,MATCH($A$1,Database!$A$1:$M$1,),)</f>
        <v/>
      </c>
      <c r="C192" s="113">
        <f>(Table53514[[#This Row],[Manufacturers'' New Orders: Durable Goods]]-B191)/B191</f>
        <v/>
      </c>
    </row>
    <row r="193">
      <c r="A193" s="74" t="n">
        <v>39326</v>
      </c>
      <c r="B193" s="75">
        <f>VLOOKUP(A193,Database!A:M,MATCH($A$1,Database!$A$1:$M$1,),)</f>
        <v/>
      </c>
      <c r="C193" s="113">
        <f>(Table53514[[#This Row],[Manufacturers'' New Orders: Durable Goods]]-B192)/B192</f>
        <v/>
      </c>
    </row>
    <row r="194">
      <c r="A194" s="74" t="n">
        <v>39356</v>
      </c>
      <c r="B194" s="75">
        <f>VLOOKUP(A194,Database!A:M,MATCH($A$1,Database!$A$1:$M$1,),)</f>
        <v/>
      </c>
      <c r="C194" s="113">
        <f>(Table53514[[#This Row],[Manufacturers'' New Orders: Durable Goods]]-B193)/B193</f>
        <v/>
      </c>
    </row>
    <row r="195">
      <c r="A195" s="74" t="n">
        <v>39387</v>
      </c>
      <c r="B195" s="75">
        <f>VLOOKUP(A195,Database!A:M,MATCH($A$1,Database!$A$1:$M$1,),)</f>
        <v/>
      </c>
      <c r="C195" s="113">
        <f>(Table53514[[#This Row],[Manufacturers'' New Orders: Durable Goods]]-B194)/B194</f>
        <v/>
      </c>
    </row>
    <row r="196">
      <c r="A196" s="74" t="n">
        <v>39417</v>
      </c>
      <c r="B196" s="75">
        <f>VLOOKUP(A196,Database!A:M,MATCH($A$1,Database!$A$1:$M$1,),)</f>
        <v/>
      </c>
      <c r="C196" s="113">
        <f>(Table53514[[#This Row],[Manufacturers'' New Orders: Durable Goods]]-B195)/B195</f>
        <v/>
      </c>
    </row>
    <row r="197">
      <c r="A197" s="74" t="n">
        <v>39448</v>
      </c>
      <c r="B197" s="75">
        <f>VLOOKUP(A197,Database!A:M,MATCH($A$1,Database!$A$1:$M$1,),)</f>
        <v/>
      </c>
      <c r="C197" s="113">
        <f>(Table53514[[#This Row],[Manufacturers'' New Orders: Durable Goods]]-B196)/B196</f>
        <v/>
      </c>
    </row>
    <row r="198">
      <c r="A198" s="74" t="n">
        <v>39479</v>
      </c>
      <c r="B198" s="75">
        <f>VLOOKUP(A198,Database!A:M,MATCH($A$1,Database!$A$1:$M$1,),)</f>
        <v/>
      </c>
      <c r="C198" s="113">
        <f>(Table53514[[#This Row],[Manufacturers'' New Orders: Durable Goods]]-B197)/B197</f>
        <v/>
      </c>
    </row>
    <row r="199">
      <c r="A199" s="74" t="n">
        <v>39508</v>
      </c>
      <c r="B199" s="75">
        <f>VLOOKUP(A199,Database!A:M,MATCH($A$1,Database!$A$1:$M$1,),)</f>
        <v/>
      </c>
      <c r="C199" s="113">
        <f>(Table53514[[#This Row],[Manufacturers'' New Orders: Durable Goods]]-B198)/B198</f>
        <v/>
      </c>
    </row>
    <row r="200">
      <c r="A200" s="74" t="n">
        <v>39539</v>
      </c>
      <c r="B200" s="75">
        <f>VLOOKUP(A200,Database!A:M,MATCH($A$1,Database!$A$1:$M$1,),)</f>
        <v/>
      </c>
      <c r="C200" s="113">
        <f>(Table53514[[#This Row],[Manufacturers'' New Orders: Durable Goods]]-B199)/B199</f>
        <v/>
      </c>
    </row>
    <row r="201">
      <c r="A201" s="74" t="n">
        <v>39569</v>
      </c>
      <c r="B201" s="75">
        <f>VLOOKUP(A201,Database!A:M,MATCH($A$1,Database!$A$1:$M$1,),)</f>
        <v/>
      </c>
      <c r="C201" s="113">
        <f>(Table53514[[#This Row],[Manufacturers'' New Orders: Durable Goods]]-B200)/B200</f>
        <v/>
      </c>
    </row>
    <row r="202">
      <c r="A202" s="74" t="n">
        <v>39600</v>
      </c>
      <c r="B202" s="75">
        <f>VLOOKUP(A202,Database!A:M,MATCH($A$1,Database!$A$1:$M$1,),)</f>
        <v/>
      </c>
      <c r="C202" s="113">
        <f>(Table53514[[#This Row],[Manufacturers'' New Orders: Durable Goods]]-B201)/B201</f>
        <v/>
      </c>
    </row>
    <row r="203">
      <c r="A203" s="74" t="n">
        <v>39630</v>
      </c>
      <c r="B203" s="75">
        <f>VLOOKUP(A203,Database!A:M,MATCH($A$1,Database!$A$1:$M$1,),)</f>
        <v/>
      </c>
      <c r="C203" s="113">
        <f>(Table53514[[#This Row],[Manufacturers'' New Orders: Durable Goods]]-B202)/B202</f>
        <v/>
      </c>
    </row>
    <row r="204">
      <c r="A204" s="74" t="n">
        <v>39661</v>
      </c>
      <c r="B204" s="75">
        <f>VLOOKUP(A204,Database!A:M,MATCH($A$1,Database!$A$1:$M$1,),)</f>
        <v/>
      </c>
      <c r="C204" s="113">
        <f>(Table53514[[#This Row],[Manufacturers'' New Orders: Durable Goods]]-B203)/B203</f>
        <v/>
      </c>
    </row>
    <row r="205">
      <c r="A205" s="74" t="n">
        <v>39692</v>
      </c>
      <c r="B205" s="75">
        <f>VLOOKUP(A205,Database!A:M,MATCH($A$1,Database!$A$1:$M$1,),)</f>
        <v/>
      </c>
      <c r="C205" s="113">
        <f>(Table53514[[#This Row],[Manufacturers'' New Orders: Durable Goods]]-B204)/B204</f>
        <v/>
      </c>
    </row>
    <row r="206">
      <c r="A206" s="74" t="n">
        <v>39722</v>
      </c>
      <c r="B206" s="75">
        <f>VLOOKUP(A206,Database!A:M,MATCH($A$1,Database!$A$1:$M$1,),)</f>
        <v/>
      </c>
      <c r="C206" s="113">
        <f>(Table53514[[#This Row],[Manufacturers'' New Orders: Durable Goods]]-B205)/B205</f>
        <v/>
      </c>
    </row>
    <row r="207">
      <c r="A207" s="74" t="n">
        <v>39753</v>
      </c>
      <c r="B207" s="75">
        <f>VLOOKUP(A207,Database!A:M,MATCH($A$1,Database!$A$1:$M$1,),)</f>
        <v/>
      </c>
      <c r="C207" s="113">
        <f>(Table53514[[#This Row],[Manufacturers'' New Orders: Durable Goods]]-B206)/B206</f>
        <v/>
      </c>
    </row>
    <row r="208">
      <c r="A208" s="74" t="n">
        <v>39783</v>
      </c>
      <c r="B208" s="75">
        <f>VLOOKUP(A208,Database!A:M,MATCH($A$1,Database!$A$1:$M$1,),)</f>
        <v/>
      </c>
      <c r="C208" s="113">
        <f>(Table53514[[#This Row],[Manufacturers'' New Orders: Durable Goods]]-B207)/B207</f>
        <v/>
      </c>
    </row>
    <row r="209">
      <c r="A209" s="74" t="n">
        <v>39814</v>
      </c>
      <c r="B209" s="75">
        <f>VLOOKUP(A209,Database!A:M,MATCH($A$1,Database!$A$1:$M$1,),)</f>
        <v/>
      </c>
      <c r="C209" s="113">
        <f>(Table53514[[#This Row],[Manufacturers'' New Orders: Durable Goods]]-B208)/B208</f>
        <v/>
      </c>
    </row>
    <row r="210">
      <c r="A210" s="74" t="n">
        <v>39845</v>
      </c>
      <c r="B210" s="75">
        <f>VLOOKUP(A210,Database!A:M,MATCH($A$1,Database!$A$1:$M$1,),)</f>
        <v/>
      </c>
      <c r="C210" s="113">
        <f>(Table53514[[#This Row],[Manufacturers'' New Orders: Durable Goods]]-B209)/B209</f>
        <v/>
      </c>
    </row>
    <row r="211">
      <c r="A211" s="74" t="n">
        <v>39873</v>
      </c>
      <c r="B211" s="75">
        <f>VLOOKUP(A211,Database!A:M,MATCH($A$1,Database!$A$1:$M$1,),)</f>
        <v/>
      </c>
      <c r="C211" s="113">
        <f>(Table53514[[#This Row],[Manufacturers'' New Orders: Durable Goods]]-B210)/B210</f>
        <v/>
      </c>
    </row>
    <row r="212">
      <c r="A212" s="74" t="n">
        <v>39904</v>
      </c>
      <c r="B212" s="75">
        <f>VLOOKUP(A212,Database!A:M,MATCH($A$1,Database!$A$1:$M$1,),)</f>
        <v/>
      </c>
      <c r="C212" s="113">
        <f>(Table53514[[#This Row],[Manufacturers'' New Orders: Durable Goods]]-B211)/B211</f>
        <v/>
      </c>
    </row>
    <row r="213">
      <c r="A213" s="74" t="n">
        <v>39934</v>
      </c>
      <c r="B213" s="75">
        <f>VLOOKUP(A213,Database!A:M,MATCH($A$1,Database!$A$1:$M$1,),)</f>
        <v/>
      </c>
      <c r="C213" s="113">
        <f>(Table53514[[#This Row],[Manufacturers'' New Orders: Durable Goods]]-B212)/B212</f>
        <v/>
      </c>
    </row>
    <row r="214">
      <c r="A214" s="74" t="n">
        <v>39965</v>
      </c>
      <c r="B214" s="75">
        <f>VLOOKUP(A214,Database!A:M,MATCH($A$1,Database!$A$1:$M$1,),)</f>
        <v/>
      </c>
      <c r="C214" s="113">
        <f>(Table53514[[#This Row],[Manufacturers'' New Orders: Durable Goods]]-B213)/B213</f>
        <v/>
      </c>
    </row>
    <row r="215">
      <c r="A215" s="74" t="n">
        <v>39995</v>
      </c>
      <c r="B215" s="75">
        <f>VLOOKUP(A215,Database!A:M,MATCH($A$1,Database!$A$1:$M$1,),)</f>
        <v/>
      </c>
      <c r="C215" s="113">
        <f>(Table53514[[#This Row],[Manufacturers'' New Orders: Durable Goods]]-B214)/B214</f>
        <v/>
      </c>
    </row>
    <row r="216">
      <c r="A216" s="74" t="n">
        <v>40026</v>
      </c>
      <c r="B216" s="75">
        <f>VLOOKUP(A216,Database!A:M,MATCH($A$1,Database!$A$1:$M$1,),)</f>
        <v/>
      </c>
      <c r="C216" s="113">
        <f>(Table53514[[#This Row],[Manufacturers'' New Orders: Durable Goods]]-B215)/B215</f>
        <v/>
      </c>
    </row>
    <row r="217">
      <c r="A217" s="74" t="n">
        <v>40057</v>
      </c>
      <c r="B217" s="75">
        <f>VLOOKUP(A217,Database!A:M,MATCH($A$1,Database!$A$1:$M$1,),)</f>
        <v/>
      </c>
      <c r="C217" s="113">
        <f>(Table53514[[#This Row],[Manufacturers'' New Orders: Durable Goods]]-B216)/B216</f>
        <v/>
      </c>
    </row>
    <row r="218">
      <c r="A218" s="74" t="n">
        <v>40087</v>
      </c>
      <c r="B218" s="75">
        <f>VLOOKUP(A218,Database!A:M,MATCH($A$1,Database!$A$1:$M$1,),)</f>
        <v/>
      </c>
      <c r="C218" s="113">
        <f>(Table53514[[#This Row],[Manufacturers'' New Orders: Durable Goods]]-B217)/B217</f>
        <v/>
      </c>
    </row>
    <row r="219">
      <c r="A219" s="74" t="n">
        <v>40118</v>
      </c>
      <c r="B219" s="75">
        <f>VLOOKUP(A219,Database!A:M,MATCH($A$1,Database!$A$1:$M$1,),)</f>
        <v/>
      </c>
      <c r="C219" s="113">
        <f>(Table53514[[#This Row],[Manufacturers'' New Orders: Durable Goods]]-B218)/B218</f>
        <v/>
      </c>
    </row>
    <row r="220">
      <c r="A220" s="74" t="n">
        <v>40148</v>
      </c>
      <c r="B220" s="75">
        <f>VLOOKUP(A220,Database!A:M,MATCH($A$1,Database!$A$1:$M$1,),)</f>
        <v/>
      </c>
      <c r="C220" s="113">
        <f>(Table53514[[#This Row],[Manufacturers'' New Orders: Durable Goods]]-B219)/B219</f>
        <v/>
      </c>
    </row>
    <row r="221">
      <c r="A221" s="74" t="n">
        <v>40179</v>
      </c>
      <c r="B221" s="75">
        <f>VLOOKUP(A221,Database!A:M,MATCH($A$1,Database!$A$1:$M$1,),)</f>
        <v/>
      </c>
      <c r="C221" s="113">
        <f>(Table53514[[#This Row],[Manufacturers'' New Orders: Durable Goods]]-B220)/B220</f>
        <v/>
      </c>
    </row>
    <row r="222">
      <c r="A222" s="74" t="n">
        <v>40210</v>
      </c>
      <c r="B222" s="75">
        <f>VLOOKUP(A222,Database!A:M,MATCH($A$1,Database!$A$1:$M$1,),)</f>
        <v/>
      </c>
      <c r="C222" s="113">
        <f>(Table53514[[#This Row],[Manufacturers'' New Orders: Durable Goods]]-B221)/B221</f>
        <v/>
      </c>
    </row>
    <row r="223">
      <c r="A223" s="74" t="n">
        <v>40238</v>
      </c>
      <c r="B223" s="75">
        <f>VLOOKUP(A223,Database!A:M,MATCH($A$1,Database!$A$1:$M$1,),)</f>
        <v/>
      </c>
      <c r="C223" s="113">
        <f>(Table53514[[#This Row],[Manufacturers'' New Orders: Durable Goods]]-B222)/B222</f>
        <v/>
      </c>
    </row>
    <row r="224">
      <c r="A224" s="74" t="n">
        <v>40269</v>
      </c>
      <c r="B224" s="75">
        <f>VLOOKUP(A224,Database!A:M,MATCH($A$1,Database!$A$1:$M$1,),)</f>
        <v/>
      </c>
      <c r="C224" s="113">
        <f>(Table53514[[#This Row],[Manufacturers'' New Orders: Durable Goods]]-B223)/B223</f>
        <v/>
      </c>
    </row>
    <row r="225">
      <c r="A225" s="74" t="n">
        <v>40299</v>
      </c>
      <c r="B225" s="75">
        <f>VLOOKUP(A225,Database!A:M,MATCH($A$1,Database!$A$1:$M$1,),)</f>
        <v/>
      </c>
      <c r="C225" s="113">
        <f>(Table53514[[#This Row],[Manufacturers'' New Orders: Durable Goods]]-B224)/B224</f>
        <v/>
      </c>
    </row>
    <row r="226">
      <c r="A226" s="74" t="n">
        <v>40330</v>
      </c>
      <c r="B226" s="75">
        <f>VLOOKUP(A226,Database!A:M,MATCH($A$1,Database!$A$1:$M$1,),)</f>
        <v/>
      </c>
      <c r="C226" s="113">
        <f>(Table53514[[#This Row],[Manufacturers'' New Orders: Durable Goods]]-B225)/B225</f>
        <v/>
      </c>
    </row>
    <row r="227">
      <c r="A227" s="74" t="n">
        <v>40360</v>
      </c>
      <c r="B227" s="75">
        <f>VLOOKUP(A227,Database!A:M,MATCH($A$1,Database!$A$1:$M$1,),)</f>
        <v/>
      </c>
      <c r="C227" s="113">
        <f>(Table53514[[#This Row],[Manufacturers'' New Orders: Durable Goods]]-B226)/B226</f>
        <v/>
      </c>
    </row>
    <row r="228">
      <c r="A228" s="74" t="n">
        <v>40391</v>
      </c>
      <c r="B228" s="75">
        <f>VLOOKUP(A228,Database!A:M,MATCH($A$1,Database!$A$1:$M$1,),)</f>
        <v/>
      </c>
      <c r="C228" s="113">
        <f>(Table53514[[#This Row],[Manufacturers'' New Orders: Durable Goods]]-B227)/B227</f>
        <v/>
      </c>
    </row>
    <row r="229">
      <c r="A229" s="74" t="n">
        <v>40422</v>
      </c>
      <c r="B229" s="75">
        <f>VLOOKUP(A229,Database!A:M,MATCH($A$1,Database!$A$1:$M$1,),)</f>
        <v/>
      </c>
      <c r="C229" s="113">
        <f>(Table53514[[#This Row],[Manufacturers'' New Orders: Durable Goods]]-B228)/B228</f>
        <v/>
      </c>
    </row>
    <row r="230">
      <c r="A230" s="74" t="n">
        <v>40452</v>
      </c>
      <c r="B230" s="75">
        <f>VLOOKUP(A230,Database!A:M,MATCH($A$1,Database!$A$1:$M$1,),)</f>
        <v/>
      </c>
      <c r="C230" s="113">
        <f>(Table53514[[#This Row],[Manufacturers'' New Orders: Durable Goods]]-B229)/B229</f>
        <v/>
      </c>
    </row>
    <row r="231">
      <c r="A231" s="74" t="n">
        <v>40483</v>
      </c>
      <c r="B231" s="75">
        <f>VLOOKUP(A231,Database!A:M,MATCH($A$1,Database!$A$1:$M$1,),)</f>
        <v/>
      </c>
      <c r="C231" s="113">
        <f>(Table53514[[#This Row],[Manufacturers'' New Orders: Durable Goods]]-B230)/B230</f>
        <v/>
      </c>
    </row>
    <row r="232">
      <c r="A232" s="74" t="n">
        <v>40513</v>
      </c>
      <c r="B232" s="75">
        <f>VLOOKUP(A232,Database!A:M,MATCH($A$1,Database!$A$1:$M$1,),)</f>
        <v/>
      </c>
      <c r="C232" s="113">
        <f>(Table53514[[#This Row],[Manufacturers'' New Orders: Durable Goods]]-B231)/B231</f>
        <v/>
      </c>
    </row>
    <row r="233">
      <c r="A233" s="74" t="n">
        <v>40544</v>
      </c>
      <c r="B233" s="75">
        <f>VLOOKUP(A233,Database!A:M,MATCH($A$1,Database!$A$1:$M$1,),)</f>
        <v/>
      </c>
      <c r="C233" s="113">
        <f>(Table53514[[#This Row],[Manufacturers'' New Orders: Durable Goods]]-B232)/B232</f>
        <v/>
      </c>
    </row>
    <row r="234">
      <c r="A234" s="74" t="n">
        <v>40575</v>
      </c>
      <c r="B234" s="75">
        <f>VLOOKUP(A234,Database!A:M,MATCH($A$1,Database!$A$1:$M$1,),)</f>
        <v/>
      </c>
      <c r="C234" s="113">
        <f>(Table53514[[#This Row],[Manufacturers'' New Orders: Durable Goods]]-B233)/B233</f>
        <v/>
      </c>
    </row>
    <row r="235">
      <c r="A235" s="74" t="n">
        <v>40603</v>
      </c>
      <c r="B235" s="75">
        <f>VLOOKUP(A235,Database!A:M,MATCH($A$1,Database!$A$1:$M$1,),)</f>
        <v/>
      </c>
      <c r="C235" s="113">
        <f>(Table53514[[#This Row],[Manufacturers'' New Orders: Durable Goods]]-B234)/B234</f>
        <v/>
      </c>
    </row>
    <row r="236">
      <c r="A236" s="74" t="n">
        <v>40634</v>
      </c>
      <c r="B236" s="75">
        <f>VLOOKUP(A236,Database!A:M,MATCH($A$1,Database!$A$1:$M$1,),)</f>
        <v/>
      </c>
      <c r="C236" s="113">
        <f>(Table53514[[#This Row],[Manufacturers'' New Orders: Durable Goods]]-B235)/B235</f>
        <v/>
      </c>
    </row>
    <row r="237">
      <c r="A237" s="74" t="n">
        <v>40664</v>
      </c>
      <c r="B237" s="75">
        <f>VLOOKUP(A237,Database!A:M,MATCH($A$1,Database!$A$1:$M$1,),)</f>
        <v/>
      </c>
      <c r="C237" s="113">
        <f>(Table53514[[#This Row],[Manufacturers'' New Orders: Durable Goods]]-B236)/B236</f>
        <v/>
      </c>
    </row>
    <row r="238">
      <c r="A238" s="74" t="n">
        <v>40695</v>
      </c>
      <c r="B238" s="75">
        <f>VLOOKUP(A238,Database!A:M,MATCH($A$1,Database!$A$1:$M$1,),)</f>
        <v/>
      </c>
      <c r="C238" s="113">
        <f>(Table53514[[#This Row],[Manufacturers'' New Orders: Durable Goods]]-B237)/B237</f>
        <v/>
      </c>
    </row>
    <row r="239">
      <c r="A239" s="74" t="n">
        <v>40725</v>
      </c>
      <c r="B239" s="75">
        <f>VLOOKUP(A239,Database!A:M,MATCH($A$1,Database!$A$1:$M$1,),)</f>
        <v/>
      </c>
      <c r="C239" s="113">
        <f>(Table53514[[#This Row],[Manufacturers'' New Orders: Durable Goods]]-B238)/B238</f>
        <v/>
      </c>
    </row>
    <row r="240">
      <c r="A240" s="74" t="n">
        <v>40756</v>
      </c>
      <c r="B240" s="75">
        <f>VLOOKUP(A240,Database!A:M,MATCH($A$1,Database!$A$1:$M$1,),)</f>
        <v/>
      </c>
      <c r="C240" s="113">
        <f>(Table53514[[#This Row],[Manufacturers'' New Orders: Durable Goods]]-B239)/B239</f>
        <v/>
      </c>
    </row>
    <row r="241">
      <c r="A241" s="74" t="n">
        <v>40787</v>
      </c>
      <c r="B241" s="75">
        <f>VLOOKUP(A241,Database!A:M,MATCH($A$1,Database!$A$1:$M$1,),)</f>
        <v/>
      </c>
      <c r="C241" s="113">
        <f>(Table53514[[#This Row],[Manufacturers'' New Orders: Durable Goods]]-B240)/B240</f>
        <v/>
      </c>
    </row>
    <row r="242">
      <c r="A242" s="74" t="n">
        <v>40817</v>
      </c>
      <c r="B242" s="75">
        <f>VLOOKUP(A242,Database!A:M,MATCH($A$1,Database!$A$1:$M$1,),)</f>
        <v/>
      </c>
      <c r="C242" s="113">
        <f>(Table53514[[#This Row],[Manufacturers'' New Orders: Durable Goods]]-B241)/B241</f>
        <v/>
      </c>
    </row>
    <row r="243">
      <c r="A243" s="74" t="n">
        <v>40848</v>
      </c>
      <c r="B243" s="75">
        <f>VLOOKUP(A243,Database!A:M,MATCH($A$1,Database!$A$1:$M$1,),)</f>
        <v/>
      </c>
      <c r="C243" s="113">
        <f>(Table53514[[#This Row],[Manufacturers'' New Orders: Durable Goods]]-B242)/B242</f>
        <v/>
      </c>
    </row>
    <row r="244">
      <c r="A244" s="74" t="n">
        <v>40878</v>
      </c>
      <c r="B244" s="75">
        <f>VLOOKUP(A244,Database!A:M,MATCH($A$1,Database!$A$1:$M$1,),)</f>
        <v/>
      </c>
      <c r="C244" s="113">
        <f>(Table53514[[#This Row],[Manufacturers'' New Orders: Durable Goods]]-B243)/B243</f>
        <v/>
      </c>
    </row>
    <row r="245">
      <c r="A245" s="74" t="n">
        <v>40909</v>
      </c>
      <c r="B245" s="75">
        <f>VLOOKUP(A245,Database!A:M,MATCH($A$1,Database!$A$1:$M$1,),)</f>
        <v/>
      </c>
      <c r="C245" s="113">
        <f>(Table53514[[#This Row],[Manufacturers'' New Orders: Durable Goods]]-B244)/B244</f>
        <v/>
      </c>
    </row>
    <row r="246">
      <c r="A246" s="74" t="n">
        <v>40940</v>
      </c>
      <c r="B246" s="75">
        <f>VLOOKUP(A246,Database!A:M,MATCH($A$1,Database!$A$1:$M$1,),)</f>
        <v/>
      </c>
      <c r="C246" s="113">
        <f>(Table53514[[#This Row],[Manufacturers'' New Orders: Durable Goods]]-B245)/B245</f>
        <v/>
      </c>
    </row>
    <row r="247">
      <c r="A247" s="74" t="n">
        <v>40969</v>
      </c>
      <c r="B247" s="75">
        <f>VLOOKUP(A247,Database!A:M,MATCH($A$1,Database!$A$1:$M$1,),)</f>
        <v/>
      </c>
      <c r="C247" s="113">
        <f>(Table53514[[#This Row],[Manufacturers'' New Orders: Durable Goods]]-B246)/B246</f>
        <v/>
      </c>
    </row>
    <row r="248">
      <c r="A248" s="74" t="n">
        <v>41000</v>
      </c>
      <c r="B248" s="75">
        <f>VLOOKUP(A248,Database!A:M,MATCH($A$1,Database!$A$1:$M$1,),)</f>
        <v/>
      </c>
      <c r="C248" s="113">
        <f>(Table53514[[#This Row],[Manufacturers'' New Orders: Durable Goods]]-B247)/B247</f>
        <v/>
      </c>
    </row>
    <row r="249">
      <c r="A249" s="74" t="n">
        <v>41030</v>
      </c>
      <c r="B249" s="75">
        <f>VLOOKUP(A249,Database!A:M,MATCH($A$1,Database!$A$1:$M$1,),)</f>
        <v/>
      </c>
      <c r="C249" s="113">
        <f>(Table53514[[#This Row],[Manufacturers'' New Orders: Durable Goods]]-B248)/B248</f>
        <v/>
      </c>
    </row>
    <row r="250">
      <c r="A250" s="74" t="n">
        <v>41061</v>
      </c>
      <c r="B250" s="75">
        <f>VLOOKUP(A250,Database!A:M,MATCH($A$1,Database!$A$1:$M$1,),)</f>
        <v/>
      </c>
      <c r="C250" s="113">
        <f>(Table53514[[#This Row],[Manufacturers'' New Orders: Durable Goods]]-B249)/B249</f>
        <v/>
      </c>
    </row>
    <row r="251">
      <c r="A251" s="74" t="n">
        <v>41091</v>
      </c>
      <c r="B251" s="75">
        <f>VLOOKUP(A251,Database!A:M,MATCH($A$1,Database!$A$1:$M$1,),)</f>
        <v/>
      </c>
      <c r="C251" s="113">
        <f>(Table53514[[#This Row],[Manufacturers'' New Orders: Durable Goods]]-B250)/B250</f>
        <v/>
      </c>
    </row>
    <row r="252">
      <c r="A252" s="74" t="n">
        <v>41122</v>
      </c>
      <c r="B252" s="75">
        <f>VLOOKUP(A252,Database!A:M,MATCH($A$1,Database!$A$1:$M$1,),)</f>
        <v/>
      </c>
      <c r="C252" s="113">
        <f>(Table53514[[#This Row],[Manufacturers'' New Orders: Durable Goods]]-B251)/B251</f>
        <v/>
      </c>
    </row>
    <row r="253">
      <c r="A253" s="74" t="n">
        <v>41153</v>
      </c>
      <c r="B253" s="75">
        <f>VLOOKUP(A253,Database!A:M,MATCH($A$1,Database!$A$1:$M$1,),)</f>
        <v/>
      </c>
      <c r="C253" s="113">
        <f>(Table53514[[#This Row],[Manufacturers'' New Orders: Durable Goods]]-B252)/B252</f>
        <v/>
      </c>
    </row>
    <row r="254">
      <c r="A254" s="74" t="n">
        <v>41183</v>
      </c>
      <c r="B254" s="75">
        <f>VLOOKUP(A254,Database!A:M,MATCH($A$1,Database!$A$1:$M$1,),)</f>
        <v/>
      </c>
      <c r="C254" s="113">
        <f>(Table53514[[#This Row],[Manufacturers'' New Orders: Durable Goods]]-B253)/B253</f>
        <v/>
      </c>
    </row>
    <row r="255">
      <c r="A255" s="74" t="n">
        <v>41214</v>
      </c>
      <c r="B255" s="75">
        <f>VLOOKUP(A255,Database!A:M,MATCH($A$1,Database!$A$1:$M$1,),)</f>
        <v/>
      </c>
      <c r="C255" s="113">
        <f>(Table53514[[#This Row],[Manufacturers'' New Orders: Durable Goods]]-B254)/B254</f>
        <v/>
      </c>
    </row>
    <row r="256">
      <c r="A256" s="74" t="n">
        <v>41244</v>
      </c>
      <c r="B256" s="75">
        <f>VLOOKUP(A256,Database!A:M,MATCH($A$1,Database!$A$1:$M$1,),)</f>
        <v/>
      </c>
      <c r="C256" s="113">
        <f>(Table53514[[#This Row],[Manufacturers'' New Orders: Durable Goods]]-B255)/B255</f>
        <v/>
      </c>
    </row>
    <row r="257">
      <c r="A257" s="74" t="n">
        <v>41275</v>
      </c>
      <c r="B257" s="75">
        <f>VLOOKUP(A257,Database!A:M,MATCH($A$1,Database!$A$1:$M$1,),)</f>
        <v/>
      </c>
      <c r="C257" s="113">
        <f>(Table53514[[#This Row],[Manufacturers'' New Orders: Durable Goods]]-B256)/B256</f>
        <v/>
      </c>
    </row>
    <row r="258">
      <c r="A258" s="74" t="n">
        <v>41306</v>
      </c>
      <c r="B258" s="75">
        <f>VLOOKUP(A258,Database!A:M,MATCH($A$1,Database!$A$1:$M$1,),)</f>
        <v/>
      </c>
      <c r="C258" s="113">
        <f>(Table53514[[#This Row],[Manufacturers'' New Orders: Durable Goods]]-B257)/B257</f>
        <v/>
      </c>
    </row>
    <row r="259">
      <c r="A259" s="74" t="n">
        <v>41334</v>
      </c>
      <c r="B259" s="75">
        <f>VLOOKUP(A259,Database!A:M,MATCH($A$1,Database!$A$1:$M$1,),)</f>
        <v/>
      </c>
      <c r="C259" s="113">
        <f>(Table53514[[#This Row],[Manufacturers'' New Orders: Durable Goods]]-B258)/B258</f>
        <v/>
      </c>
    </row>
    <row r="260">
      <c r="A260" s="74" t="n">
        <v>41365</v>
      </c>
      <c r="B260" s="75">
        <f>VLOOKUP(A260,Database!A:M,MATCH($A$1,Database!$A$1:$M$1,),)</f>
        <v/>
      </c>
      <c r="C260" s="113">
        <f>(Table53514[[#This Row],[Manufacturers'' New Orders: Durable Goods]]-B259)/B259</f>
        <v/>
      </c>
    </row>
    <row r="261">
      <c r="A261" s="74" t="n">
        <v>41395</v>
      </c>
      <c r="B261" s="75">
        <f>VLOOKUP(A261,Database!A:M,MATCH($A$1,Database!$A$1:$M$1,),)</f>
        <v/>
      </c>
      <c r="C261" s="113">
        <f>(Table53514[[#This Row],[Manufacturers'' New Orders: Durable Goods]]-B260)/B260</f>
        <v/>
      </c>
    </row>
    <row r="262">
      <c r="A262" s="74" t="n">
        <v>41426</v>
      </c>
      <c r="B262" s="75">
        <f>VLOOKUP(A262,Database!A:M,MATCH($A$1,Database!$A$1:$M$1,),)</f>
        <v/>
      </c>
      <c r="C262" s="113">
        <f>(Table53514[[#This Row],[Manufacturers'' New Orders: Durable Goods]]-B261)/B261</f>
        <v/>
      </c>
    </row>
    <row r="263">
      <c r="A263" s="74" t="n">
        <v>41456</v>
      </c>
      <c r="B263" s="75">
        <f>VLOOKUP(A263,Database!A:M,MATCH($A$1,Database!$A$1:$M$1,),)</f>
        <v/>
      </c>
      <c r="C263" s="113">
        <f>(Table53514[[#This Row],[Manufacturers'' New Orders: Durable Goods]]-B262)/B262</f>
        <v/>
      </c>
    </row>
    <row r="264">
      <c r="A264" s="74" t="n">
        <v>41487</v>
      </c>
      <c r="B264" s="75">
        <f>VLOOKUP(A264,Database!A:M,MATCH($A$1,Database!$A$1:$M$1,),)</f>
        <v/>
      </c>
      <c r="C264" s="113">
        <f>(Table53514[[#This Row],[Manufacturers'' New Orders: Durable Goods]]-B263)/B263</f>
        <v/>
      </c>
    </row>
    <row r="265">
      <c r="A265" s="74" t="n">
        <v>41518</v>
      </c>
      <c r="B265" s="75">
        <f>VLOOKUP(A265,Database!A:M,MATCH($A$1,Database!$A$1:$M$1,),)</f>
        <v/>
      </c>
      <c r="C265" s="113">
        <f>(Table53514[[#This Row],[Manufacturers'' New Orders: Durable Goods]]-B264)/B264</f>
        <v/>
      </c>
    </row>
    <row r="266">
      <c r="A266" s="74" t="n">
        <v>41548</v>
      </c>
      <c r="B266" s="75">
        <f>VLOOKUP(A266,Database!A:M,MATCH($A$1,Database!$A$1:$M$1,),)</f>
        <v/>
      </c>
      <c r="C266" s="113">
        <f>(Table53514[[#This Row],[Manufacturers'' New Orders: Durable Goods]]-B265)/B265</f>
        <v/>
      </c>
    </row>
    <row r="267">
      <c r="A267" s="74" t="n">
        <v>41579</v>
      </c>
      <c r="B267" s="75">
        <f>VLOOKUP(A267,Database!A:M,MATCH($A$1,Database!$A$1:$M$1,),)</f>
        <v/>
      </c>
      <c r="C267" s="113">
        <f>(Table53514[[#This Row],[Manufacturers'' New Orders: Durable Goods]]-B266)/B266</f>
        <v/>
      </c>
    </row>
    <row r="268">
      <c r="A268" s="74" t="n">
        <v>41609</v>
      </c>
      <c r="B268" s="75">
        <f>VLOOKUP(A268,Database!A:M,MATCH($A$1,Database!$A$1:$M$1,),)</f>
        <v/>
      </c>
      <c r="C268" s="113">
        <f>(Table53514[[#This Row],[Manufacturers'' New Orders: Durable Goods]]-B267)/B267</f>
        <v/>
      </c>
    </row>
    <row r="269">
      <c r="A269" s="74" t="n">
        <v>41640</v>
      </c>
      <c r="B269" s="75">
        <f>VLOOKUP(A269,Database!A:M,MATCH($A$1,Database!$A$1:$M$1,),)</f>
        <v/>
      </c>
      <c r="C269" s="113">
        <f>(Table53514[[#This Row],[Manufacturers'' New Orders: Durable Goods]]-B268)/B268</f>
        <v/>
      </c>
    </row>
    <row r="270">
      <c r="A270" s="74" t="n">
        <v>41671</v>
      </c>
      <c r="B270" s="75">
        <f>VLOOKUP(A270,Database!A:M,MATCH($A$1,Database!$A$1:$M$1,),)</f>
        <v/>
      </c>
      <c r="C270" s="113">
        <f>(Table53514[[#This Row],[Manufacturers'' New Orders: Durable Goods]]-B269)/B269</f>
        <v/>
      </c>
    </row>
    <row r="271">
      <c r="A271" s="74" t="n">
        <v>41699</v>
      </c>
      <c r="B271" s="75">
        <f>VLOOKUP(A271,Database!A:M,MATCH($A$1,Database!$A$1:$M$1,),)</f>
        <v/>
      </c>
      <c r="C271" s="113">
        <f>(Table53514[[#This Row],[Manufacturers'' New Orders: Durable Goods]]-B270)/B270</f>
        <v/>
      </c>
    </row>
    <row r="272">
      <c r="A272" s="74" t="n">
        <v>41730</v>
      </c>
      <c r="B272" s="75">
        <f>VLOOKUP(A272,Database!A:M,MATCH($A$1,Database!$A$1:$M$1,),)</f>
        <v/>
      </c>
      <c r="C272" s="113">
        <f>(Table53514[[#This Row],[Manufacturers'' New Orders: Durable Goods]]-B271)/B271</f>
        <v/>
      </c>
    </row>
    <row r="273">
      <c r="A273" s="74" t="n">
        <v>41760</v>
      </c>
      <c r="B273" s="75">
        <f>VLOOKUP(A273,Database!A:M,MATCH($A$1,Database!$A$1:$M$1,),)</f>
        <v/>
      </c>
      <c r="C273" s="113">
        <f>(Table53514[[#This Row],[Manufacturers'' New Orders: Durable Goods]]-B272)/B272</f>
        <v/>
      </c>
    </row>
    <row r="274">
      <c r="A274" s="74" t="n">
        <v>41791</v>
      </c>
      <c r="B274" s="75">
        <f>VLOOKUP(A274,Database!A:M,MATCH($A$1,Database!$A$1:$M$1,),)</f>
        <v/>
      </c>
      <c r="C274" s="113">
        <f>(Table53514[[#This Row],[Manufacturers'' New Orders: Durable Goods]]-B273)/B273</f>
        <v/>
      </c>
    </row>
    <row r="275">
      <c r="A275" s="74" t="n">
        <v>41821</v>
      </c>
      <c r="B275" s="75">
        <f>VLOOKUP(A275,Database!A:M,MATCH($A$1,Database!$A$1:$M$1,),)</f>
        <v/>
      </c>
      <c r="C275" s="113">
        <f>(Table53514[[#This Row],[Manufacturers'' New Orders: Durable Goods]]-B274)/B274</f>
        <v/>
      </c>
    </row>
    <row r="276">
      <c r="A276" s="74" t="n">
        <v>41852</v>
      </c>
      <c r="B276" s="75">
        <f>VLOOKUP(A276,Database!A:M,MATCH($A$1,Database!$A$1:$M$1,),)</f>
        <v/>
      </c>
      <c r="C276" s="113">
        <f>(Table53514[[#This Row],[Manufacturers'' New Orders: Durable Goods]]-B275)/B275</f>
        <v/>
      </c>
    </row>
    <row r="277">
      <c r="A277" s="74" t="n">
        <v>41883</v>
      </c>
      <c r="B277" s="75">
        <f>VLOOKUP(A277,Database!A:M,MATCH($A$1,Database!$A$1:$M$1,),)</f>
        <v/>
      </c>
      <c r="C277" s="113">
        <f>(Table53514[[#This Row],[Manufacturers'' New Orders: Durable Goods]]-B276)/B276</f>
        <v/>
      </c>
    </row>
    <row r="278">
      <c r="A278" s="74" t="n">
        <v>41913</v>
      </c>
      <c r="B278" s="75">
        <f>VLOOKUP(A278,Database!A:M,MATCH($A$1,Database!$A$1:$M$1,),)</f>
        <v/>
      </c>
      <c r="C278" s="113">
        <f>(Table53514[[#This Row],[Manufacturers'' New Orders: Durable Goods]]-B277)/B277</f>
        <v/>
      </c>
    </row>
    <row r="279">
      <c r="A279" s="74" t="n">
        <v>41944</v>
      </c>
      <c r="B279" s="75">
        <f>VLOOKUP(A279,Database!A:M,MATCH($A$1,Database!$A$1:$M$1,),)</f>
        <v/>
      </c>
      <c r="C279" s="113">
        <f>(Table53514[[#This Row],[Manufacturers'' New Orders: Durable Goods]]-B278)/B278</f>
        <v/>
      </c>
    </row>
    <row r="280">
      <c r="A280" s="74" t="n">
        <v>41974</v>
      </c>
      <c r="B280" s="75">
        <f>VLOOKUP(A280,Database!A:M,MATCH($A$1,Database!$A$1:$M$1,),)</f>
        <v/>
      </c>
      <c r="C280" s="113">
        <f>(Table53514[[#This Row],[Manufacturers'' New Orders: Durable Goods]]-B279)/B279</f>
        <v/>
      </c>
    </row>
    <row r="281">
      <c r="A281" s="74" t="n">
        <v>42005</v>
      </c>
      <c r="B281" s="75">
        <f>VLOOKUP(A281,Database!A:M,MATCH($A$1,Database!$A$1:$M$1,),)</f>
        <v/>
      </c>
      <c r="C281" s="113">
        <f>(Table53514[[#This Row],[Manufacturers'' New Orders: Durable Goods]]-B280)/B280</f>
        <v/>
      </c>
    </row>
    <row r="282">
      <c r="A282" s="74" t="n">
        <v>42036</v>
      </c>
      <c r="B282" s="75">
        <f>VLOOKUP(A282,Database!A:M,MATCH($A$1,Database!$A$1:$M$1,),)</f>
        <v/>
      </c>
      <c r="C282" s="113">
        <f>(Table53514[[#This Row],[Manufacturers'' New Orders: Durable Goods]]-B281)/B281</f>
        <v/>
      </c>
    </row>
    <row r="283">
      <c r="A283" s="74" t="n">
        <v>42064</v>
      </c>
      <c r="B283" s="75">
        <f>VLOOKUP(A283,Database!A:M,MATCH($A$1,Database!$A$1:$M$1,),)</f>
        <v/>
      </c>
      <c r="C283" s="113">
        <f>(Table53514[[#This Row],[Manufacturers'' New Orders: Durable Goods]]-B282)/B282</f>
        <v/>
      </c>
    </row>
    <row r="284">
      <c r="A284" s="74" t="n">
        <v>42095</v>
      </c>
      <c r="B284" s="75">
        <f>VLOOKUP(A284,Database!A:M,MATCH($A$1,Database!$A$1:$M$1,),)</f>
        <v/>
      </c>
      <c r="C284" s="113">
        <f>(Table53514[[#This Row],[Manufacturers'' New Orders: Durable Goods]]-B283)/B283</f>
        <v/>
      </c>
    </row>
    <row r="285">
      <c r="A285" s="74" t="n">
        <v>42125</v>
      </c>
      <c r="B285" s="75">
        <f>VLOOKUP(A285,Database!A:M,MATCH($A$1,Database!$A$1:$M$1,),)</f>
        <v/>
      </c>
      <c r="C285" s="113">
        <f>(Table53514[[#This Row],[Manufacturers'' New Orders: Durable Goods]]-B284)/B284</f>
        <v/>
      </c>
    </row>
    <row r="286">
      <c r="A286" s="74" t="n">
        <v>42156</v>
      </c>
      <c r="B286" s="75">
        <f>VLOOKUP(A286,Database!A:M,MATCH($A$1,Database!$A$1:$M$1,),)</f>
        <v/>
      </c>
      <c r="C286" s="113">
        <f>(Table53514[[#This Row],[Manufacturers'' New Orders: Durable Goods]]-B285)/B285</f>
        <v/>
      </c>
    </row>
    <row r="287">
      <c r="A287" s="74" t="n">
        <v>42186</v>
      </c>
      <c r="B287" s="75">
        <f>VLOOKUP(A287,Database!A:M,MATCH($A$1,Database!$A$1:$M$1,),)</f>
        <v/>
      </c>
      <c r="C287" s="113">
        <f>(Table53514[[#This Row],[Manufacturers'' New Orders: Durable Goods]]-B286)/B286</f>
        <v/>
      </c>
    </row>
    <row r="288">
      <c r="A288" s="74" t="n">
        <v>42217</v>
      </c>
      <c r="B288" s="75">
        <f>VLOOKUP(A288,Database!A:M,MATCH($A$1,Database!$A$1:$M$1,),)</f>
        <v/>
      </c>
      <c r="C288" s="113">
        <f>(Table53514[[#This Row],[Manufacturers'' New Orders: Durable Goods]]-B287)/B287</f>
        <v/>
      </c>
    </row>
    <row r="289">
      <c r="A289" s="74" t="n">
        <v>42248</v>
      </c>
      <c r="B289" s="75">
        <f>VLOOKUP(A289,Database!A:M,MATCH($A$1,Database!$A$1:$M$1,),)</f>
        <v/>
      </c>
      <c r="C289" s="113">
        <f>(Table53514[[#This Row],[Manufacturers'' New Orders: Durable Goods]]-B288)/B288</f>
        <v/>
      </c>
    </row>
    <row r="290">
      <c r="A290" s="74" t="n">
        <v>42278</v>
      </c>
      <c r="B290" s="75">
        <f>VLOOKUP(A290,Database!A:M,MATCH($A$1,Database!$A$1:$M$1,),)</f>
        <v/>
      </c>
      <c r="C290" s="113">
        <f>(Table53514[[#This Row],[Manufacturers'' New Orders: Durable Goods]]-B289)/B289</f>
        <v/>
      </c>
    </row>
    <row r="291">
      <c r="A291" s="74" t="n">
        <v>42309</v>
      </c>
      <c r="B291" s="75">
        <f>VLOOKUP(A291,Database!A:M,MATCH($A$1,Database!$A$1:$M$1,),)</f>
        <v/>
      </c>
      <c r="C291" s="113">
        <f>(Table53514[[#This Row],[Manufacturers'' New Orders: Durable Goods]]-B290)/B290</f>
        <v/>
      </c>
    </row>
    <row r="292">
      <c r="A292" s="74" t="n">
        <v>42339</v>
      </c>
      <c r="B292" s="75">
        <f>VLOOKUP(A292,Database!A:M,MATCH($A$1,Database!$A$1:$M$1,),)</f>
        <v/>
      </c>
      <c r="C292" s="113">
        <f>(Table53514[[#This Row],[Manufacturers'' New Orders: Durable Goods]]-B291)/B291</f>
        <v/>
      </c>
    </row>
    <row r="293">
      <c r="A293" s="74" t="n">
        <v>42370</v>
      </c>
      <c r="B293" s="75">
        <f>VLOOKUP(A293,Database!A:M,MATCH($A$1,Database!$A$1:$M$1,),)</f>
        <v/>
      </c>
      <c r="C293" s="113">
        <f>(Table53514[[#This Row],[Manufacturers'' New Orders: Durable Goods]]-B292)/B292</f>
        <v/>
      </c>
    </row>
    <row r="294">
      <c r="A294" s="74" t="n">
        <v>42401</v>
      </c>
      <c r="B294" s="75">
        <f>VLOOKUP(A294,Database!A:M,MATCH($A$1,Database!$A$1:$M$1,),)</f>
        <v/>
      </c>
      <c r="C294" s="113">
        <f>(Table53514[[#This Row],[Manufacturers'' New Orders: Durable Goods]]-B293)/B293</f>
        <v/>
      </c>
    </row>
    <row r="295">
      <c r="A295" s="74" t="n">
        <v>42430</v>
      </c>
      <c r="B295" s="75">
        <f>VLOOKUP(A295,Database!A:M,MATCH($A$1,Database!$A$1:$M$1,),)</f>
        <v/>
      </c>
      <c r="C295" s="113">
        <f>(Table53514[[#This Row],[Manufacturers'' New Orders: Durable Goods]]-B294)/B294</f>
        <v/>
      </c>
    </row>
    <row r="296">
      <c r="A296" s="74" t="n">
        <v>42461</v>
      </c>
      <c r="B296" s="75">
        <f>VLOOKUP(A296,Database!A:M,MATCH($A$1,Database!$A$1:$M$1,),)</f>
        <v/>
      </c>
      <c r="C296" s="113">
        <f>(Table53514[[#This Row],[Manufacturers'' New Orders: Durable Goods]]-B295)/B295</f>
        <v/>
      </c>
    </row>
    <row r="297">
      <c r="A297" s="74" t="n">
        <v>42491</v>
      </c>
      <c r="B297" s="75">
        <f>VLOOKUP(A297,Database!A:M,MATCH($A$1,Database!$A$1:$M$1,),)</f>
        <v/>
      </c>
      <c r="C297" s="113">
        <f>(Table53514[[#This Row],[Manufacturers'' New Orders: Durable Goods]]-B296)/B296</f>
        <v/>
      </c>
    </row>
    <row r="298">
      <c r="A298" s="74" t="n">
        <v>42522</v>
      </c>
      <c r="B298" s="75">
        <f>VLOOKUP(A298,Database!A:M,MATCH($A$1,Database!$A$1:$M$1,),)</f>
        <v/>
      </c>
      <c r="C298" s="113">
        <f>(Table53514[[#This Row],[Manufacturers'' New Orders: Durable Goods]]-B297)/B297</f>
        <v/>
      </c>
    </row>
    <row r="299">
      <c r="A299" s="74" t="n">
        <v>42552</v>
      </c>
      <c r="B299" s="75">
        <f>VLOOKUP(A299,Database!A:M,MATCH($A$1,Database!$A$1:$M$1,),)</f>
        <v/>
      </c>
      <c r="C299" s="113">
        <f>(Table53514[[#This Row],[Manufacturers'' New Orders: Durable Goods]]-B298)/B298</f>
        <v/>
      </c>
    </row>
    <row r="300">
      <c r="A300" s="74" t="n">
        <v>42583</v>
      </c>
      <c r="B300" s="75">
        <f>VLOOKUP(A300,Database!A:M,MATCH($A$1,Database!$A$1:$M$1,),)</f>
        <v/>
      </c>
      <c r="C300" s="113">
        <f>(Table53514[[#This Row],[Manufacturers'' New Orders: Durable Goods]]-B299)/B299</f>
        <v/>
      </c>
    </row>
    <row r="301">
      <c r="A301" s="74" t="n">
        <v>42614</v>
      </c>
      <c r="B301" s="75">
        <f>VLOOKUP(A301,Database!A:M,MATCH($A$1,Database!$A$1:$M$1,),)</f>
        <v/>
      </c>
      <c r="C301" s="113">
        <f>(Table53514[[#This Row],[Manufacturers'' New Orders: Durable Goods]]-B300)/B300</f>
        <v/>
      </c>
    </row>
    <row r="302">
      <c r="A302" s="74" t="n">
        <v>42644</v>
      </c>
      <c r="B302" s="75">
        <f>VLOOKUP(A302,Database!A:M,MATCH($A$1,Database!$A$1:$M$1,),)</f>
        <v/>
      </c>
      <c r="C302" s="113">
        <f>(Table53514[[#This Row],[Manufacturers'' New Orders: Durable Goods]]-B301)/B301</f>
        <v/>
      </c>
    </row>
    <row r="303">
      <c r="A303" s="74" t="n">
        <v>42675</v>
      </c>
      <c r="B303" s="75">
        <f>VLOOKUP(A303,Database!A:M,MATCH($A$1,Database!$A$1:$M$1,),)</f>
        <v/>
      </c>
      <c r="C303" s="113">
        <f>(Table53514[[#This Row],[Manufacturers'' New Orders: Durable Goods]]-B302)/B302</f>
        <v/>
      </c>
    </row>
    <row r="304">
      <c r="A304" s="74" t="n">
        <v>42705</v>
      </c>
      <c r="B304" s="75">
        <f>VLOOKUP(A304,Database!A:M,MATCH($A$1,Database!$A$1:$M$1,),)</f>
        <v/>
      </c>
      <c r="C304" s="113">
        <f>(Table53514[[#This Row],[Manufacturers'' New Orders: Durable Goods]]-B303)/B303</f>
        <v/>
      </c>
    </row>
    <row r="305">
      <c r="A305" s="74" t="n">
        <v>42736</v>
      </c>
      <c r="B305" s="75">
        <f>VLOOKUP(A305,Database!A:M,MATCH($A$1,Database!$A$1:$M$1,),)</f>
        <v/>
      </c>
      <c r="C305" s="113">
        <f>(Table53514[[#This Row],[Manufacturers'' New Orders: Durable Goods]]-B304)/B304</f>
        <v/>
      </c>
    </row>
    <row r="306">
      <c r="A306" s="74" t="n">
        <v>42767</v>
      </c>
      <c r="B306" s="75">
        <f>VLOOKUP(A306,Database!A:M,MATCH($A$1,Database!$A$1:$M$1,),)</f>
        <v/>
      </c>
      <c r="C306" s="113">
        <f>(Table53514[[#This Row],[Manufacturers'' New Orders: Durable Goods]]-B305)/B305</f>
        <v/>
      </c>
    </row>
    <row r="307">
      <c r="A307" s="74" t="n">
        <v>42795</v>
      </c>
      <c r="B307" s="75">
        <f>VLOOKUP(A307,Database!A:M,MATCH($A$1,Database!$A$1:$M$1,),)</f>
        <v/>
      </c>
      <c r="C307" s="113">
        <f>(Table53514[[#This Row],[Manufacturers'' New Orders: Durable Goods]]-B306)/B306</f>
        <v/>
      </c>
    </row>
    <row r="308">
      <c r="A308" s="74" t="n">
        <v>42826</v>
      </c>
      <c r="B308" s="75">
        <f>VLOOKUP(A308,Database!A:M,MATCH($A$1,Database!$A$1:$M$1,),)</f>
        <v/>
      </c>
      <c r="C308" s="113">
        <f>(Table53514[[#This Row],[Manufacturers'' New Orders: Durable Goods]]-B307)/B307</f>
        <v/>
      </c>
    </row>
    <row r="309">
      <c r="A309" s="74" t="n">
        <v>42856</v>
      </c>
      <c r="B309" s="75">
        <f>VLOOKUP(A309,Database!A:M,MATCH($A$1,Database!$A$1:$M$1,),)</f>
        <v/>
      </c>
      <c r="C309" s="113">
        <f>(Table53514[[#This Row],[Manufacturers'' New Orders: Durable Goods]]-B308)/B308</f>
        <v/>
      </c>
    </row>
    <row r="310">
      <c r="A310" s="74" t="n">
        <v>42887</v>
      </c>
      <c r="B310" s="75">
        <f>VLOOKUP(A310,Database!A:M,MATCH($A$1,Database!$A$1:$M$1,),)</f>
        <v/>
      </c>
      <c r="C310" s="113">
        <f>(Table53514[[#This Row],[Manufacturers'' New Orders: Durable Goods]]-B309)/B309</f>
        <v/>
      </c>
    </row>
    <row r="311">
      <c r="A311" s="74" t="n">
        <v>42917</v>
      </c>
      <c r="B311" s="75">
        <f>VLOOKUP(A311,Database!A:M,MATCH($A$1,Database!$A$1:$M$1,),)</f>
        <v/>
      </c>
      <c r="C311" s="113">
        <f>(Table53514[[#This Row],[Manufacturers'' New Orders: Durable Goods]]-B310)/B310</f>
        <v/>
      </c>
    </row>
    <row r="312">
      <c r="A312" s="74" t="n">
        <v>42948</v>
      </c>
      <c r="B312" s="75">
        <f>VLOOKUP(A312,Database!A:M,MATCH($A$1,Database!$A$1:$M$1,),)</f>
        <v/>
      </c>
      <c r="C312" s="113">
        <f>(Table53514[[#This Row],[Manufacturers'' New Orders: Durable Goods]]-B311)/B311</f>
        <v/>
      </c>
    </row>
    <row r="313">
      <c r="A313" s="74" t="n">
        <v>42979</v>
      </c>
      <c r="B313" s="75">
        <f>VLOOKUP(A313,Database!A:M,MATCH($A$1,Database!$A$1:$M$1,),)</f>
        <v/>
      </c>
      <c r="C313" s="113">
        <f>(Table53514[[#This Row],[Manufacturers'' New Orders: Durable Goods]]-B312)/B312</f>
        <v/>
      </c>
    </row>
    <row r="314">
      <c r="A314" s="74" t="n">
        <v>43009</v>
      </c>
      <c r="B314" s="75">
        <f>VLOOKUP(A314,Database!A:M,MATCH($A$1,Database!$A$1:$M$1,),)</f>
        <v/>
      </c>
      <c r="C314" s="113">
        <f>(Table53514[[#This Row],[Manufacturers'' New Orders: Durable Goods]]-B313)/B313</f>
        <v/>
      </c>
    </row>
    <row r="315">
      <c r="A315" s="74" t="n">
        <v>43040</v>
      </c>
      <c r="B315" s="75">
        <f>VLOOKUP(A315,Database!A:M,MATCH($A$1,Database!$A$1:$M$1,),)</f>
        <v/>
      </c>
      <c r="C315" s="113">
        <f>(Table53514[[#This Row],[Manufacturers'' New Orders: Durable Goods]]-B314)/B314</f>
        <v/>
      </c>
    </row>
    <row r="316">
      <c r="A316" s="74" t="n">
        <v>43070</v>
      </c>
      <c r="B316" s="75">
        <f>VLOOKUP(A316,Database!A:M,MATCH($A$1,Database!$A$1:$M$1,),)</f>
        <v/>
      </c>
      <c r="C316" s="113">
        <f>(Table53514[[#This Row],[Manufacturers'' New Orders: Durable Goods]]-B315)/B315</f>
        <v/>
      </c>
    </row>
    <row r="317">
      <c r="A317" s="74" t="n">
        <v>43101</v>
      </c>
      <c r="B317" s="75">
        <f>VLOOKUP(A317,Database!A:M,MATCH($A$1,Database!$A$1:$M$1,),)</f>
        <v/>
      </c>
      <c r="C317" s="113">
        <f>(Table53514[[#This Row],[Manufacturers'' New Orders: Durable Goods]]-B316)/B316</f>
        <v/>
      </c>
    </row>
    <row r="318">
      <c r="A318" s="74" t="n">
        <v>43132</v>
      </c>
      <c r="B318" s="75">
        <f>VLOOKUP(A318,Database!A:M,MATCH($A$1,Database!$A$1:$M$1,),)</f>
        <v/>
      </c>
      <c r="C318" s="113">
        <f>(Table53514[[#This Row],[Manufacturers'' New Orders: Durable Goods]]-B317)/B317</f>
        <v/>
      </c>
    </row>
    <row r="319">
      <c r="A319" s="74" t="n">
        <v>43160</v>
      </c>
      <c r="B319" s="75">
        <f>VLOOKUP(A319,Database!A:M,MATCH($A$1,Database!$A$1:$M$1,),)</f>
        <v/>
      </c>
      <c r="C319" s="113">
        <f>(Table53514[[#This Row],[Manufacturers'' New Orders: Durable Goods]]-B318)/B318</f>
        <v/>
      </c>
    </row>
    <row r="320">
      <c r="A320" s="74" t="n">
        <v>43191</v>
      </c>
      <c r="B320" s="75">
        <f>VLOOKUP(A320,Database!A:M,MATCH($A$1,Database!$A$1:$M$1,),)</f>
        <v/>
      </c>
      <c r="C320" s="113">
        <f>(Table53514[[#This Row],[Manufacturers'' New Orders: Durable Goods]]-B319)/B319</f>
        <v/>
      </c>
    </row>
    <row r="321">
      <c r="A321" s="74" t="n">
        <v>43221</v>
      </c>
      <c r="B321" s="75">
        <f>VLOOKUP(A321,Database!A:M,MATCH($A$1,Database!$A$1:$M$1,),)</f>
        <v/>
      </c>
      <c r="C321" s="113">
        <f>(Table53514[[#This Row],[Manufacturers'' New Orders: Durable Goods]]-B320)/B320</f>
        <v/>
      </c>
    </row>
    <row r="322">
      <c r="A322" s="74" t="n">
        <v>43252</v>
      </c>
      <c r="B322" s="75">
        <f>VLOOKUP(A322,Database!A:M,MATCH($A$1,Database!$A$1:$M$1,),)</f>
        <v/>
      </c>
      <c r="C322" s="113">
        <f>(Table53514[[#This Row],[Manufacturers'' New Orders: Durable Goods]]-B321)/B321</f>
        <v/>
      </c>
    </row>
    <row r="323">
      <c r="A323" s="74" t="n">
        <v>43282</v>
      </c>
      <c r="B323" s="75">
        <f>VLOOKUP(A323,Database!A:M,MATCH($A$1,Database!$A$1:$M$1,),)</f>
        <v/>
      </c>
      <c r="C323" s="113">
        <f>(Table53514[[#This Row],[Manufacturers'' New Orders: Durable Goods]]-B322)/B322</f>
        <v/>
      </c>
    </row>
    <row r="324">
      <c r="A324" s="74" t="n">
        <v>43313</v>
      </c>
      <c r="B324" s="75">
        <f>VLOOKUP(A324,Database!A:M,MATCH($A$1,Database!$A$1:$M$1,),)</f>
        <v/>
      </c>
      <c r="C324" s="113">
        <f>(Table53514[[#This Row],[Manufacturers'' New Orders: Durable Goods]]-B323)/B323</f>
        <v/>
      </c>
    </row>
    <row r="325">
      <c r="A325" s="74" t="n">
        <v>43344</v>
      </c>
      <c r="B325" s="75">
        <f>VLOOKUP(A325,Database!A:M,MATCH($A$1,Database!$A$1:$M$1,),)</f>
        <v/>
      </c>
      <c r="C325" s="113">
        <f>(Table53514[[#This Row],[Manufacturers'' New Orders: Durable Goods]]-B324)/B324</f>
        <v/>
      </c>
    </row>
    <row r="326">
      <c r="A326" s="74" t="n">
        <v>43374</v>
      </c>
      <c r="B326" s="75">
        <f>VLOOKUP(A326,Database!A:M,MATCH($A$1,Database!$A$1:$M$1,),)</f>
        <v/>
      </c>
      <c r="C326" s="113">
        <f>(Table53514[[#This Row],[Manufacturers'' New Orders: Durable Goods]]-B325)/B325</f>
        <v/>
      </c>
    </row>
    <row r="327">
      <c r="A327" s="74" t="n">
        <v>43405</v>
      </c>
      <c r="B327" s="75">
        <f>VLOOKUP(A327,Database!A:M,MATCH($A$1,Database!$A$1:$M$1,),)</f>
        <v/>
      </c>
      <c r="C327" s="113">
        <f>(Table53514[[#This Row],[Manufacturers'' New Orders: Durable Goods]]-B326)/B326</f>
        <v/>
      </c>
    </row>
    <row r="328">
      <c r="A328" s="74" t="n">
        <v>43435</v>
      </c>
      <c r="B328" s="75">
        <f>VLOOKUP(A328,Database!A:M,MATCH($A$1,Database!$A$1:$M$1,),)</f>
        <v/>
      </c>
      <c r="C328" s="113">
        <f>(Table53514[[#This Row],[Manufacturers'' New Orders: Durable Goods]]-B327)/B327</f>
        <v/>
      </c>
    </row>
    <row r="329">
      <c r="A329" s="74" t="n">
        <v>43466</v>
      </c>
      <c r="B329" s="75">
        <f>VLOOKUP(A329,Database!A:M,MATCH($A$1,Database!$A$1:$M$1,),)</f>
        <v/>
      </c>
      <c r="C329" s="113">
        <f>(Table53514[[#This Row],[Manufacturers'' New Orders: Durable Goods]]-B328)/B328</f>
        <v/>
      </c>
    </row>
    <row r="330">
      <c r="A330" s="74" t="n">
        <v>43497</v>
      </c>
      <c r="B330" s="75">
        <f>VLOOKUP(A330,Database!A:M,MATCH($A$1,Database!$A$1:$M$1,),)</f>
        <v/>
      </c>
      <c r="C330" s="113">
        <f>(Table53514[[#This Row],[Manufacturers'' New Orders: Durable Goods]]-B329)/B329</f>
        <v/>
      </c>
    </row>
    <row r="331">
      <c r="A331" s="74" t="n">
        <v>43525</v>
      </c>
      <c r="B331" s="75">
        <f>VLOOKUP(A331,Database!A:M,MATCH($A$1,Database!$A$1:$M$1,),)</f>
        <v/>
      </c>
      <c r="C331" s="113">
        <f>(Table53514[[#This Row],[Manufacturers'' New Orders: Durable Goods]]-B330)/B330</f>
        <v/>
      </c>
    </row>
    <row r="332">
      <c r="A332" s="74" t="n">
        <v>43556</v>
      </c>
      <c r="B332" s="75">
        <f>VLOOKUP(A332,Database!A:M,MATCH($A$1,Database!$A$1:$M$1,),)</f>
        <v/>
      </c>
      <c r="C332" s="113">
        <f>(Table53514[[#This Row],[Manufacturers'' New Orders: Durable Goods]]-B331)/B331</f>
        <v/>
      </c>
    </row>
    <row r="333">
      <c r="A333" s="74" t="n">
        <v>43586</v>
      </c>
      <c r="B333" s="75">
        <f>VLOOKUP(A333,Database!A:M,MATCH($A$1,Database!$A$1:$M$1,),)</f>
        <v/>
      </c>
      <c r="C333" s="113">
        <f>(Table53514[[#This Row],[Manufacturers'' New Orders: Durable Goods]]-B332)/B332</f>
        <v/>
      </c>
    </row>
    <row r="334">
      <c r="A334" s="74" t="n">
        <v>43617</v>
      </c>
      <c r="B334" s="75">
        <f>VLOOKUP(A334,Database!A:M,MATCH($A$1,Database!$A$1:$M$1,),)</f>
        <v/>
      </c>
      <c r="C334" s="113">
        <f>(Table53514[[#This Row],[Manufacturers'' New Orders: Durable Goods]]-B333)/B333</f>
        <v/>
      </c>
    </row>
    <row r="335">
      <c r="A335" s="74" t="n">
        <v>43647</v>
      </c>
      <c r="B335" s="75">
        <f>VLOOKUP(A335,Database!A:M,MATCH($A$1,Database!$A$1:$M$1,),)</f>
        <v/>
      </c>
      <c r="C335" s="113">
        <f>(Table53514[[#This Row],[Manufacturers'' New Orders: Durable Goods]]-B334)/B334</f>
        <v/>
      </c>
    </row>
    <row r="336">
      <c r="A336" s="74" t="n">
        <v>43678</v>
      </c>
      <c r="B336" s="75">
        <f>VLOOKUP(A336,Database!A:M,MATCH($A$1,Database!$A$1:$M$1,),)</f>
        <v/>
      </c>
      <c r="C336" s="113">
        <f>(Table53514[[#This Row],[Manufacturers'' New Orders: Durable Goods]]-B335)/B335</f>
        <v/>
      </c>
    </row>
    <row r="337">
      <c r="A337" s="74" t="n">
        <v>43709</v>
      </c>
      <c r="B337" s="75">
        <f>VLOOKUP(A337,Database!A:M,MATCH($A$1,Database!$A$1:$M$1,),)</f>
        <v/>
      </c>
      <c r="C337" s="113">
        <f>(Table53514[[#This Row],[Manufacturers'' New Orders: Durable Goods]]-B336)/B336</f>
        <v/>
      </c>
    </row>
    <row r="338">
      <c r="A338" s="74" t="n">
        <v>43739</v>
      </c>
      <c r="B338" s="75">
        <f>VLOOKUP(A338,Database!A:M,MATCH($A$1,Database!$A$1:$M$1,),)</f>
        <v/>
      </c>
      <c r="C338" s="113">
        <f>(Table53514[[#This Row],[Manufacturers'' New Orders: Durable Goods]]-B337)/B337</f>
        <v/>
      </c>
    </row>
    <row r="339">
      <c r="A339" s="74" t="n">
        <v>43770</v>
      </c>
      <c r="B339" s="75">
        <f>VLOOKUP(A339,Database!A:M,MATCH($A$1,Database!$A$1:$M$1,),)</f>
        <v/>
      </c>
      <c r="C339" s="113">
        <f>(Table53514[[#This Row],[Manufacturers'' New Orders: Durable Goods]]-B338)/B338</f>
        <v/>
      </c>
    </row>
    <row r="340">
      <c r="A340" s="74" t="n">
        <v>43800</v>
      </c>
      <c r="B340" s="75">
        <f>VLOOKUP(A340,Database!A:M,MATCH($A$1,Database!$A$1:$M$1,),)</f>
        <v/>
      </c>
      <c r="C340" s="113">
        <f>(Table53514[[#This Row],[Manufacturers'' New Orders: Durable Goods]]-B339)/B339</f>
        <v/>
      </c>
    </row>
    <row r="341">
      <c r="A341" s="74" t="n">
        <v>43831</v>
      </c>
      <c r="B341" s="75">
        <f>VLOOKUP(A341,Database!A:M,MATCH($A$1,Database!$A$1:$M$1,),)</f>
        <v/>
      </c>
      <c r="C341" s="113">
        <f>(Table53514[[#This Row],[Manufacturers'' New Orders: Durable Goods]]-B340)/B340</f>
        <v/>
      </c>
    </row>
    <row r="342">
      <c r="A342" s="74" t="n">
        <v>43862</v>
      </c>
      <c r="B342" s="75">
        <f>VLOOKUP(A342,Database!A:M,MATCH($A$1,Database!$A$1:$M$1,),)</f>
        <v/>
      </c>
      <c r="C342" s="113">
        <f>(Table53514[[#This Row],[Manufacturers'' New Orders: Durable Goods]]-B341)/B341</f>
        <v/>
      </c>
    </row>
    <row r="343">
      <c r="A343" s="74" t="n">
        <v>43891</v>
      </c>
      <c r="B343" s="75">
        <f>VLOOKUP(A343,Database!A:M,MATCH($A$1,Database!$A$1:$M$1,),)</f>
        <v/>
      </c>
      <c r="C343" s="113">
        <f>(Table53514[[#This Row],[Manufacturers'' New Orders: Durable Goods]]-B342)/B342</f>
        <v/>
      </c>
    </row>
    <row r="344">
      <c r="A344" s="74" t="n">
        <v>43922</v>
      </c>
      <c r="B344" s="75">
        <f>VLOOKUP(A344,Database!A:M,MATCH($A$1,Database!$A$1:$M$1,),)</f>
        <v/>
      </c>
      <c r="C344" s="113">
        <f>(Table53514[[#This Row],[Manufacturers'' New Orders: Durable Goods]]-B343)/B343</f>
        <v/>
      </c>
    </row>
    <row r="345">
      <c r="A345" s="74" t="n">
        <v>43952</v>
      </c>
      <c r="B345" s="75">
        <f>VLOOKUP(A345,Database!A:M,MATCH($A$1,Database!$A$1:$M$1,),)</f>
        <v/>
      </c>
      <c r="C345" s="113">
        <f>(Table53514[[#This Row],[Manufacturers'' New Orders: Durable Goods]]-B344)/B344</f>
        <v/>
      </c>
    </row>
    <row r="346">
      <c r="A346" s="74" t="n">
        <v>43983</v>
      </c>
      <c r="B346" s="75">
        <f>VLOOKUP(A346,Database!A:M,MATCH($A$1,Database!$A$1:$M$1,),)</f>
        <v/>
      </c>
      <c r="C346" s="113">
        <f>(Table53514[[#This Row],[Manufacturers'' New Orders: Durable Goods]]-B345)/B345</f>
        <v/>
      </c>
    </row>
    <row r="347">
      <c r="A347" s="74" t="n">
        <v>44013</v>
      </c>
      <c r="B347" s="75">
        <f>VLOOKUP(A347,Database!A:M,MATCH($A$1,Database!$A$1:$M$1,),)</f>
        <v/>
      </c>
      <c r="C347" s="113">
        <f>(Table53514[[#This Row],[Manufacturers'' New Orders: Durable Goods]]-B346)/B346</f>
        <v/>
      </c>
    </row>
    <row r="348">
      <c r="A348" s="74" t="n">
        <v>44044</v>
      </c>
      <c r="B348" s="75">
        <f>VLOOKUP(A348,Database!A:M,MATCH($A$1,Database!$A$1:$M$1,),)</f>
        <v/>
      </c>
      <c r="C348" s="113">
        <f>(Table53514[[#This Row],[Manufacturers'' New Orders: Durable Goods]]-B347)/B347</f>
        <v/>
      </c>
    </row>
    <row r="349">
      <c r="A349" s="74" t="n">
        <v>44075</v>
      </c>
      <c r="B349" s="75">
        <f>VLOOKUP(A349,Database!A:M,MATCH($A$1,Database!$A$1:$M$1,),)</f>
        <v/>
      </c>
      <c r="C349" s="113">
        <f>(Table53514[[#This Row],[Manufacturers'' New Orders: Durable Goods]]-B348)/B348</f>
        <v/>
      </c>
    </row>
    <row r="350">
      <c r="A350" s="74" t="n">
        <v>44105</v>
      </c>
      <c r="B350" s="75">
        <f>VLOOKUP(A350,Database!A:M,MATCH($A$1,Database!$A$1:$M$1,),)</f>
        <v/>
      </c>
      <c r="C350" s="113">
        <f>(Table53514[[#This Row],[Manufacturers'' New Orders: Durable Goods]]-B349)/B349</f>
        <v/>
      </c>
    </row>
    <row r="351">
      <c r="A351" s="74" t="n">
        <v>44136</v>
      </c>
      <c r="B351" s="75">
        <f>VLOOKUP(A351,Database!A:M,MATCH($A$1,Database!$A$1:$M$1,),)</f>
        <v/>
      </c>
      <c r="C351" s="113">
        <f>(Table53514[[#This Row],[Manufacturers'' New Orders: Durable Goods]]-B350)/B350</f>
        <v/>
      </c>
    </row>
    <row r="352">
      <c r="A352" s="74" t="n">
        <v>44166</v>
      </c>
      <c r="B352" s="75">
        <f>VLOOKUP(A352,Database!A:M,MATCH($A$1,Database!$A$1:$M$1,),)</f>
        <v/>
      </c>
      <c r="C352" s="113">
        <f>(Table53514[[#This Row],[Manufacturers'' New Orders: Durable Goods]]-B351)/B351</f>
        <v/>
      </c>
    </row>
    <row r="353">
      <c r="A353" s="74" t="n">
        <v>44197</v>
      </c>
      <c r="B353" s="75">
        <f>VLOOKUP(A353,Database!A:M,MATCH($A$1,Database!$A$1:$M$1,),)</f>
        <v/>
      </c>
      <c r="C353" s="113">
        <f>(Table53514[[#This Row],[Manufacturers'' New Orders: Durable Goods]]-B352)/B352</f>
        <v/>
      </c>
    </row>
    <row r="354">
      <c r="A354" s="74" t="n">
        <v>44228</v>
      </c>
      <c r="B354" s="75">
        <f>VLOOKUP(A354,Database!A:M,MATCH($A$1,Database!$A$1:$M$1,),)</f>
        <v/>
      </c>
      <c r="C354" s="113">
        <f>(Table53514[[#This Row],[Manufacturers'' New Orders: Durable Goods]]-B353)/B353</f>
        <v/>
      </c>
    </row>
    <row r="355">
      <c r="A355" s="74" t="n">
        <v>44256</v>
      </c>
      <c r="B355" s="75">
        <f>VLOOKUP(A355,Database!A:M,MATCH($A$1,Database!$A$1:$M$1,),)</f>
        <v/>
      </c>
      <c r="C355" s="113">
        <f>(Table53514[[#This Row],[Manufacturers'' New Orders: Durable Goods]]-B354)/B354</f>
        <v/>
      </c>
    </row>
    <row r="356">
      <c r="A356" s="74" t="n">
        <v>44287</v>
      </c>
      <c r="B356" s="75">
        <f>VLOOKUP(A356,Database!A:M,MATCH($A$1,Database!$A$1:$M$1,),)</f>
        <v/>
      </c>
      <c r="C356" s="113">
        <f>(Table53514[[#This Row],[Manufacturers'' New Orders: Durable Goods]]-B355)/B355</f>
        <v/>
      </c>
    </row>
    <row r="357">
      <c r="A357" s="74" t="n">
        <v>44317</v>
      </c>
      <c r="B357" s="75">
        <f>VLOOKUP(A357,Database!A:M,MATCH($A$1,Database!$A$1:$M$1,),)</f>
        <v/>
      </c>
      <c r="C357" s="113">
        <f>(Table53514[[#This Row],[Manufacturers'' New Orders: Durable Goods]]-B356)/B356</f>
        <v/>
      </c>
    </row>
    <row r="358">
      <c r="A358" s="74" t="n">
        <v>44348</v>
      </c>
      <c r="B358" s="75">
        <f>VLOOKUP(A358,Database!A:M,MATCH($A$1,Database!$A$1:$M$1,),)</f>
        <v/>
      </c>
      <c r="C358" s="113">
        <f>(Table53514[[#This Row],[Manufacturers'' New Orders: Durable Goods]]-B357)/B357</f>
        <v/>
      </c>
    </row>
    <row r="359">
      <c r="A359" s="74" t="n">
        <v>44378</v>
      </c>
      <c r="B359" s="75">
        <f>VLOOKUP(A359,Database!A:M,MATCH($A$1,Database!$A$1:$M$1,),)</f>
        <v/>
      </c>
      <c r="C359" s="113">
        <f>(Table53514[[#This Row],[Manufacturers'' New Orders: Durable Goods]]-B358)/B358</f>
        <v/>
      </c>
    </row>
    <row r="360">
      <c r="A360" s="74" t="n">
        <v>44409</v>
      </c>
      <c r="B360" s="75">
        <f>VLOOKUP(A360,Database!A:M,MATCH($A$1,Database!$A$1:$M$1,),)</f>
        <v/>
      </c>
      <c r="C360" s="113">
        <f>(Table53514[[#This Row],[Manufacturers'' New Orders: Durable Goods]]-B359)/B359</f>
        <v/>
      </c>
    </row>
    <row r="361">
      <c r="A361" s="74" t="n">
        <v>44440</v>
      </c>
      <c r="B361" s="75">
        <f>VLOOKUP(A361,Database!A:M,MATCH($A$1,Database!$A$1:$M$1,),)</f>
        <v/>
      </c>
      <c r="C361" s="113">
        <f>(Table53514[[#This Row],[Manufacturers'' New Orders: Durable Goods]]-B360)/B360</f>
        <v/>
      </c>
    </row>
    <row r="362">
      <c r="A362" s="74" t="n">
        <v>44470</v>
      </c>
      <c r="B362" s="75">
        <f>VLOOKUP(A362,Database!A:M,MATCH($A$1,Database!$A$1:$M$1,),)</f>
        <v/>
      </c>
      <c r="C362" s="113">
        <f>(Table53514[[#This Row],[Manufacturers'' New Orders: Durable Goods]]-B361)/B361</f>
        <v/>
      </c>
    </row>
    <row r="363">
      <c r="A363" s="74" t="n">
        <v>44501</v>
      </c>
      <c r="B363" s="75">
        <f>VLOOKUP(A363,Database!A:M,MATCH($A$1,Database!$A$1:$M$1,),)</f>
        <v/>
      </c>
      <c r="C363" s="113">
        <f>(Table53514[[#This Row],[Manufacturers'' New Orders: Durable Goods]]-B362)/B362</f>
        <v/>
      </c>
    </row>
    <row r="364">
      <c r="A364" s="74" t="n">
        <v>44531</v>
      </c>
      <c r="B364" s="75">
        <f>VLOOKUP(A364,Database!A:M,MATCH($A$1,Database!$A$1:$M$1,),)</f>
        <v/>
      </c>
      <c r="C364" s="113">
        <f>(Table53514[[#This Row],[Manufacturers'' New Orders: Durable Goods]]-B363)/B363</f>
        <v/>
      </c>
    </row>
    <row r="365">
      <c r="A365" s="74" t="n">
        <v>44562</v>
      </c>
      <c r="B365" s="75">
        <f>VLOOKUP(A365,Database!A:M,MATCH($A$1,Database!$A$1:$M$1,),)</f>
        <v/>
      </c>
      <c r="C365" s="113">
        <f>(Table53514[[#This Row],[Manufacturers'' New Orders: Durable Goods]]-B364)/B364</f>
        <v/>
      </c>
    </row>
    <row r="366">
      <c r="A366" s="74" t="n">
        <v>44593</v>
      </c>
      <c r="B366" s="75">
        <f>VLOOKUP(A366,Database!A:M,MATCH($A$1,Database!$A$1:$M$1,),)</f>
        <v/>
      </c>
      <c r="C366" s="113">
        <f>(Table53514[[#This Row],[Manufacturers'' New Orders: Durable Goods]]-B365)/B365</f>
        <v/>
      </c>
    </row>
  </sheetData>
  <conditionalFormatting sqref="B4:B5 C2:C3">
    <cfRule type="colorScale" priority="2">
      <colorScale>
        <cfvo type="min"/>
        <cfvo type="percentile" val="50"/>
        <cfvo type="max"/>
        <color rgb="FFF8696B"/>
        <color rgb="FFFFEB84"/>
        <color rgb="FF63BE7B"/>
      </colorScale>
    </cfRule>
  </conditionalFormatting>
  <conditionalFormatting sqref="C221:C36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66"/>
  <sheetViews>
    <sheetView zoomScale="160" zoomScaleNormal="160" workbookViewId="0">
      <pane ySplit="5" topLeftCell="A352" activePane="bottomLeft" state="frozen"/>
      <selection pane="bottomLeft" activeCell="F366" sqref="F366"/>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1" t="inlineStr">
        <is>
          <t>ADXTNO</t>
        </is>
      </c>
      <c r="B1" s="140" t="inlineStr">
        <is>
          <t>New Orders ex Transport</t>
        </is>
      </c>
    </row>
    <row r="2" ht="15" customHeight="1" s="142">
      <c r="A2" s="71" t="n"/>
      <c r="B2" s="68" t="n"/>
      <c r="C2" s="69" t="n"/>
    </row>
    <row r="3">
      <c r="B3" s="68" t="n"/>
      <c r="C3" s="69" t="n"/>
    </row>
    <row r="4" ht="16" customHeight="1" s="142" thickBot="1"/>
    <row r="5" ht="68.25" customHeight="1" s="142">
      <c r="A5" s="72" t="inlineStr">
        <is>
          <t>Date</t>
        </is>
      </c>
      <c r="B5" s="73" t="inlineStr">
        <is>
          <t>New Orders ex Transport</t>
        </is>
      </c>
      <c r="C5" s="111" t="inlineStr">
        <is>
          <t>mom %</t>
        </is>
      </c>
    </row>
    <row r="6">
      <c r="A6" s="74" t="n">
        <v>33635</v>
      </c>
      <c r="B6" s="75">
        <f>VLOOKUP(A6,Database!A:M,MATCH($A$1,Database!$A$1:$M$1,),)</f>
        <v/>
      </c>
      <c r="C6" s="112" t="n"/>
    </row>
    <row r="7">
      <c r="A7" s="74" t="n">
        <v>33664</v>
      </c>
      <c r="B7" s="75">
        <f>VLOOKUP(A7,Database!A:M,MATCH($A$1,Database!$A$1:$M$1,),)</f>
        <v/>
      </c>
      <c r="C7" s="113">
        <f>(Table5351415[[#This Row],[New Orders ex Transport]]-B6)/B6</f>
        <v/>
      </c>
    </row>
    <row r="8">
      <c r="A8" s="74" t="n">
        <v>33695</v>
      </c>
      <c r="B8" s="75">
        <f>VLOOKUP(A8,Database!A:M,MATCH($A$1,Database!$A$1:$M$1,),)</f>
        <v/>
      </c>
      <c r="C8" s="113">
        <f>(Table5351415[[#This Row],[New Orders ex Transport]]-B7)/B7</f>
        <v/>
      </c>
    </row>
    <row r="9">
      <c r="A9" s="74" t="n">
        <v>33725</v>
      </c>
      <c r="B9" s="75">
        <f>VLOOKUP(A9,Database!A:M,MATCH($A$1,Database!$A$1:$M$1,),)</f>
        <v/>
      </c>
      <c r="C9" s="113">
        <f>(Table5351415[[#This Row],[New Orders ex Transport]]-B8)/B8</f>
        <v/>
      </c>
    </row>
    <row r="10">
      <c r="A10" s="74" t="n">
        <v>33756</v>
      </c>
      <c r="B10" s="75">
        <f>VLOOKUP(A10,Database!A:M,MATCH($A$1,Database!$A$1:$M$1,),)</f>
        <v/>
      </c>
      <c r="C10" s="113">
        <f>(Table5351415[[#This Row],[New Orders ex Transport]]-B9)/B9</f>
        <v/>
      </c>
    </row>
    <row r="11">
      <c r="A11" s="74" t="n">
        <v>33786</v>
      </c>
      <c r="B11" s="75">
        <f>VLOOKUP(A11,Database!A:M,MATCH($A$1,Database!$A$1:$M$1,),)</f>
        <v/>
      </c>
      <c r="C11" s="113">
        <f>(Table5351415[[#This Row],[New Orders ex Transport]]-B10)/B10</f>
        <v/>
      </c>
    </row>
    <row r="12">
      <c r="A12" s="74" t="n">
        <v>33817</v>
      </c>
      <c r="B12" s="75">
        <f>VLOOKUP(A12,Database!A:M,MATCH($A$1,Database!$A$1:$M$1,),)</f>
        <v/>
      </c>
      <c r="C12" s="113">
        <f>(Table5351415[[#This Row],[New Orders ex Transport]]-B11)/B11</f>
        <v/>
      </c>
    </row>
    <row r="13">
      <c r="A13" s="74" t="n">
        <v>33848</v>
      </c>
      <c r="B13" s="75">
        <f>VLOOKUP(A13,Database!A:M,MATCH($A$1,Database!$A$1:$M$1,),)</f>
        <v/>
      </c>
      <c r="C13" s="113">
        <f>(Table5351415[[#This Row],[New Orders ex Transport]]-B12)/B12</f>
        <v/>
      </c>
    </row>
    <row r="14">
      <c r="A14" s="74" t="n">
        <v>33878</v>
      </c>
      <c r="B14" s="75">
        <f>VLOOKUP(A14,Database!A:M,MATCH($A$1,Database!$A$1:$M$1,),)</f>
        <v/>
      </c>
      <c r="C14" s="113">
        <f>(Table5351415[[#This Row],[New Orders ex Transport]]-B13)/B13</f>
        <v/>
      </c>
    </row>
    <row r="15">
      <c r="A15" s="74" t="n">
        <v>33909</v>
      </c>
      <c r="B15" s="75">
        <f>VLOOKUP(A15,Database!A:M,MATCH($A$1,Database!$A$1:$M$1,),)</f>
        <v/>
      </c>
      <c r="C15" s="113">
        <f>(Table5351415[[#This Row],[New Orders ex Transport]]-B14)/B14</f>
        <v/>
      </c>
    </row>
    <row r="16">
      <c r="A16" s="74" t="n">
        <v>33939</v>
      </c>
      <c r="B16" s="75">
        <f>VLOOKUP(A16,Database!A:M,MATCH($A$1,Database!$A$1:$M$1,),)</f>
        <v/>
      </c>
      <c r="C16" s="113">
        <f>(Table5351415[[#This Row],[New Orders ex Transport]]-B15)/B15</f>
        <v/>
      </c>
    </row>
    <row r="17">
      <c r="A17" s="74" t="n">
        <v>33970</v>
      </c>
      <c r="B17" s="75">
        <f>VLOOKUP(A17,Database!A:M,MATCH($A$1,Database!$A$1:$M$1,),)</f>
        <v/>
      </c>
      <c r="C17" s="113">
        <f>(Table5351415[[#This Row],[New Orders ex Transport]]-B16)/B16</f>
        <v/>
      </c>
    </row>
    <row r="18">
      <c r="A18" s="74" t="n">
        <v>34001</v>
      </c>
      <c r="B18" s="75">
        <f>VLOOKUP(A18,Database!A:M,MATCH($A$1,Database!$A$1:$M$1,),)</f>
        <v/>
      </c>
      <c r="C18" s="113">
        <f>(Table5351415[[#This Row],[New Orders ex Transport]]-B17)/B17</f>
        <v/>
      </c>
    </row>
    <row r="19">
      <c r="A19" s="74" t="n">
        <v>34029</v>
      </c>
      <c r="B19" s="75">
        <f>VLOOKUP(A19,Database!A:M,MATCH($A$1,Database!$A$1:$M$1,),)</f>
        <v/>
      </c>
      <c r="C19" s="113">
        <f>(Table5351415[[#This Row],[New Orders ex Transport]]-B18)/B18</f>
        <v/>
      </c>
    </row>
    <row r="20">
      <c r="A20" s="74" t="n">
        <v>34060</v>
      </c>
      <c r="B20" s="75">
        <f>VLOOKUP(A20,Database!A:M,MATCH($A$1,Database!$A$1:$M$1,),)</f>
        <v/>
      </c>
      <c r="C20" s="113">
        <f>(Table5351415[[#This Row],[New Orders ex Transport]]-B19)/B19</f>
        <v/>
      </c>
    </row>
    <row r="21">
      <c r="A21" s="74" t="n">
        <v>34090</v>
      </c>
      <c r="B21" s="75">
        <f>VLOOKUP(A21,Database!A:M,MATCH($A$1,Database!$A$1:$M$1,),)</f>
        <v/>
      </c>
      <c r="C21" s="113">
        <f>(Table5351415[[#This Row],[New Orders ex Transport]]-B20)/B20</f>
        <v/>
      </c>
    </row>
    <row r="22">
      <c r="A22" s="74" t="n">
        <v>34121</v>
      </c>
      <c r="B22" s="75">
        <f>VLOOKUP(A22,Database!A:M,MATCH($A$1,Database!$A$1:$M$1,),)</f>
        <v/>
      </c>
      <c r="C22" s="113">
        <f>(Table5351415[[#This Row],[New Orders ex Transport]]-B21)/B21</f>
        <v/>
      </c>
    </row>
    <row r="23">
      <c r="A23" s="74" t="n">
        <v>34151</v>
      </c>
      <c r="B23" s="75">
        <f>VLOOKUP(A23,Database!A:M,MATCH($A$1,Database!$A$1:$M$1,),)</f>
        <v/>
      </c>
      <c r="C23" s="113">
        <f>(Table5351415[[#This Row],[New Orders ex Transport]]-B22)/B22</f>
        <v/>
      </c>
    </row>
    <row r="24">
      <c r="A24" s="74" t="n">
        <v>34182</v>
      </c>
      <c r="B24" s="75">
        <f>VLOOKUP(A24,Database!A:M,MATCH($A$1,Database!$A$1:$M$1,),)</f>
        <v/>
      </c>
      <c r="C24" s="113">
        <f>(Table5351415[[#This Row],[New Orders ex Transport]]-B23)/B23</f>
        <v/>
      </c>
    </row>
    <row r="25">
      <c r="A25" s="74" t="n">
        <v>34213</v>
      </c>
      <c r="B25" s="75">
        <f>VLOOKUP(A25,Database!A:M,MATCH($A$1,Database!$A$1:$M$1,),)</f>
        <v/>
      </c>
      <c r="C25" s="113">
        <f>(Table5351415[[#This Row],[New Orders ex Transport]]-B24)/B24</f>
        <v/>
      </c>
    </row>
    <row r="26">
      <c r="A26" s="74" t="n">
        <v>34243</v>
      </c>
      <c r="B26" s="75">
        <f>VLOOKUP(A26,Database!A:M,MATCH($A$1,Database!$A$1:$M$1,),)</f>
        <v/>
      </c>
      <c r="C26" s="113">
        <f>(Table5351415[[#This Row],[New Orders ex Transport]]-B25)/B25</f>
        <v/>
      </c>
    </row>
    <row r="27">
      <c r="A27" s="74" t="n">
        <v>34274</v>
      </c>
      <c r="B27" s="75">
        <f>VLOOKUP(A27,Database!A:M,MATCH($A$1,Database!$A$1:$M$1,),)</f>
        <v/>
      </c>
      <c r="C27" s="113">
        <f>(Table5351415[[#This Row],[New Orders ex Transport]]-B26)/B26</f>
        <v/>
      </c>
    </row>
    <row r="28">
      <c r="A28" s="74" t="n">
        <v>34304</v>
      </c>
      <c r="B28" s="75">
        <f>VLOOKUP(A28,Database!A:M,MATCH($A$1,Database!$A$1:$M$1,),)</f>
        <v/>
      </c>
      <c r="C28" s="113">
        <f>(Table5351415[[#This Row],[New Orders ex Transport]]-B27)/B27</f>
        <v/>
      </c>
    </row>
    <row r="29">
      <c r="A29" s="74" t="n">
        <v>34335</v>
      </c>
      <c r="B29" s="75">
        <f>VLOOKUP(A29,Database!A:M,MATCH($A$1,Database!$A$1:$M$1,),)</f>
        <v/>
      </c>
      <c r="C29" s="113">
        <f>(Table5351415[[#This Row],[New Orders ex Transport]]-B28)/B28</f>
        <v/>
      </c>
    </row>
    <row r="30">
      <c r="A30" s="74" t="n">
        <v>34366</v>
      </c>
      <c r="B30" s="75">
        <f>VLOOKUP(A30,Database!A:M,MATCH($A$1,Database!$A$1:$M$1,),)</f>
        <v/>
      </c>
      <c r="C30" s="113">
        <f>(Table5351415[[#This Row],[New Orders ex Transport]]-B29)/B29</f>
        <v/>
      </c>
    </row>
    <row r="31">
      <c r="A31" s="74" t="n">
        <v>34394</v>
      </c>
      <c r="B31" s="75">
        <f>VLOOKUP(A31,Database!A:M,MATCH($A$1,Database!$A$1:$M$1,),)</f>
        <v/>
      </c>
      <c r="C31" s="113">
        <f>(Table5351415[[#This Row],[New Orders ex Transport]]-B30)/B30</f>
        <v/>
      </c>
    </row>
    <row r="32">
      <c r="A32" s="74" t="n">
        <v>34425</v>
      </c>
      <c r="B32" s="75">
        <f>VLOOKUP(A32,Database!A:M,MATCH($A$1,Database!$A$1:$M$1,),)</f>
        <v/>
      </c>
      <c r="C32" s="113">
        <f>(Table5351415[[#This Row],[New Orders ex Transport]]-B31)/B31</f>
        <v/>
      </c>
    </row>
    <row r="33">
      <c r="A33" s="74" t="n">
        <v>34455</v>
      </c>
      <c r="B33" s="75">
        <f>VLOOKUP(A33,Database!A:M,MATCH($A$1,Database!$A$1:$M$1,),)</f>
        <v/>
      </c>
      <c r="C33" s="113">
        <f>(Table5351415[[#This Row],[New Orders ex Transport]]-B32)/B32</f>
        <v/>
      </c>
    </row>
    <row r="34">
      <c r="A34" s="74" t="n">
        <v>34486</v>
      </c>
      <c r="B34" s="75">
        <f>VLOOKUP(A34,Database!A:M,MATCH($A$1,Database!$A$1:$M$1,),)</f>
        <v/>
      </c>
      <c r="C34" s="113">
        <f>(Table5351415[[#This Row],[New Orders ex Transport]]-B33)/B33</f>
        <v/>
      </c>
    </row>
    <row r="35">
      <c r="A35" s="74" t="n">
        <v>34516</v>
      </c>
      <c r="B35" s="75">
        <f>VLOOKUP(A35,Database!A:M,MATCH($A$1,Database!$A$1:$M$1,),)</f>
        <v/>
      </c>
      <c r="C35" s="113">
        <f>(Table5351415[[#This Row],[New Orders ex Transport]]-B34)/B34</f>
        <v/>
      </c>
    </row>
    <row r="36">
      <c r="A36" s="74" t="n">
        <v>34547</v>
      </c>
      <c r="B36" s="75">
        <f>VLOOKUP(A36,Database!A:M,MATCH($A$1,Database!$A$1:$M$1,),)</f>
        <v/>
      </c>
      <c r="C36" s="113">
        <f>(Table5351415[[#This Row],[New Orders ex Transport]]-B35)/B35</f>
        <v/>
      </c>
    </row>
    <row r="37">
      <c r="A37" s="74" t="n">
        <v>34578</v>
      </c>
      <c r="B37" s="75">
        <f>VLOOKUP(A37,Database!A:M,MATCH($A$1,Database!$A$1:$M$1,),)</f>
        <v/>
      </c>
      <c r="C37" s="113">
        <f>(Table5351415[[#This Row],[New Orders ex Transport]]-B36)/B36</f>
        <v/>
      </c>
    </row>
    <row r="38">
      <c r="A38" s="74" t="n">
        <v>34608</v>
      </c>
      <c r="B38" s="75">
        <f>VLOOKUP(A38,Database!A:M,MATCH($A$1,Database!$A$1:$M$1,),)</f>
        <v/>
      </c>
      <c r="C38" s="113">
        <f>(Table5351415[[#This Row],[New Orders ex Transport]]-B37)/B37</f>
        <v/>
      </c>
    </row>
    <row r="39">
      <c r="A39" s="74" t="n">
        <v>34639</v>
      </c>
      <c r="B39" s="75">
        <f>VLOOKUP(A39,Database!A:M,MATCH($A$1,Database!$A$1:$M$1,),)</f>
        <v/>
      </c>
      <c r="C39" s="113">
        <f>(Table5351415[[#This Row],[New Orders ex Transport]]-B38)/B38</f>
        <v/>
      </c>
    </row>
    <row r="40">
      <c r="A40" s="74" t="n">
        <v>34669</v>
      </c>
      <c r="B40" s="75">
        <f>VLOOKUP(A40,Database!A:M,MATCH($A$1,Database!$A$1:$M$1,),)</f>
        <v/>
      </c>
      <c r="C40" s="113">
        <f>(Table5351415[[#This Row],[New Orders ex Transport]]-B39)/B39</f>
        <v/>
      </c>
    </row>
    <row r="41">
      <c r="A41" s="74" t="n">
        <v>34700</v>
      </c>
      <c r="B41" s="75">
        <f>VLOOKUP(A41,Database!A:M,MATCH($A$1,Database!$A$1:$M$1,),)</f>
        <v/>
      </c>
      <c r="C41" s="113">
        <f>(Table5351415[[#This Row],[New Orders ex Transport]]-B40)/B40</f>
        <v/>
      </c>
    </row>
    <row r="42">
      <c r="A42" s="74" t="n">
        <v>34731</v>
      </c>
      <c r="B42" s="75">
        <f>VLOOKUP(A42,Database!A:M,MATCH($A$1,Database!$A$1:$M$1,),)</f>
        <v/>
      </c>
      <c r="C42" s="113">
        <f>(Table5351415[[#This Row],[New Orders ex Transport]]-B41)/B41</f>
        <v/>
      </c>
    </row>
    <row r="43">
      <c r="A43" s="74" t="n">
        <v>34759</v>
      </c>
      <c r="B43" s="75">
        <f>VLOOKUP(A43,Database!A:M,MATCH($A$1,Database!$A$1:$M$1,),)</f>
        <v/>
      </c>
      <c r="C43" s="113">
        <f>(Table5351415[[#This Row],[New Orders ex Transport]]-B42)/B42</f>
        <v/>
      </c>
    </row>
    <row r="44">
      <c r="A44" s="74" t="n">
        <v>34790</v>
      </c>
      <c r="B44" s="75">
        <f>VLOOKUP(A44,Database!A:M,MATCH($A$1,Database!$A$1:$M$1,),)</f>
        <v/>
      </c>
      <c r="C44" s="113">
        <f>(Table5351415[[#This Row],[New Orders ex Transport]]-B43)/B43</f>
        <v/>
      </c>
    </row>
    <row r="45">
      <c r="A45" s="74" t="n">
        <v>34820</v>
      </c>
      <c r="B45" s="75">
        <f>VLOOKUP(A45,Database!A:M,MATCH($A$1,Database!$A$1:$M$1,),)</f>
        <v/>
      </c>
      <c r="C45" s="113">
        <f>(Table5351415[[#This Row],[New Orders ex Transport]]-B44)/B44</f>
        <v/>
      </c>
    </row>
    <row r="46">
      <c r="A46" s="74" t="n">
        <v>34851</v>
      </c>
      <c r="B46" s="75">
        <f>VLOOKUP(A46,Database!A:M,MATCH($A$1,Database!$A$1:$M$1,),)</f>
        <v/>
      </c>
      <c r="C46" s="113">
        <f>(Table5351415[[#This Row],[New Orders ex Transport]]-B45)/B45</f>
        <v/>
      </c>
    </row>
    <row r="47">
      <c r="A47" s="74" t="n">
        <v>34881</v>
      </c>
      <c r="B47" s="75">
        <f>VLOOKUP(A47,Database!A:M,MATCH($A$1,Database!$A$1:$M$1,),)</f>
        <v/>
      </c>
      <c r="C47" s="113">
        <f>(Table5351415[[#This Row],[New Orders ex Transport]]-B46)/B46</f>
        <v/>
      </c>
    </row>
    <row r="48">
      <c r="A48" s="74" t="n">
        <v>34912</v>
      </c>
      <c r="B48" s="75">
        <f>VLOOKUP(A48,Database!A:M,MATCH($A$1,Database!$A$1:$M$1,),)</f>
        <v/>
      </c>
      <c r="C48" s="113">
        <f>(Table5351415[[#This Row],[New Orders ex Transport]]-B47)/B47</f>
        <v/>
      </c>
    </row>
    <row r="49">
      <c r="A49" s="74" t="n">
        <v>34943</v>
      </c>
      <c r="B49" s="75">
        <f>VLOOKUP(A49,Database!A:M,MATCH($A$1,Database!$A$1:$M$1,),)</f>
        <v/>
      </c>
      <c r="C49" s="113">
        <f>(Table5351415[[#This Row],[New Orders ex Transport]]-B48)/B48</f>
        <v/>
      </c>
    </row>
    <row r="50">
      <c r="A50" s="74" t="n">
        <v>34973</v>
      </c>
      <c r="B50" s="75">
        <f>VLOOKUP(A50,Database!A:M,MATCH($A$1,Database!$A$1:$M$1,),)</f>
        <v/>
      </c>
      <c r="C50" s="113">
        <f>(Table5351415[[#This Row],[New Orders ex Transport]]-B49)/B49</f>
        <v/>
      </c>
    </row>
    <row r="51">
      <c r="A51" s="74" t="n">
        <v>35004</v>
      </c>
      <c r="B51" s="75">
        <f>VLOOKUP(A51,Database!A:M,MATCH($A$1,Database!$A$1:$M$1,),)</f>
        <v/>
      </c>
      <c r="C51" s="113">
        <f>(Table5351415[[#This Row],[New Orders ex Transport]]-B50)/B50</f>
        <v/>
      </c>
    </row>
    <row r="52">
      <c r="A52" s="74" t="n">
        <v>35034</v>
      </c>
      <c r="B52" s="75">
        <f>VLOOKUP(A52,Database!A:M,MATCH($A$1,Database!$A$1:$M$1,),)</f>
        <v/>
      </c>
      <c r="C52" s="113">
        <f>(Table5351415[[#This Row],[New Orders ex Transport]]-B51)/B51</f>
        <v/>
      </c>
    </row>
    <row r="53">
      <c r="A53" s="74" t="n">
        <v>35065</v>
      </c>
      <c r="B53" s="75">
        <f>VLOOKUP(A53,Database!A:M,MATCH($A$1,Database!$A$1:$M$1,),)</f>
        <v/>
      </c>
      <c r="C53" s="113">
        <f>(Table5351415[[#This Row],[New Orders ex Transport]]-B52)/B52</f>
        <v/>
      </c>
    </row>
    <row r="54">
      <c r="A54" s="74" t="n">
        <v>35096</v>
      </c>
      <c r="B54" s="75">
        <f>VLOOKUP(A54,Database!A:M,MATCH($A$1,Database!$A$1:$M$1,),)</f>
        <v/>
      </c>
      <c r="C54" s="113">
        <f>(Table5351415[[#This Row],[New Orders ex Transport]]-B53)/B53</f>
        <v/>
      </c>
    </row>
    <row r="55">
      <c r="A55" s="74" t="n">
        <v>35125</v>
      </c>
      <c r="B55" s="75">
        <f>VLOOKUP(A55,Database!A:M,MATCH($A$1,Database!$A$1:$M$1,),)</f>
        <v/>
      </c>
      <c r="C55" s="113">
        <f>(Table5351415[[#This Row],[New Orders ex Transport]]-B54)/B54</f>
        <v/>
      </c>
    </row>
    <row r="56">
      <c r="A56" s="74" t="n">
        <v>35156</v>
      </c>
      <c r="B56" s="75">
        <f>VLOOKUP(A56,Database!A:M,MATCH($A$1,Database!$A$1:$M$1,),)</f>
        <v/>
      </c>
      <c r="C56" s="113">
        <f>(Table5351415[[#This Row],[New Orders ex Transport]]-B55)/B55</f>
        <v/>
      </c>
    </row>
    <row r="57">
      <c r="A57" s="74" t="n">
        <v>35186</v>
      </c>
      <c r="B57" s="75">
        <f>VLOOKUP(A57,Database!A:M,MATCH($A$1,Database!$A$1:$M$1,),)</f>
        <v/>
      </c>
      <c r="C57" s="113">
        <f>(Table5351415[[#This Row],[New Orders ex Transport]]-B56)/B56</f>
        <v/>
      </c>
    </row>
    <row r="58">
      <c r="A58" s="74" t="n">
        <v>35217</v>
      </c>
      <c r="B58" s="75">
        <f>VLOOKUP(A58,Database!A:M,MATCH($A$1,Database!$A$1:$M$1,),)</f>
        <v/>
      </c>
      <c r="C58" s="113">
        <f>(Table5351415[[#This Row],[New Orders ex Transport]]-B57)/B57</f>
        <v/>
      </c>
    </row>
    <row r="59">
      <c r="A59" s="74" t="n">
        <v>35247</v>
      </c>
      <c r="B59" s="75">
        <f>VLOOKUP(A59,Database!A:M,MATCH($A$1,Database!$A$1:$M$1,),)</f>
        <v/>
      </c>
      <c r="C59" s="113">
        <f>(Table5351415[[#This Row],[New Orders ex Transport]]-B58)/B58</f>
        <v/>
      </c>
    </row>
    <row r="60">
      <c r="A60" s="74" t="n">
        <v>35278</v>
      </c>
      <c r="B60" s="75">
        <f>VLOOKUP(A60,Database!A:M,MATCH($A$1,Database!$A$1:$M$1,),)</f>
        <v/>
      </c>
      <c r="C60" s="113">
        <f>(Table5351415[[#This Row],[New Orders ex Transport]]-B59)/B59</f>
        <v/>
      </c>
    </row>
    <row r="61">
      <c r="A61" s="74" t="n">
        <v>35309</v>
      </c>
      <c r="B61" s="75">
        <f>VLOOKUP(A61,Database!A:M,MATCH($A$1,Database!$A$1:$M$1,),)</f>
        <v/>
      </c>
      <c r="C61" s="113">
        <f>(Table5351415[[#This Row],[New Orders ex Transport]]-B60)/B60</f>
        <v/>
      </c>
    </row>
    <row r="62">
      <c r="A62" s="74" t="n">
        <v>35339</v>
      </c>
      <c r="B62" s="75">
        <f>VLOOKUP(A62,Database!A:M,MATCH($A$1,Database!$A$1:$M$1,),)</f>
        <v/>
      </c>
      <c r="C62" s="113">
        <f>(Table5351415[[#This Row],[New Orders ex Transport]]-B61)/B61</f>
        <v/>
      </c>
    </row>
    <row r="63">
      <c r="A63" s="74" t="n">
        <v>35370</v>
      </c>
      <c r="B63" s="75">
        <f>VLOOKUP(A63,Database!A:M,MATCH($A$1,Database!$A$1:$M$1,),)</f>
        <v/>
      </c>
      <c r="C63" s="113">
        <f>(Table5351415[[#This Row],[New Orders ex Transport]]-B62)/B62</f>
        <v/>
      </c>
    </row>
    <row r="64">
      <c r="A64" s="74" t="n">
        <v>35400</v>
      </c>
      <c r="B64" s="75">
        <f>VLOOKUP(A64,Database!A:M,MATCH($A$1,Database!$A$1:$M$1,),)</f>
        <v/>
      </c>
      <c r="C64" s="113">
        <f>(Table5351415[[#This Row],[New Orders ex Transport]]-B63)/B63</f>
        <v/>
      </c>
    </row>
    <row r="65">
      <c r="A65" s="74" t="n">
        <v>35431</v>
      </c>
      <c r="B65" s="75">
        <f>VLOOKUP(A65,Database!A:M,MATCH($A$1,Database!$A$1:$M$1,),)</f>
        <v/>
      </c>
      <c r="C65" s="113">
        <f>(Table5351415[[#This Row],[New Orders ex Transport]]-B64)/B64</f>
        <v/>
      </c>
    </row>
    <row r="66">
      <c r="A66" s="74" t="n">
        <v>35462</v>
      </c>
      <c r="B66" s="75">
        <f>VLOOKUP(A66,Database!A:M,MATCH($A$1,Database!$A$1:$M$1,),)</f>
        <v/>
      </c>
      <c r="C66" s="113">
        <f>(Table5351415[[#This Row],[New Orders ex Transport]]-B65)/B65</f>
        <v/>
      </c>
    </row>
    <row r="67">
      <c r="A67" s="74" t="n">
        <v>35490</v>
      </c>
      <c r="B67" s="75">
        <f>VLOOKUP(A67,Database!A:M,MATCH($A$1,Database!$A$1:$M$1,),)</f>
        <v/>
      </c>
      <c r="C67" s="113">
        <f>(Table5351415[[#This Row],[New Orders ex Transport]]-B66)/B66</f>
        <v/>
      </c>
    </row>
    <row r="68">
      <c r="A68" s="74" t="n">
        <v>35521</v>
      </c>
      <c r="B68" s="75">
        <f>VLOOKUP(A68,Database!A:M,MATCH($A$1,Database!$A$1:$M$1,),)</f>
        <v/>
      </c>
      <c r="C68" s="113">
        <f>(Table5351415[[#This Row],[New Orders ex Transport]]-B67)/B67</f>
        <v/>
      </c>
    </row>
    <row r="69">
      <c r="A69" s="74" t="n">
        <v>35551</v>
      </c>
      <c r="B69" s="75">
        <f>VLOOKUP(A69,Database!A:M,MATCH($A$1,Database!$A$1:$M$1,),)</f>
        <v/>
      </c>
      <c r="C69" s="113">
        <f>(Table5351415[[#This Row],[New Orders ex Transport]]-B68)/B68</f>
        <v/>
      </c>
    </row>
    <row r="70">
      <c r="A70" s="74" t="n">
        <v>35582</v>
      </c>
      <c r="B70" s="75">
        <f>VLOOKUP(A70,Database!A:M,MATCH($A$1,Database!$A$1:$M$1,),)</f>
        <v/>
      </c>
      <c r="C70" s="113">
        <f>(Table5351415[[#This Row],[New Orders ex Transport]]-B69)/B69</f>
        <v/>
      </c>
    </row>
    <row r="71">
      <c r="A71" s="74" t="n">
        <v>35612</v>
      </c>
      <c r="B71" s="75">
        <f>VLOOKUP(A71,Database!A:M,MATCH($A$1,Database!$A$1:$M$1,),)</f>
        <v/>
      </c>
      <c r="C71" s="113">
        <f>(Table5351415[[#This Row],[New Orders ex Transport]]-B70)/B70</f>
        <v/>
      </c>
    </row>
    <row r="72">
      <c r="A72" s="74" t="n">
        <v>35643</v>
      </c>
      <c r="B72" s="75">
        <f>VLOOKUP(A72,Database!A:M,MATCH($A$1,Database!$A$1:$M$1,),)</f>
        <v/>
      </c>
      <c r="C72" s="113">
        <f>(Table5351415[[#This Row],[New Orders ex Transport]]-B71)/B71</f>
        <v/>
      </c>
    </row>
    <row r="73">
      <c r="A73" s="74" t="n">
        <v>35674</v>
      </c>
      <c r="B73" s="75">
        <f>VLOOKUP(A73,Database!A:M,MATCH($A$1,Database!$A$1:$M$1,),)</f>
        <v/>
      </c>
      <c r="C73" s="113">
        <f>(Table5351415[[#This Row],[New Orders ex Transport]]-B72)/B72</f>
        <v/>
      </c>
    </row>
    <row r="74">
      <c r="A74" s="74" t="n">
        <v>35704</v>
      </c>
      <c r="B74" s="75">
        <f>VLOOKUP(A74,Database!A:M,MATCH($A$1,Database!$A$1:$M$1,),)</f>
        <v/>
      </c>
      <c r="C74" s="113">
        <f>(Table5351415[[#This Row],[New Orders ex Transport]]-B73)/B73</f>
        <v/>
      </c>
    </row>
    <row r="75">
      <c r="A75" s="74" t="n">
        <v>35735</v>
      </c>
      <c r="B75" s="75">
        <f>VLOOKUP(A75,Database!A:M,MATCH($A$1,Database!$A$1:$M$1,),)</f>
        <v/>
      </c>
      <c r="C75" s="113">
        <f>(Table5351415[[#This Row],[New Orders ex Transport]]-B74)/B74</f>
        <v/>
      </c>
    </row>
    <row r="76">
      <c r="A76" s="74" t="n">
        <v>35765</v>
      </c>
      <c r="B76" s="75">
        <f>VLOOKUP(A76,Database!A:M,MATCH($A$1,Database!$A$1:$M$1,),)</f>
        <v/>
      </c>
      <c r="C76" s="113">
        <f>(Table5351415[[#This Row],[New Orders ex Transport]]-B75)/B75</f>
        <v/>
      </c>
    </row>
    <row r="77">
      <c r="A77" s="74" t="n">
        <v>35796</v>
      </c>
      <c r="B77" s="75">
        <f>VLOOKUP(A77,Database!A:M,MATCH($A$1,Database!$A$1:$M$1,),)</f>
        <v/>
      </c>
      <c r="C77" s="113">
        <f>(Table5351415[[#This Row],[New Orders ex Transport]]-B76)/B76</f>
        <v/>
      </c>
    </row>
    <row r="78">
      <c r="A78" s="74" t="n">
        <v>35827</v>
      </c>
      <c r="B78" s="75">
        <f>VLOOKUP(A78,Database!A:M,MATCH($A$1,Database!$A$1:$M$1,),)</f>
        <v/>
      </c>
      <c r="C78" s="113">
        <f>(Table5351415[[#This Row],[New Orders ex Transport]]-B77)/B77</f>
        <v/>
      </c>
    </row>
    <row r="79">
      <c r="A79" s="74" t="n">
        <v>35855</v>
      </c>
      <c r="B79" s="75">
        <f>VLOOKUP(A79,Database!A:M,MATCH($A$1,Database!$A$1:$M$1,),)</f>
        <v/>
      </c>
      <c r="C79" s="113">
        <f>(Table5351415[[#This Row],[New Orders ex Transport]]-B78)/B78</f>
        <v/>
      </c>
    </row>
    <row r="80">
      <c r="A80" s="74" t="n">
        <v>35886</v>
      </c>
      <c r="B80" s="75">
        <f>VLOOKUP(A80,Database!A:M,MATCH($A$1,Database!$A$1:$M$1,),)</f>
        <v/>
      </c>
      <c r="C80" s="113">
        <f>(Table5351415[[#This Row],[New Orders ex Transport]]-B79)/B79</f>
        <v/>
      </c>
    </row>
    <row r="81">
      <c r="A81" s="74" t="n">
        <v>35916</v>
      </c>
      <c r="B81" s="75">
        <f>VLOOKUP(A81,Database!A:M,MATCH($A$1,Database!$A$1:$M$1,),)</f>
        <v/>
      </c>
      <c r="C81" s="113">
        <f>(Table5351415[[#This Row],[New Orders ex Transport]]-B80)/B80</f>
        <v/>
      </c>
    </row>
    <row r="82">
      <c r="A82" s="74" t="n">
        <v>35947</v>
      </c>
      <c r="B82" s="75">
        <f>VLOOKUP(A82,Database!A:M,MATCH($A$1,Database!$A$1:$M$1,),)</f>
        <v/>
      </c>
      <c r="C82" s="113">
        <f>(Table5351415[[#This Row],[New Orders ex Transport]]-B81)/B81</f>
        <v/>
      </c>
    </row>
    <row r="83">
      <c r="A83" s="74" t="n">
        <v>35977</v>
      </c>
      <c r="B83" s="75">
        <f>VLOOKUP(A83,Database!A:M,MATCH($A$1,Database!$A$1:$M$1,),)</f>
        <v/>
      </c>
      <c r="C83" s="113">
        <f>(Table5351415[[#This Row],[New Orders ex Transport]]-B82)/B82</f>
        <v/>
      </c>
    </row>
    <row r="84">
      <c r="A84" s="74" t="n">
        <v>36008</v>
      </c>
      <c r="B84" s="75">
        <f>VLOOKUP(A84,Database!A:M,MATCH($A$1,Database!$A$1:$M$1,),)</f>
        <v/>
      </c>
      <c r="C84" s="113">
        <f>(Table5351415[[#This Row],[New Orders ex Transport]]-B83)/B83</f>
        <v/>
      </c>
    </row>
    <row r="85">
      <c r="A85" s="74" t="n">
        <v>36039</v>
      </c>
      <c r="B85" s="75">
        <f>VLOOKUP(A85,Database!A:M,MATCH($A$1,Database!$A$1:$M$1,),)</f>
        <v/>
      </c>
      <c r="C85" s="113">
        <f>(Table5351415[[#This Row],[New Orders ex Transport]]-B84)/B84</f>
        <v/>
      </c>
    </row>
    <row r="86">
      <c r="A86" s="74" t="n">
        <v>36069</v>
      </c>
      <c r="B86" s="75">
        <f>VLOOKUP(A86,Database!A:M,MATCH($A$1,Database!$A$1:$M$1,),)</f>
        <v/>
      </c>
      <c r="C86" s="113">
        <f>(Table5351415[[#This Row],[New Orders ex Transport]]-B85)/B85</f>
        <v/>
      </c>
    </row>
    <row r="87">
      <c r="A87" s="74" t="n">
        <v>36100</v>
      </c>
      <c r="B87" s="75">
        <f>VLOOKUP(A87,Database!A:M,MATCH($A$1,Database!$A$1:$M$1,),)</f>
        <v/>
      </c>
      <c r="C87" s="113">
        <f>(Table5351415[[#This Row],[New Orders ex Transport]]-B86)/B86</f>
        <v/>
      </c>
    </row>
    <row r="88">
      <c r="A88" s="74" t="n">
        <v>36130</v>
      </c>
      <c r="B88" s="75">
        <f>VLOOKUP(A88,Database!A:M,MATCH($A$1,Database!$A$1:$M$1,),)</f>
        <v/>
      </c>
      <c r="C88" s="113">
        <f>(Table5351415[[#This Row],[New Orders ex Transport]]-B87)/B87</f>
        <v/>
      </c>
    </row>
    <row r="89">
      <c r="A89" s="74" t="n">
        <v>36161</v>
      </c>
      <c r="B89" s="75">
        <f>VLOOKUP(A89,Database!A:M,MATCH($A$1,Database!$A$1:$M$1,),)</f>
        <v/>
      </c>
      <c r="C89" s="113">
        <f>(Table5351415[[#This Row],[New Orders ex Transport]]-B88)/B88</f>
        <v/>
      </c>
    </row>
    <row r="90">
      <c r="A90" s="74" t="n">
        <v>36192</v>
      </c>
      <c r="B90" s="75">
        <f>VLOOKUP(A90,Database!A:M,MATCH($A$1,Database!$A$1:$M$1,),)</f>
        <v/>
      </c>
      <c r="C90" s="113">
        <f>(Table5351415[[#This Row],[New Orders ex Transport]]-B89)/B89</f>
        <v/>
      </c>
    </row>
    <row r="91">
      <c r="A91" s="74" t="n">
        <v>36220</v>
      </c>
      <c r="B91" s="75">
        <f>VLOOKUP(A91,Database!A:M,MATCH($A$1,Database!$A$1:$M$1,),)</f>
        <v/>
      </c>
      <c r="C91" s="113">
        <f>(Table5351415[[#This Row],[New Orders ex Transport]]-B90)/B90</f>
        <v/>
      </c>
    </row>
    <row r="92">
      <c r="A92" s="74" t="n">
        <v>36251</v>
      </c>
      <c r="B92" s="75">
        <f>VLOOKUP(A92,Database!A:M,MATCH($A$1,Database!$A$1:$M$1,),)</f>
        <v/>
      </c>
      <c r="C92" s="113">
        <f>(Table5351415[[#This Row],[New Orders ex Transport]]-B91)/B91</f>
        <v/>
      </c>
    </row>
    <row r="93">
      <c r="A93" s="74" t="n">
        <v>36281</v>
      </c>
      <c r="B93" s="75">
        <f>VLOOKUP(A93,Database!A:M,MATCH($A$1,Database!$A$1:$M$1,),)</f>
        <v/>
      </c>
      <c r="C93" s="113">
        <f>(Table5351415[[#This Row],[New Orders ex Transport]]-B92)/B92</f>
        <v/>
      </c>
    </row>
    <row r="94">
      <c r="A94" s="74" t="n">
        <v>36312</v>
      </c>
      <c r="B94" s="75">
        <f>VLOOKUP(A94,Database!A:M,MATCH($A$1,Database!$A$1:$M$1,),)</f>
        <v/>
      </c>
      <c r="C94" s="113">
        <f>(Table5351415[[#This Row],[New Orders ex Transport]]-B93)/B93</f>
        <v/>
      </c>
    </row>
    <row r="95">
      <c r="A95" s="74" t="n">
        <v>36342</v>
      </c>
      <c r="B95" s="75">
        <f>VLOOKUP(A95,Database!A:M,MATCH($A$1,Database!$A$1:$M$1,),)</f>
        <v/>
      </c>
      <c r="C95" s="113">
        <f>(Table5351415[[#This Row],[New Orders ex Transport]]-B94)/B94</f>
        <v/>
      </c>
    </row>
    <row r="96">
      <c r="A96" s="74" t="n">
        <v>36373</v>
      </c>
      <c r="B96" s="75">
        <f>VLOOKUP(A96,Database!A:M,MATCH($A$1,Database!$A$1:$M$1,),)</f>
        <v/>
      </c>
      <c r="C96" s="113">
        <f>(Table5351415[[#This Row],[New Orders ex Transport]]-B95)/B95</f>
        <v/>
      </c>
    </row>
    <row r="97">
      <c r="A97" s="74" t="n">
        <v>36404</v>
      </c>
      <c r="B97" s="75">
        <f>VLOOKUP(A97,Database!A:M,MATCH($A$1,Database!$A$1:$M$1,),)</f>
        <v/>
      </c>
      <c r="C97" s="113">
        <f>(Table5351415[[#This Row],[New Orders ex Transport]]-B96)/B96</f>
        <v/>
      </c>
    </row>
    <row r="98">
      <c r="A98" s="74" t="n">
        <v>36434</v>
      </c>
      <c r="B98" s="75">
        <f>VLOOKUP(A98,Database!A:M,MATCH($A$1,Database!$A$1:$M$1,),)</f>
        <v/>
      </c>
      <c r="C98" s="113">
        <f>(Table5351415[[#This Row],[New Orders ex Transport]]-B97)/B97</f>
        <v/>
      </c>
    </row>
    <row r="99">
      <c r="A99" s="74" t="n">
        <v>36465</v>
      </c>
      <c r="B99" s="75">
        <f>VLOOKUP(A99,Database!A:M,MATCH($A$1,Database!$A$1:$M$1,),)</f>
        <v/>
      </c>
      <c r="C99" s="113">
        <f>(Table5351415[[#This Row],[New Orders ex Transport]]-B98)/B98</f>
        <v/>
      </c>
    </row>
    <row r="100">
      <c r="A100" s="74" t="n">
        <v>36495</v>
      </c>
      <c r="B100" s="75">
        <f>VLOOKUP(A100,Database!A:M,MATCH($A$1,Database!$A$1:$M$1,),)</f>
        <v/>
      </c>
      <c r="C100" s="113">
        <f>(Table5351415[[#This Row],[New Orders ex Transport]]-B99)/B99</f>
        <v/>
      </c>
    </row>
    <row r="101">
      <c r="A101" s="74" t="n">
        <v>36526</v>
      </c>
      <c r="B101" s="75">
        <f>VLOOKUP(A101,Database!A:M,MATCH($A$1,Database!$A$1:$M$1,),)</f>
        <v/>
      </c>
      <c r="C101" s="113">
        <f>(Table5351415[[#This Row],[New Orders ex Transport]]-B100)/B100</f>
        <v/>
      </c>
    </row>
    <row r="102">
      <c r="A102" s="74" t="n">
        <v>36557</v>
      </c>
      <c r="B102" s="75">
        <f>VLOOKUP(A102,Database!A:M,MATCH($A$1,Database!$A$1:$M$1,),)</f>
        <v/>
      </c>
      <c r="C102" s="113">
        <f>(Table5351415[[#This Row],[New Orders ex Transport]]-B101)/B101</f>
        <v/>
      </c>
    </row>
    <row r="103">
      <c r="A103" s="74" t="n">
        <v>36586</v>
      </c>
      <c r="B103" s="75">
        <f>VLOOKUP(A103,Database!A:M,MATCH($A$1,Database!$A$1:$M$1,),)</f>
        <v/>
      </c>
      <c r="C103" s="113">
        <f>(Table5351415[[#This Row],[New Orders ex Transport]]-B102)/B102</f>
        <v/>
      </c>
    </row>
    <row r="104">
      <c r="A104" s="74" t="n">
        <v>36617</v>
      </c>
      <c r="B104" s="75">
        <f>VLOOKUP(A104,Database!A:M,MATCH($A$1,Database!$A$1:$M$1,),)</f>
        <v/>
      </c>
      <c r="C104" s="113">
        <f>(Table5351415[[#This Row],[New Orders ex Transport]]-B103)/B103</f>
        <v/>
      </c>
    </row>
    <row r="105">
      <c r="A105" s="74" t="n">
        <v>36647</v>
      </c>
      <c r="B105" s="75">
        <f>VLOOKUP(A105,Database!A:M,MATCH($A$1,Database!$A$1:$M$1,),)</f>
        <v/>
      </c>
      <c r="C105" s="113">
        <f>(Table5351415[[#This Row],[New Orders ex Transport]]-B104)/B104</f>
        <v/>
      </c>
    </row>
    <row r="106">
      <c r="A106" s="74" t="n">
        <v>36678</v>
      </c>
      <c r="B106" s="75">
        <f>VLOOKUP(A106,Database!A:M,MATCH($A$1,Database!$A$1:$M$1,),)</f>
        <v/>
      </c>
      <c r="C106" s="113">
        <f>(Table5351415[[#This Row],[New Orders ex Transport]]-B105)/B105</f>
        <v/>
      </c>
    </row>
    <row r="107">
      <c r="A107" s="74" t="n">
        <v>36708</v>
      </c>
      <c r="B107" s="75">
        <f>VLOOKUP(A107,Database!A:M,MATCH($A$1,Database!$A$1:$M$1,),)</f>
        <v/>
      </c>
      <c r="C107" s="113">
        <f>(Table5351415[[#This Row],[New Orders ex Transport]]-B106)/B106</f>
        <v/>
      </c>
    </row>
    <row r="108">
      <c r="A108" s="74" t="n">
        <v>36739</v>
      </c>
      <c r="B108" s="75">
        <f>VLOOKUP(A108,Database!A:M,MATCH($A$1,Database!$A$1:$M$1,),)</f>
        <v/>
      </c>
      <c r="C108" s="113">
        <f>(Table5351415[[#This Row],[New Orders ex Transport]]-B107)/B107</f>
        <v/>
      </c>
    </row>
    <row r="109">
      <c r="A109" s="74" t="n">
        <v>36770</v>
      </c>
      <c r="B109" s="75">
        <f>VLOOKUP(A109,Database!A:M,MATCH($A$1,Database!$A$1:$M$1,),)</f>
        <v/>
      </c>
      <c r="C109" s="113">
        <f>(Table5351415[[#This Row],[New Orders ex Transport]]-B108)/B108</f>
        <v/>
      </c>
    </row>
    <row r="110">
      <c r="A110" s="74" t="n">
        <v>36800</v>
      </c>
      <c r="B110" s="75">
        <f>VLOOKUP(A110,Database!A:M,MATCH($A$1,Database!$A$1:$M$1,),)</f>
        <v/>
      </c>
      <c r="C110" s="113">
        <f>(Table5351415[[#This Row],[New Orders ex Transport]]-B109)/B109</f>
        <v/>
      </c>
    </row>
    <row r="111">
      <c r="A111" s="74" t="n">
        <v>36831</v>
      </c>
      <c r="B111" s="75">
        <f>VLOOKUP(A111,Database!A:M,MATCH($A$1,Database!$A$1:$M$1,),)</f>
        <v/>
      </c>
      <c r="C111" s="113">
        <f>(Table5351415[[#This Row],[New Orders ex Transport]]-B110)/B110</f>
        <v/>
      </c>
    </row>
    <row r="112">
      <c r="A112" s="74" t="n">
        <v>36861</v>
      </c>
      <c r="B112" s="75">
        <f>VLOOKUP(A112,Database!A:M,MATCH($A$1,Database!$A$1:$M$1,),)</f>
        <v/>
      </c>
      <c r="C112" s="113">
        <f>(Table5351415[[#This Row],[New Orders ex Transport]]-B111)/B111</f>
        <v/>
      </c>
    </row>
    <row r="113">
      <c r="A113" s="74" t="n">
        <v>36892</v>
      </c>
      <c r="B113" s="75">
        <f>VLOOKUP(A113,Database!A:M,MATCH($A$1,Database!$A$1:$M$1,),)</f>
        <v/>
      </c>
      <c r="C113" s="113">
        <f>(Table5351415[[#This Row],[New Orders ex Transport]]-B112)/B112</f>
        <v/>
      </c>
    </row>
    <row r="114">
      <c r="A114" s="74" t="n">
        <v>36923</v>
      </c>
      <c r="B114" s="75">
        <f>VLOOKUP(A114,Database!A:M,MATCH($A$1,Database!$A$1:$M$1,),)</f>
        <v/>
      </c>
      <c r="C114" s="113">
        <f>(Table5351415[[#This Row],[New Orders ex Transport]]-B113)/B113</f>
        <v/>
      </c>
    </row>
    <row r="115">
      <c r="A115" s="74" t="n">
        <v>36951</v>
      </c>
      <c r="B115" s="75">
        <f>VLOOKUP(A115,Database!A:M,MATCH($A$1,Database!$A$1:$M$1,),)</f>
        <v/>
      </c>
      <c r="C115" s="113">
        <f>(Table5351415[[#This Row],[New Orders ex Transport]]-B114)/B114</f>
        <v/>
      </c>
    </row>
    <row r="116">
      <c r="A116" s="74" t="n">
        <v>36982</v>
      </c>
      <c r="B116" s="75">
        <f>VLOOKUP(A116,Database!A:M,MATCH($A$1,Database!$A$1:$M$1,),)</f>
        <v/>
      </c>
      <c r="C116" s="113">
        <f>(Table5351415[[#This Row],[New Orders ex Transport]]-B115)/B115</f>
        <v/>
      </c>
    </row>
    <row r="117">
      <c r="A117" s="74" t="n">
        <v>37012</v>
      </c>
      <c r="B117" s="75">
        <f>VLOOKUP(A117,Database!A:M,MATCH($A$1,Database!$A$1:$M$1,),)</f>
        <v/>
      </c>
      <c r="C117" s="113">
        <f>(Table5351415[[#This Row],[New Orders ex Transport]]-B116)/B116</f>
        <v/>
      </c>
    </row>
    <row r="118">
      <c r="A118" s="74" t="n">
        <v>37043</v>
      </c>
      <c r="B118" s="75">
        <f>VLOOKUP(A118,Database!A:M,MATCH($A$1,Database!$A$1:$M$1,),)</f>
        <v/>
      </c>
      <c r="C118" s="113">
        <f>(Table5351415[[#This Row],[New Orders ex Transport]]-B117)/B117</f>
        <v/>
      </c>
    </row>
    <row r="119">
      <c r="A119" s="74" t="n">
        <v>37073</v>
      </c>
      <c r="B119" s="75">
        <f>VLOOKUP(A119,Database!A:M,MATCH($A$1,Database!$A$1:$M$1,),)</f>
        <v/>
      </c>
      <c r="C119" s="113">
        <f>(Table5351415[[#This Row],[New Orders ex Transport]]-B118)/B118</f>
        <v/>
      </c>
    </row>
    <row r="120">
      <c r="A120" s="74" t="n">
        <v>37104</v>
      </c>
      <c r="B120" s="75">
        <f>VLOOKUP(A120,Database!A:M,MATCH($A$1,Database!$A$1:$M$1,),)</f>
        <v/>
      </c>
      <c r="C120" s="113">
        <f>(Table5351415[[#This Row],[New Orders ex Transport]]-B119)/B119</f>
        <v/>
      </c>
    </row>
    <row r="121">
      <c r="A121" s="74" t="n">
        <v>37135</v>
      </c>
      <c r="B121" s="75">
        <f>VLOOKUP(A121,Database!A:M,MATCH($A$1,Database!$A$1:$M$1,),)</f>
        <v/>
      </c>
      <c r="C121" s="113">
        <f>(Table5351415[[#This Row],[New Orders ex Transport]]-B120)/B120</f>
        <v/>
      </c>
    </row>
    <row r="122">
      <c r="A122" s="74" t="n">
        <v>37165</v>
      </c>
      <c r="B122" s="75">
        <f>VLOOKUP(A122,Database!A:M,MATCH($A$1,Database!$A$1:$M$1,),)</f>
        <v/>
      </c>
      <c r="C122" s="113">
        <f>(Table5351415[[#This Row],[New Orders ex Transport]]-B121)/B121</f>
        <v/>
      </c>
    </row>
    <row r="123">
      <c r="A123" s="74" t="n">
        <v>37196</v>
      </c>
      <c r="B123" s="75">
        <f>VLOOKUP(A123,Database!A:M,MATCH($A$1,Database!$A$1:$M$1,),)</f>
        <v/>
      </c>
      <c r="C123" s="113">
        <f>(Table5351415[[#This Row],[New Orders ex Transport]]-B122)/B122</f>
        <v/>
      </c>
    </row>
    <row r="124">
      <c r="A124" s="74" t="n">
        <v>37226</v>
      </c>
      <c r="B124" s="75">
        <f>VLOOKUP(A124,Database!A:M,MATCH($A$1,Database!$A$1:$M$1,),)</f>
        <v/>
      </c>
      <c r="C124" s="113">
        <f>(Table5351415[[#This Row],[New Orders ex Transport]]-B123)/B123</f>
        <v/>
      </c>
    </row>
    <row r="125">
      <c r="A125" s="74" t="n">
        <v>37257</v>
      </c>
      <c r="B125" s="75">
        <f>VLOOKUP(A125,Database!A:M,MATCH($A$1,Database!$A$1:$M$1,),)</f>
        <v/>
      </c>
      <c r="C125" s="113">
        <f>(Table5351415[[#This Row],[New Orders ex Transport]]-B124)/B124</f>
        <v/>
      </c>
    </row>
    <row r="126">
      <c r="A126" s="74" t="n">
        <v>37288</v>
      </c>
      <c r="B126" s="75">
        <f>VLOOKUP(A126,Database!A:M,MATCH($A$1,Database!$A$1:$M$1,),)</f>
        <v/>
      </c>
      <c r="C126" s="113">
        <f>(Table5351415[[#This Row],[New Orders ex Transport]]-B125)/B125</f>
        <v/>
      </c>
    </row>
    <row r="127">
      <c r="A127" s="74" t="n">
        <v>37316</v>
      </c>
      <c r="B127" s="75">
        <f>VLOOKUP(A127,Database!A:M,MATCH($A$1,Database!$A$1:$M$1,),)</f>
        <v/>
      </c>
      <c r="C127" s="113">
        <f>(Table5351415[[#This Row],[New Orders ex Transport]]-B126)/B126</f>
        <v/>
      </c>
    </row>
    <row r="128">
      <c r="A128" s="74" t="n">
        <v>37347</v>
      </c>
      <c r="B128" s="75">
        <f>VLOOKUP(A128,Database!A:M,MATCH($A$1,Database!$A$1:$M$1,),)</f>
        <v/>
      </c>
      <c r="C128" s="113">
        <f>(Table5351415[[#This Row],[New Orders ex Transport]]-B127)/B127</f>
        <v/>
      </c>
    </row>
    <row r="129">
      <c r="A129" s="74" t="n">
        <v>37377</v>
      </c>
      <c r="B129" s="75">
        <f>VLOOKUP(A129,Database!A:M,MATCH($A$1,Database!$A$1:$M$1,),)</f>
        <v/>
      </c>
      <c r="C129" s="113">
        <f>(Table5351415[[#This Row],[New Orders ex Transport]]-B128)/B128</f>
        <v/>
      </c>
    </row>
    <row r="130">
      <c r="A130" s="74" t="n">
        <v>37408</v>
      </c>
      <c r="B130" s="75">
        <f>VLOOKUP(A130,Database!A:M,MATCH($A$1,Database!$A$1:$M$1,),)</f>
        <v/>
      </c>
      <c r="C130" s="113">
        <f>(Table5351415[[#This Row],[New Orders ex Transport]]-B129)/B129</f>
        <v/>
      </c>
    </row>
    <row r="131">
      <c r="A131" s="74" t="n">
        <v>37438</v>
      </c>
      <c r="B131" s="75">
        <f>VLOOKUP(A131,Database!A:M,MATCH($A$1,Database!$A$1:$M$1,),)</f>
        <v/>
      </c>
      <c r="C131" s="113">
        <f>(Table5351415[[#This Row],[New Orders ex Transport]]-B130)/B130</f>
        <v/>
      </c>
    </row>
    <row r="132">
      <c r="A132" s="74" t="n">
        <v>37469</v>
      </c>
      <c r="B132" s="75">
        <f>VLOOKUP(A132,Database!A:M,MATCH($A$1,Database!$A$1:$M$1,),)</f>
        <v/>
      </c>
      <c r="C132" s="113">
        <f>(Table5351415[[#This Row],[New Orders ex Transport]]-B131)/B131</f>
        <v/>
      </c>
    </row>
    <row r="133">
      <c r="A133" s="74" t="n">
        <v>37500</v>
      </c>
      <c r="B133" s="75">
        <f>VLOOKUP(A133,Database!A:M,MATCH($A$1,Database!$A$1:$M$1,),)</f>
        <v/>
      </c>
      <c r="C133" s="113">
        <f>(Table5351415[[#This Row],[New Orders ex Transport]]-B132)/B132</f>
        <v/>
      </c>
    </row>
    <row r="134">
      <c r="A134" s="74" t="n">
        <v>37530</v>
      </c>
      <c r="B134" s="75">
        <f>VLOOKUP(A134,Database!A:M,MATCH($A$1,Database!$A$1:$M$1,),)</f>
        <v/>
      </c>
      <c r="C134" s="113">
        <f>(Table5351415[[#This Row],[New Orders ex Transport]]-B133)/B133</f>
        <v/>
      </c>
    </row>
    <row r="135">
      <c r="A135" s="74" t="n">
        <v>37561</v>
      </c>
      <c r="B135" s="75">
        <f>VLOOKUP(A135,Database!A:M,MATCH($A$1,Database!$A$1:$M$1,),)</f>
        <v/>
      </c>
      <c r="C135" s="113">
        <f>(Table5351415[[#This Row],[New Orders ex Transport]]-B134)/B134</f>
        <v/>
      </c>
    </row>
    <row r="136">
      <c r="A136" s="74" t="n">
        <v>37591</v>
      </c>
      <c r="B136" s="75">
        <f>VLOOKUP(A136,Database!A:M,MATCH($A$1,Database!$A$1:$M$1,),)</f>
        <v/>
      </c>
      <c r="C136" s="113">
        <f>(Table5351415[[#This Row],[New Orders ex Transport]]-B135)/B135</f>
        <v/>
      </c>
    </row>
    <row r="137">
      <c r="A137" s="74" t="n">
        <v>37622</v>
      </c>
      <c r="B137" s="75">
        <f>VLOOKUP(A137,Database!A:M,MATCH($A$1,Database!$A$1:$M$1,),)</f>
        <v/>
      </c>
      <c r="C137" s="113">
        <f>(Table5351415[[#This Row],[New Orders ex Transport]]-B136)/B136</f>
        <v/>
      </c>
    </row>
    <row r="138">
      <c r="A138" s="74" t="n">
        <v>37653</v>
      </c>
      <c r="B138" s="75">
        <f>VLOOKUP(A138,Database!A:M,MATCH($A$1,Database!$A$1:$M$1,),)</f>
        <v/>
      </c>
      <c r="C138" s="113">
        <f>(Table5351415[[#This Row],[New Orders ex Transport]]-B137)/B137</f>
        <v/>
      </c>
    </row>
    <row r="139">
      <c r="A139" s="74" t="n">
        <v>37681</v>
      </c>
      <c r="B139" s="75">
        <f>VLOOKUP(A139,Database!A:M,MATCH($A$1,Database!$A$1:$M$1,),)</f>
        <v/>
      </c>
      <c r="C139" s="113">
        <f>(Table5351415[[#This Row],[New Orders ex Transport]]-B138)/B138</f>
        <v/>
      </c>
    </row>
    <row r="140">
      <c r="A140" s="74" t="n">
        <v>37712</v>
      </c>
      <c r="B140" s="75">
        <f>VLOOKUP(A140,Database!A:M,MATCH($A$1,Database!$A$1:$M$1,),)</f>
        <v/>
      </c>
      <c r="C140" s="113">
        <f>(Table5351415[[#This Row],[New Orders ex Transport]]-B139)/B139</f>
        <v/>
      </c>
    </row>
    <row r="141">
      <c r="A141" s="74" t="n">
        <v>37742</v>
      </c>
      <c r="B141" s="75">
        <f>VLOOKUP(A141,Database!A:M,MATCH($A$1,Database!$A$1:$M$1,),)</f>
        <v/>
      </c>
      <c r="C141" s="113">
        <f>(Table5351415[[#This Row],[New Orders ex Transport]]-B140)/B140</f>
        <v/>
      </c>
    </row>
    <row r="142">
      <c r="A142" s="74" t="n">
        <v>37773</v>
      </c>
      <c r="B142" s="75">
        <f>VLOOKUP(A142,Database!A:M,MATCH($A$1,Database!$A$1:$M$1,),)</f>
        <v/>
      </c>
      <c r="C142" s="113">
        <f>(Table5351415[[#This Row],[New Orders ex Transport]]-B141)/B141</f>
        <v/>
      </c>
    </row>
    <row r="143">
      <c r="A143" s="74" t="n">
        <v>37803</v>
      </c>
      <c r="B143" s="75">
        <f>VLOOKUP(A143,Database!A:M,MATCH($A$1,Database!$A$1:$M$1,),)</f>
        <v/>
      </c>
      <c r="C143" s="113">
        <f>(Table5351415[[#This Row],[New Orders ex Transport]]-B142)/B142</f>
        <v/>
      </c>
    </row>
    <row r="144">
      <c r="A144" s="74" t="n">
        <v>37834</v>
      </c>
      <c r="B144" s="75">
        <f>VLOOKUP(A144,Database!A:M,MATCH($A$1,Database!$A$1:$M$1,),)</f>
        <v/>
      </c>
      <c r="C144" s="113">
        <f>(Table5351415[[#This Row],[New Orders ex Transport]]-B143)/B143</f>
        <v/>
      </c>
    </row>
    <row r="145">
      <c r="A145" s="74" t="n">
        <v>37865</v>
      </c>
      <c r="B145" s="75">
        <f>VLOOKUP(A145,Database!A:M,MATCH($A$1,Database!$A$1:$M$1,),)</f>
        <v/>
      </c>
      <c r="C145" s="113">
        <f>(Table5351415[[#This Row],[New Orders ex Transport]]-B144)/B144</f>
        <v/>
      </c>
    </row>
    <row r="146">
      <c r="A146" s="74" t="n">
        <v>37895</v>
      </c>
      <c r="B146" s="75">
        <f>VLOOKUP(A146,Database!A:M,MATCH($A$1,Database!$A$1:$M$1,),)</f>
        <v/>
      </c>
      <c r="C146" s="113">
        <f>(Table5351415[[#This Row],[New Orders ex Transport]]-B145)/B145</f>
        <v/>
      </c>
    </row>
    <row r="147">
      <c r="A147" s="74" t="n">
        <v>37926</v>
      </c>
      <c r="B147" s="75">
        <f>VLOOKUP(A147,Database!A:M,MATCH($A$1,Database!$A$1:$M$1,),)</f>
        <v/>
      </c>
      <c r="C147" s="113">
        <f>(Table5351415[[#This Row],[New Orders ex Transport]]-B146)/B146</f>
        <v/>
      </c>
    </row>
    <row r="148">
      <c r="A148" s="74" t="n">
        <v>37956</v>
      </c>
      <c r="B148" s="75">
        <f>VLOOKUP(A148,Database!A:M,MATCH($A$1,Database!$A$1:$M$1,),)</f>
        <v/>
      </c>
      <c r="C148" s="113">
        <f>(Table5351415[[#This Row],[New Orders ex Transport]]-B147)/B147</f>
        <v/>
      </c>
    </row>
    <row r="149">
      <c r="A149" s="74" t="n">
        <v>37987</v>
      </c>
      <c r="B149" s="75">
        <f>VLOOKUP(A149,Database!A:M,MATCH($A$1,Database!$A$1:$M$1,),)</f>
        <v/>
      </c>
      <c r="C149" s="113">
        <f>(Table5351415[[#This Row],[New Orders ex Transport]]-B148)/B148</f>
        <v/>
      </c>
    </row>
    <row r="150">
      <c r="A150" s="74" t="n">
        <v>38018</v>
      </c>
      <c r="B150" s="75">
        <f>VLOOKUP(A150,Database!A:M,MATCH($A$1,Database!$A$1:$M$1,),)</f>
        <v/>
      </c>
      <c r="C150" s="113">
        <f>(Table5351415[[#This Row],[New Orders ex Transport]]-B149)/B149</f>
        <v/>
      </c>
    </row>
    <row r="151">
      <c r="A151" s="74" t="n">
        <v>38047</v>
      </c>
      <c r="B151" s="75">
        <f>VLOOKUP(A151,Database!A:M,MATCH($A$1,Database!$A$1:$M$1,),)</f>
        <v/>
      </c>
      <c r="C151" s="113">
        <f>(Table5351415[[#This Row],[New Orders ex Transport]]-B150)/B150</f>
        <v/>
      </c>
    </row>
    <row r="152">
      <c r="A152" s="74" t="n">
        <v>38078</v>
      </c>
      <c r="B152" s="75">
        <f>VLOOKUP(A152,Database!A:M,MATCH($A$1,Database!$A$1:$M$1,),)</f>
        <v/>
      </c>
      <c r="C152" s="113">
        <f>(Table5351415[[#This Row],[New Orders ex Transport]]-B151)/B151</f>
        <v/>
      </c>
    </row>
    <row r="153">
      <c r="A153" s="74" t="n">
        <v>38108</v>
      </c>
      <c r="B153" s="75">
        <f>VLOOKUP(A153,Database!A:M,MATCH($A$1,Database!$A$1:$M$1,),)</f>
        <v/>
      </c>
      <c r="C153" s="113">
        <f>(Table5351415[[#This Row],[New Orders ex Transport]]-B152)/B152</f>
        <v/>
      </c>
    </row>
    <row r="154">
      <c r="A154" s="74" t="n">
        <v>38139</v>
      </c>
      <c r="B154" s="75">
        <f>VLOOKUP(A154,Database!A:M,MATCH($A$1,Database!$A$1:$M$1,),)</f>
        <v/>
      </c>
      <c r="C154" s="113">
        <f>(Table5351415[[#This Row],[New Orders ex Transport]]-B153)/B153</f>
        <v/>
      </c>
    </row>
    <row r="155">
      <c r="A155" s="74" t="n">
        <v>38169</v>
      </c>
      <c r="B155" s="75">
        <f>VLOOKUP(A155,Database!A:M,MATCH($A$1,Database!$A$1:$M$1,),)</f>
        <v/>
      </c>
      <c r="C155" s="113">
        <f>(Table5351415[[#This Row],[New Orders ex Transport]]-B154)/B154</f>
        <v/>
      </c>
    </row>
    <row r="156">
      <c r="A156" s="74" t="n">
        <v>38200</v>
      </c>
      <c r="B156" s="75">
        <f>VLOOKUP(A156,Database!A:M,MATCH($A$1,Database!$A$1:$M$1,),)</f>
        <v/>
      </c>
      <c r="C156" s="113">
        <f>(Table5351415[[#This Row],[New Orders ex Transport]]-B155)/B155</f>
        <v/>
      </c>
    </row>
    <row r="157">
      <c r="A157" s="74" t="n">
        <v>38231</v>
      </c>
      <c r="B157" s="75">
        <f>VLOOKUP(A157,Database!A:M,MATCH($A$1,Database!$A$1:$M$1,),)</f>
        <v/>
      </c>
      <c r="C157" s="113">
        <f>(Table5351415[[#This Row],[New Orders ex Transport]]-B156)/B156</f>
        <v/>
      </c>
    </row>
    <row r="158">
      <c r="A158" s="74" t="n">
        <v>38261</v>
      </c>
      <c r="B158" s="75">
        <f>VLOOKUP(A158,Database!A:M,MATCH($A$1,Database!$A$1:$M$1,),)</f>
        <v/>
      </c>
      <c r="C158" s="113">
        <f>(Table5351415[[#This Row],[New Orders ex Transport]]-B157)/B157</f>
        <v/>
      </c>
    </row>
    <row r="159">
      <c r="A159" s="74" t="n">
        <v>38292</v>
      </c>
      <c r="B159" s="75">
        <f>VLOOKUP(A159,Database!A:M,MATCH($A$1,Database!$A$1:$M$1,),)</f>
        <v/>
      </c>
      <c r="C159" s="113">
        <f>(Table5351415[[#This Row],[New Orders ex Transport]]-B158)/B158</f>
        <v/>
      </c>
    </row>
    <row r="160">
      <c r="A160" s="74" t="n">
        <v>38322</v>
      </c>
      <c r="B160" s="75">
        <f>VLOOKUP(A160,Database!A:M,MATCH($A$1,Database!$A$1:$M$1,),)</f>
        <v/>
      </c>
      <c r="C160" s="113">
        <f>(Table5351415[[#This Row],[New Orders ex Transport]]-B159)/B159</f>
        <v/>
      </c>
    </row>
    <row r="161">
      <c r="A161" s="74" t="n">
        <v>38353</v>
      </c>
      <c r="B161" s="75">
        <f>VLOOKUP(A161,Database!A:M,MATCH($A$1,Database!$A$1:$M$1,),)</f>
        <v/>
      </c>
      <c r="C161" s="113">
        <f>(Table5351415[[#This Row],[New Orders ex Transport]]-B160)/B160</f>
        <v/>
      </c>
    </row>
    <row r="162">
      <c r="A162" s="74" t="n">
        <v>38384</v>
      </c>
      <c r="B162" s="75">
        <f>VLOOKUP(A162,Database!A:M,MATCH($A$1,Database!$A$1:$M$1,),)</f>
        <v/>
      </c>
      <c r="C162" s="113">
        <f>(Table5351415[[#This Row],[New Orders ex Transport]]-B161)/B161</f>
        <v/>
      </c>
    </row>
    <row r="163">
      <c r="A163" s="74" t="n">
        <v>38412</v>
      </c>
      <c r="B163" s="75">
        <f>VLOOKUP(A163,Database!A:M,MATCH($A$1,Database!$A$1:$M$1,),)</f>
        <v/>
      </c>
      <c r="C163" s="113">
        <f>(Table5351415[[#This Row],[New Orders ex Transport]]-B162)/B162</f>
        <v/>
      </c>
    </row>
    <row r="164">
      <c r="A164" s="74" t="n">
        <v>38443</v>
      </c>
      <c r="B164" s="75">
        <f>VLOOKUP(A164,Database!A:M,MATCH($A$1,Database!$A$1:$M$1,),)</f>
        <v/>
      </c>
      <c r="C164" s="113">
        <f>(Table5351415[[#This Row],[New Orders ex Transport]]-B163)/B163</f>
        <v/>
      </c>
    </row>
    <row r="165">
      <c r="A165" s="74" t="n">
        <v>38473</v>
      </c>
      <c r="B165" s="75">
        <f>VLOOKUP(A165,Database!A:M,MATCH($A$1,Database!$A$1:$M$1,),)</f>
        <v/>
      </c>
      <c r="C165" s="113">
        <f>(Table5351415[[#This Row],[New Orders ex Transport]]-B164)/B164</f>
        <v/>
      </c>
    </row>
    <row r="166">
      <c r="A166" s="74" t="n">
        <v>38504</v>
      </c>
      <c r="B166" s="75">
        <f>VLOOKUP(A166,Database!A:M,MATCH($A$1,Database!$A$1:$M$1,),)</f>
        <v/>
      </c>
      <c r="C166" s="113">
        <f>(Table5351415[[#This Row],[New Orders ex Transport]]-B165)/B165</f>
        <v/>
      </c>
    </row>
    <row r="167">
      <c r="A167" s="74" t="n">
        <v>38534</v>
      </c>
      <c r="B167" s="75">
        <f>VLOOKUP(A167,Database!A:M,MATCH($A$1,Database!$A$1:$M$1,),)</f>
        <v/>
      </c>
      <c r="C167" s="113">
        <f>(Table5351415[[#This Row],[New Orders ex Transport]]-B166)/B166</f>
        <v/>
      </c>
    </row>
    <row r="168">
      <c r="A168" s="74" t="n">
        <v>38565</v>
      </c>
      <c r="B168" s="75">
        <f>VLOOKUP(A168,Database!A:M,MATCH($A$1,Database!$A$1:$M$1,),)</f>
        <v/>
      </c>
      <c r="C168" s="113">
        <f>(Table5351415[[#This Row],[New Orders ex Transport]]-B167)/B167</f>
        <v/>
      </c>
    </row>
    <row r="169">
      <c r="A169" s="74" t="n">
        <v>38596</v>
      </c>
      <c r="B169" s="75">
        <f>VLOOKUP(A169,Database!A:M,MATCH($A$1,Database!$A$1:$M$1,),)</f>
        <v/>
      </c>
      <c r="C169" s="113">
        <f>(Table5351415[[#This Row],[New Orders ex Transport]]-B168)/B168</f>
        <v/>
      </c>
    </row>
    <row r="170">
      <c r="A170" s="74" t="n">
        <v>38626</v>
      </c>
      <c r="B170" s="75">
        <f>VLOOKUP(A170,Database!A:M,MATCH($A$1,Database!$A$1:$M$1,),)</f>
        <v/>
      </c>
      <c r="C170" s="113">
        <f>(Table5351415[[#This Row],[New Orders ex Transport]]-B169)/B169</f>
        <v/>
      </c>
    </row>
    <row r="171">
      <c r="A171" s="74" t="n">
        <v>38657</v>
      </c>
      <c r="B171" s="75">
        <f>VLOOKUP(A171,Database!A:M,MATCH($A$1,Database!$A$1:$M$1,),)</f>
        <v/>
      </c>
      <c r="C171" s="113">
        <f>(Table5351415[[#This Row],[New Orders ex Transport]]-B170)/B170</f>
        <v/>
      </c>
    </row>
    <row r="172">
      <c r="A172" s="74" t="n">
        <v>38687</v>
      </c>
      <c r="B172" s="75">
        <f>VLOOKUP(A172,Database!A:M,MATCH($A$1,Database!$A$1:$M$1,),)</f>
        <v/>
      </c>
      <c r="C172" s="113">
        <f>(Table5351415[[#This Row],[New Orders ex Transport]]-B171)/B171</f>
        <v/>
      </c>
    </row>
    <row r="173">
      <c r="A173" s="74" t="n">
        <v>38718</v>
      </c>
      <c r="B173" s="75">
        <f>VLOOKUP(A173,Database!A:M,MATCH($A$1,Database!$A$1:$M$1,),)</f>
        <v/>
      </c>
      <c r="C173" s="113">
        <f>(Table5351415[[#This Row],[New Orders ex Transport]]-B172)/B172</f>
        <v/>
      </c>
    </row>
    <row r="174">
      <c r="A174" s="74" t="n">
        <v>38749</v>
      </c>
      <c r="B174" s="75">
        <f>VLOOKUP(A174,Database!A:M,MATCH($A$1,Database!$A$1:$M$1,),)</f>
        <v/>
      </c>
      <c r="C174" s="113">
        <f>(Table5351415[[#This Row],[New Orders ex Transport]]-B173)/B173</f>
        <v/>
      </c>
    </row>
    <row r="175">
      <c r="A175" s="74" t="n">
        <v>38777</v>
      </c>
      <c r="B175" s="75">
        <f>VLOOKUP(A175,Database!A:M,MATCH($A$1,Database!$A$1:$M$1,),)</f>
        <v/>
      </c>
      <c r="C175" s="113">
        <f>(Table5351415[[#This Row],[New Orders ex Transport]]-B174)/B174</f>
        <v/>
      </c>
    </row>
    <row r="176">
      <c r="A176" s="74" t="n">
        <v>38808</v>
      </c>
      <c r="B176" s="75">
        <f>VLOOKUP(A176,Database!A:M,MATCH($A$1,Database!$A$1:$M$1,),)</f>
        <v/>
      </c>
      <c r="C176" s="113">
        <f>(Table5351415[[#This Row],[New Orders ex Transport]]-B175)/B175</f>
        <v/>
      </c>
    </row>
    <row r="177">
      <c r="A177" s="74" t="n">
        <v>38838</v>
      </c>
      <c r="B177" s="75">
        <f>VLOOKUP(A177,Database!A:M,MATCH($A$1,Database!$A$1:$M$1,),)</f>
        <v/>
      </c>
      <c r="C177" s="113">
        <f>(Table5351415[[#This Row],[New Orders ex Transport]]-B176)/B176</f>
        <v/>
      </c>
    </row>
    <row r="178">
      <c r="A178" s="74" t="n">
        <v>38869</v>
      </c>
      <c r="B178" s="75">
        <f>VLOOKUP(A178,Database!A:M,MATCH($A$1,Database!$A$1:$M$1,),)</f>
        <v/>
      </c>
      <c r="C178" s="113">
        <f>(Table5351415[[#This Row],[New Orders ex Transport]]-B177)/B177</f>
        <v/>
      </c>
    </row>
    <row r="179">
      <c r="A179" s="74" t="n">
        <v>38899</v>
      </c>
      <c r="B179" s="75">
        <f>VLOOKUP(A179,Database!A:M,MATCH($A$1,Database!$A$1:$M$1,),)</f>
        <v/>
      </c>
      <c r="C179" s="113">
        <f>(Table5351415[[#This Row],[New Orders ex Transport]]-B178)/B178</f>
        <v/>
      </c>
    </row>
    <row r="180">
      <c r="A180" s="74" t="n">
        <v>38930</v>
      </c>
      <c r="B180" s="75">
        <f>VLOOKUP(A180,Database!A:M,MATCH($A$1,Database!$A$1:$M$1,),)</f>
        <v/>
      </c>
      <c r="C180" s="113">
        <f>(Table5351415[[#This Row],[New Orders ex Transport]]-B179)/B179</f>
        <v/>
      </c>
    </row>
    <row r="181">
      <c r="A181" s="74" t="n">
        <v>38961</v>
      </c>
      <c r="B181" s="75">
        <f>VLOOKUP(A181,Database!A:M,MATCH($A$1,Database!$A$1:$M$1,),)</f>
        <v/>
      </c>
      <c r="C181" s="113">
        <f>(Table5351415[[#This Row],[New Orders ex Transport]]-B180)/B180</f>
        <v/>
      </c>
    </row>
    <row r="182">
      <c r="A182" s="74" t="n">
        <v>38991</v>
      </c>
      <c r="B182" s="75">
        <f>VLOOKUP(A182,Database!A:M,MATCH($A$1,Database!$A$1:$M$1,),)</f>
        <v/>
      </c>
      <c r="C182" s="113">
        <f>(Table5351415[[#This Row],[New Orders ex Transport]]-B181)/B181</f>
        <v/>
      </c>
    </row>
    <row r="183">
      <c r="A183" s="74" t="n">
        <v>39022</v>
      </c>
      <c r="B183" s="75">
        <f>VLOOKUP(A183,Database!A:M,MATCH($A$1,Database!$A$1:$M$1,),)</f>
        <v/>
      </c>
      <c r="C183" s="113">
        <f>(Table5351415[[#This Row],[New Orders ex Transport]]-B182)/B182</f>
        <v/>
      </c>
    </row>
    <row r="184">
      <c r="A184" s="74" t="n">
        <v>39052</v>
      </c>
      <c r="B184" s="75">
        <f>VLOOKUP(A184,Database!A:M,MATCH($A$1,Database!$A$1:$M$1,),)</f>
        <v/>
      </c>
      <c r="C184" s="113">
        <f>(Table5351415[[#This Row],[New Orders ex Transport]]-B183)/B183</f>
        <v/>
      </c>
    </row>
    <row r="185">
      <c r="A185" s="74" t="n">
        <v>39083</v>
      </c>
      <c r="B185" s="75">
        <f>VLOOKUP(A185,Database!A:M,MATCH($A$1,Database!$A$1:$M$1,),)</f>
        <v/>
      </c>
      <c r="C185" s="113">
        <f>(Table5351415[[#This Row],[New Orders ex Transport]]-B184)/B184</f>
        <v/>
      </c>
    </row>
    <row r="186">
      <c r="A186" s="74" t="n">
        <v>39114</v>
      </c>
      <c r="B186" s="75">
        <f>VLOOKUP(A186,Database!A:M,MATCH($A$1,Database!$A$1:$M$1,),)</f>
        <v/>
      </c>
      <c r="C186" s="113">
        <f>(Table5351415[[#This Row],[New Orders ex Transport]]-B185)/B185</f>
        <v/>
      </c>
    </row>
    <row r="187">
      <c r="A187" s="74" t="n">
        <v>39142</v>
      </c>
      <c r="B187" s="75">
        <f>VLOOKUP(A187,Database!A:M,MATCH($A$1,Database!$A$1:$M$1,),)</f>
        <v/>
      </c>
      <c r="C187" s="113">
        <f>(Table5351415[[#This Row],[New Orders ex Transport]]-B186)/B186</f>
        <v/>
      </c>
    </row>
    <row r="188">
      <c r="A188" s="74" t="n">
        <v>39173</v>
      </c>
      <c r="B188" s="75">
        <f>VLOOKUP(A188,Database!A:M,MATCH($A$1,Database!$A$1:$M$1,),)</f>
        <v/>
      </c>
      <c r="C188" s="113">
        <f>(Table5351415[[#This Row],[New Orders ex Transport]]-B187)/B187</f>
        <v/>
      </c>
    </row>
    <row r="189">
      <c r="A189" s="74" t="n">
        <v>39203</v>
      </c>
      <c r="B189" s="75">
        <f>VLOOKUP(A189,Database!A:M,MATCH($A$1,Database!$A$1:$M$1,),)</f>
        <v/>
      </c>
      <c r="C189" s="113">
        <f>(Table5351415[[#This Row],[New Orders ex Transport]]-B188)/B188</f>
        <v/>
      </c>
    </row>
    <row r="190">
      <c r="A190" s="74" t="n">
        <v>39234</v>
      </c>
      <c r="B190" s="75">
        <f>VLOOKUP(A190,Database!A:M,MATCH($A$1,Database!$A$1:$M$1,),)</f>
        <v/>
      </c>
      <c r="C190" s="113">
        <f>(Table5351415[[#This Row],[New Orders ex Transport]]-B189)/B189</f>
        <v/>
      </c>
    </row>
    <row r="191">
      <c r="A191" s="74" t="n">
        <v>39264</v>
      </c>
      <c r="B191" s="75">
        <f>VLOOKUP(A191,Database!A:M,MATCH($A$1,Database!$A$1:$M$1,),)</f>
        <v/>
      </c>
      <c r="C191" s="113">
        <f>(Table5351415[[#This Row],[New Orders ex Transport]]-B190)/B190</f>
        <v/>
      </c>
    </row>
    <row r="192">
      <c r="A192" s="74" t="n">
        <v>39295</v>
      </c>
      <c r="B192" s="75">
        <f>VLOOKUP(A192,Database!A:M,MATCH($A$1,Database!$A$1:$M$1,),)</f>
        <v/>
      </c>
      <c r="C192" s="113">
        <f>(Table5351415[[#This Row],[New Orders ex Transport]]-B191)/B191</f>
        <v/>
      </c>
    </row>
    <row r="193">
      <c r="A193" s="74" t="n">
        <v>39326</v>
      </c>
      <c r="B193" s="75">
        <f>VLOOKUP(A193,Database!A:M,MATCH($A$1,Database!$A$1:$M$1,),)</f>
        <v/>
      </c>
      <c r="C193" s="113">
        <f>(Table5351415[[#This Row],[New Orders ex Transport]]-B192)/B192</f>
        <v/>
      </c>
    </row>
    <row r="194">
      <c r="A194" s="74" t="n">
        <v>39356</v>
      </c>
      <c r="B194" s="75">
        <f>VLOOKUP(A194,Database!A:M,MATCH($A$1,Database!$A$1:$M$1,),)</f>
        <v/>
      </c>
      <c r="C194" s="113">
        <f>(Table5351415[[#This Row],[New Orders ex Transport]]-B193)/B193</f>
        <v/>
      </c>
    </row>
    <row r="195">
      <c r="A195" s="74" t="n">
        <v>39387</v>
      </c>
      <c r="B195" s="75">
        <f>VLOOKUP(A195,Database!A:M,MATCH($A$1,Database!$A$1:$M$1,),)</f>
        <v/>
      </c>
      <c r="C195" s="113">
        <f>(Table5351415[[#This Row],[New Orders ex Transport]]-B194)/B194</f>
        <v/>
      </c>
    </row>
    <row r="196">
      <c r="A196" s="74" t="n">
        <v>39417</v>
      </c>
      <c r="B196" s="75">
        <f>VLOOKUP(A196,Database!A:M,MATCH($A$1,Database!$A$1:$M$1,),)</f>
        <v/>
      </c>
      <c r="C196" s="113">
        <f>(Table5351415[[#This Row],[New Orders ex Transport]]-B195)/B195</f>
        <v/>
      </c>
    </row>
    <row r="197">
      <c r="A197" s="74" t="n">
        <v>39448</v>
      </c>
      <c r="B197" s="75">
        <f>VLOOKUP(A197,Database!A:M,MATCH($A$1,Database!$A$1:$M$1,),)</f>
        <v/>
      </c>
      <c r="C197" s="113">
        <f>(Table5351415[[#This Row],[New Orders ex Transport]]-B196)/B196</f>
        <v/>
      </c>
    </row>
    <row r="198">
      <c r="A198" s="74" t="n">
        <v>39479</v>
      </c>
      <c r="B198" s="75">
        <f>VLOOKUP(A198,Database!A:M,MATCH($A$1,Database!$A$1:$M$1,),)</f>
        <v/>
      </c>
      <c r="C198" s="113">
        <f>(Table5351415[[#This Row],[New Orders ex Transport]]-B197)/B197</f>
        <v/>
      </c>
    </row>
    <row r="199">
      <c r="A199" s="74" t="n">
        <v>39508</v>
      </c>
      <c r="B199" s="75">
        <f>VLOOKUP(A199,Database!A:M,MATCH($A$1,Database!$A$1:$M$1,),)</f>
        <v/>
      </c>
      <c r="C199" s="113">
        <f>(Table5351415[[#This Row],[New Orders ex Transport]]-B198)/B198</f>
        <v/>
      </c>
    </row>
    <row r="200">
      <c r="A200" s="74" t="n">
        <v>39539</v>
      </c>
      <c r="B200" s="75">
        <f>VLOOKUP(A200,Database!A:M,MATCH($A$1,Database!$A$1:$M$1,),)</f>
        <v/>
      </c>
      <c r="C200" s="113">
        <f>(Table5351415[[#This Row],[New Orders ex Transport]]-B199)/B199</f>
        <v/>
      </c>
    </row>
    <row r="201">
      <c r="A201" s="74" t="n">
        <v>39569</v>
      </c>
      <c r="B201" s="75">
        <f>VLOOKUP(A201,Database!A:M,MATCH($A$1,Database!$A$1:$M$1,),)</f>
        <v/>
      </c>
      <c r="C201" s="113">
        <f>(Table5351415[[#This Row],[New Orders ex Transport]]-B200)/B200</f>
        <v/>
      </c>
    </row>
    <row r="202">
      <c r="A202" s="74" t="n">
        <v>39600</v>
      </c>
      <c r="B202" s="75">
        <f>VLOOKUP(A202,Database!A:M,MATCH($A$1,Database!$A$1:$M$1,),)</f>
        <v/>
      </c>
      <c r="C202" s="113">
        <f>(Table5351415[[#This Row],[New Orders ex Transport]]-B201)/B201</f>
        <v/>
      </c>
    </row>
    <row r="203">
      <c r="A203" s="74" t="n">
        <v>39630</v>
      </c>
      <c r="B203" s="75">
        <f>VLOOKUP(A203,Database!A:M,MATCH($A$1,Database!$A$1:$M$1,),)</f>
        <v/>
      </c>
      <c r="C203" s="113">
        <f>(Table5351415[[#This Row],[New Orders ex Transport]]-B202)/B202</f>
        <v/>
      </c>
    </row>
    <row r="204">
      <c r="A204" s="74" t="n">
        <v>39661</v>
      </c>
      <c r="B204" s="75">
        <f>VLOOKUP(A204,Database!A:M,MATCH($A$1,Database!$A$1:$M$1,),)</f>
        <v/>
      </c>
      <c r="C204" s="113">
        <f>(Table5351415[[#This Row],[New Orders ex Transport]]-B203)/B203</f>
        <v/>
      </c>
    </row>
    <row r="205">
      <c r="A205" s="74" t="n">
        <v>39692</v>
      </c>
      <c r="B205" s="75">
        <f>VLOOKUP(A205,Database!A:M,MATCH($A$1,Database!$A$1:$M$1,),)</f>
        <v/>
      </c>
      <c r="C205" s="113">
        <f>(Table5351415[[#This Row],[New Orders ex Transport]]-B204)/B204</f>
        <v/>
      </c>
    </row>
    <row r="206">
      <c r="A206" s="74" t="n">
        <v>39722</v>
      </c>
      <c r="B206" s="75">
        <f>VLOOKUP(A206,Database!A:M,MATCH($A$1,Database!$A$1:$M$1,),)</f>
        <v/>
      </c>
      <c r="C206" s="113">
        <f>(Table5351415[[#This Row],[New Orders ex Transport]]-B205)/B205</f>
        <v/>
      </c>
    </row>
    <row r="207">
      <c r="A207" s="74" t="n">
        <v>39753</v>
      </c>
      <c r="B207" s="75">
        <f>VLOOKUP(A207,Database!A:M,MATCH($A$1,Database!$A$1:$M$1,),)</f>
        <v/>
      </c>
      <c r="C207" s="113">
        <f>(Table5351415[[#This Row],[New Orders ex Transport]]-B206)/B206</f>
        <v/>
      </c>
    </row>
    <row r="208">
      <c r="A208" s="74" t="n">
        <v>39783</v>
      </c>
      <c r="B208" s="75">
        <f>VLOOKUP(A208,Database!A:M,MATCH($A$1,Database!$A$1:$M$1,),)</f>
        <v/>
      </c>
      <c r="C208" s="113">
        <f>(Table5351415[[#This Row],[New Orders ex Transport]]-B207)/B207</f>
        <v/>
      </c>
    </row>
    <row r="209">
      <c r="A209" s="74" t="n">
        <v>39814</v>
      </c>
      <c r="B209" s="75">
        <f>VLOOKUP(A209,Database!A:M,MATCH($A$1,Database!$A$1:$M$1,),)</f>
        <v/>
      </c>
      <c r="C209" s="113">
        <f>(Table5351415[[#This Row],[New Orders ex Transport]]-B208)/B208</f>
        <v/>
      </c>
    </row>
    <row r="210">
      <c r="A210" s="74" t="n">
        <v>39845</v>
      </c>
      <c r="B210" s="75">
        <f>VLOOKUP(A210,Database!A:M,MATCH($A$1,Database!$A$1:$M$1,),)</f>
        <v/>
      </c>
      <c r="C210" s="113">
        <f>(Table5351415[[#This Row],[New Orders ex Transport]]-B209)/B209</f>
        <v/>
      </c>
    </row>
    <row r="211">
      <c r="A211" s="74" t="n">
        <v>39873</v>
      </c>
      <c r="B211" s="75">
        <f>VLOOKUP(A211,Database!A:M,MATCH($A$1,Database!$A$1:$M$1,),)</f>
        <v/>
      </c>
      <c r="C211" s="113">
        <f>(Table5351415[[#This Row],[New Orders ex Transport]]-B210)/B210</f>
        <v/>
      </c>
    </row>
    <row r="212">
      <c r="A212" s="74" t="n">
        <v>39904</v>
      </c>
      <c r="B212" s="75">
        <f>VLOOKUP(A212,Database!A:M,MATCH($A$1,Database!$A$1:$M$1,),)</f>
        <v/>
      </c>
      <c r="C212" s="113">
        <f>(Table5351415[[#This Row],[New Orders ex Transport]]-B211)/B211</f>
        <v/>
      </c>
    </row>
    <row r="213">
      <c r="A213" s="74" t="n">
        <v>39934</v>
      </c>
      <c r="B213" s="75">
        <f>VLOOKUP(A213,Database!A:M,MATCH($A$1,Database!$A$1:$M$1,),)</f>
        <v/>
      </c>
      <c r="C213" s="113">
        <f>(Table5351415[[#This Row],[New Orders ex Transport]]-B212)/B212</f>
        <v/>
      </c>
    </row>
    <row r="214">
      <c r="A214" s="74" t="n">
        <v>39965</v>
      </c>
      <c r="B214" s="75">
        <f>VLOOKUP(A214,Database!A:M,MATCH($A$1,Database!$A$1:$M$1,),)</f>
        <v/>
      </c>
      <c r="C214" s="113">
        <f>(Table5351415[[#This Row],[New Orders ex Transport]]-B213)/B213</f>
        <v/>
      </c>
    </row>
    <row r="215">
      <c r="A215" s="74" t="n">
        <v>39995</v>
      </c>
      <c r="B215" s="75">
        <f>VLOOKUP(A215,Database!A:M,MATCH($A$1,Database!$A$1:$M$1,),)</f>
        <v/>
      </c>
      <c r="C215" s="113">
        <f>(Table5351415[[#This Row],[New Orders ex Transport]]-B214)/B214</f>
        <v/>
      </c>
    </row>
    <row r="216">
      <c r="A216" s="74" t="n">
        <v>40026</v>
      </c>
      <c r="B216" s="75">
        <f>VLOOKUP(A216,Database!A:M,MATCH($A$1,Database!$A$1:$M$1,),)</f>
        <v/>
      </c>
      <c r="C216" s="113">
        <f>(Table5351415[[#This Row],[New Orders ex Transport]]-B215)/B215</f>
        <v/>
      </c>
    </row>
    <row r="217">
      <c r="A217" s="74" t="n">
        <v>40057</v>
      </c>
      <c r="B217" s="75">
        <f>VLOOKUP(A217,Database!A:M,MATCH($A$1,Database!$A$1:$M$1,),)</f>
        <v/>
      </c>
      <c r="C217" s="113">
        <f>(Table5351415[[#This Row],[New Orders ex Transport]]-B216)/B216</f>
        <v/>
      </c>
    </row>
    <row r="218">
      <c r="A218" s="74" t="n">
        <v>40087</v>
      </c>
      <c r="B218" s="75">
        <f>VLOOKUP(A218,Database!A:M,MATCH($A$1,Database!$A$1:$M$1,),)</f>
        <v/>
      </c>
      <c r="C218" s="113">
        <f>(Table5351415[[#This Row],[New Orders ex Transport]]-B217)/B217</f>
        <v/>
      </c>
    </row>
    <row r="219">
      <c r="A219" s="74" t="n">
        <v>40118</v>
      </c>
      <c r="B219" s="75">
        <f>VLOOKUP(A219,Database!A:M,MATCH($A$1,Database!$A$1:$M$1,),)</f>
        <v/>
      </c>
      <c r="C219" s="113">
        <f>(Table5351415[[#This Row],[New Orders ex Transport]]-B218)/B218</f>
        <v/>
      </c>
    </row>
    <row r="220">
      <c r="A220" s="74" t="n">
        <v>40148</v>
      </c>
      <c r="B220" s="75">
        <f>VLOOKUP(A220,Database!A:M,MATCH($A$1,Database!$A$1:$M$1,),)</f>
        <v/>
      </c>
      <c r="C220" s="113">
        <f>(Table5351415[[#This Row],[New Orders ex Transport]]-B219)/B219</f>
        <v/>
      </c>
    </row>
    <row r="221">
      <c r="A221" s="74" t="n">
        <v>40179</v>
      </c>
      <c r="B221" s="75">
        <f>VLOOKUP(A221,Database!A:M,MATCH($A$1,Database!$A$1:$M$1,),)</f>
        <v/>
      </c>
      <c r="C221" s="113">
        <f>(Table5351415[[#This Row],[New Orders ex Transport]]-B220)/B220</f>
        <v/>
      </c>
    </row>
    <row r="222">
      <c r="A222" s="74" t="n">
        <v>40210</v>
      </c>
      <c r="B222" s="75">
        <f>VLOOKUP(A222,Database!A:M,MATCH($A$1,Database!$A$1:$M$1,),)</f>
        <v/>
      </c>
      <c r="C222" s="113">
        <f>(Table5351415[[#This Row],[New Orders ex Transport]]-B221)/B221</f>
        <v/>
      </c>
    </row>
    <row r="223">
      <c r="A223" s="74" t="n">
        <v>40238</v>
      </c>
      <c r="B223" s="75">
        <f>VLOOKUP(A223,Database!A:M,MATCH($A$1,Database!$A$1:$M$1,),)</f>
        <v/>
      </c>
      <c r="C223" s="113">
        <f>(Table5351415[[#This Row],[New Orders ex Transport]]-B222)/B222</f>
        <v/>
      </c>
    </row>
    <row r="224">
      <c r="A224" s="74" t="n">
        <v>40269</v>
      </c>
      <c r="B224" s="75">
        <f>VLOOKUP(A224,Database!A:M,MATCH($A$1,Database!$A$1:$M$1,),)</f>
        <v/>
      </c>
      <c r="C224" s="113">
        <f>(Table5351415[[#This Row],[New Orders ex Transport]]-B223)/B223</f>
        <v/>
      </c>
    </row>
    <row r="225">
      <c r="A225" s="74" t="n">
        <v>40299</v>
      </c>
      <c r="B225" s="75">
        <f>VLOOKUP(A225,Database!A:M,MATCH($A$1,Database!$A$1:$M$1,),)</f>
        <v/>
      </c>
      <c r="C225" s="113">
        <f>(Table5351415[[#This Row],[New Orders ex Transport]]-B224)/B224</f>
        <v/>
      </c>
    </row>
    <row r="226">
      <c r="A226" s="74" t="n">
        <v>40330</v>
      </c>
      <c r="B226" s="75">
        <f>VLOOKUP(A226,Database!A:M,MATCH($A$1,Database!$A$1:$M$1,),)</f>
        <v/>
      </c>
      <c r="C226" s="113">
        <f>(Table5351415[[#This Row],[New Orders ex Transport]]-B225)/B225</f>
        <v/>
      </c>
    </row>
    <row r="227">
      <c r="A227" s="74" t="n">
        <v>40360</v>
      </c>
      <c r="B227" s="75">
        <f>VLOOKUP(A227,Database!A:M,MATCH($A$1,Database!$A$1:$M$1,),)</f>
        <v/>
      </c>
      <c r="C227" s="113">
        <f>(Table5351415[[#This Row],[New Orders ex Transport]]-B226)/B226</f>
        <v/>
      </c>
    </row>
    <row r="228">
      <c r="A228" s="74" t="n">
        <v>40391</v>
      </c>
      <c r="B228" s="75">
        <f>VLOOKUP(A228,Database!A:M,MATCH($A$1,Database!$A$1:$M$1,),)</f>
        <v/>
      </c>
      <c r="C228" s="113">
        <f>(Table5351415[[#This Row],[New Orders ex Transport]]-B227)/B227</f>
        <v/>
      </c>
    </row>
    <row r="229">
      <c r="A229" s="74" t="n">
        <v>40422</v>
      </c>
      <c r="B229" s="75">
        <f>VLOOKUP(A229,Database!A:M,MATCH($A$1,Database!$A$1:$M$1,),)</f>
        <v/>
      </c>
      <c r="C229" s="113">
        <f>(Table5351415[[#This Row],[New Orders ex Transport]]-B228)/B228</f>
        <v/>
      </c>
    </row>
    <row r="230">
      <c r="A230" s="74" t="n">
        <v>40452</v>
      </c>
      <c r="B230" s="75">
        <f>VLOOKUP(A230,Database!A:M,MATCH($A$1,Database!$A$1:$M$1,),)</f>
        <v/>
      </c>
      <c r="C230" s="113">
        <f>(Table5351415[[#This Row],[New Orders ex Transport]]-B229)/B229</f>
        <v/>
      </c>
    </row>
    <row r="231">
      <c r="A231" s="74" t="n">
        <v>40483</v>
      </c>
      <c r="B231" s="75">
        <f>VLOOKUP(A231,Database!A:M,MATCH($A$1,Database!$A$1:$M$1,),)</f>
        <v/>
      </c>
      <c r="C231" s="113">
        <f>(Table5351415[[#This Row],[New Orders ex Transport]]-B230)/B230</f>
        <v/>
      </c>
    </row>
    <row r="232">
      <c r="A232" s="74" t="n">
        <v>40513</v>
      </c>
      <c r="B232" s="75">
        <f>VLOOKUP(A232,Database!A:M,MATCH($A$1,Database!$A$1:$M$1,),)</f>
        <v/>
      </c>
      <c r="C232" s="113">
        <f>(Table5351415[[#This Row],[New Orders ex Transport]]-B231)/B231</f>
        <v/>
      </c>
    </row>
    <row r="233">
      <c r="A233" s="74" t="n">
        <v>40544</v>
      </c>
      <c r="B233" s="75">
        <f>VLOOKUP(A233,Database!A:M,MATCH($A$1,Database!$A$1:$M$1,),)</f>
        <v/>
      </c>
      <c r="C233" s="113">
        <f>(Table5351415[[#This Row],[New Orders ex Transport]]-B232)/B232</f>
        <v/>
      </c>
    </row>
    <row r="234">
      <c r="A234" s="74" t="n">
        <v>40575</v>
      </c>
      <c r="B234" s="75">
        <f>VLOOKUP(A234,Database!A:M,MATCH($A$1,Database!$A$1:$M$1,),)</f>
        <v/>
      </c>
      <c r="C234" s="113">
        <f>(Table5351415[[#This Row],[New Orders ex Transport]]-B233)/B233</f>
        <v/>
      </c>
    </row>
    <row r="235">
      <c r="A235" s="74" t="n">
        <v>40603</v>
      </c>
      <c r="B235" s="75">
        <f>VLOOKUP(A235,Database!A:M,MATCH($A$1,Database!$A$1:$M$1,),)</f>
        <v/>
      </c>
      <c r="C235" s="113">
        <f>(Table5351415[[#This Row],[New Orders ex Transport]]-B234)/B234</f>
        <v/>
      </c>
    </row>
    <row r="236">
      <c r="A236" s="74" t="n">
        <v>40634</v>
      </c>
      <c r="B236" s="75">
        <f>VLOOKUP(A236,Database!A:M,MATCH($A$1,Database!$A$1:$M$1,),)</f>
        <v/>
      </c>
      <c r="C236" s="113">
        <f>(Table5351415[[#This Row],[New Orders ex Transport]]-B235)/B235</f>
        <v/>
      </c>
    </row>
    <row r="237">
      <c r="A237" s="74" t="n">
        <v>40664</v>
      </c>
      <c r="B237" s="75">
        <f>VLOOKUP(A237,Database!A:M,MATCH($A$1,Database!$A$1:$M$1,),)</f>
        <v/>
      </c>
      <c r="C237" s="113">
        <f>(Table5351415[[#This Row],[New Orders ex Transport]]-B236)/B236</f>
        <v/>
      </c>
    </row>
    <row r="238">
      <c r="A238" s="74" t="n">
        <v>40695</v>
      </c>
      <c r="B238" s="75">
        <f>VLOOKUP(A238,Database!A:M,MATCH($A$1,Database!$A$1:$M$1,),)</f>
        <v/>
      </c>
      <c r="C238" s="113">
        <f>(Table5351415[[#This Row],[New Orders ex Transport]]-B237)/B237</f>
        <v/>
      </c>
    </row>
    <row r="239">
      <c r="A239" s="74" t="n">
        <v>40725</v>
      </c>
      <c r="B239" s="75">
        <f>VLOOKUP(A239,Database!A:M,MATCH($A$1,Database!$A$1:$M$1,),)</f>
        <v/>
      </c>
      <c r="C239" s="113">
        <f>(Table5351415[[#This Row],[New Orders ex Transport]]-B238)/B238</f>
        <v/>
      </c>
    </row>
    <row r="240">
      <c r="A240" s="74" t="n">
        <v>40756</v>
      </c>
      <c r="B240" s="75">
        <f>VLOOKUP(A240,Database!A:M,MATCH($A$1,Database!$A$1:$M$1,),)</f>
        <v/>
      </c>
      <c r="C240" s="113">
        <f>(Table5351415[[#This Row],[New Orders ex Transport]]-B239)/B239</f>
        <v/>
      </c>
    </row>
    <row r="241">
      <c r="A241" s="74" t="n">
        <v>40787</v>
      </c>
      <c r="B241" s="75">
        <f>VLOOKUP(A241,Database!A:M,MATCH($A$1,Database!$A$1:$M$1,),)</f>
        <v/>
      </c>
      <c r="C241" s="113">
        <f>(Table5351415[[#This Row],[New Orders ex Transport]]-B240)/B240</f>
        <v/>
      </c>
    </row>
    <row r="242">
      <c r="A242" s="74" t="n">
        <v>40817</v>
      </c>
      <c r="B242" s="75">
        <f>VLOOKUP(A242,Database!A:M,MATCH($A$1,Database!$A$1:$M$1,),)</f>
        <v/>
      </c>
      <c r="C242" s="113">
        <f>(Table5351415[[#This Row],[New Orders ex Transport]]-B241)/B241</f>
        <v/>
      </c>
    </row>
    <row r="243">
      <c r="A243" s="74" t="n">
        <v>40848</v>
      </c>
      <c r="B243" s="75">
        <f>VLOOKUP(A243,Database!A:M,MATCH($A$1,Database!$A$1:$M$1,),)</f>
        <v/>
      </c>
      <c r="C243" s="113">
        <f>(Table5351415[[#This Row],[New Orders ex Transport]]-B242)/B242</f>
        <v/>
      </c>
    </row>
    <row r="244">
      <c r="A244" s="74" t="n">
        <v>40878</v>
      </c>
      <c r="B244" s="75">
        <f>VLOOKUP(A244,Database!A:M,MATCH($A$1,Database!$A$1:$M$1,),)</f>
        <v/>
      </c>
      <c r="C244" s="113">
        <f>(Table5351415[[#This Row],[New Orders ex Transport]]-B243)/B243</f>
        <v/>
      </c>
    </row>
    <row r="245">
      <c r="A245" s="74" t="n">
        <v>40909</v>
      </c>
      <c r="B245" s="75">
        <f>VLOOKUP(A245,Database!A:M,MATCH($A$1,Database!$A$1:$M$1,),)</f>
        <v/>
      </c>
      <c r="C245" s="113">
        <f>(Table5351415[[#This Row],[New Orders ex Transport]]-B244)/B244</f>
        <v/>
      </c>
    </row>
    <row r="246">
      <c r="A246" s="74" t="n">
        <v>40940</v>
      </c>
      <c r="B246" s="75">
        <f>VLOOKUP(A246,Database!A:M,MATCH($A$1,Database!$A$1:$M$1,),)</f>
        <v/>
      </c>
      <c r="C246" s="113">
        <f>(Table5351415[[#This Row],[New Orders ex Transport]]-B245)/B245</f>
        <v/>
      </c>
    </row>
    <row r="247">
      <c r="A247" s="74" t="n">
        <v>40969</v>
      </c>
      <c r="B247" s="75">
        <f>VLOOKUP(A247,Database!A:M,MATCH($A$1,Database!$A$1:$M$1,),)</f>
        <v/>
      </c>
      <c r="C247" s="113">
        <f>(Table5351415[[#This Row],[New Orders ex Transport]]-B246)/B246</f>
        <v/>
      </c>
    </row>
    <row r="248">
      <c r="A248" s="74" t="n">
        <v>41000</v>
      </c>
      <c r="B248" s="75">
        <f>VLOOKUP(A248,Database!A:M,MATCH($A$1,Database!$A$1:$M$1,),)</f>
        <v/>
      </c>
      <c r="C248" s="113">
        <f>(Table5351415[[#This Row],[New Orders ex Transport]]-B247)/B247</f>
        <v/>
      </c>
    </row>
    <row r="249">
      <c r="A249" s="74" t="n">
        <v>41030</v>
      </c>
      <c r="B249" s="75">
        <f>VLOOKUP(A249,Database!A:M,MATCH($A$1,Database!$A$1:$M$1,),)</f>
        <v/>
      </c>
      <c r="C249" s="113">
        <f>(Table5351415[[#This Row],[New Orders ex Transport]]-B248)/B248</f>
        <v/>
      </c>
    </row>
    <row r="250">
      <c r="A250" s="74" t="n">
        <v>41061</v>
      </c>
      <c r="B250" s="75">
        <f>VLOOKUP(A250,Database!A:M,MATCH($A$1,Database!$A$1:$M$1,),)</f>
        <v/>
      </c>
      <c r="C250" s="113">
        <f>(Table5351415[[#This Row],[New Orders ex Transport]]-B249)/B249</f>
        <v/>
      </c>
    </row>
    <row r="251">
      <c r="A251" s="74" t="n">
        <v>41091</v>
      </c>
      <c r="B251" s="75">
        <f>VLOOKUP(A251,Database!A:M,MATCH($A$1,Database!$A$1:$M$1,),)</f>
        <v/>
      </c>
      <c r="C251" s="113">
        <f>(Table5351415[[#This Row],[New Orders ex Transport]]-B250)/B250</f>
        <v/>
      </c>
    </row>
    <row r="252">
      <c r="A252" s="74" t="n">
        <v>41122</v>
      </c>
      <c r="B252" s="75">
        <f>VLOOKUP(A252,Database!A:M,MATCH($A$1,Database!$A$1:$M$1,),)</f>
        <v/>
      </c>
      <c r="C252" s="113">
        <f>(Table5351415[[#This Row],[New Orders ex Transport]]-B251)/B251</f>
        <v/>
      </c>
    </row>
    <row r="253">
      <c r="A253" s="74" t="n">
        <v>41153</v>
      </c>
      <c r="B253" s="75">
        <f>VLOOKUP(A253,Database!A:M,MATCH($A$1,Database!$A$1:$M$1,),)</f>
        <v/>
      </c>
      <c r="C253" s="113">
        <f>(Table5351415[[#This Row],[New Orders ex Transport]]-B252)/B252</f>
        <v/>
      </c>
    </row>
    <row r="254">
      <c r="A254" s="74" t="n">
        <v>41183</v>
      </c>
      <c r="B254" s="75">
        <f>VLOOKUP(A254,Database!A:M,MATCH($A$1,Database!$A$1:$M$1,),)</f>
        <v/>
      </c>
      <c r="C254" s="113">
        <f>(Table5351415[[#This Row],[New Orders ex Transport]]-B253)/B253</f>
        <v/>
      </c>
    </row>
    <row r="255">
      <c r="A255" s="74" t="n">
        <v>41214</v>
      </c>
      <c r="B255" s="75">
        <f>VLOOKUP(A255,Database!A:M,MATCH($A$1,Database!$A$1:$M$1,),)</f>
        <v/>
      </c>
      <c r="C255" s="113">
        <f>(Table5351415[[#This Row],[New Orders ex Transport]]-B254)/B254</f>
        <v/>
      </c>
    </row>
    <row r="256">
      <c r="A256" s="74" t="n">
        <v>41244</v>
      </c>
      <c r="B256" s="75">
        <f>VLOOKUP(A256,Database!A:M,MATCH($A$1,Database!$A$1:$M$1,),)</f>
        <v/>
      </c>
      <c r="C256" s="113">
        <f>(Table5351415[[#This Row],[New Orders ex Transport]]-B255)/B255</f>
        <v/>
      </c>
    </row>
    <row r="257">
      <c r="A257" s="74" t="n">
        <v>41275</v>
      </c>
      <c r="B257" s="75">
        <f>VLOOKUP(A257,Database!A:M,MATCH($A$1,Database!$A$1:$M$1,),)</f>
        <v/>
      </c>
      <c r="C257" s="113">
        <f>(Table5351415[[#This Row],[New Orders ex Transport]]-B256)/B256</f>
        <v/>
      </c>
    </row>
    <row r="258">
      <c r="A258" s="74" t="n">
        <v>41306</v>
      </c>
      <c r="B258" s="75">
        <f>VLOOKUP(A258,Database!A:M,MATCH($A$1,Database!$A$1:$M$1,),)</f>
        <v/>
      </c>
      <c r="C258" s="113">
        <f>(Table5351415[[#This Row],[New Orders ex Transport]]-B257)/B257</f>
        <v/>
      </c>
    </row>
    <row r="259">
      <c r="A259" s="74" t="n">
        <v>41334</v>
      </c>
      <c r="B259" s="75">
        <f>VLOOKUP(A259,Database!A:M,MATCH($A$1,Database!$A$1:$M$1,),)</f>
        <v/>
      </c>
      <c r="C259" s="113">
        <f>(Table5351415[[#This Row],[New Orders ex Transport]]-B258)/B258</f>
        <v/>
      </c>
    </row>
    <row r="260">
      <c r="A260" s="74" t="n">
        <v>41365</v>
      </c>
      <c r="B260" s="75">
        <f>VLOOKUP(A260,Database!A:M,MATCH($A$1,Database!$A$1:$M$1,),)</f>
        <v/>
      </c>
      <c r="C260" s="113">
        <f>(Table5351415[[#This Row],[New Orders ex Transport]]-B259)/B259</f>
        <v/>
      </c>
    </row>
    <row r="261">
      <c r="A261" s="74" t="n">
        <v>41395</v>
      </c>
      <c r="B261" s="75">
        <f>VLOOKUP(A261,Database!A:M,MATCH($A$1,Database!$A$1:$M$1,),)</f>
        <v/>
      </c>
      <c r="C261" s="113">
        <f>(Table5351415[[#This Row],[New Orders ex Transport]]-B260)/B260</f>
        <v/>
      </c>
    </row>
    <row r="262">
      <c r="A262" s="74" t="n">
        <v>41426</v>
      </c>
      <c r="B262" s="75">
        <f>VLOOKUP(A262,Database!A:M,MATCH($A$1,Database!$A$1:$M$1,),)</f>
        <v/>
      </c>
      <c r="C262" s="113">
        <f>(Table5351415[[#This Row],[New Orders ex Transport]]-B261)/B261</f>
        <v/>
      </c>
    </row>
    <row r="263">
      <c r="A263" s="74" t="n">
        <v>41456</v>
      </c>
      <c r="B263" s="75">
        <f>VLOOKUP(A263,Database!A:M,MATCH($A$1,Database!$A$1:$M$1,),)</f>
        <v/>
      </c>
      <c r="C263" s="113">
        <f>(Table5351415[[#This Row],[New Orders ex Transport]]-B262)/B262</f>
        <v/>
      </c>
    </row>
    <row r="264">
      <c r="A264" s="74" t="n">
        <v>41487</v>
      </c>
      <c r="B264" s="75">
        <f>VLOOKUP(A264,Database!A:M,MATCH($A$1,Database!$A$1:$M$1,),)</f>
        <v/>
      </c>
      <c r="C264" s="113">
        <f>(Table5351415[[#This Row],[New Orders ex Transport]]-B263)/B263</f>
        <v/>
      </c>
    </row>
    <row r="265">
      <c r="A265" s="74" t="n">
        <v>41518</v>
      </c>
      <c r="B265" s="75">
        <f>VLOOKUP(A265,Database!A:M,MATCH($A$1,Database!$A$1:$M$1,),)</f>
        <v/>
      </c>
      <c r="C265" s="113">
        <f>(Table5351415[[#This Row],[New Orders ex Transport]]-B264)/B264</f>
        <v/>
      </c>
    </row>
    <row r="266">
      <c r="A266" s="74" t="n">
        <v>41548</v>
      </c>
      <c r="B266" s="75">
        <f>VLOOKUP(A266,Database!A:M,MATCH($A$1,Database!$A$1:$M$1,),)</f>
        <v/>
      </c>
      <c r="C266" s="113">
        <f>(Table5351415[[#This Row],[New Orders ex Transport]]-B265)/B265</f>
        <v/>
      </c>
    </row>
    <row r="267">
      <c r="A267" s="74" t="n">
        <v>41579</v>
      </c>
      <c r="B267" s="75">
        <f>VLOOKUP(A267,Database!A:M,MATCH($A$1,Database!$A$1:$M$1,),)</f>
        <v/>
      </c>
      <c r="C267" s="113">
        <f>(Table5351415[[#This Row],[New Orders ex Transport]]-B266)/B266</f>
        <v/>
      </c>
    </row>
    <row r="268">
      <c r="A268" s="74" t="n">
        <v>41609</v>
      </c>
      <c r="B268" s="75">
        <f>VLOOKUP(A268,Database!A:M,MATCH($A$1,Database!$A$1:$M$1,),)</f>
        <v/>
      </c>
      <c r="C268" s="113">
        <f>(Table5351415[[#This Row],[New Orders ex Transport]]-B267)/B267</f>
        <v/>
      </c>
    </row>
    <row r="269">
      <c r="A269" s="74" t="n">
        <v>41640</v>
      </c>
      <c r="B269" s="75">
        <f>VLOOKUP(A269,Database!A:M,MATCH($A$1,Database!$A$1:$M$1,),)</f>
        <v/>
      </c>
      <c r="C269" s="113">
        <f>(Table5351415[[#This Row],[New Orders ex Transport]]-B268)/B268</f>
        <v/>
      </c>
    </row>
    <row r="270">
      <c r="A270" s="74" t="n">
        <v>41671</v>
      </c>
      <c r="B270" s="75">
        <f>VLOOKUP(A270,Database!A:M,MATCH($A$1,Database!$A$1:$M$1,),)</f>
        <v/>
      </c>
      <c r="C270" s="113">
        <f>(Table5351415[[#This Row],[New Orders ex Transport]]-B269)/B269</f>
        <v/>
      </c>
    </row>
    <row r="271">
      <c r="A271" s="74" t="n">
        <v>41699</v>
      </c>
      <c r="B271" s="75">
        <f>VLOOKUP(A271,Database!A:M,MATCH($A$1,Database!$A$1:$M$1,),)</f>
        <v/>
      </c>
      <c r="C271" s="113">
        <f>(Table5351415[[#This Row],[New Orders ex Transport]]-B270)/B270</f>
        <v/>
      </c>
    </row>
    <row r="272">
      <c r="A272" s="74" t="n">
        <v>41730</v>
      </c>
      <c r="B272" s="75">
        <f>VLOOKUP(A272,Database!A:M,MATCH($A$1,Database!$A$1:$M$1,),)</f>
        <v/>
      </c>
      <c r="C272" s="113">
        <f>(Table5351415[[#This Row],[New Orders ex Transport]]-B271)/B271</f>
        <v/>
      </c>
    </row>
    <row r="273">
      <c r="A273" s="74" t="n">
        <v>41760</v>
      </c>
      <c r="B273" s="75">
        <f>VLOOKUP(A273,Database!A:M,MATCH($A$1,Database!$A$1:$M$1,),)</f>
        <v/>
      </c>
      <c r="C273" s="113">
        <f>(Table5351415[[#This Row],[New Orders ex Transport]]-B272)/B272</f>
        <v/>
      </c>
    </row>
    <row r="274">
      <c r="A274" s="74" t="n">
        <v>41791</v>
      </c>
      <c r="B274" s="75">
        <f>VLOOKUP(A274,Database!A:M,MATCH($A$1,Database!$A$1:$M$1,),)</f>
        <v/>
      </c>
      <c r="C274" s="113">
        <f>(Table5351415[[#This Row],[New Orders ex Transport]]-B273)/B273</f>
        <v/>
      </c>
    </row>
    <row r="275">
      <c r="A275" s="74" t="n">
        <v>41821</v>
      </c>
      <c r="B275" s="75">
        <f>VLOOKUP(A275,Database!A:M,MATCH($A$1,Database!$A$1:$M$1,),)</f>
        <v/>
      </c>
      <c r="C275" s="113">
        <f>(Table5351415[[#This Row],[New Orders ex Transport]]-B274)/B274</f>
        <v/>
      </c>
    </row>
    <row r="276">
      <c r="A276" s="74" t="n">
        <v>41852</v>
      </c>
      <c r="B276" s="75">
        <f>VLOOKUP(A276,Database!A:M,MATCH($A$1,Database!$A$1:$M$1,),)</f>
        <v/>
      </c>
      <c r="C276" s="113">
        <f>(Table5351415[[#This Row],[New Orders ex Transport]]-B275)/B275</f>
        <v/>
      </c>
    </row>
    <row r="277">
      <c r="A277" s="74" t="n">
        <v>41883</v>
      </c>
      <c r="B277" s="75">
        <f>VLOOKUP(A277,Database!A:M,MATCH($A$1,Database!$A$1:$M$1,),)</f>
        <v/>
      </c>
      <c r="C277" s="113">
        <f>(Table5351415[[#This Row],[New Orders ex Transport]]-B276)/B276</f>
        <v/>
      </c>
    </row>
    <row r="278">
      <c r="A278" s="74" t="n">
        <v>41913</v>
      </c>
      <c r="B278" s="75">
        <f>VLOOKUP(A278,Database!A:M,MATCH($A$1,Database!$A$1:$M$1,),)</f>
        <v/>
      </c>
      <c r="C278" s="113">
        <f>(Table5351415[[#This Row],[New Orders ex Transport]]-B277)/B277</f>
        <v/>
      </c>
    </row>
    <row r="279">
      <c r="A279" s="74" t="n">
        <v>41944</v>
      </c>
      <c r="B279" s="75">
        <f>VLOOKUP(A279,Database!A:M,MATCH($A$1,Database!$A$1:$M$1,),)</f>
        <v/>
      </c>
      <c r="C279" s="113">
        <f>(Table5351415[[#This Row],[New Orders ex Transport]]-B278)/B278</f>
        <v/>
      </c>
    </row>
    <row r="280">
      <c r="A280" s="74" t="n">
        <v>41974</v>
      </c>
      <c r="B280" s="75">
        <f>VLOOKUP(A280,Database!A:M,MATCH($A$1,Database!$A$1:$M$1,),)</f>
        <v/>
      </c>
      <c r="C280" s="113">
        <f>(Table5351415[[#This Row],[New Orders ex Transport]]-B279)/B279</f>
        <v/>
      </c>
    </row>
    <row r="281">
      <c r="A281" s="74" t="n">
        <v>42005</v>
      </c>
      <c r="B281" s="75">
        <f>VLOOKUP(A281,Database!A:M,MATCH($A$1,Database!$A$1:$M$1,),)</f>
        <v/>
      </c>
      <c r="C281" s="113">
        <f>(Table5351415[[#This Row],[New Orders ex Transport]]-B280)/B280</f>
        <v/>
      </c>
    </row>
    <row r="282">
      <c r="A282" s="74" t="n">
        <v>42036</v>
      </c>
      <c r="B282" s="75">
        <f>VLOOKUP(A282,Database!A:M,MATCH($A$1,Database!$A$1:$M$1,),)</f>
        <v/>
      </c>
      <c r="C282" s="113">
        <f>(Table5351415[[#This Row],[New Orders ex Transport]]-B281)/B281</f>
        <v/>
      </c>
    </row>
    <row r="283">
      <c r="A283" s="74" t="n">
        <v>42064</v>
      </c>
      <c r="B283" s="75">
        <f>VLOOKUP(A283,Database!A:M,MATCH($A$1,Database!$A$1:$M$1,),)</f>
        <v/>
      </c>
      <c r="C283" s="113">
        <f>(Table5351415[[#This Row],[New Orders ex Transport]]-B282)/B282</f>
        <v/>
      </c>
    </row>
    <row r="284">
      <c r="A284" s="74" t="n">
        <v>42095</v>
      </c>
      <c r="B284" s="75">
        <f>VLOOKUP(A284,Database!A:M,MATCH($A$1,Database!$A$1:$M$1,),)</f>
        <v/>
      </c>
      <c r="C284" s="113">
        <f>(Table5351415[[#This Row],[New Orders ex Transport]]-B283)/B283</f>
        <v/>
      </c>
    </row>
    <row r="285">
      <c r="A285" s="74" t="n">
        <v>42125</v>
      </c>
      <c r="B285" s="75">
        <f>VLOOKUP(A285,Database!A:M,MATCH($A$1,Database!$A$1:$M$1,),)</f>
        <v/>
      </c>
      <c r="C285" s="113">
        <f>(Table5351415[[#This Row],[New Orders ex Transport]]-B284)/B284</f>
        <v/>
      </c>
    </row>
    <row r="286">
      <c r="A286" s="74" t="n">
        <v>42156</v>
      </c>
      <c r="B286" s="75">
        <f>VLOOKUP(A286,Database!A:M,MATCH($A$1,Database!$A$1:$M$1,),)</f>
        <v/>
      </c>
      <c r="C286" s="113">
        <f>(Table5351415[[#This Row],[New Orders ex Transport]]-B285)/B285</f>
        <v/>
      </c>
    </row>
    <row r="287">
      <c r="A287" s="74" t="n">
        <v>42186</v>
      </c>
      <c r="B287" s="75">
        <f>VLOOKUP(A287,Database!A:M,MATCH($A$1,Database!$A$1:$M$1,),)</f>
        <v/>
      </c>
      <c r="C287" s="113">
        <f>(Table5351415[[#This Row],[New Orders ex Transport]]-B286)/B286</f>
        <v/>
      </c>
    </row>
    <row r="288">
      <c r="A288" s="74" t="n">
        <v>42217</v>
      </c>
      <c r="B288" s="75">
        <f>VLOOKUP(A288,Database!A:M,MATCH($A$1,Database!$A$1:$M$1,),)</f>
        <v/>
      </c>
      <c r="C288" s="113">
        <f>(Table5351415[[#This Row],[New Orders ex Transport]]-B287)/B287</f>
        <v/>
      </c>
    </row>
    <row r="289">
      <c r="A289" s="74" t="n">
        <v>42248</v>
      </c>
      <c r="B289" s="75">
        <f>VLOOKUP(A289,Database!A:M,MATCH($A$1,Database!$A$1:$M$1,),)</f>
        <v/>
      </c>
      <c r="C289" s="113">
        <f>(Table5351415[[#This Row],[New Orders ex Transport]]-B288)/B288</f>
        <v/>
      </c>
    </row>
    <row r="290">
      <c r="A290" s="74" t="n">
        <v>42278</v>
      </c>
      <c r="B290" s="75">
        <f>VLOOKUP(A290,Database!A:M,MATCH($A$1,Database!$A$1:$M$1,),)</f>
        <v/>
      </c>
      <c r="C290" s="113">
        <f>(Table5351415[[#This Row],[New Orders ex Transport]]-B289)/B289</f>
        <v/>
      </c>
    </row>
    <row r="291">
      <c r="A291" s="74" t="n">
        <v>42309</v>
      </c>
      <c r="B291" s="75">
        <f>VLOOKUP(A291,Database!A:M,MATCH($A$1,Database!$A$1:$M$1,),)</f>
        <v/>
      </c>
      <c r="C291" s="113">
        <f>(Table5351415[[#This Row],[New Orders ex Transport]]-B290)/B290</f>
        <v/>
      </c>
    </row>
    <row r="292">
      <c r="A292" s="74" t="n">
        <v>42339</v>
      </c>
      <c r="B292" s="75">
        <f>VLOOKUP(A292,Database!A:M,MATCH($A$1,Database!$A$1:$M$1,),)</f>
        <v/>
      </c>
      <c r="C292" s="113">
        <f>(Table5351415[[#This Row],[New Orders ex Transport]]-B291)/B291</f>
        <v/>
      </c>
    </row>
    <row r="293">
      <c r="A293" s="74" t="n">
        <v>42370</v>
      </c>
      <c r="B293" s="75">
        <f>VLOOKUP(A293,Database!A:M,MATCH($A$1,Database!$A$1:$M$1,),)</f>
        <v/>
      </c>
      <c r="C293" s="113">
        <f>(Table5351415[[#This Row],[New Orders ex Transport]]-B292)/B292</f>
        <v/>
      </c>
    </row>
    <row r="294">
      <c r="A294" s="74" t="n">
        <v>42401</v>
      </c>
      <c r="B294" s="75">
        <f>VLOOKUP(A294,Database!A:M,MATCH($A$1,Database!$A$1:$M$1,),)</f>
        <v/>
      </c>
      <c r="C294" s="113">
        <f>(Table5351415[[#This Row],[New Orders ex Transport]]-B293)/B293</f>
        <v/>
      </c>
    </row>
    <row r="295">
      <c r="A295" s="74" t="n">
        <v>42430</v>
      </c>
      <c r="B295" s="75">
        <f>VLOOKUP(A295,Database!A:M,MATCH($A$1,Database!$A$1:$M$1,),)</f>
        <v/>
      </c>
      <c r="C295" s="113">
        <f>(Table5351415[[#This Row],[New Orders ex Transport]]-B294)/B294</f>
        <v/>
      </c>
    </row>
    <row r="296">
      <c r="A296" s="74" t="n">
        <v>42461</v>
      </c>
      <c r="B296" s="75">
        <f>VLOOKUP(A296,Database!A:M,MATCH($A$1,Database!$A$1:$M$1,),)</f>
        <v/>
      </c>
      <c r="C296" s="113">
        <f>(Table5351415[[#This Row],[New Orders ex Transport]]-B295)/B295</f>
        <v/>
      </c>
    </row>
    <row r="297">
      <c r="A297" s="74" t="n">
        <v>42491</v>
      </c>
      <c r="B297" s="75">
        <f>VLOOKUP(A297,Database!A:M,MATCH($A$1,Database!$A$1:$M$1,),)</f>
        <v/>
      </c>
      <c r="C297" s="113">
        <f>(Table5351415[[#This Row],[New Orders ex Transport]]-B296)/B296</f>
        <v/>
      </c>
    </row>
    <row r="298">
      <c r="A298" s="74" t="n">
        <v>42522</v>
      </c>
      <c r="B298" s="75">
        <f>VLOOKUP(A298,Database!A:M,MATCH($A$1,Database!$A$1:$M$1,),)</f>
        <v/>
      </c>
      <c r="C298" s="113">
        <f>(Table5351415[[#This Row],[New Orders ex Transport]]-B297)/B297</f>
        <v/>
      </c>
    </row>
    <row r="299">
      <c r="A299" s="74" t="n">
        <v>42552</v>
      </c>
      <c r="B299" s="75">
        <f>VLOOKUP(A299,Database!A:M,MATCH($A$1,Database!$A$1:$M$1,),)</f>
        <v/>
      </c>
      <c r="C299" s="113">
        <f>(Table5351415[[#This Row],[New Orders ex Transport]]-B298)/B298</f>
        <v/>
      </c>
    </row>
    <row r="300">
      <c r="A300" s="74" t="n">
        <v>42583</v>
      </c>
      <c r="B300" s="75">
        <f>VLOOKUP(A300,Database!A:M,MATCH($A$1,Database!$A$1:$M$1,),)</f>
        <v/>
      </c>
      <c r="C300" s="113">
        <f>(Table5351415[[#This Row],[New Orders ex Transport]]-B299)/B299</f>
        <v/>
      </c>
    </row>
    <row r="301">
      <c r="A301" s="74" t="n">
        <v>42614</v>
      </c>
      <c r="B301" s="75">
        <f>VLOOKUP(A301,Database!A:M,MATCH($A$1,Database!$A$1:$M$1,),)</f>
        <v/>
      </c>
      <c r="C301" s="113">
        <f>(Table5351415[[#This Row],[New Orders ex Transport]]-B300)/B300</f>
        <v/>
      </c>
    </row>
    <row r="302">
      <c r="A302" s="74" t="n">
        <v>42644</v>
      </c>
      <c r="B302" s="75">
        <f>VLOOKUP(A302,Database!A:M,MATCH($A$1,Database!$A$1:$M$1,),)</f>
        <v/>
      </c>
      <c r="C302" s="113">
        <f>(Table5351415[[#This Row],[New Orders ex Transport]]-B301)/B301</f>
        <v/>
      </c>
    </row>
    <row r="303">
      <c r="A303" s="74" t="n">
        <v>42675</v>
      </c>
      <c r="B303" s="75">
        <f>VLOOKUP(A303,Database!A:M,MATCH($A$1,Database!$A$1:$M$1,),)</f>
        <v/>
      </c>
      <c r="C303" s="113">
        <f>(Table5351415[[#This Row],[New Orders ex Transport]]-B302)/B302</f>
        <v/>
      </c>
    </row>
    <row r="304">
      <c r="A304" s="74" t="n">
        <v>42705</v>
      </c>
      <c r="B304" s="75">
        <f>VLOOKUP(A304,Database!A:M,MATCH($A$1,Database!$A$1:$M$1,),)</f>
        <v/>
      </c>
      <c r="C304" s="113">
        <f>(Table5351415[[#This Row],[New Orders ex Transport]]-B303)/B303</f>
        <v/>
      </c>
    </row>
    <row r="305">
      <c r="A305" s="74" t="n">
        <v>42736</v>
      </c>
      <c r="B305" s="75">
        <f>VLOOKUP(A305,Database!A:M,MATCH($A$1,Database!$A$1:$M$1,),)</f>
        <v/>
      </c>
      <c r="C305" s="113">
        <f>(Table5351415[[#This Row],[New Orders ex Transport]]-B304)/B304</f>
        <v/>
      </c>
    </row>
    <row r="306">
      <c r="A306" s="74" t="n">
        <v>42767</v>
      </c>
      <c r="B306" s="75">
        <f>VLOOKUP(A306,Database!A:M,MATCH($A$1,Database!$A$1:$M$1,),)</f>
        <v/>
      </c>
      <c r="C306" s="113">
        <f>(Table5351415[[#This Row],[New Orders ex Transport]]-B305)/B305</f>
        <v/>
      </c>
    </row>
    <row r="307">
      <c r="A307" s="74" t="n">
        <v>42795</v>
      </c>
      <c r="B307" s="75">
        <f>VLOOKUP(A307,Database!A:M,MATCH($A$1,Database!$A$1:$M$1,),)</f>
        <v/>
      </c>
      <c r="C307" s="113">
        <f>(Table5351415[[#This Row],[New Orders ex Transport]]-B306)/B306</f>
        <v/>
      </c>
    </row>
    <row r="308">
      <c r="A308" s="74" t="n">
        <v>42826</v>
      </c>
      <c r="B308" s="75">
        <f>VLOOKUP(A308,Database!A:M,MATCH($A$1,Database!$A$1:$M$1,),)</f>
        <v/>
      </c>
      <c r="C308" s="113">
        <f>(Table5351415[[#This Row],[New Orders ex Transport]]-B307)/B307</f>
        <v/>
      </c>
    </row>
    <row r="309">
      <c r="A309" s="74" t="n">
        <v>42856</v>
      </c>
      <c r="B309" s="75">
        <f>VLOOKUP(A309,Database!A:M,MATCH($A$1,Database!$A$1:$M$1,),)</f>
        <v/>
      </c>
      <c r="C309" s="113">
        <f>(Table5351415[[#This Row],[New Orders ex Transport]]-B308)/B308</f>
        <v/>
      </c>
    </row>
    <row r="310">
      <c r="A310" s="74" t="n">
        <v>42887</v>
      </c>
      <c r="B310" s="75">
        <f>VLOOKUP(A310,Database!A:M,MATCH($A$1,Database!$A$1:$M$1,),)</f>
        <v/>
      </c>
      <c r="C310" s="113">
        <f>(Table5351415[[#This Row],[New Orders ex Transport]]-B309)/B309</f>
        <v/>
      </c>
    </row>
    <row r="311">
      <c r="A311" s="74" t="n">
        <v>42917</v>
      </c>
      <c r="B311" s="75">
        <f>VLOOKUP(A311,Database!A:M,MATCH($A$1,Database!$A$1:$M$1,),)</f>
        <v/>
      </c>
      <c r="C311" s="113">
        <f>(Table5351415[[#This Row],[New Orders ex Transport]]-B310)/B310</f>
        <v/>
      </c>
    </row>
    <row r="312">
      <c r="A312" s="74" t="n">
        <v>42948</v>
      </c>
      <c r="B312" s="75">
        <f>VLOOKUP(A312,Database!A:M,MATCH($A$1,Database!$A$1:$M$1,),)</f>
        <v/>
      </c>
      <c r="C312" s="113">
        <f>(Table5351415[[#This Row],[New Orders ex Transport]]-B311)/B311</f>
        <v/>
      </c>
    </row>
    <row r="313">
      <c r="A313" s="74" t="n">
        <v>42979</v>
      </c>
      <c r="B313" s="75">
        <f>VLOOKUP(A313,Database!A:M,MATCH($A$1,Database!$A$1:$M$1,),)</f>
        <v/>
      </c>
      <c r="C313" s="113">
        <f>(Table5351415[[#This Row],[New Orders ex Transport]]-B312)/B312</f>
        <v/>
      </c>
    </row>
    <row r="314">
      <c r="A314" s="74" t="n">
        <v>43009</v>
      </c>
      <c r="B314" s="75">
        <f>VLOOKUP(A314,Database!A:M,MATCH($A$1,Database!$A$1:$M$1,),)</f>
        <v/>
      </c>
      <c r="C314" s="113">
        <f>(Table5351415[[#This Row],[New Orders ex Transport]]-B313)/B313</f>
        <v/>
      </c>
    </row>
    <row r="315">
      <c r="A315" s="74" t="n">
        <v>43040</v>
      </c>
      <c r="B315" s="75">
        <f>VLOOKUP(A315,Database!A:M,MATCH($A$1,Database!$A$1:$M$1,),)</f>
        <v/>
      </c>
      <c r="C315" s="113">
        <f>(Table5351415[[#This Row],[New Orders ex Transport]]-B314)/B314</f>
        <v/>
      </c>
    </row>
    <row r="316">
      <c r="A316" s="74" t="n">
        <v>43070</v>
      </c>
      <c r="B316" s="75">
        <f>VLOOKUP(A316,Database!A:M,MATCH($A$1,Database!$A$1:$M$1,),)</f>
        <v/>
      </c>
      <c r="C316" s="113">
        <f>(Table5351415[[#This Row],[New Orders ex Transport]]-B315)/B315</f>
        <v/>
      </c>
    </row>
    <row r="317">
      <c r="A317" s="74" t="n">
        <v>43101</v>
      </c>
      <c r="B317" s="75">
        <f>VLOOKUP(A317,Database!A:M,MATCH($A$1,Database!$A$1:$M$1,),)</f>
        <v/>
      </c>
      <c r="C317" s="113">
        <f>(Table5351415[[#This Row],[New Orders ex Transport]]-B316)/B316</f>
        <v/>
      </c>
    </row>
    <row r="318">
      <c r="A318" s="74" t="n">
        <v>43132</v>
      </c>
      <c r="B318" s="75">
        <f>VLOOKUP(A318,Database!A:M,MATCH($A$1,Database!$A$1:$M$1,),)</f>
        <v/>
      </c>
      <c r="C318" s="113">
        <f>(Table5351415[[#This Row],[New Orders ex Transport]]-B317)/B317</f>
        <v/>
      </c>
    </row>
    <row r="319">
      <c r="A319" s="74" t="n">
        <v>43160</v>
      </c>
      <c r="B319" s="75">
        <f>VLOOKUP(A319,Database!A:M,MATCH($A$1,Database!$A$1:$M$1,),)</f>
        <v/>
      </c>
      <c r="C319" s="113">
        <f>(Table5351415[[#This Row],[New Orders ex Transport]]-B318)/B318</f>
        <v/>
      </c>
    </row>
    <row r="320">
      <c r="A320" s="74" t="n">
        <v>43191</v>
      </c>
      <c r="B320" s="75">
        <f>VLOOKUP(A320,Database!A:M,MATCH($A$1,Database!$A$1:$M$1,),)</f>
        <v/>
      </c>
      <c r="C320" s="113">
        <f>(Table5351415[[#This Row],[New Orders ex Transport]]-B319)/B319</f>
        <v/>
      </c>
    </row>
    <row r="321">
      <c r="A321" s="74" t="n">
        <v>43221</v>
      </c>
      <c r="B321" s="75">
        <f>VLOOKUP(A321,Database!A:M,MATCH($A$1,Database!$A$1:$M$1,),)</f>
        <v/>
      </c>
      <c r="C321" s="113">
        <f>(Table5351415[[#This Row],[New Orders ex Transport]]-B320)/B320</f>
        <v/>
      </c>
    </row>
    <row r="322">
      <c r="A322" s="74" t="n">
        <v>43252</v>
      </c>
      <c r="B322" s="75">
        <f>VLOOKUP(A322,Database!A:M,MATCH($A$1,Database!$A$1:$M$1,),)</f>
        <v/>
      </c>
      <c r="C322" s="113">
        <f>(Table5351415[[#This Row],[New Orders ex Transport]]-B321)/B321</f>
        <v/>
      </c>
    </row>
    <row r="323">
      <c r="A323" s="74" t="n">
        <v>43282</v>
      </c>
      <c r="B323" s="75">
        <f>VLOOKUP(A323,Database!A:M,MATCH($A$1,Database!$A$1:$M$1,),)</f>
        <v/>
      </c>
      <c r="C323" s="113">
        <f>(Table5351415[[#This Row],[New Orders ex Transport]]-B322)/B322</f>
        <v/>
      </c>
    </row>
    <row r="324">
      <c r="A324" s="74" t="n">
        <v>43313</v>
      </c>
      <c r="B324" s="75">
        <f>VLOOKUP(A324,Database!A:M,MATCH($A$1,Database!$A$1:$M$1,),)</f>
        <v/>
      </c>
      <c r="C324" s="113">
        <f>(Table5351415[[#This Row],[New Orders ex Transport]]-B323)/B323</f>
        <v/>
      </c>
    </row>
    <row r="325">
      <c r="A325" s="74" t="n">
        <v>43344</v>
      </c>
      <c r="B325" s="75">
        <f>VLOOKUP(A325,Database!A:M,MATCH($A$1,Database!$A$1:$M$1,),)</f>
        <v/>
      </c>
      <c r="C325" s="113">
        <f>(Table5351415[[#This Row],[New Orders ex Transport]]-B324)/B324</f>
        <v/>
      </c>
    </row>
    <row r="326">
      <c r="A326" s="74" t="n">
        <v>43374</v>
      </c>
      <c r="B326" s="75">
        <f>VLOOKUP(A326,Database!A:M,MATCH($A$1,Database!$A$1:$M$1,),)</f>
        <v/>
      </c>
      <c r="C326" s="113">
        <f>(Table5351415[[#This Row],[New Orders ex Transport]]-B325)/B325</f>
        <v/>
      </c>
    </row>
    <row r="327">
      <c r="A327" s="74" t="n">
        <v>43405</v>
      </c>
      <c r="B327" s="75">
        <f>VLOOKUP(A327,Database!A:M,MATCH($A$1,Database!$A$1:$M$1,),)</f>
        <v/>
      </c>
      <c r="C327" s="113">
        <f>(Table5351415[[#This Row],[New Orders ex Transport]]-B326)/B326</f>
        <v/>
      </c>
    </row>
    <row r="328">
      <c r="A328" s="74" t="n">
        <v>43435</v>
      </c>
      <c r="B328" s="75">
        <f>VLOOKUP(A328,Database!A:M,MATCH($A$1,Database!$A$1:$M$1,),)</f>
        <v/>
      </c>
      <c r="C328" s="113">
        <f>(Table5351415[[#This Row],[New Orders ex Transport]]-B327)/B327</f>
        <v/>
      </c>
    </row>
    <row r="329">
      <c r="A329" s="74" t="n">
        <v>43466</v>
      </c>
      <c r="B329" s="75">
        <f>VLOOKUP(A329,Database!A:M,MATCH($A$1,Database!$A$1:$M$1,),)</f>
        <v/>
      </c>
      <c r="C329" s="113">
        <f>(Table5351415[[#This Row],[New Orders ex Transport]]-B328)/B328</f>
        <v/>
      </c>
    </row>
    <row r="330">
      <c r="A330" s="74" t="n">
        <v>43497</v>
      </c>
      <c r="B330" s="75">
        <f>VLOOKUP(A330,Database!A:M,MATCH($A$1,Database!$A$1:$M$1,),)</f>
        <v/>
      </c>
      <c r="C330" s="113">
        <f>(Table5351415[[#This Row],[New Orders ex Transport]]-B329)/B329</f>
        <v/>
      </c>
    </row>
    <row r="331">
      <c r="A331" s="74" t="n">
        <v>43525</v>
      </c>
      <c r="B331" s="75">
        <f>VLOOKUP(A331,Database!A:M,MATCH($A$1,Database!$A$1:$M$1,),)</f>
        <v/>
      </c>
      <c r="C331" s="113">
        <f>(Table5351415[[#This Row],[New Orders ex Transport]]-B330)/B330</f>
        <v/>
      </c>
    </row>
    <row r="332">
      <c r="A332" s="74" t="n">
        <v>43556</v>
      </c>
      <c r="B332" s="75">
        <f>VLOOKUP(A332,Database!A:M,MATCH($A$1,Database!$A$1:$M$1,),)</f>
        <v/>
      </c>
      <c r="C332" s="113">
        <f>(Table5351415[[#This Row],[New Orders ex Transport]]-B331)/B331</f>
        <v/>
      </c>
    </row>
    <row r="333">
      <c r="A333" s="74" t="n">
        <v>43586</v>
      </c>
      <c r="B333" s="75">
        <f>VLOOKUP(A333,Database!A:M,MATCH($A$1,Database!$A$1:$M$1,),)</f>
        <v/>
      </c>
      <c r="C333" s="113">
        <f>(Table5351415[[#This Row],[New Orders ex Transport]]-B332)/B332</f>
        <v/>
      </c>
    </row>
    <row r="334">
      <c r="A334" s="74" t="n">
        <v>43617</v>
      </c>
      <c r="B334" s="75">
        <f>VLOOKUP(A334,Database!A:M,MATCH($A$1,Database!$A$1:$M$1,),)</f>
        <v/>
      </c>
      <c r="C334" s="113">
        <f>(Table5351415[[#This Row],[New Orders ex Transport]]-B333)/B333</f>
        <v/>
      </c>
    </row>
    <row r="335">
      <c r="A335" s="74" t="n">
        <v>43647</v>
      </c>
      <c r="B335" s="75">
        <f>VLOOKUP(A335,Database!A:M,MATCH($A$1,Database!$A$1:$M$1,),)</f>
        <v/>
      </c>
      <c r="C335" s="113">
        <f>(Table5351415[[#This Row],[New Orders ex Transport]]-B334)/B334</f>
        <v/>
      </c>
    </row>
    <row r="336">
      <c r="A336" s="74" t="n">
        <v>43678</v>
      </c>
      <c r="B336" s="75">
        <f>VLOOKUP(A336,Database!A:M,MATCH($A$1,Database!$A$1:$M$1,),)</f>
        <v/>
      </c>
      <c r="C336" s="113">
        <f>(Table5351415[[#This Row],[New Orders ex Transport]]-B335)/B335</f>
        <v/>
      </c>
    </row>
    <row r="337">
      <c r="A337" s="74" t="n">
        <v>43709</v>
      </c>
      <c r="B337" s="75">
        <f>VLOOKUP(A337,Database!A:M,MATCH($A$1,Database!$A$1:$M$1,),)</f>
        <v/>
      </c>
      <c r="C337" s="113">
        <f>(Table5351415[[#This Row],[New Orders ex Transport]]-B336)/B336</f>
        <v/>
      </c>
    </row>
    <row r="338">
      <c r="A338" s="74" t="n">
        <v>43739</v>
      </c>
      <c r="B338" s="75">
        <f>VLOOKUP(A338,Database!A:M,MATCH($A$1,Database!$A$1:$M$1,),)</f>
        <v/>
      </c>
      <c r="C338" s="113">
        <f>(Table5351415[[#This Row],[New Orders ex Transport]]-B337)/B337</f>
        <v/>
      </c>
    </row>
    <row r="339">
      <c r="A339" s="74" t="n">
        <v>43770</v>
      </c>
      <c r="B339" s="75">
        <f>VLOOKUP(A339,Database!A:M,MATCH($A$1,Database!$A$1:$M$1,),)</f>
        <v/>
      </c>
      <c r="C339" s="113">
        <f>(Table5351415[[#This Row],[New Orders ex Transport]]-B338)/B338</f>
        <v/>
      </c>
    </row>
    <row r="340">
      <c r="A340" s="74" t="n">
        <v>43800</v>
      </c>
      <c r="B340" s="75">
        <f>VLOOKUP(A340,Database!A:M,MATCH($A$1,Database!$A$1:$M$1,),)</f>
        <v/>
      </c>
      <c r="C340" s="113">
        <f>(Table5351415[[#This Row],[New Orders ex Transport]]-B339)/B339</f>
        <v/>
      </c>
    </row>
    <row r="341">
      <c r="A341" s="74" t="n">
        <v>43831</v>
      </c>
      <c r="B341" s="75">
        <f>VLOOKUP(A341,Database!A:M,MATCH($A$1,Database!$A$1:$M$1,),)</f>
        <v/>
      </c>
      <c r="C341" s="113">
        <f>(Table5351415[[#This Row],[New Orders ex Transport]]-B340)/B340</f>
        <v/>
      </c>
    </row>
    <row r="342">
      <c r="A342" s="74" t="n">
        <v>43862</v>
      </c>
      <c r="B342" s="75">
        <f>VLOOKUP(A342,Database!A:M,MATCH($A$1,Database!$A$1:$M$1,),)</f>
        <v/>
      </c>
      <c r="C342" s="113">
        <f>(Table5351415[[#This Row],[New Orders ex Transport]]-B341)/B341</f>
        <v/>
      </c>
    </row>
    <row r="343">
      <c r="A343" s="74" t="n">
        <v>43891</v>
      </c>
      <c r="B343" s="75">
        <f>VLOOKUP(A343,Database!A:M,MATCH($A$1,Database!$A$1:$M$1,),)</f>
        <v/>
      </c>
      <c r="C343" s="113">
        <f>(Table5351415[[#This Row],[New Orders ex Transport]]-B342)/B342</f>
        <v/>
      </c>
    </row>
    <row r="344">
      <c r="A344" s="74" t="n">
        <v>43922</v>
      </c>
      <c r="B344" s="75">
        <f>VLOOKUP(A344,Database!A:M,MATCH($A$1,Database!$A$1:$M$1,),)</f>
        <v/>
      </c>
      <c r="C344" s="113">
        <f>(Table5351415[[#This Row],[New Orders ex Transport]]-B343)/B343</f>
        <v/>
      </c>
    </row>
    <row r="345">
      <c r="A345" s="74" t="n">
        <v>43952</v>
      </c>
      <c r="B345" s="75">
        <f>VLOOKUP(A345,Database!A:M,MATCH($A$1,Database!$A$1:$M$1,),)</f>
        <v/>
      </c>
      <c r="C345" s="113">
        <f>(Table5351415[[#This Row],[New Orders ex Transport]]-B344)/B344</f>
        <v/>
      </c>
    </row>
    <row r="346">
      <c r="A346" s="74" t="n">
        <v>43983</v>
      </c>
      <c r="B346" s="75">
        <f>VLOOKUP(A346,Database!A:M,MATCH($A$1,Database!$A$1:$M$1,),)</f>
        <v/>
      </c>
      <c r="C346" s="113">
        <f>(Table5351415[[#This Row],[New Orders ex Transport]]-B345)/B345</f>
        <v/>
      </c>
    </row>
    <row r="347">
      <c r="A347" s="74" t="n">
        <v>44013</v>
      </c>
      <c r="B347" s="75">
        <f>VLOOKUP(A347,Database!A:M,MATCH($A$1,Database!$A$1:$M$1,),)</f>
        <v/>
      </c>
      <c r="C347" s="113">
        <f>(Table5351415[[#This Row],[New Orders ex Transport]]-B346)/B346</f>
        <v/>
      </c>
    </row>
    <row r="348">
      <c r="A348" s="74" t="n">
        <v>44044</v>
      </c>
      <c r="B348" s="75">
        <f>VLOOKUP(A348,Database!A:M,MATCH($A$1,Database!$A$1:$M$1,),)</f>
        <v/>
      </c>
      <c r="C348" s="113">
        <f>(Table5351415[[#This Row],[New Orders ex Transport]]-B347)/B347</f>
        <v/>
      </c>
    </row>
    <row r="349">
      <c r="A349" s="74" t="n">
        <v>44075</v>
      </c>
      <c r="B349" s="75">
        <f>VLOOKUP(A349,Database!A:M,MATCH($A$1,Database!$A$1:$M$1,),)</f>
        <v/>
      </c>
      <c r="C349" s="113">
        <f>(Table5351415[[#This Row],[New Orders ex Transport]]-B348)/B348</f>
        <v/>
      </c>
    </row>
    <row r="350">
      <c r="A350" s="74" t="n">
        <v>44105</v>
      </c>
      <c r="B350" s="75">
        <f>VLOOKUP(A350,Database!A:M,MATCH($A$1,Database!$A$1:$M$1,),)</f>
        <v/>
      </c>
      <c r="C350" s="113">
        <f>(Table5351415[[#This Row],[New Orders ex Transport]]-B349)/B349</f>
        <v/>
      </c>
    </row>
    <row r="351">
      <c r="A351" s="74" t="n">
        <v>44136</v>
      </c>
      <c r="B351" s="75">
        <f>VLOOKUP(A351,Database!A:M,MATCH($A$1,Database!$A$1:$M$1,),)</f>
        <v/>
      </c>
      <c r="C351" s="113">
        <f>(Table5351415[[#This Row],[New Orders ex Transport]]-B350)/B350</f>
        <v/>
      </c>
    </row>
    <row r="352">
      <c r="A352" s="74" t="n">
        <v>44166</v>
      </c>
      <c r="B352" s="75">
        <f>VLOOKUP(A352,Database!A:M,MATCH($A$1,Database!$A$1:$M$1,),)</f>
        <v/>
      </c>
      <c r="C352" s="113">
        <f>(Table5351415[[#This Row],[New Orders ex Transport]]-B351)/B351</f>
        <v/>
      </c>
    </row>
    <row r="353">
      <c r="A353" s="74" t="n">
        <v>44197</v>
      </c>
      <c r="B353" s="75">
        <f>VLOOKUP(A353,Database!A:M,MATCH($A$1,Database!$A$1:$M$1,),)</f>
        <v/>
      </c>
      <c r="C353" s="113">
        <f>(Table5351415[[#This Row],[New Orders ex Transport]]-B352)/B352</f>
        <v/>
      </c>
    </row>
    <row r="354">
      <c r="A354" s="74" t="n">
        <v>44228</v>
      </c>
      <c r="B354" s="75">
        <f>VLOOKUP(A354,Database!A:M,MATCH($A$1,Database!$A$1:$M$1,),)</f>
        <v/>
      </c>
      <c r="C354" s="113">
        <f>(Table5351415[[#This Row],[New Orders ex Transport]]-B353)/B353</f>
        <v/>
      </c>
    </row>
    <row r="355">
      <c r="A355" s="74" t="n">
        <v>44256</v>
      </c>
      <c r="B355" s="75">
        <f>VLOOKUP(A355,Database!A:M,MATCH($A$1,Database!$A$1:$M$1,),)</f>
        <v/>
      </c>
      <c r="C355" s="113">
        <f>(Table5351415[[#This Row],[New Orders ex Transport]]-B354)/B354</f>
        <v/>
      </c>
    </row>
    <row r="356">
      <c r="A356" s="74" t="n">
        <v>44287</v>
      </c>
      <c r="B356" s="75">
        <f>VLOOKUP(A356,Database!A:M,MATCH($A$1,Database!$A$1:$M$1,),)</f>
        <v/>
      </c>
      <c r="C356" s="113">
        <f>(Table5351415[[#This Row],[New Orders ex Transport]]-B355)/B355</f>
        <v/>
      </c>
    </row>
    <row r="357">
      <c r="A357" s="74" t="n">
        <v>44317</v>
      </c>
      <c r="B357" s="75">
        <f>VLOOKUP(A357,Database!A:M,MATCH($A$1,Database!$A$1:$M$1,),)</f>
        <v/>
      </c>
      <c r="C357" s="113">
        <f>(Table5351415[[#This Row],[New Orders ex Transport]]-B356)/B356</f>
        <v/>
      </c>
    </row>
    <row r="358">
      <c r="A358" s="74" t="n">
        <v>44348</v>
      </c>
      <c r="B358" s="75">
        <f>VLOOKUP(A358,Database!A:M,MATCH($A$1,Database!$A$1:$M$1,),)</f>
        <v/>
      </c>
      <c r="C358" s="113">
        <f>(Table5351415[[#This Row],[New Orders ex Transport]]-B357)/B357</f>
        <v/>
      </c>
    </row>
    <row r="359">
      <c r="A359" s="74" t="n">
        <v>44378</v>
      </c>
      <c r="B359" s="75">
        <f>VLOOKUP(A359,Database!A:M,MATCH($A$1,Database!$A$1:$M$1,),)</f>
        <v/>
      </c>
      <c r="C359" s="113">
        <f>(Table5351415[[#This Row],[New Orders ex Transport]]-B358)/B358</f>
        <v/>
      </c>
    </row>
    <row r="360">
      <c r="A360" s="74" t="n">
        <v>44409</v>
      </c>
      <c r="B360" s="75">
        <f>VLOOKUP(A360,Database!A:M,MATCH($A$1,Database!$A$1:$M$1,),)</f>
        <v/>
      </c>
      <c r="C360" s="113">
        <f>(Table5351415[[#This Row],[New Orders ex Transport]]-B359)/B359</f>
        <v/>
      </c>
    </row>
    <row r="361">
      <c r="A361" s="74" t="n">
        <v>44440</v>
      </c>
      <c r="B361" s="75">
        <f>VLOOKUP(A361,Database!A:M,MATCH($A$1,Database!$A$1:$M$1,),)</f>
        <v/>
      </c>
      <c r="C361" s="113">
        <f>(Table5351415[[#This Row],[New Orders ex Transport]]-B360)/B360</f>
        <v/>
      </c>
    </row>
    <row r="362">
      <c r="A362" s="74" t="n">
        <v>44470</v>
      </c>
      <c r="B362" s="75">
        <f>VLOOKUP(A362,Database!A:M,MATCH($A$1,Database!$A$1:$M$1,),)</f>
        <v/>
      </c>
      <c r="C362" s="113">
        <f>(Table5351415[[#This Row],[New Orders ex Transport]]-B361)/B361</f>
        <v/>
      </c>
    </row>
    <row r="363">
      <c r="A363" s="74" t="n">
        <v>44501</v>
      </c>
      <c r="B363" s="75">
        <f>VLOOKUP(A363,Database!A:M,MATCH($A$1,Database!$A$1:$M$1,),)</f>
        <v/>
      </c>
      <c r="C363" s="113">
        <f>(Table5351415[[#This Row],[New Orders ex Transport]]-B362)/B362</f>
        <v/>
      </c>
    </row>
    <row r="364">
      <c r="A364" s="74" t="n">
        <v>44531</v>
      </c>
      <c r="B364" s="75">
        <f>VLOOKUP(A364,Database!A:M,MATCH($A$1,Database!$A$1:$M$1,),)</f>
        <v/>
      </c>
      <c r="C364" s="113">
        <f>(Table5351415[[#This Row],[New Orders ex Transport]]-B363)/B363</f>
        <v/>
      </c>
    </row>
    <row r="365">
      <c r="A365" s="74" t="n">
        <v>44562</v>
      </c>
      <c r="B365" s="75">
        <f>VLOOKUP(A365,Database!A:M,MATCH($A$1,Database!$A$1:$M$1,),)</f>
        <v/>
      </c>
      <c r="C365" s="113">
        <f>(Table5351415[[#This Row],[New Orders ex Transport]]-B364)/B364</f>
        <v/>
      </c>
    </row>
    <row r="366">
      <c r="A366" s="74" t="n">
        <v>44593</v>
      </c>
      <c r="B366" s="75">
        <f>VLOOKUP(A366,Database!A:M,MATCH($A$1,Database!$A$1:$M$1,),)</f>
        <v/>
      </c>
      <c r="C366" s="113">
        <f>(Table5351415[[#This Row],[New Orders ex Transport]]-B365)/B365</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66"/>
  <sheetViews>
    <sheetView zoomScale="150" zoomScaleNormal="150" workbookViewId="0">
      <pane ySplit="5" topLeftCell="A360" activePane="bottomLeft" state="frozen"/>
      <selection activeCell="Q21" sqref="Q21"/>
      <selection pane="bottomLeft" activeCell="F371" sqref="F371"/>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85" t="inlineStr">
        <is>
          <t>AMTUNO</t>
        </is>
      </c>
      <c r="B1" s="140">
        <f>VLOOKUP(A1,Note!U16:V25,2,)</f>
        <v/>
      </c>
      <c r="G1" s="84" t="inlineStr">
        <is>
          <t>*Modify name from Note List</t>
        </is>
      </c>
    </row>
    <row r="2" ht="15" customHeight="1" s="142">
      <c r="A2" s="71" t="n"/>
      <c r="B2" s="68" t="n"/>
      <c r="C2" s="69" t="n"/>
      <c r="G2" s="84" t="inlineStr">
        <is>
          <t>example AMTUNO for Manufacturing</t>
        </is>
      </c>
    </row>
    <row r="3">
      <c r="B3" s="68" t="n"/>
      <c r="C3" s="69" t="n"/>
    </row>
    <row r="4" ht="16" customHeight="1" s="142" thickBot="1"/>
    <row r="5" ht="68.25" customHeight="1" s="142" thickBot="1">
      <c r="A5" s="88" t="inlineStr">
        <is>
          <t>Date</t>
        </is>
      </c>
      <c r="B5" s="89" t="inlineStr">
        <is>
          <t>Durable Goods</t>
        </is>
      </c>
      <c r="C5" s="114" t="inlineStr">
        <is>
          <t>mom %</t>
        </is>
      </c>
    </row>
    <row r="6">
      <c r="A6" s="86" t="n">
        <v>33635</v>
      </c>
      <c r="B6" s="87">
        <f>VLOOKUP(A6,Database!A:M,MATCH($A$1,Database!$A$1:$M$1,),)</f>
        <v/>
      </c>
      <c r="C6" s="115" t="n"/>
    </row>
    <row r="7">
      <c r="A7" s="74" t="n">
        <v>33664</v>
      </c>
      <c r="B7" s="75">
        <f>VLOOKUP(A7,Database!A:M,MATCH($A$1,Database!$A$1:$M$1,),)</f>
        <v/>
      </c>
      <c r="C7" s="113">
        <f>(Table535141516[[#This Row],[Durable Goods]]-B6)/B6</f>
        <v/>
      </c>
    </row>
    <row r="8">
      <c r="A8" s="74" t="n">
        <v>33695</v>
      </c>
      <c r="B8" s="75">
        <f>VLOOKUP(A8,Database!A:M,MATCH($A$1,Database!$A$1:$M$1,),)</f>
        <v/>
      </c>
      <c r="C8" s="113">
        <f>(Table535141516[[#This Row],[Durable Goods]]-B7)/B7</f>
        <v/>
      </c>
    </row>
    <row r="9">
      <c r="A9" s="74" t="n">
        <v>33725</v>
      </c>
      <c r="B9" s="75">
        <f>VLOOKUP(A9,Database!A:M,MATCH($A$1,Database!$A$1:$M$1,),)</f>
        <v/>
      </c>
      <c r="C9" s="113">
        <f>(Table535141516[[#This Row],[Durable Goods]]-B8)/B8</f>
        <v/>
      </c>
    </row>
    <row r="10">
      <c r="A10" s="74" t="n">
        <v>33756</v>
      </c>
      <c r="B10" s="75">
        <f>VLOOKUP(A10,Database!A:M,MATCH($A$1,Database!$A$1:$M$1,),)</f>
        <v/>
      </c>
      <c r="C10" s="113">
        <f>(Table535141516[[#This Row],[Durable Goods]]-B9)/B9</f>
        <v/>
      </c>
    </row>
    <row r="11">
      <c r="A11" s="74" t="n">
        <v>33786</v>
      </c>
      <c r="B11" s="75">
        <f>VLOOKUP(A11,Database!A:M,MATCH($A$1,Database!$A$1:$M$1,),)</f>
        <v/>
      </c>
      <c r="C11" s="113">
        <f>(Table535141516[[#This Row],[Durable Goods]]-B10)/B10</f>
        <v/>
      </c>
    </row>
    <row r="12">
      <c r="A12" s="74" t="n">
        <v>33817</v>
      </c>
      <c r="B12" s="75">
        <f>VLOOKUP(A12,Database!A:M,MATCH($A$1,Database!$A$1:$M$1,),)</f>
        <v/>
      </c>
      <c r="C12" s="113">
        <f>(Table535141516[[#This Row],[Durable Goods]]-B11)/B11</f>
        <v/>
      </c>
    </row>
    <row r="13">
      <c r="A13" s="74" t="n">
        <v>33848</v>
      </c>
      <c r="B13" s="75">
        <f>VLOOKUP(A13,Database!A:M,MATCH($A$1,Database!$A$1:$M$1,),)</f>
        <v/>
      </c>
      <c r="C13" s="113">
        <f>(Table535141516[[#This Row],[Durable Goods]]-B12)/B12</f>
        <v/>
      </c>
    </row>
    <row r="14">
      <c r="A14" s="74" t="n">
        <v>33878</v>
      </c>
      <c r="B14" s="75">
        <f>VLOOKUP(A14,Database!A:M,MATCH($A$1,Database!$A$1:$M$1,),)</f>
        <v/>
      </c>
      <c r="C14" s="113">
        <f>(Table535141516[[#This Row],[Durable Goods]]-B13)/B13</f>
        <v/>
      </c>
    </row>
    <row r="15">
      <c r="A15" s="74" t="n">
        <v>33909</v>
      </c>
      <c r="B15" s="75">
        <f>VLOOKUP(A15,Database!A:M,MATCH($A$1,Database!$A$1:$M$1,),)</f>
        <v/>
      </c>
      <c r="C15" s="113">
        <f>(Table535141516[[#This Row],[Durable Goods]]-B14)/B14</f>
        <v/>
      </c>
    </row>
    <row r="16">
      <c r="A16" s="74" t="n">
        <v>33939</v>
      </c>
      <c r="B16" s="75">
        <f>VLOOKUP(A16,Database!A:M,MATCH($A$1,Database!$A$1:$M$1,),)</f>
        <v/>
      </c>
      <c r="C16" s="113">
        <f>(Table535141516[[#This Row],[Durable Goods]]-B15)/B15</f>
        <v/>
      </c>
    </row>
    <row r="17">
      <c r="A17" s="74" t="n">
        <v>33970</v>
      </c>
      <c r="B17" s="75">
        <f>VLOOKUP(A17,Database!A:M,MATCH($A$1,Database!$A$1:$M$1,),)</f>
        <v/>
      </c>
      <c r="C17" s="113">
        <f>(Table535141516[[#This Row],[Durable Goods]]-B16)/B16</f>
        <v/>
      </c>
    </row>
    <row r="18">
      <c r="A18" s="74" t="n">
        <v>34001</v>
      </c>
      <c r="B18" s="75">
        <f>VLOOKUP(A18,Database!A:M,MATCH($A$1,Database!$A$1:$M$1,),)</f>
        <v/>
      </c>
      <c r="C18" s="113">
        <f>(Table535141516[[#This Row],[Durable Goods]]-B17)/B17</f>
        <v/>
      </c>
    </row>
    <row r="19">
      <c r="A19" s="74" t="n">
        <v>34029</v>
      </c>
      <c r="B19" s="75">
        <f>VLOOKUP(A19,Database!A:M,MATCH($A$1,Database!$A$1:$M$1,),)</f>
        <v/>
      </c>
      <c r="C19" s="113">
        <f>(Table535141516[[#This Row],[Durable Goods]]-B18)/B18</f>
        <v/>
      </c>
    </row>
    <row r="20">
      <c r="A20" s="74" t="n">
        <v>34060</v>
      </c>
      <c r="B20" s="75">
        <f>VLOOKUP(A20,Database!A:M,MATCH($A$1,Database!$A$1:$M$1,),)</f>
        <v/>
      </c>
      <c r="C20" s="113">
        <f>(Table535141516[[#This Row],[Durable Goods]]-B19)/B19</f>
        <v/>
      </c>
    </row>
    <row r="21">
      <c r="A21" s="74" t="n">
        <v>34090</v>
      </c>
      <c r="B21" s="75">
        <f>VLOOKUP(A21,Database!A:M,MATCH($A$1,Database!$A$1:$M$1,),)</f>
        <v/>
      </c>
      <c r="C21" s="113">
        <f>(Table535141516[[#This Row],[Durable Goods]]-B20)/B20</f>
        <v/>
      </c>
    </row>
    <row r="22">
      <c r="A22" s="74" t="n">
        <v>34121</v>
      </c>
      <c r="B22" s="75">
        <f>VLOOKUP(A22,Database!A:M,MATCH($A$1,Database!$A$1:$M$1,),)</f>
        <v/>
      </c>
      <c r="C22" s="113">
        <f>(Table535141516[[#This Row],[Durable Goods]]-B21)/B21</f>
        <v/>
      </c>
    </row>
    <row r="23">
      <c r="A23" s="74" t="n">
        <v>34151</v>
      </c>
      <c r="B23" s="75">
        <f>VLOOKUP(A23,Database!A:M,MATCH($A$1,Database!$A$1:$M$1,),)</f>
        <v/>
      </c>
      <c r="C23" s="113">
        <f>(Table535141516[[#This Row],[Durable Goods]]-B22)/B22</f>
        <v/>
      </c>
    </row>
    <row r="24">
      <c r="A24" s="74" t="n">
        <v>34182</v>
      </c>
      <c r="B24" s="75">
        <f>VLOOKUP(A24,Database!A:M,MATCH($A$1,Database!$A$1:$M$1,),)</f>
        <v/>
      </c>
      <c r="C24" s="113">
        <f>(Table535141516[[#This Row],[Durable Goods]]-B23)/B23</f>
        <v/>
      </c>
    </row>
    <row r="25">
      <c r="A25" s="74" t="n">
        <v>34213</v>
      </c>
      <c r="B25" s="75">
        <f>VLOOKUP(A25,Database!A:M,MATCH($A$1,Database!$A$1:$M$1,),)</f>
        <v/>
      </c>
      <c r="C25" s="113">
        <f>(Table535141516[[#This Row],[Durable Goods]]-B24)/B24</f>
        <v/>
      </c>
    </row>
    <row r="26">
      <c r="A26" s="74" t="n">
        <v>34243</v>
      </c>
      <c r="B26" s="75">
        <f>VLOOKUP(A26,Database!A:M,MATCH($A$1,Database!$A$1:$M$1,),)</f>
        <v/>
      </c>
      <c r="C26" s="113">
        <f>(Table535141516[[#This Row],[Durable Goods]]-B25)/B25</f>
        <v/>
      </c>
    </row>
    <row r="27">
      <c r="A27" s="74" t="n">
        <v>34274</v>
      </c>
      <c r="B27" s="75">
        <f>VLOOKUP(A27,Database!A:M,MATCH($A$1,Database!$A$1:$M$1,),)</f>
        <v/>
      </c>
      <c r="C27" s="113">
        <f>(Table535141516[[#This Row],[Durable Goods]]-B26)/B26</f>
        <v/>
      </c>
    </row>
    <row r="28">
      <c r="A28" s="74" t="n">
        <v>34304</v>
      </c>
      <c r="B28" s="75">
        <f>VLOOKUP(A28,Database!A:M,MATCH($A$1,Database!$A$1:$M$1,),)</f>
        <v/>
      </c>
      <c r="C28" s="113">
        <f>(Table535141516[[#This Row],[Durable Goods]]-B27)/B27</f>
        <v/>
      </c>
    </row>
    <row r="29">
      <c r="A29" s="74" t="n">
        <v>34335</v>
      </c>
      <c r="B29" s="75">
        <f>VLOOKUP(A29,Database!A:M,MATCH($A$1,Database!$A$1:$M$1,),)</f>
        <v/>
      </c>
      <c r="C29" s="113">
        <f>(Table535141516[[#This Row],[Durable Goods]]-B28)/B28</f>
        <v/>
      </c>
    </row>
    <row r="30">
      <c r="A30" s="74" t="n">
        <v>34366</v>
      </c>
      <c r="B30" s="75">
        <f>VLOOKUP(A30,Database!A:M,MATCH($A$1,Database!$A$1:$M$1,),)</f>
        <v/>
      </c>
      <c r="C30" s="113">
        <f>(Table535141516[[#This Row],[Durable Goods]]-B29)/B29</f>
        <v/>
      </c>
    </row>
    <row r="31">
      <c r="A31" s="74" t="n">
        <v>34394</v>
      </c>
      <c r="B31" s="75">
        <f>VLOOKUP(A31,Database!A:M,MATCH($A$1,Database!$A$1:$M$1,),)</f>
        <v/>
      </c>
      <c r="C31" s="113">
        <f>(Table535141516[[#This Row],[Durable Goods]]-B30)/B30</f>
        <v/>
      </c>
    </row>
    <row r="32">
      <c r="A32" s="74" t="n">
        <v>34425</v>
      </c>
      <c r="B32" s="75">
        <f>VLOOKUP(A32,Database!A:M,MATCH($A$1,Database!$A$1:$M$1,),)</f>
        <v/>
      </c>
      <c r="C32" s="113">
        <f>(Table535141516[[#This Row],[Durable Goods]]-B31)/B31</f>
        <v/>
      </c>
    </row>
    <row r="33">
      <c r="A33" s="74" t="n">
        <v>34455</v>
      </c>
      <c r="B33" s="75">
        <f>VLOOKUP(A33,Database!A:M,MATCH($A$1,Database!$A$1:$M$1,),)</f>
        <v/>
      </c>
      <c r="C33" s="113">
        <f>(Table535141516[[#This Row],[Durable Goods]]-B32)/B32</f>
        <v/>
      </c>
    </row>
    <row r="34">
      <c r="A34" s="74" t="n">
        <v>34486</v>
      </c>
      <c r="B34" s="75">
        <f>VLOOKUP(A34,Database!A:M,MATCH($A$1,Database!$A$1:$M$1,),)</f>
        <v/>
      </c>
      <c r="C34" s="113">
        <f>(Table535141516[[#This Row],[Durable Goods]]-B33)/B33</f>
        <v/>
      </c>
    </row>
    <row r="35">
      <c r="A35" s="74" t="n">
        <v>34516</v>
      </c>
      <c r="B35" s="75">
        <f>VLOOKUP(A35,Database!A:M,MATCH($A$1,Database!$A$1:$M$1,),)</f>
        <v/>
      </c>
      <c r="C35" s="113">
        <f>(Table535141516[[#This Row],[Durable Goods]]-B34)/B34</f>
        <v/>
      </c>
    </row>
    <row r="36">
      <c r="A36" s="74" t="n">
        <v>34547</v>
      </c>
      <c r="B36" s="75">
        <f>VLOOKUP(A36,Database!A:M,MATCH($A$1,Database!$A$1:$M$1,),)</f>
        <v/>
      </c>
      <c r="C36" s="113">
        <f>(Table535141516[[#This Row],[Durable Goods]]-B35)/B35</f>
        <v/>
      </c>
    </row>
    <row r="37">
      <c r="A37" s="74" t="n">
        <v>34578</v>
      </c>
      <c r="B37" s="75">
        <f>VLOOKUP(A37,Database!A:M,MATCH($A$1,Database!$A$1:$M$1,),)</f>
        <v/>
      </c>
      <c r="C37" s="113">
        <f>(Table535141516[[#This Row],[Durable Goods]]-B36)/B36</f>
        <v/>
      </c>
    </row>
    <row r="38">
      <c r="A38" s="74" t="n">
        <v>34608</v>
      </c>
      <c r="B38" s="75">
        <f>VLOOKUP(A38,Database!A:M,MATCH($A$1,Database!$A$1:$M$1,),)</f>
        <v/>
      </c>
      <c r="C38" s="113">
        <f>(Table535141516[[#This Row],[Durable Goods]]-B37)/B37</f>
        <v/>
      </c>
    </row>
    <row r="39">
      <c r="A39" s="74" t="n">
        <v>34639</v>
      </c>
      <c r="B39" s="75">
        <f>VLOOKUP(A39,Database!A:M,MATCH($A$1,Database!$A$1:$M$1,),)</f>
        <v/>
      </c>
      <c r="C39" s="113">
        <f>(Table535141516[[#This Row],[Durable Goods]]-B38)/B38</f>
        <v/>
      </c>
    </row>
    <row r="40">
      <c r="A40" s="74" t="n">
        <v>34669</v>
      </c>
      <c r="B40" s="75">
        <f>VLOOKUP(A40,Database!A:M,MATCH($A$1,Database!$A$1:$M$1,),)</f>
        <v/>
      </c>
      <c r="C40" s="113">
        <f>(Table535141516[[#This Row],[Durable Goods]]-B39)/B39</f>
        <v/>
      </c>
    </row>
    <row r="41">
      <c r="A41" s="74" t="n">
        <v>34700</v>
      </c>
      <c r="B41" s="75">
        <f>VLOOKUP(A41,Database!A:M,MATCH($A$1,Database!$A$1:$M$1,),)</f>
        <v/>
      </c>
      <c r="C41" s="113">
        <f>(Table535141516[[#This Row],[Durable Goods]]-B40)/B40</f>
        <v/>
      </c>
    </row>
    <row r="42">
      <c r="A42" s="74" t="n">
        <v>34731</v>
      </c>
      <c r="B42" s="75">
        <f>VLOOKUP(A42,Database!A:M,MATCH($A$1,Database!$A$1:$M$1,),)</f>
        <v/>
      </c>
      <c r="C42" s="113">
        <f>(Table535141516[[#This Row],[Durable Goods]]-B41)/B41</f>
        <v/>
      </c>
    </row>
    <row r="43">
      <c r="A43" s="74" t="n">
        <v>34759</v>
      </c>
      <c r="B43" s="75">
        <f>VLOOKUP(A43,Database!A:M,MATCH($A$1,Database!$A$1:$M$1,),)</f>
        <v/>
      </c>
      <c r="C43" s="113">
        <f>(Table535141516[[#This Row],[Durable Goods]]-B42)/B42</f>
        <v/>
      </c>
    </row>
    <row r="44">
      <c r="A44" s="74" t="n">
        <v>34790</v>
      </c>
      <c r="B44" s="75">
        <f>VLOOKUP(A44,Database!A:M,MATCH($A$1,Database!$A$1:$M$1,),)</f>
        <v/>
      </c>
      <c r="C44" s="113">
        <f>(Table535141516[[#This Row],[Durable Goods]]-B43)/B43</f>
        <v/>
      </c>
    </row>
    <row r="45">
      <c r="A45" s="74" t="n">
        <v>34820</v>
      </c>
      <c r="B45" s="75">
        <f>VLOOKUP(A45,Database!A:M,MATCH($A$1,Database!$A$1:$M$1,),)</f>
        <v/>
      </c>
      <c r="C45" s="113">
        <f>(Table535141516[[#This Row],[Durable Goods]]-B44)/B44</f>
        <v/>
      </c>
    </row>
    <row r="46">
      <c r="A46" s="74" t="n">
        <v>34851</v>
      </c>
      <c r="B46" s="75">
        <f>VLOOKUP(A46,Database!A:M,MATCH($A$1,Database!$A$1:$M$1,),)</f>
        <v/>
      </c>
      <c r="C46" s="113">
        <f>(Table535141516[[#This Row],[Durable Goods]]-B45)/B45</f>
        <v/>
      </c>
    </row>
    <row r="47">
      <c r="A47" s="74" t="n">
        <v>34881</v>
      </c>
      <c r="B47" s="75">
        <f>VLOOKUP(A47,Database!A:M,MATCH($A$1,Database!$A$1:$M$1,),)</f>
        <v/>
      </c>
      <c r="C47" s="113">
        <f>(Table535141516[[#This Row],[Durable Goods]]-B46)/B46</f>
        <v/>
      </c>
    </row>
    <row r="48">
      <c r="A48" s="74" t="n">
        <v>34912</v>
      </c>
      <c r="B48" s="75">
        <f>VLOOKUP(A48,Database!A:M,MATCH($A$1,Database!$A$1:$M$1,),)</f>
        <v/>
      </c>
      <c r="C48" s="113">
        <f>(Table535141516[[#This Row],[Durable Goods]]-B47)/B47</f>
        <v/>
      </c>
    </row>
    <row r="49">
      <c r="A49" s="74" t="n">
        <v>34943</v>
      </c>
      <c r="B49" s="75">
        <f>VLOOKUP(A49,Database!A:M,MATCH($A$1,Database!$A$1:$M$1,),)</f>
        <v/>
      </c>
      <c r="C49" s="113">
        <f>(Table535141516[[#This Row],[Durable Goods]]-B48)/B48</f>
        <v/>
      </c>
    </row>
    <row r="50">
      <c r="A50" s="74" t="n">
        <v>34973</v>
      </c>
      <c r="B50" s="75">
        <f>VLOOKUP(A50,Database!A:M,MATCH($A$1,Database!$A$1:$M$1,),)</f>
        <v/>
      </c>
      <c r="C50" s="113">
        <f>(Table535141516[[#This Row],[Durable Goods]]-B49)/B49</f>
        <v/>
      </c>
    </row>
    <row r="51">
      <c r="A51" s="74" t="n">
        <v>35004</v>
      </c>
      <c r="B51" s="75">
        <f>VLOOKUP(A51,Database!A:M,MATCH($A$1,Database!$A$1:$M$1,),)</f>
        <v/>
      </c>
      <c r="C51" s="113">
        <f>(Table535141516[[#This Row],[Durable Goods]]-B50)/B50</f>
        <v/>
      </c>
    </row>
    <row r="52">
      <c r="A52" s="74" t="n">
        <v>35034</v>
      </c>
      <c r="B52" s="75">
        <f>VLOOKUP(A52,Database!A:M,MATCH($A$1,Database!$A$1:$M$1,),)</f>
        <v/>
      </c>
      <c r="C52" s="113">
        <f>(Table535141516[[#This Row],[Durable Goods]]-B51)/B51</f>
        <v/>
      </c>
    </row>
    <row r="53">
      <c r="A53" s="74" t="n">
        <v>35065</v>
      </c>
      <c r="B53" s="75">
        <f>VLOOKUP(A53,Database!A:M,MATCH($A$1,Database!$A$1:$M$1,),)</f>
        <v/>
      </c>
      <c r="C53" s="113">
        <f>(Table535141516[[#This Row],[Durable Goods]]-B52)/B52</f>
        <v/>
      </c>
    </row>
    <row r="54">
      <c r="A54" s="74" t="n">
        <v>35096</v>
      </c>
      <c r="B54" s="75">
        <f>VLOOKUP(A54,Database!A:M,MATCH($A$1,Database!$A$1:$M$1,),)</f>
        <v/>
      </c>
      <c r="C54" s="113">
        <f>(Table535141516[[#This Row],[Durable Goods]]-B53)/B53</f>
        <v/>
      </c>
    </row>
    <row r="55">
      <c r="A55" s="74" t="n">
        <v>35125</v>
      </c>
      <c r="B55" s="75">
        <f>VLOOKUP(A55,Database!A:M,MATCH($A$1,Database!$A$1:$M$1,),)</f>
        <v/>
      </c>
      <c r="C55" s="113">
        <f>(Table535141516[[#This Row],[Durable Goods]]-B54)/B54</f>
        <v/>
      </c>
    </row>
    <row r="56">
      <c r="A56" s="74" t="n">
        <v>35156</v>
      </c>
      <c r="B56" s="75">
        <f>VLOOKUP(A56,Database!A:M,MATCH($A$1,Database!$A$1:$M$1,),)</f>
        <v/>
      </c>
      <c r="C56" s="113">
        <f>(Table535141516[[#This Row],[Durable Goods]]-B55)/B55</f>
        <v/>
      </c>
    </row>
    <row r="57">
      <c r="A57" s="74" t="n">
        <v>35186</v>
      </c>
      <c r="B57" s="75">
        <f>VLOOKUP(A57,Database!A:M,MATCH($A$1,Database!$A$1:$M$1,),)</f>
        <v/>
      </c>
      <c r="C57" s="113">
        <f>(Table535141516[[#This Row],[Durable Goods]]-B56)/B56</f>
        <v/>
      </c>
    </row>
    <row r="58">
      <c r="A58" s="74" t="n">
        <v>35217</v>
      </c>
      <c r="B58" s="75">
        <f>VLOOKUP(A58,Database!A:M,MATCH($A$1,Database!$A$1:$M$1,),)</f>
        <v/>
      </c>
      <c r="C58" s="113">
        <f>(Table535141516[[#This Row],[Durable Goods]]-B57)/B57</f>
        <v/>
      </c>
    </row>
    <row r="59">
      <c r="A59" s="74" t="n">
        <v>35247</v>
      </c>
      <c r="B59" s="75">
        <f>VLOOKUP(A59,Database!A:M,MATCH($A$1,Database!$A$1:$M$1,),)</f>
        <v/>
      </c>
      <c r="C59" s="113">
        <f>(Table535141516[[#This Row],[Durable Goods]]-B58)/B58</f>
        <v/>
      </c>
    </row>
    <row r="60">
      <c r="A60" s="74" t="n">
        <v>35278</v>
      </c>
      <c r="B60" s="75">
        <f>VLOOKUP(A60,Database!A:M,MATCH($A$1,Database!$A$1:$M$1,),)</f>
        <v/>
      </c>
      <c r="C60" s="113">
        <f>(Table535141516[[#This Row],[Durable Goods]]-B59)/B59</f>
        <v/>
      </c>
    </row>
    <row r="61">
      <c r="A61" s="74" t="n">
        <v>35309</v>
      </c>
      <c r="B61" s="75">
        <f>VLOOKUP(A61,Database!A:M,MATCH($A$1,Database!$A$1:$M$1,),)</f>
        <v/>
      </c>
      <c r="C61" s="113">
        <f>(Table535141516[[#This Row],[Durable Goods]]-B60)/B60</f>
        <v/>
      </c>
    </row>
    <row r="62">
      <c r="A62" s="74" t="n">
        <v>35339</v>
      </c>
      <c r="B62" s="75">
        <f>VLOOKUP(A62,Database!A:M,MATCH($A$1,Database!$A$1:$M$1,),)</f>
        <v/>
      </c>
      <c r="C62" s="113">
        <f>(Table535141516[[#This Row],[Durable Goods]]-B61)/B61</f>
        <v/>
      </c>
    </row>
    <row r="63">
      <c r="A63" s="74" t="n">
        <v>35370</v>
      </c>
      <c r="B63" s="75">
        <f>VLOOKUP(A63,Database!A:M,MATCH($A$1,Database!$A$1:$M$1,),)</f>
        <v/>
      </c>
      <c r="C63" s="113">
        <f>(Table535141516[[#This Row],[Durable Goods]]-B62)/B62</f>
        <v/>
      </c>
    </row>
    <row r="64">
      <c r="A64" s="74" t="n">
        <v>35400</v>
      </c>
      <c r="B64" s="75">
        <f>VLOOKUP(A64,Database!A:M,MATCH($A$1,Database!$A$1:$M$1,),)</f>
        <v/>
      </c>
      <c r="C64" s="113">
        <f>(Table535141516[[#This Row],[Durable Goods]]-B63)/B63</f>
        <v/>
      </c>
    </row>
    <row r="65">
      <c r="A65" s="74" t="n">
        <v>35431</v>
      </c>
      <c r="B65" s="75">
        <f>VLOOKUP(A65,Database!A:M,MATCH($A$1,Database!$A$1:$M$1,),)</f>
        <v/>
      </c>
      <c r="C65" s="113">
        <f>(Table535141516[[#This Row],[Durable Goods]]-B64)/B64</f>
        <v/>
      </c>
    </row>
    <row r="66">
      <c r="A66" s="74" t="n">
        <v>35462</v>
      </c>
      <c r="B66" s="75">
        <f>VLOOKUP(A66,Database!A:M,MATCH($A$1,Database!$A$1:$M$1,),)</f>
        <v/>
      </c>
      <c r="C66" s="113">
        <f>(Table535141516[[#This Row],[Durable Goods]]-B65)/B65</f>
        <v/>
      </c>
    </row>
    <row r="67">
      <c r="A67" s="74" t="n">
        <v>35490</v>
      </c>
      <c r="B67" s="75">
        <f>VLOOKUP(A67,Database!A:M,MATCH($A$1,Database!$A$1:$M$1,),)</f>
        <v/>
      </c>
      <c r="C67" s="113">
        <f>(Table535141516[[#This Row],[Durable Goods]]-B66)/B66</f>
        <v/>
      </c>
    </row>
    <row r="68">
      <c r="A68" s="74" t="n">
        <v>35521</v>
      </c>
      <c r="B68" s="75">
        <f>VLOOKUP(A68,Database!A:M,MATCH($A$1,Database!$A$1:$M$1,),)</f>
        <v/>
      </c>
      <c r="C68" s="113">
        <f>(Table535141516[[#This Row],[Durable Goods]]-B67)/B67</f>
        <v/>
      </c>
    </row>
    <row r="69">
      <c r="A69" s="74" t="n">
        <v>35551</v>
      </c>
      <c r="B69" s="75">
        <f>VLOOKUP(A69,Database!A:M,MATCH($A$1,Database!$A$1:$M$1,),)</f>
        <v/>
      </c>
      <c r="C69" s="113">
        <f>(Table535141516[[#This Row],[Durable Goods]]-B68)/B68</f>
        <v/>
      </c>
    </row>
    <row r="70">
      <c r="A70" s="74" t="n">
        <v>35582</v>
      </c>
      <c r="B70" s="75">
        <f>VLOOKUP(A70,Database!A:M,MATCH($A$1,Database!$A$1:$M$1,),)</f>
        <v/>
      </c>
      <c r="C70" s="113">
        <f>(Table535141516[[#This Row],[Durable Goods]]-B69)/B69</f>
        <v/>
      </c>
    </row>
    <row r="71">
      <c r="A71" s="74" t="n">
        <v>35612</v>
      </c>
      <c r="B71" s="75">
        <f>VLOOKUP(A71,Database!A:M,MATCH($A$1,Database!$A$1:$M$1,),)</f>
        <v/>
      </c>
      <c r="C71" s="113">
        <f>(Table535141516[[#This Row],[Durable Goods]]-B70)/B70</f>
        <v/>
      </c>
    </row>
    <row r="72">
      <c r="A72" s="74" t="n">
        <v>35643</v>
      </c>
      <c r="B72" s="75">
        <f>VLOOKUP(A72,Database!A:M,MATCH($A$1,Database!$A$1:$M$1,),)</f>
        <v/>
      </c>
      <c r="C72" s="113">
        <f>(Table535141516[[#This Row],[Durable Goods]]-B71)/B71</f>
        <v/>
      </c>
    </row>
    <row r="73">
      <c r="A73" s="74" t="n">
        <v>35674</v>
      </c>
      <c r="B73" s="75">
        <f>VLOOKUP(A73,Database!A:M,MATCH($A$1,Database!$A$1:$M$1,),)</f>
        <v/>
      </c>
      <c r="C73" s="113">
        <f>(Table535141516[[#This Row],[Durable Goods]]-B72)/B72</f>
        <v/>
      </c>
    </row>
    <row r="74">
      <c r="A74" s="74" t="n">
        <v>35704</v>
      </c>
      <c r="B74" s="75">
        <f>VLOOKUP(A74,Database!A:M,MATCH($A$1,Database!$A$1:$M$1,),)</f>
        <v/>
      </c>
      <c r="C74" s="113">
        <f>(Table535141516[[#This Row],[Durable Goods]]-B73)/B73</f>
        <v/>
      </c>
    </row>
    <row r="75">
      <c r="A75" s="74" t="n">
        <v>35735</v>
      </c>
      <c r="B75" s="75">
        <f>VLOOKUP(A75,Database!A:M,MATCH($A$1,Database!$A$1:$M$1,),)</f>
        <v/>
      </c>
      <c r="C75" s="113">
        <f>(Table535141516[[#This Row],[Durable Goods]]-B74)/B74</f>
        <v/>
      </c>
    </row>
    <row r="76">
      <c r="A76" s="74" t="n">
        <v>35765</v>
      </c>
      <c r="B76" s="75">
        <f>VLOOKUP(A76,Database!A:M,MATCH($A$1,Database!$A$1:$M$1,),)</f>
        <v/>
      </c>
      <c r="C76" s="113">
        <f>(Table535141516[[#This Row],[Durable Goods]]-B75)/B75</f>
        <v/>
      </c>
    </row>
    <row r="77">
      <c r="A77" s="74" t="n">
        <v>35796</v>
      </c>
      <c r="B77" s="75">
        <f>VLOOKUP(A77,Database!A:M,MATCH($A$1,Database!$A$1:$M$1,),)</f>
        <v/>
      </c>
      <c r="C77" s="113">
        <f>(Table535141516[[#This Row],[Durable Goods]]-B76)/B76</f>
        <v/>
      </c>
    </row>
    <row r="78">
      <c r="A78" s="74" t="n">
        <v>35827</v>
      </c>
      <c r="B78" s="75">
        <f>VLOOKUP(A78,Database!A:M,MATCH($A$1,Database!$A$1:$M$1,),)</f>
        <v/>
      </c>
      <c r="C78" s="113">
        <f>(Table535141516[[#This Row],[Durable Goods]]-B77)/B77</f>
        <v/>
      </c>
    </row>
    <row r="79">
      <c r="A79" s="74" t="n">
        <v>35855</v>
      </c>
      <c r="B79" s="75">
        <f>VLOOKUP(A79,Database!A:M,MATCH($A$1,Database!$A$1:$M$1,),)</f>
        <v/>
      </c>
      <c r="C79" s="113">
        <f>(Table535141516[[#This Row],[Durable Goods]]-B78)/B78</f>
        <v/>
      </c>
    </row>
    <row r="80">
      <c r="A80" s="74" t="n">
        <v>35886</v>
      </c>
      <c r="B80" s="75">
        <f>VLOOKUP(A80,Database!A:M,MATCH($A$1,Database!$A$1:$M$1,),)</f>
        <v/>
      </c>
      <c r="C80" s="113">
        <f>(Table535141516[[#This Row],[Durable Goods]]-B79)/B79</f>
        <v/>
      </c>
    </row>
    <row r="81">
      <c r="A81" s="74" t="n">
        <v>35916</v>
      </c>
      <c r="B81" s="75">
        <f>VLOOKUP(A81,Database!A:M,MATCH($A$1,Database!$A$1:$M$1,),)</f>
        <v/>
      </c>
      <c r="C81" s="113">
        <f>(Table535141516[[#This Row],[Durable Goods]]-B80)/B80</f>
        <v/>
      </c>
    </row>
    <row r="82">
      <c r="A82" s="74" t="n">
        <v>35947</v>
      </c>
      <c r="B82" s="75">
        <f>VLOOKUP(A82,Database!A:M,MATCH($A$1,Database!$A$1:$M$1,),)</f>
        <v/>
      </c>
      <c r="C82" s="113">
        <f>(Table535141516[[#This Row],[Durable Goods]]-B81)/B81</f>
        <v/>
      </c>
    </row>
    <row r="83">
      <c r="A83" s="74" t="n">
        <v>35977</v>
      </c>
      <c r="B83" s="75">
        <f>VLOOKUP(A83,Database!A:M,MATCH($A$1,Database!$A$1:$M$1,),)</f>
        <v/>
      </c>
      <c r="C83" s="113">
        <f>(Table535141516[[#This Row],[Durable Goods]]-B82)/B82</f>
        <v/>
      </c>
    </row>
    <row r="84">
      <c r="A84" s="74" t="n">
        <v>36008</v>
      </c>
      <c r="B84" s="75">
        <f>VLOOKUP(A84,Database!A:M,MATCH($A$1,Database!$A$1:$M$1,),)</f>
        <v/>
      </c>
      <c r="C84" s="113">
        <f>(Table535141516[[#This Row],[Durable Goods]]-B83)/B83</f>
        <v/>
      </c>
    </row>
    <row r="85">
      <c r="A85" s="74" t="n">
        <v>36039</v>
      </c>
      <c r="B85" s="75">
        <f>VLOOKUP(A85,Database!A:M,MATCH($A$1,Database!$A$1:$M$1,),)</f>
        <v/>
      </c>
      <c r="C85" s="113">
        <f>(Table535141516[[#This Row],[Durable Goods]]-B84)/B84</f>
        <v/>
      </c>
    </row>
    <row r="86">
      <c r="A86" s="74" t="n">
        <v>36069</v>
      </c>
      <c r="B86" s="75">
        <f>VLOOKUP(A86,Database!A:M,MATCH($A$1,Database!$A$1:$M$1,),)</f>
        <v/>
      </c>
      <c r="C86" s="113">
        <f>(Table535141516[[#This Row],[Durable Goods]]-B85)/B85</f>
        <v/>
      </c>
    </row>
    <row r="87">
      <c r="A87" s="74" t="n">
        <v>36100</v>
      </c>
      <c r="B87" s="75">
        <f>VLOOKUP(A87,Database!A:M,MATCH($A$1,Database!$A$1:$M$1,),)</f>
        <v/>
      </c>
      <c r="C87" s="113">
        <f>(Table535141516[[#This Row],[Durable Goods]]-B86)/B86</f>
        <v/>
      </c>
    </row>
    <row r="88">
      <c r="A88" s="74" t="n">
        <v>36130</v>
      </c>
      <c r="B88" s="75">
        <f>VLOOKUP(A88,Database!A:M,MATCH($A$1,Database!$A$1:$M$1,),)</f>
        <v/>
      </c>
      <c r="C88" s="113">
        <f>(Table535141516[[#This Row],[Durable Goods]]-B87)/B87</f>
        <v/>
      </c>
    </row>
    <row r="89">
      <c r="A89" s="74" t="n">
        <v>36161</v>
      </c>
      <c r="B89" s="75">
        <f>VLOOKUP(A89,Database!A:M,MATCH($A$1,Database!$A$1:$M$1,),)</f>
        <v/>
      </c>
      <c r="C89" s="113">
        <f>(Table535141516[[#This Row],[Durable Goods]]-B88)/B88</f>
        <v/>
      </c>
    </row>
    <row r="90">
      <c r="A90" s="74" t="n">
        <v>36192</v>
      </c>
      <c r="B90" s="75">
        <f>VLOOKUP(A90,Database!A:M,MATCH($A$1,Database!$A$1:$M$1,),)</f>
        <v/>
      </c>
      <c r="C90" s="113">
        <f>(Table535141516[[#This Row],[Durable Goods]]-B89)/B89</f>
        <v/>
      </c>
    </row>
    <row r="91">
      <c r="A91" s="74" t="n">
        <v>36220</v>
      </c>
      <c r="B91" s="75">
        <f>VLOOKUP(A91,Database!A:M,MATCH($A$1,Database!$A$1:$M$1,),)</f>
        <v/>
      </c>
      <c r="C91" s="113">
        <f>(Table535141516[[#This Row],[Durable Goods]]-B90)/B90</f>
        <v/>
      </c>
    </row>
    <row r="92">
      <c r="A92" s="74" t="n">
        <v>36251</v>
      </c>
      <c r="B92" s="75">
        <f>VLOOKUP(A92,Database!A:M,MATCH($A$1,Database!$A$1:$M$1,),)</f>
        <v/>
      </c>
      <c r="C92" s="113">
        <f>(Table535141516[[#This Row],[Durable Goods]]-B91)/B91</f>
        <v/>
      </c>
    </row>
    <row r="93">
      <c r="A93" s="74" t="n">
        <v>36281</v>
      </c>
      <c r="B93" s="75">
        <f>VLOOKUP(A93,Database!A:M,MATCH($A$1,Database!$A$1:$M$1,),)</f>
        <v/>
      </c>
      <c r="C93" s="113">
        <f>(Table535141516[[#This Row],[Durable Goods]]-B92)/B92</f>
        <v/>
      </c>
    </row>
    <row r="94">
      <c r="A94" s="74" t="n">
        <v>36312</v>
      </c>
      <c r="B94" s="75">
        <f>VLOOKUP(A94,Database!A:M,MATCH($A$1,Database!$A$1:$M$1,),)</f>
        <v/>
      </c>
      <c r="C94" s="113">
        <f>(Table535141516[[#This Row],[Durable Goods]]-B93)/B93</f>
        <v/>
      </c>
    </row>
    <row r="95">
      <c r="A95" s="74" t="n">
        <v>36342</v>
      </c>
      <c r="B95" s="75">
        <f>VLOOKUP(A95,Database!A:M,MATCH($A$1,Database!$A$1:$M$1,),)</f>
        <v/>
      </c>
      <c r="C95" s="113">
        <f>(Table535141516[[#This Row],[Durable Goods]]-B94)/B94</f>
        <v/>
      </c>
    </row>
    <row r="96">
      <c r="A96" s="74" t="n">
        <v>36373</v>
      </c>
      <c r="B96" s="75">
        <f>VLOOKUP(A96,Database!A:M,MATCH($A$1,Database!$A$1:$M$1,),)</f>
        <v/>
      </c>
      <c r="C96" s="113">
        <f>(Table535141516[[#This Row],[Durable Goods]]-B95)/B95</f>
        <v/>
      </c>
    </row>
    <row r="97">
      <c r="A97" s="74" t="n">
        <v>36404</v>
      </c>
      <c r="B97" s="75">
        <f>VLOOKUP(A97,Database!A:M,MATCH($A$1,Database!$A$1:$M$1,),)</f>
        <v/>
      </c>
      <c r="C97" s="113">
        <f>(Table535141516[[#This Row],[Durable Goods]]-B96)/B96</f>
        <v/>
      </c>
    </row>
    <row r="98">
      <c r="A98" s="74" t="n">
        <v>36434</v>
      </c>
      <c r="B98" s="75">
        <f>VLOOKUP(A98,Database!A:M,MATCH($A$1,Database!$A$1:$M$1,),)</f>
        <v/>
      </c>
      <c r="C98" s="113">
        <f>(Table535141516[[#This Row],[Durable Goods]]-B97)/B97</f>
        <v/>
      </c>
    </row>
    <row r="99">
      <c r="A99" s="74" t="n">
        <v>36465</v>
      </c>
      <c r="B99" s="75">
        <f>VLOOKUP(A99,Database!A:M,MATCH($A$1,Database!$A$1:$M$1,),)</f>
        <v/>
      </c>
      <c r="C99" s="113">
        <f>(Table535141516[[#This Row],[Durable Goods]]-B98)/B98</f>
        <v/>
      </c>
    </row>
    <row r="100">
      <c r="A100" s="74" t="n">
        <v>36495</v>
      </c>
      <c r="B100" s="75">
        <f>VLOOKUP(A100,Database!A:M,MATCH($A$1,Database!$A$1:$M$1,),)</f>
        <v/>
      </c>
      <c r="C100" s="113">
        <f>(Table535141516[[#This Row],[Durable Goods]]-B99)/B99</f>
        <v/>
      </c>
    </row>
    <row r="101">
      <c r="A101" s="74" t="n">
        <v>36526</v>
      </c>
      <c r="B101" s="75">
        <f>VLOOKUP(A101,Database!A:M,MATCH($A$1,Database!$A$1:$M$1,),)</f>
        <v/>
      </c>
      <c r="C101" s="113">
        <f>(Table535141516[[#This Row],[Durable Goods]]-B100)/B100</f>
        <v/>
      </c>
    </row>
    <row r="102">
      <c r="A102" s="74" t="n">
        <v>36557</v>
      </c>
      <c r="B102" s="75">
        <f>VLOOKUP(A102,Database!A:M,MATCH($A$1,Database!$A$1:$M$1,),)</f>
        <v/>
      </c>
      <c r="C102" s="113">
        <f>(Table535141516[[#This Row],[Durable Goods]]-B101)/B101</f>
        <v/>
      </c>
    </row>
    <row r="103">
      <c r="A103" s="74" t="n">
        <v>36586</v>
      </c>
      <c r="B103" s="75">
        <f>VLOOKUP(A103,Database!A:M,MATCH($A$1,Database!$A$1:$M$1,),)</f>
        <v/>
      </c>
      <c r="C103" s="113">
        <f>(Table535141516[[#This Row],[Durable Goods]]-B102)/B102</f>
        <v/>
      </c>
    </row>
    <row r="104">
      <c r="A104" s="74" t="n">
        <v>36617</v>
      </c>
      <c r="B104" s="75">
        <f>VLOOKUP(A104,Database!A:M,MATCH($A$1,Database!$A$1:$M$1,),)</f>
        <v/>
      </c>
      <c r="C104" s="113">
        <f>(Table535141516[[#This Row],[Durable Goods]]-B103)/B103</f>
        <v/>
      </c>
    </row>
    <row r="105">
      <c r="A105" s="74" t="n">
        <v>36647</v>
      </c>
      <c r="B105" s="75">
        <f>VLOOKUP(A105,Database!A:M,MATCH($A$1,Database!$A$1:$M$1,),)</f>
        <v/>
      </c>
      <c r="C105" s="113">
        <f>(Table535141516[[#This Row],[Durable Goods]]-B104)/B104</f>
        <v/>
      </c>
    </row>
    <row r="106">
      <c r="A106" s="74" t="n">
        <v>36678</v>
      </c>
      <c r="B106" s="75">
        <f>VLOOKUP(A106,Database!A:M,MATCH($A$1,Database!$A$1:$M$1,),)</f>
        <v/>
      </c>
      <c r="C106" s="113">
        <f>(Table535141516[[#This Row],[Durable Goods]]-B105)/B105</f>
        <v/>
      </c>
    </row>
    <row r="107">
      <c r="A107" s="74" t="n">
        <v>36708</v>
      </c>
      <c r="B107" s="75">
        <f>VLOOKUP(A107,Database!A:M,MATCH($A$1,Database!$A$1:$M$1,),)</f>
        <v/>
      </c>
      <c r="C107" s="113">
        <f>(Table535141516[[#This Row],[Durable Goods]]-B106)/B106</f>
        <v/>
      </c>
    </row>
    <row r="108">
      <c r="A108" s="74" t="n">
        <v>36739</v>
      </c>
      <c r="B108" s="75">
        <f>VLOOKUP(A108,Database!A:M,MATCH($A$1,Database!$A$1:$M$1,),)</f>
        <v/>
      </c>
      <c r="C108" s="113">
        <f>(Table535141516[[#This Row],[Durable Goods]]-B107)/B107</f>
        <v/>
      </c>
    </row>
    <row r="109">
      <c r="A109" s="74" t="n">
        <v>36770</v>
      </c>
      <c r="B109" s="75">
        <f>VLOOKUP(A109,Database!A:M,MATCH($A$1,Database!$A$1:$M$1,),)</f>
        <v/>
      </c>
      <c r="C109" s="113">
        <f>(Table535141516[[#This Row],[Durable Goods]]-B108)/B108</f>
        <v/>
      </c>
    </row>
    <row r="110">
      <c r="A110" s="74" t="n">
        <v>36800</v>
      </c>
      <c r="B110" s="75">
        <f>VLOOKUP(A110,Database!A:M,MATCH($A$1,Database!$A$1:$M$1,),)</f>
        <v/>
      </c>
      <c r="C110" s="113">
        <f>(Table535141516[[#This Row],[Durable Goods]]-B109)/B109</f>
        <v/>
      </c>
    </row>
    <row r="111">
      <c r="A111" s="74" t="n">
        <v>36831</v>
      </c>
      <c r="B111" s="75">
        <f>VLOOKUP(A111,Database!A:M,MATCH($A$1,Database!$A$1:$M$1,),)</f>
        <v/>
      </c>
      <c r="C111" s="113">
        <f>(Table535141516[[#This Row],[Durable Goods]]-B110)/B110</f>
        <v/>
      </c>
    </row>
    <row r="112">
      <c r="A112" s="74" t="n">
        <v>36861</v>
      </c>
      <c r="B112" s="75">
        <f>VLOOKUP(A112,Database!A:M,MATCH($A$1,Database!$A$1:$M$1,),)</f>
        <v/>
      </c>
      <c r="C112" s="113">
        <f>(Table535141516[[#This Row],[Durable Goods]]-B111)/B111</f>
        <v/>
      </c>
    </row>
    <row r="113">
      <c r="A113" s="74" t="n">
        <v>36892</v>
      </c>
      <c r="B113" s="75">
        <f>VLOOKUP(A113,Database!A:M,MATCH($A$1,Database!$A$1:$M$1,),)</f>
        <v/>
      </c>
      <c r="C113" s="113">
        <f>(Table535141516[[#This Row],[Durable Goods]]-B112)/B112</f>
        <v/>
      </c>
    </row>
    <row r="114">
      <c r="A114" s="74" t="n">
        <v>36923</v>
      </c>
      <c r="B114" s="75">
        <f>VLOOKUP(A114,Database!A:M,MATCH($A$1,Database!$A$1:$M$1,),)</f>
        <v/>
      </c>
      <c r="C114" s="113">
        <f>(Table535141516[[#This Row],[Durable Goods]]-B113)/B113</f>
        <v/>
      </c>
    </row>
    <row r="115">
      <c r="A115" s="74" t="n">
        <v>36951</v>
      </c>
      <c r="B115" s="75">
        <f>VLOOKUP(A115,Database!A:M,MATCH($A$1,Database!$A$1:$M$1,),)</f>
        <v/>
      </c>
      <c r="C115" s="113">
        <f>(Table535141516[[#This Row],[Durable Goods]]-B114)/B114</f>
        <v/>
      </c>
    </row>
    <row r="116">
      <c r="A116" s="74" t="n">
        <v>36982</v>
      </c>
      <c r="B116" s="75">
        <f>VLOOKUP(A116,Database!A:M,MATCH($A$1,Database!$A$1:$M$1,),)</f>
        <v/>
      </c>
      <c r="C116" s="113">
        <f>(Table535141516[[#This Row],[Durable Goods]]-B115)/B115</f>
        <v/>
      </c>
    </row>
    <row r="117">
      <c r="A117" s="74" t="n">
        <v>37012</v>
      </c>
      <c r="B117" s="75">
        <f>VLOOKUP(A117,Database!A:M,MATCH($A$1,Database!$A$1:$M$1,),)</f>
        <v/>
      </c>
      <c r="C117" s="113">
        <f>(Table535141516[[#This Row],[Durable Goods]]-B116)/B116</f>
        <v/>
      </c>
    </row>
    <row r="118">
      <c r="A118" s="74" t="n">
        <v>37043</v>
      </c>
      <c r="B118" s="75">
        <f>VLOOKUP(A118,Database!A:M,MATCH($A$1,Database!$A$1:$M$1,),)</f>
        <v/>
      </c>
      <c r="C118" s="113">
        <f>(Table535141516[[#This Row],[Durable Goods]]-B117)/B117</f>
        <v/>
      </c>
    </row>
    <row r="119">
      <c r="A119" s="74" t="n">
        <v>37073</v>
      </c>
      <c r="B119" s="75">
        <f>VLOOKUP(A119,Database!A:M,MATCH($A$1,Database!$A$1:$M$1,),)</f>
        <v/>
      </c>
      <c r="C119" s="113">
        <f>(Table535141516[[#This Row],[Durable Goods]]-B118)/B118</f>
        <v/>
      </c>
    </row>
    <row r="120">
      <c r="A120" s="74" t="n">
        <v>37104</v>
      </c>
      <c r="B120" s="75">
        <f>VLOOKUP(A120,Database!A:M,MATCH($A$1,Database!$A$1:$M$1,),)</f>
        <v/>
      </c>
      <c r="C120" s="113">
        <f>(Table535141516[[#This Row],[Durable Goods]]-B119)/B119</f>
        <v/>
      </c>
    </row>
    <row r="121">
      <c r="A121" s="74" t="n">
        <v>37135</v>
      </c>
      <c r="B121" s="75">
        <f>VLOOKUP(A121,Database!A:M,MATCH($A$1,Database!$A$1:$M$1,),)</f>
        <v/>
      </c>
      <c r="C121" s="113">
        <f>(Table535141516[[#This Row],[Durable Goods]]-B120)/B120</f>
        <v/>
      </c>
    </row>
    <row r="122">
      <c r="A122" s="74" t="n">
        <v>37165</v>
      </c>
      <c r="B122" s="75">
        <f>VLOOKUP(A122,Database!A:M,MATCH($A$1,Database!$A$1:$M$1,),)</f>
        <v/>
      </c>
      <c r="C122" s="113">
        <f>(Table535141516[[#This Row],[Durable Goods]]-B121)/B121</f>
        <v/>
      </c>
    </row>
    <row r="123">
      <c r="A123" s="74" t="n">
        <v>37196</v>
      </c>
      <c r="B123" s="75">
        <f>VLOOKUP(A123,Database!A:M,MATCH($A$1,Database!$A$1:$M$1,),)</f>
        <v/>
      </c>
      <c r="C123" s="113">
        <f>(Table535141516[[#This Row],[Durable Goods]]-B122)/B122</f>
        <v/>
      </c>
    </row>
    <row r="124">
      <c r="A124" s="74" t="n">
        <v>37226</v>
      </c>
      <c r="B124" s="75">
        <f>VLOOKUP(A124,Database!A:M,MATCH($A$1,Database!$A$1:$M$1,),)</f>
        <v/>
      </c>
      <c r="C124" s="113">
        <f>(Table535141516[[#This Row],[Durable Goods]]-B123)/B123</f>
        <v/>
      </c>
    </row>
    <row r="125">
      <c r="A125" s="74" t="n">
        <v>37257</v>
      </c>
      <c r="B125" s="75">
        <f>VLOOKUP(A125,Database!A:M,MATCH($A$1,Database!$A$1:$M$1,),)</f>
        <v/>
      </c>
      <c r="C125" s="113">
        <f>(Table535141516[[#This Row],[Durable Goods]]-B124)/B124</f>
        <v/>
      </c>
    </row>
    <row r="126">
      <c r="A126" s="74" t="n">
        <v>37288</v>
      </c>
      <c r="B126" s="75">
        <f>VLOOKUP(A126,Database!A:M,MATCH($A$1,Database!$A$1:$M$1,),)</f>
        <v/>
      </c>
      <c r="C126" s="113">
        <f>(Table535141516[[#This Row],[Durable Goods]]-B125)/B125</f>
        <v/>
      </c>
    </row>
    <row r="127">
      <c r="A127" s="74" t="n">
        <v>37316</v>
      </c>
      <c r="B127" s="75">
        <f>VLOOKUP(A127,Database!A:M,MATCH($A$1,Database!$A$1:$M$1,),)</f>
        <v/>
      </c>
      <c r="C127" s="113">
        <f>(Table535141516[[#This Row],[Durable Goods]]-B126)/B126</f>
        <v/>
      </c>
    </row>
    <row r="128">
      <c r="A128" s="74" t="n">
        <v>37347</v>
      </c>
      <c r="B128" s="75">
        <f>VLOOKUP(A128,Database!A:M,MATCH($A$1,Database!$A$1:$M$1,),)</f>
        <v/>
      </c>
      <c r="C128" s="113">
        <f>(Table535141516[[#This Row],[Durable Goods]]-B127)/B127</f>
        <v/>
      </c>
    </row>
    <row r="129">
      <c r="A129" s="74" t="n">
        <v>37377</v>
      </c>
      <c r="B129" s="75">
        <f>VLOOKUP(A129,Database!A:M,MATCH($A$1,Database!$A$1:$M$1,),)</f>
        <v/>
      </c>
      <c r="C129" s="113">
        <f>(Table535141516[[#This Row],[Durable Goods]]-B128)/B128</f>
        <v/>
      </c>
    </row>
    <row r="130">
      <c r="A130" s="74" t="n">
        <v>37408</v>
      </c>
      <c r="B130" s="75">
        <f>VLOOKUP(A130,Database!A:M,MATCH($A$1,Database!$A$1:$M$1,),)</f>
        <v/>
      </c>
      <c r="C130" s="113">
        <f>(Table535141516[[#This Row],[Durable Goods]]-B129)/B129</f>
        <v/>
      </c>
    </row>
    <row r="131">
      <c r="A131" s="74" t="n">
        <v>37438</v>
      </c>
      <c r="B131" s="75">
        <f>VLOOKUP(A131,Database!A:M,MATCH($A$1,Database!$A$1:$M$1,),)</f>
        <v/>
      </c>
      <c r="C131" s="113">
        <f>(Table535141516[[#This Row],[Durable Goods]]-B130)/B130</f>
        <v/>
      </c>
    </row>
    <row r="132">
      <c r="A132" s="74" t="n">
        <v>37469</v>
      </c>
      <c r="B132" s="75">
        <f>VLOOKUP(A132,Database!A:M,MATCH($A$1,Database!$A$1:$M$1,),)</f>
        <v/>
      </c>
      <c r="C132" s="113">
        <f>(Table535141516[[#This Row],[Durable Goods]]-B131)/B131</f>
        <v/>
      </c>
    </row>
    <row r="133">
      <c r="A133" s="74" t="n">
        <v>37500</v>
      </c>
      <c r="B133" s="75">
        <f>VLOOKUP(A133,Database!A:M,MATCH($A$1,Database!$A$1:$M$1,),)</f>
        <v/>
      </c>
      <c r="C133" s="113">
        <f>(Table535141516[[#This Row],[Durable Goods]]-B132)/B132</f>
        <v/>
      </c>
    </row>
    <row r="134">
      <c r="A134" s="74" t="n">
        <v>37530</v>
      </c>
      <c r="B134" s="75">
        <f>VLOOKUP(A134,Database!A:M,MATCH($A$1,Database!$A$1:$M$1,),)</f>
        <v/>
      </c>
      <c r="C134" s="113">
        <f>(Table535141516[[#This Row],[Durable Goods]]-B133)/B133</f>
        <v/>
      </c>
    </row>
    <row r="135">
      <c r="A135" s="74" t="n">
        <v>37561</v>
      </c>
      <c r="B135" s="75">
        <f>VLOOKUP(A135,Database!A:M,MATCH($A$1,Database!$A$1:$M$1,),)</f>
        <v/>
      </c>
      <c r="C135" s="113">
        <f>(Table535141516[[#This Row],[Durable Goods]]-B134)/B134</f>
        <v/>
      </c>
    </row>
    <row r="136">
      <c r="A136" s="74" t="n">
        <v>37591</v>
      </c>
      <c r="B136" s="75">
        <f>VLOOKUP(A136,Database!A:M,MATCH($A$1,Database!$A$1:$M$1,),)</f>
        <v/>
      </c>
      <c r="C136" s="113">
        <f>(Table535141516[[#This Row],[Durable Goods]]-B135)/B135</f>
        <v/>
      </c>
    </row>
    <row r="137">
      <c r="A137" s="74" t="n">
        <v>37622</v>
      </c>
      <c r="B137" s="75">
        <f>VLOOKUP(A137,Database!A:M,MATCH($A$1,Database!$A$1:$M$1,),)</f>
        <v/>
      </c>
      <c r="C137" s="113">
        <f>(Table535141516[[#This Row],[Durable Goods]]-B136)/B136</f>
        <v/>
      </c>
    </row>
    <row r="138">
      <c r="A138" s="74" t="n">
        <v>37653</v>
      </c>
      <c r="B138" s="75">
        <f>VLOOKUP(A138,Database!A:M,MATCH($A$1,Database!$A$1:$M$1,),)</f>
        <v/>
      </c>
      <c r="C138" s="113">
        <f>(Table535141516[[#This Row],[Durable Goods]]-B137)/B137</f>
        <v/>
      </c>
    </row>
    <row r="139">
      <c r="A139" s="74" t="n">
        <v>37681</v>
      </c>
      <c r="B139" s="75">
        <f>VLOOKUP(A139,Database!A:M,MATCH($A$1,Database!$A$1:$M$1,),)</f>
        <v/>
      </c>
      <c r="C139" s="113">
        <f>(Table535141516[[#This Row],[Durable Goods]]-B138)/B138</f>
        <v/>
      </c>
    </row>
    <row r="140">
      <c r="A140" s="74" t="n">
        <v>37712</v>
      </c>
      <c r="B140" s="75">
        <f>VLOOKUP(A140,Database!A:M,MATCH($A$1,Database!$A$1:$M$1,),)</f>
        <v/>
      </c>
      <c r="C140" s="113">
        <f>(Table535141516[[#This Row],[Durable Goods]]-B139)/B139</f>
        <v/>
      </c>
    </row>
    <row r="141">
      <c r="A141" s="74" t="n">
        <v>37742</v>
      </c>
      <c r="B141" s="75">
        <f>VLOOKUP(A141,Database!A:M,MATCH($A$1,Database!$A$1:$M$1,),)</f>
        <v/>
      </c>
      <c r="C141" s="113">
        <f>(Table535141516[[#This Row],[Durable Goods]]-B140)/B140</f>
        <v/>
      </c>
    </row>
    <row r="142">
      <c r="A142" s="74" t="n">
        <v>37773</v>
      </c>
      <c r="B142" s="75">
        <f>VLOOKUP(A142,Database!A:M,MATCH($A$1,Database!$A$1:$M$1,),)</f>
        <v/>
      </c>
      <c r="C142" s="113">
        <f>(Table535141516[[#This Row],[Durable Goods]]-B141)/B141</f>
        <v/>
      </c>
    </row>
    <row r="143">
      <c r="A143" s="74" t="n">
        <v>37803</v>
      </c>
      <c r="B143" s="75">
        <f>VLOOKUP(A143,Database!A:M,MATCH($A$1,Database!$A$1:$M$1,),)</f>
        <v/>
      </c>
      <c r="C143" s="113">
        <f>(Table535141516[[#This Row],[Durable Goods]]-B142)/B142</f>
        <v/>
      </c>
    </row>
    <row r="144">
      <c r="A144" s="74" t="n">
        <v>37834</v>
      </c>
      <c r="B144" s="75">
        <f>VLOOKUP(A144,Database!A:M,MATCH($A$1,Database!$A$1:$M$1,),)</f>
        <v/>
      </c>
      <c r="C144" s="113">
        <f>(Table535141516[[#This Row],[Durable Goods]]-B143)/B143</f>
        <v/>
      </c>
    </row>
    <row r="145">
      <c r="A145" s="74" t="n">
        <v>37865</v>
      </c>
      <c r="B145" s="75">
        <f>VLOOKUP(A145,Database!A:M,MATCH($A$1,Database!$A$1:$M$1,),)</f>
        <v/>
      </c>
      <c r="C145" s="113">
        <f>(Table535141516[[#This Row],[Durable Goods]]-B144)/B144</f>
        <v/>
      </c>
    </row>
    <row r="146">
      <c r="A146" s="74" t="n">
        <v>37895</v>
      </c>
      <c r="B146" s="75">
        <f>VLOOKUP(A146,Database!A:M,MATCH($A$1,Database!$A$1:$M$1,),)</f>
        <v/>
      </c>
      <c r="C146" s="113">
        <f>(Table535141516[[#This Row],[Durable Goods]]-B145)/B145</f>
        <v/>
      </c>
    </row>
    <row r="147">
      <c r="A147" s="74" t="n">
        <v>37926</v>
      </c>
      <c r="B147" s="75">
        <f>VLOOKUP(A147,Database!A:M,MATCH($A$1,Database!$A$1:$M$1,),)</f>
        <v/>
      </c>
      <c r="C147" s="113">
        <f>(Table535141516[[#This Row],[Durable Goods]]-B146)/B146</f>
        <v/>
      </c>
    </row>
    <row r="148">
      <c r="A148" s="74" t="n">
        <v>37956</v>
      </c>
      <c r="B148" s="75">
        <f>VLOOKUP(A148,Database!A:M,MATCH($A$1,Database!$A$1:$M$1,),)</f>
        <v/>
      </c>
      <c r="C148" s="113">
        <f>(Table535141516[[#This Row],[Durable Goods]]-B147)/B147</f>
        <v/>
      </c>
    </row>
    <row r="149">
      <c r="A149" s="74" t="n">
        <v>37987</v>
      </c>
      <c r="B149" s="75">
        <f>VLOOKUP(A149,Database!A:M,MATCH($A$1,Database!$A$1:$M$1,),)</f>
        <v/>
      </c>
      <c r="C149" s="113">
        <f>(Table535141516[[#This Row],[Durable Goods]]-B148)/B148</f>
        <v/>
      </c>
    </row>
    <row r="150">
      <c r="A150" s="74" t="n">
        <v>38018</v>
      </c>
      <c r="B150" s="75">
        <f>VLOOKUP(A150,Database!A:M,MATCH($A$1,Database!$A$1:$M$1,),)</f>
        <v/>
      </c>
      <c r="C150" s="113">
        <f>(Table535141516[[#This Row],[Durable Goods]]-B149)/B149</f>
        <v/>
      </c>
    </row>
    <row r="151">
      <c r="A151" s="74" t="n">
        <v>38047</v>
      </c>
      <c r="B151" s="75">
        <f>VLOOKUP(A151,Database!A:M,MATCH($A$1,Database!$A$1:$M$1,),)</f>
        <v/>
      </c>
      <c r="C151" s="113">
        <f>(Table535141516[[#This Row],[Durable Goods]]-B150)/B150</f>
        <v/>
      </c>
    </row>
    <row r="152">
      <c r="A152" s="74" t="n">
        <v>38078</v>
      </c>
      <c r="B152" s="75">
        <f>VLOOKUP(A152,Database!A:M,MATCH($A$1,Database!$A$1:$M$1,),)</f>
        <v/>
      </c>
      <c r="C152" s="113">
        <f>(Table535141516[[#This Row],[Durable Goods]]-B151)/B151</f>
        <v/>
      </c>
    </row>
    <row r="153">
      <c r="A153" s="74" t="n">
        <v>38108</v>
      </c>
      <c r="B153" s="75">
        <f>VLOOKUP(A153,Database!A:M,MATCH($A$1,Database!$A$1:$M$1,),)</f>
        <v/>
      </c>
      <c r="C153" s="113">
        <f>(Table535141516[[#This Row],[Durable Goods]]-B152)/B152</f>
        <v/>
      </c>
    </row>
    <row r="154">
      <c r="A154" s="74" t="n">
        <v>38139</v>
      </c>
      <c r="B154" s="75">
        <f>VLOOKUP(A154,Database!A:M,MATCH($A$1,Database!$A$1:$M$1,),)</f>
        <v/>
      </c>
      <c r="C154" s="113">
        <f>(Table535141516[[#This Row],[Durable Goods]]-B153)/B153</f>
        <v/>
      </c>
    </row>
    <row r="155">
      <c r="A155" s="74" t="n">
        <v>38169</v>
      </c>
      <c r="B155" s="75">
        <f>VLOOKUP(A155,Database!A:M,MATCH($A$1,Database!$A$1:$M$1,),)</f>
        <v/>
      </c>
      <c r="C155" s="113">
        <f>(Table535141516[[#This Row],[Durable Goods]]-B154)/B154</f>
        <v/>
      </c>
    </row>
    <row r="156">
      <c r="A156" s="74" t="n">
        <v>38200</v>
      </c>
      <c r="B156" s="75">
        <f>VLOOKUP(A156,Database!A:M,MATCH($A$1,Database!$A$1:$M$1,),)</f>
        <v/>
      </c>
      <c r="C156" s="113">
        <f>(Table535141516[[#This Row],[Durable Goods]]-B155)/B155</f>
        <v/>
      </c>
    </row>
    <row r="157">
      <c r="A157" s="74" t="n">
        <v>38231</v>
      </c>
      <c r="B157" s="75">
        <f>VLOOKUP(A157,Database!A:M,MATCH($A$1,Database!$A$1:$M$1,),)</f>
        <v/>
      </c>
      <c r="C157" s="113">
        <f>(Table535141516[[#This Row],[Durable Goods]]-B156)/B156</f>
        <v/>
      </c>
    </row>
    <row r="158">
      <c r="A158" s="74" t="n">
        <v>38261</v>
      </c>
      <c r="B158" s="75">
        <f>VLOOKUP(A158,Database!A:M,MATCH($A$1,Database!$A$1:$M$1,),)</f>
        <v/>
      </c>
      <c r="C158" s="113">
        <f>(Table535141516[[#This Row],[Durable Goods]]-B157)/B157</f>
        <v/>
      </c>
    </row>
    <row r="159">
      <c r="A159" s="74" t="n">
        <v>38292</v>
      </c>
      <c r="B159" s="75">
        <f>VLOOKUP(A159,Database!A:M,MATCH($A$1,Database!$A$1:$M$1,),)</f>
        <v/>
      </c>
      <c r="C159" s="113">
        <f>(Table535141516[[#This Row],[Durable Goods]]-B158)/B158</f>
        <v/>
      </c>
    </row>
    <row r="160">
      <c r="A160" s="74" t="n">
        <v>38322</v>
      </c>
      <c r="B160" s="75">
        <f>VLOOKUP(A160,Database!A:M,MATCH($A$1,Database!$A$1:$M$1,),)</f>
        <v/>
      </c>
      <c r="C160" s="113">
        <f>(Table535141516[[#This Row],[Durable Goods]]-B159)/B159</f>
        <v/>
      </c>
    </row>
    <row r="161">
      <c r="A161" s="74" t="n">
        <v>38353</v>
      </c>
      <c r="B161" s="75">
        <f>VLOOKUP(A161,Database!A:M,MATCH($A$1,Database!$A$1:$M$1,),)</f>
        <v/>
      </c>
      <c r="C161" s="113">
        <f>(Table535141516[[#This Row],[Durable Goods]]-B160)/B160</f>
        <v/>
      </c>
    </row>
    <row r="162">
      <c r="A162" s="74" t="n">
        <v>38384</v>
      </c>
      <c r="B162" s="75">
        <f>VLOOKUP(A162,Database!A:M,MATCH($A$1,Database!$A$1:$M$1,),)</f>
        <v/>
      </c>
      <c r="C162" s="113">
        <f>(Table535141516[[#This Row],[Durable Goods]]-B161)/B161</f>
        <v/>
      </c>
    </row>
    <row r="163">
      <c r="A163" s="74" t="n">
        <v>38412</v>
      </c>
      <c r="B163" s="75">
        <f>VLOOKUP(A163,Database!A:M,MATCH($A$1,Database!$A$1:$M$1,),)</f>
        <v/>
      </c>
      <c r="C163" s="113">
        <f>(Table535141516[[#This Row],[Durable Goods]]-B162)/B162</f>
        <v/>
      </c>
    </row>
    <row r="164">
      <c r="A164" s="74" t="n">
        <v>38443</v>
      </c>
      <c r="B164" s="75">
        <f>VLOOKUP(A164,Database!A:M,MATCH($A$1,Database!$A$1:$M$1,),)</f>
        <v/>
      </c>
      <c r="C164" s="113">
        <f>(Table535141516[[#This Row],[Durable Goods]]-B163)/B163</f>
        <v/>
      </c>
    </row>
    <row r="165">
      <c r="A165" s="74" t="n">
        <v>38473</v>
      </c>
      <c r="B165" s="75">
        <f>VLOOKUP(A165,Database!A:M,MATCH($A$1,Database!$A$1:$M$1,),)</f>
        <v/>
      </c>
      <c r="C165" s="113">
        <f>(Table535141516[[#This Row],[Durable Goods]]-B164)/B164</f>
        <v/>
      </c>
    </row>
    <row r="166">
      <c r="A166" s="74" t="n">
        <v>38504</v>
      </c>
      <c r="B166" s="75">
        <f>VLOOKUP(A166,Database!A:M,MATCH($A$1,Database!$A$1:$M$1,),)</f>
        <v/>
      </c>
      <c r="C166" s="113">
        <f>(Table535141516[[#This Row],[Durable Goods]]-B165)/B165</f>
        <v/>
      </c>
    </row>
    <row r="167">
      <c r="A167" s="74" t="n">
        <v>38534</v>
      </c>
      <c r="B167" s="75">
        <f>VLOOKUP(A167,Database!A:M,MATCH($A$1,Database!$A$1:$M$1,),)</f>
        <v/>
      </c>
      <c r="C167" s="113">
        <f>(Table535141516[[#This Row],[Durable Goods]]-B166)/B166</f>
        <v/>
      </c>
    </row>
    <row r="168">
      <c r="A168" s="74" t="n">
        <v>38565</v>
      </c>
      <c r="B168" s="75">
        <f>VLOOKUP(A168,Database!A:M,MATCH($A$1,Database!$A$1:$M$1,),)</f>
        <v/>
      </c>
      <c r="C168" s="113">
        <f>(Table535141516[[#This Row],[Durable Goods]]-B167)/B167</f>
        <v/>
      </c>
    </row>
    <row r="169">
      <c r="A169" s="74" t="n">
        <v>38596</v>
      </c>
      <c r="B169" s="75">
        <f>VLOOKUP(A169,Database!A:M,MATCH($A$1,Database!$A$1:$M$1,),)</f>
        <v/>
      </c>
      <c r="C169" s="113">
        <f>(Table535141516[[#This Row],[Durable Goods]]-B168)/B168</f>
        <v/>
      </c>
    </row>
    <row r="170">
      <c r="A170" s="74" t="n">
        <v>38626</v>
      </c>
      <c r="B170" s="75">
        <f>VLOOKUP(A170,Database!A:M,MATCH($A$1,Database!$A$1:$M$1,),)</f>
        <v/>
      </c>
      <c r="C170" s="113">
        <f>(Table535141516[[#This Row],[Durable Goods]]-B169)/B169</f>
        <v/>
      </c>
    </row>
    <row r="171">
      <c r="A171" s="74" t="n">
        <v>38657</v>
      </c>
      <c r="B171" s="75">
        <f>VLOOKUP(A171,Database!A:M,MATCH($A$1,Database!$A$1:$M$1,),)</f>
        <v/>
      </c>
      <c r="C171" s="113">
        <f>(Table535141516[[#This Row],[Durable Goods]]-B170)/B170</f>
        <v/>
      </c>
    </row>
    <row r="172">
      <c r="A172" s="74" t="n">
        <v>38687</v>
      </c>
      <c r="B172" s="75">
        <f>VLOOKUP(A172,Database!A:M,MATCH($A$1,Database!$A$1:$M$1,),)</f>
        <v/>
      </c>
      <c r="C172" s="113">
        <f>(Table535141516[[#This Row],[Durable Goods]]-B171)/B171</f>
        <v/>
      </c>
    </row>
    <row r="173">
      <c r="A173" s="74" t="n">
        <v>38718</v>
      </c>
      <c r="B173" s="75">
        <f>VLOOKUP(A173,Database!A:M,MATCH($A$1,Database!$A$1:$M$1,),)</f>
        <v/>
      </c>
      <c r="C173" s="113">
        <f>(Table535141516[[#This Row],[Durable Goods]]-B172)/B172</f>
        <v/>
      </c>
    </row>
    <row r="174">
      <c r="A174" s="74" t="n">
        <v>38749</v>
      </c>
      <c r="B174" s="75">
        <f>VLOOKUP(A174,Database!A:M,MATCH($A$1,Database!$A$1:$M$1,),)</f>
        <v/>
      </c>
      <c r="C174" s="113">
        <f>(Table535141516[[#This Row],[Durable Goods]]-B173)/B173</f>
        <v/>
      </c>
    </row>
    <row r="175">
      <c r="A175" s="74" t="n">
        <v>38777</v>
      </c>
      <c r="B175" s="75">
        <f>VLOOKUP(A175,Database!A:M,MATCH($A$1,Database!$A$1:$M$1,),)</f>
        <v/>
      </c>
      <c r="C175" s="113">
        <f>(Table535141516[[#This Row],[Durable Goods]]-B174)/B174</f>
        <v/>
      </c>
    </row>
    <row r="176">
      <c r="A176" s="74" t="n">
        <v>38808</v>
      </c>
      <c r="B176" s="75">
        <f>VLOOKUP(A176,Database!A:M,MATCH($A$1,Database!$A$1:$M$1,),)</f>
        <v/>
      </c>
      <c r="C176" s="113">
        <f>(Table535141516[[#This Row],[Durable Goods]]-B175)/B175</f>
        <v/>
      </c>
    </row>
    <row r="177">
      <c r="A177" s="74" t="n">
        <v>38838</v>
      </c>
      <c r="B177" s="75">
        <f>VLOOKUP(A177,Database!A:M,MATCH($A$1,Database!$A$1:$M$1,),)</f>
        <v/>
      </c>
      <c r="C177" s="113">
        <f>(Table535141516[[#This Row],[Durable Goods]]-B176)/B176</f>
        <v/>
      </c>
    </row>
    <row r="178">
      <c r="A178" s="74" t="n">
        <v>38869</v>
      </c>
      <c r="B178" s="75">
        <f>VLOOKUP(A178,Database!A:M,MATCH($A$1,Database!$A$1:$M$1,),)</f>
        <v/>
      </c>
      <c r="C178" s="113">
        <f>(Table535141516[[#This Row],[Durable Goods]]-B177)/B177</f>
        <v/>
      </c>
    </row>
    <row r="179">
      <c r="A179" s="74" t="n">
        <v>38899</v>
      </c>
      <c r="B179" s="75">
        <f>VLOOKUP(A179,Database!A:M,MATCH($A$1,Database!$A$1:$M$1,),)</f>
        <v/>
      </c>
      <c r="C179" s="113">
        <f>(Table535141516[[#This Row],[Durable Goods]]-B178)/B178</f>
        <v/>
      </c>
    </row>
    <row r="180">
      <c r="A180" s="74" t="n">
        <v>38930</v>
      </c>
      <c r="B180" s="75">
        <f>VLOOKUP(A180,Database!A:M,MATCH($A$1,Database!$A$1:$M$1,),)</f>
        <v/>
      </c>
      <c r="C180" s="113">
        <f>(Table535141516[[#This Row],[Durable Goods]]-B179)/B179</f>
        <v/>
      </c>
    </row>
    <row r="181">
      <c r="A181" s="74" t="n">
        <v>38961</v>
      </c>
      <c r="B181" s="75">
        <f>VLOOKUP(A181,Database!A:M,MATCH($A$1,Database!$A$1:$M$1,),)</f>
        <v/>
      </c>
      <c r="C181" s="113">
        <f>(Table535141516[[#This Row],[Durable Goods]]-B180)/B180</f>
        <v/>
      </c>
    </row>
    <row r="182">
      <c r="A182" s="74" t="n">
        <v>38991</v>
      </c>
      <c r="B182" s="75">
        <f>VLOOKUP(A182,Database!A:M,MATCH($A$1,Database!$A$1:$M$1,),)</f>
        <v/>
      </c>
      <c r="C182" s="113">
        <f>(Table535141516[[#This Row],[Durable Goods]]-B181)/B181</f>
        <v/>
      </c>
    </row>
    <row r="183">
      <c r="A183" s="74" t="n">
        <v>39022</v>
      </c>
      <c r="B183" s="75">
        <f>VLOOKUP(A183,Database!A:M,MATCH($A$1,Database!$A$1:$M$1,),)</f>
        <v/>
      </c>
      <c r="C183" s="113">
        <f>(Table535141516[[#This Row],[Durable Goods]]-B182)/B182</f>
        <v/>
      </c>
    </row>
    <row r="184">
      <c r="A184" s="74" t="n">
        <v>39052</v>
      </c>
      <c r="B184" s="75">
        <f>VLOOKUP(A184,Database!A:M,MATCH($A$1,Database!$A$1:$M$1,),)</f>
        <v/>
      </c>
      <c r="C184" s="113">
        <f>(Table535141516[[#This Row],[Durable Goods]]-B183)/B183</f>
        <v/>
      </c>
    </row>
    <row r="185">
      <c r="A185" s="74" t="n">
        <v>39083</v>
      </c>
      <c r="B185" s="75">
        <f>VLOOKUP(A185,Database!A:M,MATCH($A$1,Database!$A$1:$M$1,),)</f>
        <v/>
      </c>
      <c r="C185" s="113">
        <f>(Table535141516[[#This Row],[Durable Goods]]-B184)/B184</f>
        <v/>
      </c>
    </row>
    <row r="186">
      <c r="A186" s="74" t="n">
        <v>39114</v>
      </c>
      <c r="B186" s="75">
        <f>VLOOKUP(A186,Database!A:M,MATCH($A$1,Database!$A$1:$M$1,),)</f>
        <v/>
      </c>
      <c r="C186" s="113">
        <f>(Table535141516[[#This Row],[Durable Goods]]-B185)/B185</f>
        <v/>
      </c>
    </row>
    <row r="187">
      <c r="A187" s="74" t="n">
        <v>39142</v>
      </c>
      <c r="B187" s="75">
        <f>VLOOKUP(A187,Database!A:M,MATCH($A$1,Database!$A$1:$M$1,),)</f>
        <v/>
      </c>
      <c r="C187" s="113">
        <f>(Table535141516[[#This Row],[Durable Goods]]-B186)/B186</f>
        <v/>
      </c>
    </row>
    <row r="188">
      <c r="A188" s="74" t="n">
        <v>39173</v>
      </c>
      <c r="B188" s="75">
        <f>VLOOKUP(A188,Database!A:M,MATCH($A$1,Database!$A$1:$M$1,),)</f>
        <v/>
      </c>
      <c r="C188" s="113">
        <f>(Table535141516[[#This Row],[Durable Goods]]-B187)/B187</f>
        <v/>
      </c>
    </row>
    <row r="189">
      <c r="A189" s="74" t="n">
        <v>39203</v>
      </c>
      <c r="B189" s="75">
        <f>VLOOKUP(A189,Database!A:M,MATCH($A$1,Database!$A$1:$M$1,),)</f>
        <v/>
      </c>
      <c r="C189" s="113">
        <f>(Table535141516[[#This Row],[Durable Goods]]-B188)/B188</f>
        <v/>
      </c>
    </row>
    <row r="190">
      <c r="A190" s="74" t="n">
        <v>39234</v>
      </c>
      <c r="B190" s="75">
        <f>VLOOKUP(A190,Database!A:M,MATCH($A$1,Database!$A$1:$M$1,),)</f>
        <v/>
      </c>
      <c r="C190" s="113">
        <f>(Table535141516[[#This Row],[Durable Goods]]-B189)/B189</f>
        <v/>
      </c>
    </row>
    <row r="191">
      <c r="A191" s="74" t="n">
        <v>39264</v>
      </c>
      <c r="B191" s="75">
        <f>VLOOKUP(A191,Database!A:M,MATCH($A$1,Database!$A$1:$M$1,),)</f>
        <v/>
      </c>
      <c r="C191" s="113">
        <f>(Table535141516[[#This Row],[Durable Goods]]-B190)/B190</f>
        <v/>
      </c>
    </row>
    <row r="192">
      <c r="A192" s="74" t="n">
        <v>39295</v>
      </c>
      <c r="B192" s="75">
        <f>VLOOKUP(A192,Database!A:M,MATCH($A$1,Database!$A$1:$M$1,),)</f>
        <v/>
      </c>
      <c r="C192" s="113">
        <f>(Table535141516[[#This Row],[Durable Goods]]-B191)/B191</f>
        <v/>
      </c>
    </row>
    <row r="193">
      <c r="A193" s="74" t="n">
        <v>39326</v>
      </c>
      <c r="B193" s="75">
        <f>VLOOKUP(A193,Database!A:M,MATCH($A$1,Database!$A$1:$M$1,),)</f>
        <v/>
      </c>
      <c r="C193" s="113">
        <f>(Table535141516[[#This Row],[Durable Goods]]-B192)/B192</f>
        <v/>
      </c>
    </row>
    <row r="194">
      <c r="A194" s="74" t="n">
        <v>39356</v>
      </c>
      <c r="B194" s="75">
        <f>VLOOKUP(A194,Database!A:M,MATCH($A$1,Database!$A$1:$M$1,),)</f>
        <v/>
      </c>
      <c r="C194" s="113">
        <f>(Table535141516[[#This Row],[Durable Goods]]-B193)/B193</f>
        <v/>
      </c>
    </row>
    <row r="195">
      <c r="A195" s="74" t="n">
        <v>39387</v>
      </c>
      <c r="B195" s="75">
        <f>VLOOKUP(A195,Database!A:M,MATCH($A$1,Database!$A$1:$M$1,),)</f>
        <v/>
      </c>
      <c r="C195" s="113">
        <f>(Table535141516[[#This Row],[Durable Goods]]-B194)/B194</f>
        <v/>
      </c>
    </row>
    <row r="196">
      <c r="A196" s="74" t="n">
        <v>39417</v>
      </c>
      <c r="B196" s="75">
        <f>VLOOKUP(A196,Database!A:M,MATCH($A$1,Database!$A$1:$M$1,),)</f>
        <v/>
      </c>
      <c r="C196" s="113">
        <f>(Table535141516[[#This Row],[Durable Goods]]-B195)/B195</f>
        <v/>
      </c>
    </row>
    <row r="197">
      <c r="A197" s="74" t="n">
        <v>39448</v>
      </c>
      <c r="B197" s="75">
        <f>VLOOKUP(A197,Database!A:M,MATCH($A$1,Database!$A$1:$M$1,),)</f>
        <v/>
      </c>
      <c r="C197" s="113">
        <f>(Table535141516[[#This Row],[Durable Goods]]-B196)/B196</f>
        <v/>
      </c>
    </row>
    <row r="198">
      <c r="A198" s="74" t="n">
        <v>39479</v>
      </c>
      <c r="B198" s="75">
        <f>VLOOKUP(A198,Database!A:M,MATCH($A$1,Database!$A$1:$M$1,),)</f>
        <v/>
      </c>
      <c r="C198" s="113">
        <f>(Table535141516[[#This Row],[Durable Goods]]-B197)/B197</f>
        <v/>
      </c>
    </row>
    <row r="199">
      <c r="A199" s="74" t="n">
        <v>39508</v>
      </c>
      <c r="B199" s="75">
        <f>VLOOKUP(A199,Database!A:M,MATCH($A$1,Database!$A$1:$M$1,),)</f>
        <v/>
      </c>
      <c r="C199" s="113">
        <f>(Table535141516[[#This Row],[Durable Goods]]-B198)/B198</f>
        <v/>
      </c>
    </row>
    <row r="200">
      <c r="A200" s="74" t="n">
        <v>39539</v>
      </c>
      <c r="B200" s="75">
        <f>VLOOKUP(A200,Database!A:M,MATCH($A$1,Database!$A$1:$M$1,),)</f>
        <v/>
      </c>
      <c r="C200" s="113">
        <f>(Table535141516[[#This Row],[Durable Goods]]-B199)/B199</f>
        <v/>
      </c>
    </row>
    <row r="201">
      <c r="A201" s="74" t="n">
        <v>39569</v>
      </c>
      <c r="B201" s="75">
        <f>VLOOKUP(A201,Database!A:M,MATCH($A$1,Database!$A$1:$M$1,),)</f>
        <v/>
      </c>
      <c r="C201" s="113">
        <f>(Table535141516[[#This Row],[Durable Goods]]-B200)/B200</f>
        <v/>
      </c>
    </row>
    <row r="202">
      <c r="A202" s="74" t="n">
        <v>39600</v>
      </c>
      <c r="B202" s="75">
        <f>VLOOKUP(A202,Database!A:M,MATCH($A$1,Database!$A$1:$M$1,),)</f>
        <v/>
      </c>
      <c r="C202" s="113">
        <f>(Table535141516[[#This Row],[Durable Goods]]-B201)/B201</f>
        <v/>
      </c>
    </row>
    <row r="203">
      <c r="A203" s="74" t="n">
        <v>39630</v>
      </c>
      <c r="B203" s="75">
        <f>VLOOKUP(A203,Database!A:M,MATCH($A$1,Database!$A$1:$M$1,),)</f>
        <v/>
      </c>
      <c r="C203" s="113">
        <f>(Table535141516[[#This Row],[Durable Goods]]-B202)/B202</f>
        <v/>
      </c>
    </row>
    <row r="204">
      <c r="A204" s="74" t="n">
        <v>39661</v>
      </c>
      <c r="B204" s="75">
        <f>VLOOKUP(A204,Database!A:M,MATCH($A$1,Database!$A$1:$M$1,),)</f>
        <v/>
      </c>
      <c r="C204" s="113">
        <f>(Table535141516[[#This Row],[Durable Goods]]-B203)/B203</f>
        <v/>
      </c>
    </row>
    <row r="205">
      <c r="A205" s="74" t="n">
        <v>39692</v>
      </c>
      <c r="B205" s="75">
        <f>VLOOKUP(A205,Database!A:M,MATCH($A$1,Database!$A$1:$M$1,),)</f>
        <v/>
      </c>
      <c r="C205" s="113">
        <f>(Table535141516[[#This Row],[Durable Goods]]-B204)/B204</f>
        <v/>
      </c>
    </row>
    <row r="206">
      <c r="A206" s="74" t="n">
        <v>39722</v>
      </c>
      <c r="B206" s="75">
        <f>VLOOKUP(A206,Database!A:M,MATCH($A$1,Database!$A$1:$M$1,),)</f>
        <v/>
      </c>
      <c r="C206" s="113">
        <f>(Table535141516[[#This Row],[Durable Goods]]-B205)/B205</f>
        <v/>
      </c>
    </row>
    <row r="207">
      <c r="A207" s="74" t="n">
        <v>39753</v>
      </c>
      <c r="B207" s="75">
        <f>VLOOKUP(A207,Database!A:M,MATCH($A$1,Database!$A$1:$M$1,),)</f>
        <v/>
      </c>
      <c r="C207" s="113">
        <f>(Table535141516[[#This Row],[Durable Goods]]-B206)/B206</f>
        <v/>
      </c>
    </row>
    <row r="208">
      <c r="A208" s="74" t="n">
        <v>39783</v>
      </c>
      <c r="B208" s="75">
        <f>VLOOKUP(A208,Database!A:M,MATCH($A$1,Database!$A$1:$M$1,),)</f>
        <v/>
      </c>
      <c r="C208" s="113">
        <f>(Table535141516[[#This Row],[Durable Goods]]-B207)/B207</f>
        <v/>
      </c>
    </row>
    <row r="209">
      <c r="A209" s="74" t="n">
        <v>39814</v>
      </c>
      <c r="B209" s="75">
        <f>VLOOKUP(A209,Database!A:M,MATCH($A$1,Database!$A$1:$M$1,),)</f>
        <v/>
      </c>
      <c r="C209" s="113">
        <f>(Table535141516[[#This Row],[Durable Goods]]-B208)/B208</f>
        <v/>
      </c>
    </row>
    <row r="210">
      <c r="A210" s="74" t="n">
        <v>39845</v>
      </c>
      <c r="B210" s="75">
        <f>VLOOKUP(A210,Database!A:M,MATCH($A$1,Database!$A$1:$M$1,),)</f>
        <v/>
      </c>
      <c r="C210" s="113">
        <f>(Table535141516[[#This Row],[Durable Goods]]-B209)/B209</f>
        <v/>
      </c>
    </row>
    <row r="211">
      <c r="A211" s="74" t="n">
        <v>39873</v>
      </c>
      <c r="B211" s="75">
        <f>VLOOKUP(A211,Database!A:M,MATCH($A$1,Database!$A$1:$M$1,),)</f>
        <v/>
      </c>
      <c r="C211" s="113">
        <f>(Table535141516[[#This Row],[Durable Goods]]-B210)/B210</f>
        <v/>
      </c>
    </row>
    <row r="212">
      <c r="A212" s="74" t="n">
        <v>39904</v>
      </c>
      <c r="B212" s="75">
        <f>VLOOKUP(A212,Database!A:M,MATCH($A$1,Database!$A$1:$M$1,),)</f>
        <v/>
      </c>
      <c r="C212" s="113">
        <f>(Table535141516[[#This Row],[Durable Goods]]-B211)/B211</f>
        <v/>
      </c>
    </row>
    <row r="213">
      <c r="A213" s="74" t="n">
        <v>39934</v>
      </c>
      <c r="B213" s="75">
        <f>VLOOKUP(A213,Database!A:M,MATCH($A$1,Database!$A$1:$M$1,),)</f>
        <v/>
      </c>
      <c r="C213" s="113">
        <f>(Table535141516[[#This Row],[Durable Goods]]-B212)/B212</f>
        <v/>
      </c>
    </row>
    <row r="214">
      <c r="A214" s="74" t="n">
        <v>39965</v>
      </c>
      <c r="B214" s="75">
        <f>VLOOKUP(A214,Database!A:M,MATCH($A$1,Database!$A$1:$M$1,),)</f>
        <v/>
      </c>
      <c r="C214" s="113">
        <f>(Table535141516[[#This Row],[Durable Goods]]-B213)/B213</f>
        <v/>
      </c>
    </row>
    <row r="215">
      <c r="A215" s="74" t="n">
        <v>39995</v>
      </c>
      <c r="B215" s="75">
        <f>VLOOKUP(A215,Database!A:M,MATCH($A$1,Database!$A$1:$M$1,),)</f>
        <v/>
      </c>
      <c r="C215" s="113">
        <f>(Table535141516[[#This Row],[Durable Goods]]-B214)/B214</f>
        <v/>
      </c>
    </row>
    <row r="216">
      <c r="A216" s="74" t="n">
        <v>40026</v>
      </c>
      <c r="B216" s="75">
        <f>VLOOKUP(A216,Database!A:M,MATCH($A$1,Database!$A$1:$M$1,),)</f>
        <v/>
      </c>
      <c r="C216" s="113">
        <f>(Table535141516[[#This Row],[Durable Goods]]-B215)/B215</f>
        <v/>
      </c>
    </row>
    <row r="217">
      <c r="A217" s="74" t="n">
        <v>40057</v>
      </c>
      <c r="B217" s="75">
        <f>VLOOKUP(A217,Database!A:M,MATCH($A$1,Database!$A$1:$M$1,),)</f>
        <v/>
      </c>
      <c r="C217" s="113">
        <f>(Table535141516[[#This Row],[Durable Goods]]-B216)/B216</f>
        <v/>
      </c>
    </row>
    <row r="218">
      <c r="A218" s="74" t="n">
        <v>40087</v>
      </c>
      <c r="B218" s="75">
        <f>VLOOKUP(A218,Database!A:M,MATCH($A$1,Database!$A$1:$M$1,),)</f>
        <v/>
      </c>
      <c r="C218" s="113">
        <f>(Table535141516[[#This Row],[Durable Goods]]-B217)/B217</f>
        <v/>
      </c>
    </row>
    <row r="219">
      <c r="A219" s="74" t="n">
        <v>40118</v>
      </c>
      <c r="B219" s="75">
        <f>VLOOKUP(A219,Database!A:M,MATCH($A$1,Database!$A$1:$M$1,),)</f>
        <v/>
      </c>
      <c r="C219" s="113">
        <f>(Table535141516[[#This Row],[Durable Goods]]-B218)/B218</f>
        <v/>
      </c>
    </row>
    <row r="220">
      <c r="A220" s="74" t="n">
        <v>40148</v>
      </c>
      <c r="B220" s="75">
        <f>VLOOKUP(A220,Database!A:M,MATCH($A$1,Database!$A$1:$M$1,),)</f>
        <v/>
      </c>
      <c r="C220" s="113">
        <f>(Table535141516[[#This Row],[Durable Goods]]-B219)/B219</f>
        <v/>
      </c>
    </row>
    <row r="221">
      <c r="A221" s="74" t="n">
        <v>40179</v>
      </c>
      <c r="B221" s="75">
        <f>VLOOKUP(A221,Database!A:M,MATCH($A$1,Database!$A$1:$M$1,),)</f>
        <v/>
      </c>
      <c r="C221" s="113">
        <f>(Table535141516[[#This Row],[Durable Goods]]-B220)/B220</f>
        <v/>
      </c>
    </row>
    <row r="222">
      <c r="A222" s="74" t="n">
        <v>40210</v>
      </c>
      <c r="B222" s="75">
        <f>VLOOKUP(A222,Database!A:M,MATCH($A$1,Database!$A$1:$M$1,),)</f>
        <v/>
      </c>
      <c r="C222" s="113">
        <f>(Table535141516[[#This Row],[Durable Goods]]-B221)/B221</f>
        <v/>
      </c>
    </row>
    <row r="223">
      <c r="A223" s="74" t="n">
        <v>40238</v>
      </c>
      <c r="B223" s="75">
        <f>VLOOKUP(A223,Database!A:M,MATCH($A$1,Database!$A$1:$M$1,),)</f>
        <v/>
      </c>
      <c r="C223" s="113">
        <f>(Table535141516[[#This Row],[Durable Goods]]-B222)/B222</f>
        <v/>
      </c>
    </row>
    <row r="224">
      <c r="A224" s="74" t="n">
        <v>40269</v>
      </c>
      <c r="B224" s="75">
        <f>VLOOKUP(A224,Database!A:M,MATCH($A$1,Database!$A$1:$M$1,),)</f>
        <v/>
      </c>
      <c r="C224" s="113">
        <f>(Table535141516[[#This Row],[Durable Goods]]-B223)/B223</f>
        <v/>
      </c>
    </row>
    <row r="225">
      <c r="A225" s="74" t="n">
        <v>40299</v>
      </c>
      <c r="B225" s="75">
        <f>VLOOKUP(A225,Database!A:M,MATCH($A$1,Database!$A$1:$M$1,),)</f>
        <v/>
      </c>
      <c r="C225" s="113">
        <f>(Table535141516[[#This Row],[Durable Goods]]-B224)/B224</f>
        <v/>
      </c>
    </row>
    <row r="226">
      <c r="A226" s="74" t="n">
        <v>40330</v>
      </c>
      <c r="B226" s="75">
        <f>VLOOKUP(A226,Database!A:M,MATCH($A$1,Database!$A$1:$M$1,),)</f>
        <v/>
      </c>
      <c r="C226" s="113">
        <f>(Table535141516[[#This Row],[Durable Goods]]-B225)/B225</f>
        <v/>
      </c>
    </row>
    <row r="227">
      <c r="A227" s="74" t="n">
        <v>40360</v>
      </c>
      <c r="B227" s="75">
        <f>VLOOKUP(A227,Database!A:M,MATCH($A$1,Database!$A$1:$M$1,),)</f>
        <v/>
      </c>
      <c r="C227" s="113">
        <f>(Table535141516[[#This Row],[Durable Goods]]-B226)/B226</f>
        <v/>
      </c>
    </row>
    <row r="228">
      <c r="A228" s="74" t="n">
        <v>40391</v>
      </c>
      <c r="B228" s="75">
        <f>VLOOKUP(A228,Database!A:M,MATCH($A$1,Database!$A$1:$M$1,),)</f>
        <v/>
      </c>
      <c r="C228" s="113">
        <f>(Table535141516[[#This Row],[Durable Goods]]-B227)/B227</f>
        <v/>
      </c>
    </row>
    <row r="229">
      <c r="A229" s="74" t="n">
        <v>40422</v>
      </c>
      <c r="B229" s="75">
        <f>VLOOKUP(A229,Database!A:M,MATCH($A$1,Database!$A$1:$M$1,),)</f>
        <v/>
      </c>
      <c r="C229" s="113">
        <f>(Table535141516[[#This Row],[Durable Goods]]-B228)/B228</f>
        <v/>
      </c>
    </row>
    <row r="230">
      <c r="A230" s="74" t="n">
        <v>40452</v>
      </c>
      <c r="B230" s="75">
        <f>VLOOKUP(A230,Database!A:M,MATCH($A$1,Database!$A$1:$M$1,),)</f>
        <v/>
      </c>
      <c r="C230" s="113">
        <f>(Table535141516[[#This Row],[Durable Goods]]-B229)/B229</f>
        <v/>
      </c>
    </row>
    <row r="231">
      <c r="A231" s="74" t="n">
        <v>40483</v>
      </c>
      <c r="B231" s="75">
        <f>VLOOKUP(A231,Database!A:M,MATCH($A$1,Database!$A$1:$M$1,),)</f>
        <v/>
      </c>
      <c r="C231" s="113">
        <f>(Table535141516[[#This Row],[Durable Goods]]-B230)/B230</f>
        <v/>
      </c>
    </row>
    <row r="232">
      <c r="A232" s="74" t="n">
        <v>40513</v>
      </c>
      <c r="B232" s="75">
        <f>VLOOKUP(A232,Database!A:M,MATCH($A$1,Database!$A$1:$M$1,),)</f>
        <v/>
      </c>
      <c r="C232" s="113">
        <f>(Table535141516[[#This Row],[Durable Goods]]-B231)/B231</f>
        <v/>
      </c>
    </row>
    <row r="233">
      <c r="A233" s="74" t="n">
        <v>40544</v>
      </c>
      <c r="B233" s="75">
        <f>VLOOKUP(A233,Database!A:M,MATCH($A$1,Database!$A$1:$M$1,),)</f>
        <v/>
      </c>
      <c r="C233" s="113">
        <f>(Table535141516[[#This Row],[Durable Goods]]-B232)/B232</f>
        <v/>
      </c>
    </row>
    <row r="234">
      <c r="A234" s="74" t="n">
        <v>40575</v>
      </c>
      <c r="B234" s="75">
        <f>VLOOKUP(A234,Database!A:M,MATCH($A$1,Database!$A$1:$M$1,),)</f>
        <v/>
      </c>
      <c r="C234" s="113">
        <f>(Table535141516[[#This Row],[Durable Goods]]-B233)/B233</f>
        <v/>
      </c>
    </row>
    <row r="235">
      <c r="A235" s="74" t="n">
        <v>40603</v>
      </c>
      <c r="B235" s="75">
        <f>VLOOKUP(A235,Database!A:M,MATCH($A$1,Database!$A$1:$M$1,),)</f>
        <v/>
      </c>
      <c r="C235" s="113">
        <f>(Table535141516[[#This Row],[Durable Goods]]-B234)/B234</f>
        <v/>
      </c>
    </row>
    <row r="236">
      <c r="A236" s="74" t="n">
        <v>40634</v>
      </c>
      <c r="B236" s="75">
        <f>VLOOKUP(A236,Database!A:M,MATCH($A$1,Database!$A$1:$M$1,),)</f>
        <v/>
      </c>
      <c r="C236" s="113">
        <f>(Table535141516[[#This Row],[Durable Goods]]-B235)/B235</f>
        <v/>
      </c>
    </row>
    <row r="237">
      <c r="A237" s="74" t="n">
        <v>40664</v>
      </c>
      <c r="B237" s="75">
        <f>VLOOKUP(A237,Database!A:M,MATCH($A$1,Database!$A$1:$M$1,),)</f>
        <v/>
      </c>
      <c r="C237" s="113">
        <f>(Table535141516[[#This Row],[Durable Goods]]-B236)/B236</f>
        <v/>
      </c>
    </row>
    <row r="238">
      <c r="A238" s="74" t="n">
        <v>40695</v>
      </c>
      <c r="B238" s="75">
        <f>VLOOKUP(A238,Database!A:M,MATCH($A$1,Database!$A$1:$M$1,),)</f>
        <v/>
      </c>
      <c r="C238" s="113">
        <f>(Table535141516[[#This Row],[Durable Goods]]-B237)/B237</f>
        <v/>
      </c>
    </row>
    <row r="239">
      <c r="A239" s="74" t="n">
        <v>40725</v>
      </c>
      <c r="B239" s="75">
        <f>VLOOKUP(A239,Database!A:M,MATCH($A$1,Database!$A$1:$M$1,),)</f>
        <v/>
      </c>
      <c r="C239" s="113">
        <f>(Table535141516[[#This Row],[Durable Goods]]-B238)/B238</f>
        <v/>
      </c>
    </row>
    <row r="240">
      <c r="A240" s="74" t="n">
        <v>40756</v>
      </c>
      <c r="B240" s="75">
        <f>VLOOKUP(A240,Database!A:M,MATCH($A$1,Database!$A$1:$M$1,),)</f>
        <v/>
      </c>
      <c r="C240" s="113">
        <f>(Table535141516[[#This Row],[Durable Goods]]-B239)/B239</f>
        <v/>
      </c>
    </row>
    <row r="241">
      <c r="A241" s="74" t="n">
        <v>40787</v>
      </c>
      <c r="B241" s="75">
        <f>VLOOKUP(A241,Database!A:M,MATCH($A$1,Database!$A$1:$M$1,),)</f>
        <v/>
      </c>
      <c r="C241" s="113">
        <f>(Table535141516[[#This Row],[Durable Goods]]-B240)/B240</f>
        <v/>
      </c>
    </row>
    <row r="242">
      <c r="A242" s="74" t="n">
        <v>40817</v>
      </c>
      <c r="B242" s="75">
        <f>VLOOKUP(A242,Database!A:M,MATCH($A$1,Database!$A$1:$M$1,),)</f>
        <v/>
      </c>
      <c r="C242" s="113">
        <f>(Table535141516[[#This Row],[Durable Goods]]-B241)/B241</f>
        <v/>
      </c>
    </row>
    <row r="243">
      <c r="A243" s="74" t="n">
        <v>40848</v>
      </c>
      <c r="B243" s="75">
        <f>VLOOKUP(A243,Database!A:M,MATCH($A$1,Database!$A$1:$M$1,),)</f>
        <v/>
      </c>
      <c r="C243" s="113">
        <f>(Table535141516[[#This Row],[Durable Goods]]-B242)/B242</f>
        <v/>
      </c>
    </row>
    <row r="244">
      <c r="A244" s="74" t="n">
        <v>40878</v>
      </c>
      <c r="B244" s="75">
        <f>VLOOKUP(A244,Database!A:M,MATCH($A$1,Database!$A$1:$M$1,),)</f>
        <v/>
      </c>
      <c r="C244" s="113">
        <f>(Table535141516[[#This Row],[Durable Goods]]-B243)/B243</f>
        <v/>
      </c>
    </row>
    <row r="245">
      <c r="A245" s="74" t="n">
        <v>40909</v>
      </c>
      <c r="B245" s="75">
        <f>VLOOKUP(A245,Database!A:M,MATCH($A$1,Database!$A$1:$M$1,),)</f>
        <v/>
      </c>
      <c r="C245" s="113">
        <f>(Table535141516[[#This Row],[Durable Goods]]-B244)/B244</f>
        <v/>
      </c>
    </row>
    <row r="246">
      <c r="A246" s="74" t="n">
        <v>40940</v>
      </c>
      <c r="B246" s="75">
        <f>VLOOKUP(A246,Database!A:M,MATCH($A$1,Database!$A$1:$M$1,),)</f>
        <v/>
      </c>
      <c r="C246" s="113">
        <f>(Table535141516[[#This Row],[Durable Goods]]-B245)/B245</f>
        <v/>
      </c>
    </row>
    <row r="247">
      <c r="A247" s="74" t="n">
        <v>40969</v>
      </c>
      <c r="B247" s="75">
        <f>VLOOKUP(A247,Database!A:M,MATCH($A$1,Database!$A$1:$M$1,),)</f>
        <v/>
      </c>
      <c r="C247" s="113">
        <f>(Table535141516[[#This Row],[Durable Goods]]-B246)/B246</f>
        <v/>
      </c>
    </row>
    <row r="248">
      <c r="A248" s="74" t="n">
        <v>41000</v>
      </c>
      <c r="B248" s="75">
        <f>VLOOKUP(A248,Database!A:M,MATCH($A$1,Database!$A$1:$M$1,),)</f>
        <v/>
      </c>
      <c r="C248" s="113">
        <f>(Table535141516[[#This Row],[Durable Goods]]-B247)/B247</f>
        <v/>
      </c>
    </row>
    <row r="249">
      <c r="A249" s="74" t="n">
        <v>41030</v>
      </c>
      <c r="B249" s="75">
        <f>VLOOKUP(A249,Database!A:M,MATCH($A$1,Database!$A$1:$M$1,),)</f>
        <v/>
      </c>
      <c r="C249" s="113">
        <f>(Table535141516[[#This Row],[Durable Goods]]-B248)/B248</f>
        <v/>
      </c>
    </row>
    <row r="250">
      <c r="A250" s="74" t="n">
        <v>41061</v>
      </c>
      <c r="B250" s="75">
        <f>VLOOKUP(A250,Database!A:M,MATCH($A$1,Database!$A$1:$M$1,),)</f>
        <v/>
      </c>
      <c r="C250" s="113">
        <f>(Table535141516[[#This Row],[Durable Goods]]-B249)/B249</f>
        <v/>
      </c>
    </row>
    <row r="251">
      <c r="A251" s="74" t="n">
        <v>41091</v>
      </c>
      <c r="B251" s="75">
        <f>VLOOKUP(A251,Database!A:M,MATCH($A$1,Database!$A$1:$M$1,),)</f>
        <v/>
      </c>
      <c r="C251" s="113">
        <f>(Table535141516[[#This Row],[Durable Goods]]-B250)/B250</f>
        <v/>
      </c>
    </row>
    <row r="252">
      <c r="A252" s="74" t="n">
        <v>41122</v>
      </c>
      <c r="B252" s="75">
        <f>VLOOKUP(A252,Database!A:M,MATCH($A$1,Database!$A$1:$M$1,),)</f>
        <v/>
      </c>
      <c r="C252" s="113">
        <f>(Table535141516[[#This Row],[Durable Goods]]-B251)/B251</f>
        <v/>
      </c>
    </row>
    <row r="253">
      <c r="A253" s="74" t="n">
        <v>41153</v>
      </c>
      <c r="B253" s="75">
        <f>VLOOKUP(A253,Database!A:M,MATCH($A$1,Database!$A$1:$M$1,),)</f>
        <v/>
      </c>
      <c r="C253" s="113">
        <f>(Table535141516[[#This Row],[Durable Goods]]-B252)/B252</f>
        <v/>
      </c>
    </row>
    <row r="254">
      <c r="A254" s="74" t="n">
        <v>41183</v>
      </c>
      <c r="B254" s="75">
        <f>VLOOKUP(A254,Database!A:M,MATCH($A$1,Database!$A$1:$M$1,),)</f>
        <v/>
      </c>
      <c r="C254" s="113">
        <f>(Table535141516[[#This Row],[Durable Goods]]-B253)/B253</f>
        <v/>
      </c>
    </row>
    <row r="255">
      <c r="A255" s="74" t="n">
        <v>41214</v>
      </c>
      <c r="B255" s="75">
        <f>VLOOKUP(A255,Database!A:M,MATCH($A$1,Database!$A$1:$M$1,),)</f>
        <v/>
      </c>
      <c r="C255" s="113">
        <f>(Table535141516[[#This Row],[Durable Goods]]-B254)/B254</f>
        <v/>
      </c>
    </row>
    <row r="256">
      <c r="A256" s="74" t="n">
        <v>41244</v>
      </c>
      <c r="B256" s="75">
        <f>VLOOKUP(A256,Database!A:M,MATCH($A$1,Database!$A$1:$M$1,),)</f>
        <v/>
      </c>
      <c r="C256" s="113">
        <f>(Table535141516[[#This Row],[Durable Goods]]-B255)/B255</f>
        <v/>
      </c>
    </row>
    <row r="257">
      <c r="A257" s="74" t="n">
        <v>41275</v>
      </c>
      <c r="B257" s="75">
        <f>VLOOKUP(A257,Database!A:M,MATCH($A$1,Database!$A$1:$M$1,),)</f>
        <v/>
      </c>
      <c r="C257" s="113">
        <f>(Table535141516[[#This Row],[Durable Goods]]-B256)/B256</f>
        <v/>
      </c>
    </row>
    <row r="258">
      <c r="A258" s="74" t="n">
        <v>41306</v>
      </c>
      <c r="B258" s="75">
        <f>VLOOKUP(A258,Database!A:M,MATCH($A$1,Database!$A$1:$M$1,),)</f>
        <v/>
      </c>
      <c r="C258" s="113">
        <f>(Table535141516[[#This Row],[Durable Goods]]-B257)/B257</f>
        <v/>
      </c>
    </row>
    <row r="259">
      <c r="A259" s="74" t="n">
        <v>41334</v>
      </c>
      <c r="B259" s="75">
        <f>VLOOKUP(A259,Database!A:M,MATCH($A$1,Database!$A$1:$M$1,),)</f>
        <v/>
      </c>
      <c r="C259" s="113">
        <f>(Table535141516[[#This Row],[Durable Goods]]-B258)/B258</f>
        <v/>
      </c>
    </row>
    <row r="260">
      <c r="A260" s="74" t="n">
        <v>41365</v>
      </c>
      <c r="B260" s="75">
        <f>VLOOKUP(A260,Database!A:M,MATCH($A$1,Database!$A$1:$M$1,),)</f>
        <v/>
      </c>
      <c r="C260" s="113">
        <f>(Table535141516[[#This Row],[Durable Goods]]-B259)/B259</f>
        <v/>
      </c>
    </row>
    <row r="261">
      <c r="A261" s="74" t="n">
        <v>41395</v>
      </c>
      <c r="B261" s="75">
        <f>VLOOKUP(A261,Database!A:M,MATCH($A$1,Database!$A$1:$M$1,),)</f>
        <v/>
      </c>
      <c r="C261" s="113">
        <f>(Table535141516[[#This Row],[Durable Goods]]-B260)/B260</f>
        <v/>
      </c>
    </row>
    <row r="262">
      <c r="A262" s="74" t="n">
        <v>41426</v>
      </c>
      <c r="B262" s="75">
        <f>VLOOKUP(A262,Database!A:M,MATCH($A$1,Database!$A$1:$M$1,),)</f>
        <v/>
      </c>
      <c r="C262" s="113">
        <f>(Table535141516[[#This Row],[Durable Goods]]-B261)/B261</f>
        <v/>
      </c>
    </row>
    <row r="263">
      <c r="A263" s="74" t="n">
        <v>41456</v>
      </c>
      <c r="B263" s="75">
        <f>VLOOKUP(A263,Database!A:M,MATCH($A$1,Database!$A$1:$M$1,),)</f>
        <v/>
      </c>
      <c r="C263" s="113">
        <f>(Table535141516[[#This Row],[Durable Goods]]-B262)/B262</f>
        <v/>
      </c>
    </row>
    <row r="264">
      <c r="A264" s="74" t="n">
        <v>41487</v>
      </c>
      <c r="B264" s="75">
        <f>VLOOKUP(A264,Database!A:M,MATCH($A$1,Database!$A$1:$M$1,),)</f>
        <v/>
      </c>
      <c r="C264" s="113">
        <f>(Table535141516[[#This Row],[Durable Goods]]-B263)/B263</f>
        <v/>
      </c>
    </row>
    <row r="265">
      <c r="A265" s="74" t="n">
        <v>41518</v>
      </c>
      <c r="B265" s="75">
        <f>VLOOKUP(A265,Database!A:M,MATCH($A$1,Database!$A$1:$M$1,),)</f>
        <v/>
      </c>
      <c r="C265" s="113">
        <f>(Table535141516[[#This Row],[Durable Goods]]-B264)/B264</f>
        <v/>
      </c>
    </row>
    <row r="266">
      <c r="A266" s="74" t="n">
        <v>41548</v>
      </c>
      <c r="B266" s="75">
        <f>VLOOKUP(A266,Database!A:M,MATCH($A$1,Database!$A$1:$M$1,),)</f>
        <v/>
      </c>
      <c r="C266" s="113">
        <f>(Table535141516[[#This Row],[Durable Goods]]-B265)/B265</f>
        <v/>
      </c>
    </row>
    <row r="267">
      <c r="A267" s="74" t="n">
        <v>41579</v>
      </c>
      <c r="B267" s="75">
        <f>VLOOKUP(A267,Database!A:M,MATCH($A$1,Database!$A$1:$M$1,),)</f>
        <v/>
      </c>
      <c r="C267" s="113">
        <f>(Table535141516[[#This Row],[Durable Goods]]-B266)/B266</f>
        <v/>
      </c>
    </row>
    <row r="268">
      <c r="A268" s="74" t="n">
        <v>41609</v>
      </c>
      <c r="B268" s="75">
        <f>VLOOKUP(A268,Database!A:M,MATCH($A$1,Database!$A$1:$M$1,),)</f>
        <v/>
      </c>
      <c r="C268" s="113">
        <f>(Table535141516[[#This Row],[Durable Goods]]-B267)/B267</f>
        <v/>
      </c>
    </row>
    <row r="269">
      <c r="A269" s="74" t="n">
        <v>41640</v>
      </c>
      <c r="B269" s="75">
        <f>VLOOKUP(A269,Database!A:M,MATCH($A$1,Database!$A$1:$M$1,),)</f>
        <v/>
      </c>
      <c r="C269" s="113">
        <f>(Table535141516[[#This Row],[Durable Goods]]-B268)/B268</f>
        <v/>
      </c>
    </row>
    <row r="270">
      <c r="A270" s="74" t="n">
        <v>41671</v>
      </c>
      <c r="B270" s="75">
        <f>VLOOKUP(A270,Database!A:M,MATCH($A$1,Database!$A$1:$M$1,),)</f>
        <v/>
      </c>
      <c r="C270" s="113">
        <f>(Table535141516[[#This Row],[Durable Goods]]-B269)/B269</f>
        <v/>
      </c>
    </row>
    <row r="271">
      <c r="A271" s="74" t="n">
        <v>41699</v>
      </c>
      <c r="B271" s="75">
        <f>VLOOKUP(A271,Database!A:M,MATCH($A$1,Database!$A$1:$M$1,),)</f>
        <v/>
      </c>
      <c r="C271" s="113">
        <f>(Table535141516[[#This Row],[Durable Goods]]-B270)/B270</f>
        <v/>
      </c>
    </row>
    <row r="272">
      <c r="A272" s="74" t="n">
        <v>41730</v>
      </c>
      <c r="B272" s="75">
        <f>VLOOKUP(A272,Database!A:M,MATCH($A$1,Database!$A$1:$M$1,),)</f>
        <v/>
      </c>
      <c r="C272" s="113">
        <f>(Table535141516[[#This Row],[Durable Goods]]-B271)/B271</f>
        <v/>
      </c>
    </row>
    <row r="273">
      <c r="A273" s="74" t="n">
        <v>41760</v>
      </c>
      <c r="B273" s="75">
        <f>VLOOKUP(A273,Database!A:M,MATCH($A$1,Database!$A$1:$M$1,),)</f>
        <v/>
      </c>
      <c r="C273" s="113">
        <f>(Table535141516[[#This Row],[Durable Goods]]-B272)/B272</f>
        <v/>
      </c>
    </row>
    <row r="274">
      <c r="A274" s="74" t="n">
        <v>41791</v>
      </c>
      <c r="B274" s="75">
        <f>VLOOKUP(A274,Database!A:M,MATCH($A$1,Database!$A$1:$M$1,),)</f>
        <v/>
      </c>
      <c r="C274" s="113">
        <f>(Table535141516[[#This Row],[Durable Goods]]-B273)/B273</f>
        <v/>
      </c>
    </row>
    <row r="275">
      <c r="A275" s="74" t="n">
        <v>41821</v>
      </c>
      <c r="B275" s="75">
        <f>VLOOKUP(A275,Database!A:M,MATCH($A$1,Database!$A$1:$M$1,),)</f>
        <v/>
      </c>
      <c r="C275" s="113">
        <f>(Table535141516[[#This Row],[Durable Goods]]-B274)/B274</f>
        <v/>
      </c>
    </row>
    <row r="276">
      <c r="A276" s="74" t="n">
        <v>41852</v>
      </c>
      <c r="B276" s="75">
        <f>VLOOKUP(A276,Database!A:M,MATCH($A$1,Database!$A$1:$M$1,),)</f>
        <v/>
      </c>
      <c r="C276" s="113">
        <f>(Table535141516[[#This Row],[Durable Goods]]-B275)/B275</f>
        <v/>
      </c>
    </row>
    <row r="277">
      <c r="A277" s="74" t="n">
        <v>41883</v>
      </c>
      <c r="B277" s="75">
        <f>VLOOKUP(A277,Database!A:M,MATCH($A$1,Database!$A$1:$M$1,),)</f>
        <v/>
      </c>
      <c r="C277" s="113">
        <f>(Table535141516[[#This Row],[Durable Goods]]-B276)/B276</f>
        <v/>
      </c>
    </row>
    <row r="278">
      <c r="A278" s="74" t="n">
        <v>41913</v>
      </c>
      <c r="B278" s="75">
        <f>VLOOKUP(A278,Database!A:M,MATCH($A$1,Database!$A$1:$M$1,),)</f>
        <v/>
      </c>
      <c r="C278" s="113">
        <f>(Table535141516[[#This Row],[Durable Goods]]-B277)/B277</f>
        <v/>
      </c>
    </row>
    <row r="279">
      <c r="A279" s="74" t="n">
        <v>41944</v>
      </c>
      <c r="B279" s="75">
        <f>VLOOKUP(A279,Database!A:M,MATCH($A$1,Database!$A$1:$M$1,),)</f>
        <v/>
      </c>
      <c r="C279" s="113">
        <f>(Table535141516[[#This Row],[Durable Goods]]-B278)/B278</f>
        <v/>
      </c>
    </row>
    <row r="280">
      <c r="A280" s="74" t="n">
        <v>41974</v>
      </c>
      <c r="B280" s="75">
        <f>VLOOKUP(A280,Database!A:M,MATCH($A$1,Database!$A$1:$M$1,),)</f>
        <v/>
      </c>
      <c r="C280" s="113">
        <f>(Table535141516[[#This Row],[Durable Goods]]-B279)/B279</f>
        <v/>
      </c>
    </row>
    <row r="281">
      <c r="A281" s="74" t="n">
        <v>42005</v>
      </c>
      <c r="B281" s="75">
        <f>VLOOKUP(A281,Database!A:M,MATCH($A$1,Database!$A$1:$M$1,),)</f>
        <v/>
      </c>
      <c r="C281" s="113">
        <f>(Table535141516[[#This Row],[Durable Goods]]-B280)/B280</f>
        <v/>
      </c>
    </row>
    <row r="282">
      <c r="A282" s="74" t="n">
        <v>42036</v>
      </c>
      <c r="B282" s="75">
        <f>VLOOKUP(A282,Database!A:M,MATCH($A$1,Database!$A$1:$M$1,),)</f>
        <v/>
      </c>
      <c r="C282" s="113">
        <f>(Table535141516[[#This Row],[Durable Goods]]-B281)/B281</f>
        <v/>
      </c>
    </row>
    <row r="283">
      <c r="A283" s="74" t="n">
        <v>42064</v>
      </c>
      <c r="B283" s="75">
        <f>VLOOKUP(A283,Database!A:M,MATCH($A$1,Database!$A$1:$M$1,),)</f>
        <v/>
      </c>
      <c r="C283" s="113">
        <f>(Table535141516[[#This Row],[Durable Goods]]-B282)/B282</f>
        <v/>
      </c>
    </row>
    <row r="284">
      <c r="A284" s="74" t="n">
        <v>42095</v>
      </c>
      <c r="B284" s="75">
        <f>VLOOKUP(A284,Database!A:M,MATCH($A$1,Database!$A$1:$M$1,),)</f>
        <v/>
      </c>
      <c r="C284" s="113">
        <f>(Table535141516[[#This Row],[Durable Goods]]-B283)/B283</f>
        <v/>
      </c>
    </row>
    <row r="285">
      <c r="A285" s="74" t="n">
        <v>42125</v>
      </c>
      <c r="B285" s="75">
        <f>VLOOKUP(A285,Database!A:M,MATCH($A$1,Database!$A$1:$M$1,),)</f>
        <v/>
      </c>
      <c r="C285" s="113">
        <f>(Table535141516[[#This Row],[Durable Goods]]-B284)/B284</f>
        <v/>
      </c>
    </row>
    <row r="286">
      <c r="A286" s="74" t="n">
        <v>42156</v>
      </c>
      <c r="B286" s="75">
        <f>VLOOKUP(A286,Database!A:M,MATCH($A$1,Database!$A$1:$M$1,),)</f>
        <v/>
      </c>
      <c r="C286" s="113">
        <f>(Table535141516[[#This Row],[Durable Goods]]-B285)/B285</f>
        <v/>
      </c>
    </row>
    <row r="287">
      <c r="A287" s="74" t="n">
        <v>42186</v>
      </c>
      <c r="B287" s="75">
        <f>VLOOKUP(A287,Database!A:M,MATCH($A$1,Database!$A$1:$M$1,),)</f>
        <v/>
      </c>
      <c r="C287" s="113">
        <f>(Table535141516[[#This Row],[Durable Goods]]-B286)/B286</f>
        <v/>
      </c>
    </row>
    <row r="288">
      <c r="A288" s="74" t="n">
        <v>42217</v>
      </c>
      <c r="B288" s="75">
        <f>VLOOKUP(A288,Database!A:M,MATCH($A$1,Database!$A$1:$M$1,),)</f>
        <v/>
      </c>
      <c r="C288" s="113">
        <f>(Table535141516[[#This Row],[Durable Goods]]-B287)/B287</f>
        <v/>
      </c>
    </row>
    <row r="289">
      <c r="A289" s="74" t="n">
        <v>42248</v>
      </c>
      <c r="B289" s="75">
        <f>VLOOKUP(A289,Database!A:M,MATCH($A$1,Database!$A$1:$M$1,),)</f>
        <v/>
      </c>
      <c r="C289" s="113">
        <f>(Table535141516[[#This Row],[Durable Goods]]-B288)/B288</f>
        <v/>
      </c>
    </row>
    <row r="290">
      <c r="A290" s="74" t="n">
        <v>42278</v>
      </c>
      <c r="B290" s="75">
        <f>VLOOKUP(A290,Database!A:M,MATCH($A$1,Database!$A$1:$M$1,),)</f>
        <v/>
      </c>
      <c r="C290" s="113">
        <f>(Table535141516[[#This Row],[Durable Goods]]-B289)/B289</f>
        <v/>
      </c>
    </row>
    <row r="291">
      <c r="A291" s="74" t="n">
        <v>42309</v>
      </c>
      <c r="B291" s="75">
        <f>VLOOKUP(A291,Database!A:M,MATCH($A$1,Database!$A$1:$M$1,),)</f>
        <v/>
      </c>
      <c r="C291" s="113">
        <f>(Table535141516[[#This Row],[Durable Goods]]-B290)/B290</f>
        <v/>
      </c>
    </row>
    <row r="292">
      <c r="A292" s="74" t="n">
        <v>42339</v>
      </c>
      <c r="B292" s="75">
        <f>VLOOKUP(A292,Database!A:M,MATCH($A$1,Database!$A$1:$M$1,),)</f>
        <v/>
      </c>
      <c r="C292" s="113">
        <f>(Table535141516[[#This Row],[Durable Goods]]-B291)/B291</f>
        <v/>
      </c>
    </row>
    <row r="293">
      <c r="A293" s="74" t="n">
        <v>42370</v>
      </c>
      <c r="B293" s="75">
        <f>VLOOKUP(A293,Database!A:M,MATCH($A$1,Database!$A$1:$M$1,),)</f>
        <v/>
      </c>
      <c r="C293" s="113">
        <f>(Table535141516[[#This Row],[Durable Goods]]-B292)/B292</f>
        <v/>
      </c>
    </row>
    <row r="294">
      <c r="A294" s="74" t="n">
        <v>42401</v>
      </c>
      <c r="B294" s="75">
        <f>VLOOKUP(A294,Database!A:M,MATCH($A$1,Database!$A$1:$M$1,),)</f>
        <v/>
      </c>
      <c r="C294" s="113">
        <f>(Table535141516[[#This Row],[Durable Goods]]-B293)/B293</f>
        <v/>
      </c>
    </row>
    <row r="295">
      <c r="A295" s="74" t="n">
        <v>42430</v>
      </c>
      <c r="B295" s="75">
        <f>VLOOKUP(A295,Database!A:M,MATCH($A$1,Database!$A$1:$M$1,),)</f>
        <v/>
      </c>
      <c r="C295" s="113">
        <f>(Table535141516[[#This Row],[Durable Goods]]-B294)/B294</f>
        <v/>
      </c>
    </row>
    <row r="296">
      <c r="A296" s="74" t="n">
        <v>42461</v>
      </c>
      <c r="B296" s="75">
        <f>VLOOKUP(A296,Database!A:M,MATCH($A$1,Database!$A$1:$M$1,),)</f>
        <v/>
      </c>
      <c r="C296" s="113">
        <f>(Table535141516[[#This Row],[Durable Goods]]-B295)/B295</f>
        <v/>
      </c>
    </row>
    <row r="297">
      <c r="A297" s="74" t="n">
        <v>42491</v>
      </c>
      <c r="B297" s="75">
        <f>VLOOKUP(A297,Database!A:M,MATCH($A$1,Database!$A$1:$M$1,),)</f>
        <v/>
      </c>
      <c r="C297" s="113">
        <f>(Table535141516[[#This Row],[Durable Goods]]-B296)/B296</f>
        <v/>
      </c>
    </row>
    <row r="298">
      <c r="A298" s="74" t="n">
        <v>42522</v>
      </c>
      <c r="B298" s="75">
        <f>VLOOKUP(A298,Database!A:M,MATCH($A$1,Database!$A$1:$M$1,),)</f>
        <v/>
      </c>
      <c r="C298" s="113">
        <f>(Table535141516[[#This Row],[Durable Goods]]-B297)/B297</f>
        <v/>
      </c>
    </row>
    <row r="299">
      <c r="A299" s="74" t="n">
        <v>42552</v>
      </c>
      <c r="B299" s="75">
        <f>VLOOKUP(A299,Database!A:M,MATCH($A$1,Database!$A$1:$M$1,),)</f>
        <v/>
      </c>
      <c r="C299" s="113">
        <f>(Table535141516[[#This Row],[Durable Goods]]-B298)/B298</f>
        <v/>
      </c>
    </row>
    <row r="300">
      <c r="A300" s="74" t="n">
        <v>42583</v>
      </c>
      <c r="B300" s="75">
        <f>VLOOKUP(A300,Database!A:M,MATCH($A$1,Database!$A$1:$M$1,),)</f>
        <v/>
      </c>
      <c r="C300" s="113">
        <f>(Table535141516[[#This Row],[Durable Goods]]-B299)/B299</f>
        <v/>
      </c>
    </row>
    <row r="301">
      <c r="A301" s="74" t="n">
        <v>42614</v>
      </c>
      <c r="B301" s="75">
        <f>VLOOKUP(A301,Database!A:M,MATCH($A$1,Database!$A$1:$M$1,),)</f>
        <v/>
      </c>
      <c r="C301" s="113">
        <f>(Table535141516[[#This Row],[Durable Goods]]-B300)/B300</f>
        <v/>
      </c>
    </row>
    <row r="302">
      <c r="A302" s="74" t="n">
        <v>42644</v>
      </c>
      <c r="B302" s="75">
        <f>VLOOKUP(A302,Database!A:M,MATCH($A$1,Database!$A$1:$M$1,),)</f>
        <v/>
      </c>
      <c r="C302" s="113">
        <f>(Table535141516[[#This Row],[Durable Goods]]-B301)/B301</f>
        <v/>
      </c>
    </row>
    <row r="303">
      <c r="A303" s="74" t="n">
        <v>42675</v>
      </c>
      <c r="B303" s="75">
        <f>VLOOKUP(A303,Database!A:M,MATCH($A$1,Database!$A$1:$M$1,),)</f>
        <v/>
      </c>
      <c r="C303" s="113">
        <f>(Table535141516[[#This Row],[Durable Goods]]-B302)/B302</f>
        <v/>
      </c>
    </row>
    <row r="304">
      <c r="A304" s="74" t="n">
        <v>42705</v>
      </c>
      <c r="B304" s="75">
        <f>VLOOKUP(A304,Database!A:M,MATCH($A$1,Database!$A$1:$M$1,),)</f>
        <v/>
      </c>
      <c r="C304" s="113">
        <f>(Table535141516[[#This Row],[Durable Goods]]-B303)/B303</f>
        <v/>
      </c>
    </row>
    <row r="305">
      <c r="A305" s="74" t="n">
        <v>42736</v>
      </c>
      <c r="B305" s="75">
        <f>VLOOKUP(A305,Database!A:M,MATCH($A$1,Database!$A$1:$M$1,),)</f>
        <v/>
      </c>
      <c r="C305" s="113">
        <f>(Table535141516[[#This Row],[Durable Goods]]-B304)/B304</f>
        <v/>
      </c>
    </row>
    <row r="306">
      <c r="A306" s="74" t="n">
        <v>42767</v>
      </c>
      <c r="B306" s="75">
        <f>VLOOKUP(A306,Database!A:M,MATCH($A$1,Database!$A$1:$M$1,),)</f>
        <v/>
      </c>
      <c r="C306" s="113">
        <f>(Table535141516[[#This Row],[Durable Goods]]-B305)/B305</f>
        <v/>
      </c>
    </row>
    <row r="307">
      <c r="A307" s="74" t="n">
        <v>42795</v>
      </c>
      <c r="B307" s="75">
        <f>VLOOKUP(A307,Database!A:M,MATCH($A$1,Database!$A$1:$M$1,),)</f>
        <v/>
      </c>
      <c r="C307" s="113">
        <f>(Table535141516[[#This Row],[Durable Goods]]-B306)/B306</f>
        <v/>
      </c>
    </row>
    <row r="308">
      <c r="A308" s="74" t="n">
        <v>42826</v>
      </c>
      <c r="B308" s="75">
        <f>VLOOKUP(A308,Database!A:M,MATCH($A$1,Database!$A$1:$M$1,),)</f>
        <v/>
      </c>
      <c r="C308" s="113">
        <f>(Table535141516[[#This Row],[Durable Goods]]-B307)/B307</f>
        <v/>
      </c>
    </row>
    <row r="309">
      <c r="A309" s="74" t="n">
        <v>42856</v>
      </c>
      <c r="B309" s="75">
        <f>VLOOKUP(A309,Database!A:M,MATCH($A$1,Database!$A$1:$M$1,),)</f>
        <v/>
      </c>
      <c r="C309" s="113">
        <f>(Table535141516[[#This Row],[Durable Goods]]-B308)/B308</f>
        <v/>
      </c>
    </row>
    <row r="310">
      <c r="A310" s="74" t="n">
        <v>42887</v>
      </c>
      <c r="B310" s="75">
        <f>VLOOKUP(A310,Database!A:M,MATCH($A$1,Database!$A$1:$M$1,),)</f>
        <v/>
      </c>
      <c r="C310" s="113">
        <f>(Table535141516[[#This Row],[Durable Goods]]-B309)/B309</f>
        <v/>
      </c>
    </row>
    <row r="311">
      <c r="A311" s="74" t="n">
        <v>42917</v>
      </c>
      <c r="B311" s="75">
        <f>VLOOKUP(A311,Database!A:M,MATCH($A$1,Database!$A$1:$M$1,),)</f>
        <v/>
      </c>
      <c r="C311" s="113">
        <f>(Table535141516[[#This Row],[Durable Goods]]-B310)/B310</f>
        <v/>
      </c>
    </row>
    <row r="312">
      <c r="A312" s="74" t="n">
        <v>42948</v>
      </c>
      <c r="B312" s="75">
        <f>VLOOKUP(A312,Database!A:M,MATCH($A$1,Database!$A$1:$M$1,),)</f>
        <v/>
      </c>
      <c r="C312" s="113">
        <f>(Table535141516[[#This Row],[Durable Goods]]-B311)/B311</f>
        <v/>
      </c>
    </row>
    <row r="313">
      <c r="A313" s="74" t="n">
        <v>42979</v>
      </c>
      <c r="B313" s="75">
        <f>VLOOKUP(A313,Database!A:M,MATCH($A$1,Database!$A$1:$M$1,),)</f>
        <v/>
      </c>
      <c r="C313" s="113">
        <f>(Table535141516[[#This Row],[Durable Goods]]-B312)/B312</f>
        <v/>
      </c>
    </row>
    <row r="314">
      <c r="A314" s="74" t="n">
        <v>43009</v>
      </c>
      <c r="B314" s="75">
        <f>VLOOKUP(A314,Database!A:M,MATCH($A$1,Database!$A$1:$M$1,),)</f>
        <v/>
      </c>
      <c r="C314" s="113">
        <f>(Table535141516[[#This Row],[Durable Goods]]-B313)/B313</f>
        <v/>
      </c>
    </row>
    <row r="315">
      <c r="A315" s="74" t="n">
        <v>43040</v>
      </c>
      <c r="B315" s="75">
        <f>VLOOKUP(A315,Database!A:M,MATCH($A$1,Database!$A$1:$M$1,),)</f>
        <v/>
      </c>
      <c r="C315" s="113">
        <f>(Table535141516[[#This Row],[Durable Goods]]-B314)/B314</f>
        <v/>
      </c>
    </row>
    <row r="316">
      <c r="A316" s="74" t="n">
        <v>43070</v>
      </c>
      <c r="B316" s="75">
        <f>VLOOKUP(A316,Database!A:M,MATCH($A$1,Database!$A$1:$M$1,),)</f>
        <v/>
      </c>
      <c r="C316" s="113">
        <f>(Table535141516[[#This Row],[Durable Goods]]-B315)/B315</f>
        <v/>
      </c>
    </row>
    <row r="317">
      <c r="A317" s="74" t="n">
        <v>43101</v>
      </c>
      <c r="B317" s="75">
        <f>VLOOKUP(A317,Database!A:M,MATCH($A$1,Database!$A$1:$M$1,),)</f>
        <v/>
      </c>
      <c r="C317" s="113">
        <f>(Table535141516[[#This Row],[Durable Goods]]-B316)/B316</f>
        <v/>
      </c>
    </row>
    <row r="318">
      <c r="A318" s="74" t="n">
        <v>43132</v>
      </c>
      <c r="B318" s="75">
        <f>VLOOKUP(A318,Database!A:M,MATCH($A$1,Database!$A$1:$M$1,),)</f>
        <v/>
      </c>
      <c r="C318" s="113">
        <f>(Table535141516[[#This Row],[Durable Goods]]-B317)/B317</f>
        <v/>
      </c>
    </row>
    <row r="319">
      <c r="A319" s="74" t="n">
        <v>43160</v>
      </c>
      <c r="B319" s="75">
        <f>VLOOKUP(A319,Database!A:M,MATCH($A$1,Database!$A$1:$M$1,),)</f>
        <v/>
      </c>
      <c r="C319" s="113">
        <f>(Table535141516[[#This Row],[Durable Goods]]-B318)/B318</f>
        <v/>
      </c>
    </row>
    <row r="320">
      <c r="A320" s="74" t="n">
        <v>43191</v>
      </c>
      <c r="B320" s="75">
        <f>VLOOKUP(A320,Database!A:M,MATCH($A$1,Database!$A$1:$M$1,),)</f>
        <v/>
      </c>
      <c r="C320" s="113">
        <f>(Table535141516[[#This Row],[Durable Goods]]-B319)/B319</f>
        <v/>
      </c>
    </row>
    <row r="321">
      <c r="A321" s="74" t="n">
        <v>43221</v>
      </c>
      <c r="B321" s="75">
        <f>VLOOKUP(A321,Database!A:M,MATCH($A$1,Database!$A$1:$M$1,),)</f>
        <v/>
      </c>
      <c r="C321" s="113">
        <f>(Table535141516[[#This Row],[Durable Goods]]-B320)/B320</f>
        <v/>
      </c>
    </row>
    <row r="322">
      <c r="A322" s="74" t="n">
        <v>43252</v>
      </c>
      <c r="B322" s="75">
        <f>VLOOKUP(A322,Database!A:M,MATCH($A$1,Database!$A$1:$M$1,),)</f>
        <v/>
      </c>
      <c r="C322" s="113">
        <f>(Table535141516[[#This Row],[Durable Goods]]-B321)/B321</f>
        <v/>
      </c>
    </row>
    <row r="323">
      <c r="A323" s="74" t="n">
        <v>43282</v>
      </c>
      <c r="B323" s="75">
        <f>VLOOKUP(A323,Database!A:M,MATCH($A$1,Database!$A$1:$M$1,),)</f>
        <v/>
      </c>
      <c r="C323" s="113">
        <f>(Table535141516[[#This Row],[Durable Goods]]-B322)/B322</f>
        <v/>
      </c>
    </row>
    <row r="324">
      <c r="A324" s="74" t="n">
        <v>43313</v>
      </c>
      <c r="B324" s="75">
        <f>VLOOKUP(A324,Database!A:M,MATCH($A$1,Database!$A$1:$M$1,),)</f>
        <v/>
      </c>
      <c r="C324" s="113">
        <f>(Table535141516[[#This Row],[Durable Goods]]-B323)/B323</f>
        <v/>
      </c>
    </row>
    <row r="325">
      <c r="A325" s="74" t="n">
        <v>43344</v>
      </c>
      <c r="B325" s="75">
        <f>VLOOKUP(A325,Database!A:M,MATCH($A$1,Database!$A$1:$M$1,),)</f>
        <v/>
      </c>
      <c r="C325" s="113">
        <f>(Table535141516[[#This Row],[Durable Goods]]-B324)/B324</f>
        <v/>
      </c>
    </row>
    <row r="326">
      <c r="A326" s="74" t="n">
        <v>43374</v>
      </c>
      <c r="B326" s="75">
        <f>VLOOKUP(A326,Database!A:M,MATCH($A$1,Database!$A$1:$M$1,),)</f>
        <v/>
      </c>
      <c r="C326" s="113">
        <f>(Table535141516[[#This Row],[Durable Goods]]-B325)/B325</f>
        <v/>
      </c>
    </row>
    <row r="327">
      <c r="A327" s="74" t="n">
        <v>43405</v>
      </c>
      <c r="B327" s="75">
        <f>VLOOKUP(A327,Database!A:M,MATCH($A$1,Database!$A$1:$M$1,),)</f>
        <v/>
      </c>
      <c r="C327" s="113">
        <f>(Table535141516[[#This Row],[Durable Goods]]-B326)/B326</f>
        <v/>
      </c>
    </row>
    <row r="328">
      <c r="A328" s="74" t="n">
        <v>43435</v>
      </c>
      <c r="B328" s="75">
        <f>VLOOKUP(A328,Database!A:M,MATCH($A$1,Database!$A$1:$M$1,),)</f>
        <v/>
      </c>
      <c r="C328" s="113">
        <f>(Table535141516[[#This Row],[Durable Goods]]-B327)/B327</f>
        <v/>
      </c>
    </row>
    <row r="329">
      <c r="A329" s="74" t="n">
        <v>43466</v>
      </c>
      <c r="B329" s="75">
        <f>VLOOKUP(A329,Database!A:M,MATCH($A$1,Database!$A$1:$M$1,),)</f>
        <v/>
      </c>
      <c r="C329" s="113">
        <f>(Table535141516[[#This Row],[Durable Goods]]-B328)/B328</f>
        <v/>
      </c>
    </row>
    <row r="330">
      <c r="A330" s="74" t="n">
        <v>43497</v>
      </c>
      <c r="B330" s="75">
        <f>VLOOKUP(A330,Database!A:M,MATCH($A$1,Database!$A$1:$M$1,),)</f>
        <v/>
      </c>
      <c r="C330" s="113">
        <f>(Table535141516[[#This Row],[Durable Goods]]-B329)/B329</f>
        <v/>
      </c>
    </row>
    <row r="331">
      <c r="A331" s="74" t="n">
        <v>43525</v>
      </c>
      <c r="B331" s="75">
        <f>VLOOKUP(A331,Database!A:M,MATCH($A$1,Database!$A$1:$M$1,),)</f>
        <v/>
      </c>
      <c r="C331" s="113">
        <f>(Table535141516[[#This Row],[Durable Goods]]-B330)/B330</f>
        <v/>
      </c>
    </row>
    <row r="332">
      <c r="A332" s="74" t="n">
        <v>43556</v>
      </c>
      <c r="B332" s="75">
        <f>VLOOKUP(A332,Database!A:M,MATCH($A$1,Database!$A$1:$M$1,),)</f>
        <v/>
      </c>
      <c r="C332" s="113">
        <f>(Table535141516[[#This Row],[Durable Goods]]-B331)/B331</f>
        <v/>
      </c>
    </row>
    <row r="333">
      <c r="A333" s="74" t="n">
        <v>43586</v>
      </c>
      <c r="B333" s="75">
        <f>VLOOKUP(A333,Database!A:M,MATCH($A$1,Database!$A$1:$M$1,),)</f>
        <v/>
      </c>
      <c r="C333" s="113">
        <f>(Table535141516[[#This Row],[Durable Goods]]-B332)/B332</f>
        <v/>
      </c>
    </row>
    <row r="334">
      <c r="A334" s="74" t="n">
        <v>43617</v>
      </c>
      <c r="B334" s="75">
        <f>VLOOKUP(A334,Database!A:M,MATCH($A$1,Database!$A$1:$M$1,),)</f>
        <v/>
      </c>
      <c r="C334" s="113">
        <f>(Table535141516[[#This Row],[Durable Goods]]-B333)/B333</f>
        <v/>
      </c>
    </row>
    <row r="335">
      <c r="A335" s="74" t="n">
        <v>43647</v>
      </c>
      <c r="B335" s="75">
        <f>VLOOKUP(A335,Database!A:M,MATCH($A$1,Database!$A$1:$M$1,),)</f>
        <v/>
      </c>
      <c r="C335" s="113">
        <f>(Table535141516[[#This Row],[Durable Goods]]-B334)/B334</f>
        <v/>
      </c>
    </row>
    <row r="336">
      <c r="A336" s="74" t="n">
        <v>43678</v>
      </c>
      <c r="B336" s="75">
        <f>VLOOKUP(A336,Database!A:M,MATCH($A$1,Database!$A$1:$M$1,),)</f>
        <v/>
      </c>
      <c r="C336" s="113">
        <f>(Table535141516[[#This Row],[Durable Goods]]-B335)/B335</f>
        <v/>
      </c>
    </row>
    <row r="337">
      <c r="A337" s="74" t="n">
        <v>43709</v>
      </c>
      <c r="B337" s="75">
        <f>VLOOKUP(A337,Database!A:M,MATCH($A$1,Database!$A$1:$M$1,),)</f>
        <v/>
      </c>
      <c r="C337" s="113">
        <f>(Table535141516[[#This Row],[Durable Goods]]-B336)/B336</f>
        <v/>
      </c>
    </row>
    <row r="338">
      <c r="A338" s="74" t="n">
        <v>43739</v>
      </c>
      <c r="B338" s="75">
        <f>VLOOKUP(A338,Database!A:M,MATCH($A$1,Database!$A$1:$M$1,),)</f>
        <v/>
      </c>
      <c r="C338" s="113">
        <f>(Table535141516[[#This Row],[Durable Goods]]-B337)/B337</f>
        <v/>
      </c>
    </row>
    <row r="339">
      <c r="A339" s="74" t="n">
        <v>43770</v>
      </c>
      <c r="B339" s="75">
        <f>VLOOKUP(A339,Database!A:M,MATCH($A$1,Database!$A$1:$M$1,),)</f>
        <v/>
      </c>
      <c r="C339" s="113">
        <f>(Table535141516[[#This Row],[Durable Goods]]-B338)/B338</f>
        <v/>
      </c>
    </row>
    <row r="340">
      <c r="A340" s="74" t="n">
        <v>43800</v>
      </c>
      <c r="B340" s="75">
        <f>VLOOKUP(A340,Database!A:M,MATCH($A$1,Database!$A$1:$M$1,),)</f>
        <v/>
      </c>
      <c r="C340" s="113">
        <f>(Table535141516[[#This Row],[Durable Goods]]-B339)/B339</f>
        <v/>
      </c>
    </row>
    <row r="341">
      <c r="A341" s="74" t="n">
        <v>43831</v>
      </c>
      <c r="B341" s="75">
        <f>VLOOKUP(A341,Database!A:M,MATCH($A$1,Database!$A$1:$M$1,),)</f>
        <v/>
      </c>
      <c r="C341" s="113">
        <f>(Table535141516[[#This Row],[Durable Goods]]-B340)/B340</f>
        <v/>
      </c>
    </row>
    <row r="342">
      <c r="A342" s="74" t="n">
        <v>43862</v>
      </c>
      <c r="B342" s="75">
        <f>VLOOKUP(A342,Database!A:M,MATCH($A$1,Database!$A$1:$M$1,),)</f>
        <v/>
      </c>
      <c r="C342" s="113">
        <f>(Table535141516[[#This Row],[Durable Goods]]-B341)/B341</f>
        <v/>
      </c>
    </row>
    <row r="343">
      <c r="A343" s="74" t="n">
        <v>43891</v>
      </c>
      <c r="B343" s="75">
        <f>VLOOKUP(A343,Database!A:M,MATCH($A$1,Database!$A$1:$M$1,),)</f>
        <v/>
      </c>
      <c r="C343" s="113">
        <f>(Table535141516[[#This Row],[Durable Goods]]-B342)/B342</f>
        <v/>
      </c>
    </row>
    <row r="344">
      <c r="A344" s="74" t="n">
        <v>43922</v>
      </c>
      <c r="B344" s="75">
        <f>VLOOKUP(A344,Database!A:M,MATCH($A$1,Database!$A$1:$M$1,),)</f>
        <v/>
      </c>
      <c r="C344" s="113">
        <f>(Table535141516[[#This Row],[Durable Goods]]-B343)/B343</f>
        <v/>
      </c>
    </row>
    <row r="345">
      <c r="A345" s="74" t="n">
        <v>43952</v>
      </c>
      <c r="B345" s="75">
        <f>VLOOKUP(A345,Database!A:M,MATCH($A$1,Database!$A$1:$M$1,),)</f>
        <v/>
      </c>
      <c r="C345" s="113">
        <f>(Table535141516[[#This Row],[Durable Goods]]-B344)/B344</f>
        <v/>
      </c>
    </row>
    <row r="346">
      <c r="A346" s="74" t="n">
        <v>43983</v>
      </c>
      <c r="B346" s="75">
        <f>VLOOKUP(A346,Database!A:M,MATCH($A$1,Database!$A$1:$M$1,),)</f>
        <v/>
      </c>
      <c r="C346" s="113">
        <f>(Table535141516[[#This Row],[Durable Goods]]-B345)/B345</f>
        <v/>
      </c>
    </row>
    <row r="347">
      <c r="A347" s="74" t="n">
        <v>44013</v>
      </c>
      <c r="B347" s="75">
        <f>VLOOKUP(A347,Database!A:M,MATCH($A$1,Database!$A$1:$M$1,),)</f>
        <v/>
      </c>
      <c r="C347" s="113">
        <f>(Table535141516[[#This Row],[Durable Goods]]-B346)/B346</f>
        <v/>
      </c>
    </row>
    <row r="348">
      <c r="A348" s="74" t="n">
        <v>44044</v>
      </c>
      <c r="B348" s="75">
        <f>VLOOKUP(A348,Database!A:M,MATCH($A$1,Database!$A$1:$M$1,),)</f>
        <v/>
      </c>
      <c r="C348" s="113">
        <f>(Table535141516[[#This Row],[Durable Goods]]-B347)/B347</f>
        <v/>
      </c>
    </row>
    <row r="349">
      <c r="A349" s="74" t="n">
        <v>44075</v>
      </c>
      <c r="B349" s="75">
        <f>VLOOKUP(A349,Database!A:M,MATCH($A$1,Database!$A$1:$M$1,),)</f>
        <v/>
      </c>
      <c r="C349" s="113">
        <f>(Table535141516[[#This Row],[Durable Goods]]-B348)/B348</f>
        <v/>
      </c>
    </row>
    <row r="350">
      <c r="A350" s="74" t="n">
        <v>44105</v>
      </c>
      <c r="B350" s="75">
        <f>VLOOKUP(A350,Database!A:M,MATCH($A$1,Database!$A$1:$M$1,),)</f>
        <v/>
      </c>
      <c r="C350" s="113">
        <f>(Table535141516[[#This Row],[Durable Goods]]-B349)/B349</f>
        <v/>
      </c>
    </row>
    <row r="351">
      <c r="A351" s="74" t="n">
        <v>44136</v>
      </c>
      <c r="B351" s="75">
        <f>VLOOKUP(A351,Database!A:M,MATCH($A$1,Database!$A$1:$M$1,),)</f>
        <v/>
      </c>
      <c r="C351" s="113">
        <f>(Table535141516[[#This Row],[Durable Goods]]-B350)/B350</f>
        <v/>
      </c>
    </row>
    <row r="352">
      <c r="A352" s="74" t="n">
        <v>44166</v>
      </c>
      <c r="B352" s="75">
        <f>VLOOKUP(A352,Database!A:M,MATCH($A$1,Database!$A$1:$M$1,),)</f>
        <v/>
      </c>
      <c r="C352" s="113">
        <f>(Table535141516[[#This Row],[Durable Goods]]-B351)/B351</f>
        <v/>
      </c>
    </row>
    <row r="353">
      <c r="A353" s="74" t="n">
        <v>44197</v>
      </c>
      <c r="B353" s="75">
        <f>VLOOKUP(A353,Database!A:M,MATCH($A$1,Database!$A$1:$M$1,),)</f>
        <v/>
      </c>
      <c r="C353" s="113">
        <f>(Table535141516[[#This Row],[Durable Goods]]-B352)/B352</f>
        <v/>
      </c>
    </row>
    <row r="354">
      <c r="A354" s="74" t="n">
        <v>44228</v>
      </c>
      <c r="B354" s="75">
        <f>VLOOKUP(A354,Database!A:M,MATCH($A$1,Database!$A$1:$M$1,),)</f>
        <v/>
      </c>
      <c r="C354" s="113">
        <f>(Table535141516[[#This Row],[Durable Goods]]-B353)/B353</f>
        <v/>
      </c>
    </row>
    <row r="355">
      <c r="A355" s="74" t="n">
        <v>44256</v>
      </c>
      <c r="B355" s="75">
        <f>VLOOKUP(A355,Database!A:M,MATCH($A$1,Database!$A$1:$M$1,),)</f>
        <v/>
      </c>
      <c r="C355" s="113">
        <f>(Table535141516[[#This Row],[Durable Goods]]-B354)/B354</f>
        <v/>
      </c>
    </row>
    <row r="356">
      <c r="A356" s="74" t="n">
        <v>44287</v>
      </c>
      <c r="B356" s="75">
        <f>VLOOKUP(A356,Database!A:M,MATCH($A$1,Database!$A$1:$M$1,),)</f>
        <v/>
      </c>
      <c r="C356" s="113">
        <f>(Table535141516[[#This Row],[Durable Goods]]-B355)/B355</f>
        <v/>
      </c>
    </row>
    <row r="357">
      <c r="A357" s="74" t="n">
        <v>44317</v>
      </c>
      <c r="B357" s="75">
        <f>VLOOKUP(A357,Database!A:M,MATCH($A$1,Database!$A$1:$M$1,),)</f>
        <v/>
      </c>
      <c r="C357" s="113">
        <f>(Table535141516[[#This Row],[Durable Goods]]-B356)/B356</f>
        <v/>
      </c>
    </row>
    <row r="358">
      <c r="A358" s="74" t="n">
        <v>44348</v>
      </c>
      <c r="B358" s="75">
        <f>VLOOKUP(A358,Database!A:M,MATCH($A$1,Database!$A$1:$M$1,),)</f>
        <v/>
      </c>
      <c r="C358" s="113">
        <f>(Table535141516[[#This Row],[Durable Goods]]-B357)/B357</f>
        <v/>
      </c>
    </row>
    <row r="359">
      <c r="A359" s="74" t="n">
        <v>44378</v>
      </c>
      <c r="B359" s="75">
        <f>VLOOKUP(A359,Database!A:M,MATCH($A$1,Database!$A$1:$M$1,),)</f>
        <v/>
      </c>
      <c r="C359" s="113">
        <f>(Table535141516[[#This Row],[Durable Goods]]-B358)/B358</f>
        <v/>
      </c>
    </row>
    <row r="360">
      <c r="A360" s="74" t="n">
        <v>44409</v>
      </c>
      <c r="B360" s="75">
        <f>VLOOKUP(A360,Database!A:M,MATCH($A$1,Database!$A$1:$M$1,),)</f>
        <v/>
      </c>
      <c r="C360" s="113">
        <f>(Table535141516[[#This Row],[Durable Goods]]-B359)/B359</f>
        <v/>
      </c>
    </row>
    <row r="361">
      <c r="A361" s="74" t="n">
        <v>44440</v>
      </c>
      <c r="B361" s="75">
        <f>VLOOKUP(A361,Database!A:M,MATCH($A$1,Database!$A$1:$M$1,),)</f>
        <v/>
      </c>
      <c r="C361" s="113">
        <f>(Table535141516[[#This Row],[Durable Goods]]-B360)/B360</f>
        <v/>
      </c>
    </row>
    <row r="362">
      <c r="A362" s="74" t="n">
        <v>44470</v>
      </c>
      <c r="B362" s="75">
        <f>VLOOKUP(A362,Database!A:M,MATCH($A$1,Database!$A$1:$M$1,),)</f>
        <v/>
      </c>
      <c r="C362" s="113">
        <f>(Table535141516[[#This Row],[Durable Goods]]-B361)/B361</f>
        <v/>
      </c>
    </row>
    <row r="363">
      <c r="A363" s="74" t="n">
        <v>44501</v>
      </c>
      <c r="B363" s="75">
        <f>VLOOKUP(A363,Database!A:M,MATCH($A$1,Database!$A$1:$M$1,),)</f>
        <v/>
      </c>
      <c r="C363" s="113">
        <f>(Table535141516[[#This Row],[Durable Goods]]-B362)/B362</f>
        <v/>
      </c>
    </row>
    <row r="364">
      <c r="A364" s="74" t="n">
        <v>44531</v>
      </c>
      <c r="B364" s="75">
        <f>VLOOKUP(A364,Database!A:M,MATCH($A$1,Database!$A$1:$M$1,),)</f>
        <v/>
      </c>
      <c r="C364" s="113">
        <f>(Table535141516[[#This Row],[Durable Goods]]-B363)/B363</f>
        <v/>
      </c>
    </row>
    <row r="365">
      <c r="A365" s="74" t="n">
        <v>44562</v>
      </c>
      <c r="B365" s="75">
        <f>VLOOKUP(A365,Database!A:M,MATCH($A$1,Database!$A$1:$M$1,),)</f>
        <v/>
      </c>
      <c r="C365" s="113">
        <f>(Table535141516[[#This Row],[Durable Goods]]-B364)/B364</f>
        <v/>
      </c>
    </row>
    <row r="366">
      <c r="A366" s="74" t="n">
        <v>44593</v>
      </c>
      <c r="B366" s="75">
        <f>VLOOKUP(A366,Database!A:M,MATCH($A$1,Database!$A$1:$M$1,),)</f>
        <v/>
      </c>
      <c r="C366" s="113">
        <f>(Table535141516[[#This Row],[Durable Goods]]-B365)/B365</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2022-04-02T12:54:20Z</dcterms:modified>
  <cp:lastModifiedBy>Mark Mukherjee</cp:lastModifiedBy>
</cp:coreProperties>
</file>