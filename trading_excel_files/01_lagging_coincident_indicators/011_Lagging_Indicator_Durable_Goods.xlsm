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1820" yWindow="-480" windowWidth="53460" windowHeight="2682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 fillId="3" borderId="0" applyAlignment="1" pivotButton="0" quotePrefix="0" xfId="0">
      <alignment horizontal="center" vertic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Aircraft'!$B$6:$B$365</f>
              <numCache>
                <formatCode>#,##0</formatCode>
                <ptCount val="360"/>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Aircraft'!$C$6:$C$365</f>
              <numCache>
                <formatCode>0.0%</formatCode>
                <ptCount val="360"/>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Orders'!$C$6:$C$365</f>
              <numCache>
                <formatCode>0.0%</formatCode>
                <ptCount val="360"/>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Transport'!$C$6:$C$365</f>
              <numCache>
                <formatCode>0.0%</formatCode>
                <ptCount val="360"/>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Transport'!$B$6:$B$365</f>
              <numCache>
                <formatCode>#,##0</formatCode>
                <ptCount val="360"/>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Other!$C$6:$C$365</f>
              <numCache>
                <formatCode>0.0%</formatCode>
                <ptCount val="360"/>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5" headerRowCount="1" totalsRowShown="0" headerRowDxfId="23" dataDxfId="21" headerRowBorderDxfId="22">
  <autoFilter ref="A5:C365"/>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5" headerRowCount="1" totalsRowShown="0" headerRowDxfId="17" dataDxfId="15" headerRowBorderDxfId="16">
  <autoFilter ref="A5:C365"/>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5" headerRowCount="1" totalsRowShown="0" headerRowDxfId="11" dataDxfId="9" headerRowBorderDxfId="10">
  <autoFilter ref="A5:C365"/>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5" headerRowCount="1" totalsRowShown="0" headerRowDxfId="5" dataDxfId="3" headerRowBorderDxfId="4">
  <autoFilter ref="A5:C365"/>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zoomScale="120" zoomScaleNormal="120" workbookViewId="0">
      <selection activeCell="Q21" sqref="Q21"/>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1"/>
    <col width="9.1640625" customWidth="1" style="123" min="22"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44531</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101">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102">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102">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102">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102">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102">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102">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102">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102">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103">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4" t="n"/>
      <c r="G11" s="104" t="n"/>
      <c r="H11" s="104" t="n"/>
      <c r="I11" s="34" t="n"/>
      <c r="J11" s="34" t="n"/>
      <c r="K11" s="34" t="n"/>
      <c r="L11" s="34" t="n"/>
      <c r="M11" s="34" t="n"/>
      <c r="N11" s="105" t="n"/>
    </row>
    <row r="12" ht="18" customHeight="1" s="142">
      <c r="A12" s="35" t="inlineStr">
        <is>
          <t>DURABLE GOODS</t>
        </is>
      </c>
      <c r="B12" s="36" t="n"/>
      <c r="C12" s="37" t="n"/>
      <c r="D12" s="37" t="n"/>
      <c r="E12" s="37" t="n"/>
      <c r="F12" s="106" t="n"/>
      <c r="G12" s="106" t="n"/>
      <c r="H12" s="106" t="n"/>
      <c r="I12" s="37" t="n"/>
      <c r="J12" s="37" t="n"/>
      <c r="K12" s="37" t="n"/>
      <c r="L12" s="37" t="n"/>
      <c r="M12" s="37" t="n"/>
      <c r="N12" s="107" t="n"/>
    </row>
    <row r="13" ht="9" customHeight="1" s="142">
      <c r="A13" s="38" t="n"/>
      <c r="B13" s="33" t="n"/>
      <c r="C13" s="37" t="n"/>
      <c r="D13" s="37" t="n"/>
      <c r="E13" s="37" t="n"/>
      <c r="F13" s="106" t="n"/>
      <c r="G13" s="106" t="n"/>
      <c r="H13" s="106" t="n"/>
      <c r="I13" s="37" t="n"/>
      <c r="J13" s="37" t="n"/>
      <c r="K13" s="37" t="n"/>
      <c r="L13" s="37" t="n"/>
      <c r="M13" s="37" t="n"/>
      <c r="N13" s="107" t="n"/>
    </row>
    <row r="14" ht="17" customHeight="1" s="142">
      <c r="A14" s="39" t="inlineStr">
        <is>
          <t xml:space="preserve">   Total:</t>
        </is>
      </c>
      <c r="B14" s="33" t="n"/>
      <c r="C14" s="37" t="inlineStr">
        <is>
          <t xml:space="preserve"> </t>
        </is>
      </c>
      <c r="D14" s="37" t="inlineStr">
        <is>
          <t xml:space="preserve"> </t>
        </is>
      </c>
      <c r="E14" s="37" t="inlineStr">
        <is>
          <t xml:space="preserve"> </t>
        </is>
      </c>
      <c r="F14" s="106" t="inlineStr">
        <is>
          <t xml:space="preserve"> </t>
        </is>
      </c>
      <c r="G14" s="106" t="inlineStr">
        <is>
          <t xml:space="preserve"> </t>
        </is>
      </c>
      <c r="H14" s="106"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7" t="inlineStr">
        <is>
          <t xml:space="preserve"> </t>
        </is>
      </c>
    </row>
    <row r="15" ht="18.75" customHeight="1" s="142">
      <c r="A15" s="40" t="inlineStr">
        <is>
          <t xml:space="preserve">               Shipments…………………………..</t>
        </is>
      </c>
      <c r="B15" s="33" t="n"/>
      <c r="C15" s="41" t="n">
        <v>254092</v>
      </c>
      <c r="D15" s="41" t="n">
        <v>253190</v>
      </c>
      <c r="E15" s="41" t="n">
        <v>257319</v>
      </c>
      <c r="F15" s="108" t="n">
        <v>0.4</v>
      </c>
      <c r="G15" s="108" t="n">
        <v>-1.6</v>
      </c>
      <c r="H15" s="108" t="n">
        <v>-0.5</v>
      </c>
      <c r="I15" s="41" t="n">
        <v>261855</v>
      </c>
      <c r="J15" s="41" t="n">
        <v>252218</v>
      </c>
      <c r="K15" s="41" t="n">
        <v>254534</v>
      </c>
      <c r="L15" s="41" t="n">
        <v>1262276</v>
      </c>
      <c r="M15" s="41" t="n">
        <v>1214767</v>
      </c>
      <c r="N15" s="109" t="n">
        <v>3.9</v>
      </c>
    </row>
    <row r="16" ht="19.5" customHeight="1" s="142">
      <c r="A16" s="40" t="inlineStr">
        <is>
          <t xml:space="preserve">               New Orders4…………………………</t>
        </is>
      </c>
      <c r="B16" s="33" t="n"/>
      <c r="C16" s="59" t="n">
        <v>243367</v>
      </c>
      <c r="D16" s="41" t="n">
        <v>246694</v>
      </c>
      <c r="E16" s="41" t="n">
        <v>253834</v>
      </c>
      <c r="F16" s="108" t="n">
        <v>-1.3</v>
      </c>
      <c r="G16" s="108" t="n">
        <v>-2.8</v>
      </c>
      <c r="H16" s="108" t="n">
        <v>1.7</v>
      </c>
      <c r="I16" s="41" t="n">
        <v>244890</v>
      </c>
      <c r="J16" s="41" t="n">
        <v>245438</v>
      </c>
      <c r="K16" s="41" t="n">
        <v>253209</v>
      </c>
      <c r="L16" s="41" t="n">
        <v>1235760</v>
      </c>
      <c r="M16" s="41" t="n">
        <v>1223819</v>
      </c>
      <c r="N16" s="109" t="n">
        <v>1</v>
      </c>
    </row>
    <row r="17" ht="9" customHeight="1" s="142">
      <c r="A17" s="40" t="n"/>
      <c r="B17" s="33" t="n"/>
      <c r="C17" s="41" t="n"/>
      <c r="D17" s="41" t="n"/>
      <c r="E17" s="41" t="n"/>
      <c r="F17" s="108" t="n"/>
      <c r="G17" s="108" t="n"/>
      <c r="H17" s="108" t="n"/>
      <c r="I17" s="41" t="n"/>
      <c r="J17" s="41" t="n"/>
      <c r="K17" s="41" t="n"/>
      <c r="L17" s="41" t="n"/>
      <c r="M17" s="41" t="n"/>
      <c r="N17" s="109" t="n"/>
    </row>
    <row r="18" ht="20" customHeight="1" s="142">
      <c r="A18" s="42" t="inlineStr">
        <is>
          <t xml:space="preserve">         Excluding transportation:</t>
        </is>
      </c>
      <c r="B18" s="33" t="n"/>
      <c r="C18" s="41" t="n"/>
      <c r="D18" s="41" t="n"/>
      <c r="E18" s="41" t="n"/>
      <c r="F18" s="108" t="n"/>
      <c r="G18" s="108" t="n"/>
      <c r="H18" s="108" t="n"/>
      <c r="I18" s="41" t="n"/>
      <c r="J18" s="41" t="n"/>
      <c r="K18" s="41" t="n"/>
      <c r="L18" s="41" t="n"/>
      <c r="M18" s="41" t="n"/>
      <c r="N18" s="109" t="n"/>
    </row>
    <row r="19" ht="17.25" customHeight="1" s="142">
      <c r="A19" s="40" t="inlineStr">
        <is>
          <t xml:space="preserve">               Shipments…………………………..</t>
        </is>
      </c>
      <c r="B19" s="33" t="n"/>
      <c r="C19" s="41" t="n">
        <v>168337</v>
      </c>
      <c r="D19" s="41" t="n">
        <v>167677</v>
      </c>
      <c r="E19" s="41" t="n">
        <v>167815</v>
      </c>
      <c r="F19" s="108" t="n">
        <v>0.4</v>
      </c>
      <c r="G19" s="108" t="n">
        <v>-0.1</v>
      </c>
      <c r="H19" s="108" t="n">
        <v>-0.7</v>
      </c>
      <c r="I19" s="41" t="n">
        <v>173204</v>
      </c>
      <c r="J19" s="41" t="n">
        <v>167920</v>
      </c>
      <c r="K19" s="41" t="n">
        <v>169648</v>
      </c>
      <c r="L19" s="41" t="n">
        <v>825457</v>
      </c>
      <c r="M19" s="41" t="n">
        <v>802497</v>
      </c>
      <c r="N19" s="109" t="n">
        <v>2.9</v>
      </c>
    </row>
    <row r="20" ht="18" customHeight="1" s="142">
      <c r="A20" s="40" t="inlineStr">
        <is>
          <t xml:space="preserve">               New Orders4…………………………</t>
        </is>
      </c>
      <c r="B20" s="33" t="n"/>
      <c r="C20" s="41" t="n">
        <v>163371</v>
      </c>
      <c r="D20" s="41" t="n">
        <v>162840</v>
      </c>
      <c r="E20" s="41" t="n">
        <v>163039</v>
      </c>
      <c r="F20" s="108" t="n">
        <v>0.3</v>
      </c>
      <c r="G20" s="108" t="n">
        <v>-0.1</v>
      </c>
      <c r="H20" s="108" t="n">
        <v>-0.5</v>
      </c>
      <c r="I20" s="41" t="n">
        <v>168217</v>
      </c>
      <c r="J20" s="41" t="n">
        <v>165761</v>
      </c>
      <c r="K20" s="41" t="n">
        <v>168092</v>
      </c>
      <c r="L20" s="41" t="n">
        <v>815382</v>
      </c>
      <c r="M20" s="41" t="n">
        <v>803279</v>
      </c>
      <c r="N20" s="109" t="n">
        <v>1.5</v>
      </c>
    </row>
    <row r="21" ht="9" customHeight="1" s="142">
      <c r="A21" s="40" t="n"/>
      <c r="B21" s="33" t="n"/>
      <c r="C21" s="41" t="n"/>
      <c r="D21" s="41" t="n"/>
      <c r="E21" s="41" t="n"/>
      <c r="F21" s="108" t="n"/>
      <c r="G21" s="108" t="n"/>
      <c r="H21" s="108" t="n"/>
      <c r="I21" s="41" t="n"/>
      <c r="J21" s="41" t="n"/>
      <c r="K21" s="41" t="n"/>
      <c r="L21" s="41" t="n"/>
      <c r="M21" s="41" t="n"/>
      <c r="N21" s="109" t="n"/>
    </row>
    <row r="22" ht="20" customHeight="1" s="142">
      <c r="A22" s="42" t="inlineStr">
        <is>
          <t xml:space="preserve">         Excluding defense:</t>
        </is>
      </c>
      <c r="B22" s="33" t="n"/>
      <c r="C22" s="41" t="n"/>
      <c r="D22" s="41" t="n"/>
      <c r="E22" s="41" t="n"/>
      <c r="F22" s="108" t="n"/>
      <c r="G22" s="108" t="n"/>
      <c r="H22" s="108" t="n"/>
      <c r="I22" s="41" t="n"/>
      <c r="J22" s="41" t="n"/>
      <c r="K22" s="41" t="n"/>
      <c r="L22" s="41" t="n"/>
      <c r="M22" s="41" t="n"/>
      <c r="N22" s="109" t="n"/>
    </row>
    <row r="23" ht="17.25" customHeight="1" s="142">
      <c r="A23" s="40" t="inlineStr">
        <is>
          <t xml:space="preserve">               Shipments…………………………..</t>
        </is>
      </c>
      <c r="B23" s="33" t="n"/>
      <c r="C23" s="41" t="n">
        <v>239037</v>
      </c>
      <c r="D23" s="41" t="n">
        <v>238127</v>
      </c>
      <c r="E23" s="41" t="n">
        <v>242824</v>
      </c>
      <c r="F23" s="108" t="n">
        <v>0.4</v>
      </c>
      <c r="G23" s="108" t="n">
        <v>-1.9</v>
      </c>
      <c r="H23" s="108" t="n">
        <v>-0.6</v>
      </c>
      <c r="I23" s="41" t="n">
        <v>247078</v>
      </c>
      <c r="J23" s="41" t="n">
        <v>238689</v>
      </c>
      <c r="K23" s="41" t="n">
        <v>241367</v>
      </c>
      <c r="L23" s="41" t="n">
        <v>1191391</v>
      </c>
      <c r="M23" s="41" t="n">
        <v>1151435</v>
      </c>
      <c r="N23" s="109" t="n">
        <v>3.5</v>
      </c>
    </row>
    <row r="24" ht="20.25" customHeight="1" s="142">
      <c r="A24" s="40" t="inlineStr">
        <is>
          <t xml:space="preserve">               New Orders4…………………………</t>
        </is>
      </c>
      <c r="B24" s="33" t="n"/>
      <c r="C24" s="41" t="n">
        <v>227976</v>
      </c>
      <c r="D24" s="41" t="n">
        <v>229451</v>
      </c>
      <c r="E24" s="41" t="n">
        <v>237243</v>
      </c>
      <c r="F24" s="108" t="n">
        <v>-0.6</v>
      </c>
      <c r="G24" s="108" t="n">
        <v>-3.3</v>
      </c>
      <c r="H24" s="108" t="n">
        <v>0.1</v>
      </c>
      <c r="I24" s="41" t="n">
        <v>231842</v>
      </c>
      <c r="J24" s="41" t="n">
        <v>231325</v>
      </c>
      <c r="K24" s="41" t="n">
        <v>239784</v>
      </c>
      <c r="L24" s="41" t="n">
        <v>1164577</v>
      </c>
      <c r="M24" s="41" t="n">
        <v>1160583</v>
      </c>
      <c r="N24" s="109" t="n">
        <v>0.3</v>
      </c>
    </row>
    <row r="25" ht="9" customHeight="1" s="142">
      <c r="A25" s="43" t="n"/>
      <c r="B25" s="33" t="n"/>
      <c r="C25" s="41" t="n"/>
      <c r="D25" s="41" t="n"/>
      <c r="E25" s="41" t="n"/>
      <c r="F25" s="108" t="n"/>
      <c r="G25" s="108" t="n"/>
      <c r="H25" s="108" t="n"/>
      <c r="I25" s="41" t="n"/>
      <c r="J25" s="41" t="n"/>
      <c r="K25" s="41" t="n"/>
      <c r="L25" s="41" t="n"/>
      <c r="M25" s="41" t="n"/>
      <c r="N25" s="109" t="n"/>
    </row>
    <row r="26" ht="20" customHeight="1" s="142">
      <c r="A26" s="42" t="inlineStr">
        <is>
          <t xml:space="preserve">    Manufacturing with unfilled orders:</t>
        </is>
      </c>
      <c r="B26" s="33" t="n"/>
      <c r="C26" s="41" t="n"/>
      <c r="D26" s="41" t="n"/>
      <c r="E26" s="41" t="n"/>
      <c r="F26" s="108" t="n"/>
      <c r="G26" s="108" t="n"/>
      <c r="H26" s="108" t="n"/>
      <c r="I26" s="41" t="n"/>
      <c r="J26" s="41" t="n"/>
      <c r="K26" s="41" t="n"/>
      <c r="L26" s="41" t="n"/>
      <c r="M26" s="41" t="n"/>
      <c r="N26" s="109" t="n"/>
    </row>
    <row r="27" ht="17.25" customHeight="1" s="142">
      <c r="A27" s="40" t="inlineStr">
        <is>
          <t xml:space="preserve">               Shipments…………………………..</t>
        </is>
      </c>
      <c r="B27" s="33" t="n"/>
      <c r="C27" s="41" t="n">
        <v>176299</v>
      </c>
      <c r="D27" s="41" t="n">
        <v>175963</v>
      </c>
      <c r="E27" s="41" t="n">
        <v>178585</v>
      </c>
      <c r="F27" s="108" t="n">
        <v>0.2</v>
      </c>
      <c r="G27" s="108" t="n">
        <v>-1.5</v>
      </c>
      <c r="H27" s="108" t="n">
        <v>-0.6</v>
      </c>
      <c r="I27" s="41" t="n">
        <v>181805</v>
      </c>
      <c r="J27" s="41" t="n">
        <v>173849</v>
      </c>
      <c r="K27" s="41" t="n">
        <v>179552</v>
      </c>
      <c r="L27" s="41" t="n">
        <v>874765</v>
      </c>
      <c r="M27" s="41" t="n">
        <v>844699</v>
      </c>
      <c r="N27" s="109" t="n">
        <v>3.6</v>
      </c>
    </row>
    <row r="28" ht="19.5" customHeight="1" s="142">
      <c r="A28" s="40" t="inlineStr">
        <is>
          <t xml:space="preserve">               New Orders…………………………</t>
        </is>
      </c>
      <c r="B28" s="33" t="n"/>
      <c r="C28" s="41" t="n">
        <v>169928</v>
      </c>
      <c r="D28" s="41" t="n">
        <v>173658</v>
      </c>
      <c r="E28" s="41" t="n">
        <v>179278</v>
      </c>
      <c r="F28" s="108" t="n">
        <v>-2.1</v>
      </c>
      <c r="G28" s="108" t="n">
        <v>-3.1</v>
      </c>
      <c r="H28" s="108" t="n">
        <v>2.4</v>
      </c>
      <c r="I28" s="41" t="n">
        <v>168570</v>
      </c>
      <c r="J28" s="41" t="n">
        <v>170930</v>
      </c>
      <c r="K28" s="41" t="n">
        <v>181624</v>
      </c>
      <c r="L28" s="41" t="n">
        <v>868271</v>
      </c>
      <c r="M28" s="41" t="n">
        <v>872495</v>
      </c>
      <c r="N28" s="109" t="n">
        <v>-0.5</v>
      </c>
    </row>
    <row r="29" ht="9" customHeight="1" s="142">
      <c r="A29" s="40" t="n"/>
      <c r="B29" s="33" t="n"/>
      <c r="C29" s="41" t="n"/>
      <c r="D29" s="41" t="n"/>
      <c r="E29" s="41" t="n"/>
      <c r="F29" s="108" t="n"/>
      <c r="G29" s="108" t="n"/>
      <c r="H29" s="108" t="n"/>
      <c r="I29" s="41" t="n"/>
      <c r="J29" s="41" t="n"/>
      <c r="K29" s="41" t="n"/>
      <c r="L29" s="41" t="n"/>
      <c r="M29" s="41" t="n"/>
      <c r="N29" s="109" t="n"/>
    </row>
    <row r="30" ht="16.5" customHeight="1" s="142">
      <c r="A30" s="42" t="inlineStr">
        <is>
          <t xml:space="preserve">    Primary metals:</t>
        </is>
      </c>
      <c r="B30" s="33" t="n"/>
      <c r="C30" s="41" t="n"/>
      <c r="D30" s="41" t="n"/>
      <c r="E30" s="41" t="n"/>
      <c r="F30" s="108" t="n"/>
      <c r="G30" s="108" t="n"/>
      <c r="H30" s="108" t="n"/>
      <c r="I30" s="41" t="n"/>
      <c r="J30" s="41" t="n"/>
      <c r="K30" s="41" t="n"/>
      <c r="L30" s="41" t="n"/>
      <c r="M30" s="41" t="n"/>
      <c r="N30" s="109" t="n"/>
    </row>
    <row r="31" ht="18" customHeight="1" s="142">
      <c r="A31" s="40" t="inlineStr">
        <is>
          <t xml:space="preserve">               Shipments…………………………..</t>
        </is>
      </c>
      <c r="B31" s="33" t="n"/>
      <c r="C31" s="41" t="n">
        <v>20652</v>
      </c>
      <c r="D31" s="41" t="n">
        <v>20801</v>
      </c>
      <c r="E31" s="41" t="n">
        <v>21105</v>
      </c>
      <c r="F31" s="108" t="n">
        <v>-0.7</v>
      </c>
      <c r="G31" s="108" t="n">
        <v>-1.4</v>
      </c>
      <c r="H31" s="108" t="n">
        <v>-1.4</v>
      </c>
      <c r="I31" s="41" t="n">
        <v>21771</v>
      </c>
      <c r="J31" s="41" t="n">
        <v>21653</v>
      </c>
      <c r="K31" s="41" t="n">
        <v>22560</v>
      </c>
      <c r="L31" s="41" t="n">
        <v>106840</v>
      </c>
      <c r="M31" s="41" t="n">
        <v>105546</v>
      </c>
      <c r="N31" s="109" t="n">
        <v>1.2</v>
      </c>
    </row>
    <row r="32" ht="17.25" customHeight="1" s="142">
      <c r="A32" s="40" t="inlineStr">
        <is>
          <t xml:space="preserve">               New Orders…………………………</t>
        </is>
      </c>
      <c r="B32" s="33" t="n"/>
      <c r="C32" s="41" t="n">
        <v>20589</v>
      </c>
      <c r="D32" s="41" t="n">
        <v>20517</v>
      </c>
      <c r="E32" s="41" t="n">
        <v>21027</v>
      </c>
      <c r="F32" s="108" t="n">
        <v>0.4</v>
      </c>
      <c r="G32" s="108" t="n">
        <v>-2.4</v>
      </c>
      <c r="H32" s="108" t="n">
        <v>-2</v>
      </c>
      <c r="I32" s="41" t="n">
        <v>21108</v>
      </c>
      <c r="J32" s="41" t="n">
        <v>21531</v>
      </c>
      <c r="K32" s="41" t="n">
        <v>22589</v>
      </c>
      <c r="L32" s="41" t="n">
        <v>107596</v>
      </c>
      <c r="M32" s="41" t="n">
        <v>108614</v>
      </c>
      <c r="N32" s="109" t="n">
        <v>-0.9</v>
      </c>
      <c r="R32" s="60">
        <f>C32+C36+C40+C44+C57+C61+C77</f>
        <v/>
      </c>
    </row>
    <row r="33" ht="9" customHeight="1" s="142">
      <c r="A33" s="44" t="n"/>
      <c r="B33" s="33" t="n"/>
      <c r="C33" s="41" t="n"/>
      <c r="D33" s="41" t="n"/>
      <c r="E33" s="41" t="n"/>
      <c r="F33" s="108" t="n"/>
      <c r="G33" s="108" t="n"/>
      <c r="H33" s="108" t="n"/>
      <c r="I33" s="41" t="n"/>
      <c r="J33" s="41" t="n"/>
      <c r="K33" s="41" t="n"/>
      <c r="L33" s="41" t="n"/>
      <c r="M33" s="41" t="n"/>
      <c r="N33" s="109" t="n"/>
    </row>
    <row r="34" ht="18" customHeight="1" s="142">
      <c r="A34" s="44" t="inlineStr">
        <is>
          <t xml:space="preserve">    Fabricated metal products:</t>
        </is>
      </c>
      <c r="B34" s="33" t="n"/>
      <c r="C34" s="41" t="n"/>
      <c r="D34" s="41" t="n"/>
      <c r="E34" s="41" t="n"/>
      <c r="F34" s="108" t="n"/>
      <c r="G34" s="108" t="n"/>
      <c r="H34" s="108" t="n"/>
      <c r="I34" s="41" t="n"/>
      <c r="J34" s="41" t="n"/>
      <c r="K34" s="41" t="n"/>
      <c r="L34" s="41" t="n"/>
      <c r="M34" s="41" t="n"/>
      <c r="N34" s="109" t="n"/>
    </row>
    <row r="35" ht="18" customHeight="1" s="142">
      <c r="A35" s="40" t="inlineStr">
        <is>
          <t xml:space="preserve">               Shipments…………………………..</t>
        </is>
      </c>
      <c r="B35" s="33" t="n"/>
      <c r="C35" s="41" t="n">
        <v>33620</v>
      </c>
      <c r="D35" s="41" t="n">
        <v>33417</v>
      </c>
      <c r="E35" s="41" t="n">
        <v>33655</v>
      </c>
      <c r="F35" s="108" t="n">
        <v>0.6</v>
      </c>
      <c r="G35" s="108" t="n">
        <v>-0.7</v>
      </c>
      <c r="H35" s="108" t="n">
        <v>-0.7</v>
      </c>
      <c r="I35" s="41" t="n">
        <v>35341</v>
      </c>
      <c r="J35" s="41" t="n">
        <v>33878</v>
      </c>
      <c r="K35" s="41" t="n">
        <v>34301</v>
      </c>
      <c r="L35" s="41" t="n">
        <v>166849</v>
      </c>
      <c r="M35" s="41" t="n">
        <v>159830</v>
      </c>
      <c r="N35" s="109" t="n">
        <v>4.4</v>
      </c>
    </row>
    <row r="36" ht="17.25" customHeight="1" s="142">
      <c r="A36" s="40" t="inlineStr">
        <is>
          <t xml:space="preserve">               New Orders…………………………</t>
        </is>
      </c>
      <c r="B36" s="33" t="n"/>
      <c r="C36" s="41" t="n">
        <v>33307</v>
      </c>
      <c r="D36" s="41" t="n">
        <v>33435</v>
      </c>
      <c r="E36" s="41" t="n">
        <v>33160</v>
      </c>
      <c r="F36" s="108" t="n">
        <v>-0.4</v>
      </c>
      <c r="G36" s="108" t="n">
        <v>0.8</v>
      </c>
      <c r="H36" s="108" t="n">
        <v>-1.5</v>
      </c>
      <c r="I36" s="41" t="n">
        <v>35642</v>
      </c>
      <c r="J36" s="41" t="n">
        <v>34943</v>
      </c>
      <c r="K36" s="41" t="n">
        <v>35670</v>
      </c>
      <c r="L36" s="41" t="n">
        <v>171019</v>
      </c>
      <c r="M36" s="41" t="n">
        <v>167785</v>
      </c>
      <c r="N36" s="109" t="n">
        <v>1.9</v>
      </c>
    </row>
    <row r="37" ht="9" customHeight="1" s="142">
      <c r="A37" s="43" t="n"/>
      <c r="B37" s="33" t="n"/>
      <c r="C37" s="41" t="n"/>
      <c r="D37" s="41" t="n"/>
      <c r="E37" s="41" t="n"/>
      <c r="F37" s="108" t="n"/>
      <c r="G37" s="108" t="n"/>
      <c r="H37" s="108" t="n"/>
      <c r="I37" s="41" t="n"/>
      <c r="J37" s="41" t="n"/>
      <c r="K37" s="41" t="n"/>
      <c r="L37" s="41" t="n"/>
      <c r="M37" s="41" t="n"/>
      <c r="N37" s="109" t="n"/>
    </row>
    <row r="38" ht="18.75" customHeight="1" s="142">
      <c r="A38" s="40" t="inlineStr">
        <is>
          <t xml:space="preserve">    Machinery:</t>
        </is>
      </c>
      <c r="B38" s="33" t="n"/>
      <c r="C38" s="41" t="n"/>
      <c r="D38" s="41" t="n"/>
      <c r="E38" s="41" t="n"/>
      <c r="F38" s="108" t="n"/>
      <c r="G38" s="108" t="n"/>
      <c r="H38" s="108" t="n"/>
      <c r="I38" s="41" t="n"/>
      <c r="J38" s="41" t="n"/>
      <c r="K38" s="41" t="n"/>
      <c r="L38" s="41" t="n"/>
      <c r="M38" s="41" t="n"/>
      <c r="N38" s="109" t="n"/>
    </row>
    <row r="39" ht="19.5" customHeight="1" s="142">
      <c r="A39" s="40" t="inlineStr">
        <is>
          <t xml:space="preserve">               Shipments…………………………..</t>
        </is>
      </c>
      <c r="B39" s="33" t="n"/>
      <c r="C39" s="41" t="n">
        <v>33419</v>
      </c>
      <c r="D39" s="41" t="n">
        <v>33060</v>
      </c>
      <c r="E39" s="41" t="n">
        <v>32969</v>
      </c>
      <c r="F39" s="108" t="n">
        <v>1.1</v>
      </c>
      <c r="G39" s="108" t="n">
        <v>0.3</v>
      </c>
      <c r="H39" s="108" t="n">
        <v>-1.4</v>
      </c>
      <c r="I39" s="41" t="n">
        <v>35049</v>
      </c>
      <c r="J39" s="41" t="n">
        <v>33775</v>
      </c>
      <c r="K39" s="41" t="n">
        <v>33920</v>
      </c>
      <c r="L39" s="41" t="n">
        <v>166232</v>
      </c>
      <c r="M39" s="41" t="n">
        <v>161305</v>
      </c>
      <c r="N39" s="109" t="n">
        <v>3.1</v>
      </c>
    </row>
    <row r="40" ht="17.25" customHeight="1" s="142">
      <c r="A40" s="40" t="inlineStr">
        <is>
          <t xml:space="preserve">               New Orders…………………………</t>
        </is>
      </c>
      <c r="B40" s="33" t="n"/>
      <c r="C40" s="41" t="n">
        <v>32824</v>
      </c>
      <c r="D40" s="41" t="n">
        <v>32608</v>
      </c>
      <c r="E40" s="41" t="n">
        <v>32545</v>
      </c>
      <c r="F40" s="108" t="n">
        <v>0.7</v>
      </c>
      <c r="G40" s="108" t="n">
        <v>0.2</v>
      </c>
      <c r="H40" s="108" t="n">
        <v>-2</v>
      </c>
      <c r="I40" s="41" t="n">
        <v>33857</v>
      </c>
      <c r="J40" s="41" t="n">
        <v>33858</v>
      </c>
      <c r="K40" s="41" t="n">
        <v>33832</v>
      </c>
      <c r="L40" s="41" t="n">
        <v>166817</v>
      </c>
      <c r="M40" s="41" t="n">
        <v>164920</v>
      </c>
      <c r="N40" s="109" t="n">
        <v>1.2</v>
      </c>
    </row>
    <row r="41" ht="9" customHeight="1" s="142">
      <c r="A41" s="42" t="n"/>
      <c r="B41" s="33" t="n"/>
      <c r="C41" s="41" t="n"/>
      <c r="D41" s="41" t="n"/>
      <c r="E41" s="41" t="n"/>
      <c r="F41" s="108" t="n"/>
      <c r="G41" s="108" t="n"/>
      <c r="H41" s="108" t="n"/>
      <c r="I41" s="41" t="n"/>
      <c r="J41" s="41" t="n"/>
      <c r="K41" s="41" t="n"/>
      <c r="L41" s="41" t="n"/>
      <c r="M41" s="41" t="n"/>
      <c r="N41" s="109" t="n"/>
    </row>
    <row r="42" ht="20" customHeight="1" s="142">
      <c r="A42" s="40" t="inlineStr">
        <is>
          <t xml:space="preserve">    Computers and electronic products4:</t>
        </is>
      </c>
      <c r="B42" s="33" t="n"/>
      <c r="C42" s="41" t="n"/>
      <c r="D42" s="41" t="n"/>
      <c r="E42" s="41" t="n"/>
      <c r="F42" s="108" t="n"/>
      <c r="G42" s="108" t="n"/>
      <c r="H42" s="108" t="n"/>
      <c r="I42" s="41" t="n"/>
      <c r="J42" s="41" t="n"/>
      <c r="K42" s="41" t="n"/>
      <c r="L42" s="41" t="n"/>
      <c r="M42" s="41" t="n"/>
      <c r="N42" s="109" t="n"/>
    </row>
    <row r="43" ht="18" customHeight="1" s="142">
      <c r="A43" s="40" t="inlineStr">
        <is>
          <t xml:space="preserve">               Shipments…………………………..</t>
        </is>
      </c>
      <c r="B43" s="33" t="n"/>
      <c r="C43" s="41" t="n">
        <v>28311</v>
      </c>
      <c r="D43" s="41" t="n">
        <v>28134</v>
      </c>
      <c r="E43" s="41" t="n">
        <v>27791</v>
      </c>
      <c r="F43" s="108" t="n">
        <v>0.6</v>
      </c>
      <c r="G43" s="108" t="n">
        <v>1.2</v>
      </c>
      <c r="H43" s="108" t="n">
        <v>-1</v>
      </c>
      <c r="I43" s="41" t="n">
        <v>26605</v>
      </c>
      <c r="J43" s="41" t="n">
        <v>25808</v>
      </c>
      <c r="K43" s="41" t="n">
        <v>25083</v>
      </c>
      <c r="L43" s="41" t="n">
        <v>131148</v>
      </c>
      <c r="M43" s="41" t="n">
        <v>124284</v>
      </c>
      <c r="N43" s="109" t="n">
        <v>5.5</v>
      </c>
    </row>
    <row r="44" ht="20.25" customHeight="1" s="142">
      <c r="A44" s="40" t="inlineStr">
        <is>
          <t xml:space="preserve">               New Orders…………………………</t>
        </is>
      </c>
      <c r="B44" s="33" t="n"/>
      <c r="C44" s="41" t="n">
        <v>24091</v>
      </c>
      <c r="D44" s="41" t="n">
        <v>23905</v>
      </c>
      <c r="E44" s="41" t="n">
        <v>24056</v>
      </c>
      <c r="F44" s="108" t="n">
        <v>0.8</v>
      </c>
      <c r="G44" s="108" t="n">
        <v>-0.6</v>
      </c>
      <c r="H44" s="108" t="n">
        <v>2.1</v>
      </c>
      <c r="I44" s="41" t="n">
        <v>22710</v>
      </c>
      <c r="J44" s="41" t="n">
        <v>22050</v>
      </c>
      <c r="K44" s="41" t="n">
        <v>22010</v>
      </c>
      <c r="L44" s="41" t="n">
        <v>113226</v>
      </c>
      <c r="M44" s="41" t="n">
        <v>108402</v>
      </c>
      <c r="N44" s="109" t="n">
        <v>4.5</v>
      </c>
    </row>
    <row r="45" ht="9" customHeight="1" s="142">
      <c r="A45" s="44" t="n"/>
      <c r="B45" s="33" t="n"/>
      <c r="C45" s="41" t="n"/>
      <c r="D45" s="41" t="n"/>
      <c r="E45" s="41" t="n"/>
      <c r="F45" s="108" t="n"/>
      <c r="G45" s="108" t="n"/>
      <c r="H45" s="108" t="n"/>
      <c r="I45" s="41" t="n"/>
      <c r="J45" s="41" t="n"/>
      <c r="K45" s="41" t="n"/>
      <c r="L45" s="41" t="n"/>
      <c r="M45" s="41" t="n"/>
      <c r="N45" s="109" t="n"/>
    </row>
    <row r="46" ht="18.75" customHeight="1" s="142">
      <c r="A46" s="42" t="inlineStr">
        <is>
          <t xml:space="preserve">         Computers and related products:</t>
        </is>
      </c>
      <c r="B46" s="33" t="n"/>
      <c r="C46" s="41" t="n"/>
      <c r="D46" s="41" t="n"/>
      <c r="E46" s="41" t="n"/>
      <c r="F46" s="108" t="n"/>
      <c r="G46" s="108" t="n"/>
      <c r="H46" s="108" t="n"/>
      <c r="I46" s="41" t="n"/>
      <c r="J46" s="41" t="n"/>
      <c r="K46" s="41" t="n"/>
      <c r="L46" s="41" t="n"/>
      <c r="M46" s="41" t="n"/>
      <c r="N46" s="109" t="n"/>
    </row>
    <row r="47" ht="18.75" customHeight="1" s="142">
      <c r="A47" s="45" t="inlineStr">
        <is>
          <t xml:space="preserve">               Shipments…………………………..</t>
        </is>
      </c>
      <c r="B47" s="33" t="n"/>
      <c r="C47" s="41" t="n">
        <v>1813</v>
      </c>
      <c r="D47" s="41" t="n">
        <v>1827</v>
      </c>
      <c r="E47" s="41" t="n">
        <v>1750</v>
      </c>
      <c r="F47" s="108" t="n">
        <v>-0.8</v>
      </c>
      <c r="G47" s="108" t="n">
        <v>4.4</v>
      </c>
      <c r="H47" s="108" t="n">
        <v>-5.4</v>
      </c>
      <c r="I47" s="41" t="n">
        <v>1624</v>
      </c>
      <c r="J47" s="41" t="n">
        <v>1523</v>
      </c>
      <c r="K47" s="41" t="n">
        <v>1623</v>
      </c>
      <c r="L47" s="41" t="n">
        <v>7831</v>
      </c>
      <c r="M47" s="41" t="n">
        <v>7826</v>
      </c>
      <c r="N47" s="109" t="n">
        <v>0.1</v>
      </c>
    </row>
    <row r="48" ht="18" customHeight="1" s="142">
      <c r="A48" s="40" t="inlineStr">
        <is>
          <t xml:space="preserve">               New Orders…………………………</t>
        </is>
      </c>
      <c r="B48" s="33" t="n"/>
      <c r="C48" s="41" t="n">
        <v>1770</v>
      </c>
      <c r="D48" s="41" t="n">
        <v>1813</v>
      </c>
      <c r="E48" s="41" t="n">
        <v>1752</v>
      </c>
      <c r="F48" s="108" t="n">
        <v>-2.4</v>
      </c>
      <c r="G48" s="108" t="n">
        <v>3.5</v>
      </c>
      <c r="H48" s="108" t="n">
        <v>-4.8</v>
      </c>
      <c r="I48" s="41" t="n">
        <v>1581</v>
      </c>
      <c r="J48" s="41" t="n">
        <v>1509</v>
      </c>
      <c r="K48" s="41" t="n">
        <v>1632</v>
      </c>
      <c r="L48" s="41" t="n">
        <v>7808</v>
      </c>
      <c r="M48" s="41" t="n">
        <v>7963</v>
      </c>
      <c r="N48" s="109" t="n">
        <v>-1.9</v>
      </c>
    </row>
    <row r="49" ht="9" customHeight="1" s="142">
      <c r="A49" s="45" t="inlineStr">
        <is>
          <t xml:space="preserve">       </t>
        </is>
      </c>
      <c r="B49" s="33" t="n"/>
      <c r="C49" s="41" t="n"/>
      <c r="D49" s="41" t="n"/>
      <c r="E49" s="41" t="n"/>
      <c r="F49" s="108" t="n"/>
      <c r="G49" s="108" t="n"/>
      <c r="H49" s="108" t="n"/>
      <c r="I49" s="41" t="n"/>
      <c r="J49" s="41" t="n"/>
      <c r="K49" s="41" t="n"/>
      <c r="L49" s="41" t="n"/>
      <c r="M49" s="41" t="n"/>
      <c r="N49" s="109" t="n"/>
    </row>
    <row r="50" ht="18.75" customHeight="1" s="142">
      <c r="A50" s="40" t="inlineStr">
        <is>
          <t xml:space="preserve">         Communications equipment:</t>
        </is>
      </c>
      <c r="B50" s="33" t="n"/>
      <c r="C50" s="41" t="n"/>
      <c r="D50" s="41" t="n"/>
      <c r="E50" s="41" t="n"/>
      <c r="F50" s="108" t="n"/>
      <c r="G50" s="108" t="n"/>
      <c r="H50" s="108" t="n"/>
      <c r="I50" s="41" t="n"/>
      <c r="J50" s="41" t="n"/>
      <c r="K50" s="41" t="n"/>
      <c r="L50" s="41" t="n"/>
      <c r="M50" s="41" t="n"/>
      <c r="N50" s="109" t="n"/>
    </row>
    <row r="51" ht="18.75" customHeight="1" s="142">
      <c r="A51" s="40" t="inlineStr">
        <is>
          <t xml:space="preserve">               Shipments…………………………..</t>
        </is>
      </c>
      <c r="B51" s="33" t="n"/>
      <c r="C51" s="41" t="n">
        <v>3826</v>
      </c>
      <c r="D51" s="41" t="n">
        <v>3825</v>
      </c>
      <c r="E51" s="41" t="n">
        <v>3835</v>
      </c>
      <c r="F51" s="108" t="n">
        <v>0</v>
      </c>
      <c r="G51" s="108" t="n">
        <v>-0.3</v>
      </c>
      <c r="H51" s="108" t="n">
        <v>0.6</v>
      </c>
      <c r="I51" s="41" t="n">
        <v>3570</v>
      </c>
      <c r="J51" s="41" t="n">
        <v>3476</v>
      </c>
      <c r="K51" s="41" t="n">
        <v>3197</v>
      </c>
      <c r="L51" s="41" t="n">
        <v>17559</v>
      </c>
      <c r="M51" s="41" t="n">
        <v>15654</v>
      </c>
      <c r="N51" s="109" t="n">
        <v>12.2</v>
      </c>
    </row>
    <row r="52" ht="18.75" customHeight="1" s="142">
      <c r="A52" s="40" t="inlineStr">
        <is>
          <t xml:space="preserve">               New Orders…………………………</t>
        </is>
      </c>
      <c r="B52" s="33" t="n"/>
      <c r="C52" s="41" t="n">
        <v>3695</v>
      </c>
      <c r="D52" s="41" t="n">
        <v>3633</v>
      </c>
      <c r="E52" s="41" t="n">
        <v>3920</v>
      </c>
      <c r="F52" s="108" t="n">
        <v>1.7</v>
      </c>
      <c r="G52" s="108" t="n">
        <v>-7.3</v>
      </c>
      <c r="H52" s="108" t="n">
        <v>10.2</v>
      </c>
      <c r="I52" s="41" t="n">
        <v>3412</v>
      </c>
      <c r="J52" s="41" t="n">
        <v>3316</v>
      </c>
      <c r="K52" s="41" t="n">
        <v>3304</v>
      </c>
      <c r="L52" s="41" t="n">
        <v>17508</v>
      </c>
      <c r="M52" s="41" t="n">
        <v>16711</v>
      </c>
      <c r="N52" s="109" t="n">
        <v>4.8</v>
      </c>
    </row>
    <row r="53" ht="9" customHeight="1" s="142">
      <c r="A53" s="40" t="n"/>
      <c r="B53" s="33" t="n"/>
      <c r="C53" s="41" t="n"/>
      <c r="D53" s="41" t="n"/>
      <c r="E53" s="41" t="n"/>
      <c r="F53" s="108" t="n"/>
      <c r="G53" s="108" t="n"/>
      <c r="H53" s="108" t="n"/>
      <c r="I53" s="41" t="n"/>
      <c r="J53" s="41" t="n"/>
      <c r="K53" s="41" t="n"/>
      <c r="L53" s="41" t="n"/>
      <c r="M53" s="41" t="n"/>
      <c r="N53" s="110" t="n"/>
    </row>
    <row r="54" ht="18.75" customHeight="1" s="142">
      <c r="A54" s="42" t="inlineStr">
        <is>
          <t xml:space="preserve">    Electrical equipment, appliances,    </t>
        </is>
      </c>
      <c r="B54" s="33" t="n"/>
      <c r="C54" s="41" t="n"/>
      <c r="D54" s="41" t="n"/>
      <c r="E54" s="41" t="n"/>
      <c r="F54" s="108" t="n"/>
      <c r="G54" s="108" t="n"/>
      <c r="H54" s="108" t="n"/>
      <c r="I54" s="41" t="n"/>
      <c r="J54" s="41" t="n"/>
      <c r="K54" s="41" t="n"/>
      <c r="L54" s="41" t="n"/>
      <c r="M54" s="41" t="n"/>
      <c r="N54" s="110" t="n"/>
    </row>
    <row r="55" ht="18.75" customHeight="1" s="142">
      <c r="A55" s="40" t="inlineStr">
        <is>
          <t xml:space="preserve">       and components:                   </t>
        </is>
      </c>
      <c r="B55" s="33" t="n"/>
      <c r="C55" s="41" t="n"/>
      <c r="D55" s="41" t="n"/>
      <c r="E55" s="41" t="n"/>
      <c r="F55" s="108" t="n"/>
      <c r="G55" s="108" t="n"/>
      <c r="H55" s="108" t="n"/>
      <c r="I55" s="41" t="n"/>
      <c r="J55" s="41" t="n"/>
      <c r="K55" s="41" t="n"/>
      <c r="L55" s="41" t="n"/>
      <c r="M55" s="41" t="n"/>
      <c r="N55" s="110" t="n"/>
    </row>
    <row r="56" ht="15" customHeight="1" s="142">
      <c r="A56" s="40" t="inlineStr">
        <is>
          <t xml:space="preserve">               Shipments…………………………..</t>
        </is>
      </c>
      <c r="B56" s="33" t="n"/>
      <c r="C56" s="41" t="n">
        <v>11586</v>
      </c>
      <c r="D56" s="41" t="n">
        <v>11595</v>
      </c>
      <c r="E56" s="41" t="n">
        <v>11616</v>
      </c>
      <c r="F56" s="108" t="n">
        <v>-0.1</v>
      </c>
      <c r="G56" s="108" t="n">
        <v>-0.2</v>
      </c>
      <c r="H56" s="108" t="n">
        <v>0.6</v>
      </c>
      <c r="I56" s="41" t="n">
        <v>11800</v>
      </c>
      <c r="J56" s="41" t="n">
        <v>11403</v>
      </c>
      <c r="K56" s="41" t="n">
        <v>11472</v>
      </c>
      <c r="L56" s="41" t="n">
        <v>56152</v>
      </c>
      <c r="M56" s="41" t="n">
        <v>54278</v>
      </c>
      <c r="N56" s="109" t="n">
        <v>3.5</v>
      </c>
    </row>
    <row r="57" ht="15" customHeight="1" s="142">
      <c r="A57" s="40" t="inlineStr">
        <is>
          <t xml:space="preserve">               New Orders…………………………</t>
        </is>
      </c>
      <c r="B57" s="33" t="n"/>
      <c r="C57" s="41" t="n">
        <v>11731</v>
      </c>
      <c r="D57" s="41" t="n">
        <v>11776</v>
      </c>
      <c r="E57" s="41" t="n">
        <v>11657</v>
      </c>
      <c r="F57" s="108" t="n">
        <v>-0.4</v>
      </c>
      <c r="G57" s="108" t="n">
        <v>1</v>
      </c>
      <c r="H57" s="108" t="n">
        <v>1.1</v>
      </c>
      <c r="I57" s="41" t="n">
        <v>12013</v>
      </c>
      <c r="J57" s="41" t="n">
        <v>11689</v>
      </c>
      <c r="K57" s="41" t="n">
        <v>11540</v>
      </c>
      <c r="L57" s="41" t="n">
        <v>57367</v>
      </c>
      <c r="M57" s="41" t="n">
        <v>55138</v>
      </c>
      <c r="N57" s="109" t="n">
        <v>4</v>
      </c>
    </row>
    <row r="58" ht="9" customHeight="1" s="142">
      <c r="A58" s="44" t="n"/>
      <c r="B58" s="33" t="n"/>
      <c r="C58" s="41" t="n"/>
      <c r="D58" s="41" t="n"/>
      <c r="E58" s="41" t="n"/>
      <c r="F58" s="108" t="n"/>
      <c r="G58" s="108" t="n"/>
      <c r="H58" s="108" t="n"/>
      <c r="I58" s="41" t="n"/>
      <c r="J58" s="41" t="n"/>
      <c r="K58" s="41" t="n"/>
      <c r="L58" s="41" t="n"/>
      <c r="M58" s="41" t="n"/>
      <c r="N58" s="109" t="n"/>
    </row>
    <row r="59" ht="15" customHeight="1" s="142">
      <c r="A59" s="42" t="inlineStr">
        <is>
          <t xml:space="preserve">    Transportation equipment:    </t>
        </is>
      </c>
      <c r="B59" s="33" t="n"/>
      <c r="C59" s="41" t="n"/>
      <c r="D59" s="41" t="n"/>
      <c r="E59" s="41" t="n"/>
      <c r="F59" s="108" t="n"/>
      <c r="G59" s="108" t="n"/>
      <c r="H59" s="108" t="n"/>
      <c r="I59" s="41" t="n"/>
      <c r="J59" s="41" t="n"/>
      <c r="K59" s="41" t="n"/>
      <c r="L59" s="41" t="n"/>
      <c r="M59" s="41" t="n"/>
      <c r="N59" s="109" t="n"/>
    </row>
    <row r="60" ht="20.25" customHeight="1" s="142">
      <c r="A60" s="40" t="inlineStr">
        <is>
          <t xml:space="preserve">               Shipments…………………………..</t>
        </is>
      </c>
      <c r="B60" s="33" t="n"/>
      <c r="C60" s="41" t="n">
        <v>85755</v>
      </c>
      <c r="D60" s="41" t="n">
        <v>85513</v>
      </c>
      <c r="E60" s="41" t="n">
        <v>89504</v>
      </c>
      <c r="F60" s="108" t="n">
        <v>0.3</v>
      </c>
      <c r="G60" s="108" t="n">
        <v>-4.5</v>
      </c>
      <c r="H60" s="108" t="n">
        <v>-0.1</v>
      </c>
      <c r="I60" s="41" t="n">
        <v>88651</v>
      </c>
      <c r="J60" s="41" t="n">
        <v>84298</v>
      </c>
      <c r="K60" s="41" t="n">
        <v>84886</v>
      </c>
      <c r="L60" s="41" t="n">
        <v>436819</v>
      </c>
      <c r="M60" s="41" t="n">
        <v>412270</v>
      </c>
      <c r="N60" s="109" t="n">
        <v>6</v>
      </c>
    </row>
    <row r="61" ht="17.25" customHeight="1" s="142">
      <c r="A61" s="40" t="inlineStr">
        <is>
          <t xml:space="preserve">               New Orders…………………………</t>
        </is>
      </c>
      <c r="B61" s="33" t="n"/>
      <c r="C61" s="41" t="n">
        <v>79996</v>
      </c>
      <c r="D61" s="41" t="n">
        <v>83854</v>
      </c>
      <c r="E61" s="41" t="n">
        <v>90795</v>
      </c>
      <c r="F61" s="108" t="n">
        <v>-4.6</v>
      </c>
      <c r="G61" s="108" t="n">
        <v>-7.6</v>
      </c>
      <c r="H61" s="108" t="n">
        <v>6</v>
      </c>
      <c r="I61" s="41" t="n">
        <v>76673</v>
      </c>
      <c r="J61" s="41" t="n">
        <v>79677</v>
      </c>
      <c r="K61" s="41" t="n">
        <v>85117</v>
      </c>
      <c r="L61" s="41" t="n">
        <v>420378</v>
      </c>
      <c r="M61" s="41" t="n">
        <v>420540</v>
      </c>
      <c r="N61" s="109" t="n">
        <v>0</v>
      </c>
    </row>
    <row r="62" ht="9" customHeight="1" s="142">
      <c r="A62" s="40" t="n"/>
      <c r="B62" s="33" t="n"/>
      <c r="C62" s="41" t="n"/>
      <c r="D62" s="41" t="n"/>
      <c r="E62" s="41" t="n"/>
      <c r="F62" s="108" t="n"/>
      <c r="G62" s="108" t="n"/>
      <c r="H62" s="108" t="n"/>
      <c r="I62" s="41" t="n"/>
      <c r="J62" s="41" t="n"/>
      <c r="K62" s="41" t="n"/>
      <c r="L62" s="41" t="n"/>
      <c r="M62" s="41" t="n"/>
      <c r="N62" s="109" t="n"/>
    </row>
    <row r="63" ht="18.75" customHeight="1" s="142">
      <c r="A63" s="44" t="inlineStr">
        <is>
          <t xml:space="preserve">         Motor vehicles and parts:</t>
        </is>
      </c>
      <c r="B63" s="33" t="n"/>
      <c r="C63" s="41" t="n"/>
      <c r="D63" s="41" t="n"/>
      <c r="E63" s="41" t="n"/>
      <c r="F63" s="108" t="n"/>
      <c r="G63" s="108" t="n"/>
      <c r="H63" s="108" t="n"/>
      <c r="I63" s="41" t="n"/>
      <c r="J63" s="41" t="n"/>
      <c r="K63" s="41" t="n"/>
      <c r="L63" s="41" t="n"/>
      <c r="M63" s="41" t="n"/>
      <c r="N63" s="109" t="n"/>
    </row>
    <row r="64" ht="18" customHeight="1" s="142">
      <c r="A64" s="40" t="inlineStr">
        <is>
          <t xml:space="preserve">               Shipments…………………………..</t>
        </is>
      </c>
      <c r="B64" s="33" t="n"/>
      <c r="C64" s="41" t="n">
        <v>60555</v>
      </c>
      <c r="D64" s="41" t="n">
        <v>60292</v>
      </c>
      <c r="E64" s="41" t="n">
        <v>62353</v>
      </c>
      <c r="F64" s="108" t="n">
        <v>0.4</v>
      </c>
      <c r="G64" s="108" t="n">
        <v>-3.3</v>
      </c>
      <c r="H64" s="108" t="n">
        <v>1</v>
      </c>
      <c r="I64" s="41" t="n">
        <v>63150</v>
      </c>
      <c r="J64" s="41" t="n">
        <v>61502</v>
      </c>
      <c r="K64" s="41" t="n">
        <v>57515</v>
      </c>
      <c r="L64" s="41" t="n">
        <v>309961</v>
      </c>
      <c r="M64" s="41" t="n">
        <v>288140</v>
      </c>
      <c r="N64" s="109" t="n">
        <v>7.6</v>
      </c>
    </row>
    <row r="65" ht="15.75" customHeight="1" s="142">
      <c r="A65" s="40" t="inlineStr">
        <is>
          <t xml:space="preserve">               New Orders…………………………</t>
        </is>
      </c>
      <c r="B65" s="33" t="n"/>
      <c r="C65" s="41" t="n">
        <v>60477</v>
      </c>
      <c r="D65" s="41" t="n">
        <v>60142</v>
      </c>
      <c r="E65" s="41" t="n">
        <v>62146</v>
      </c>
      <c r="F65" s="108" t="n">
        <v>0.6</v>
      </c>
      <c r="G65" s="108" t="n">
        <v>-3.2</v>
      </c>
      <c r="H65" s="108" t="n">
        <v>0.4</v>
      </c>
      <c r="I65" s="41" t="n">
        <v>63108</v>
      </c>
      <c r="J65" s="41" t="n">
        <v>60764</v>
      </c>
      <c r="K65" s="41" t="n">
        <v>57617</v>
      </c>
      <c r="L65" s="41" t="n">
        <v>310317</v>
      </c>
      <c r="M65" s="41" t="n">
        <v>288729</v>
      </c>
      <c r="N65" s="109" t="n">
        <v>7.5</v>
      </c>
    </row>
    <row r="66" ht="9" customHeight="1" s="142">
      <c r="A66" s="45" t="inlineStr">
        <is>
          <t xml:space="preserve">           </t>
        </is>
      </c>
      <c r="B66" s="33" t="n"/>
      <c r="C66" s="41" t="n"/>
      <c r="D66" s="41" t="n"/>
      <c r="E66" s="41" t="n"/>
      <c r="F66" s="108" t="n"/>
      <c r="G66" s="108" t="n"/>
      <c r="H66" s="108" t="n"/>
      <c r="I66" s="41" t="n"/>
      <c r="J66" s="41" t="n"/>
      <c r="K66" s="41" t="n"/>
      <c r="L66" s="41" t="n"/>
      <c r="M66" s="41" t="n"/>
      <c r="N66" s="109" t="n"/>
    </row>
    <row r="67" ht="18.75" customHeight="1" s="142">
      <c r="A67" s="40" t="inlineStr">
        <is>
          <t xml:space="preserve">         Nondefense aircraft and parts:</t>
        </is>
      </c>
      <c r="B67" s="33" t="n"/>
      <c r="C67" s="41" t="n"/>
      <c r="D67" s="41" t="n"/>
      <c r="E67" s="41" t="n"/>
      <c r="F67" s="108" t="n"/>
      <c r="G67" s="108" t="n"/>
      <c r="H67" s="108" t="n"/>
      <c r="I67" s="41" t="n"/>
      <c r="J67" s="41" t="n"/>
      <c r="K67" s="41" t="n"/>
      <c r="L67" s="41" t="n"/>
      <c r="M67" s="41" t="n"/>
      <c r="N67" s="109" t="n"/>
    </row>
    <row r="68" ht="20.25" customHeight="1" s="142">
      <c r="A68" s="40" t="inlineStr">
        <is>
          <t xml:space="preserve">               Shipments…………………………..</t>
        </is>
      </c>
      <c r="B68" s="33" t="n"/>
      <c r="C68" s="41" t="n">
        <v>10407</v>
      </c>
      <c r="D68" s="41" t="n">
        <v>10558</v>
      </c>
      <c r="E68" s="41" t="n">
        <v>13085</v>
      </c>
      <c r="F68" s="108" t="n">
        <v>-1.4</v>
      </c>
      <c r="G68" s="108" t="n">
        <v>-19.3</v>
      </c>
      <c r="H68" s="108" t="n">
        <v>-3.4</v>
      </c>
      <c r="I68" s="41" t="n">
        <v>10281</v>
      </c>
      <c r="J68" s="41" t="n">
        <v>9131</v>
      </c>
      <c r="K68" s="41" t="n">
        <v>13842</v>
      </c>
      <c r="L68" s="41" t="n">
        <v>56289</v>
      </c>
      <c r="M68" s="41" t="n">
        <v>60508</v>
      </c>
      <c r="N68" s="109" t="n">
        <v>-7</v>
      </c>
    </row>
    <row r="69" ht="18" customHeight="1" s="142">
      <c r="A69" s="40" t="inlineStr">
        <is>
          <t xml:space="preserve">               New Orders…………………………</t>
        </is>
      </c>
      <c r="B69" s="33" t="n"/>
      <c r="C69" s="41" t="n">
        <v>5338</v>
      </c>
      <c r="D69" s="41" t="n">
        <v>7438</v>
      </c>
      <c r="E69" s="41" t="n">
        <v>12256</v>
      </c>
      <c r="F69" s="111" t="n">
        <v>-28.2</v>
      </c>
      <c r="G69" s="111" t="n">
        <v>-39.3</v>
      </c>
      <c r="H69" s="111" t="n">
        <v>7.8</v>
      </c>
      <c r="I69" s="41" t="n">
        <v>780</v>
      </c>
      <c r="J69" s="41" t="n">
        <v>5260</v>
      </c>
      <c r="K69" s="41" t="n">
        <v>12998</v>
      </c>
      <c r="L69" s="41" t="n">
        <v>41339</v>
      </c>
      <c r="M69" s="41" t="n">
        <v>68240</v>
      </c>
      <c r="N69" s="109" t="n">
        <v>-39.4</v>
      </c>
    </row>
    <row r="70" ht="9" customHeight="1" s="142">
      <c r="A70" s="40" t="n"/>
      <c r="B70" s="33" t="n"/>
      <c r="C70" s="41" t="n"/>
      <c r="D70" s="41" t="n"/>
      <c r="E70" s="41" t="n"/>
      <c r="F70" s="108" t="n"/>
      <c r="G70" s="108" t="n"/>
      <c r="H70" s="108" t="n"/>
      <c r="I70" s="41" t="n"/>
      <c r="J70" s="41" t="n"/>
      <c r="K70" s="41" t="n"/>
      <c r="L70" s="41" t="n"/>
      <c r="M70" s="41" t="n"/>
      <c r="N70" s="109" t="n"/>
    </row>
    <row r="71" ht="18.75" customHeight="1" s="142">
      <c r="A71" s="40" t="inlineStr">
        <is>
          <t xml:space="preserve">         Defense aircraft and parts:</t>
        </is>
      </c>
      <c r="B71" s="33" t="n"/>
      <c r="C71" s="41" t="n"/>
      <c r="D71" s="41" t="n"/>
      <c r="E71" s="41" t="n"/>
      <c r="F71" s="108" t="n"/>
      <c r="G71" s="108" t="n"/>
      <c r="H71" s="108" t="n"/>
      <c r="I71" s="41" t="n"/>
      <c r="J71" s="41" t="n"/>
      <c r="K71" s="41" t="n"/>
      <c r="L71" s="41" t="n"/>
      <c r="M71" s="41" t="n"/>
      <c r="N71" s="109" t="n"/>
    </row>
    <row r="72" ht="18.75" customHeight="1" s="142">
      <c r="A72" s="40" t="inlineStr">
        <is>
          <t xml:space="preserve">               Shipments…………………………..</t>
        </is>
      </c>
      <c r="B72" s="33" t="n"/>
      <c r="C72" s="41" t="n">
        <v>4708</v>
      </c>
      <c r="D72" s="41" t="n">
        <v>4783</v>
      </c>
      <c r="E72" s="41" t="n">
        <v>4516</v>
      </c>
      <c r="F72" s="108" t="n">
        <v>-1.6</v>
      </c>
      <c r="G72" s="108" t="n">
        <v>5.9</v>
      </c>
      <c r="H72" s="108" t="n">
        <v>-2.6</v>
      </c>
      <c r="I72" s="41" t="n">
        <v>4637</v>
      </c>
      <c r="J72" s="41" t="n">
        <v>4012</v>
      </c>
      <c r="K72" s="41" t="n">
        <v>4539</v>
      </c>
      <c r="L72" s="41" t="n">
        <v>21858</v>
      </c>
      <c r="M72" s="41" t="n">
        <v>20594</v>
      </c>
      <c r="N72" s="109" t="n">
        <v>6.1</v>
      </c>
    </row>
    <row r="73" ht="18.75" customHeight="1" s="142">
      <c r="A73" s="40" t="inlineStr">
        <is>
          <t xml:space="preserve">               New Orders…………………………</t>
        </is>
      </c>
      <c r="B73" s="33" t="n"/>
      <c r="C73" s="41" t="n">
        <v>4534</v>
      </c>
      <c r="D73" s="41" t="n">
        <v>5350</v>
      </c>
      <c r="E73" s="41" t="n">
        <v>5590</v>
      </c>
      <c r="F73" s="108" t="n">
        <v>-15.3</v>
      </c>
      <c r="G73" s="108" t="n">
        <v>-4.3</v>
      </c>
      <c r="H73" s="108" t="n">
        <v>19</v>
      </c>
      <c r="I73" s="41" t="n">
        <v>2749</v>
      </c>
      <c r="J73" s="41" t="n">
        <v>4933</v>
      </c>
      <c r="K73" s="41" t="n">
        <v>4404</v>
      </c>
      <c r="L73" s="41" t="n">
        <v>21532</v>
      </c>
      <c r="M73" s="41" t="n">
        <v>17897</v>
      </c>
      <c r="N73" s="109" t="n">
        <v>20.3</v>
      </c>
    </row>
    <row r="74" ht="9" customHeight="1" s="142">
      <c r="A74" s="40" t="n"/>
      <c r="B74" s="33" t="n"/>
      <c r="C74" s="41" t="n"/>
      <c r="D74" s="41" t="n"/>
      <c r="E74" s="41" t="n"/>
      <c r="F74" s="108" t="n"/>
      <c r="G74" s="108" t="n"/>
      <c r="H74" s="108" t="n"/>
      <c r="I74" s="41" t="n"/>
      <c r="J74" s="41" t="n"/>
      <c r="K74" s="41" t="n"/>
      <c r="L74" s="41" t="n"/>
      <c r="M74" s="41" t="n"/>
      <c r="N74" s="109" t="n"/>
    </row>
    <row r="75" ht="18.75" customHeight="1" s="142">
      <c r="A75" s="40" t="inlineStr">
        <is>
          <t xml:space="preserve">    All other durable goods:           </t>
        </is>
      </c>
      <c r="B75" s="33" t="n"/>
      <c r="C75" s="41" t="n"/>
      <c r="D75" s="41" t="n"/>
      <c r="E75" s="41" t="n"/>
      <c r="F75" s="108" t="n"/>
      <c r="G75" s="108" t="n"/>
      <c r="H75" s="108" t="n"/>
      <c r="I75" s="41" t="n"/>
      <c r="J75" s="41" t="n"/>
      <c r="K75" s="41" t="n"/>
      <c r="L75" s="41" t="n"/>
      <c r="M75" s="41" t="n"/>
      <c r="N75" s="109" t="n"/>
    </row>
    <row r="76" ht="18" customHeight="1" s="142">
      <c r="A76" s="40" t="inlineStr">
        <is>
          <t xml:space="preserve">               Shipments…………………………..</t>
        </is>
      </c>
      <c r="B76" s="33" t="n"/>
      <c r="C76" s="41" t="n">
        <v>40749</v>
      </c>
      <c r="D76" s="41" t="n">
        <v>40670</v>
      </c>
      <c r="E76" s="41" t="n">
        <v>40679</v>
      </c>
      <c r="F76" s="108" t="n">
        <v>0.2</v>
      </c>
      <c r="G76" s="108" t="n">
        <v>0</v>
      </c>
      <c r="H76" s="108" t="n">
        <v>0.2</v>
      </c>
      <c r="I76" s="41" t="n">
        <v>42638</v>
      </c>
      <c r="J76" s="41" t="n">
        <v>41403</v>
      </c>
      <c r="K76" s="41" t="n">
        <v>42312</v>
      </c>
      <c r="L76" s="41" t="n">
        <v>198236</v>
      </c>
      <c r="M76" s="41" t="n">
        <v>197254</v>
      </c>
      <c r="N76" s="109" t="n">
        <v>0.5</v>
      </c>
    </row>
    <row r="77" ht="18.75" customHeight="1" s="142">
      <c r="A77" s="40" t="inlineStr">
        <is>
          <t xml:space="preserve">               New Orders…………………………</t>
        </is>
      </c>
      <c r="B77" s="33" t="n"/>
      <c r="C77" s="41" t="n">
        <v>40829</v>
      </c>
      <c r="D77" s="41" t="n">
        <v>40599</v>
      </c>
      <c r="E77" s="41" t="n">
        <v>40594</v>
      </c>
      <c r="F77" s="108" t="n">
        <v>0.6</v>
      </c>
      <c r="G77" s="108" t="n">
        <v>0</v>
      </c>
      <c r="H77" s="108" t="n">
        <v>0.3</v>
      </c>
      <c r="I77" s="41" t="n">
        <v>42887</v>
      </c>
      <c r="J77" s="41" t="n">
        <v>41690</v>
      </c>
      <c r="K77" s="41" t="n">
        <v>42451</v>
      </c>
      <c r="L77" s="41" t="n">
        <v>199357</v>
      </c>
      <c r="M77" s="41" t="n">
        <v>198420</v>
      </c>
      <c r="N77" s="109" t="n">
        <v>0.5</v>
      </c>
    </row>
    <row r="78" ht="9" customHeight="1" s="142">
      <c r="A78" s="40" t="n"/>
      <c r="B78" s="33" t="n"/>
      <c r="C78" s="41" t="n"/>
      <c r="D78" s="41" t="n"/>
      <c r="E78" s="41" t="n"/>
      <c r="F78" s="108" t="n"/>
      <c r="G78" s="108" t="n"/>
      <c r="H78" s="108" t="n"/>
      <c r="I78" s="41" t="n"/>
      <c r="J78" s="41" t="n"/>
      <c r="K78" s="41" t="n"/>
      <c r="L78" s="41" t="n"/>
      <c r="M78" s="41" t="n"/>
      <c r="N78" s="109" t="n"/>
    </row>
    <row r="79" ht="21.75" customHeight="1" s="142">
      <c r="A79" s="40" t="inlineStr">
        <is>
          <t xml:space="preserve">    Capital goods3:</t>
        </is>
      </c>
      <c r="B79" s="33" t="n"/>
      <c r="C79" s="41" t="n"/>
      <c r="D79" s="41" t="n"/>
      <c r="E79" s="41" t="n"/>
      <c r="F79" s="108" t="n"/>
      <c r="G79" s="108" t="n"/>
      <c r="H79" s="108" t="n"/>
      <c r="I79" s="41" t="n"/>
      <c r="J79" s="41" t="n"/>
      <c r="K79" s="41" t="n"/>
      <c r="L79" s="41" t="n"/>
      <c r="M79" s="41" t="n"/>
      <c r="N79" s="109" t="n"/>
    </row>
    <row r="80" ht="18" customHeight="1" s="142">
      <c r="A80" s="40" t="inlineStr">
        <is>
          <t xml:space="preserve">               Shipments…………………………..</t>
        </is>
      </c>
      <c r="B80" s="33" t="n"/>
      <c r="C80" s="41" t="n">
        <v>89098</v>
      </c>
      <c r="D80" s="41" t="n">
        <v>88691</v>
      </c>
      <c r="E80" s="41" t="n">
        <v>90810</v>
      </c>
      <c r="F80" s="108" t="n">
        <v>0.5</v>
      </c>
      <c r="G80" s="108" t="n">
        <v>-2.3</v>
      </c>
      <c r="H80" s="108" t="n">
        <v>-0.6</v>
      </c>
      <c r="I80" s="41" t="n">
        <v>89136</v>
      </c>
      <c r="J80" s="41" t="n">
        <v>85154</v>
      </c>
      <c r="K80" s="41" t="n">
        <v>88478</v>
      </c>
      <c r="L80" s="41" t="n">
        <v>435752</v>
      </c>
      <c r="M80" s="41" t="n">
        <v>421434</v>
      </c>
      <c r="N80" s="109" t="n">
        <v>3.4</v>
      </c>
    </row>
    <row r="81" ht="18.75" customHeight="1" s="142">
      <c r="A81" s="40" t="inlineStr">
        <is>
          <t xml:space="preserve">               New Orders…………………………</t>
        </is>
      </c>
      <c r="B81" s="33" t="n"/>
      <c r="C81" s="41" t="n">
        <v>84657</v>
      </c>
      <c r="D81" s="41" t="n">
        <v>87523</v>
      </c>
      <c r="E81" s="41" t="n">
        <v>91900</v>
      </c>
      <c r="F81" s="108" t="n">
        <v>-3.3</v>
      </c>
      <c r="G81" s="108" t="n">
        <v>-4.8</v>
      </c>
      <c r="H81" s="108" t="n">
        <v>6.3</v>
      </c>
      <c r="I81" s="41" t="n">
        <v>78520</v>
      </c>
      <c r="J81" s="41" t="n">
        <v>82435</v>
      </c>
      <c r="K81" s="41" t="n">
        <v>87316</v>
      </c>
      <c r="L81" s="41" t="n">
        <v>426540</v>
      </c>
      <c r="M81" s="41" t="n">
        <v>434256</v>
      </c>
      <c r="N81" s="109" t="n">
        <v>-1.8</v>
      </c>
    </row>
    <row r="82" ht="9" customHeight="1" s="142">
      <c r="A82" s="40" t="n"/>
      <c r="B82" s="33" t="n"/>
      <c r="C82" s="41" t="n"/>
      <c r="D82" s="41" t="n"/>
      <c r="E82" s="41" t="n"/>
      <c r="F82" s="108" t="n"/>
      <c r="G82" s="108" t="n"/>
      <c r="H82" s="108" t="n"/>
      <c r="I82" s="41" t="n"/>
      <c r="J82" s="41" t="n"/>
      <c r="K82" s="41" t="n"/>
      <c r="L82" s="41" t="n"/>
      <c r="M82" s="41" t="n"/>
      <c r="N82" s="109" t="n"/>
    </row>
    <row r="83" ht="18.75" customHeight="1" s="142">
      <c r="A83" s="40" t="inlineStr">
        <is>
          <t xml:space="preserve">           Nondefense capital goods:</t>
        </is>
      </c>
      <c r="B83" s="33" t="n"/>
      <c r="C83" s="41" t="n"/>
      <c r="D83" s="41" t="n"/>
      <c r="E83" s="41" t="n"/>
      <c r="F83" s="108" t="n"/>
      <c r="G83" s="108" t="n"/>
      <c r="H83" s="108" t="n"/>
      <c r="I83" s="41" t="n"/>
      <c r="J83" s="41" t="n"/>
      <c r="K83" s="41" t="n"/>
      <c r="L83" s="41" t="n"/>
      <c r="M83" s="41" t="n"/>
      <c r="N83" s="109" t="n"/>
    </row>
    <row r="84" ht="20.25" customHeight="1" s="142">
      <c r="A84" s="40" t="inlineStr">
        <is>
          <t xml:space="preserve">               Shipments…………………………..</t>
        </is>
      </c>
      <c r="B84" s="33" t="n"/>
      <c r="C84" s="41" t="n">
        <v>76086</v>
      </c>
      <c r="D84" s="41" t="n">
        <v>75738</v>
      </c>
      <c r="E84" s="41" t="n">
        <v>78288</v>
      </c>
      <c r="F84" s="108" t="n">
        <v>0.5</v>
      </c>
      <c r="G84" s="108" t="n">
        <v>-3.3</v>
      </c>
      <c r="H84" s="108" t="n">
        <v>-0.9</v>
      </c>
      <c r="I84" s="41" t="n">
        <v>76273</v>
      </c>
      <c r="J84" s="41" t="n">
        <v>73314</v>
      </c>
      <c r="K84" s="41" t="n">
        <v>77209</v>
      </c>
      <c r="L84" s="41" t="n">
        <v>374259</v>
      </c>
      <c r="M84" s="41" t="n">
        <v>367199</v>
      </c>
      <c r="N84" s="109" t="n">
        <v>1.9</v>
      </c>
    </row>
    <row r="85" ht="18.75" customHeight="1" s="142">
      <c r="A85" s="40" t="inlineStr">
        <is>
          <t xml:space="preserve">               New Orders…………………………</t>
        </is>
      </c>
      <c r="B85" s="33" t="n"/>
      <c r="C85" s="41" t="n">
        <v>70792</v>
      </c>
      <c r="D85" s="41" t="n">
        <v>72485</v>
      </c>
      <c r="E85" s="41" t="n">
        <v>77840</v>
      </c>
      <c r="F85" s="108" t="n">
        <v>-2.3</v>
      </c>
      <c r="G85" s="108" t="n">
        <v>-6.9</v>
      </c>
      <c r="H85" s="108" t="n">
        <v>2.6</v>
      </c>
      <c r="I85" s="41" t="n">
        <v>66329</v>
      </c>
      <c r="J85" s="41" t="n">
        <v>70690</v>
      </c>
      <c r="K85" s="41" t="n">
        <v>75891</v>
      </c>
      <c r="L85" s="41" t="n">
        <v>363648</v>
      </c>
      <c r="M85" s="41" t="n">
        <v>379805</v>
      </c>
      <c r="N85" s="109" t="n">
        <v>-4.3</v>
      </c>
    </row>
    <row r="86" ht="9" customHeight="1" s="142">
      <c r="A86" s="43" t="n"/>
      <c r="B86" s="33" t="n"/>
      <c r="C86" s="41" t="n"/>
      <c r="D86" s="41" t="n"/>
      <c r="E86" s="41" t="n"/>
      <c r="F86" s="108" t="n"/>
      <c r="G86" s="108" t="n"/>
      <c r="H86" s="108" t="n"/>
      <c r="I86" s="41" t="n"/>
      <c r="J86" s="41" t="n"/>
      <c r="K86" s="41" t="n"/>
      <c r="L86" s="41" t="n"/>
      <c r="M86" s="41" t="n"/>
      <c r="N86" s="109" t="n"/>
    </row>
    <row r="87" ht="20.25" customHeight="1" s="142">
      <c r="A87" s="40" t="inlineStr">
        <is>
          <t xml:space="preserve">                Excluding aircraft:</t>
        </is>
      </c>
      <c r="B87" s="33" t="n"/>
      <c r="C87" s="41" t="n"/>
      <c r="D87" s="41" t="n"/>
      <c r="E87" s="41" t="n"/>
      <c r="F87" s="108" t="n"/>
      <c r="G87" s="108" t="n"/>
      <c r="H87" s="108" t="n"/>
      <c r="I87" s="41" t="n"/>
      <c r="J87" s="41" t="n"/>
      <c r="K87" s="41" t="n"/>
      <c r="L87" s="41" t="n"/>
      <c r="M87" s="41" t="n"/>
      <c r="N87" s="109" t="n"/>
    </row>
    <row r="88" ht="20.25" customHeight="1" s="142">
      <c r="A88" s="40" t="inlineStr">
        <is>
          <t xml:space="preserve">                    Shipments………………………</t>
        </is>
      </c>
      <c r="B88" s="33" t="n"/>
      <c r="C88" s="41" t="n">
        <v>70086</v>
      </c>
      <c r="D88" s="41" t="n">
        <v>69633</v>
      </c>
      <c r="E88" s="41" t="n">
        <v>69380</v>
      </c>
      <c r="F88" s="108" t="n">
        <v>0.7</v>
      </c>
      <c r="G88" s="108" t="n">
        <v>0.4</v>
      </c>
      <c r="H88" s="108" t="n">
        <v>-0.6</v>
      </c>
      <c r="I88" s="41" t="n">
        <v>70306</v>
      </c>
      <c r="J88" s="41" t="n">
        <v>68288</v>
      </c>
      <c r="K88" s="41" t="n">
        <v>67487</v>
      </c>
      <c r="L88" s="41" t="n">
        <v>339783</v>
      </c>
      <c r="M88" s="41" t="n">
        <v>327431</v>
      </c>
      <c r="N88" s="109" t="n">
        <v>3.8</v>
      </c>
    </row>
    <row r="89" ht="20.25" customHeight="1" s="142">
      <c r="A89" s="40" t="inlineStr">
        <is>
          <t xml:space="preserve">                    New Orders……………………..</t>
        </is>
      </c>
      <c r="B89" s="33" t="n"/>
      <c r="C89" s="41" t="n">
        <v>68950</v>
      </c>
      <c r="D89" s="41" t="n">
        <v>68695</v>
      </c>
      <c r="E89" s="41" t="n">
        <v>69396</v>
      </c>
      <c r="F89" s="108" t="n">
        <v>0.4</v>
      </c>
      <c r="G89" s="108" t="n">
        <v>-1</v>
      </c>
      <c r="H89" s="108" t="n">
        <v>0.3</v>
      </c>
      <c r="I89" s="41" t="n">
        <v>68846</v>
      </c>
      <c r="J89" s="41" t="n">
        <v>68174</v>
      </c>
      <c r="K89" s="41" t="n">
        <v>68188</v>
      </c>
      <c r="L89" s="41" t="n">
        <v>341825</v>
      </c>
      <c r="M89" s="41" t="n">
        <v>334262</v>
      </c>
      <c r="N89" s="109" t="n">
        <v>2.3</v>
      </c>
    </row>
    <row r="90" ht="9" customHeight="1" s="142">
      <c r="A90" s="43" t="n"/>
      <c r="B90" s="33" t="n"/>
      <c r="C90" s="41" t="n"/>
      <c r="D90" s="41" t="n"/>
      <c r="E90" s="41" t="n"/>
      <c r="F90" s="108" t="n"/>
      <c r="G90" s="108" t="n"/>
      <c r="H90" s="108" t="n"/>
      <c r="I90" s="41" t="n"/>
      <c r="J90" s="41" t="n"/>
      <c r="K90" s="41" t="n"/>
      <c r="L90" s="41" t="n"/>
      <c r="M90" s="41" t="n"/>
      <c r="N90" s="109" t="n"/>
    </row>
    <row r="91" ht="18.75" customHeight="1" s="142">
      <c r="A91" s="40" t="inlineStr">
        <is>
          <t xml:space="preserve">           Defense capital goods:</t>
        </is>
      </c>
      <c r="B91" s="33" t="n"/>
      <c r="C91" s="41" t="n"/>
      <c r="D91" s="41" t="n"/>
      <c r="E91" s="41" t="n"/>
      <c r="F91" s="108" t="n"/>
      <c r="G91" s="108" t="n"/>
      <c r="H91" s="108" t="n"/>
      <c r="I91" s="41" t="n"/>
      <c r="J91" s="41" t="n"/>
      <c r="K91" s="41" t="n"/>
      <c r="L91" s="41" t="n"/>
      <c r="M91" s="41" t="n"/>
      <c r="N91" s="109" t="n"/>
    </row>
    <row r="92" ht="18" customHeight="1" s="142">
      <c r="A92" s="40" t="inlineStr">
        <is>
          <t xml:space="preserve">               Shipments…………………………..</t>
        </is>
      </c>
      <c r="B92" s="33" t="n"/>
      <c r="C92" s="41" t="n">
        <v>13012</v>
      </c>
      <c r="D92" s="41" t="n">
        <v>12953</v>
      </c>
      <c r="E92" s="41" t="n">
        <v>12522</v>
      </c>
      <c r="F92" s="108" t="n">
        <v>0.5</v>
      </c>
      <c r="G92" s="108" t="n">
        <v>3.4</v>
      </c>
      <c r="H92" s="108" t="n">
        <v>0.9</v>
      </c>
      <c r="I92" s="41" t="n">
        <v>12863</v>
      </c>
      <c r="J92" s="41" t="n">
        <v>11840</v>
      </c>
      <c r="K92" s="41" t="n">
        <v>11269</v>
      </c>
      <c r="L92" s="41" t="n">
        <v>61493</v>
      </c>
      <c r="M92" s="41" t="n">
        <v>54235</v>
      </c>
      <c r="N92" s="109" t="n">
        <v>13.4</v>
      </c>
    </row>
    <row r="93" ht="15" customHeight="1" s="142">
      <c r="A93" s="40" t="inlineStr">
        <is>
          <t xml:space="preserve">               New Orders…………………………</t>
        </is>
      </c>
      <c r="B93" s="33" t="n"/>
      <c r="C93" s="41" t="n">
        <v>13865</v>
      </c>
      <c r="D93" s="41" t="n">
        <v>15038</v>
      </c>
      <c r="E93" s="41" t="n">
        <v>14060</v>
      </c>
      <c r="F93" s="108" t="n">
        <v>-7.8</v>
      </c>
      <c r="G93" s="108" t="n">
        <v>7</v>
      </c>
      <c r="H93" s="108" t="n">
        <v>32.7</v>
      </c>
      <c r="I93" s="41" t="n">
        <v>12191</v>
      </c>
      <c r="J93" s="41" t="n">
        <v>11745</v>
      </c>
      <c r="K93" s="41" t="n">
        <v>11425</v>
      </c>
      <c r="L93" s="41" t="n">
        <v>62892</v>
      </c>
      <c r="M93" s="41" t="n">
        <v>54451</v>
      </c>
      <c r="N93" s="109" t="n">
        <v>15.5</v>
      </c>
    </row>
    <row r="94" ht="9" customHeight="1" s="142" thickBot="1">
      <c r="A94" s="30" t="n"/>
      <c r="B94" s="31" t="n"/>
      <c r="C94" s="46" t="n"/>
      <c r="D94" s="46" t="n"/>
      <c r="E94" s="46" t="n"/>
      <c r="F94" s="112" t="n"/>
      <c r="G94" s="112" t="n"/>
      <c r="H94" s="112" t="n"/>
      <c r="I94" s="46" t="n"/>
      <c r="J94" s="46" t="n"/>
      <c r="K94" s="46" t="n"/>
      <c r="L94" s="46" t="n"/>
      <c r="M94" s="46" t="n"/>
      <c r="N94" s="113" t="n"/>
    </row>
    <row r="95" ht="9" customHeight="1" s="142">
      <c r="A95" s="3" t="n"/>
      <c r="B95" s="3" t="n"/>
      <c r="C95" s="47" t="n"/>
      <c r="D95" s="47" t="n"/>
      <c r="E95" s="47" t="n"/>
      <c r="F95" s="114" t="n"/>
      <c r="G95" s="114" t="n"/>
      <c r="H95" s="114" t="n"/>
      <c r="I95" s="47" t="n"/>
      <c r="J95" s="47" t="n"/>
      <c r="K95" s="47" t="n"/>
      <c r="L95" s="47" t="n"/>
      <c r="M95" s="47" t="n"/>
      <c r="N95" s="105" t="n"/>
    </row>
    <row r="96" ht="9" customHeight="1" s="142">
      <c r="A96" s="3" t="n"/>
      <c r="B96" s="3" t="n"/>
      <c r="C96" s="47" t="n"/>
      <c r="D96" s="47" t="n"/>
      <c r="E96" s="47" t="n"/>
      <c r="F96" s="114" t="n"/>
      <c r="G96" s="114" t="n"/>
      <c r="H96" s="114" t="n"/>
      <c r="I96" s="47" t="n"/>
      <c r="J96" s="47" t="n"/>
      <c r="K96" s="47" t="n"/>
      <c r="L96" s="47" t="n"/>
      <c r="M96" s="47" t="n"/>
      <c r="N96" s="105"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69"/>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9"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9" t="n">
        <v>44562</v>
      </c>
      <c r="B769" t="n">
        <v>25292</v>
      </c>
      <c r="C769" t="n">
        <v>37524</v>
      </c>
      <c r="D769" t="n">
        <v>39614</v>
      </c>
      <c r="E769" t="n">
        <v>25791</v>
      </c>
      <c r="F769" t="n">
        <v>13338</v>
      </c>
      <c r="G769" t="n">
        <v>87637</v>
      </c>
      <c r="H769" t="n">
        <v/>
      </c>
      <c r="I769" t="n">
        <v>189818</v>
      </c>
      <c r="J769" t="n">
        <v>202069</v>
      </c>
      <c r="K769" t="n">
        <v/>
      </c>
      <c r="L769" t="n">
        <v>277455</v>
      </c>
      <c r="M769" t="n">
        <v>79986</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79"/>
  <sheetViews>
    <sheetView zoomScale="150" zoomScaleNormal="150" workbookViewId="0">
      <pane xSplit="2" ySplit="6" topLeftCell="C48" activePane="bottomRight" state="frozen"/>
      <selection pane="topRight" activeCell="C1" sqref="C1"/>
      <selection pane="bottomLeft" activeCell="A7" sqref="A7"/>
      <selection pane="bottomRight" activeCell="I84" sqref="I84"/>
    </sheetView>
  </sheetViews>
  <sheetFormatPr baseColWidth="10" defaultColWidth="9.1640625" defaultRowHeight="15"/>
  <cols>
    <col width="9.1640625" customWidth="1" style="123" min="1" max="1"/>
    <col width="10.6640625" bestFit="1" customWidth="1" style="123" min="2" max="2"/>
    <col width="9.1640625" customWidth="1" style="123" min="3" max="4"/>
    <col width="9.1640625" customWidth="1" style="123" min="5"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sheetData>
  <mergeCells count="10">
    <mergeCell ref="M4:N4"/>
    <mergeCell ref="O4:P4"/>
    <mergeCell ref="Q4:R4"/>
    <mergeCell ref="S4:T4"/>
    <mergeCell ref="U4:V4"/>
    <mergeCell ref="C4:D4"/>
    <mergeCell ref="E4:F4"/>
    <mergeCell ref="G4:H4"/>
    <mergeCell ref="I4:J4"/>
    <mergeCell ref="K4:L4"/>
  </mergeCells>
  <conditionalFormatting sqref="D8:D79">
    <cfRule type="colorScale" priority="11">
      <colorScale>
        <cfvo type="min"/>
        <cfvo type="percentile" val="50"/>
        <cfvo type="max"/>
        <color rgb="FFF8696B"/>
        <color rgb="FFFFEB84"/>
        <color rgb="FF63BE7B"/>
      </colorScale>
    </cfRule>
  </conditionalFormatting>
  <conditionalFormatting sqref="F8:F79">
    <cfRule type="colorScale" priority="12">
      <colorScale>
        <cfvo type="min"/>
        <cfvo type="percentile" val="50"/>
        <cfvo type="max"/>
        <color rgb="FFF8696B"/>
        <color rgb="FFFFEB84"/>
        <color rgb="FF63BE7B"/>
      </colorScale>
    </cfRule>
  </conditionalFormatting>
  <conditionalFormatting sqref="H8:H79">
    <cfRule type="colorScale" priority="13">
      <colorScale>
        <cfvo type="min"/>
        <cfvo type="percentile" val="50"/>
        <cfvo type="max"/>
        <color rgb="FFF8696B"/>
        <color rgb="FFFFEB84"/>
        <color rgb="FF63BE7B"/>
      </colorScale>
    </cfRule>
  </conditionalFormatting>
  <conditionalFormatting sqref="J8:J79">
    <cfRule type="colorScale" priority="14">
      <colorScale>
        <cfvo type="min"/>
        <cfvo type="percentile" val="50"/>
        <cfvo type="max"/>
        <color rgb="FFF8696B"/>
        <color rgb="FFFFEB84"/>
        <color rgb="FF63BE7B"/>
      </colorScale>
    </cfRule>
  </conditionalFormatting>
  <conditionalFormatting sqref="L8:L79">
    <cfRule type="colorScale" priority="15">
      <colorScale>
        <cfvo type="min"/>
        <cfvo type="percentile" val="50"/>
        <cfvo type="max"/>
        <color rgb="FFF8696B"/>
        <color rgb="FFFFEB84"/>
        <color rgb="FF63BE7B"/>
      </colorScale>
    </cfRule>
  </conditionalFormatting>
  <conditionalFormatting sqref="N8:N79">
    <cfRule type="colorScale" priority="16">
      <colorScale>
        <cfvo type="min"/>
        <cfvo type="percentile" val="50"/>
        <cfvo type="max"/>
        <color rgb="FFF8696B"/>
        <color rgb="FFFFEB84"/>
        <color rgb="FF63BE7B"/>
      </colorScale>
    </cfRule>
  </conditionalFormatting>
  <conditionalFormatting sqref="P8:P79">
    <cfRule type="colorScale" priority="17">
      <colorScale>
        <cfvo type="min"/>
        <cfvo type="percentile" val="50"/>
        <cfvo type="max"/>
        <color rgb="FFF8696B"/>
        <color rgb="FFFFEB84"/>
        <color rgb="FF63BE7B"/>
      </colorScale>
    </cfRule>
  </conditionalFormatting>
  <conditionalFormatting sqref="R8:R79">
    <cfRule type="colorScale" priority="18">
      <colorScale>
        <cfvo type="min"/>
        <cfvo type="percentile" val="50"/>
        <cfvo type="max"/>
        <color rgb="FFF8696B"/>
        <color rgb="FFFFEB84"/>
        <color rgb="FF63BE7B"/>
      </colorScale>
    </cfRule>
  </conditionalFormatting>
  <conditionalFormatting sqref="T8:T79">
    <cfRule type="colorScale" priority="19">
      <colorScale>
        <cfvo type="min"/>
        <cfvo type="percentile" val="50"/>
        <cfvo type="max"/>
        <color rgb="FFF8696B"/>
        <color rgb="FFFFEB84"/>
        <color rgb="FF63BE7B"/>
      </colorScale>
    </cfRule>
  </conditionalFormatting>
  <conditionalFormatting sqref="V8:V7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5"/>
  <sheetViews>
    <sheetView zoomScale="150" zoomScaleNormal="150" workbookViewId="0">
      <pane ySplit="5" topLeftCell="A332" activePane="bottomLeft" state="frozen"/>
      <selection pane="bottomLeft" activeCell="E365" sqref="E36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6" t="inlineStr">
        <is>
          <t>mom %</t>
        </is>
      </c>
    </row>
    <row r="6">
      <c r="A6" s="74" t="n">
        <v>33635</v>
      </c>
      <c r="B6" s="75">
        <f>VLOOKUP(A6,Database!A:M,MATCH($A$1,Database!$A$1:$M$1,),)</f>
        <v/>
      </c>
      <c r="C6" s="117" t="n"/>
    </row>
    <row r="7">
      <c r="A7" s="74" t="n">
        <v>33664</v>
      </c>
      <c r="B7" s="75">
        <f>VLOOKUP(A7,Database!A:M,MATCH($A$1,Database!$A$1:$M$1,),)</f>
        <v/>
      </c>
      <c r="C7" s="118">
        <f>(Table535[[#This Row],[New Orders - Nondefense Capital Goods Excluding Aircraft]]-B6)/B6</f>
        <v/>
      </c>
    </row>
    <row r="8">
      <c r="A8" s="74" t="n">
        <v>33695</v>
      </c>
      <c r="B8" s="75">
        <f>VLOOKUP(A8,Database!A:M,MATCH($A$1,Database!$A$1:$M$1,),)</f>
        <v/>
      </c>
      <c r="C8" s="118">
        <f>(Table535[[#This Row],[New Orders - Nondefense Capital Goods Excluding Aircraft]]-B7)/B7</f>
        <v/>
      </c>
    </row>
    <row r="9">
      <c r="A9" s="74" t="n">
        <v>33725</v>
      </c>
      <c r="B9" s="75">
        <f>VLOOKUP(A9,Database!A:M,MATCH($A$1,Database!$A$1:$M$1,),)</f>
        <v/>
      </c>
      <c r="C9" s="118">
        <f>(Table535[[#This Row],[New Orders - Nondefense Capital Goods Excluding Aircraft]]-B8)/B8</f>
        <v/>
      </c>
    </row>
    <row r="10">
      <c r="A10" s="74" t="n">
        <v>33756</v>
      </c>
      <c r="B10" s="75">
        <f>VLOOKUP(A10,Database!A:M,MATCH($A$1,Database!$A$1:$M$1,),)</f>
        <v/>
      </c>
      <c r="C10" s="118">
        <f>(Table535[[#This Row],[New Orders - Nondefense Capital Goods Excluding Aircraft]]-B9)/B9</f>
        <v/>
      </c>
    </row>
    <row r="11">
      <c r="A11" s="74" t="n">
        <v>33786</v>
      </c>
      <c r="B11" s="75">
        <f>VLOOKUP(A11,Database!A:M,MATCH($A$1,Database!$A$1:$M$1,),)</f>
        <v/>
      </c>
      <c r="C11" s="118">
        <f>(Table535[[#This Row],[New Orders - Nondefense Capital Goods Excluding Aircraft]]-B10)/B10</f>
        <v/>
      </c>
    </row>
    <row r="12">
      <c r="A12" s="74" t="n">
        <v>33817</v>
      </c>
      <c r="B12" s="75">
        <f>VLOOKUP(A12,Database!A:M,MATCH($A$1,Database!$A$1:$M$1,),)</f>
        <v/>
      </c>
      <c r="C12" s="118">
        <f>(Table535[[#This Row],[New Orders - Nondefense Capital Goods Excluding Aircraft]]-B11)/B11</f>
        <v/>
      </c>
    </row>
    <row r="13">
      <c r="A13" s="74" t="n">
        <v>33848</v>
      </c>
      <c r="B13" s="75">
        <f>VLOOKUP(A13,Database!A:M,MATCH($A$1,Database!$A$1:$M$1,),)</f>
        <v/>
      </c>
      <c r="C13" s="118">
        <f>(Table535[[#This Row],[New Orders - Nondefense Capital Goods Excluding Aircraft]]-B12)/B12</f>
        <v/>
      </c>
    </row>
    <row r="14">
      <c r="A14" s="74" t="n">
        <v>33878</v>
      </c>
      <c r="B14" s="75">
        <f>VLOOKUP(A14,Database!A:M,MATCH($A$1,Database!$A$1:$M$1,),)</f>
        <v/>
      </c>
      <c r="C14" s="118">
        <f>(Table535[[#This Row],[New Orders - Nondefense Capital Goods Excluding Aircraft]]-B13)/B13</f>
        <v/>
      </c>
    </row>
    <row r="15">
      <c r="A15" s="74" t="n">
        <v>33909</v>
      </c>
      <c r="B15" s="75">
        <f>VLOOKUP(A15,Database!A:M,MATCH($A$1,Database!$A$1:$M$1,),)</f>
        <v/>
      </c>
      <c r="C15" s="118">
        <f>(Table535[[#This Row],[New Orders - Nondefense Capital Goods Excluding Aircraft]]-B14)/B14</f>
        <v/>
      </c>
    </row>
    <row r="16">
      <c r="A16" s="74" t="n">
        <v>33939</v>
      </c>
      <c r="B16" s="75">
        <f>VLOOKUP(A16,Database!A:M,MATCH($A$1,Database!$A$1:$M$1,),)</f>
        <v/>
      </c>
      <c r="C16" s="118">
        <f>(Table535[[#This Row],[New Orders - Nondefense Capital Goods Excluding Aircraft]]-B15)/B15</f>
        <v/>
      </c>
    </row>
    <row r="17">
      <c r="A17" s="74" t="n">
        <v>33970</v>
      </c>
      <c r="B17" s="75">
        <f>VLOOKUP(A17,Database!A:M,MATCH($A$1,Database!$A$1:$M$1,),)</f>
        <v/>
      </c>
      <c r="C17" s="118">
        <f>(Table535[[#This Row],[New Orders - Nondefense Capital Goods Excluding Aircraft]]-B16)/B16</f>
        <v/>
      </c>
    </row>
    <row r="18">
      <c r="A18" s="74" t="n">
        <v>34001</v>
      </c>
      <c r="B18" s="75">
        <f>VLOOKUP(A18,Database!A:M,MATCH($A$1,Database!$A$1:$M$1,),)</f>
        <v/>
      </c>
      <c r="C18" s="118">
        <f>(Table535[[#This Row],[New Orders - Nondefense Capital Goods Excluding Aircraft]]-B17)/B17</f>
        <v/>
      </c>
    </row>
    <row r="19">
      <c r="A19" s="74" t="n">
        <v>34029</v>
      </c>
      <c r="B19" s="75">
        <f>VLOOKUP(A19,Database!A:M,MATCH($A$1,Database!$A$1:$M$1,),)</f>
        <v/>
      </c>
      <c r="C19" s="118">
        <f>(Table535[[#This Row],[New Orders - Nondefense Capital Goods Excluding Aircraft]]-B18)/B18</f>
        <v/>
      </c>
    </row>
    <row r="20">
      <c r="A20" s="74" t="n">
        <v>34060</v>
      </c>
      <c r="B20" s="75">
        <f>VLOOKUP(A20,Database!A:M,MATCH($A$1,Database!$A$1:$M$1,),)</f>
        <v/>
      </c>
      <c r="C20" s="118">
        <f>(Table535[[#This Row],[New Orders - Nondefense Capital Goods Excluding Aircraft]]-B19)/B19</f>
        <v/>
      </c>
    </row>
    <row r="21">
      <c r="A21" s="74" t="n">
        <v>34090</v>
      </c>
      <c r="B21" s="75">
        <f>VLOOKUP(A21,Database!A:M,MATCH($A$1,Database!$A$1:$M$1,),)</f>
        <v/>
      </c>
      <c r="C21" s="118">
        <f>(Table535[[#This Row],[New Orders - Nondefense Capital Goods Excluding Aircraft]]-B20)/B20</f>
        <v/>
      </c>
    </row>
    <row r="22">
      <c r="A22" s="74" t="n">
        <v>34121</v>
      </c>
      <c r="B22" s="75">
        <f>VLOOKUP(A22,Database!A:M,MATCH($A$1,Database!$A$1:$M$1,),)</f>
        <v/>
      </c>
      <c r="C22" s="118">
        <f>(Table535[[#This Row],[New Orders - Nondefense Capital Goods Excluding Aircraft]]-B21)/B21</f>
        <v/>
      </c>
    </row>
    <row r="23">
      <c r="A23" s="74" t="n">
        <v>34151</v>
      </c>
      <c r="B23" s="75">
        <f>VLOOKUP(A23,Database!A:M,MATCH($A$1,Database!$A$1:$M$1,),)</f>
        <v/>
      </c>
      <c r="C23" s="118">
        <f>(Table535[[#This Row],[New Orders - Nondefense Capital Goods Excluding Aircraft]]-B22)/B22</f>
        <v/>
      </c>
    </row>
    <row r="24">
      <c r="A24" s="74" t="n">
        <v>34182</v>
      </c>
      <c r="B24" s="75">
        <f>VLOOKUP(A24,Database!A:M,MATCH($A$1,Database!$A$1:$M$1,),)</f>
        <v/>
      </c>
      <c r="C24" s="118">
        <f>(Table535[[#This Row],[New Orders - Nondefense Capital Goods Excluding Aircraft]]-B23)/B23</f>
        <v/>
      </c>
    </row>
    <row r="25">
      <c r="A25" s="74" t="n">
        <v>34213</v>
      </c>
      <c r="B25" s="75">
        <f>VLOOKUP(A25,Database!A:M,MATCH($A$1,Database!$A$1:$M$1,),)</f>
        <v/>
      </c>
      <c r="C25" s="118">
        <f>(Table535[[#This Row],[New Orders - Nondefense Capital Goods Excluding Aircraft]]-B24)/B24</f>
        <v/>
      </c>
    </row>
    <row r="26">
      <c r="A26" s="74" t="n">
        <v>34243</v>
      </c>
      <c r="B26" s="75">
        <f>VLOOKUP(A26,Database!A:M,MATCH($A$1,Database!$A$1:$M$1,),)</f>
        <v/>
      </c>
      <c r="C26" s="118">
        <f>(Table535[[#This Row],[New Orders - Nondefense Capital Goods Excluding Aircraft]]-B25)/B25</f>
        <v/>
      </c>
    </row>
    <row r="27">
      <c r="A27" s="74" t="n">
        <v>34274</v>
      </c>
      <c r="B27" s="75">
        <f>VLOOKUP(A27,Database!A:M,MATCH($A$1,Database!$A$1:$M$1,),)</f>
        <v/>
      </c>
      <c r="C27" s="118">
        <f>(Table535[[#This Row],[New Orders - Nondefense Capital Goods Excluding Aircraft]]-B26)/B26</f>
        <v/>
      </c>
    </row>
    <row r="28">
      <c r="A28" s="74" t="n">
        <v>34304</v>
      </c>
      <c r="B28" s="75">
        <f>VLOOKUP(A28,Database!A:M,MATCH($A$1,Database!$A$1:$M$1,),)</f>
        <v/>
      </c>
      <c r="C28" s="118">
        <f>(Table535[[#This Row],[New Orders - Nondefense Capital Goods Excluding Aircraft]]-B27)/B27</f>
        <v/>
      </c>
    </row>
    <row r="29">
      <c r="A29" s="74" t="n">
        <v>34335</v>
      </c>
      <c r="B29" s="75">
        <f>VLOOKUP(A29,Database!A:M,MATCH($A$1,Database!$A$1:$M$1,),)</f>
        <v/>
      </c>
      <c r="C29" s="118">
        <f>(Table535[[#This Row],[New Orders - Nondefense Capital Goods Excluding Aircraft]]-B28)/B28</f>
        <v/>
      </c>
    </row>
    <row r="30">
      <c r="A30" s="74" t="n">
        <v>34366</v>
      </c>
      <c r="B30" s="75">
        <f>VLOOKUP(A30,Database!A:M,MATCH($A$1,Database!$A$1:$M$1,),)</f>
        <v/>
      </c>
      <c r="C30" s="118">
        <f>(Table535[[#This Row],[New Orders - Nondefense Capital Goods Excluding Aircraft]]-B29)/B29</f>
        <v/>
      </c>
    </row>
    <row r="31">
      <c r="A31" s="74" t="n">
        <v>34394</v>
      </c>
      <c r="B31" s="75">
        <f>VLOOKUP(A31,Database!A:M,MATCH($A$1,Database!$A$1:$M$1,),)</f>
        <v/>
      </c>
      <c r="C31" s="118">
        <f>(Table535[[#This Row],[New Orders - Nondefense Capital Goods Excluding Aircraft]]-B30)/B30</f>
        <v/>
      </c>
    </row>
    <row r="32">
      <c r="A32" s="74" t="n">
        <v>34425</v>
      </c>
      <c r="B32" s="75">
        <f>VLOOKUP(A32,Database!A:M,MATCH($A$1,Database!$A$1:$M$1,),)</f>
        <v/>
      </c>
      <c r="C32" s="118">
        <f>(Table535[[#This Row],[New Orders - Nondefense Capital Goods Excluding Aircraft]]-B31)/B31</f>
        <v/>
      </c>
    </row>
    <row r="33">
      <c r="A33" s="74" t="n">
        <v>34455</v>
      </c>
      <c r="B33" s="75">
        <f>VLOOKUP(A33,Database!A:M,MATCH($A$1,Database!$A$1:$M$1,),)</f>
        <v/>
      </c>
      <c r="C33" s="118">
        <f>(Table535[[#This Row],[New Orders - Nondefense Capital Goods Excluding Aircraft]]-B32)/B32</f>
        <v/>
      </c>
    </row>
    <row r="34">
      <c r="A34" s="74" t="n">
        <v>34486</v>
      </c>
      <c r="B34" s="75">
        <f>VLOOKUP(A34,Database!A:M,MATCH($A$1,Database!$A$1:$M$1,),)</f>
        <v/>
      </c>
      <c r="C34" s="118">
        <f>(Table535[[#This Row],[New Orders - Nondefense Capital Goods Excluding Aircraft]]-B33)/B33</f>
        <v/>
      </c>
    </row>
    <row r="35">
      <c r="A35" s="74" t="n">
        <v>34516</v>
      </c>
      <c r="B35" s="75">
        <f>VLOOKUP(A35,Database!A:M,MATCH($A$1,Database!$A$1:$M$1,),)</f>
        <v/>
      </c>
      <c r="C35" s="118">
        <f>(Table535[[#This Row],[New Orders - Nondefense Capital Goods Excluding Aircraft]]-B34)/B34</f>
        <v/>
      </c>
    </row>
    <row r="36">
      <c r="A36" s="74" t="n">
        <v>34547</v>
      </c>
      <c r="B36" s="75">
        <f>VLOOKUP(A36,Database!A:M,MATCH($A$1,Database!$A$1:$M$1,),)</f>
        <v/>
      </c>
      <c r="C36" s="118">
        <f>(Table535[[#This Row],[New Orders - Nondefense Capital Goods Excluding Aircraft]]-B35)/B35</f>
        <v/>
      </c>
    </row>
    <row r="37">
      <c r="A37" s="74" t="n">
        <v>34578</v>
      </c>
      <c r="B37" s="75">
        <f>VLOOKUP(A37,Database!A:M,MATCH($A$1,Database!$A$1:$M$1,),)</f>
        <v/>
      </c>
      <c r="C37" s="118">
        <f>(Table535[[#This Row],[New Orders - Nondefense Capital Goods Excluding Aircraft]]-B36)/B36</f>
        <v/>
      </c>
    </row>
    <row r="38">
      <c r="A38" s="74" t="n">
        <v>34608</v>
      </c>
      <c r="B38" s="75">
        <f>VLOOKUP(A38,Database!A:M,MATCH($A$1,Database!$A$1:$M$1,),)</f>
        <v/>
      </c>
      <c r="C38" s="118">
        <f>(Table535[[#This Row],[New Orders - Nondefense Capital Goods Excluding Aircraft]]-B37)/B37</f>
        <v/>
      </c>
    </row>
    <row r="39">
      <c r="A39" s="74" t="n">
        <v>34639</v>
      </c>
      <c r="B39" s="75">
        <f>VLOOKUP(A39,Database!A:M,MATCH($A$1,Database!$A$1:$M$1,),)</f>
        <v/>
      </c>
      <c r="C39" s="118">
        <f>(Table535[[#This Row],[New Orders - Nondefense Capital Goods Excluding Aircraft]]-B38)/B38</f>
        <v/>
      </c>
    </row>
    <row r="40">
      <c r="A40" s="74" t="n">
        <v>34669</v>
      </c>
      <c r="B40" s="75">
        <f>VLOOKUP(A40,Database!A:M,MATCH($A$1,Database!$A$1:$M$1,),)</f>
        <v/>
      </c>
      <c r="C40" s="118">
        <f>(Table535[[#This Row],[New Orders - Nondefense Capital Goods Excluding Aircraft]]-B39)/B39</f>
        <v/>
      </c>
    </row>
    <row r="41">
      <c r="A41" s="74" t="n">
        <v>34700</v>
      </c>
      <c r="B41" s="75">
        <f>VLOOKUP(A41,Database!A:M,MATCH($A$1,Database!$A$1:$M$1,),)</f>
        <v/>
      </c>
      <c r="C41" s="118">
        <f>(Table535[[#This Row],[New Orders - Nondefense Capital Goods Excluding Aircraft]]-B40)/B40</f>
        <v/>
      </c>
    </row>
    <row r="42">
      <c r="A42" s="74" t="n">
        <v>34731</v>
      </c>
      <c r="B42" s="75">
        <f>VLOOKUP(A42,Database!A:M,MATCH($A$1,Database!$A$1:$M$1,),)</f>
        <v/>
      </c>
      <c r="C42" s="118">
        <f>(Table535[[#This Row],[New Orders - Nondefense Capital Goods Excluding Aircraft]]-B41)/B41</f>
        <v/>
      </c>
    </row>
    <row r="43">
      <c r="A43" s="74" t="n">
        <v>34759</v>
      </c>
      <c r="B43" s="75">
        <f>VLOOKUP(A43,Database!A:M,MATCH($A$1,Database!$A$1:$M$1,),)</f>
        <v/>
      </c>
      <c r="C43" s="118">
        <f>(Table535[[#This Row],[New Orders - Nondefense Capital Goods Excluding Aircraft]]-B42)/B42</f>
        <v/>
      </c>
    </row>
    <row r="44">
      <c r="A44" s="74" t="n">
        <v>34790</v>
      </c>
      <c r="B44" s="75">
        <f>VLOOKUP(A44,Database!A:M,MATCH($A$1,Database!$A$1:$M$1,),)</f>
        <v/>
      </c>
      <c r="C44" s="118">
        <f>(Table535[[#This Row],[New Orders - Nondefense Capital Goods Excluding Aircraft]]-B43)/B43</f>
        <v/>
      </c>
    </row>
    <row r="45">
      <c r="A45" s="74" t="n">
        <v>34820</v>
      </c>
      <c r="B45" s="75">
        <f>VLOOKUP(A45,Database!A:M,MATCH($A$1,Database!$A$1:$M$1,),)</f>
        <v/>
      </c>
      <c r="C45" s="118">
        <f>(Table535[[#This Row],[New Orders - Nondefense Capital Goods Excluding Aircraft]]-B44)/B44</f>
        <v/>
      </c>
    </row>
    <row r="46">
      <c r="A46" s="74" t="n">
        <v>34851</v>
      </c>
      <c r="B46" s="75">
        <f>VLOOKUP(A46,Database!A:M,MATCH($A$1,Database!$A$1:$M$1,),)</f>
        <v/>
      </c>
      <c r="C46" s="118">
        <f>(Table535[[#This Row],[New Orders - Nondefense Capital Goods Excluding Aircraft]]-B45)/B45</f>
        <v/>
      </c>
    </row>
    <row r="47">
      <c r="A47" s="74" t="n">
        <v>34881</v>
      </c>
      <c r="B47" s="75">
        <f>VLOOKUP(A47,Database!A:M,MATCH($A$1,Database!$A$1:$M$1,),)</f>
        <v/>
      </c>
      <c r="C47" s="118">
        <f>(Table535[[#This Row],[New Orders - Nondefense Capital Goods Excluding Aircraft]]-B46)/B46</f>
        <v/>
      </c>
    </row>
    <row r="48">
      <c r="A48" s="74" t="n">
        <v>34912</v>
      </c>
      <c r="B48" s="75">
        <f>VLOOKUP(A48,Database!A:M,MATCH($A$1,Database!$A$1:$M$1,),)</f>
        <v/>
      </c>
      <c r="C48" s="118">
        <f>(Table535[[#This Row],[New Orders - Nondefense Capital Goods Excluding Aircraft]]-B47)/B47</f>
        <v/>
      </c>
    </row>
    <row r="49">
      <c r="A49" s="74" t="n">
        <v>34943</v>
      </c>
      <c r="B49" s="75">
        <f>VLOOKUP(A49,Database!A:M,MATCH($A$1,Database!$A$1:$M$1,),)</f>
        <v/>
      </c>
      <c r="C49" s="118">
        <f>(Table535[[#This Row],[New Orders - Nondefense Capital Goods Excluding Aircraft]]-B48)/B48</f>
        <v/>
      </c>
    </row>
    <row r="50">
      <c r="A50" s="74" t="n">
        <v>34973</v>
      </c>
      <c r="B50" s="75">
        <f>VLOOKUP(A50,Database!A:M,MATCH($A$1,Database!$A$1:$M$1,),)</f>
        <v/>
      </c>
      <c r="C50" s="118">
        <f>(Table535[[#This Row],[New Orders - Nondefense Capital Goods Excluding Aircraft]]-B49)/B49</f>
        <v/>
      </c>
    </row>
    <row r="51">
      <c r="A51" s="74" t="n">
        <v>35004</v>
      </c>
      <c r="B51" s="75">
        <f>VLOOKUP(A51,Database!A:M,MATCH($A$1,Database!$A$1:$M$1,),)</f>
        <v/>
      </c>
      <c r="C51" s="118">
        <f>(Table535[[#This Row],[New Orders - Nondefense Capital Goods Excluding Aircraft]]-B50)/B50</f>
        <v/>
      </c>
    </row>
    <row r="52">
      <c r="A52" s="74" t="n">
        <v>35034</v>
      </c>
      <c r="B52" s="75">
        <f>VLOOKUP(A52,Database!A:M,MATCH($A$1,Database!$A$1:$M$1,),)</f>
        <v/>
      </c>
      <c r="C52" s="118">
        <f>(Table535[[#This Row],[New Orders - Nondefense Capital Goods Excluding Aircraft]]-B51)/B51</f>
        <v/>
      </c>
    </row>
    <row r="53">
      <c r="A53" s="74" t="n">
        <v>35065</v>
      </c>
      <c r="B53" s="75">
        <f>VLOOKUP(A53,Database!A:M,MATCH($A$1,Database!$A$1:$M$1,),)</f>
        <v/>
      </c>
      <c r="C53" s="118">
        <f>(Table535[[#This Row],[New Orders - Nondefense Capital Goods Excluding Aircraft]]-B52)/B52</f>
        <v/>
      </c>
    </row>
    <row r="54">
      <c r="A54" s="74" t="n">
        <v>35096</v>
      </c>
      <c r="B54" s="75">
        <f>VLOOKUP(A54,Database!A:M,MATCH($A$1,Database!$A$1:$M$1,),)</f>
        <v/>
      </c>
      <c r="C54" s="118">
        <f>(Table535[[#This Row],[New Orders - Nondefense Capital Goods Excluding Aircraft]]-B53)/B53</f>
        <v/>
      </c>
    </row>
    <row r="55">
      <c r="A55" s="74" t="n">
        <v>35125</v>
      </c>
      <c r="B55" s="75">
        <f>VLOOKUP(A55,Database!A:M,MATCH($A$1,Database!$A$1:$M$1,),)</f>
        <v/>
      </c>
      <c r="C55" s="118">
        <f>(Table535[[#This Row],[New Orders - Nondefense Capital Goods Excluding Aircraft]]-B54)/B54</f>
        <v/>
      </c>
    </row>
    <row r="56">
      <c r="A56" s="74" t="n">
        <v>35156</v>
      </c>
      <c r="B56" s="75">
        <f>VLOOKUP(A56,Database!A:M,MATCH($A$1,Database!$A$1:$M$1,),)</f>
        <v/>
      </c>
      <c r="C56" s="118">
        <f>(Table535[[#This Row],[New Orders - Nondefense Capital Goods Excluding Aircraft]]-B55)/B55</f>
        <v/>
      </c>
    </row>
    <row r="57">
      <c r="A57" s="74" t="n">
        <v>35186</v>
      </c>
      <c r="B57" s="75">
        <f>VLOOKUP(A57,Database!A:M,MATCH($A$1,Database!$A$1:$M$1,),)</f>
        <v/>
      </c>
      <c r="C57" s="118">
        <f>(Table535[[#This Row],[New Orders - Nondefense Capital Goods Excluding Aircraft]]-B56)/B56</f>
        <v/>
      </c>
    </row>
    <row r="58">
      <c r="A58" s="74" t="n">
        <v>35217</v>
      </c>
      <c r="B58" s="75">
        <f>VLOOKUP(A58,Database!A:M,MATCH($A$1,Database!$A$1:$M$1,),)</f>
        <v/>
      </c>
      <c r="C58" s="118">
        <f>(Table535[[#This Row],[New Orders - Nondefense Capital Goods Excluding Aircraft]]-B57)/B57</f>
        <v/>
      </c>
    </row>
    <row r="59">
      <c r="A59" s="74" t="n">
        <v>35247</v>
      </c>
      <c r="B59" s="75">
        <f>VLOOKUP(A59,Database!A:M,MATCH($A$1,Database!$A$1:$M$1,),)</f>
        <v/>
      </c>
      <c r="C59" s="118">
        <f>(Table535[[#This Row],[New Orders - Nondefense Capital Goods Excluding Aircraft]]-B58)/B58</f>
        <v/>
      </c>
    </row>
    <row r="60">
      <c r="A60" s="74" t="n">
        <v>35278</v>
      </c>
      <c r="B60" s="75">
        <f>VLOOKUP(A60,Database!A:M,MATCH($A$1,Database!$A$1:$M$1,),)</f>
        <v/>
      </c>
      <c r="C60" s="118">
        <f>(Table535[[#This Row],[New Orders - Nondefense Capital Goods Excluding Aircraft]]-B59)/B59</f>
        <v/>
      </c>
    </row>
    <row r="61">
      <c r="A61" s="74" t="n">
        <v>35309</v>
      </c>
      <c r="B61" s="75">
        <f>VLOOKUP(A61,Database!A:M,MATCH($A$1,Database!$A$1:$M$1,),)</f>
        <v/>
      </c>
      <c r="C61" s="118">
        <f>(Table535[[#This Row],[New Orders - Nondefense Capital Goods Excluding Aircraft]]-B60)/B60</f>
        <v/>
      </c>
    </row>
    <row r="62">
      <c r="A62" s="74" t="n">
        <v>35339</v>
      </c>
      <c r="B62" s="75">
        <f>VLOOKUP(A62,Database!A:M,MATCH($A$1,Database!$A$1:$M$1,),)</f>
        <v/>
      </c>
      <c r="C62" s="118">
        <f>(Table535[[#This Row],[New Orders - Nondefense Capital Goods Excluding Aircraft]]-B61)/B61</f>
        <v/>
      </c>
    </row>
    <row r="63">
      <c r="A63" s="74" t="n">
        <v>35370</v>
      </c>
      <c r="B63" s="75">
        <f>VLOOKUP(A63,Database!A:M,MATCH($A$1,Database!$A$1:$M$1,),)</f>
        <v/>
      </c>
      <c r="C63" s="118">
        <f>(Table535[[#This Row],[New Orders - Nondefense Capital Goods Excluding Aircraft]]-B62)/B62</f>
        <v/>
      </c>
    </row>
    <row r="64">
      <c r="A64" s="74" t="n">
        <v>35400</v>
      </c>
      <c r="B64" s="75">
        <f>VLOOKUP(A64,Database!A:M,MATCH($A$1,Database!$A$1:$M$1,),)</f>
        <v/>
      </c>
      <c r="C64" s="118">
        <f>(Table535[[#This Row],[New Orders - Nondefense Capital Goods Excluding Aircraft]]-B63)/B63</f>
        <v/>
      </c>
    </row>
    <row r="65">
      <c r="A65" s="74" t="n">
        <v>35431</v>
      </c>
      <c r="B65" s="75">
        <f>VLOOKUP(A65,Database!A:M,MATCH($A$1,Database!$A$1:$M$1,),)</f>
        <v/>
      </c>
      <c r="C65" s="118">
        <f>(Table535[[#This Row],[New Orders - Nondefense Capital Goods Excluding Aircraft]]-B64)/B64</f>
        <v/>
      </c>
    </row>
    <row r="66">
      <c r="A66" s="74" t="n">
        <v>35462</v>
      </c>
      <c r="B66" s="75">
        <f>VLOOKUP(A66,Database!A:M,MATCH($A$1,Database!$A$1:$M$1,),)</f>
        <v/>
      </c>
      <c r="C66" s="118">
        <f>(Table535[[#This Row],[New Orders - Nondefense Capital Goods Excluding Aircraft]]-B65)/B65</f>
        <v/>
      </c>
    </row>
    <row r="67">
      <c r="A67" s="74" t="n">
        <v>35490</v>
      </c>
      <c r="B67" s="75">
        <f>VLOOKUP(A67,Database!A:M,MATCH($A$1,Database!$A$1:$M$1,),)</f>
        <v/>
      </c>
      <c r="C67" s="118">
        <f>(Table535[[#This Row],[New Orders - Nondefense Capital Goods Excluding Aircraft]]-B66)/B66</f>
        <v/>
      </c>
    </row>
    <row r="68">
      <c r="A68" s="74" t="n">
        <v>35521</v>
      </c>
      <c r="B68" s="75">
        <f>VLOOKUP(A68,Database!A:M,MATCH($A$1,Database!$A$1:$M$1,),)</f>
        <v/>
      </c>
      <c r="C68" s="118">
        <f>(Table535[[#This Row],[New Orders - Nondefense Capital Goods Excluding Aircraft]]-B67)/B67</f>
        <v/>
      </c>
    </row>
    <row r="69">
      <c r="A69" s="74" t="n">
        <v>35551</v>
      </c>
      <c r="B69" s="75">
        <f>VLOOKUP(A69,Database!A:M,MATCH($A$1,Database!$A$1:$M$1,),)</f>
        <v/>
      </c>
      <c r="C69" s="118">
        <f>(Table535[[#This Row],[New Orders - Nondefense Capital Goods Excluding Aircraft]]-B68)/B68</f>
        <v/>
      </c>
    </row>
    <row r="70">
      <c r="A70" s="74" t="n">
        <v>35582</v>
      </c>
      <c r="B70" s="75">
        <f>VLOOKUP(A70,Database!A:M,MATCH($A$1,Database!$A$1:$M$1,),)</f>
        <v/>
      </c>
      <c r="C70" s="118">
        <f>(Table535[[#This Row],[New Orders - Nondefense Capital Goods Excluding Aircraft]]-B69)/B69</f>
        <v/>
      </c>
    </row>
    <row r="71">
      <c r="A71" s="74" t="n">
        <v>35612</v>
      </c>
      <c r="B71" s="75">
        <f>VLOOKUP(A71,Database!A:M,MATCH($A$1,Database!$A$1:$M$1,),)</f>
        <v/>
      </c>
      <c r="C71" s="118">
        <f>(Table535[[#This Row],[New Orders - Nondefense Capital Goods Excluding Aircraft]]-B70)/B70</f>
        <v/>
      </c>
    </row>
    <row r="72">
      <c r="A72" s="74" t="n">
        <v>35643</v>
      </c>
      <c r="B72" s="75">
        <f>VLOOKUP(A72,Database!A:M,MATCH($A$1,Database!$A$1:$M$1,),)</f>
        <v/>
      </c>
      <c r="C72" s="118">
        <f>(Table535[[#This Row],[New Orders - Nondefense Capital Goods Excluding Aircraft]]-B71)/B71</f>
        <v/>
      </c>
    </row>
    <row r="73">
      <c r="A73" s="74" t="n">
        <v>35674</v>
      </c>
      <c r="B73" s="75">
        <f>VLOOKUP(A73,Database!A:M,MATCH($A$1,Database!$A$1:$M$1,),)</f>
        <v/>
      </c>
      <c r="C73" s="118">
        <f>(Table535[[#This Row],[New Orders - Nondefense Capital Goods Excluding Aircraft]]-B72)/B72</f>
        <v/>
      </c>
    </row>
    <row r="74">
      <c r="A74" s="74" t="n">
        <v>35704</v>
      </c>
      <c r="B74" s="75">
        <f>VLOOKUP(A74,Database!A:M,MATCH($A$1,Database!$A$1:$M$1,),)</f>
        <v/>
      </c>
      <c r="C74" s="118">
        <f>(Table535[[#This Row],[New Orders - Nondefense Capital Goods Excluding Aircraft]]-B73)/B73</f>
        <v/>
      </c>
    </row>
    <row r="75">
      <c r="A75" s="74" t="n">
        <v>35735</v>
      </c>
      <c r="B75" s="75">
        <f>VLOOKUP(A75,Database!A:M,MATCH($A$1,Database!$A$1:$M$1,),)</f>
        <v/>
      </c>
      <c r="C75" s="118">
        <f>(Table535[[#This Row],[New Orders - Nondefense Capital Goods Excluding Aircraft]]-B74)/B74</f>
        <v/>
      </c>
    </row>
    <row r="76">
      <c r="A76" s="74" t="n">
        <v>35765</v>
      </c>
      <c r="B76" s="75">
        <f>VLOOKUP(A76,Database!A:M,MATCH($A$1,Database!$A$1:$M$1,),)</f>
        <v/>
      </c>
      <c r="C76" s="118">
        <f>(Table535[[#This Row],[New Orders - Nondefense Capital Goods Excluding Aircraft]]-B75)/B75</f>
        <v/>
      </c>
    </row>
    <row r="77">
      <c r="A77" s="74" t="n">
        <v>35796</v>
      </c>
      <c r="B77" s="75">
        <f>VLOOKUP(A77,Database!A:M,MATCH($A$1,Database!$A$1:$M$1,),)</f>
        <v/>
      </c>
      <c r="C77" s="118">
        <f>(Table535[[#This Row],[New Orders - Nondefense Capital Goods Excluding Aircraft]]-B76)/B76</f>
        <v/>
      </c>
    </row>
    <row r="78">
      <c r="A78" s="74" t="n">
        <v>35827</v>
      </c>
      <c r="B78" s="75">
        <f>VLOOKUP(A78,Database!A:M,MATCH($A$1,Database!$A$1:$M$1,),)</f>
        <v/>
      </c>
      <c r="C78" s="118">
        <f>(Table535[[#This Row],[New Orders - Nondefense Capital Goods Excluding Aircraft]]-B77)/B77</f>
        <v/>
      </c>
    </row>
    <row r="79">
      <c r="A79" s="74" t="n">
        <v>35855</v>
      </c>
      <c r="B79" s="75">
        <f>VLOOKUP(A79,Database!A:M,MATCH($A$1,Database!$A$1:$M$1,),)</f>
        <v/>
      </c>
      <c r="C79" s="118">
        <f>(Table535[[#This Row],[New Orders - Nondefense Capital Goods Excluding Aircraft]]-B78)/B78</f>
        <v/>
      </c>
    </row>
    <row r="80">
      <c r="A80" s="74" t="n">
        <v>35886</v>
      </c>
      <c r="B80" s="75">
        <f>VLOOKUP(A80,Database!A:M,MATCH($A$1,Database!$A$1:$M$1,),)</f>
        <v/>
      </c>
      <c r="C80" s="118">
        <f>(Table535[[#This Row],[New Orders - Nondefense Capital Goods Excluding Aircraft]]-B79)/B79</f>
        <v/>
      </c>
    </row>
    <row r="81">
      <c r="A81" s="74" t="n">
        <v>35916</v>
      </c>
      <c r="B81" s="75">
        <f>VLOOKUP(A81,Database!A:M,MATCH($A$1,Database!$A$1:$M$1,),)</f>
        <v/>
      </c>
      <c r="C81" s="118">
        <f>(Table535[[#This Row],[New Orders - Nondefense Capital Goods Excluding Aircraft]]-B80)/B80</f>
        <v/>
      </c>
    </row>
    <row r="82">
      <c r="A82" s="74" t="n">
        <v>35947</v>
      </c>
      <c r="B82" s="75">
        <f>VLOOKUP(A82,Database!A:M,MATCH($A$1,Database!$A$1:$M$1,),)</f>
        <v/>
      </c>
      <c r="C82" s="118">
        <f>(Table535[[#This Row],[New Orders - Nondefense Capital Goods Excluding Aircraft]]-B81)/B81</f>
        <v/>
      </c>
    </row>
    <row r="83">
      <c r="A83" s="74" t="n">
        <v>35977</v>
      </c>
      <c r="B83" s="75">
        <f>VLOOKUP(A83,Database!A:M,MATCH($A$1,Database!$A$1:$M$1,),)</f>
        <v/>
      </c>
      <c r="C83" s="118">
        <f>(Table535[[#This Row],[New Orders - Nondefense Capital Goods Excluding Aircraft]]-B82)/B82</f>
        <v/>
      </c>
    </row>
    <row r="84">
      <c r="A84" s="74" t="n">
        <v>36008</v>
      </c>
      <c r="B84" s="75">
        <f>VLOOKUP(A84,Database!A:M,MATCH($A$1,Database!$A$1:$M$1,),)</f>
        <v/>
      </c>
      <c r="C84" s="118">
        <f>(Table535[[#This Row],[New Orders - Nondefense Capital Goods Excluding Aircraft]]-B83)/B83</f>
        <v/>
      </c>
    </row>
    <row r="85">
      <c r="A85" s="74" t="n">
        <v>36039</v>
      </c>
      <c r="B85" s="75">
        <f>VLOOKUP(A85,Database!A:M,MATCH($A$1,Database!$A$1:$M$1,),)</f>
        <v/>
      </c>
      <c r="C85" s="118">
        <f>(Table535[[#This Row],[New Orders - Nondefense Capital Goods Excluding Aircraft]]-B84)/B84</f>
        <v/>
      </c>
    </row>
    <row r="86">
      <c r="A86" s="74" t="n">
        <v>36069</v>
      </c>
      <c r="B86" s="75">
        <f>VLOOKUP(A86,Database!A:M,MATCH($A$1,Database!$A$1:$M$1,),)</f>
        <v/>
      </c>
      <c r="C86" s="118">
        <f>(Table535[[#This Row],[New Orders - Nondefense Capital Goods Excluding Aircraft]]-B85)/B85</f>
        <v/>
      </c>
    </row>
    <row r="87">
      <c r="A87" s="74" t="n">
        <v>36100</v>
      </c>
      <c r="B87" s="75">
        <f>VLOOKUP(A87,Database!A:M,MATCH($A$1,Database!$A$1:$M$1,),)</f>
        <v/>
      </c>
      <c r="C87" s="118">
        <f>(Table535[[#This Row],[New Orders - Nondefense Capital Goods Excluding Aircraft]]-B86)/B86</f>
        <v/>
      </c>
    </row>
    <row r="88">
      <c r="A88" s="74" t="n">
        <v>36130</v>
      </c>
      <c r="B88" s="75">
        <f>VLOOKUP(A88,Database!A:M,MATCH($A$1,Database!$A$1:$M$1,),)</f>
        <v/>
      </c>
      <c r="C88" s="118">
        <f>(Table535[[#This Row],[New Orders - Nondefense Capital Goods Excluding Aircraft]]-B87)/B87</f>
        <v/>
      </c>
    </row>
    <row r="89">
      <c r="A89" s="74" t="n">
        <v>36161</v>
      </c>
      <c r="B89" s="75">
        <f>VLOOKUP(A89,Database!A:M,MATCH($A$1,Database!$A$1:$M$1,),)</f>
        <v/>
      </c>
      <c r="C89" s="118">
        <f>(Table535[[#This Row],[New Orders - Nondefense Capital Goods Excluding Aircraft]]-B88)/B88</f>
        <v/>
      </c>
    </row>
    <row r="90">
      <c r="A90" s="74" t="n">
        <v>36192</v>
      </c>
      <c r="B90" s="75">
        <f>VLOOKUP(A90,Database!A:M,MATCH($A$1,Database!$A$1:$M$1,),)</f>
        <v/>
      </c>
      <c r="C90" s="118">
        <f>(Table535[[#This Row],[New Orders - Nondefense Capital Goods Excluding Aircraft]]-B89)/B89</f>
        <v/>
      </c>
    </row>
    <row r="91">
      <c r="A91" s="74" t="n">
        <v>36220</v>
      </c>
      <c r="B91" s="75">
        <f>VLOOKUP(A91,Database!A:M,MATCH($A$1,Database!$A$1:$M$1,),)</f>
        <v/>
      </c>
      <c r="C91" s="118">
        <f>(Table535[[#This Row],[New Orders - Nondefense Capital Goods Excluding Aircraft]]-B90)/B90</f>
        <v/>
      </c>
    </row>
    <row r="92">
      <c r="A92" s="74" t="n">
        <v>36251</v>
      </c>
      <c r="B92" s="75">
        <f>VLOOKUP(A92,Database!A:M,MATCH($A$1,Database!$A$1:$M$1,),)</f>
        <v/>
      </c>
      <c r="C92" s="118">
        <f>(Table535[[#This Row],[New Orders - Nondefense Capital Goods Excluding Aircraft]]-B91)/B91</f>
        <v/>
      </c>
    </row>
    <row r="93">
      <c r="A93" s="74" t="n">
        <v>36281</v>
      </c>
      <c r="B93" s="75">
        <f>VLOOKUP(A93,Database!A:M,MATCH($A$1,Database!$A$1:$M$1,),)</f>
        <v/>
      </c>
      <c r="C93" s="118">
        <f>(Table535[[#This Row],[New Orders - Nondefense Capital Goods Excluding Aircraft]]-B92)/B92</f>
        <v/>
      </c>
    </row>
    <row r="94">
      <c r="A94" s="74" t="n">
        <v>36312</v>
      </c>
      <c r="B94" s="75">
        <f>VLOOKUP(A94,Database!A:M,MATCH($A$1,Database!$A$1:$M$1,),)</f>
        <v/>
      </c>
      <c r="C94" s="118">
        <f>(Table535[[#This Row],[New Orders - Nondefense Capital Goods Excluding Aircraft]]-B93)/B93</f>
        <v/>
      </c>
    </row>
    <row r="95">
      <c r="A95" s="74" t="n">
        <v>36342</v>
      </c>
      <c r="B95" s="75">
        <f>VLOOKUP(A95,Database!A:M,MATCH($A$1,Database!$A$1:$M$1,),)</f>
        <v/>
      </c>
      <c r="C95" s="118">
        <f>(Table535[[#This Row],[New Orders - Nondefense Capital Goods Excluding Aircraft]]-B94)/B94</f>
        <v/>
      </c>
    </row>
    <row r="96">
      <c r="A96" s="74" t="n">
        <v>36373</v>
      </c>
      <c r="B96" s="75">
        <f>VLOOKUP(A96,Database!A:M,MATCH($A$1,Database!$A$1:$M$1,),)</f>
        <v/>
      </c>
      <c r="C96" s="118">
        <f>(Table535[[#This Row],[New Orders - Nondefense Capital Goods Excluding Aircraft]]-B95)/B95</f>
        <v/>
      </c>
    </row>
    <row r="97">
      <c r="A97" s="74" t="n">
        <v>36404</v>
      </c>
      <c r="B97" s="75">
        <f>VLOOKUP(A97,Database!A:M,MATCH($A$1,Database!$A$1:$M$1,),)</f>
        <v/>
      </c>
      <c r="C97" s="118">
        <f>(Table535[[#This Row],[New Orders - Nondefense Capital Goods Excluding Aircraft]]-B96)/B96</f>
        <v/>
      </c>
    </row>
    <row r="98">
      <c r="A98" s="74" t="n">
        <v>36434</v>
      </c>
      <c r="B98" s="75">
        <f>VLOOKUP(A98,Database!A:M,MATCH($A$1,Database!$A$1:$M$1,),)</f>
        <v/>
      </c>
      <c r="C98" s="118">
        <f>(Table535[[#This Row],[New Orders - Nondefense Capital Goods Excluding Aircraft]]-B97)/B97</f>
        <v/>
      </c>
    </row>
    <row r="99">
      <c r="A99" s="74" t="n">
        <v>36465</v>
      </c>
      <c r="B99" s="75">
        <f>VLOOKUP(A99,Database!A:M,MATCH($A$1,Database!$A$1:$M$1,),)</f>
        <v/>
      </c>
      <c r="C99" s="118">
        <f>(Table535[[#This Row],[New Orders - Nondefense Capital Goods Excluding Aircraft]]-B98)/B98</f>
        <v/>
      </c>
    </row>
    <row r="100">
      <c r="A100" s="74" t="n">
        <v>36495</v>
      </c>
      <c r="B100" s="75">
        <f>VLOOKUP(A100,Database!A:M,MATCH($A$1,Database!$A$1:$M$1,),)</f>
        <v/>
      </c>
      <c r="C100" s="118">
        <f>(Table535[[#This Row],[New Orders - Nondefense Capital Goods Excluding Aircraft]]-B99)/B99</f>
        <v/>
      </c>
    </row>
    <row r="101">
      <c r="A101" s="74" t="n">
        <v>36526</v>
      </c>
      <c r="B101" s="75">
        <f>VLOOKUP(A101,Database!A:M,MATCH($A$1,Database!$A$1:$M$1,),)</f>
        <v/>
      </c>
      <c r="C101" s="118">
        <f>(Table535[[#This Row],[New Orders - Nondefense Capital Goods Excluding Aircraft]]-B100)/B100</f>
        <v/>
      </c>
    </row>
    <row r="102">
      <c r="A102" s="74" t="n">
        <v>36557</v>
      </c>
      <c r="B102" s="75">
        <f>VLOOKUP(A102,Database!A:M,MATCH($A$1,Database!$A$1:$M$1,),)</f>
        <v/>
      </c>
      <c r="C102" s="118">
        <f>(Table535[[#This Row],[New Orders - Nondefense Capital Goods Excluding Aircraft]]-B101)/B101</f>
        <v/>
      </c>
    </row>
    <row r="103">
      <c r="A103" s="74" t="n">
        <v>36586</v>
      </c>
      <c r="B103" s="75">
        <f>VLOOKUP(A103,Database!A:M,MATCH($A$1,Database!$A$1:$M$1,),)</f>
        <v/>
      </c>
      <c r="C103" s="118">
        <f>(Table535[[#This Row],[New Orders - Nondefense Capital Goods Excluding Aircraft]]-B102)/B102</f>
        <v/>
      </c>
    </row>
    <row r="104">
      <c r="A104" s="74" t="n">
        <v>36617</v>
      </c>
      <c r="B104" s="75">
        <f>VLOOKUP(A104,Database!A:M,MATCH($A$1,Database!$A$1:$M$1,),)</f>
        <v/>
      </c>
      <c r="C104" s="118">
        <f>(Table535[[#This Row],[New Orders - Nondefense Capital Goods Excluding Aircraft]]-B103)/B103</f>
        <v/>
      </c>
    </row>
    <row r="105">
      <c r="A105" s="74" t="n">
        <v>36647</v>
      </c>
      <c r="B105" s="75">
        <f>VLOOKUP(A105,Database!A:M,MATCH($A$1,Database!$A$1:$M$1,),)</f>
        <v/>
      </c>
      <c r="C105" s="118">
        <f>(Table535[[#This Row],[New Orders - Nondefense Capital Goods Excluding Aircraft]]-B104)/B104</f>
        <v/>
      </c>
    </row>
    <row r="106">
      <c r="A106" s="74" t="n">
        <v>36678</v>
      </c>
      <c r="B106" s="75">
        <f>VLOOKUP(A106,Database!A:M,MATCH($A$1,Database!$A$1:$M$1,),)</f>
        <v/>
      </c>
      <c r="C106" s="118">
        <f>(Table535[[#This Row],[New Orders - Nondefense Capital Goods Excluding Aircraft]]-B105)/B105</f>
        <v/>
      </c>
    </row>
    <row r="107">
      <c r="A107" s="74" t="n">
        <v>36708</v>
      </c>
      <c r="B107" s="75">
        <f>VLOOKUP(A107,Database!A:M,MATCH($A$1,Database!$A$1:$M$1,),)</f>
        <v/>
      </c>
      <c r="C107" s="118">
        <f>(Table535[[#This Row],[New Orders - Nondefense Capital Goods Excluding Aircraft]]-B106)/B106</f>
        <v/>
      </c>
    </row>
    <row r="108">
      <c r="A108" s="74" t="n">
        <v>36739</v>
      </c>
      <c r="B108" s="75">
        <f>VLOOKUP(A108,Database!A:M,MATCH($A$1,Database!$A$1:$M$1,),)</f>
        <v/>
      </c>
      <c r="C108" s="118">
        <f>(Table535[[#This Row],[New Orders - Nondefense Capital Goods Excluding Aircraft]]-B107)/B107</f>
        <v/>
      </c>
    </row>
    <row r="109">
      <c r="A109" s="74" t="n">
        <v>36770</v>
      </c>
      <c r="B109" s="75">
        <f>VLOOKUP(A109,Database!A:M,MATCH($A$1,Database!$A$1:$M$1,),)</f>
        <v/>
      </c>
      <c r="C109" s="118">
        <f>(Table535[[#This Row],[New Orders - Nondefense Capital Goods Excluding Aircraft]]-B108)/B108</f>
        <v/>
      </c>
    </row>
    <row r="110">
      <c r="A110" s="74" t="n">
        <v>36800</v>
      </c>
      <c r="B110" s="75">
        <f>VLOOKUP(A110,Database!A:M,MATCH($A$1,Database!$A$1:$M$1,),)</f>
        <v/>
      </c>
      <c r="C110" s="118">
        <f>(Table535[[#This Row],[New Orders - Nondefense Capital Goods Excluding Aircraft]]-B109)/B109</f>
        <v/>
      </c>
    </row>
    <row r="111">
      <c r="A111" s="74" t="n">
        <v>36831</v>
      </c>
      <c r="B111" s="75">
        <f>VLOOKUP(A111,Database!A:M,MATCH($A$1,Database!$A$1:$M$1,),)</f>
        <v/>
      </c>
      <c r="C111" s="118">
        <f>(Table535[[#This Row],[New Orders - Nondefense Capital Goods Excluding Aircraft]]-B110)/B110</f>
        <v/>
      </c>
    </row>
    <row r="112">
      <c r="A112" s="74" t="n">
        <v>36861</v>
      </c>
      <c r="B112" s="75">
        <f>VLOOKUP(A112,Database!A:M,MATCH($A$1,Database!$A$1:$M$1,),)</f>
        <v/>
      </c>
      <c r="C112" s="118">
        <f>(Table535[[#This Row],[New Orders - Nondefense Capital Goods Excluding Aircraft]]-B111)/B111</f>
        <v/>
      </c>
    </row>
    <row r="113">
      <c r="A113" s="74" t="n">
        <v>36892</v>
      </c>
      <c r="B113" s="75">
        <f>VLOOKUP(A113,Database!A:M,MATCH($A$1,Database!$A$1:$M$1,),)</f>
        <v/>
      </c>
      <c r="C113" s="118">
        <f>(Table535[[#This Row],[New Orders - Nondefense Capital Goods Excluding Aircraft]]-B112)/B112</f>
        <v/>
      </c>
    </row>
    <row r="114">
      <c r="A114" s="74" t="n">
        <v>36923</v>
      </c>
      <c r="B114" s="75">
        <f>VLOOKUP(A114,Database!A:M,MATCH($A$1,Database!$A$1:$M$1,),)</f>
        <v/>
      </c>
      <c r="C114" s="118">
        <f>(Table535[[#This Row],[New Orders - Nondefense Capital Goods Excluding Aircraft]]-B113)/B113</f>
        <v/>
      </c>
    </row>
    <row r="115">
      <c r="A115" s="74" t="n">
        <v>36951</v>
      </c>
      <c r="B115" s="75">
        <f>VLOOKUP(A115,Database!A:M,MATCH($A$1,Database!$A$1:$M$1,),)</f>
        <v/>
      </c>
      <c r="C115" s="118">
        <f>(Table535[[#This Row],[New Orders - Nondefense Capital Goods Excluding Aircraft]]-B114)/B114</f>
        <v/>
      </c>
    </row>
    <row r="116">
      <c r="A116" s="74" t="n">
        <v>36982</v>
      </c>
      <c r="B116" s="75">
        <f>VLOOKUP(A116,Database!A:M,MATCH($A$1,Database!$A$1:$M$1,),)</f>
        <v/>
      </c>
      <c r="C116" s="118">
        <f>(Table535[[#This Row],[New Orders - Nondefense Capital Goods Excluding Aircraft]]-B115)/B115</f>
        <v/>
      </c>
    </row>
    <row r="117">
      <c r="A117" s="74" t="n">
        <v>37012</v>
      </c>
      <c r="B117" s="75">
        <f>VLOOKUP(A117,Database!A:M,MATCH($A$1,Database!$A$1:$M$1,),)</f>
        <v/>
      </c>
      <c r="C117" s="118">
        <f>(Table535[[#This Row],[New Orders - Nondefense Capital Goods Excluding Aircraft]]-B116)/B116</f>
        <v/>
      </c>
    </row>
    <row r="118">
      <c r="A118" s="74" t="n">
        <v>37043</v>
      </c>
      <c r="B118" s="75">
        <f>VLOOKUP(A118,Database!A:M,MATCH($A$1,Database!$A$1:$M$1,),)</f>
        <v/>
      </c>
      <c r="C118" s="118">
        <f>(Table535[[#This Row],[New Orders - Nondefense Capital Goods Excluding Aircraft]]-B117)/B117</f>
        <v/>
      </c>
    </row>
    <row r="119">
      <c r="A119" s="74" t="n">
        <v>37073</v>
      </c>
      <c r="B119" s="75">
        <f>VLOOKUP(A119,Database!A:M,MATCH($A$1,Database!$A$1:$M$1,),)</f>
        <v/>
      </c>
      <c r="C119" s="118">
        <f>(Table535[[#This Row],[New Orders - Nondefense Capital Goods Excluding Aircraft]]-B118)/B118</f>
        <v/>
      </c>
    </row>
    <row r="120">
      <c r="A120" s="74" t="n">
        <v>37104</v>
      </c>
      <c r="B120" s="75">
        <f>VLOOKUP(A120,Database!A:M,MATCH($A$1,Database!$A$1:$M$1,),)</f>
        <v/>
      </c>
      <c r="C120" s="118">
        <f>(Table535[[#This Row],[New Orders - Nondefense Capital Goods Excluding Aircraft]]-B119)/B119</f>
        <v/>
      </c>
    </row>
    <row r="121">
      <c r="A121" s="74" t="n">
        <v>37135</v>
      </c>
      <c r="B121" s="75">
        <f>VLOOKUP(A121,Database!A:M,MATCH($A$1,Database!$A$1:$M$1,),)</f>
        <v/>
      </c>
      <c r="C121" s="118">
        <f>(Table535[[#This Row],[New Orders - Nondefense Capital Goods Excluding Aircraft]]-B120)/B120</f>
        <v/>
      </c>
    </row>
    <row r="122">
      <c r="A122" s="74" t="n">
        <v>37165</v>
      </c>
      <c r="B122" s="75">
        <f>VLOOKUP(A122,Database!A:M,MATCH($A$1,Database!$A$1:$M$1,),)</f>
        <v/>
      </c>
      <c r="C122" s="118">
        <f>(Table535[[#This Row],[New Orders - Nondefense Capital Goods Excluding Aircraft]]-B121)/B121</f>
        <v/>
      </c>
    </row>
    <row r="123">
      <c r="A123" s="74" t="n">
        <v>37196</v>
      </c>
      <c r="B123" s="75">
        <f>VLOOKUP(A123,Database!A:M,MATCH($A$1,Database!$A$1:$M$1,),)</f>
        <v/>
      </c>
      <c r="C123" s="118">
        <f>(Table535[[#This Row],[New Orders - Nondefense Capital Goods Excluding Aircraft]]-B122)/B122</f>
        <v/>
      </c>
    </row>
    <row r="124">
      <c r="A124" s="74" t="n">
        <v>37226</v>
      </c>
      <c r="B124" s="75">
        <f>VLOOKUP(A124,Database!A:M,MATCH($A$1,Database!$A$1:$M$1,),)</f>
        <v/>
      </c>
      <c r="C124" s="118">
        <f>(Table535[[#This Row],[New Orders - Nondefense Capital Goods Excluding Aircraft]]-B123)/B123</f>
        <v/>
      </c>
    </row>
    <row r="125">
      <c r="A125" s="74" t="n">
        <v>37257</v>
      </c>
      <c r="B125" s="75">
        <f>VLOOKUP(A125,Database!A:M,MATCH($A$1,Database!$A$1:$M$1,),)</f>
        <v/>
      </c>
      <c r="C125" s="118">
        <f>(Table535[[#This Row],[New Orders - Nondefense Capital Goods Excluding Aircraft]]-B124)/B124</f>
        <v/>
      </c>
    </row>
    <row r="126">
      <c r="A126" s="74" t="n">
        <v>37288</v>
      </c>
      <c r="B126" s="75">
        <f>VLOOKUP(A126,Database!A:M,MATCH($A$1,Database!$A$1:$M$1,),)</f>
        <v/>
      </c>
      <c r="C126" s="118">
        <f>(Table535[[#This Row],[New Orders - Nondefense Capital Goods Excluding Aircraft]]-B125)/B125</f>
        <v/>
      </c>
    </row>
    <row r="127">
      <c r="A127" s="74" t="n">
        <v>37316</v>
      </c>
      <c r="B127" s="75">
        <f>VLOOKUP(A127,Database!A:M,MATCH($A$1,Database!$A$1:$M$1,),)</f>
        <v/>
      </c>
      <c r="C127" s="118">
        <f>(Table535[[#This Row],[New Orders - Nondefense Capital Goods Excluding Aircraft]]-B126)/B126</f>
        <v/>
      </c>
    </row>
    <row r="128">
      <c r="A128" s="74" t="n">
        <v>37347</v>
      </c>
      <c r="B128" s="75">
        <f>VLOOKUP(A128,Database!A:M,MATCH($A$1,Database!$A$1:$M$1,),)</f>
        <v/>
      </c>
      <c r="C128" s="118">
        <f>(Table535[[#This Row],[New Orders - Nondefense Capital Goods Excluding Aircraft]]-B127)/B127</f>
        <v/>
      </c>
    </row>
    <row r="129">
      <c r="A129" s="74" t="n">
        <v>37377</v>
      </c>
      <c r="B129" s="75">
        <f>VLOOKUP(A129,Database!A:M,MATCH($A$1,Database!$A$1:$M$1,),)</f>
        <v/>
      </c>
      <c r="C129" s="118">
        <f>(Table535[[#This Row],[New Orders - Nondefense Capital Goods Excluding Aircraft]]-B128)/B128</f>
        <v/>
      </c>
    </row>
    <row r="130">
      <c r="A130" s="74" t="n">
        <v>37408</v>
      </c>
      <c r="B130" s="75">
        <f>VLOOKUP(A130,Database!A:M,MATCH($A$1,Database!$A$1:$M$1,),)</f>
        <v/>
      </c>
      <c r="C130" s="118">
        <f>(Table535[[#This Row],[New Orders - Nondefense Capital Goods Excluding Aircraft]]-B129)/B129</f>
        <v/>
      </c>
    </row>
    <row r="131">
      <c r="A131" s="74" t="n">
        <v>37438</v>
      </c>
      <c r="B131" s="75">
        <f>VLOOKUP(A131,Database!A:M,MATCH($A$1,Database!$A$1:$M$1,),)</f>
        <v/>
      </c>
      <c r="C131" s="118">
        <f>(Table535[[#This Row],[New Orders - Nondefense Capital Goods Excluding Aircraft]]-B130)/B130</f>
        <v/>
      </c>
    </row>
    <row r="132">
      <c r="A132" s="74" t="n">
        <v>37469</v>
      </c>
      <c r="B132" s="75">
        <f>VLOOKUP(A132,Database!A:M,MATCH($A$1,Database!$A$1:$M$1,),)</f>
        <v/>
      </c>
      <c r="C132" s="118">
        <f>(Table535[[#This Row],[New Orders - Nondefense Capital Goods Excluding Aircraft]]-B131)/B131</f>
        <v/>
      </c>
    </row>
    <row r="133">
      <c r="A133" s="74" t="n">
        <v>37500</v>
      </c>
      <c r="B133" s="75">
        <f>VLOOKUP(A133,Database!A:M,MATCH($A$1,Database!$A$1:$M$1,),)</f>
        <v/>
      </c>
      <c r="C133" s="118">
        <f>(Table535[[#This Row],[New Orders - Nondefense Capital Goods Excluding Aircraft]]-B132)/B132</f>
        <v/>
      </c>
    </row>
    <row r="134">
      <c r="A134" s="74" t="n">
        <v>37530</v>
      </c>
      <c r="B134" s="75">
        <f>VLOOKUP(A134,Database!A:M,MATCH($A$1,Database!$A$1:$M$1,),)</f>
        <v/>
      </c>
      <c r="C134" s="118">
        <f>(Table535[[#This Row],[New Orders - Nondefense Capital Goods Excluding Aircraft]]-B133)/B133</f>
        <v/>
      </c>
    </row>
    <row r="135">
      <c r="A135" s="74" t="n">
        <v>37561</v>
      </c>
      <c r="B135" s="75">
        <f>VLOOKUP(A135,Database!A:M,MATCH($A$1,Database!$A$1:$M$1,),)</f>
        <v/>
      </c>
      <c r="C135" s="118">
        <f>(Table535[[#This Row],[New Orders - Nondefense Capital Goods Excluding Aircraft]]-B134)/B134</f>
        <v/>
      </c>
    </row>
    <row r="136">
      <c r="A136" s="74" t="n">
        <v>37591</v>
      </c>
      <c r="B136" s="75">
        <f>VLOOKUP(A136,Database!A:M,MATCH($A$1,Database!$A$1:$M$1,),)</f>
        <v/>
      </c>
      <c r="C136" s="118">
        <f>(Table535[[#This Row],[New Orders - Nondefense Capital Goods Excluding Aircraft]]-B135)/B135</f>
        <v/>
      </c>
    </row>
    <row r="137">
      <c r="A137" s="74" t="n">
        <v>37622</v>
      </c>
      <c r="B137" s="75">
        <f>VLOOKUP(A137,Database!A:M,MATCH($A$1,Database!$A$1:$M$1,),)</f>
        <v/>
      </c>
      <c r="C137" s="118">
        <f>(Table535[[#This Row],[New Orders - Nondefense Capital Goods Excluding Aircraft]]-B136)/B136</f>
        <v/>
      </c>
    </row>
    <row r="138">
      <c r="A138" s="74" t="n">
        <v>37653</v>
      </c>
      <c r="B138" s="75">
        <f>VLOOKUP(A138,Database!A:M,MATCH($A$1,Database!$A$1:$M$1,),)</f>
        <v/>
      </c>
      <c r="C138" s="118">
        <f>(Table535[[#This Row],[New Orders - Nondefense Capital Goods Excluding Aircraft]]-B137)/B137</f>
        <v/>
      </c>
    </row>
    <row r="139">
      <c r="A139" s="74" t="n">
        <v>37681</v>
      </c>
      <c r="B139" s="75">
        <f>VLOOKUP(A139,Database!A:M,MATCH($A$1,Database!$A$1:$M$1,),)</f>
        <v/>
      </c>
      <c r="C139" s="118">
        <f>(Table535[[#This Row],[New Orders - Nondefense Capital Goods Excluding Aircraft]]-B138)/B138</f>
        <v/>
      </c>
    </row>
    <row r="140">
      <c r="A140" s="74" t="n">
        <v>37712</v>
      </c>
      <c r="B140" s="75">
        <f>VLOOKUP(A140,Database!A:M,MATCH($A$1,Database!$A$1:$M$1,),)</f>
        <v/>
      </c>
      <c r="C140" s="118">
        <f>(Table535[[#This Row],[New Orders - Nondefense Capital Goods Excluding Aircraft]]-B139)/B139</f>
        <v/>
      </c>
    </row>
    <row r="141">
      <c r="A141" s="74" t="n">
        <v>37742</v>
      </c>
      <c r="B141" s="75">
        <f>VLOOKUP(A141,Database!A:M,MATCH($A$1,Database!$A$1:$M$1,),)</f>
        <v/>
      </c>
      <c r="C141" s="118">
        <f>(Table535[[#This Row],[New Orders - Nondefense Capital Goods Excluding Aircraft]]-B140)/B140</f>
        <v/>
      </c>
    </row>
    <row r="142">
      <c r="A142" s="74" t="n">
        <v>37773</v>
      </c>
      <c r="B142" s="75">
        <f>VLOOKUP(A142,Database!A:M,MATCH($A$1,Database!$A$1:$M$1,),)</f>
        <v/>
      </c>
      <c r="C142" s="118">
        <f>(Table535[[#This Row],[New Orders - Nondefense Capital Goods Excluding Aircraft]]-B141)/B141</f>
        <v/>
      </c>
    </row>
    <row r="143">
      <c r="A143" s="74" t="n">
        <v>37803</v>
      </c>
      <c r="B143" s="75">
        <f>VLOOKUP(A143,Database!A:M,MATCH($A$1,Database!$A$1:$M$1,),)</f>
        <v/>
      </c>
      <c r="C143" s="118">
        <f>(Table535[[#This Row],[New Orders - Nondefense Capital Goods Excluding Aircraft]]-B142)/B142</f>
        <v/>
      </c>
    </row>
    <row r="144">
      <c r="A144" s="74" t="n">
        <v>37834</v>
      </c>
      <c r="B144" s="75">
        <f>VLOOKUP(A144,Database!A:M,MATCH($A$1,Database!$A$1:$M$1,),)</f>
        <v/>
      </c>
      <c r="C144" s="118">
        <f>(Table535[[#This Row],[New Orders - Nondefense Capital Goods Excluding Aircraft]]-B143)/B143</f>
        <v/>
      </c>
    </row>
    <row r="145">
      <c r="A145" s="74" t="n">
        <v>37865</v>
      </c>
      <c r="B145" s="75">
        <f>VLOOKUP(A145,Database!A:M,MATCH($A$1,Database!$A$1:$M$1,),)</f>
        <v/>
      </c>
      <c r="C145" s="118">
        <f>(Table535[[#This Row],[New Orders - Nondefense Capital Goods Excluding Aircraft]]-B144)/B144</f>
        <v/>
      </c>
    </row>
    <row r="146">
      <c r="A146" s="74" t="n">
        <v>37895</v>
      </c>
      <c r="B146" s="75">
        <f>VLOOKUP(A146,Database!A:M,MATCH($A$1,Database!$A$1:$M$1,),)</f>
        <v/>
      </c>
      <c r="C146" s="118">
        <f>(Table535[[#This Row],[New Orders - Nondefense Capital Goods Excluding Aircraft]]-B145)/B145</f>
        <v/>
      </c>
    </row>
    <row r="147">
      <c r="A147" s="74" t="n">
        <v>37926</v>
      </c>
      <c r="B147" s="75">
        <f>VLOOKUP(A147,Database!A:M,MATCH($A$1,Database!$A$1:$M$1,),)</f>
        <v/>
      </c>
      <c r="C147" s="118">
        <f>(Table535[[#This Row],[New Orders - Nondefense Capital Goods Excluding Aircraft]]-B146)/B146</f>
        <v/>
      </c>
    </row>
    <row r="148">
      <c r="A148" s="74" t="n">
        <v>37956</v>
      </c>
      <c r="B148" s="75">
        <f>VLOOKUP(A148,Database!A:M,MATCH($A$1,Database!$A$1:$M$1,),)</f>
        <v/>
      </c>
      <c r="C148" s="118">
        <f>(Table535[[#This Row],[New Orders - Nondefense Capital Goods Excluding Aircraft]]-B147)/B147</f>
        <v/>
      </c>
    </row>
    <row r="149">
      <c r="A149" s="74" t="n">
        <v>37987</v>
      </c>
      <c r="B149" s="75">
        <f>VLOOKUP(A149,Database!A:M,MATCH($A$1,Database!$A$1:$M$1,),)</f>
        <v/>
      </c>
      <c r="C149" s="118">
        <f>(Table535[[#This Row],[New Orders - Nondefense Capital Goods Excluding Aircraft]]-B148)/B148</f>
        <v/>
      </c>
    </row>
    <row r="150">
      <c r="A150" s="74" t="n">
        <v>38018</v>
      </c>
      <c r="B150" s="75">
        <f>VLOOKUP(A150,Database!A:M,MATCH($A$1,Database!$A$1:$M$1,),)</f>
        <v/>
      </c>
      <c r="C150" s="118">
        <f>(Table535[[#This Row],[New Orders - Nondefense Capital Goods Excluding Aircraft]]-B149)/B149</f>
        <v/>
      </c>
    </row>
    <row r="151">
      <c r="A151" s="74" t="n">
        <v>38047</v>
      </c>
      <c r="B151" s="75">
        <f>VLOOKUP(A151,Database!A:M,MATCH($A$1,Database!$A$1:$M$1,),)</f>
        <v/>
      </c>
      <c r="C151" s="118">
        <f>(Table535[[#This Row],[New Orders - Nondefense Capital Goods Excluding Aircraft]]-B150)/B150</f>
        <v/>
      </c>
    </row>
    <row r="152">
      <c r="A152" s="74" t="n">
        <v>38078</v>
      </c>
      <c r="B152" s="75">
        <f>VLOOKUP(A152,Database!A:M,MATCH($A$1,Database!$A$1:$M$1,),)</f>
        <v/>
      </c>
      <c r="C152" s="118">
        <f>(Table535[[#This Row],[New Orders - Nondefense Capital Goods Excluding Aircraft]]-B151)/B151</f>
        <v/>
      </c>
    </row>
    <row r="153">
      <c r="A153" s="74" t="n">
        <v>38108</v>
      </c>
      <c r="B153" s="75">
        <f>VLOOKUP(A153,Database!A:M,MATCH($A$1,Database!$A$1:$M$1,),)</f>
        <v/>
      </c>
      <c r="C153" s="118">
        <f>(Table535[[#This Row],[New Orders - Nondefense Capital Goods Excluding Aircraft]]-B152)/B152</f>
        <v/>
      </c>
    </row>
    <row r="154">
      <c r="A154" s="74" t="n">
        <v>38139</v>
      </c>
      <c r="B154" s="75">
        <f>VLOOKUP(A154,Database!A:M,MATCH($A$1,Database!$A$1:$M$1,),)</f>
        <v/>
      </c>
      <c r="C154" s="118">
        <f>(Table535[[#This Row],[New Orders - Nondefense Capital Goods Excluding Aircraft]]-B153)/B153</f>
        <v/>
      </c>
    </row>
    <row r="155">
      <c r="A155" s="74" t="n">
        <v>38169</v>
      </c>
      <c r="B155" s="75">
        <f>VLOOKUP(A155,Database!A:M,MATCH($A$1,Database!$A$1:$M$1,),)</f>
        <v/>
      </c>
      <c r="C155" s="118">
        <f>(Table535[[#This Row],[New Orders - Nondefense Capital Goods Excluding Aircraft]]-B154)/B154</f>
        <v/>
      </c>
    </row>
    <row r="156">
      <c r="A156" s="74" t="n">
        <v>38200</v>
      </c>
      <c r="B156" s="75">
        <f>VLOOKUP(A156,Database!A:M,MATCH($A$1,Database!$A$1:$M$1,),)</f>
        <v/>
      </c>
      <c r="C156" s="118">
        <f>(Table535[[#This Row],[New Orders - Nondefense Capital Goods Excluding Aircraft]]-B155)/B155</f>
        <v/>
      </c>
    </row>
    <row r="157">
      <c r="A157" s="74" t="n">
        <v>38231</v>
      </c>
      <c r="B157" s="75">
        <f>VLOOKUP(A157,Database!A:M,MATCH($A$1,Database!$A$1:$M$1,),)</f>
        <v/>
      </c>
      <c r="C157" s="118">
        <f>(Table535[[#This Row],[New Orders - Nondefense Capital Goods Excluding Aircraft]]-B156)/B156</f>
        <v/>
      </c>
    </row>
    <row r="158">
      <c r="A158" s="74" t="n">
        <v>38261</v>
      </c>
      <c r="B158" s="75">
        <f>VLOOKUP(A158,Database!A:M,MATCH($A$1,Database!$A$1:$M$1,),)</f>
        <v/>
      </c>
      <c r="C158" s="118">
        <f>(Table535[[#This Row],[New Orders - Nondefense Capital Goods Excluding Aircraft]]-B157)/B157</f>
        <v/>
      </c>
    </row>
    <row r="159">
      <c r="A159" s="74" t="n">
        <v>38292</v>
      </c>
      <c r="B159" s="75">
        <f>VLOOKUP(A159,Database!A:M,MATCH($A$1,Database!$A$1:$M$1,),)</f>
        <v/>
      </c>
      <c r="C159" s="118">
        <f>(Table535[[#This Row],[New Orders - Nondefense Capital Goods Excluding Aircraft]]-B158)/B158</f>
        <v/>
      </c>
    </row>
    <row r="160">
      <c r="A160" s="74" t="n">
        <v>38322</v>
      </c>
      <c r="B160" s="75">
        <f>VLOOKUP(A160,Database!A:M,MATCH($A$1,Database!$A$1:$M$1,),)</f>
        <v/>
      </c>
      <c r="C160" s="118">
        <f>(Table535[[#This Row],[New Orders - Nondefense Capital Goods Excluding Aircraft]]-B159)/B159</f>
        <v/>
      </c>
    </row>
    <row r="161">
      <c r="A161" s="74" t="n">
        <v>38353</v>
      </c>
      <c r="B161" s="75">
        <f>VLOOKUP(A161,Database!A:M,MATCH($A$1,Database!$A$1:$M$1,),)</f>
        <v/>
      </c>
      <c r="C161" s="118">
        <f>(Table535[[#This Row],[New Orders - Nondefense Capital Goods Excluding Aircraft]]-B160)/B160</f>
        <v/>
      </c>
    </row>
    <row r="162">
      <c r="A162" s="74" t="n">
        <v>38384</v>
      </c>
      <c r="B162" s="75">
        <f>VLOOKUP(A162,Database!A:M,MATCH($A$1,Database!$A$1:$M$1,),)</f>
        <v/>
      </c>
      <c r="C162" s="118">
        <f>(Table535[[#This Row],[New Orders - Nondefense Capital Goods Excluding Aircraft]]-B161)/B161</f>
        <v/>
      </c>
    </row>
    <row r="163">
      <c r="A163" s="74" t="n">
        <v>38412</v>
      </c>
      <c r="B163" s="75">
        <f>VLOOKUP(A163,Database!A:M,MATCH($A$1,Database!$A$1:$M$1,),)</f>
        <v/>
      </c>
      <c r="C163" s="118">
        <f>(Table535[[#This Row],[New Orders - Nondefense Capital Goods Excluding Aircraft]]-B162)/B162</f>
        <v/>
      </c>
    </row>
    <row r="164">
      <c r="A164" s="74" t="n">
        <v>38443</v>
      </c>
      <c r="B164" s="75">
        <f>VLOOKUP(A164,Database!A:M,MATCH($A$1,Database!$A$1:$M$1,),)</f>
        <v/>
      </c>
      <c r="C164" s="118">
        <f>(Table535[[#This Row],[New Orders - Nondefense Capital Goods Excluding Aircraft]]-B163)/B163</f>
        <v/>
      </c>
    </row>
    <row r="165">
      <c r="A165" s="74" t="n">
        <v>38473</v>
      </c>
      <c r="B165" s="75">
        <f>VLOOKUP(A165,Database!A:M,MATCH($A$1,Database!$A$1:$M$1,),)</f>
        <v/>
      </c>
      <c r="C165" s="118">
        <f>(Table535[[#This Row],[New Orders - Nondefense Capital Goods Excluding Aircraft]]-B164)/B164</f>
        <v/>
      </c>
    </row>
    <row r="166">
      <c r="A166" s="74" t="n">
        <v>38504</v>
      </c>
      <c r="B166" s="75">
        <f>VLOOKUP(A166,Database!A:M,MATCH($A$1,Database!$A$1:$M$1,),)</f>
        <v/>
      </c>
      <c r="C166" s="118">
        <f>(Table535[[#This Row],[New Orders - Nondefense Capital Goods Excluding Aircraft]]-B165)/B165</f>
        <v/>
      </c>
    </row>
    <row r="167">
      <c r="A167" s="74" t="n">
        <v>38534</v>
      </c>
      <c r="B167" s="75">
        <f>VLOOKUP(A167,Database!A:M,MATCH($A$1,Database!$A$1:$M$1,),)</f>
        <v/>
      </c>
      <c r="C167" s="118">
        <f>(Table535[[#This Row],[New Orders - Nondefense Capital Goods Excluding Aircraft]]-B166)/B166</f>
        <v/>
      </c>
    </row>
    <row r="168">
      <c r="A168" s="74" t="n">
        <v>38565</v>
      </c>
      <c r="B168" s="75">
        <f>VLOOKUP(A168,Database!A:M,MATCH($A$1,Database!$A$1:$M$1,),)</f>
        <v/>
      </c>
      <c r="C168" s="118">
        <f>(Table535[[#This Row],[New Orders - Nondefense Capital Goods Excluding Aircraft]]-B167)/B167</f>
        <v/>
      </c>
    </row>
    <row r="169">
      <c r="A169" s="74" t="n">
        <v>38596</v>
      </c>
      <c r="B169" s="75">
        <f>VLOOKUP(A169,Database!A:M,MATCH($A$1,Database!$A$1:$M$1,),)</f>
        <v/>
      </c>
      <c r="C169" s="118">
        <f>(Table535[[#This Row],[New Orders - Nondefense Capital Goods Excluding Aircraft]]-B168)/B168</f>
        <v/>
      </c>
    </row>
    <row r="170">
      <c r="A170" s="74" t="n">
        <v>38626</v>
      </c>
      <c r="B170" s="75">
        <f>VLOOKUP(A170,Database!A:M,MATCH($A$1,Database!$A$1:$M$1,),)</f>
        <v/>
      </c>
      <c r="C170" s="118">
        <f>(Table535[[#This Row],[New Orders - Nondefense Capital Goods Excluding Aircraft]]-B169)/B169</f>
        <v/>
      </c>
    </row>
    <row r="171">
      <c r="A171" s="74" t="n">
        <v>38657</v>
      </c>
      <c r="B171" s="75">
        <f>VLOOKUP(A171,Database!A:M,MATCH($A$1,Database!$A$1:$M$1,),)</f>
        <v/>
      </c>
      <c r="C171" s="118">
        <f>(Table535[[#This Row],[New Orders - Nondefense Capital Goods Excluding Aircraft]]-B170)/B170</f>
        <v/>
      </c>
    </row>
    <row r="172">
      <c r="A172" s="74" t="n">
        <v>38687</v>
      </c>
      <c r="B172" s="75">
        <f>VLOOKUP(A172,Database!A:M,MATCH($A$1,Database!$A$1:$M$1,),)</f>
        <v/>
      </c>
      <c r="C172" s="118">
        <f>(Table535[[#This Row],[New Orders - Nondefense Capital Goods Excluding Aircraft]]-B171)/B171</f>
        <v/>
      </c>
    </row>
    <row r="173">
      <c r="A173" s="74" t="n">
        <v>38718</v>
      </c>
      <c r="B173" s="75">
        <f>VLOOKUP(A173,Database!A:M,MATCH($A$1,Database!$A$1:$M$1,),)</f>
        <v/>
      </c>
      <c r="C173" s="118">
        <f>(Table535[[#This Row],[New Orders - Nondefense Capital Goods Excluding Aircraft]]-B172)/B172</f>
        <v/>
      </c>
    </row>
    <row r="174">
      <c r="A174" s="74" t="n">
        <v>38749</v>
      </c>
      <c r="B174" s="75">
        <f>VLOOKUP(A174,Database!A:M,MATCH($A$1,Database!$A$1:$M$1,),)</f>
        <v/>
      </c>
      <c r="C174" s="118">
        <f>(Table535[[#This Row],[New Orders - Nondefense Capital Goods Excluding Aircraft]]-B173)/B173</f>
        <v/>
      </c>
    </row>
    <row r="175">
      <c r="A175" s="74" t="n">
        <v>38777</v>
      </c>
      <c r="B175" s="75">
        <f>VLOOKUP(A175,Database!A:M,MATCH($A$1,Database!$A$1:$M$1,),)</f>
        <v/>
      </c>
      <c r="C175" s="118">
        <f>(Table535[[#This Row],[New Orders - Nondefense Capital Goods Excluding Aircraft]]-B174)/B174</f>
        <v/>
      </c>
    </row>
    <row r="176">
      <c r="A176" s="74" t="n">
        <v>38808</v>
      </c>
      <c r="B176" s="75">
        <f>VLOOKUP(A176,Database!A:M,MATCH($A$1,Database!$A$1:$M$1,),)</f>
        <v/>
      </c>
      <c r="C176" s="118">
        <f>(Table535[[#This Row],[New Orders - Nondefense Capital Goods Excluding Aircraft]]-B175)/B175</f>
        <v/>
      </c>
    </row>
    <row r="177">
      <c r="A177" s="74" t="n">
        <v>38838</v>
      </c>
      <c r="B177" s="75">
        <f>VLOOKUP(A177,Database!A:M,MATCH($A$1,Database!$A$1:$M$1,),)</f>
        <v/>
      </c>
      <c r="C177" s="118">
        <f>(Table535[[#This Row],[New Orders - Nondefense Capital Goods Excluding Aircraft]]-B176)/B176</f>
        <v/>
      </c>
    </row>
    <row r="178">
      <c r="A178" s="74" t="n">
        <v>38869</v>
      </c>
      <c r="B178" s="75">
        <f>VLOOKUP(A178,Database!A:M,MATCH($A$1,Database!$A$1:$M$1,),)</f>
        <v/>
      </c>
      <c r="C178" s="118">
        <f>(Table535[[#This Row],[New Orders - Nondefense Capital Goods Excluding Aircraft]]-B177)/B177</f>
        <v/>
      </c>
    </row>
    <row r="179">
      <c r="A179" s="74" t="n">
        <v>38899</v>
      </c>
      <c r="B179" s="75">
        <f>VLOOKUP(A179,Database!A:M,MATCH($A$1,Database!$A$1:$M$1,),)</f>
        <v/>
      </c>
      <c r="C179" s="118">
        <f>(Table535[[#This Row],[New Orders - Nondefense Capital Goods Excluding Aircraft]]-B178)/B178</f>
        <v/>
      </c>
    </row>
    <row r="180">
      <c r="A180" s="74" t="n">
        <v>38930</v>
      </c>
      <c r="B180" s="75">
        <f>VLOOKUP(A180,Database!A:M,MATCH($A$1,Database!$A$1:$M$1,),)</f>
        <v/>
      </c>
      <c r="C180" s="118">
        <f>(Table535[[#This Row],[New Orders - Nondefense Capital Goods Excluding Aircraft]]-B179)/B179</f>
        <v/>
      </c>
    </row>
    <row r="181">
      <c r="A181" s="74" t="n">
        <v>38961</v>
      </c>
      <c r="B181" s="75">
        <f>VLOOKUP(A181,Database!A:M,MATCH($A$1,Database!$A$1:$M$1,),)</f>
        <v/>
      </c>
      <c r="C181" s="118">
        <f>(Table535[[#This Row],[New Orders - Nondefense Capital Goods Excluding Aircraft]]-B180)/B180</f>
        <v/>
      </c>
    </row>
    <row r="182">
      <c r="A182" s="74" t="n">
        <v>38991</v>
      </c>
      <c r="B182" s="75">
        <f>VLOOKUP(A182,Database!A:M,MATCH($A$1,Database!$A$1:$M$1,),)</f>
        <v/>
      </c>
      <c r="C182" s="118">
        <f>(Table535[[#This Row],[New Orders - Nondefense Capital Goods Excluding Aircraft]]-B181)/B181</f>
        <v/>
      </c>
    </row>
    <row r="183">
      <c r="A183" s="74" t="n">
        <v>39022</v>
      </c>
      <c r="B183" s="75">
        <f>VLOOKUP(A183,Database!A:M,MATCH($A$1,Database!$A$1:$M$1,),)</f>
        <v/>
      </c>
      <c r="C183" s="118">
        <f>(Table535[[#This Row],[New Orders - Nondefense Capital Goods Excluding Aircraft]]-B182)/B182</f>
        <v/>
      </c>
    </row>
    <row r="184">
      <c r="A184" s="74" t="n">
        <v>39052</v>
      </c>
      <c r="B184" s="75">
        <f>VLOOKUP(A184,Database!A:M,MATCH($A$1,Database!$A$1:$M$1,),)</f>
        <v/>
      </c>
      <c r="C184" s="118">
        <f>(Table535[[#This Row],[New Orders - Nondefense Capital Goods Excluding Aircraft]]-B183)/B183</f>
        <v/>
      </c>
    </row>
    <row r="185">
      <c r="A185" s="74" t="n">
        <v>39083</v>
      </c>
      <c r="B185" s="75">
        <f>VLOOKUP(A185,Database!A:M,MATCH($A$1,Database!$A$1:$M$1,),)</f>
        <v/>
      </c>
      <c r="C185" s="118">
        <f>(Table535[[#This Row],[New Orders - Nondefense Capital Goods Excluding Aircraft]]-B184)/B184</f>
        <v/>
      </c>
    </row>
    <row r="186">
      <c r="A186" s="74" t="n">
        <v>39114</v>
      </c>
      <c r="B186" s="75">
        <f>VLOOKUP(A186,Database!A:M,MATCH($A$1,Database!$A$1:$M$1,),)</f>
        <v/>
      </c>
      <c r="C186" s="118">
        <f>(Table535[[#This Row],[New Orders - Nondefense Capital Goods Excluding Aircraft]]-B185)/B185</f>
        <v/>
      </c>
    </row>
    <row r="187">
      <c r="A187" s="74" t="n">
        <v>39142</v>
      </c>
      <c r="B187" s="75">
        <f>VLOOKUP(A187,Database!A:M,MATCH($A$1,Database!$A$1:$M$1,),)</f>
        <v/>
      </c>
      <c r="C187" s="118">
        <f>(Table535[[#This Row],[New Orders - Nondefense Capital Goods Excluding Aircraft]]-B186)/B186</f>
        <v/>
      </c>
    </row>
    <row r="188">
      <c r="A188" s="74" t="n">
        <v>39173</v>
      </c>
      <c r="B188" s="75">
        <f>VLOOKUP(A188,Database!A:M,MATCH($A$1,Database!$A$1:$M$1,),)</f>
        <v/>
      </c>
      <c r="C188" s="118">
        <f>(Table535[[#This Row],[New Orders - Nondefense Capital Goods Excluding Aircraft]]-B187)/B187</f>
        <v/>
      </c>
    </row>
    <row r="189">
      <c r="A189" s="74" t="n">
        <v>39203</v>
      </c>
      <c r="B189" s="75">
        <f>VLOOKUP(A189,Database!A:M,MATCH($A$1,Database!$A$1:$M$1,),)</f>
        <v/>
      </c>
      <c r="C189" s="118">
        <f>(Table535[[#This Row],[New Orders - Nondefense Capital Goods Excluding Aircraft]]-B188)/B188</f>
        <v/>
      </c>
    </row>
    <row r="190">
      <c r="A190" s="74" t="n">
        <v>39234</v>
      </c>
      <c r="B190" s="75">
        <f>VLOOKUP(A190,Database!A:M,MATCH($A$1,Database!$A$1:$M$1,),)</f>
        <v/>
      </c>
      <c r="C190" s="118">
        <f>(Table535[[#This Row],[New Orders - Nondefense Capital Goods Excluding Aircraft]]-B189)/B189</f>
        <v/>
      </c>
    </row>
    <row r="191">
      <c r="A191" s="74" t="n">
        <v>39264</v>
      </c>
      <c r="B191" s="75">
        <f>VLOOKUP(A191,Database!A:M,MATCH($A$1,Database!$A$1:$M$1,),)</f>
        <v/>
      </c>
      <c r="C191" s="118">
        <f>(Table535[[#This Row],[New Orders - Nondefense Capital Goods Excluding Aircraft]]-B190)/B190</f>
        <v/>
      </c>
    </row>
    <row r="192">
      <c r="A192" s="74" t="n">
        <v>39295</v>
      </c>
      <c r="B192" s="75">
        <f>VLOOKUP(A192,Database!A:M,MATCH($A$1,Database!$A$1:$M$1,),)</f>
        <v/>
      </c>
      <c r="C192" s="118">
        <f>(Table535[[#This Row],[New Orders - Nondefense Capital Goods Excluding Aircraft]]-B191)/B191</f>
        <v/>
      </c>
    </row>
    <row r="193">
      <c r="A193" s="74" t="n">
        <v>39326</v>
      </c>
      <c r="B193" s="75">
        <f>VLOOKUP(A193,Database!A:M,MATCH($A$1,Database!$A$1:$M$1,),)</f>
        <v/>
      </c>
      <c r="C193" s="118">
        <f>(Table535[[#This Row],[New Orders - Nondefense Capital Goods Excluding Aircraft]]-B192)/B192</f>
        <v/>
      </c>
    </row>
    <row r="194">
      <c r="A194" s="74" t="n">
        <v>39356</v>
      </c>
      <c r="B194" s="75">
        <f>VLOOKUP(A194,Database!A:M,MATCH($A$1,Database!$A$1:$M$1,),)</f>
        <v/>
      </c>
      <c r="C194" s="118">
        <f>(Table535[[#This Row],[New Orders - Nondefense Capital Goods Excluding Aircraft]]-B193)/B193</f>
        <v/>
      </c>
    </row>
    <row r="195">
      <c r="A195" s="74" t="n">
        <v>39387</v>
      </c>
      <c r="B195" s="75">
        <f>VLOOKUP(A195,Database!A:M,MATCH($A$1,Database!$A$1:$M$1,),)</f>
        <v/>
      </c>
      <c r="C195" s="118">
        <f>(Table535[[#This Row],[New Orders - Nondefense Capital Goods Excluding Aircraft]]-B194)/B194</f>
        <v/>
      </c>
    </row>
    <row r="196">
      <c r="A196" s="74" t="n">
        <v>39417</v>
      </c>
      <c r="B196" s="75">
        <f>VLOOKUP(A196,Database!A:M,MATCH($A$1,Database!$A$1:$M$1,),)</f>
        <v/>
      </c>
      <c r="C196" s="118">
        <f>(Table535[[#This Row],[New Orders - Nondefense Capital Goods Excluding Aircraft]]-B195)/B195</f>
        <v/>
      </c>
    </row>
    <row r="197">
      <c r="A197" s="74" t="n">
        <v>39448</v>
      </c>
      <c r="B197" s="75">
        <f>VLOOKUP(A197,Database!A:M,MATCH($A$1,Database!$A$1:$M$1,),)</f>
        <v/>
      </c>
      <c r="C197" s="118">
        <f>(Table535[[#This Row],[New Orders - Nondefense Capital Goods Excluding Aircraft]]-B196)/B196</f>
        <v/>
      </c>
    </row>
    <row r="198">
      <c r="A198" s="74" t="n">
        <v>39479</v>
      </c>
      <c r="B198" s="75">
        <f>VLOOKUP(A198,Database!A:M,MATCH($A$1,Database!$A$1:$M$1,),)</f>
        <v/>
      </c>
      <c r="C198" s="118">
        <f>(Table535[[#This Row],[New Orders - Nondefense Capital Goods Excluding Aircraft]]-B197)/B197</f>
        <v/>
      </c>
    </row>
    <row r="199">
      <c r="A199" s="74" t="n">
        <v>39508</v>
      </c>
      <c r="B199" s="75">
        <f>VLOOKUP(A199,Database!A:M,MATCH($A$1,Database!$A$1:$M$1,),)</f>
        <v/>
      </c>
      <c r="C199" s="118">
        <f>(Table535[[#This Row],[New Orders - Nondefense Capital Goods Excluding Aircraft]]-B198)/B198</f>
        <v/>
      </c>
    </row>
    <row r="200">
      <c r="A200" s="74" t="n">
        <v>39539</v>
      </c>
      <c r="B200" s="75">
        <f>VLOOKUP(A200,Database!A:M,MATCH($A$1,Database!$A$1:$M$1,),)</f>
        <v/>
      </c>
      <c r="C200" s="118">
        <f>(Table535[[#This Row],[New Orders - Nondefense Capital Goods Excluding Aircraft]]-B199)/B199</f>
        <v/>
      </c>
    </row>
    <row r="201">
      <c r="A201" s="74" t="n">
        <v>39569</v>
      </c>
      <c r="B201" s="75">
        <f>VLOOKUP(A201,Database!A:M,MATCH($A$1,Database!$A$1:$M$1,),)</f>
        <v/>
      </c>
      <c r="C201" s="118">
        <f>(Table535[[#This Row],[New Orders - Nondefense Capital Goods Excluding Aircraft]]-B200)/B200</f>
        <v/>
      </c>
    </row>
    <row r="202">
      <c r="A202" s="74" t="n">
        <v>39600</v>
      </c>
      <c r="B202" s="75">
        <f>VLOOKUP(A202,Database!A:M,MATCH($A$1,Database!$A$1:$M$1,),)</f>
        <v/>
      </c>
      <c r="C202" s="118">
        <f>(Table535[[#This Row],[New Orders - Nondefense Capital Goods Excluding Aircraft]]-B201)/B201</f>
        <v/>
      </c>
    </row>
    <row r="203">
      <c r="A203" s="74" t="n">
        <v>39630</v>
      </c>
      <c r="B203" s="75">
        <f>VLOOKUP(A203,Database!A:M,MATCH($A$1,Database!$A$1:$M$1,),)</f>
        <v/>
      </c>
      <c r="C203" s="118">
        <f>(Table535[[#This Row],[New Orders - Nondefense Capital Goods Excluding Aircraft]]-B202)/B202</f>
        <v/>
      </c>
    </row>
    <row r="204">
      <c r="A204" s="74" t="n">
        <v>39661</v>
      </c>
      <c r="B204" s="75">
        <f>VLOOKUP(A204,Database!A:M,MATCH($A$1,Database!$A$1:$M$1,),)</f>
        <v/>
      </c>
      <c r="C204" s="118">
        <f>(Table535[[#This Row],[New Orders - Nondefense Capital Goods Excluding Aircraft]]-B203)/B203</f>
        <v/>
      </c>
    </row>
    <row r="205">
      <c r="A205" s="74" t="n">
        <v>39692</v>
      </c>
      <c r="B205" s="75">
        <f>VLOOKUP(A205,Database!A:M,MATCH($A$1,Database!$A$1:$M$1,),)</f>
        <v/>
      </c>
      <c r="C205" s="118">
        <f>(Table535[[#This Row],[New Orders - Nondefense Capital Goods Excluding Aircraft]]-B204)/B204</f>
        <v/>
      </c>
    </row>
    <row r="206">
      <c r="A206" s="74" t="n">
        <v>39722</v>
      </c>
      <c r="B206" s="75">
        <f>VLOOKUP(A206,Database!A:M,MATCH($A$1,Database!$A$1:$M$1,),)</f>
        <v/>
      </c>
      <c r="C206" s="118">
        <f>(Table535[[#This Row],[New Orders - Nondefense Capital Goods Excluding Aircraft]]-B205)/B205</f>
        <v/>
      </c>
    </row>
    <row r="207">
      <c r="A207" s="74" t="n">
        <v>39753</v>
      </c>
      <c r="B207" s="75">
        <f>VLOOKUP(A207,Database!A:M,MATCH($A$1,Database!$A$1:$M$1,),)</f>
        <v/>
      </c>
      <c r="C207" s="118">
        <f>(Table535[[#This Row],[New Orders - Nondefense Capital Goods Excluding Aircraft]]-B206)/B206</f>
        <v/>
      </c>
    </row>
    <row r="208">
      <c r="A208" s="74" t="n">
        <v>39783</v>
      </c>
      <c r="B208" s="75">
        <f>VLOOKUP(A208,Database!A:M,MATCH($A$1,Database!$A$1:$M$1,),)</f>
        <v/>
      </c>
      <c r="C208" s="118">
        <f>(Table535[[#This Row],[New Orders - Nondefense Capital Goods Excluding Aircraft]]-B207)/B207</f>
        <v/>
      </c>
    </row>
    <row r="209">
      <c r="A209" s="74" t="n">
        <v>39814</v>
      </c>
      <c r="B209" s="75">
        <f>VLOOKUP(A209,Database!A:M,MATCH($A$1,Database!$A$1:$M$1,),)</f>
        <v/>
      </c>
      <c r="C209" s="118">
        <f>(Table535[[#This Row],[New Orders - Nondefense Capital Goods Excluding Aircraft]]-B208)/B208</f>
        <v/>
      </c>
    </row>
    <row r="210">
      <c r="A210" s="74" t="n">
        <v>39845</v>
      </c>
      <c r="B210" s="75">
        <f>VLOOKUP(A210,Database!A:M,MATCH($A$1,Database!$A$1:$M$1,),)</f>
        <v/>
      </c>
      <c r="C210" s="118">
        <f>(Table535[[#This Row],[New Orders - Nondefense Capital Goods Excluding Aircraft]]-B209)/B209</f>
        <v/>
      </c>
    </row>
    <row r="211">
      <c r="A211" s="74" t="n">
        <v>39873</v>
      </c>
      <c r="B211" s="75">
        <f>VLOOKUP(A211,Database!A:M,MATCH($A$1,Database!$A$1:$M$1,),)</f>
        <v/>
      </c>
      <c r="C211" s="118">
        <f>(Table535[[#This Row],[New Orders - Nondefense Capital Goods Excluding Aircraft]]-B210)/B210</f>
        <v/>
      </c>
    </row>
    <row r="212">
      <c r="A212" s="74" t="n">
        <v>39904</v>
      </c>
      <c r="B212" s="75">
        <f>VLOOKUP(A212,Database!A:M,MATCH($A$1,Database!$A$1:$M$1,),)</f>
        <v/>
      </c>
      <c r="C212" s="118">
        <f>(Table535[[#This Row],[New Orders - Nondefense Capital Goods Excluding Aircraft]]-B211)/B211</f>
        <v/>
      </c>
    </row>
    <row r="213">
      <c r="A213" s="74" t="n">
        <v>39934</v>
      </c>
      <c r="B213" s="75">
        <f>VLOOKUP(A213,Database!A:M,MATCH($A$1,Database!$A$1:$M$1,),)</f>
        <v/>
      </c>
      <c r="C213" s="118">
        <f>(Table535[[#This Row],[New Orders - Nondefense Capital Goods Excluding Aircraft]]-B212)/B212</f>
        <v/>
      </c>
    </row>
    <row r="214">
      <c r="A214" s="74" t="n">
        <v>39965</v>
      </c>
      <c r="B214" s="75">
        <f>VLOOKUP(A214,Database!A:M,MATCH($A$1,Database!$A$1:$M$1,),)</f>
        <v/>
      </c>
      <c r="C214" s="118">
        <f>(Table535[[#This Row],[New Orders - Nondefense Capital Goods Excluding Aircraft]]-B213)/B213</f>
        <v/>
      </c>
    </row>
    <row r="215">
      <c r="A215" s="74" t="n">
        <v>39995</v>
      </c>
      <c r="B215" s="75">
        <f>VLOOKUP(A215,Database!A:M,MATCH($A$1,Database!$A$1:$M$1,),)</f>
        <v/>
      </c>
      <c r="C215" s="118">
        <f>(Table535[[#This Row],[New Orders - Nondefense Capital Goods Excluding Aircraft]]-B214)/B214</f>
        <v/>
      </c>
    </row>
    <row r="216">
      <c r="A216" s="74" t="n">
        <v>40026</v>
      </c>
      <c r="B216" s="75">
        <f>VLOOKUP(A216,Database!A:M,MATCH($A$1,Database!$A$1:$M$1,),)</f>
        <v/>
      </c>
      <c r="C216" s="118">
        <f>(Table535[[#This Row],[New Orders - Nondefense Capital Goods Excluding Aircraft]]-B215)/B215</f>
        <v/>
      </c>
    </row>
    <row r="217">
      <c r="A217" s="74" t="n">
        <v>40057</v>
      </c>
      <c r="B217" s="75">
        <f>VLOOKUP(A217,Database!A:M,MATCH($A$1,Database!$A$1:$M$1,),)</f>
        <v/>
      </c>
      <c r="C217" s="118">
        <f>(Table535[[#This Row],[New Orders - Nondefense Capital Goods Excluding Aircraft]]-B216)/B216</f>
        <v/>
      </c>
    </row>
    <row r="218">
      <c r="A218" s="74" t="n">
        <v>40087</v>
      </c>
      <c r="B218" s="75">
        <f>VLOOKUP(A218,Database!A:M,MATCH($A$1,Database!$A$1:$M$1,),)</f>
        <v/>
      </c>
      <c r="C218" s="118">
        <f>(Table535[[#This Row],[New Orders - Nondefense Capital Goods Excluding Aircraft]]-B217)/B217</f>
        <v/>
      </c>
    </row>
    <row r="219">
      <c r="A219" s="74" t="n">
        <v>40118</v>
      </c>
      <c r="B219" s="75">
        <f>VLOOKUP(A219,Database!A:M,MATCH($A$1,Database!$A$1:$M$1,),)</f>
        <v/>
      </c>
      <c r="C219" s="118">
        <f>(Table535[[#This Row],[New Orders - Nondefense Capital Goods Excluding Aircraft]]-B218)/B218</f>
        <v/>
      </c>
    </row>
    <row r="220">
      <c r="A220" s="74" t="n">
        <v>40148</v>
      </c>
      <c r="B220" s="75">
        <f>VLOOKUP(A220,Database!A:M,MATCH($A$1,Database!$A$1:$M$1,),)</f>
        <v/>
      </c>
      <c r="C220" s="118">
        <f>(Table535[[#This Row],[New Orders - Nondefense Capital Goods Excluding Aircraft]]-B219)/B219</f>
        <v/>
      </c>
    </row>
    <row r="221">
      <c r="A221" s="74" t="n">
        <v>40179</v>
      </c>
      <c r="B221" s="75">
        <f>VLOOKUP(A221,Database!A:M,MATCH($A$1,Database!$A$1:$M$1,),)</f>
        <v/>
      </c>
      <c r="C221" s="118">
        <f>(Table535[[#This Row],[New Orders - Nondefense Capital Goods Excluding Aircraft]]-B220)/B220</f>
        <v/>
      </c>
    </row>
    <row r="222">
      <c r="A222" s="74" t="n">
        <v>40210</v>
      </c>
      <c r="B222" s="75">
        <f>VLOOKUP(A222,Database!A:M,MATCH($A$1,Database!$A$1:$M$1,),)</f>
        <v/>
      </c>
      <c r="C222" s="118">
        <f>(Table535[[#This Row],[New Orders - Nondefense Capital Goods Excluding Aircraft]]-B221)/B221</f>
        <v/>
      </c>
    </row>
    <row r="223">
      <c r="A223" s="74" t="n">
        <v>40238</v>
      </c>
      <c r="B223" s="75">
        <f>VLOOKUP(A223,Database!A:M,MATCH($A$1,Database!$A$1:$M$1,),)</f>
        <v/>
      </c>
      <c r="C223" s="118">
        <f>(Table535[[#This Row],[New Orders - Nondefense Capital Goods Excluding Aircraft]]-B222)/B222</f>
        <v/>
      </c>
    </row>
    <row r="224">
      <c r="A224" s="74" t="n">
        <v>40269</v>
      </c>
      <c r="B224" s="75">
        <f>VLOOKUP(A224,Database!A:M,MATCH($A$1,Database!$A$1:$M$1,),)</f>
        <v/>
      </c>
      <c r="C224" s="118">
        <f>(Table535[[#This Row],[New Orders - Nondefense Capital Goods Excluding Aircraft]]-B223)/B223</f>
        <v/>
      </c>
    </row>
    <row r="225">
      <c r="A225" s="74" t="n">
        <v>40299</v>
      </c>
      <c r="B225" s="75">
        <f>VLOOKUP(A225,Database!A:M,MATCH($A$1,Database!$A$1:$M$1,),)</f>
        <v/>
      </c>
      <c r="C225" s="118">
        <f>(Table535[[#This Row],[New Orders - Nondefense Capital Goods Excluding Aircraft]]-B224)/B224</f>
        <v/>
      </c>
    </row>
    <row r="226">
      <c r="A226" s="74" t="n">
        <v>40330</v>
      </c>
      <c r="B226" s="75">
        <f>VLOOKUP(A226,Database!A:M,MATCH($A$1,Database!$A$1:$M$1,),)</f>
        <v/>
      </c>
      <c r="C226" s="118">
        <f>(Table535[[#This Row],[New Orders - Nondefense Capital Goods Excluding Aircraft]]-B225)/B225</f>
        <v/>
      </c>
    </row>
    <row r="227">
      <c r="A227" s="74" t="n">
        <v>40360</v>
      </c>
      <c r="B227" s="75">
        <f>VLOOKUP(A227,Database!A:M,MATCH($A$1,Database!$A$1:$M$1,),)</f>
        <v/>
      </c>
      <c r="C227" s="118">
        <f>(Table535[[#This Row],[New Orders - Nondefense Capital Goods Excluding Aircraft]]-B226)/B226</f>
        <v/>
      </c>
    </row>
    <row r="228">
      <c r="A228" s="74" t="n">
        <v>40391</v>
      </c>
      <c r="B228" s="75">
        <f>VLOOKUP(A228,Database!A:M,MATCH($A$1,Database!$A$1:$M$1,),)</f>
        <v/>
      </c>
      <c r="C228" s="118">
        <f>(Table535[[#This Row],[New Orders - Nondefense Capital Goods Excluding Aircraft]]-B227)/B227</f>
        <v/>
      </c>
    </row>
    <row r="229">
      <c r="A229" s="74" t="n">
        <v>40422</v>
      </c>
      <c r="B229" s="75">
        <f>VLOOKUP(A229,Database!A:M,MATCH($A$1,Database!$A$1:$M$1,),)</f>
        <v/>
      </c>
      <c r="C229" s="118">
        <f>(Table535[[#This Row],[New Orders - Nondefense Capital Goods Excluding Aircraft]]-B228)/B228</f>
        <v/>
      </c>
    </row>
    <row r="230">
      <c r="A230" s="74" t="n">
        <v>40452</v>
      </c>
      <c r="B230" s="75">
        <f>VLOOKUP(A230,Database!A:M,MATCH($A$1,Database!$A$1:$M$1,),)</f>
        <v/>
      </c>
      <c r="C230" s="118">
        <f>(Table535[[#This Row],[New Orders - Nondefense Capital Goods Excluding Aircraft]]-B229)/B229</f>
        <v/>
      </c>
    </row>
    <row r="231">
      <c r="A231" s="74" t="n">
        <v>40483</v>
      </c>
      <c r="B231" s="75">
        <f>VLOOKUP(A231,Database!A:M,MATCH($A$1,Database!$A$1:$M$1,),)</f>
        <v/>
      </c>
      <c r="C231" s="118">
        <f>(Table535[[#This Row],[New Orders - Nondefense Capital Goods Excluding Aircraft]]-B230)/B230</f>
        <v/>
      </c>
    </row>
    <row r="232">
      <c r="A232" s="74" t="n">
        <v>40513</v>
      </c>
      <c r="B232" s="75">
        <f>VLOOKUP(A232,Database!A:M,MATCH($A$1,Database!$A$1:$M$1,),)</f>
        <v/>
      </c>
      <c r="C232" s="118">
        <f>(Table535[[#This Row],[New Orders - Nondefense Capital Goods Excluding Aircraft]]-B231)/B231</f>
        <v/>
      </c>
    </row>
    <row r="233">
      <c r="A233" s="74" t="n">
        <v>40544</v>
      </c>
      <c r="B233" s="75">
        <f>VLOOKUP(A233,Database!A:M,MATCH($A$1,Database!$A$1:$M$1,),)</f>
        <v/>
      </c>
      <c r="C233" s="118">
        <f>(Table535[[#This Row],[New Orders - Nondefense Capital Goods Excluding Aircraft]]-B232)/B232</f>
        <v/>
      </c>
    </row>
    <row r="234">
      <c r="A234" s="74" t="n">
        <v>40575</v>
      </c>
      <c r="B234" s="75">
        <f>VLOOKUP(A234,Database!A:M,MATCH($A$1,Database!$A$1:$M$1,),)</f>
        <v/>
      </c>
      <c r="C234" s="118">
        <f>(Table535[[#This Row],[New Orders - Nondefense Capital Goods Excluding Aircraft]]-B233)/B233</f>
        <v/>
      </c>
    </row>
    <row r="235">
      <c r="A235" s="74" t="n">
        <v>40603</v>
      </c>
      <c r="B235" s="75">
        <f>VLOOKUP(A235,Database!A:M,MATCH($A$1,Database!$A$1:$M$1,),)</f>
        <v/>
      </c>
      <c r="C235" s="118">
        <f>(Table535[[#This Row],[New Orders - Nondefense Capital Goods Excluding Aircraft]]-B234)/B234</f>
        <v/>
      </c>
    </row>
    <row r="236">
      <c r="A236" s="74" t="n">
        <v>40634</v>
      </c>
      <c r="B236" s="75">
        <f>VLOOKUP(A236,Database!A:M,MATCH($A$1,Database!$A$1:$M$1,),)</f>
        <v/>
      </c>
      <c r="C236" s="118">
        <f>(Table535[[#This Row],[New Orders - Nondefense Capital Goods Excluding Aircraft]]-B235)/B235</f>
        <v/>
      </c>
    </row>
    <row r="237">
      <c r="A237" s="74" t="n">
        <v>40664</v>
      </c>
      <c r="B237" s="75">
        <f>VLOOKUP(A237,Database!A:M,MATCH($A$1,Database!$A$1:$M$1,),)</f>
        <v/>
      </c>
      <c r="C237" s="118">
        <f>(Table535[[#This Row],[New Orders - Nondefense Capital Goods Excluding Aircraft]]-B236)/B236</f>
        <v/>
      </c>
    </row>
    <row r="238">
      <c r="A238" s="74" t="n">
        <v>40695</v>
      </c>
      <c r="B238" s="75">
        <f>VLOOKUP(A238,Database!A:M,MATCH($A$1,Database!$A$1:$M$1,),)</f>
        <v/>
      </c>
      <c r="C238" s="118">
        <f>(Table535[[#This Row],[New Orders - Nondefense Capital Goods Excluding Aircraft]]-B237)/B237</f>
        <v/>
      </c>
    </row>
    <row r="239">
      <c r="A239" s="74" t="n">
        <v>40725</v>
      </c>
      <c r="B239" s="75">
        <f>VLOOKUP(A239,Database!A:M,MATCH($A$1,Database!$A$1:$M$1,),)</f>
        <v/>
      </c>
      <c r="C239" s="118">
        <f>(Table535[[#This Row],[New Orders - Nondefense Capital Goods Excluding Aircraft]]-B238)/B238</f>
        <v/>
      </c>
    </row>
    <row r="240">
      <c r="A240" s="74" t="n">
        <v>40756</v>
      </c>
      <c r="B240" s="75">
        <f>VLOOKUP(A240,Database!A:M,MATCH($A$1,Database!$A$1:$M$1,),)</f>
        <v/>
      </c>
      <c r="C240" s="118">
        <f>(Table535[[#This Row],[New Orders - Nondefense Capital Goods Excluding Aircraft]]-B239)/B239</f>
        <v/>
      </c>
    </row>
    <row r="241">
      <c r="A241" s="74" t="n">
        <v>40787</v>
      </c>
      <c r="B241" s="75">
        <f>VLOOKUP(A241,Database!A:M,MATCH($A$1,Database!$A$1:$M$1,),)</f>
        <v/>
      </c>
      <c r="C241" s="118">
        <f>(Table535[[#This Row],[New Orders - Nondefense Capital Goods Excluding Aircraft]]-B240)/B240</f>
        <v/>
      </c>
    </row>
    <row r="242">
      <c r="A242" s="74" t="n">
        <v>40817</v>
      </c>
      <c r="B242" s="75">
        <f>VLOOKUP(A242,Database!A:M,MATCH($A$1,Database!$A$1:$M$1,),)</f>
        <v/>
      </c>
      <c r="C242" s="118">
        <f>(Table535[[#This Row],[New Orders - Nondefense Capital Goods Excluding Aircraft]]-B241)/B241</f>
        <v/>
      </c>
    </row>
    <row r="243">
      <c r="A243" s="74" t="n">
        <v>40848</v>
      </c>
      <c r="B243" s="75">
        <f>VLOOKUP(A243,Database!A:M,MATCH($A$1,Database!$A$1:$M$1,),)</f>
        <v/>
      </c>
      <c r="C243" s="118">
        <f>(Table535[[#This Row],[New Orders - Nondefense Capital Goods Excluding Aircraft]]-B242)/B242</f>
        <v/>
      </c>
    </row>
    <row r="244">
      <c r="A244" s="74" t="n">
        <v>40878</v>
      </c>
      <c r="B244" s="75">
        <f>VLOOKUP(A244,Database!A:M,MATCH($A$1,Database!$A$1:$M$1,),)</f>
        <v/>
      </c>
      <c r="C244" s="118">
        <f>(Table535[[#This Row],[New Orders - Nondefense Capital Goods Excluding Aircraft]]-B243)/B243</f>
        <v/>
      </c>
    </row>
    <row r="245">
      <c r="A245" s="74" t="n">
        <v>40909</v>
      </c>
      <c r="B245" s="75">
        <f>VLOOKUP(A245,Database!A:M,MATCH($A$1,Database!$A$1:$M$1,),)</f>
        <v/>
      </c>
      <c r="C245" s="118">
        <f>(Table535[[#This Row],[New Orders - Nondefense Capital Goods Excluding Aircraft]]-B244)/B244</f>
        <v/>
      </c>
    </row>
    <row r="246">
      <c r="A246" s="74" t="n">
        <v>40940</v>
      </c>
      <c r="B246" s="75">
        <f>VLOOKUP(A246,Database!A:M,MATCH($A$1,Database!$A$1:$M$1,),)</f>
        <v/>
      </c>
      <c r="C246" s="118">
        <f>(Table535[[#This Row],[New Orders - Nondefense Capital Goods Excluding Aircraft]]-B245)/B245</f>
        <v/>
      </c>
    </row>
    <row r="247">
      <c r="A247" s="74" t="n">
        <v>40969</v>
      </c>
      <c r="B247" s="75">
        <f>VLOOKUP(A247,Database!A:M,MATCH($A$1,Database!$A$1:$M$1,),)</f>
        <v/>
      </c>
      <c r="C247" s="118">
        <f>(Table535[[#This Row],[New Orders - Nondefense Capital Goods Excluding Aircraft]]-B246)/B246</f>
        <v/>
      </c>
    </row>
    <row r="248">
      <c r="A248" s="74" t="n">
        <v>41000</v>
      </c>
      <c r="B248" s="75">
        <f>VLOOKUP(A248,Database!A:M,MATCH($A$1,Database!$A$1:$M$1,),)</f>
        <v/>
      </c>
      <c r="C248" s="118">
        <f>(Table535[[#This Row],[New Orders - Nondefense Capital Goods Excluding Aircraft]]-B247)/B247</f>
        <v/>
      </c>
    </row>
    <row r="249">
      <c r="A249" s="74" t="n">
        <v>41030</v>
      </c>
      <c r="B249" s="75">
        <f>VLOOKUP(A249,Database!A:M,MATCH($A$1,Database!$A$1:$M$1,),)</f>
        <v/>
      </c>
      <c r="C249" s="118">
        <f>(Table535[[#This Row],[New Orders - Nondefense Capital Goods Excluding Aircraft]]-B248)/B248</f>
        <v/>
      </c>
    </row>
    <row r="250">
      <c r="A250" s="74" t="n">
        <v>41061</v>
      </c>
      <c r="B250" s="75">
        <f>VLOOKUP(A250,Database!A:M,MATCH($A$1,Database!$A$1:$M$1,),)</f>
        <v/>
      </c>
      <c r="C250" s="118">
        <f>(Table535[[#This Row],[New Orders - Nondefense Capital Goods Excluding Aircraft]]-B249)/B249</f>
        <v/>
      </c>
    </row>
    <row r="251">
      <c r="A251" s="74" t="n">
        <v>41091</v>
      </c>
      <c r="B251" s="75">
        <f>VLOOKUP(A251,Database!A:M,MATCH($A$1,Database!$A$1:$M$1,),)</f>
        <v/>
      </c>
      <c r="C251" s="118">
        <f>(Table535[[#This Row],[New Orders - Nondefense Capital Goods Excluding Aircraft]]-B250)/B250</f>
        <v/>
      </c>
    </row>
    <row r="252">
      <c r="A252" s="74" t="n">
        <v>41122</v>
      </c>
      <c r="B252" s="75">
        <f>VLOOKUP(A252,Database!A:M,MATCH($A$1,Database!$A$1:$M$1,),)</f>
        <v/>
      </c>
      <c r="C252" s="118">
        <f>(Table535[[#This Row],[New Orders - Nondefense Capital Goods Excluding Aircraft]]-B251)/B251</f>
        <v/>
      </c>
    </row>
    <row r="253">
      <c r="A253" s="74" t="n">
        <v>41153</v>
      </c>
      <c r="B253" s="75">
        <f>VLOOKUP(A253,Database!A:M,MATCH($A$1,Database!$A$1:$M$1,),)</f>
        <v/>
      </c>
      <c r="C253" s="118">
        <f>(Table535[[#This Row],[New Orders - Nondefense Capital Goods Excluding Aircraft]]-B252)/B252</f>
        <v/>
      </c>
    </row>
    <row r="254">
      <c r="A254" s="74" t="n">
        <v>41183</v>
      </c>
      <c r="B254" s="75">
        <f>VLOOKUP(A254,Database!A:M,MATCH($A$1,Database!$A$1:$M$1,),)</f>
        <v/>
      </c>
      <c r="C254" s="118">
        <f>(Table535[[#This Row],[New Orders - Nondefense Capital Goods Excluding Aircraft]]-B253)/B253</f>
        <v/>
      </c>
    </row>
    <row r="255">
      <c r="A255" s="74" t="n">
        <v>41214</v>
      </c>
      <c r="B255" s="75">
        <f>VLOOKUP(A255,Database!A:M,MATCH($A$1,Database!$A$1:$M$1,),)</f>
        <v/>
      </c>
      <c r="C255" s="118">
        <f>(Table535[[#This Row],[New Orders - Nondefense Capital Goods Excluding Aircraft]]-B254)/B254</f>
        <v/>
      </c>
    </row>
    <row r="256">
      <c r="A256" s="74" t="n">
        <v>41244</v>
      </c>
      <c r="B256" s="75">
        <f>VLOOKUP(A256,Database!A:M,MATCH($A$1,Database!$A$1:$M$1,),)</f>
        <v/>
      </c>
      <c r="C256" s="118">
        <f>(Table535[[#This Row],[New Orders - Nondefense Capital Goods Excluding Aircraft]]-B255)/B255</f>
        <v/>
      </c>
    </row>
    <row r="257">
      <c r="A257" s="74" t="n">
        <v>41275</v>
      </c>
      <c r="B257" s="75">
        <f>VLOOKUP(A257,Database!A:M,MATCH($A$1,Database!$A$1:$M$1,),)</f>
        <v/>
      </c>
      <c r="C257" s="118">
        <f>(Table535[[#This Row],[New Orders - Nondefense Capital Goods Excluding Aircraft]]-B256)/B256</f>
        <v/>
      </c>
    </row>
    <row r="258">
      <c r="A258" s="74" t="n">
        <v>41306</v>
      </c>
      <c r="B258" s="75">
        <f>VLOOKUP(A258,Database!A:M,MATCH($A$1,Database!$A$1:$M$1,),)</f>
        <v/>
      </c>
      <c r="C258" s="118">
        <f>(Table535[[#This Row],[New Orders - Nondefense Capital Goods Excluding Aircraft]]-B257)/B257</f>
        <v/>
      </c>
    </row>
    <row r="259">
      <c r="A259" s="74" t="n">
        <v>41334</v>
      </c>
      <c r="B259" s="75">
        <f>VLOOKUP(A259,Database!A:M,MATCH($A$1,Database!$A$1:$M$1,),)</f>
        <v/>
      </c>
      <c r="C259" s="118">
        <f>(Table535[[#This Row],[New Orders - Nondefense Capital Goods Excluding Aircraft]]-B258)/B258</f>
        <v/>
      </c>
    </row>
    <row r="260">
      <c r="A260" s="74" t="n">
        <v>41365</v>
      </c>
      <c r="B260" s="75">
        <f>VLOOKUP(A260,Database!A:M,MATCH($A$1,Database!$A$1:$M$1,),)</f>
        <v/>
      </c>
      <c r="C260" s="118">
        <f>(Table535[[#This Row],[New Orders - Nondefense Capital Goods Excluding Aircraft]]-B259)/B259</f>
        <v/>
      </c>
    </row>
    <row r="261">
      <c r="A261" s="74" t="n">
        <v>41395</v>
      </c>
      <c r="B261" s="75">
        <f>VLOOKUP(A261,Database!A:M,MATCH($A$1,Database!$A$1:$M$1,),)</f>
        <v/>
      </c>
      <c r="C261" s="118">
        <f>(Table535[[#This Row],[New Orders - Nondefense Capital Goods Excluding Aircraft]]-B260)/B260</f>
        <v/>
      </c>
    </row>
    <row r="262">
      <c r="A262" s="74" t="n">
        <v>41426</v>
      </c>
      <c r="B262" s="75">
        <f>VLOOKUP(A262,Database!A:M,MATCH($A$1,Database!$A$1:$M$1,),)</f>
        <v/>
      </c>
      <c r="C262" s="118">
        <f>(Table535[[#This Row],[New Orders - Nondefense Capital Goods Excluding Aircraft]]-B261)/B261</f>
        <v/>
      </c>
    </row>
    <row r="263">
      <c r="A263" s="74" t="n">
        <v>41456</v>
      </c>
      <c r="B263" s="75">
        <f>VLOOKUP(A263,Database!A:M,MATCH($A$1,Database!$A$1:$M$1,),)</f>
        <v/>
      </c>
      <c r="C263" s="118">
        <f>(Table535[[#This Row],[New Orders - Nondefense Capital Goods Excluding Aircraft]]-B262)/B262</f>
        <v/>
      </c>
    </row>
    <row r="264">
      <c r="A264" s="74" t="n">
        <v>41487</v>
      </c>
      <c r="B264" s="75">
        <f>VLOOKUP(A264,Database!A:M,MATCH($A$1,Database!$A$1:$M$1,),)</f>
        <v/>
      </c>
      <c r="C264" s="118">
        <f>(Table535[[#This Row],[New Orders - Nondefense Capital Goods Excluding Aircraft]]-B263)/B263</f>
        <v/>
      </c>
    </row>
    <row r="265">
      <c r="A265" s="74" t="n">
        <v>41518</v>
      </c>
      <c r="B265" s="75">
        <f>VLOOKUP(A265,Database!A:M,MATCH($A$1,Database!$A$1:$M$1,),)</f>
        <v/>
      </c>
      <c r="C265" s="118">
        <f>(Table535[[#This Row],[New Orders - Nondefense Capital Goods Excluding Aircraft]]-B264)/B264</f>
        <v/>
      </c>
    </row>
    <row r="266">
      <c r="A266" s="74" t="n">
        <v>41548</v>
      </c>
      <c r="B266" s="75">
        <f>VLOOKUP(A266,Database!A:M,MATCH($A$1,Database!$A$1:$M$1,),)</f>
        <v/>
      </c>
      <c r="C266" s="118">
        <f>(Table535[[#This Row],[New Orders - Nondefense Capital Goods Excluding Aircraft]]-B265)/B265</f>
        <v/>
      </c>
    </row>
    <row r="267">
      <c r="A267" s="74" t="n">
        <v>41579</v>
      </c>
      <c r="B267" s="75">
        <f>VLOOKUP(A267,Database!A:M,MATCH($A$1,Database!$A$1:$M$1,),)</f>
        <v/>
      </c>
      <c r="C267" s="118">
        <f>(Table535[[#This Row],[New Orders - Nondefense Capital Goods Excluding Aircraft]]-B266)/B266</f>
        <v/>
      </c>
    </row>
    <row r="268">
      <c r="A268" s="74" t="n">
        <v>41609</v>
      </c>
      <c r="B268" s="75">
        <f>VLOOKUP(A268,Database!A:M,MATCH($A$1,Database!$A$1:$M$1,),)</f>
        <v/>
      </c>
      <c r="C268" s="118">
        <f>(Table535[[#This Row],[New Orders - Nondefense Capital Goods Excluding Aircraft]]-B267)/B267</f>
        <v/>
      </c>
    </row>
    <row r="269">
      <c r="A269" s="74" t="n">
        <v>41640</v>
      </c>
      <c r="B269" s="75">
        <f>VLOOKUP(A269,Database!A:M,MATCH($A$1,Database!$A$1:$M$1,),)</f>
        <v/>
      </c>
      <c r="C269" s="118">
        <f>(Table535[[#This Row],[New Orders - Nondefense Capital Goods Excluding Aircraft]]-B268)/B268</f>
        <v/>
      </c>
    </row>
    <row r="270">
      <c r="A270" s="74" t="n">
        <v>41671</v>
      </c>
      <c r="B270" s="75">
        <f>VLOOKUP(A270,Database!A:M,MATCH($A$1,Database!$A$1:$M$1,),)</f>
        <v/>
      </c>
      <c r="C270" s="118">
        <f>(Table535[[#This Row],[New Orders - Nondefense Capital Goods Excluding Aircraft]]-B269)/B269</f>
        <v/>
      </c>
    </row>
    <row r="271">
      <c r="A271" s="74" t="n">
        <v>41699</v>
      </c>
      <c r="B271" s="75">
        <f>VLOOKUP(A271,Database!A:M,MATCH($A$1,Database!$A$1:$M$1,),)</f>
        <v/>
      </c>
      <c r="C271" s="118">
        <f>(Table535[[#This Row],[New Orders - Nondefense Capital Goods Excluding Aircraft]]-B270)/B270</f>
        <v/>
      </c>
    </row>
    <row r="272">
      <c r="A272" s="74" t="n">
        <v>41730</v>
      </c>
      <c r="B272" s="75">
        <f>VLOOKUP(A272,Database!A:M,MATCH($A$1,Database!$A$1:$M$1,),)</f>
        <v/>
      </c>
      <c r="C272" s="118">
        <f>(Table535[[#This Row],[New Orders - Nondefense Capital Goods Excluding Aircraft]]-B271)/B271</f>
        <v/>
      </c>
    </row>
    <row r="273">
      <c r="A273" s="74" t="n">
        <v>41760</v>
      </c>
      <c r="B273" s="75">
        <f>VLOOKUP(A273,Database!A:M,MATCH($A$1,Database!$A$1:$M$1,),)</f>
        <v/>
      </c>
      <c r="C273" s="118">
        <f>(Table535[[#This Row],[New Orders - Nondefense Capital Goods Excluding Aircraft]]-B272)/B272</f>
        <v/>
      </c>
    </row>
    <row r="274">
      <c r="A274" s="74" t="n">
        <v>41791</v>
      </c>
      <c r="B274" s="75">
        <f>VLOOKUP(A274,Database!A:M,MATCH($A$1,Database!$A$1:$M$1,),)</f>
        <v/>
      </c>
      <c r="C274" s="118">
        <f>(Table535[[#This Row],[New Orders - Nondefense Capital Goods Excluding Aircraft]]-B273)/B273</f>
        <v/>
      </c>
    </row>
    <row r="275">
      <c r="A275" s="74" t="n">
        <v>41821</v>
      </c>
      <c r="B275" s="75">
        <f>VLOOKUP(A275,Database!A:M,MATCH($A$1,Database!$A$1:$M$1,),)</f>
        <v/>
      </c>
      <c r="C275" s="118">
        <f>(Table535[[#This Row],[New Orders - Nondefense Capital Goods Excluding Aircraft]]-B274)/B274</f>
        <v/>
      </c>
    </row>
    <row r="276">
      <c r="A276" s="74" t="n">
        <v>41852</v>
      </c>
      <c r="B276" s="75">
        <f>VLOOKUP(A276,Database!A:M,MATCH($A$1,Database!$A$1:$M$1,),)</f>
        <v/>
      </c>
      <c r="C276" s="118">
        <f>(Table535[[#This Row],[New Orders - Nondefense Capital Goods Excluding Aircraft]]-B275)/B275</f>
        <v/>
      </c>
    </row>
    <row r="277">
      <c r="A277" s="74" t="n">
        <v>41883</v>
      </c>
      <c r="B277" s="75">
        <f>VLOOKUP(A277,Database!A:M,MATCH($A$1,Database!$A$1:$M$1,),)</f>
        <v/>
      </c>
      <c r="C277" s="118">
        <f>(Table535[[#This Row],[New Orders - Nondefense Capital Goods Excluding Aircraft]]-B276)/B276</f>
        <v/>
      </c>
    </row>
    <row r="278">
      <c r="A278" s="74" t="n">
        <v>41913</v>
      </c>
      <c r="B278" s="75">
        <f>VLOOKUP(A278,Database!A:M,MATCH($A$1,Database!$A$1:$M$1,),)</f>
        <v/>
      </c>
      <c r="C278" s="118">
        <f>(Table535[[#This Row],[New Orders - Nondefense Capital Goods Excluding Aircraft]]-B277)/B277</f>
        <v/>
      </c>
    </row>
    <row r="279">
      <c r="A279" s="74" t="n">
        <v>41944</v>
      </c>
      <c r="B279" s="75">
        <f>VLOOKUP(A279,Database!A:M,MATCH($A$1,Database!$A$1:$M$1,),)</f>
        <v/>
      </c>
      <c r="C279" s="118">
        <f>(Table535[[#This Row],[New Orders - Nondefense Capital Goods Excluding Aircraft]]-B278)/B278</f>
        <v/>
      </c>
    </row>
    <row r="280">
      <c r="A280" s="74" t="n">
        <v>41974</v>
      </c>
      <c r="B280" s="75">
        <f>VLOOKUP(A280,Database!A:M,MATCH($A$1,Database!$A$1:$M$1,),)</f>
        <v/>
      </c>
      <c r="C280" s="118">
        <f>(Table535[[#This Row],[New Orders - Nondefense Capital Goods Excluding Aircraft]]-B279)/B279</f>
        <v/>
      </c>
    </row>
    <row r="281">
      <c r="A281" s="74" t="n">
        <v>42005</v>
      </c>
      <c r="B281" s="75">
        <f>VLOOKUP(A281,Database!A:M,MATCH($A$1,Database!$A$1:$M$1,),)</f>
        <v/>
      </c>
      <c r="C281" s="118">
        <f>(Table535[[#This Row],[New Orders - Nondefense Capital Goods Excluding Aircraft]]-B280)/B280</f>
        <v/>
      </c>
    </row>
    <row r="282">
      <c r="A282" s="74" t="n">
        <v>42036</v>
      </c>
      <c r="B282" s="75">
        <f>VLOOKUP(A282,Database!A:M,MATCH($A$1,Database!$A$1:$M$1,),)</f>
        <v/>
      </c>
      <c r="C282" s="118">
        <f>(Table535[[#This Row],[New Orders - Nondefense Capital Goods Excluding Aircraft]]-B281)/B281</f>
        <v/>
      </c>
    </row>
    <row r="283">
      <c r="A283" s="74" t="n">
        <v>42064</v>
      </c>
      <c r="B283" s="75">
        <f>VLOOKUP(A283,Database!A:M,MATCH($A$1,Database!$A$1:$M$1,),)</f>
        <v/>
      </c>
      <c r="C283" s="118">
        <f>(Table535[[#This Row],[New Orders - Nondefense Capital Goods Excluding Aircraft]]-B282)/B282</f>
        <v/>
      </c>
    </row>
    <row r="284">
      <c r="A284" s="74" t="n">
        <v>42095</v>
      </c>
      <c r="B284" s="75">
        <f>VLOOKUP(A284,Database!A:M,MATCH($A$1,Database!$A$1:$M$1,),)</f>
        <v/>
      </c>
      <c r="C284" s="118">
        <f>(Table535[[#This Row],[New Orders - Nondefense Capital Goods Excluding Aircraft]]-B283)/B283</f>
        <v/>
      </c>
    </row>
    <row r="285">
      <c r="A285" s="74" t="n">
        <v>42125</v>
      </c>
      <c r="B285" s="75">
        <f>VLOOKUP(A285,Database!A:M,MATCH($A$1,Database!$A$1:$M$1,),)</f>
        <v/>
      </c>
      <c r="C285" s="118">
        <f>(Table535[[#This Row],[New Orders - Nondefense Capital Goods Excluding Aircraft]]-B284)/B284</f>
        <v/>
      </c>
    </row>
    <row r="286">
      <c r="A286" s="74" t="n">
        <v>42156</v>
      </c>
      <c r="B286" s="75">
        <f>VLOOKUP(A286,Database!A:M,MATCH($A$1,Database!$A$1:$M$1,),)</f>
        <v/>
      </c>
      <c r="C286" s="118">
        <f>(Table535[[#This Row],[New Orders - Nondefense Capital Goods Excluding Aircraft]]-B285)/B285</f>
        <v/>
      </c>
    </row>
    <row r="287">
      <c r="A287" s="74" t="n">
        <v>42186</v>
      </c>
      <c r="B287" s="75">
        <f>VLOOKUP(A287,Database!A:M,MATCH($A$1,Database!$A$1:$M$1,),)</f>
        <v/>
      </c>
      <c r="C287" s="118">
        <f>(Table535[[#This Row],[New Orders - Nondefense Capital Goods Excluding Aircraft]]-B286)/B286</f>
        <v/>
      </c>
    </row>
    <row r="288">
      <c r="A288" s="74" t="n">
        <v>42217</v>
      </c>
      <c r="B288" s="75">
        <f>VLOOKUP(A288,Database!A:M,MATCH($A$1,Database!$A$1:$M$1,),)</f>
        <v/>
      </c>
      <c r="C288" s="118">
        <f>(Table535[[#This Row],[New Orders - Nondefense Capital Goods Excluding Aircraft]]-B287)/B287</f>
        <v/>
      </c>
    </row>
    <row r="289">
      <c r="A289" s="74" t="n">
        <v>42248</v>
      </c>
      <c r="B289" s="75">
        <f>VLOOKUP(A289,Database!A:M,MATCH($A$1,Database!$A$1:$M$1,),)</f>
        <v/>
      </c>
      <c r="C289" s="118">
        <f>(Table535[[#This Row],[New Orders - Nondefense Capital Goods Excluding Aircraft]]-B288)/B288</f>
        <v/>
      </c>
    </row>
    <row r="290">
      <c r="A290" s="74" t="n">
        <v>42278</v>
      </c>
      <c r="B290" s="75">
        <f>VLOOKUP(A290,Database!A:M,MATCH($A$1,Database!$A$1:$M$1,),)</f>
        <v/>
      </c>
      <c r="C290" s="118">
        <f>(Table535[[#This Row],[New Orders - Nondefense Capital Goods Excluding Aircraft]]-B289)/B289</f>
        <v/>
      </c>
    </row>
    <row r="291">
      <c r="A291" s="74" t="n">
        <v>42309</v>
      </c>
      <c r="B291" s="75">
        <f>VLOOKUP(A291,Database!A:M,MATCH($A$1,Database!$A$1:$M$1,),)</f>
        <v/>
      </c>
      <c r="C291" s="118">
        <f>(Table535[[#This Row],[New Orders - Nondefense Capital Goods Excluding Aircraft]]-B290)/B290</f>
        <v/>
      </c>
    </row>
    <row r="292">
      <c r="A292" s="74" t="n">
        <v>42339</v>
      </c>
      <c r="B292" s="75">
        <f>VLOOKUP(A292,Database!A:M,MATCH($A$1,Database!$A$1:$M$1,),)</f>
        <v/>
      </c>
      <c r="C292" s="118">
        <f>(Table535[[#This Row],[New Orders - Nondefense Capital Goods Excluding Aircraft]]-B291)/B291</f>
        <v/>
      </c>
    </row>
    <row r="293">
      <c r="A293" s="74" t="n">
        <v>42370</v>
      </c>
      <c r="B293" s="75">
        <f>VLOOKUP(A293,Database!A:M,MATCH($A$1,Database!$A$1:$M$1,),)</f>
        <v/>
      </c>
      <c r="C293" s="118">
        <f>(Table535[[#This Row],[New Orders - Nondefense Capital Goods Excluding Aircraft]]-B292)/B292</f>
        <v/>
      </c>
    </row>
    <row r="294">
      <c r="A294" s="74" t="n">
        <v>42401</v>
      </c>
      <c r="B294" s="75">
        <f>VLOOKUP(A294,Database!A:M,MATCH($A$1,Database!$A$1:$M$1,),)</f>
        <v/>
      </c>
      <c r="C294" s="118">
        <f>(Table535[[#This Row],[New Orders - Nondefense Capital Goods Excluding Aircraft]]-B293)/B293</f>
        <v/>
      </c>
    </row>
    <row r="295">
      <c r="A295" s="74" t="n">
        <v>42430</v>
      </c>
      <c r="B295" s="75">
        <f>VLOOKUP(A295,Database!A:M,MATCH($A$1,Database!$A$1:$M$1,),)</f>
        <v/>
      </c>
      <c r="C295" s="118">
        <f>(Table535[[#This Row],[New Orders - Nondefense Capital Goods Excluding Aircraft]]-B294)/B294</f>
        <v/>
      </c>
    </row>
    <row r="296">
      <c r="A296" s="74" t="n">
        <v>42461</v>
      </c>
      <c r="B296" s="75">
        <f>VLOOKUP(A296,Database!A:M,MATCH($A$1,Database!$A$1:$M$1,),)</f>
        <v/>
      </c>
      <c r="C296" s="118">
        <f>(Table535[[#This Row],[New Orders - Nondefense Capital Goods Excluding Aircraft]]-B295)/B295</f>
        <v/>
      </c>
    </row>
    <row r="297">
      <c r="A297" s="74" t="n">
        <v>42491</v>
      </c>
      <c r="B297" s="75">
        <f>VLOOKUP(A297,Database!A:M,MATCH($A$1,Database!$A$1:$M$1,),)</f>
        <v/>
      </c>
      <c r="C297" s="118">
        <f>(Table535[[#This Row],[New Orders - Nondefense Capital Goods Excluding Aircraft]]-B296)/B296</f>
        <v/>
      </c>
    </row>
    <row r="298">
      <c r="A298" s="74" t="n">
        <v>42522</v>
      </c>
      <c r="B298" s="75">
        <f>VLOOKUP(A298,Database!A:M,MATCH($A$1,Database!$A$1:$M$1,),)</f>
        <v/>
      </c>
      <c r="C298" s="118">
        <f>(Table535[[#This Row],[New Orders - Nondefense Capital Goods Excluding Aircraft]]-B297)/B297</f>
        <v/>
      </c>
    </row>
    <row r="299">
      <c r="A299" s="74" t="n">
        <v>42552</v>
      </c>
      <c r="B299" s="75">
        <f>VLOOKUP(A299,Database!A:M,MATCH($A$1,Database!$A$1:$M$1,),)</f>
        <v/>
      </c>
      <c r="C299" s="118">
        <f>(Table535[[#This Row],[New Orders - Nondefense Capital Goods Excluding Aircraft]]-B298)/B298</f>
        <v/>
      </c>
    </row>
    <row r="300">
      <c r="A300" s="74" t="n">
        <v>42583</v>
      </c>
      <c r="B300" s="75">
        <f>VLOOKUP(A300,Database!A:M,MATCH($A$1,Database!$A$1:$M$1,),)</f>
        <v/>
      </c>
      <c r="C300" s="118">
        <f>(Table535[[#This Row],[New Orders - Nondefense Capital Goods Excluding Aircraft]]-B299)/B299</f>
        <v/>
      </c>
    </row>
    <row r="301">
      <c r="A301" s="74" t="n">
        <v>42614</v>
      </c>
      <c r="B301" s="75">
        <f>VLOOKUP(A301,Database!A:M,MATCH($A$1,Database!$A$1:$M$1,),)</f>
        <v/>
      </c>
      <c r="C301" s="118">
        <f>(Table535[[#This Row],[New Orders - Nondefense Capital Goods Excluding Aircraft]]-B300)/B300</f>
        <v/>
      </c>
    </row>
    <row r="302">
      <c r="A302" s="74" t="n">
        <v>42644</v>
      </c>
      <c r="B302" s="75">
        <f>VLOOKUP(A302,Database!A:M,MATCH($A$1,Database!$A$1:$M$1,),)</f>
        <v/>
      </c>
      <c r="C302" s="118">
        <f>(Table535[[#This Row],[New Orders - Nondefense Capital Goods Excluding Aircraft]]-B301)/B301</f>
        <v/>
      </c>
    </row>
    <row r="303">
      <c r="A303" s="74" t="n">
        <v>42675</v>
      </c>
      <c r="B303" s="75">
        <f>VLOOKUP(A303,Database!A:M,MATCH($A$1,Database!$A$1:$M$1,),)</f>
        <v/>
      </c>
      <c r="C303" s="118">
        <f>(Table535[[#This Row],[New Orders - Nondefense Capital Goods Excluding Aircraft]]-B302)/B302</f>
        <v/>
      </c>
    </row>
    <row r="304">
      <c r="A304" s="74" t="n">
        <v>42705</v>
      </c>
      <c r="B304" s="75">
        <f>VLOOKUP(A304,Database!A:M,MATCH($A$1,Database!$A$1:$M$1,),)</f>
        <v/>
      </c>
      <c r="C304" s="118">
        <f>(Table535[[#This Row],[New Orders - Nondefense Capital Goods Excluding Aircraft]]-B303)/B303</f>
        <v/>
      </c>
    </row>
    <row r="305">
      <c r="A305" s="74" t="n">
        <v>42736</v>
      </c>
      <c r="B305" s="75">
        <f>VLOOKUP(A305,Database!A:M,MATCH($A$1,Database!$A$1:$M$1,),)</f>
        <v/>
      </c>
      <c r="C305" s="118">
        <f>(Table535[[#This Row],[New Orders - Nondefense Capital Goods Excluding Aircraft]]-B304)/B304</f>
        <v/>
      </c>
    </row>
    <row r="306">
      <c r="A306" s="74" t="n">
        <v>42767</v>
      </c>
      <c r="B306" s="75">
        <f>VLOOKUP(A306,Database!A:M,MATCH($A$1,Database!$A$1:$M$1,),)</f>
        <v/>
      </c>
      <c r="C306" s="118">
        <f>(Table535[[#This Row],[New Orders - Nondefense Capital Goods Excluding Aircraft]]-B305)/B305</f>
        <v/>
      </c>
    </row>
    <row r="307">
      <c r="A307" s="74" t="n">
        <v>42795</v>
      </c>
      <c r="B307" s="75">
        <f>VLOOKUP(A307,Database!A:M,MATCH($A$1,Database!$A$1:$M$1,),)</f>
        <v/>
      </c>
      <c r="C307" s="118">
        <f>(Table535[[#This Row],[New Orders - Nondefense Capital Goods Excluding Aircraft]]-B306)/B306</f>
        <v/>
      </c>
    </row>
    <row r="308">
      <c r="A308" s="74" t="n">
        <v>42826</v>
      </c>
      <c r="B308" s="75">
        <f>VLOOKUP(A308,Database!A:M,MATCH($A$1,Database!$A$1:$M$1,),)</f>
        <v/>
      </c>
      <c r="C308" s="118">
        <f>(Table535[[#This Row],[New Orders - Nondefense Capital Goods Excluding Aircraft]]-B307)/B307</f>
        <v/>
      </c>
    </row>
    <row r="309">
      <c r="A309" s="74" t="n">
        <v>42856</v>
      </c>
      <c r="B309" s="75">
        <f>VLOOKUP(A309,Database!A:M,MATCH($A$1,Database!$A$1:$M$1,),)</f>
        <v/>
      </c>
      <c r="C309" s="118">
        <f>(Table535[[#This Row],[New Orders - Nondefense Capital Goods Excluding Aircraft]]-B308)/B308</f>
        <v/>
      </c>
    </row>
    <row r="310">
      <c r="A310" s="74" t="n">
        <v>42887</v>
      </c>
      <c r="B310" s="75">
        <f>VLOOKUP(A310,Database!A:M,MATCH($A$1,Database!$A$1:$M$1,),)</f>
        <v/>
      </c>
      <c r="C310" s="118">
        <f>(Table535[[#This Row],[New Orders - Nondefense Capital Goods Excluding Aircraft]]-B309)/B309</f>
        <v/>
      </c>
    </row>
    <row r="311">
      <c r="A311" s="74" t="n">
        <v>42917</v>
      </c>
      <c r="B311" s="75">
        <f>VLOOKUP(A311,Database!A:M,MATCH($A$1,Database!$A$1:$M$1,),)</f>
        <v/>
      </c>
      <c r="C311" s="118">
        <f>(Table535[[#This Row],[New Orders - Nondefense Capital Goods Excluding Aircraft]]-B310)/B310</f>
        <v/>
      </c>
    </row>
    <row r="312">
      <c r="A312" s="74" t="n">
        <v>42948</v>
      </c>
      <c r="B312" s="75">
        <f>VLOOKUP(A312,Database!A:M,MATCH($A$1,Database!$A$1:$M$1,),)</f>
        <v/>
      </c>
      <c r="C312" s="118">
        <f>(Table535[[#This Row],[New Orders - Nondefense Capital Goods Excluding Aircraft]]-B311)/B311</f>
        <v/>
      </c>
    </row>
    <row r="313">
      <c r="A313" s="74" t="n">
        <v>42979</v>
      </c>
      <c r="B313" s="75">
        <f>VLOOKUP(A313,Database!A:M,MATCH($A$1,Database!$A$1:$M$1,),)</f>
        <v/>
      </c>
      <c r="C313" s="118">
        <f>(Table535[[#This Row],[New Orders - Nondefense Capital Goods Excluding Aircraft]]-B312)/B312</f>
        <v/>
      </c>
    </row>
    <row r="314">
      <c r="A314" s="74" t="n">
        <v>43009</v>
      </c>
      <c r="B314" s="75">
        <f>VLOOKUP(A314,Database!A:M,MATCH($A$1,Database!$A$1:$M$1,),)</f>
        <v/>
      </c>
      <c r="C314" s="118">
        <f>(Table535[[#This Row],[New Orders - Nondefense Capital Goods Excluding Aircraft]]-B313)/B313</f>
        <v/>
      </c>
    </row>
    <row r="315">
      <c r="A315" s="74" t="n">
        <v>43040</v>
      </c>
      <c r="B315" s="75">
        <f>VLOOKUP(A315,Database!A:M,MATCH($A$1,Database!$A$1:$M$1,),)</f>
        <v/>
      </c>
      <c r="C315" s="118">
        <f>(Table535[[#This Row],[New Orders - Nondefense Capital Goods Excluding Aircraft]]-B314)/B314</f>
        <v/>
      </c>
    </row>
    <row r="316">
      <c r="A316" s="74" t="n">
        <v>43070</v>
      </c>
      <c r="B316" s="75">
        <f>VLOOKUP(A316,Database!A:M,MATCH($A$1,Database!$A$1:$M$1,),)</f>
        <v/>
      </c>
      <c r="C316" s="118">
        <f>(Table535[[#This Row],[New Orders - Nondefense Capital Goods Excluding Aircraft]]-B315)/B315</f>
        <v/>
      </c>
    </row>
    <row r="317">
      <c r="A317" s="74" t="n">
        <v>43101</v>
      </c>
      <c r="B317" s="75">
        <f>VLOOKUP(A317,Database!A:M,MATCH($A$1,Database!$A$1:$M$1,),)</f>
        <v/>
      </c>
      <c r="C317" s="118">
        <f>(Table535[[#This Row],[New Orders - Nondefense Capital Goods Excluding Aircraft]]-B316)/B316</f>
        <v/>
      </c>
    </row>
    <row r="318">
      <c r="A318" s="74" t="n">
        <v>43132</v>
      </c>
      <c r="B318" s="75">
        <f>VLOOKUP(A318,Database!A:M,MATCH($A$1,Database!$A$1:$M$1,),)</f>
        <v/>
      </c>
      <c r="C318" s="118">
        <f>(Table535[[#This Row],[New Orders - Nondefense Capital Goods Excluding Aircraft]]-B317)/B317</f>
        <v/>
      </c>
    </row>
    <row r="319">
      <c r="A319" s="74" t="n">
        <v>43160</v>
      </c>
      <c r="B319" s="75">
        <f>VLOOKUP(A319,Database!A:M,MATCH($A$1,Database!$A$1:$M$1,),)</f>
        <v/>
      </c>
      <c r="C319" s="118">
        <f>(Table535[[#This Row],[New Orders - Nondefense Capital Goods Excluding Aircraft]]-B318)/B318</f>
        <v/>
      </c>
    </row>
    <row r="320">
      <c r="A320" s="74" t="n">
        <v>43191</v>
      </c>
      <c r="B320" s="75">
        <f>VLOOKUP(A320,Database!A:M,MATCH($A$1,Database!$A$1:$M$1,),)</f>
        <v/>
      </c>
      <c r="C320" s="118">
        <f>(Table535[[#This Row],[New Orders - Nondefense Capital Goods Excluding Aircraft]]-B319)/B319</f>
        <v/>
      </c>
    </row>
    <row r="321">
      <c r="A321" s="74" t="n">
        <v>43221</v>
      </c>
      <c r="B321" s="75">
        <f>VLOOKUP(A321,Database!A:M,MATCH($A$1,Database!$A$1:$M$1,),)</f>
        <v/>
      </c>
      <c r="C321" s="118">
        <f>(Table535[[#This Row],[New Orders - Nondefense Capital Goods Excluding Aircraft]]-B320)/B320</f>
        <v/>
      </c>
    </row>
    <row r="322">
      <c r="A322" s="74" t="n">
        <v>43252</v>
      </c>
      <c r="B322" s="75">
        <f>VLOOKUP(A322,Database!A:M,MATCH($A$1,Database!$A$1:$M$1,),)</f>
        <v/>
      </c>
      <c r="C322" s="118">
        <f>(Table535[[#This Row],[New Orders - Nondefense Capital Goods Excluding Aircraft]]-B321)/B321</f>
        <v/>
      </c>
    </row>
    <row r="323">
      <c r="A323" s="74" t="n">
        <v>43282</v>
      </c>
      <c r="B323" s="75">
        <f>VLOOKUP(A323,Database!A:M,MATCH($A$1,Database!$A$1:$M$1,),)</f>
        <v/>
      </c>
      <c r="C323" s="118">
        <f>(Table535[[#This Row],[New Orders - Nondefense Capital Goods Excluding Aircraft]]-B322)/B322</f>
        <v/>
      </c>
    </row>
    <row r="324">
      <c r="A324" s="74" t="n">
        <v>43313</v>
      </c>
      <c r="B324" s="75">
        <f>VLOOKUP(A324,Database!A:M,MATCH($A$1,Database!$A$1:$M$1,),)</f>
        <v/>
      </c>
      <c r="C324" s="118">
        <f>(Table535[[#This Row],[New Orders - Nondefense Capital Goods Excluding Aircraft]]-B323)/B323</f>
        <v/>
      </c>
    </row>
    <row r="325">
      <c r="A325" s="74" t="n">
        <v>43344</v>
      </c>
      <c r="B325" s="75">
        <f>VLOOKUP(A325,Database!A:M,MATCH($A$1,Database!$A$1:$M$1,),)</f>
        <v/>
      </c>
      <c r="C325" s="118">
        <f>(Table535[[#This Row],[New Orders - Nondefense Capital Goods Excluding Aircraft]]-B324)/B324</f>
        <v/>
      </c>
    </row>
    <row r="326">
      <c r="A326" s="74" t="n">
        <v>43374</v>
      </c>
      <c r="B326" s="75">
        <f>VLOOKUP(A326,Database!A:M,MATCH($A$1,Database!$A$1:$M$1,),)</f>
        <v/>
      </c>
      <c r="C326" s="118">
        <f>(Table535[[#This Row],[New Orders - Nondefense Capital Goods Excluding Aircraft]]-B325)/B325</f>
        <v/>
      </c>
    </row>
    <row r="327">
      <c r="A327" s="74" t="n">
        <v>43405</v>
      </c>
      <c r="B327" s="75">
        <f>VLOOKUP(A327,Database!A:M,MATCH($A$1,Database!$A$1:$M$1,),)</f>
        <v/>
      </c>
      <c r="C327" s="118">
        <f>(Table535[[#This Row],[New Orders - Nondefense Capital Goods Excluding Aircraft]]-B326)/B326</f>
        <v/>
      </c>
    </row>
    <row r="328">
      <c r="A328" s="74" t="n">
        <v>43435</v>
      </c>
      <c r="B328" s="75">
        <f>VLOOKUP(A328,Database!A:M,MATCH($A$1,Database!$A$1:$M$1,),)</f>
        <v/>
      </c>
      <c r="C328" s="118">
        <f>(Table535[[#This Row],[New Orders - Nondefense Capital Goods Excluding Aircraft]]-B327)/B327</f>
        <v/>
      </c>
    </row>
    <row r="329">
      <c r="A329" s="74" t="n">
        <v>43466</v>
      </c>
      <c r="B329" s="75">
        <f>VLOOKUP(A329,Database!A:M,MATCH($A$1,Database!$A$1:$M$1,),)</f>
        <v/>
      </c>
      <c r="C329" s="118">
        <f>(Table535[[#This Row],[New Orders - Nondefense Capital Goods Excluding Aircraft]]-B328)/B328</f>
        <v/>
      </c>
    </row>
    <row r="330">
      <c r="A330" s="74" t="n">
        <v>43497</v>
      </c>
      <c r="B330" s="75">
        <f>VLOOKUP(A330,Database!A:M,MATCH($A$1,Database!$A$1:$M$1,),)</f>
        <v/>
      </c>
      <c r="C330" s="118">
        <f>(Table535[[#This Row],[New Orders - Nondefense Capital Goods Excluding Aircraft]]-B329)/B329</f>
        <v/>
      </c>
    </row>
    <row r="331">
      <c r="A331" s="74" t="n">
        <v>43525</v>
      </c>
      <c r="B331" s="75">
        <f>VLOOKUP(A331,Database!A:M,MATCH($A$1,Database!$A$1:$M$1,),)</f>
        <v/>
      </c>
      <c r="C331" s="118">
        <f>(Table535[[#This Row],[New Orders - Nondefense Capital Goods Excluding Aircraft]]-B330)/B330</f>
        <v/>
      </c>
    </row>
    <row r="332">
      <c r="A332" s="74" t="n">
        <v>43556</v>
      </c>
      <c r="B332" s="75">
        <f>VLOOKUP(A332,Database!A:M,MATCH($A$1,Database!$A$1:$M$1,),)</f>
        <v/>
      </c>
      <c r="C332" s="118">
        <f>(Table535[[#This Row],[New Orders - Nondefense Capital Goods Excluding Aircraft]]-B331)/B331</f>
        <v/>
      </c>
    </row>
    <row r="333">
      <c r="A333" s="74" t="n">
        <v>43586</v>
      </c>
      <c r="B333" s="75">
        <f>VLOOKUP(A333,Database!A:M,MATCH($A$1,Database!$A$1:$M$1,),)</f>
        <v/>
      </c>
      <c r="C333" s="118">
        <f>(Table535[[#This Row],[New Orders - Nondefense Capital Goods Excluding Aircraft]]-B332)/B332</f>
        <v/>
      </c>
    </row>
    <row r="334">
      <c r="A334" s="74" t="n">
        <v>43617</v>
      </c>
      <c r="B334" s="75">
        <f>VLOOKUP(A334,Database!A:M,MATCH($A$1,Database!$A$1:$M$1,),)</f>
        <v/>
      </c>
      <c r="C334" s="118">
        <f>(Table535[[#This Row],[New Orders - Nondefense Capital Goods Excluding Aircraft]]-B333)/B333</f>
        <v/>
      </c>
    </row>
    <row r="335">
      <c r="A335" s="74" t="n">
        <v>43647</v>
      </c>
      <c r="B335" s="75">
        <f>VLOOKUP(A335,Database!A:M,MATCH($A$1,Database!$A$1:$M$1,),)</f>
        <v/>
      </c>
      <c r="C335" s="118">
        <f>(Table535[[#This Row],[New Orders - Nondefense Capital Goods Excluding Aircraft]]-B334)/B334</f>
        <v/>
      </c>
    </row>
    <row r="336">
      <c r="A336" s="74" t="n">
        <v>43678</v>
      </c>
      <c r="B336" s="75">
        <f>VLOOKUP(A336,Database!A:M,MATCH($A$1,Database!$A$1:$M$1,),)</f>
        <v/>
      </c>
      <c r="C336" s="118">
        <f>(Table535[[#This Row],[New Orders - Nondefense Capital Goods Excluding Aircraft]]-B335)/B335</f>
        <v/>
      </c>
    </row>
    <row r="337">
      <c r="A337" s="74" t="n">
        <v>43709</v>
      </c>
      <c r="B337" s="75">
        <f>VLOOKUP(A337,Database!A:M,MATCH($A$1,Database!$A$1:$M$1,),)</f>
        <v/>
      </c>
      <c r="C337" s="118">
        <f>(Table535[[#This Row],[New Orders - Nondefense Capital Goods Excluding Aircraft]]-B336)/B336</f>
        <v/>
      </c>
    </row>
    <row r="338">
      <c r="A338" s="74" t="n">
        <v>43739</v>
      </c>
      <c r="B338" s="75">
        <f>VLOOKUP(A338,Database!A:M,MATCH($A$1,Database!$A$1:$M$1,),)</f>
        <v/>
      </c>
      <c r="C338" s="118">
        <f>(Table535[[#This Row],[New Orders - Nondefense Capital Goods Excluding Aircraft]]-B337)/B337</f>
        <v/>
      </c>
    </row>
    <row r="339">
      <c r="A339" s="74" t="n">
        <v>43770</v>
      </c>
      <c r="B339" s="75">
        <f>VLOOKUP(A339,Database!A:M,MATCH($A$1,Database!$A$1:$M$1,),)</f>
        <v/>
      </c>
      <c r="C339" s="118">
        <f>(Table535[[#This Row],[New Orders - Nondefense Capital Goods Excluding Aircraft]]-B338)/B338</f>
        <v/>
      </c>
    </row>
    <row r="340">
      <c r="A340" s="74" t="n">
        <v>43800</v>
      </c>
      <c r="B340" s="75">
        <f>VLOOKUP(A340,Database!A:M,MATCH($A$1,Database!$A$1:$M$1,),)</f>
        <v/>
      </c>
      <c r="C340" s="118">
        <f>(Table535[[#This Row],[New Orders - Nondefense Capital Goods Excluding Aircraft]]-B339)/B339</f>
        <v/>
      </c>
    </row>
    <row r="341">
      <c r="A341" s="74" t="n">
        <v>43831</v>
      </c>
      <c r="B341" s="75">
        <f>VLOOKUP(A341,Database!A:M,MATCH($A$1,Database!$A$1:$M$1,),)</f>
        <v/>
      </c>
      <c r="C341" s="118">
        <f>(Table535[[#This Row],[New Orders - Nondefense Capital Goods Excluding Aircraft]]-B340)/B340</f>
        <v/>
      </c>
    </row>
    <row r="342">
      <c r="A342" s="74" t="n">
        <v>43862</v>
      </c>
      <c r="B342" s="75">
        <f>VLOOKUP(A342,Database!A:M,MATCH($A$1,Database!$A$1:$M$1,),)</f>
        <v/>
      </c>
      <c r="C342" s="118">
        <f>(Table535[[#This Row],[New Orders - Nondefense Capital Goods Excluding Aircraft]]-B341)/B341</f>
        <v/>
      </c>
    </row>
    <row r="343">
      <c r="A343" s="74" t="n">
        <v>43891</v>
      </c>
      <c r="B343" s="75">
        <f>VLOOKUP(A343,Database!A:M,MATCH($A$1,Database!$A$1:$M$1,),)</f>
        <v/>
      </c>
      <c r="C343" s="118">
        <f>(Table535[[#This Row],[New Orders - Nondefense Capital Goods Excluding Aircraft]]-B342)/B342</f>
        <v/>
      </c>
    </row>
    <row r="344">
      <c r="A344" s="74" t="n">
        <v>43922</v>
      </c>
      <c r="B344" s="75">
        <f>VLOOKUP(A344,Database!A:M,MATCH($A$1,Database!$A$1:$M$1,),)</f>
        <v/>
      </c>
      <c r="C344" s="118">
        <f>(Table535[[#This Row],[New Orders - Nondefense Capital Goods Excluding Aircraft]]-B343)/B343</f>
        <v/>
      </c>
    </row>
    <row r="345">
      <c r="A345" s="74" t="n">
        <v>43952</v>
      </c>
      <c r="B345" s="75">
        <f>VLOOKUP(A345,Database!A:M,MATCH($A$1,Database!$A$1:$M$1,),)</f>
        <v/>
      </c>
      <c r="C345" s="118">
        <f>(Table535[[#This Row],[New Orders - Nondefense Capital Goods Excluding Aircraft]]-B344)/B344</f>
        <v/>
      </c>
    </row>
    <row r="346">
      <c r="A346" s="74" t="n">
        <v>43983</v>
      </c>
      <c r="B346" s="75">
        <f>VLOOKUP(A346,Database!A:M,MATCH($A$1,Database!$A$1:$M$1,),)</f>
        <v/>
      </c>
      <c r="C346" s="118">
        <f>(Table535[[#This Row],[New Orders - Nondefense Capital Goods Excluding Aircraft]]-B345)/B345</f>
        <v/>
      </c>
    </row>
    <row r="347">
      <c r="A347" s="74" t="n">
        <v>44013</v>
      </c>
      <c r="B347" s="75">
        <f>VLOOKUP(A347,Database!A:M,MATCH($A$1,Database!$A$1:$M$1,),)</f>
        <v/>
      </c>
      <c r="C347" s="118">
        <f>(Table535[[#This Row],[New Orders - Nondefense Capital Goods Excluding Aircraft]]-B346)/B346</f>
        <v/>
      </c>
    </row>
    <row r="348">
      <c r="A348" s="74" t="n">
        <v>44044</v>
      </c>
      <c r="B348" s="75">
        <f>VLOOKUP(A348,Database!A:M,MATCH($A$1,Database!$A$1:$M$1,),)</f>
        <v/>
      </c>
      <c r="C348" s="118">
        <f>(Table535[[#This Row],[New Orders - Nondefense Capital Goods Excluding Aircraft]]-B347)/B347</f>
        <v/>
      </c>
    </row>
    <row r="349">
      <c r="A349" s="74" t="n">
        <v>44075</v>
      </c>
      <c r="B349" s="75">
        <f>VLOOKUP(A349,Database!A:M,MATCH($A$1,Database!$A$1:$M$1,),)</f>
        <v/>
      </c>
      <c r="C349" s="118">
        <f>(Table535[[#This Row],[New Orders - Nondefense Capital Goods Excluding Aircraft]]-B348)/B348</f>
        <v/>
      </c>
    </row>
    <row r="350">
      <c r="A350" s="74" t="n">
        <v>44105</v>
      </c>
      <c r="B350" s="75">
        <f>VLOOKUP(A350,Database!A:M,MATCH($A$1,Database!$A$1:$M$1,),)</f>
        <v/>
      </c>
      <c r="C350" s="118">
        <f>(Table535[[#This Row],[New Orders - Nondefense Capital Goods Excluding Aircraft]]-B349)/B349</f>
        <v/>
      </c>
    </row>
    <row r="351">
      <c r="A351" s="74" t="n">
        <v>44136</v>
      </c>
      <c r="B351" s="75">
        <f>VLOOKUP(A351,Database!A:M,MATCH($A$1,Database!$A$1:$M$1,),)</f>
        <v/>
      </c>
      <c r="C351" s="118">
        <f>(Table535[[#This Row],[New Orders - Nondefense Capital Goods Excluding Aircraft]]-B350)/B350</f>
        <v/>
      </c>
    </row>
    <row r="352">
      <c r="A352" s="74" t="n">
        <v>44166</v>
      </c>
      <c r="B352" s="75">
        <f>VLOOKUP(A352,Database!A:M,MATCH($A$1,Database!$A$1:$M$1,),)</f>
        <v/>
      </c>
      <c r="C352" s="118">
        <f>(Table535[[#This Row],[New Orders - Nondefense Capital Goods Excluding Aircraft]]-B351)/B351</f>
        <v/>
      </c>
    </row>
    <row r="353">
      <c r="A353" s="74" t="n">
        <v>44197</v>
      </c>
      <c r="B353" s="75">
        <f>VLOOKUP(A353,Database!A:M,MATCH($A$1,Database!$A$1:$M$1,),)</f>
        <v/>
      </c>
      <c r="C353" s="118">
        <f>(Table535[[#This Row],[New Orders - Nondefense Capital Goods Excluding Aircraft]]-B352)/B352</f>
        <v/>
      </c>
    </row>
    <row r="354">
      <c r="A354" s="74" t="n">
        <v>44228</v>
      </c>
      <c r="B354" s="75">
        <f>VLOOKUP(A354,Database!A:M,MATCH($A$1,Database!$A$1:$M$1,),)</f>
        <v/>
      </c>
      <c r="C354" s="118">
        <f>(Table535[[#This Row],[New Orders - Nondefense Capital Goods Excluding Aircraft]]-B353)/B353</f>
        <v/>
      </c>
    </row>
    <row r="355">
      <c r="A355" s="74" t="n">
        <v>44256</v>
      </c>
      <c r="B355" s="75">
        <f>VLOOKUP(A355,Database!A:M,MATCH($A$1,Database!$A$1:$M$1,),)</f>
        <v/>
      </c>
      <c r="C355" s="118">
        <f>(Table535[[#This Row],[New Orders - Nondefense Capital Goods Excluding Aircraft]]-B354)/B354</f>
        <v/>
      </c>
    </row>
    <row r="356">
      <c r="A356" s="74" t="n">
        <v>44287</v>
      </c>
      <c r="B356" s="75">
        <f>VLOOKUP(A356,Database!A:M,MATCH($A$1,Database!$A$1:$M$1,),)</f>
        <v/>
      </c>
      <c r="C356" s="118">
        <f>(Table535[[#This Row],[New Orders - Nondefense Capital Goods Excluding Aircraft]]-B355)/B355</f>
        <v/>
      </c>
    </row>
    <row r="357">
      <c r="A357" s="74" t="n">
        <v>44317</v>
      </c>
      <c r="B357" s="75">
        <f>VLOOKUP(A357,Database!A:M,MATCH($A$1,Database!$A$1:$M$1,),)</f>
        <v/>
      </c>
      <c r="C357" s="118">
        <f>(Table535[[#This Row],[New Orders - Nondefense Capital Goods Excluding Aircraft]]-B356)/B356</f>
        <v/>
      </c>
    </row>
    <row r="358">
      <c r="A358" s="74" t="n">
        <v>44348</v>
      </c>
      <c r="B358" s="75">
        <f>VLOOKUP(A358,Database!A:M,MATCH($A$1,Database!$A$1:$M$1,),)</f>
        <v/>
      </c>
      <c r="C358" s="118">
        <f>(Table535[[#This Row],[New Orders - Nondefense Capital Goods Excluding Aircraft]]-B357)/B357</f>
        <v/>
      </c>
    </row>
    <row r="359">
      <c r="A359" s="74" t="n">
        <v>44378</v>
      </c>
      <c r="B359" s="75">
        <f>VLOOKUP(A359,Database!A:M,MATCH($A$1,Database!$A$1:$M$1,),)</f>
        <v/>
      </c>
      <c r="C359" s="118">
        <f>(Table535[[#This Row],[New Orders - Nondefense Capital Goods Excluding Aircraft]]-B358)/B358</f>
        <v/>
      </c>
    </row>
    <row r="360">
      <c r="A360" s="74" t="n">
        <v>44409</v>
      </c>
      <c r="B360" s="75">
        <f>VLOOKUP(A360,Database!A:M,MATCH($A$1,Database!$A$1:$M$1,),)</f>
        <v/>
      </c>
      <c r="C360" s="118">
        <f>(Table535[[#This Row],[New Orders - Nondefense Capital Goods Excluding Aircraft]]-B359)/B359</f>
        <v/>
      </c>
    </row>
    <row r="361">
      <c r="A361" s="74" t="n">
        <v>44440</v>
      </c>
      <c r="B361" s="75">
        <f>VLOOKUP(A361,Database!A:M,MATCH($A$1,Database!$A$1:$M$1,),)</f>
        <v/>
      </c>
      <c r="C361" s="118">
        <f>(Table535[[#This Row],[New Orders - Nondefense Capital Goods Excluding Aircraft]]-B360)/B360</f>
        <v/>
      </c>
    </row>
    <row r="362">
      <c r="A362" s="74" t="n">
        <v>44470</v>
      </c>
      <c r="B362" s="75">
        <f>VLOOKUP(A362,Database!A:M,MATCH($A$1,Database!$A$1:$M$1,),)</f>
        <v/>
      </c>
      <c r="C362" s="118">
        <f>(Table535[[#This Row],[New Orders - Nondefense Capital Goods Excluding Aircraft]]-B361)/B361</f>
        <v/>
      </c>
    </row>
    <row r="363">
      <c r="A363" s="74" t="n">
        <v>44501</v>
      </c>
      <c r="B363" s="75">
        <f>VLOOKUP(A363,Database!A:M,MATCH($A$1,Database!$A$1:$M$1,),)</f>
        <v/>
      </c>
      <c r="C363" s="118">
        <f>(Table535[[#This Row],[New Orders - Nondefense Capital Goods Excluding Aircraft]]-B362)/B362</f>
        <v/>
      </c>
    </row>
    <row r="364">
      <c r="A364" s="74" t="n">
        <v>44531</v>
      </c>
      <c r="B364" s="75">
        <f>VLOOKUP(A364,Database!A:M,MATCH($A$1,Database!$A$1:$M$1,),)</f>
        <v/>
      </c>
      <c r="C364" s="118">
        <f>(Table535[[#This Row],[New Orders - Nondefense Capital Goods Excluding Aircraft]]-B363)/B363</f>
        <v/>
      </c>
    </row>
    <row r="365">
      <c r="A365" s="74" t="n">
        <v>44562</v>
      </c>
      <c r="B365" s="75">
        <f>VLOOKUP(A365,Database!A:M,MATCH($A$1,Database!$A$1:$M$1,),)</f>
        <v/>
      </c>
      <c r="C365" s="118">
        <f>(Table535[[#This Row],[New Orders - Nondefense Capital Goods Excluding Aircraft]]-B364)/B364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5"/>
  <sheetViews>
    <sheetView zoomScale="160" zoomScaleNormal="160" workbookViewId="0">
      <pane ySplit="5" topLeftCell="A338" activePane="bottomLeft" state="frozen"/>
      <selection pane="bottomLeft" activeCell="W367" sqref="W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6" t="inlineStr">
        <is>
          <t>mom %</t>
        </is>
      </c>
    </row>
    <row r="6">
      <c r="A6" s="74" t="n">
        <v>33635</v>
      </c>
      <c r="B6" s="75">
        <f>VLOOKUP(A6,Database!A:M,MATCH($A$1,Database!$A$1:$M$1,),)</f>
        <v/>
      </c>
      <c r="C6" s="117" t="n"/>
    </row>
    <row r="7">
      <c r="A7" s="74" t="n">
        <v>33664</v>
      </c>
      <c r="B7" s="75">
        <f>VLOOKUP(A7,Database!A:M,MATCH($A$1,Database!$A$1:$M$1,),)</f>
        <v/>
      </c>
      <c r="C7" s="118">
        <f>(Table53514[[#This Row],[Manufacturers'' New Orders: Durable Goods]]-B6)/B6</f>
        <v/>
      </c>
    </row>
    <row r="8">
      <c r="A8" s="74" t="n">
        <v>33695</v>
      </c>
      <c r="B8" s="75">
        <f>VLOOKUP(A8,Database!A:M,MATCH($A$1,Database!$A$1:$M$1,),)</f>
        <v/>
      </c>
      <c r="C8" s="118">
        <f>(Table53514[[#This Row],[Manufacturers'' New Orders: Durable Goods]]-B7)/B7</f>
        <v/>
      </c>
    </row>
    <row r="9">
      <c r="A9" s="74" t="n">
        <v>33725</v>
      </c>
      <c r="B9" s="75">
        <f>VLOOKUP(A9,Database!A:M,MATCH($A$1,Database!$A$1:$M$1,),)</f>
        <v/>
      </c>
      <c r="C9" s="118">
        <f>(Table53514[[#This Row],[Manufacturers'' New Orders: Durable Goods]]-B8)/B8</f>
        <v/>
      </c>
    </row>
    <row r="10">
      <c r="A10" s="74" t="n">
        <v>33756</v>
      </c>
      <c r="B10" s="75">
        <f>VLOOKUP(A10,Database!A:M,MATCH($A$1,Database!$A$1:$M$1,),)</f>
        <v/>
      </c>
      <c r="C10" s="118">
        <f>(Table53514[[#This Row],[Manufacturers'' New Orders: Durable Goods]]-B9)/B9</f>
        <v/>
      </c>
    </row>
    <row r="11">
      <c r="A11" s="74" t="n">
        <v>33786</v>
      </c>
      <c r="B11" s="75">
        <f>VLOOKUP(A11,Database!A:M,MATCH($A$1,Database!$A$1:$M$1,),)</f>
        <v/>
      </c>
      <c r="C11" s="118">
        <f>(Table53514[[#This Row],[Manufacturers'' New Orders: Durable Goods]]-B10)/B10</f>
        <v/>
      </c>
    </row>
    <row r="12">
      <c r="A12" s="74" t="n">
        <v>33817</v>
      </c>
      <c r="B12" s="75">
        <f>VLOOKUP(A12,Database!A:M,MATCH($A$1,Database!$A$1:$M$1,),)</f>
        <v/>
      </c>
      <c r="C12" s="118">
        <f>(Table53514[[#This Row],[Manufacturers'' New Orders: Durable Goods]]-B11)/B11</f>
        <v/>
      </c>
    </row>
    <row r="13">
      <c r="A13" s="74" t="n">
        <v>33848</v>
      </c>
      <c r="B13" s="75">
        <f>VLOOKUP(A13,Database!A:M,MATCH($A$1,Database!$A$1:$M$1,),)</f>
        <v/>
      </c>
      <c r="C13" s="118">
        <f>(Table53514[[#This Row],[Manufacturers'' New Orders: Durable Goods]]-B12)/B12</f>
        <v/>
      </c>
    </row>
    <row r="14">
      <c r="A14" s="74" t="n">
        <v>33878</v>
      </c>
      <c r="B14" s="75">
        <f>VLOOKUP(A14,Database!A:M,MATCH($A$1,Database!$A$1:$M$1,),)</f>
        <v/>
      </c>
      <c r="C14" s="118">
        <f>(Table53514[[#This Row],[Manufacturers'' New Orders: Durable Goods]]-B13)/B13</f>
        <v/>
      </c>
    </row>
    <row r="15">
      <c r="A15" s="74" t="n">
        <v>33909</v>
      </c>
      <c r="B15" s="75">
        <f>VLOOKUP(A15,Database!A:M,MATCH($A$1,Database!$A$1:$M$1,),)</f>
        <v/>
      </c>
      <c r="C15" s="118">
        <f>(Table53514[[#This Row],[Manufacturers'' New Orders: Durable Goods]]-B14)/B14</f>
        <v/>
      </c>
    </row>
    <row r="16">
      <c r="A16" s="74" t="n">
        <v>33939</v>
      </c>
      <c r="B16" s="75">
        <f>VLOOKUP(A16,Database!A:M,MATCH($A$1,Database!$A$1:$M$1,),)</f>
        <v/>
      </c>
      <c r="C16" s="118">
        <f>(Table53514[[#This Row],[Manufacturers'' New Orders: Durable Goods]]-B15)/B15</f>
        <v/>
      </c>
    </row>
    <row r="17">
      <c r="A17" s="74" t="n">
        <v>33970</v>
      </c>
      <c r="B17" s="75">
        <f>VLOOKUP(A17,Database!A:M,MATCH($A$1,Database!$A$1:$M$1,),)</f>
        <v/>
      </c>
      <c r="C17" s="118">
        <f>(Table53514[[#This Row],[Manufacturers'' New Orders: Durable Goods]]-B16)/B16</f>
        <v/>
      </c>
    </row>
    <row r="18">
      <c r="A18" s="74" t="n">
        <v>34001</v>
      </c>
      <c r="B18" s="75">
        <f>VLOOKUP(A18,Database!A:M,MATCH($A$1,Database!$A$1:$M$1,),)</f>
        <v/>
      </c>
      <c r="C18" s="118">
        <f>(Table53514[[#This Row],[Manufacturers'' New Orders: Durable Goods]]-B17)/B17</f>
        <v/>
      </c>
    </row>
    <row r="19">
      <c r="A19" s="74" t="n">
        <v>34029</v>
      </c>
      <c r="B19" s="75">
        <f>VLOOKUP(A19,Database!A:M,MATCH($A$1,Database!$A$1:$M$1,),)</f>
        <v/>
      </c>
      <c r="C19" s="118">
        <f>(Table53514[[#This Row],[Manufacturers'' New Orders: Durable Goods]]-B18)/B18</f>
        <v/>
      </c>
    </row>
    <row r="20">
      <c r="A20" s="74" t="n">
        <v>34060</v>
      </c>
      <c r="B20" s="75">
        <f>VLOOKUP(A20,Database!A:M,MATCH($A$1,Database!$A$1:$M$1,),)</f>
        <v/>
      </c>
      <c r="C20" s="118">
        <f>(Table53514[[#This Row],[Manufacturers'' New Orders: Durable Goods]]-B19)/B19</f>
        <v/>
      </c>
    </row>
    <row r="21">
      <c r="A21" s="74" t="n">
        <v>34090</v>
      </c>
      <c r="B21" s="75">
        <f>VLOOKUP(A21,Database!A:M,MATCH($A$1,Database!$A$1:$M$1,),)</f>
        <v/>
      </c>
      <c r="C21" s="118">
        <f>(Table53514[[#This Row],[Manufacturers'' New Orders: Durable Goods]]-B20)/B20</f>
        <v/>
      </c>
    </row>
    <row r="22">
      <c r="A22" s="74" t="n">
        <v>34121</v>
      </c>
      <c r="B22" s="75">
        <f>VLOOKUP(A22,Database!A:M,MATCH($A$1,Database!$A$1:$M$1,),)</f>
        <v/>
      </c>
      <c r="C22" s="118">
        <f>(Table53514[[#This Row],[Manufacturers'' New Orders: Durable Goods]]-B21)/B21</f>
        <v/>
      </c>
    </row>
    <row r="23">
      <c r="A23" s="74" t="n">
        <v>34151</v>
      </c>
      <c r="B23" s="75">
        <f>VLOOKUP(A23,Database!A:M,MATCH($A$1,Database!$A$1:$M$1,),)</f>
        <v/>
      </c>
      <c r="C23" s="118">
        <f>(Table53514[[#This Row],[Manufacturers'' New Orders: Durable Goods]]-B22)/B22</f>
        <v/>
      </c>
    </row>
    <row r="24">
      <c r="A24" s="74" t="n">
        <v>34182</v>
      </c>
      <c r="B24" s="75">
        <f>VLOOKUP(A24,Database!A:M,MATCH($A$1,Database!$A$1:$M$1,),)</f>
        <v/>
      </c>
      <c r="C24" s="118">
        <f>(Table53514[[#This Row],[Manufacturers'' New Orders: Durable Goods]]-B23)/B23</f>
        <v/>
      </c>
    </row>
    <row r="25">
      <c r="A25" s="74" t="n">
        <v>34213</v>
      </c>
      <c r="B25" s="75">
        <f>VLOOKUP(A25,Database!A:M,MATCH($A$1,Database!$A$1:$M$1,),)</f>
        <v/>
      </c>
      <c r="C25" s="118">
        <f>(Table53514[[#This Row],[Manufacturers'' New Orders: Durable Goods]]-B24)/B24</f>
        <v/>
      </c>
    </row>
    <row r="26">
      <c r="A26" s="74" t="n">
        <v>34243</v>
      </c>
      <c r="B26" s="75">
        <f>VLOOKUP(A26,Database!A:M,MATCH($A$1,Database!$A$1:$M$1,),)</f>
        <v/>
      </c>
      <c r="C26" s="118">
        <f>(Table53514[[#This Row],[Manufacturers'' New Orders: Durable Goods]]-B25)/B25</f>
        <v/>
      </c>
    </row>
    <row r="27">
      <c r="A27" s="74" t="n">
        <v>34274</v>
      </c>
      <c r="B27" s="75">
        <f>VLOOKUP(A27,Database!A:M,MATCH($A$1,Database!$A$1:$M$1,),)</f>
        <v/>
      </c>
      <c r="C27" s="118">
        <f>(Table53514[[#This Row],[Manufacturers'' New Orders: Durable Goods]]-B26)/B26</f>
        <v/>
      </c>
    </row>
    <row r="28">
      <c r="A28" s="74" t="n">
        <v>34304</v>
      </c>
      <c r="B28" s="75">
        <f>VLOOKUP(A28,Database!A:M,MATCH($A$1,Database!$A$1:$M$1,),)</f>
        <v/>
      </c>
      <c r="C28" s="118">
        <f>(Table53514[[#This Row],[Manufacturers'' New Orders: Durable Goods]]-B27)/B27</f>
        <v/>
      </c>
    </row>
    <row r="29">
      <c r="A29" s="74" t="n">
        <v>34335</v>
      </c>
      <c r="B29" s="75">
        <f>VLOOKUP(A29,Database!A:M,MATCH($A$1,Database!$A$1:$M$1,),)</f>
        <v/>
      </c>
      <c r="C29" s="118">
        <f>(Table53514[[#This Row],[Manufacturers'' New Orders: Durable Goods]]-B28)/B28</f>
        <v/>
      </c>
    </row>
    <row r="30">
      <c r="A30" s="74" t="n">
        <v>34366</v>
      </c>
      <c r="B30" s="75">
        <f>VLOOKUP(A30,Database!A:M,MATCH($A$1,Database!$A$1:$M$1,),)</f>
        <v/>
      </c>
      <c r="C30" s="118">
        <f>(Table53514[[#This Row],[Manufacturers'' New Orders: Durable Goods]]-B29)/B29</f>
        <v/>
      </c>
    </row>
    <row r="31">
      <c r="A31" s="74" t="n">
        <v>34394</v>
      </c>
      <c r="B31" s="75">
        <f>VLOOKUP(A31,Database!A:M,MATCH($A$1,Database!$A$1:$M$1,),)</f>
        <v/>
      </c>
      <c r="C31" s="118">
        <f>(Table53514[[#This Row],[Manufacturers'' New Orders: Durable Goods]]-B30)/B30</f>
        <v/>
      </c>
    </row>
    <row r="32">
      <c r="A32" s="74" t="n">
        <v>34425</v>
      </c>
      <c r="B32" s="75">
        <f>VLOOKUP(A32,Database!A:M,MATCH($A$1,Database!$A$1:$M$1,),)</f>
        <v/>
      </c>
      <c r="C32" s="118">
        <f>(Table53514[[#This Row],[Manufacturers'' New Orders: Durable Goods]]-B31)/B31</f>
        <v/>
      </c>
    </row>
    <row r="33">
      <c r="A33" s="74" t="n">
        <v>34455</v>
      </c>
      <c r="B33" s="75">
        <f>VLOOKUP(A33,Database!A:M,MATCH($A$1,Database!$A$1:$M$1,),)</f>
        <v/>
      </c>
      <c r="C33" s="118">
        <f>(Table53514[[#This Row],[Manufacturers'' New Orders: Durable Goods]]-B32)/B32</f>
        <v/>
      </c>
    </row>
    <row r="34">
      <c r="A34" s="74" t="n">
        <v>34486</v>
      </c>
      <c r="B34" s="75">
        <f>VLOOKUP(A34,Database!A:M,MATCH($A$1,Database!$A$1:$M$1,),)</f>
        <v/>
      </c>
      <c r="C34" s="118">
        <f>(Table53514[[#This Row],[Manufacturers'' New Orders: Durable Goods]]-B33)/B33</f>
        <v/>
      </c>
    </row>
    <row r="35">
      <c r="A35" s="74" t="n">
        <v>34516</v>
      </c>
      <c r="B35" s="75">
        <f>VLOOKUP(A35,Database!A:M,MATCH($A$1,Database!$A$1:$M$1,),)</f>
        <v/>
      </c>
      <c r="C35" s="118">
        <f>(Table53514[[#This Row],[Manufacturers'' New Orders: Durable Goods]]-B34)/B34</f>
        <v/>
      </c>
    </row>
    <row r="36">
      <c r="A36" s="74" t="n">
        <v>34547</v>
      </c>
      <c r="B36" s="75">
        <f>VLOOKUP(A36,Database!A:M,MATCH($A$1,Database!$A$1:$M$1,),)</f>
        <v/>
      </c>
      <c r="C36" s="118">
        <f>(Table53514[[#This Row],[Manufacturers'' New Orders: Durable Goods]]-B35)/B35</f>
        <v/>
      </c>
    </row>
    <row r="37">
      <c r="A37" s="74" t="n">
        <v>34578</v>
      </c>
      <c r="B37" s="75">
        <f>VLOOKUP(A37,Database!A:M,MATCH($A$1,Database!$A$1:$M$1,),)</f>
        <v/>
      </c>
      <c r="C37" s="118">
        <f>(Table53514[[#This Row],[Manufacturers'' New Orders: Durable Goods]]-B36)/B36</f>
        <v/>
      </c>
    </row>
    <row r="38">
      <c r="A38" s="74" t="n">
        <v>34608</v>
      </c>
      <c r="B38" s="75">
        <f>VLOOKUP(A38,Database!A:M,MATCH($A$1,Database!$A$1:$M$1,),)</f>
        <v/>
      </c>
      <c r="C38" s="118">
        <f>(Table53514[[#This Row],[Manufacturers'' New Orders: Durable Goods]]-B37)/B37</f>
        <v/>
      </c>
    </row>
    <row r="39">
      <c r="A39" s="74" t="n">
        <v>34639</v>
      </c>
      <c r="B39" s="75">
        <f>VLOOKUP(A39,Database!A:M,MATCH($A$1,Database!$A$1:$M$1,),)</f>
        <v/>
      </c>
      <c r="C39" s="118">
        <f>(Table53514[[#This Row],[Manufacturers'' New Orders: Durable Goods]]-B38)/B38</f>
        <v/>
      </c>
    </row>
    <row r="40">
      <c r="A40" s="74" t="n">
        <v>34669</v>
      </c>
      <c r="B40" s="75">
        <f>VLOOKUP(A40,Database!A:M,MATCH($A$1,Database!$A$1:$M$1,),)</f>
        <v/>
      </c>
      <c r="C40" s="118">
        <f>(Table53514[[#This Row],[Manufacturers'' New Orders: Durable Goods]]-B39)/B39</f>
        <v/>
      </c>
    </row>
    <row r="41">
      <c r="A41" s="74" t="n">
        <v>34700</v>
      </c>
      <c r="B41" s="75">
        <f>VLOOKUP(A41,Database!A:M,MATCH($A$1,Database!$A$1:$M$1,),)</f>
        <v/>
      </c>
      <c r="C41" s="118">
        <f>(Table53514[[#This Row],[Manufacturers'' New Orders: Durable Goods]]-B40)/B40</f>
        <v/>
      </c>
    </row>
    <row r="42">
      <c r="A42" s="74" t="n">
        <v>34731</v>
      </c>
      <c r="B42" s="75">
        <f>VLOOKUP(A42,Database!A:M,MATCH($A$1,Database!$A$1:$M$1,),)</f>
        <v/>
      </c>
      <c r="C42" s="118">
        <f>(Table53514[[#This Row],[Manufacturers'' New Orders: Durable Goods]]-B41)/B41</f>
        <v/>
      </c>
    </row>
    <row r="43">
      <c r="A43" s="74" t="n">
        <v>34759</v>
      </c>
      <c r="B43" s="75">
        <f>VLOOKUP(A43,Database!A:M,MATCH($A$1,Database!$A$1:$M$1,),)</f>
        <v/>
      </c>
      <c r="C43" s="118">
        <f>(Table53514[[#This Row],[Manufacturers'' New Orders: Durable Goods]]-B42)/B42</f>
        <v/>
      </c>
    </row>
    <row r="44">
      <c r="A44" s="74" t="n">
        <v>34790</v>
      </c>
      <c r="B44" s="75">
        <f>VLOOKUP(A44,Database!A:M,MATCH($A$1,Database!$A$1:$M$1,),)</f>
        <v/>
      </c>
      <c r="C44" s="118">
        <f>(Table53514[[#This Row],[Manufacturers'' New Orders: Durable Goods]]-B43)/B43</f>
        <v/>
      </c>
    </row>
    <row r="45">
      <c r="A45" s="74" t="n">
        <v>34820</v>
      </c>
      <c r="B45" s="75">
        <f>VLOOKUP(A45,Database!A:M,MATCH($A$1,Database!$A$1:$M$1,),)</f>
        <v/>
      </c>
      <c r="C45" s="118">
        <f>(Table53514[[#This Row],[Manufacturers'' New Orders: Durable Goods]]-B44)/B44</f>
        <v/>
      </c>
    </row>
    <row r="46">
      <c r="A46" s="74" t="n">
        <v>34851</v>
      </c>
      <c r="B46" s="75">
        <f>VLOOKUP(A46,Database!A:M,MATCH($A$1,Database!$A$1:$M$1,),)</f>
        <v/>
      </c>
      <c r="C46" s="118">
        <f>(Table53514[[#This Row],[Manufacturers'' New Orders: Durable Goods]]-B45)/B45</f>
        <v/>
      </c>
    </row>
    <row r="47">
      <c r="A47" s="74" t="n">
        <v>34881</v>
      </c>
      <c r="B47" s="75">
        <f>VLOOKUP(A47,Database!A:M,MATCH($A$1,Database!$A$1:$M$1,),)</f>
        <v/>
      </c>
      <c r="C47" s="118">
        <f>(Table53514[[#This Row],[Manufacturers'' New Orders: Durable Goods]]-B46)/B46</f>
        <v/>
      </c>
    </row>
    <row r="48">
      <c r="A48" s="74" t="n">
        <v>34912</v>
      </c>
      <c r="B48" s="75">
        <f>VLOOKUP(A48,Database!A:M,MATCH($A$1,Database!$A$1:$M$1,),)</f>
        <v/>
      </c>
      <c r="C48" s="118">
        <f>(Table53514[[#This Row],[Manufacturers'' New Orders: Durable Goods]]-B47)/B47</f>
        <v/>
      </c>
    </row>
    <row r="49">
      <c r="A49" s="74" t="n">
        <v>34943</v>
      </c>
      <c r="B49" s="75">
        <f>VLOOKUP(A49,Database!A:M,MATCH($A$1,Database!$A$1:$M$1,),)</f>
        <v/>
      </c>
      <c r="C49" s="118">
        <f>(Table53514[[#This Row],[Manufacturers'' New Orders: Durable Goods]]-B48)/B48</f>
        <v/>
      </c>
    </row>
    <row r="50">
      <c r="A50" s="74" t="n">
        <v>34973</v>
      </c>
      <c r="B50" s="75">
        <f>VLOOKUP(A50,Database!A:M,MATCH($A$1,Database!$A$1:$M$1,),)</f>
        <v/>
      </c>
      <c r="C50" s="118">
        <f>(Table53514[[#This Row],[Manufacturers'' New Orders: Durable Goods]]-B49)/B49</f>
        <v/>
      </c>
    </row>
    <row r="51">
      <c r="A51" s="74" t="n">
        <v>35004</v>
      </c>
      <c r="B51" s="75">
        <f>VLOOKUP(A51,Database!A:M,MATCH($A$1,Database!$A$1:$M$1,),)</f>
        <v/>
      </c>
      <c r="C51" s="118">
        <f>(Table53514[[#This Row],[Manufacturers'' New Orders: Durable Goods]]-B50)/B50</f>
        <v/>
      </c>
    </row>
    <row r="52">
      <c r="A52" s="74" t="n">
        <v>35034</v>
      </c>
      <c r="B52" s="75">
        <f>VLOOKUP(A52,Database!A:M,MATCH($A$1,Database!$A$1:$M$1,),)</f>
        <v/>
      </c>
      <c r="C52" s="118">
        <f>(Table53514[[#This Row],[Manufacturers'' New Orders: Durable Goods]]-B51)/B51</f>
        <v/>
      </c>
    </row>
    <row r="53">
      <c r="A53" s="74" t="n">
        <v>35065</v>
      </c>
      <c r="B53" s="75">
        <f>VLOOKUP(A53,Database!A:M,MATCH($A$1,Database!$A$1:$M$1,),)</f>
        <v/>
      </c>
      <c r="C53" s="118">
        <f>(Table53514[[#This Row],[Manufacturers'' New Orders: Durable Goods]]-B52)/B52</f>
        <v/>
      </c>
    </row>
    <row r="54">
      <c r="A54" s="74" t="n">
        <v>35096</v>
      </c>
      <c r="B54" s="75">
        <f>VLOOKUP(A54,Database!A:M,MATCH($A$1,Database!$A$1:$M$1,),)</f>
        <v/>
      </c>
      <c r="C54" s="118">
        <f>(Table53514[[#This Row],[Manufacturers'' New Orders: Durable Goods]]-B53)/B53</f>
        <v/>
      </c>
    </row>
    <row r="55">
      <c r="A55" s="74" t="n">
        <v>35125</v>
      </c>
      <c r="B55" s="75">
        <f>VLOOKUP(A55,Database!A:M,MATCH($A$1,Database!$A$1:$M$1,),)</f>
        <v/>
      </c>
      <c r="C55" s="118">
        <f>(Table53514[[#This Row],[Manufacturers'' New Orders: Durable Goods]]-B54)/B54</f>
        <v/>
      </c>
    </row>
    <row r="56">
      <c r="A56" s="74" t="n">
        <v>35156</v>
      </c>
      <c r="B56" s="75">
        <f>VLOOKUP(A56,Database!A:M,MATCH($A$1,Database!$A$1:$M$1,),)</f>
        <v/>
      </c>
      <c r="C56" s="118">
        <f>(Table53514[[#This Row],[Manufacturers'' New Orders: Durable Goods]]-B55)/B55</f>
        <v/>
      </c>
    </row>
    <row r="57">
      <c r="A57" s="74" t="n">
        <v>35186</v>
      </c>
      <c r="B57" s="75">
        <f>VLOOKUP(A57,Database!A:M,MATCH($A$1,Database!$A$1:$M$1,),)</f>
        <v/>
      </c>
      <c r="C57" s="118">
        <f>(Table53514[[#This Row],[Manufacturers'' New Orders: Durable Goods]]-B56)/B56</f>
        <v/>
      </c>
    </row>
    <row r="58">
      <c r="A58" s="74" t="n">
        <v>35217</v>
      </c>
      <c r="B58" s="75">
        <f>VLOOKUP(A58,Database!A:M,MATCH($A$1,Database!$A$1:$M$1,),)</f>
        <v/>
      </c>
      <c r="C58" s="118">
        <f>(Table53514[[#This Row],[Manufacturers'' New Orders: Durable Goods]]-B57)/B57</f>
        <v/>
      </c>
    </row>
    <row r="59">
      <c r="A59" s="74" t="n">
        <v>35247</v>
      </c>
      <c r="B59" s="75">
        <f>VLOOKUP(A59,Database!A:M,MATCH($A$1,Database!$A$1:$M$1,),)</f>
        <v/>
      </c>
      <c r="C59" s="118">
        <f>(Table53514[[#This Row],[Manufacturers'' New Orders: Durable Goods]]-B58)/B58</f>
        <v/>
      </c>
    </row>
    <row r="60">
      <c r="A60" s="74" t="n">
        <v>35278</v>
      </c>
      <c r="B60" s="75">
        <f>VLOOKUP(A60,Database!A:M,MATCH($A$1,Database!$A$1:$M$1,),)</f>
        <v/>
      </c>
      <c r="C60" s="118">
        <f>(Table53514[[#This Row],[Manufacturers'' New Orders: Durable Goods]]-B59)/B59</f>
        <v/>
      </c>
    </row>
    <row r="61">
      <c r="A61" s="74" t="n">
        <v>35309</v>
      </c>
      <c r="B61" s="75">
        <f>VLOOKUP(A61,Database!A:M,MATCH($A$1,Database!$A$1:$M$1,),)</f>
        <v/>
      </c>
      <c r="C61" s="118">
        <f>(Table53514[[#This Row],[Manufacturers'' New Orders: Durable Goods]]-B60)/B60</f>
        <v/>
      </c>
    </row>
    <row r="62">
      <c r="A62" s="74" t="n">
        <v>35339</v>
      </c>
      <c r="B62" s="75">
        <f>VLOOKUP(A62,Database!A:M,MATCH($A$1,Database!$A$1:$M$1,),)</f>
        <v/>
      </c>
      <c r="C62" s="118">
        <f>(Table53514[[#This Row],[Manufacturers'' New Orders: Durable Goods]]-B61)/B61</f>
        <v/>
      </c>
    </row>
    <row r="63">
      <c r="A63" s="74" t="n">
        <v>35370</v>
      </c>
      <c r="B63" s="75">
        <f>VLOOKUP(A63,Database!A:M,MATCH($A$1,Database!$A$1:$M$1,),)</f>
        <v/>
      </c>
      <c r="C63" s="118">
        <f>(Table53514[[#This Row],[Manufacturers'' New Orders: Durable Goods]]-B62)/B62</f>
        <v/>
      </c>
    </row>
    <row r="64">
      <c r="A64" s="74" t="n">
        <v>35400</v>
      </c>
      <c r="B64" s="75">
        <f>VLOOKUP(A64,Database!A:M,MATCH($A$1,Database!$A$1:$M$1,),)</f>
        <v/>
      </c>
      <c r="C64" s="118">
        <f>(Table53514[[#This Row],[Manufacturers'' New Orders: Durable Goods]]-B63)/B63</f>
        <v/>
      </c>
    </row>
    <row r="65">
      <c r="A65" s="74" t="n">
        <v>35431</v>
      </c>
      <c r="B65" s="75">
        <f>VLOOKUP(A65,Database!A:M,MATCH($A$1,Database!$A$1:$M$1,),)</f>
        <v/>
      </c>
      <c r="C65" s="118">
        <f>(Table53514[[#This Row],[Manufacturers'' New Orders: Durable Goods]]-B64)/B64</f>
        <v/>
      </c>
    </row>
    <row r="66">
      <c r="A66" s="74" t="n">
        <v>35462</v>
      </c>
      <c r="B66" s="75">
        <f>VLOOKUP(A66,Database!A:M,MATCH($A$1,Database!$A$1:$M$1,),)</f>
        <v/>
      </c>
      <c r="C66" s="118">
        <f>(Table53514[[#This Row],[Manufacturers'' New Orders: Durable Goods]]-B65)/B65</f>
        <v/>
      </c>
    </row>
    <row r="67">
      <c r="A67" s="74" t="n">
        <v>35490</v>
      </c>
      <c r="B67" s="75">
        <f>VLOOKUP(A67,Database!A:M,MATCH($A$1,Database!$A$1:$M$1,),)</f>
        <v/>
      </c>
      <c r="C67" s="118">
        <f>(Table53514[[#This Row],[Manufacturers'' New Orders: Durable Goods]]-B66)/B66</f>
        <v/>
      </c>
    </row>
    <row r="68">
      <c r="A68" s="74" t="n">
        <v>35521</v>
      </c>
      <c r="B68" s="75">
        <f>VLOOKUP(A68,Database!A:M,MATCH($A$1,Database!$A$1:$M$1,),)</f>
        <v/>
      </c>
      <c r="C68" s="118">
        <f>(Table53514[[#This Row],[Manufacturers'' New Orders: Durable Goods]]-B67)/B67</f>
        <v/>
      </c>
    </row>
    <row r="69">
      <c r="A69" s="74" t="n">
        <v>35551</v>
      </c>
      <c r="B69" s="75">
        <f>VLOOKUP(A69,Database!A:M,MATCH($A$1,Database!$A$1:$M$1,),)</f>
        <v/>
      </c>
      <c r="C69" s="118">
        <f>(Table53514[[#This Row],[Manufacturers'' New Orders: Durable Goods]]-B68)/B68</f>
        <v/>
      </c>
    </row>
    <row r="70">
      <c r="A70" s="74" t="n">
        <v>35582</v>
      </c>
      <c r="B70" s="75">
        <f>VLOOKUP(A70,Database!A:M,MATCH($A$1,Database!$A$1:$M$1,),)</f>
        <v/>
      </c>
      <c r="C70" s="118">
        <f>(Table53514[[#This Row],[Manufacturers'' New Orders: Durable Goods]]-B69)/B69</f>
        <v/>
      </c>
    </row>
    <row r="71">
      <c r="A71" s="74" t="n">
        <v>35612</v>
      </c>
      <c r="B71" s="75">
        <f>VLOOKUP(A71,Database!A:M,MATCH($A$1,Database!$A$1:$M$1,),)</f>
        <v/>
      </c>
      <c r="C71" s="118">
        <f>(Table53514[[#This Row],[Manufacturers'' New Orders: Durable Goods]]-B70)/B70</f>
        <v/>
      </c>
    </row>
    <row r="72">
      <c r="A72" s="74" t="n">
        <v>35643</v>
      </c>
      <c r="B72" s="75">
        <f>VLOOKUP(A72,Database!A:M,MATCH($A$1,Database!$A$1:$M$1,),)</f>
        <v/>
      </c>
      <c r="C72" s="118">
        <f>(Table53514[[#This Row],[Manufacturers'' New Orders: Durable Goods]]-B71)/B71</f>
        <v/>
      </c>
    </row>
    <row r="73">
      <c r="A73" s="74" t="n">
        <v>35674</v>
      </c>
      <c r="B73" s="75">
        <f>VLOOKUP(A73,Database!A:M,MATCH($A$1,Database!$A$1:$M$1,),)</f>
        <v/>
      </c>
      <c r="C73" s="118">
        <f>(Table53514[[#This Row],[Manufacturers'' New Orders: Durable Goods]]-B72)/B72</f>
        <v/>
      </c>
    </row>
    <row r="74">
      <c r="A74" s="74" t="n">
        <v>35704</v>
      </c>
      <c r="B74" s="75">
        <f>VLOOKUP(A74,Database!A:M,MATCH($A$1,Database!$A$1:$M$1,),)</f>
        <v/>
      </c>
      <c r="C74" s="118">
        <f>(Table53514[[#This Row],[Manufacturers'' New Orders: Durable Goods]]-B73)/B73</f>
        <v/>
      </c>
    </row>
    <row r="75">
      <c r="A75" s="74" t="n">
        <v>35735</v>
      </c>
      <c r="B75" s="75">
        <f>VLOOKUP(A75,Database!A:M,MATCH($A$1,Database!$A$1:$M$1,),)</f>
        <v/>
      </c>
      <c r="C75" s="118">
        <f>(Table53514[[#This Row],[Manufacturers'' New Orders: Durable Goods]]-B74)/B74</f>
        <v/>
      </c>
    </row>
    <row r="76">
      <c r="A76" s="74" t="n">
        <v>35765</v>
      </c>
      <c r="B76" s="75">
        <f>VLOOKUP(A76,Database!A:M,MATCH($A$1,Database!$A$1:$M$1,),)</f>
        <v/>
      </c>
      <c r="C76" s="118">
        <f>(Table53514[[#This Row],[Manufacturers'' New Orders: Durable Goods]]-B75)/B75</f>
        <v/>
      </c>
    </row>
    <row r="77">
      <c r="A77" s="74" t="n">
        <v>35796</v>
      </c>
      <c r="B77" s="75">
        <f>VLOOKUP(A77,Database!A:M,MATCH($A$1,Database!$A$1:$M$1,),)</f>
        <v/>
      </c>
      <c r="C77" s="118">
        <f>(Table53514[[#This Row],[Manufacturers'' New Orders: Durable Goods]]-B76)/B76</f>
        <v/>
      </c>
    </row>
    <row r="78">
      <c r="A78" s="74" t="n">
        <v>35827</v>
      </c>
      <c r="B78" s="75">
        <f>VLOOKUP(A78,Database!A:M,MATCH($A$1,Database!$A$1:$M$1,),)</f>
        <v/>
      </c>
      <c r="C78" s="118">
        <f>(Table53514[[#This Row],[Manufacturers'' New Orders: Durable Goods]]-B77)/B77</f>
        <v/>
      </c>
    </row>
    <row r="79">
      <c r="A79" s="74" t="n">
        <v>35855</v>
      </c>
      <c r="B79" s="75">
        <f>VLOOKUP(A79,Database!A:M,MATCH($A$1,Database!$A$1:$M$1,),)</f>
        <v/>
      </c>
      <c r="C79" s="118">
        <f>(Table53514[[#This Row],[Manufacturers'' New Orders: Durable Goods]]-B78)/B78</f>
        <v/>
      </c>
    </row>
    <row r="80">
      <c r="A80" s="74" t="n">
        <v>35886</v>
      </c>
      <c r="B80" s="75">
        <f>VLOOKUP(A80,Database!A:M,MATCH($A$1,Database!$A$1:$M$1,),)</f>
        <v/>
      </c>
      <c r="C80" s="118">
        <f>(Table53514[[#This Row],[Manufacturers'' New Orders: Durable Goods]]-B79)/B79</f>
        <v/>
      </c>
    </row>
    <row r="81">
      <c r="A81" s="74" t="n">
        <v>35916</v>
      </c>
      <c r="B81" s="75">
        <f>VLOOKUP(A81,Database!A:M,MATCH($A$1,Database!$A$1:$M$1,),)</f>
        <v/>
      </c>
      <c r="C81" s="118">
        <f>(Table53514[[#This Row],[Manufacturers'' New Orders: Durable Goods]]-B80)/B80</f>
        <v/>
      </c>
    </row>
    <row r="82">
      <c r="A82" s="74" t="n">
        <v>35947</v>
      </c>
      <c r="B82" s="75">
        <f>VLOOKUP(A82,Database!A:M,MATCH($A$1,Database!$A$1:$M$1,),)</f>
        <v/>
      </c>
      <c r="C82" s="118">
        <f>(Table53514[[#This Row],[Manufacturers'' New Orders: Durable Goods]]-B81)/B81</f>
        <v/>
      </c>
    </row>
    <row r="83">
      <c r="A83" s="74" t="n">
        <v>35977</v>
      </c>
      <c r="B83" s="75">
        <f>VLOOKUP(A83,Database!A:M,MATCH($A$1,Database!$A$1:$M$1,),)</f>
        <v/>
      </c>
      <c r="C83" s="118">
        <f>(Table53514[[#This Row],[Manufacturers'' New Orders: Durable Goods]]-B82)/B82</f>
        <v/>
      </c>
    </row>
    <row r="84">
      <c r="A84" s="74" t="n">
        <v>36008</v>
      </c>
      <c r="B84" s="75">
        <f>VLOOKUP(A84,Database!A:M,MATCH($A$1,Database!$A$1:$M$1,),)</f>
        <v/>
      </c>
      <c r="C84" s="118">
        <f>(Table53514[[#This Row],[Manufacturers'' New Orders: Durable Goods]]-B83)/B83</f>
        <v/>
      </c>
    </row>
    <row r="85">
      <c r="A85" s="74" t="n">
        <v>36039</v>
      </c>
      <c r="B85" s="75">
        <f>VLOOKUP(A85,Database!A:M,MATCH($A$1,Database!$A$1:$M$1,),)</f>
        <v/>
      </c>
      <c r="C85" s="118">
        <f>(Table53514[[#This Row],[Manufacturers'' New Orders: Durable Goods]]-B84)/B84</f>
        <v/>
      </c>
    </row>
    <row r="86">
      <c r="A86" s="74" t="n">
        <v>36069</v>
      </c>
      <c r="B86" s="75">
        <f>VLOOKUP(A86,Database!A:M,MATCH($A$1,Database!$A$1:$M$1,),)</f>
        <v/>
      </c>
      <c r="C86" s="118">
        <f>(Table53514[[#This Row],[Manufacturers'' New Orders: Durable Goods]]-B85)/B85</f>
        <v/>
      </c>
    </row>
    <row r="87">
      <c r="A87" s="74" t="n">
        <v>36100</v>
      </c>
      <c r="B87" s="75">
        <f>VLOOKUP(A87,Database!A:M,MATCH($A$1,Database!$A$1:$M$1,),)</f>
        <v/>
      </c>
      <c r="C87" s="118">
        <f>(Table53514[[#This Row],[Manufacturers'' New Orders: Durable Goods]]-B86)/B86</f>
        <v/>
      </c>
    </row>
    <row r="88">
      <c r="A88" s="74" t="n">
        <v>36130</v>
      </c>
      <c r="B88" s="75">
        <f>VLOOKUP(A88,Database!A:M,MATCH($A$1,Database!$A$1:$M$1,),)</f>
        <v/>
      </c>
      <c r="C88" s="118">
        <f>(Table53514[[#This Row],[Manufacturers'' New Orders: Durable Goods]]-B87)/B87</f>
        <v/>
      </c>
    </row>
    <row r="89">
      <c r="A89" s="74" t="n">
        <v>36161</v>
      </c>
      <c r="B89" s="75">
        <f>VLOOKUP(A89,Database!A:M,MATCH($A$1,Database!$A$1:$M$1,),)</f>
        <v/>
      </c>
      <c r="C89" s="118">
        <f>(Table53514[[#This Row],[Manufacturers'' New Orders: Durable Goods]]-B88)/B88</f>
        <v/>
      </c>
    </row>
    <row r="90">
      <c r="A90" s="74" t="n">
        <v>36192</v>
      </c>
      <c r="B90" s="75">
        <f>VLOOKUP(A90,Database!A:M,MATCH($A$1,Database!$A$1:$M$1,),)</f>
        <v/>
      </c>
      <c r="C90" s="118">
        <f>(Table53514[[#This Row],[Manufacturers'' New Orders: Durable Goods]]-B89)/B89</f>
        <v/>
      </c>
    </row>
    <row r="91">
      <c r="A91" s="74" t="n">
        <v>36220</v>
      </c>
      <c r="B91" s="75">
        <f>VLOOKUP(A91,Database!A:M,MATCH($A$1,Database!$A$1:$M$1,),)</f>
        <v/>
      </c>
      <c r="C91" s="118">
        <f>(Table53514[[#This Row],[Manufacturers'' New Orders: Durable Goods]]-B90)/B90</f>
        <v/>
      </c>
    </row>
    <row r="92">
      <c r="A92" s="74" t="n">
        <v>36251</v>
      </c>
      <c r="B92" s="75">
        <f>VLOOKUP(A92,Database!A:M,MATCH($A$1,Database!$A$1:$M$1,),)</f>
        <v/>
      </c>
      <c r="C92" s="118">
        <f>(Table53514[[#This Row],[Manufacturers'' New Orders: Durable Goods]]-B91)/B91</f>
        <v/>
      </c>
    </row>
    <row r="93">
      <c r="A93" s="74" t="n">
        <v>36281</v>
      </c>
      <c r="B93" s="75">
        <f>VLOOKUP(A93,Database!A:M,MATCH($A$1,Database!$A$1:$M$1,),)</f>
        <v/>
      </c>
      <c r="C93" s="118">
        <f>(Table53514[[#This Row],[Manufacturers'' New Orders: Durable Goods]]-B92)/B92</f>
        <v/>
      </c>
    </row>
    <row r="94">
      <c r="A94" s="74" t="n">
        <v>36312</v>
      </c>
      <c r="B94" s="75">
        <f>VLOOKUP(A94,Database!A:M,MATCH($A$1,Database!$A$1:$M$1,),)</f>
        <v/>
      </c>
      <c r="C94" s="118">
        <f>(Table53514[[#This Row],[Manufacturers'' New Orders: Durable Goods]]-B93)/B93</f>
        <v/>
      </c>
    </row>
    <row r="95">
      <c r="A95" s="74" t="n">
        <v>36342</v>
      </c>
      <c r="B95" s="75">
        <f>VLOOKUP(A95,Database!A:M,MATCH($A$1,Database!$A$1:$M$1,),)</f>
        <v/>
      </c>
      <c r="C95" s="118">
        <f>(Table53514[[#This Row],[Manufacturers'' New Orders: Durable Goods]]-B94)/B94</f>
        <v/>
      </c>
    </row>
    <row r="96">
      <c r="A96" s="74" t="n">
        <v>36373</v>
      </c>
      <c r="B96" s="75">
        <f>VLOOKUP(A96,Database!A:M,MATCH($A$1,Database!$A$1:$M$1,),)</f>
        <v/>
      </c>
      <c r="C96" s="118">
        <f>(Table53514[[#This Row],[Manufacturers'' New Orders: Durable Goods]]-B95)/B95</f>
        <v/>
      </c>
    </row>
    <row r="97">
      <c r="A97" s="74" t="n">
        <v>36404</v>
      </c>
      <c r="B97" s="75">
        <f>VLOOKUP(A97,Database!A:M,MATCH($A$1,Database!$A$1:$M$1,),)</f>
        <v/>
      </c>
      <c r="C97" s="118">
        <f>(Table53514[[#This Row],[Manufacturers'' New Orders: Durable Goods]]-B96)/B96</f>
        <v/>
      </c>
    </row>
    <row r="98">
      <c r="A98" s="74" t="n">
        <v>36434</v>
      </c>
      <c r="B98" s="75">
        <f>VLOOKUP(A98,Database!A:M,MATCH($A$1,Database!$A$1:$M$1,),)</f>
        <v/>
      </c>
      <c r="C98" s="118">
        <f>(Table53514[[#This Row],[Manufacturers'' New Orders: Durable Goods]]-B97)/B97</f>
        <v/>
      </c>
    </row>
    <row r="99">
      <c r="A99" s="74" t="n">
        <v>36465</v>
      </c>
      <c r="B99" s="75">
        <f>VLOOKUP(A99,Database!A:M,MATCH($A$1,Database!$A$1:$M$1,),)</f>
        <v/>
      </c>
      <c r="C99" s="118">
        <f>(Table53514[[#This Row],[Manufacturers'' New Orders: Durable Goods]]-B98)/B98</f>
        <v/>
      </c>
    </row>
    <row r="100">
      <c r="A100" s="74" t="n">
        <v>36495</v>
      </c>
      <c r="B100" s="75">
        <f>VLOOKUP(A100,Database!A:M,MATCH($A$1,Database!$A$1:$M$1,),)</f>
        <v/>
      </c>
      <c r="C100" s="118">
        <f>(Table53514[[#This Row],[Manufacturers'' New Orders: Durable Goods]]-B99)/B99</f>
        <v/>
      </c>
    </row>
    <row r="101">
      <c r="A101" s="74" t="n">
        <v>36526</v>
      </c>
      <c r="B101" s="75">
        <f>VLOOKUP(A101,Database!A:M,MATCH($A$1,Database!$A$1:$M$1,),)</f>
        <v/>
      </c>
      <c r="C101" s="118">
        <f>(Table53514[[#This Row],[Manufacturers'' New Orders: Durable Goods]]-B100)/B100</f>
        <v/>
      </c>
    </row>
    <row r="102">
      <c r="A102" s="74" t="n">
        <v>36557</v>
      </c>
      <c r="B102" s="75">
        <f>VLOOKUP(A102,Database!A:M,MATCH($A$1,Database!$A$1:$M$1,),)</f>
        <v/>
      </c>
      <c r="C102" s="118">
        <f>(Table53514[[#This Row],[Manufacturers'' New Orders: Durable Goods]]-B101)/B101</f>
        <v/>
      </c>
    </row>
    <row r="103">
      <c r="A103" s="74" t="n">
        <v>36586</v>
      </c>
      <c r="B103" s="75">
        <f>VLOOKUP(A103,Database!A:M,MATCH($A$1,Database!$A$1:$M$1,),)</f>
        <v/>
      </c>
      <c r="C103" s="118">
        <f>(Table53514[[#This Row],[Manufacturers'' New Orders: Durable Goods]]-B102)/B102</f>
        <v/>
      </c>
    </row>
    <row r="104">
      <c r="A104" s="74" t="n">
        <v>36617</v>
      </c>
      <c r="B104" s="75">
        <f>VLOOKUP(A104,Database!A:M,MATCH($A$1,Database!$A$1:$M$1,),)</f>
        <v/>
      </c>
      <c r="C104" s="118">
        <f>(Table53514[[#This Row],[Manufacturers'' New Orders: Durable Goods]]-B103)/B103</f>
        <v/>
      </c>
    </row>
    <row r="105">
      <c r="A105" s="74" t="n">
        <v>36647</v>
      </c>
      <c r="B105" s="75">
        <f>VLOOKUP(A105,Database!A:M,MATCH($A$1,Database!$A$1:$M$1,),)</f>
        <v/>
      </c>
      <c r="C105" s="118">
        <f>(Table53514[[#This Row],[Manufacturers'' New Orders: Durable Goods]]-B104)/B104</f>
        <v/>
      </c>
    </row>
    <row r="106">
      <c r="A106" s="74" t="n">
        <v>36678</v>
      </c>
      <c r="B106" s="75">
        <f>VLOOKUP(A106,Database!A:M,MATCH($A$1,Database!$A$1:$M$1,),)</f>
        <v/>
      </c>
      <c r="C106" s="118">
        <f>(Table53514[[#This Row],[Manufacturers'' New Orders: Durable Goods]]-B105)/B105</f>
        <v/>
      </c>
    </row>
    <row r="107">
      <c r="A107" s="74" t="n">
        <v>36708</v>
      </c>
      <c r="B107" s="75">
        <f>VLOOKUP(A107,Database!A:M,MATCH($A$1,Database!$A$1:$M$1,),)</f>
        <v/>
      </c>
      <c r="C107" s="118">
        <f>(Table53514[[#This Row],[Manufacturers'' New Orders: Durable Goods]]-B106)/B106</f>
        <v/>
      </c>
    </row>
    <row r="108">
      <c r="A108" s="74" t="n">
        <v>36739</v>
      </c>
      <c r="B108" s="75">
        <f>VLOOKUP(A108,Database!A:M,MATCH($A$1,Database!$A$1:$M$1,),)</f>
        <v/>
      </c>
      <c r="C108" s="118">
        <f>(Table53514[[#This Row],[Manufacturers'' New Orders: Durable Goods]]-B107)/B107</f>
        <v/>
      </c>
    </row>
    <row r="109">
      <c r="A109" s="74" t="n">
        <v>36770</v>
      </c>
      <c r="B109" s="75">
        <f>VLOOKUP(A109,Database!A:M,MATCH($A$1,Database!$A$1:$M$1,),)</f>
        <v/>
      </c>
      <c r="C109" s="118">
        <f>(Table53514[[#This Row],[Manufacturers'' New Orders: Durable Goods]]-B108)/B108</f>
        <v/>
      </c>
    </row>
    <row r="110">
      <c r="A110" s="74" t="n">
        <v>36800</v>
      </c>
      <c r="B110" s="75">
        <f>VLOOKUP(A110,Database!A:M,MATCH($A$1,Database!$A$1:$M$1,),)</f>
        <v/>
      </c>
      <c r="C110" s="118">
        <f>(Table53514[[#This Row],[Manufacturers'' New Orders: Durable Goods]]-B109)/B109</f>
        <v/>
      </c>
    </row>
    <row r="111">
      <c r="A111" s="74" t="n">
        <v>36831</v>
      </c>
      <c r="B111" s="75">
        <f>VLOOKUP(A111,Database!A:M,MATCH($A$1,Database!$A$1:$M$1,),)</f>
        <v/>
      </c>
      <c r="C111" s="118">
        <f>(Table53514[[#This Row],[Manufacturers'' New Orders: Durable Goods]]-B110)/B110</f>
        <v/>
      </c>
    </row>
    <row r="112">
      <c r="A112" s="74" t="n">
        <v>36861</v>
      </c>
      <c r="B112" s="75">
        <f>VLOOKUP(A112,Database!A:M,MATCH($A$1,Database!$A$1:$M$1,),)</f>
        <v/>
      </c>
      <c r="C112" s="118">
        <f>(Table53514[[#This Row],[Manufacturers'' New Orders: Durable Goods]]-B111)/B111</f>
        <v/>
      </c>
    </row>
    <row r="113">
      <c r="A113" s="74" t="n">
        <v>36892</v>
      </c>
      <c r="B113" s="75">
        <f>VLOOKUP(A113,Database!A:M,MATCH($A$1,Database!$A$1:$M$1,),)</f>
        <v/>
      </c>
      <c r="C113" s="118">
        <f>(Table53514[[#This Row],[Manufacturers'' New Orders: Durable Goods]]-B112)/B112</f>
        <v/>
      </c>
    </row>
    <row r="114">
      <c r="A114" s="74" t="n">
        <v>36923</v>
      </c>
      <c r="B114" s="75">
        <f>VLOOKUP(A114,Database!A:M,MATCH($A$1,Database!$A$1:$M$1,),)</f>
        <v/>
      </c>
      <c r="C114" s="118">
        <f>(Table53514[[#This Row],[Manufacturers'' New Orders: Durable Goods]]-B113)/B113</f>
        <v/>
      </c>
    </row>
    <row r="115">
      <c r="A115" s="74" t="n">
        <v>36951</v>
      </c>
      <c r="B115" s="75">
        <f>VLOOKUP(A115,Database!A:M,MATCH($A$1,Database!$A$1:$M$1,),)</f>
        <v/>
      </c>
      <c r="C115" s="118">
        <f>(Table53514[[#This Row],[Manufacturers'' New Orders: Durable Goods]]-B114)/B114</f>
        <v/>
      </c>
    </row>
    <row r="116">
      <c r="A116" s="74" t="n">
        <v>36982</v>
      </c>
      <c r="B116" s="75">
        <f>VLOOKUP(A116,Database!A:M,MATCH($A$1,Database!$A$1:$M$1,),)</f>
        <v/>
      </c>
      <c r="C116" s="118">
        <f>(Table53514[[#This Row],[Manufacturers'' New Orders: Durable Goods]]-B115)/B115</f>
        <v/>
      </c>
    </row>
    <row r="117">
      <c r="A117" s="74" t="n">
        <v>37012</v>
      </c>
      <c r="B117" s="75">
        <f>VLOOKUP(A117,Database!A:M,MATCH($A$1,Database!$A$1:$M$1,),)</f>
        <v/>
      </c>
      <c r="C117" s="118">
        <f>(Table53514[[#This Row],[Manufacturers'' New Orders: Durable Goods]]-B116)/B116</f>
        <v/>
      </c>
    </row>
    <row r="118">
      <c r="A118" s="74" t="n">
        <v>37043</v>
      </c>
      <c r="B118" s="75">
        <f>VLOOKUP(A118,Database!A:M,MATCH($A$1,Database!$A$1:$M$1,),)</f>
        <v/>
      </c>
      <c r="C118" s="118">
        <f>(Table53514[[#This Row],[Manufacturers'' New Orders: Durable Goods]]-B117)/B117</f>
        <v/>
      </c>
    </row>
    <row r="119">
      <c r="A119" s="74" t="n">
        <v>37073</v>
      </c>
      <c r="B119" s="75">
        <f>VLOOKUP(A119,Database!A:M,MATCH($A$1,Database!$A$1:$M$1,),)</f>
        <v/>
      </c>
      <c r="C119" s="118">
        <f>(Table53514[[#This Row],[Manufacturers'' New Orders: Durable Goods]]-B118)/B118</f>
        <v/>
      </c>
    </row>
    <row r="120">
      <c r="A120" s="74" t="n">
        <v>37104</v>
      </c>
      <c r="B120" s="75">
        <f>VLOOKUP(A120,Database!A:M,MATCH($A$1,Database!$A$1:$M$1,),)</f>
        <v/>
      </c>
      <c r="C120" s="118">
        <f>(Table53514[[#This Row],[Manufacturers'' New Orders: Durable Goods]]-B119)/B119</f>
        <v/>
      </c>
    </row>
    <row r="121">
      <c r="A121" s="74" t="n">
        <v>37135</v>
      </c>
      <c r="B121" s="75">
        <f>VLOOKUP(A121,Database!A:M,MATCH($A$1,Database!$A$1:$M$1,),)</f>
        <v/>
      </c>
      <c r="C121" s="118">
        <f>(Table53514[[#This Row],[Manufacturers'' New Orders: Durable Goods]]-B120)/B120</f>
        <v/>
      </c>
    </row>
    <row r="122">
      <c r="A122" s="74" t="n">
        <v>37165</v>
      </c>
      <c r="B122" s="75">
        <f>VLOOKUP(A122,Database!A:M,MATCH($A$1,Database!$A$1:$M$1,),)</f>
        <v/>
      </c>
      <c r="C122" s="118">
        <f>(Table53514[[#This Row],[Manufacturers'' New Orders: Durable Goods]]-B121)/B121</f>
        <v/>
      </c>
    </row>
    <row r="123">
      <c r="A123" s="74" t="n">
        <v>37196</v>
      </c>
      <c r="B123" s="75">
        <f>VLOOKUP(A123,Database!A:M,MATCH($A$1,Database!$A$1:$M$1,),)</f>
        <v/>
      </c>
      <c r="C123" s="118">
        <f>(Table53514[[#This Row],[Manufacturers'' New Orders: Durable Goods]]-B122)/B122</f>
        <v/>
      </c>
    </row>
    <row r="124">
      <c r="A124" s="74" t="n">
        <v>37226</v>
      </c>
      <c r="B124" s="75">
        <f>VLOOKUP(A124,Database!A:M,MATCH($A$1,Database!$A$1:$M$1,),)</f>
        <v/>
      </c>
      <c r="C124" s="118">
        <f>(Table53514[[#This Row],[Manufacturers'' New Orders: Durable Goods]]-B123)/B123</f>
        <v/>
      </c>
    </row>
    <row r="125">
      <c r="A125" s="74" t="n">
        <v>37257</v>
      </c>
      <c r="B125" s="75">
        <f>VLOOKUP(A125,Database!A:M,MATCH($A$1,Database!$A$1:$M$1,),)</f>
        <v/>
      </c>
      <c r="C125" s="118">
        <f>(Table53514[[#This Row],[Manufacturers'' New Orders: Durable Goods]]-B124)/B124</f>
        <v/>
      </c>
    </row>
    <row r="126">
      <c r="A126" s="74" t="n">
        <v>37288</v>
      </c>
      <c r="B126" s="75">
        <f>VLOOKUP(A126,Database!A:M,MATCH($A$1,Database!$A$1:$M$1,),)</f>
        <v/>
      </c>
      <c r="C126" s="118">
        <f>(Table53514[[#This Row],[Manufacturers'' New Orders: Durable Goods]]-B125)/B125</f>
        <v/>
      </c>
    </row>
    <row r="127">
      <c r="A127" s="74" t="n">
        <v>37316</v>
      </c>
      <c r="B127" s="75">
        <f>VLOOKUP(A127,Database!A:M,MATCH($A$1,Database!$A$1:$M$1,),)</f>
        <v/>
      </c>
      <c r="C127" s="118">
        <f>(Table53514[[#This Row],[Manufacturers'' New Orders: Durable Goods]]-B126)/B126</f>
        <v/>
      </c>
    </row>
    <row r="128">
      <c r="A128" s="74" t="n">
        <v>37347</v>
      </c>
      <c r="B128" s="75">
        <f>VLOOKUP(A128,Database!A:M,MATCH($A$1,Database!$A$1:$M$1,),)</f>
        <v/>
      </c>
      <c r="C128" s="118">
        <f>(Table53514[[#This Row],[Manufacturers'' New Orders: Durable Goods]]-B127)/B127</f>
        <v/>
      </c>
    </row>
    <row r="129">
      <c r="A129" s="74" t="n">
        <v>37377</v>
      </c>
      <c r="B129" s="75">
        <f>VLOOKUP(A129,Database!A:M,MATCH($A$1,Database!$A$1:$M$1,),)</f>
        <v/>
      </c>
      <c r="C129" s="118">
        <f>(Table53514[[#This Row],[Manufacturers'' New Orders: Durable Goods]]-B128)/B128</f>
        <v/>
      </c>
    </row>
    <row r="130">
      <c r="A130" s="74" t="n">
        <v>37408</v>
      </c>
      <c r="B130" s="75">
        <f>VLOOKUP(A130,Database!A:M,MATCH($A$1,Database!$A$1:$M$1,),)</f>
        <v/>
      </c>
      <c r="C130" s="118">
        <f>(Table53514[[#This Row],[Manufacturers'' New Orders: Durable Goods]]-B129)/B129</f>
        <v/>
      </c>
    </row>
    <row r="131">
      <c r="A131" s="74" t="n">
        <v>37438</v>
      </c>
      <c r="B131" s="75">
        <f>VLOOKUP(A131,Database!A:M,MATCH($A$1,Database!$A$1:$M$1,),)</f>
        <v/>
      </c>
      <c r="C131" s="118">
        <f>(Table53514[[#This Row],[Manufacturers'' New Orders: Durable Goods]]-B130)/B130</f>
        <v/>
      </c>
    </row>
    <row r="132">
      <c r="A132" s="74" t="n">
        <v>37469</v>
      </c>
      <c r="B132" s="75">
        <f>VLOOKUP(A132,Database!A:M,MATCH($A$1,Database!$A$1:$M$1,),)</f>
        <v/>
      </c>
      <c r="C132" s="118">
        <f>(Table53514[[#This Row],[Manufacturers'' New Orders: Durable Goods]]-B131)/B131</f>
        <v/>
      </c>
    </row>
    <row r="133">
      <c r="A133" s="74" t="n">
        <v>37500</v>
      </c>
      <c r="B133" s="75">
        <f>VLOOKUP(A133,Database!A:M,MATCH($A$1,Database!$A$1:$M$1,),)</f>
        <v/>
      </c>
      <c r="C133" s="118">
        <f>(Table53514[[#This Row],[Manufacturers'' New Orders: Durable Goods]]-B132)/B132</f>
        <v/>
      </c>
    </row>
    <row r="134">
      <c r="A134" s="74" t="n">
        <v>37530</v>
      </c>
      <c r="B134" s="75">
        <f>VLOOKUP(A134,Database!A:M,MATCH($A$1,Database!$A$1:$M$1,),)</f>
        <v/>
      </c>
      <c r="C134" s="118">
        <f>(Table53514[[#This Row],[Manufacturers'' New Orders: Durable Goods]]-B133)/B133</f>
        <v/>
      </c>
    </row>
    <row r="135">
      <c r="A135" s="74" t="n">
        <v>37561</v>
      </c>
      <c r="B135" s="75">
        <f>VLOOKUP(A135,Database!A:M,MATCH($A$1,Database!$A$1:$M$1,),)</f>
        <v/>
      </c>
      <c r="C135" s="118">
        <f>(Table53514[[#This Row],[Manufacturers'' New Orders: Durable Goods]]-B134)/B134</f>
        <v/>
      </c>
    </row>
    <row r="136">
      <c r="A136" s="74" t="n">
        <v>37591</v>
      </c>
      <c r="B136" s="75">
        <f>VLOOKUP(A136,Database!A:M,MATCH($A$1,Database!$A$1:$M$1,),)</f>
        <v/>
      </c>
      <c r="C136" s="118">
        <f>(Table53514[[#This Row],[Manufacturers'' New Orders: Durable Goods]]-B135)/B135</f>
        <v/>
      </c>
    </row>
    <row r="137">
      <c r="A137" s="74" t="n">
        <v>37622</v>
      </c>
      <c r="B137" s="75">
        <f>VLOOKUP(A137,Database!A:M,MATCH($A$1,Database!$A$1:$M$1,),)</f>
        <v/>
      </c>
      <c r="C137" s="118">
        <f>(Table53514[[#This Row],[Manufacturers'' New Orders: Durable Goods]]-B136)/B136</f>
        <v/>
      </c>
    </row>
    <row r="138">
      <c r="A138" s="74" t="n">
        <v>37653</v>
      </c>
      <c r="B138" s="75">
        <f>VLOOKUP(A138,Database!A:M,MATCH($A$1,Database!$A$1:$M$1,),)</f>
        <v/>
      </c>
      <c r="C138" s="118">
        <f>(Table53514[[#This Row],[Manufacturers'' New Orders: Durable Goods]]-B137)/B137</f>
        <v/>
      </c>
    </row>
    <row r="139">
      <c r="A139" s="74" t="n">
        <v>37681</v>
      </c>
      <c r="B139" s="75">
        <f>VLOOKUP(A139,Database!A:M,MATCH($A$1,Database!$A$1:$M$1,),)</f>
        <v/>
      </c>
      <c r="C139" s="118">
        <f>(Table53514[[#This Row],[Manufacturers'' New Orders: Durable Goods]]-B138)/B138</f>
        <v/>
      </c>
    </row>
    <row r="140">
      <c r="A140" s="74" t="n">
        <v>37712</v>
      </c>
      <c r="B140" s="75">
        <f>VLOOKUP(A140,Database!A:M,MATCH($A$1,Database!$A$1:$M$1,),)</f>
        <v/>
      </c>
      <c r="C140" s="118">
        <f>(Table53514[[#This Row],[Manufacturers'' New Orders: Durable Goods]]-B139)/B139</f>
        <v/>
      </c>
    </row>
    <row r="141">
      <c r="A141" s="74" t="n">
        <v>37742</v>
      </c>
      <c r="B141" s="75">
        <f>VLOOKUP(A141,Database!A:M,MATCH($A$1,Database!$A$1:$M$1,),)</f>
        <v/>
      </c>
      <c r="C141" s="118">
        <f>(Table53514[[#This Row],[Manufacturers'' New Orders: Durable Goods]]-B140)/B140</f>
        <v/>
      </c>
    </row>
    <row r="142">
      <c r="A142" s="74" t="n">
        <v>37773</v>
      </c>
      <c r="B142" s="75">
        <f>VLOOKUP(A142,Database!A:M,MATCH($A$1,Database!$A$1:$M$1,),)</f>
        <v/>
      </c>
      <c r="C142" s="118">
        <f>(Table53514[[#This Row],[Manufacturers'' New Orders: Durable Goods]]-B141)/B141</f>
        <v/>
      </c>
    </row>
    <row r="143">
      <c r="A143" s="74" t="n">
        <v>37803</v>
      </c>
      <c r="B143" s="75">
        <f>VLOOKUP(A143,Database!A:M,MATCH($A$1,Database!$A$1:$M$1,),)</f>
        <v/>
      </c>
      <c r="C143" s="118">
        <f>(Table53514[[#This Row],[Manufacturers'' New Orders: Durable Goods]]-B142)/B142</f>
        <v/>
      </c>
    </row>
    <row r="144">
      <c r="A144" s="74" t="n">
        <v>37834</v>
      </c>
      <c r="B144" s="75">
        <f>VLOOKUP(A144,Database!A:M,MATCH($A$1,Database!$A$1:$M$1,),)</f>
        <v/>
      </c>
      <c r="C144" s="118">
        <f>(Table53514[[#This Row],[Manufacturers'' New Orders: Durable Goods]]-B143)/B143</f>
        <v/>
      </c>
    </row>
    <row r="145">
      <c r="A145" s="74" t="n">
        <v>37865</v>
      </c>
      <c r="B145" s="75">
        <f>VLOOKUP(A145,Database!A:M,MATCH($A$1,Database!$A$1:$M$1,),)</f>
        <v/>
      </c>
      <c r="C145" s="118">
        <f>(Table53514[[#This Row],[Manufacturers'' New Orders: Durable Goods]]-B144)/B144</f>
        <v/>
      </c>
    </row>
    <row r="146">
      <c r="A146" s="74" t="n">
        <v>37895</v>
      </c>
      <c r="B146" s="75">
        <f>VLOOKUP(A146,Database!A:M,MATCH($A$1,Database!$A$1:$M$1,),)</f>
        <v/>
      </c>
      <c r="C146" s="118">
        <f>(Table53514[[#This Row],[Manufacturers'' New Orders: Durable Goods]]-B145)/B145</f>
        <v/>
      </c>
    </row>
    <row r="147">
      <c r="A147" s="74" t="n">
        <v>37926</v>
      </c>
      <c r="B147" s="75">
        <f>VLOOKUP(A147,Database!A:M,MATCH($A$1,Database!$A$1:$M$1,),)</f>
        <v/>
      </c>
      <c r="C147" s="118">
        <f>(Table53514[[#This Row],[Manufacturers'' New Orders: Durable Goods]]-B146)/B146</f>
        <v/>
      </c>
    </row>
    <row r="148">
      <c r="A148" s="74" t="n">
        <v>37956</v>
      </c>
      <c r="B148" s="75">
        <f>VLOOKUP(A148,Database!A:M,MATCH($A$1,Database!$A$1:$M$1,),)</f>
        <v/>
      </c>
      <c r="C148" s="118">
        <f>(Table53514[[#This Row],[Manufacturers'' New Orders: Durable Goods]]-B147)/B147</f>
        <v/>
      </c>
    </row>
    <row r="149">
      <c r="A149" s="74" t="n">
        <v>37987</v>
      </c>
      <c r="B149" s="75">
        <f>VLOOKUP(A149,Database!A:M,MATCH($A$1,Database!$A$1:$M$1,),)</f>
        <v/>
      </c>
      <c r="C149" s="118">
        <f>(Table53514[[#This Row],[Manufacturers'' New Orders: Durable Goods]]-B148)/B148</f>
        <v/>
      </c>
    </row>
    <row r="150">
      <c r="A150" s="74" t="n">
        <v>38018</v>
      </c>
      <c r="B150" s="75">
        <f>VLOOKUP(A150,Database!A:M,MATCH($A$1,Database!$A$1:$M$1,),)</f>
        <v/>
      </c>
      <c r="C150" s="118">
        <f>(Table53514[[#This Row],[Manufacturers'' New Orders: Durable Goods]]-B149)/B149</f>
        <v/>
      </c>
    </row>
    <row r="151">
      <c r="A151" s="74" t="n">
        <v>38047</v>
      </c>
      <c r="B151" s="75">
        <f>VLOOKUP(A151,Database!A:M,MATCH($A$1,Database!$A$1:$M$1,),)</f>
        <v/>
      </c>
      <c r="C151" s="118">
        <f>(Table53514[[#This Row],[Manufacturers'' New Orders: Durable Goods]]-B150)/B150</f>
        <v/>
      </c>
    </row>
    <row r="152">
      <c r="A152" s="74" t="n">
        <v>38078</v>
      </c>
      <c r="B152" s="75">
        <f>VLOOKUP(A152,Database!A:M,MATCH($A$1,Database!$A$1:$M$1,),)</f>
        <v/>
      </c>
      <c r="C152" s="118">
        <f>(Table53514[[#This Row],[Manufacturers'' New Orders: Durable Goods]]-B151)/B151</f>
        <v/>
      </c>
    </row>
    <row r="153">
      <c r="A153" s="74" t="n">
        <v>38108</v>
      </c>
      <c r="B153" s="75">
        <f>VLOOKUP(A153,Database!A:M,MATCH($A$1,Database!$A$1:$M$1,),)</f>
        <v/>
      </c>
      <c r="C153" s="118">
        <f>(Table53514[[#This Row],[Manufacturers'' New Orders: Durable Goods]]-B152)/B152</f>
        <v/>
      </c>
    </row>
    <row r="154">
      <c r="A154" s="74" t="n">
        <v>38139</v>
      </c>
      <c r="B154" s="75">
        <f>VLOOKUP(A154,Database!A:M,MATCH($A$1,Database!$A$1:$M$1,),)</f>
        <v/>
      </c>
      <c r="C154" s="118">
        <f>(Table53514[[#This Row],[Manufacturers'' New Orders: Durable Goods]]-B153)/B153</f>
        <v/>
      </c>
    </row>
    <row r="155">
      <c r="A155" s="74" t="n">
        <v>38169</v>
      </c>
      <c r="B155" s="75">
        <f>VLOOKUP(A155,Database!A:M,MATCH($A$1,Database!$A$1:$M$1,),)</f>
        <v/>
      </c>
      <c r="C155" s="118">
        <f>(Table53514[[#This Row],[Manufacturers'' New Orders: Durable Goods]]-B154)/B154</f>
        <v/>
      </c>
    </row>
    <row r="156">
      <c r="A156" s="74" t="n">
        <v>38200</v>
      </c>
      <c r="B156" s="75">
        <f>VLOOKUP(A156,Database!A:M,MATCH($A$1,Database!$A$1:$M$1,),)</f>
        <v/>
      </c>
      <c r="C156" s="118">
        <f>(Table53514[[#This Row],[Manufacturers'' New Orders: Durable Goods]]-B155)/B155</f>
        <v/>
      </c>
    </row>
    <row r="157">
      <c r="A157" s="74" t="n">
        <v>38231</v>
      </c>
      <c r="B157" s="75">
        <f>VLOOKUP(A157,Database!A:M,MATCH($A$1,Database!$A$1:$M$1,),)</f>
        <v/>
      </c>
      <c r="C157" s="118">
        <f>(Table53514[[#This Row],[Manufacturers'' New Orders: Durable Goods]]-B156)/B156</f>
        <v/>
      </c>
    </row>
    <row r="158">
      <c r="A158" s="74" t="n">
        <v>38261</v>
      </c>
      <c r="B158" s="75">
        <f>VLOOKUP(A158,Database!A:M,MATCH($A$1,Database!$A$1:$M$1,),)</f>
        <v/>
      </c>
      <c r="C158" s="118">
        <f>(Table53514[[#This Row],[Manufacturers'' New Orders: Durable Goods]]-B157)/B157</f>
        <v/>
      </c>
    </row>
    <row r="159">
      <c r="A159" s="74" t="n">
        <v>38292</v>
      </c>
      <c r="B159" s="75">
        <f>VLOOKUP(A159,Database!A:M,MATCH($A$1,Database!$A$1:$M$1,),)</f>
        <v/>
      </c>
      <c r="C159" s="118">
        <f>(Table53514[[#This Row],[Manufacturers'' New Orders: Durable Goods]]-B158)/B158</f>
        <v/>
      </c>
    </row>
    <row r="160">
      <c r="A160" s="74" t="n">
        <v>38322</v>
      </c>
      <c r="B160" s="75">
        <f>VLOOKUP(A160,Database!A:M,MATCH($A$1,Database!$A$1:$M$1,),)</f>
        <v/>
      </c>
      <c r="C160" s="118">
        <f>(Table53514[[#This Row],[Manufacturers'' New Orders: Durable Goods]]-B159)/B159</f>
        <v/>
      </c>
    </row>
    <row r="161">
      <c r="A161" s="74" t="n">
        <v>38353</v>
      </c>
      <c r="B161" s="75">
        <f>VLOOKUP(A161,Database!A:M,MATCH($A$1,Database!$A$1:$M$1,),)</f>
        <v/>
      </c>
      <c r="C161" s="118">
        <f>(Table53514[[#This Row],[Manufacturers'' New Orders: Durable Goods]]-B160)/B160</f>
        <v/>
      </c>
    </row>
    <row r="162">
      <c r="A162" s="74" t="n">
        <v>38384</v>
      </c>
      <c r="B162" s="75">
        <f>VLOOKUP(A162,Database!A:M,MATCH($A$1,Database!$A$1:$M$1,),)</f>
        <v/>
      </c>
      <c r="C162" s="118">
        <f>(Table53514[[#This Row],[Manufacturers'' New Orders: Durable Goods]]-B161)/B161</f>
        <v/>
      </c>
    </row>
    <row r="163">
      <c r="A163" s="74" t="n">
        <v>38412</v>
      </c>
      <c r="B163" s="75">
        <f>VLOOKUP(A163,Database!A:M,MATCH($A$1,Database!$A$1:$M$1,),)</f>
        <v/>
      </c>
      <c r="C163" s="118">
        <f>(Table53514[[#This Row],[Manufacturers'' New Orders: Durable Goods]]-B162)/B162</f>
        <v/>
      </c>
    </row>
    <row r="164">
      <c r="A164" s="74" t="n">
        <v>38443</v>
      </c>
      <c r="B164" s="75">
        <f>VLOOKUP(A164,Database!A:M,MATCH($A$1,Database!$A$1:$M$1,),)</f>
        <v/>
      </c>
      <c r="C164" s="118">
        <f>(Table53514[[#This Row],[Manufacturers'' New Orders: Durable Goods]]-B163)/B163</f>
        <v/>
      </c>
    </row>
    <row r="165">
      <c r="A165" s="74" t="n">
        <v>38473</v>
      </c>
      <c r="B165" s="75">
        <f>VLOOKUP(A165,Database!A:M,MATCH($A$1,Database!$A$1:$M$1,),)</f>
        <v/>
      </c>
      <c r="C165" s="118">
        <f>(Table53514[[#This Row],[Manufacturers'' New Orders: Durable Goods]]-B164)/B164</f>
        <v/>
      </c>
    </row>
    <row r="166">
      <c r="A166" s="74" t="n">
        <v>38504</v>
      </c>
      <c r="B166" s="75">
        <f>VLOOKUP(A166,Database!A:M,MATCH($A$1,Database!$A$1:$M$1,),)</f>
        <v/>
      </c>
      <c r="C166" s="118">
        <f>(Table53514[[#This Row],[Manufacturers'' New Orders: Durable Goods]]-B165)/B165</f>
        <v/>
      </c>
    </row>
    <row r="167">
      <c r="A167" s="74" t="n">
        <v>38534</v>
      </c>
      <c r="B167" s="75">
        <f>VLOOKUP(A167,Database!A:M,MATCH($A$1,Database!$A$1:$M$1,),)</f>
        <v/>
      </c>
      <c r="C167" s="118">
        <f>(Table53514[[#This Row],[Manufacturers'' New Orders: Durable Goods]]-B166)/B166</f>
        <v/>
      </c>
    </row>
    <row r="168">
      <c r="A168" s="74" t="n">
        <v>38565</v>
      </c>
      <c r="B168" s="75">
        <f>VLOOKUP(A168,Database!A:M,MATCH($A$1,Database!$A$1:$M$1,),)</f>
        <v/>
      </c>
      <c r="C168" s="118">
        <f>(Table53514[[#This Row],[Manufacturers'' New Orders: Durable Goods]]-B167)/B167</f>
        <v/>
      </c>
    </row>
    <row r="169">
      <c r="A169" s="74" t="n">
        <v>38596</v>
      </c>
      <c r="B169" s="75">
        <f>VLOOKUP(A169,Database!A:M,MATCH($A$1,Database!$A$1:$M$1,),)</f>
        <v/>
      </c>
      <c r="C169" s="118">
        <f>(Table53514[[#This Row],[Manufacturers'' New Orders: Durable Goods]]-B168)/B168</f>
        <v/>
      </c>
    </row>
    <row r="170">
      <c r="A170" s="74" t="n">
        <v>38626</v>
      </c>
      <c r="B170" s="75">
        <f>VLOOKUP(A170,Database!A:M,MATCH($A$1,Database!$A$1:$M$1,),)</f>
        <v/>
      </c>
      <c r="C170" s="118">
        <f>(Table53514[[#This Row],[Manufacturers'' New Orders: Durable Goods]]-B169)/B169</f>
        <v/>
      </c>
    </row>
    <row r="171">
      <c r="A171" s="74" t="n">
        <v>38657</v>
      </c>
      <c r="B171" s="75">
        <f>VLOOKUP(A171,Database!A:M,MATCH($A$1,Database!$A$1:$M$1,),)</f>
        <v/>
      </c>
      <c r="C171" s="118">
        <f>(Table53514[[#This Row],[Manufacturers'' New Orders: Durable Goods]]-B170)/B170</f>
        <v/>
      </c>
    </row>
    <row r="172">
      <c r="A172" s="74" t="n">
        <v>38687</v>
      </c>
      <c r="B172" s="75">
        <f>VLOOKUP(A172,Database!A:M,MATCH($A$1,Database!$A$1:$M$1,),)</f>
        <v/>
      </c>
      <c r="C172" s="118">
        <f>(Table53514[[#This Row],[Manufacturers'' New Orders: Durable Goods]]-B171)/B171</f>
        <v/>
      </c>
    </row>
    <row r="173">
      <c r="A173" s="74" t="n">
        <v>38718</v>
      </c>
      <c r="B173" s="75">
        <f>VLOOKUP(A173,Database!A:M,MATCH($A$1,Database!$A$1:$M$1,),)</f>
        <v/>
      </c>
      <c r="C173" s="118">
        <f>(Table53514[[#This Row],[Manufacturers'' New Orders: Durable Goods]]-B172)/B172</f>
        <v/>
      </c>
    </row>
    <row r="174">
      <c r="A174" s="74" t="n">
        <v>38749</v>
      </c>
      <c r="B174" s="75">
        <f>VLOOKUP(A174,Database!A:M,MATCH($A$1,Database!$A$1:$M$1,),)</f>
        <v/>
      </c>
      <c r="C174" s="118">
        <f>(Table53514[[#This Row],[Manufacturers'' New Orders: Durable Goods]]-B173)/B173</f>
        <v/>
      </c>
    </row>
    <row r="175">
      <c r="A175" s="74" t="n">
        <v>38777</v>
      </c>
      <c r="B175" s="75">
        <f>VLOOKUP(A175,Database!A:M,MATCH($A$1,Database!$A$1:$M$1,),)</f>
        <v/>
      </c>
      <c r="C175" s="118">
        <f>(Table53514[[#This Row],[Manufacturers'' New Orders: Durable Goods]]-B174)/B174</f>
        <v/>
      </c>
    </row>
    <row r="176">
      <c r="A176" s="74" t="n">
        <v>38808</v>
      </c>
      <c r="B176" s="75">
        <f>VLOOKUP(A176,Database!A:M,MATCH($A$1,Database!$A$1:$M$1,),)</f>
        <v/>
      </c>
      <c r="C176" s="118">
        <f>(Table53514[[#This Row],[Manufacturers'' New Orders: Durable Goods]]-B175)/B175</f>
        <v/>
      </c>
    </row>
    <row r="177">
      <c r="A177" s="74" t="n">
        <v>38838</v>
      </c>
      <c r="B177" s="75">
        <f>VLOOKUP(A177,Database!A:M,MATCH($A$1,Database!$A$1:$M$1,),)</f>
        <v/>
      </c>
      <c r="C177" s="118">
        <f>(Table53514[[#This Row],[Manufacturers'' New Orders: Durable Goods]]-B176)/B176</f>
        <v/>
      </c>
    </row>
    <row r="178">
      <c r="A178" s="74" t="n">
        <v>38869</v>
      </c>
      <c r="B178" s="75">
        <f>VLOOKUP(A178,Database!A:M,MATCH($A$1,Database!$A$1:$M$1,),)</f>
        <v/>
      </c>
      <c r="C178" s="118">
        <f>(Table53514[[#This Row],[Manufacturers'' New Orders: Durable Goods]]-B177)/B177</f>
        <v/>
      </c>
    </row>
    <row r="179">
      <c r="A179" s="74" t="n">
        <v>38899</v>
      </c>
      <c r="B179" s="75">
        <f>VLOOKUP(A179,Database!A:M,MATCH($A$1,Database!$A$1:$M$1,),)</f>
        <v/>
      </c>
      <c r="C179" s="118">
        <f>(Table53514[[#This Row],[Manufacturers'' New Orders: Durable Goods]]-B178)/B178</f>
        <v/>
      </c>
    </row>
    <row r="180">
      <c r="A180" s="74" t="n">
        <v>38930</v>
      </c>
      <c r="B180" s="75">
        <f>VLOOKUP(A180,Database!A:M,MATCH($A$1,Database!$A$1:$M$1,),)</f>
        <v/>
      </c>
      <c r="C180" s="118">
        <f>(Table53514[[#This Row],[Manufacturers'' New Orders: Durable Goods]]-B179)/B179</f>
        <v/>
      </c>
    </row>
    <row r="181">
      <c r="A181" s="74" t="n">
        <v>38961</v>
      </c>
      <c r="B181" s="75">
        <f>VLOOKUP(A181,Database!A:M,MATCH($A$1,Database!$A$1:$M$1,),)</f>
        <v/>
      </c>
      <c r="C181" s="118">
        <f>(Table53514[[#This Row],[Manufacturers'' New Orders: Durable Goods]]-B180)/B180</f>
        <v/>
      </c>
    </row>
    <row r="182">
      <c r="A182" s="74" t="n">
        <v>38991</v>
      </c>
      <c r="B182" s="75">
        <f>VLOOKUP(A182,Database!A:M,MATCH($A$1,Database!$A$1:$M$1,),)</f>
        <v/>
      </c>
      <c r="C182" s="118">
        <f>(Table53514[[#This Row],[Manufacturers'' New Orders: Durable Goods]]-B181)/B181</f>
        <v/>
      </c>
    </row>
    <row r="183">
      <c r="A183" s="74" t="n">
        <v>39022</v>
      </c>
      <c r="B183" s="75">
        <f>VLOOKUP(A183,Database!A:M,MATCH($A$1,Database!$A$1:$M$1,),)</f>
        <v/>
      </c>
      <c r="C183" s="118">
        <f>(Table53514[[#This Row],[Manufacturers'' New Orders: Durable Goods]]-B182)/B182</f>
        <v/>
      </c>
    </row>
    <row r="184">
      <c r="A184" s="74" t="n">
        <v>39052</v>
      </c>
      <c r="B184" s="75">
        <f>VLOOKUP(A184,Database!A:M,MATCH($A$1,Database!$A$1:$M$1,),)</f>
        <v/>
      </c>
      <c r="C184" s="118">
        <f>(Table53514[[#This Row],[Manufacturers'' New Orders: Durable Goods]]-B183)/B183</f>
        <v/>
      </c>
    </row>
    <row r="185">
      <c r="A185" s="74" t="n">
        <v>39083</v>
      </c>
      <c r="B185" s="75">
        <f>VLOOKUP(A185,Database!A:M,MATCH($A$1,Database!$A$1:$M$1,),)</f>
        <v/>
      </c>
      <c r="C185" s="118">
        <f>(Table53514[[#This Row],[Manufacturers'' New Orders: Durable Goods]]-B184)/B184</f>
        <v/>
      </c>
    </row>
    <row r="186">
      <c r="A186" s="74" t="n">
        <v>39114</v>
      </c>
      <c r="B186" s="75">
        <f>VLOOKUP(A186,Database!A:M,MATCH($A$1,Database!$A$1:$M$1,),)</f>
        <v/>
      </c>
      <c r="C186" s="118">
        <f>(Table53514[[#This Row],[Manufacturers'' New Orders: Durable Goods]]-B185)/B185</f>
        <v/>
      </c>
    </row>
    <row r="187">
      <c r="A187" s="74" t="n">
        <v>39142</v>
      </c>
      <c r="B187" s="75">
        <f>VLOOKUP(A187,Database!A:M,MATCH($A$1,Database!$A$1:$M$1,),)</f>
        <v/>
      </c>
      <c r="C187" s="118">
        <f>(Table53514[[#This Row],[Manufacturers'' New Orders: Durable Goods]]-B186)/B186</f>
        <v/>
      </c>
    </row>
    <row r="188">
      <c r="A188" s="74" t="n">
        <v>39173</v>
      </c>
      <c r="B188" s="75">
        <f>VLOOKUP(A188,Database!A:M,MATCH($A$1,Database!$A$1:$M$1,),)</f>
        <v/>
      </c>
      <c r="C188" s="118">
        <f>(Table53514[[#This Row],[Manufacturers'' New Orders: Durable Goods]]-B187)/B187</f>
        <v/>
      </c>
    </row>
    <row r="189">
      <c r="A189" s="74" t="n">
        <v>39203</v>
      </c>
      <c r="B189" s="75">
        <f>VLOOKUP(A189,Database!A:M,MATCH($A$1,Database!$A$1:$M$1,),)</f>
        <v/>
      </c>
      <c r="C189" s="118">
        <f>(Table53514[[#This Row],[Manufacturers'' New Orders: Durable Goods]]-B188)/B188</f>
        <v/>
      </c>
    </row>
    <row r="190">
      <c r="A190" s="74" t="n">
        <v>39234</v>
      </c>
      <c r="B190" s="75">
        <f>VLOOKUP(A190,Database!A:M,MATCH($A$1,Database!$A$1:$M$1,),)</f>
        <v/>
      </c>
      <c r="C190" s="118">
        <f>(Table53514[[#This Row],[Manufacturers'' New Orders: Durable Goods]]-B189)/B189</f>
        <v/>
      </c>
    </row>
    <row r="191">
      <c r="A191" s="74" t="n">
        <v>39264</v>
      </c>
      <c r="B191" s="75">
        <f>VLOOKUP(A191,Database!A:M,MATCH($A$1,Database!$A$1:$M$1,),)</f>
        <v/>
      </c>
      <c r="C191" s="118">
        <f>(Table53514[[#This Row],[Manufacturers'' New Orders: Durable Goods]]-B190)/B190</f>
        <v/>
      </c>
    </row>
    <row r="192">
      <c r="A192" s="74" t="n">
        <v>39295</v>
      </c>
      <c r="B192" s="75">
        <f>VLOOKUP(A192,Database!A:M,MATCH($A$1,Database!$A$1:$M$1,),)</f>
        <v/>
      </c>
      <c r="C192" s="118">
        <f>(Table53514[[#This Row],[Manufacturers'' New Orders: Durable Goods]]-B191)/B191</f>
        <v/>
      </c>
    </row>
    <row r="193">
      <c r="A193" s="74" t="n">
        <v>39326</v>
      </c>
      <c r="B193" s="75">
        <f>VLOOKUP(A193,Database!A:M,MATCH($A$1,Database!$A$1:$M$1,),)</f>
        <v/>
      </c>
      <c r="C193" s="118">
        <f>(Table53514[[#This Row],[Manufacturers'' New Orders: Durable Goods]]-B192)/B192</f>
        <v/>
      </c>
    </row>
    <row r="194">
      <c r="A194" s="74" t="n">
        <v>39356</v>
      </c>
      <c r="B194" s="75">
        <f>VLOOKUP(A194,Database!A:M,MATCH($A$1,Database!$A$1:$M$1,),)</f>
        <v/>
      </c>
      <c r="C194" s="118">
        <f>(Table53514[[#This Row],[Manufacturers'' New Orders: Durable Goods]]-B193)/B193</f>
        <v/>
      </c>
    </row>
    <row r="195">
      <c r="A195" s="74" t="n">
        <v>39387</v>
      </c>
      <c r="B195" s="75">
        <f>VLOOKUP(A195,Database!A:M,MATCH($A$1,Database!$A$1:$M$1,),)</f>
        <v/>
      </c>
      <c r="C195" s="118">
        <f>(Table53514[[#This Row],[Manufacturers'' New Orders: Durable Goods]]-B194)/B194</f>
        <v/>
      </c>
    </row>
    <row r="196">
      <c r="A196" s="74" t="n">
        <v>39417</v>
      </c>
      <c r="B196" s="75">
        <f>VLOOKUP(A196,Database!A:M,MATCH($A$1,Database!$A$1:$M$1,),)</f>
        <v/>
      </c>
      <c r="C196" s="118">
        <f>(Table53514[[#This Row],[Manufacturers'' New Orders: Durable Goods]]-B195)/B195</f>
        <v/>
      </c>
    </row>
    <row r="197">
      <c r="A197" s="74" t="n">
        <v>39448</v>
      </c>
      <c r="B197" s="75">
        <f>VLOOKUP(A197,Database!A:M,MATCH($A$1,Database!$A$1:$M$1,),)</f>
        <v/>
      </c>
      <c r="C197" s="118">
        <f>(Table53514[[#This Row],[Manufacturers'' New Orders: Durable Goods]]-B196)/B196</f>
        <v/>
      </c>
    </row>
    <row r="198">
      <c r="A198" s="74" t="n">
        <v>39479</v>
      </c>
      <c r="B198" s="75">
        <f>VLOOKUP(A198,Database!A:M,MATCH($A$1,Database!$A$1:$M$1,),)</f>
        <v/>
      </c>
      <c r="C198" s="118">
        <f>(Table53514[[#This Row],[Manufacturers'' New Orders: Durable Goods]]-B197)/B197</f>
        <v/>
      </c>
    </row>
    <row r="199">
      <c r="A199" s="74" t="n">
        <v>39508</v>
      </c>
      <c r="B199" s="75">
        <f>VLOOKUP(A199,Database!A:M,MATCH($A$1,Database!$A$1:$M$1,),)</f>
        <v/>
      </c>
      <c r="C199" s="118">
        <f>(Table53514[[#This Row],[Manufacturers'' New Orders: Durable Goods]]-B198)/B198</f>
        <v/>
      </c>
    </row>
    <row r="200">
      <c r="A200" s="74" t="n">
        <v>39539</v>
      </c>
      <c r="B200" s="75">
        <f>VLOOKUP(A200,Database!A:M,MATCH($A$1,Database!$A$1:$M$1,),)</f>
        <v/>
      </c>
      <c r="C200" s="118">
        <f>(Table53514[[#This Row],[Manufacturers'' New Orders: Durable Goods]]-B199)/B199</f>
        <v/>
      </c>
    </row>
    <row r="201">
      <c r="A201" s="74" t="n">
        <v>39569</v>
      </c>
      <c r="B201" s="75">
        <f>VLOOKUP(A201,Database!A:M,MATCH($A$1,Database!$A$1:$M$1,),)</f>
        <v/>
      </c>
      <c r="C201" s="118">
        <f>(Table53514[[#This Row],[Manufacturers'' New Orders: Durable Goods]]-B200)/B200</f>
        <v/>
      </c>
    </row>
    <row r="202">
      <c r="A202" s="74" t="n">
        <v>39600</v>
      </c>
      <c r="B202" s="75">
        <f>VLOOKUP(A202,Database!A:M,MATCH($A$1,Database!$A$1:$M$1,),)</f>
        <v/>
      </c>
      <c r="C202" s="118">
        <f>(Table53514[[#This Row],[Manufacturers'' New Orders: Durable Goods]]-B201)/B201</f>
        <v/>
      </c>
    </row>
    <row r="203">
      <c r="A203" s="74" t="n">
        <v>39630</v>
      </c>
      <c r="B203" s="75">
        <f>VLOOKUP(A203,Database!A:M,MATCH($A$1,Database!$A$1:$M$1,),)</f>
        <v/>
      </c>
      <c r="C203" s="118">
        <f>(Table53514[[#This Row],[Manufacturers'' New Orders: Durable Goods]]-B202)/B202</f>
        <v/>
      </c>
    </row>
    <row r="204">
      <c r="A204" s="74" t="n">
        <v>39661</v>
      </c>
      <c r="B204" s="75">
        <f>VLOOKUP(A204,Database!A:M,MATCH($A$1,Database!$A$1:$M$1,),)</f>
        <v/>
      </c>
      <c r="C204" s="118">
        <f>(Table53514[[#This Row],[Manufacturers'' New Orders: Durable Goods]]-B203)/B203</f>
        <v/>
      </c>
    </row>
    <row r="205">
      <c r="A205" s="74" t="n">
        <v>39692</v>
      </c>
      <c r="B205" s="75">
        <f>VLOOKUP(A205,Database!A:M,MATCH($A$1,Database!$A$1:$M$1,),)</f>
        <v/>
      </c>
      <c r="C205" s="118">
        <f>(Table53514[[#This Row],[Manufacturers'' New Orders: Durable Goods]]-B204)/B204</f>
        <v/>
      </c>
    </row>
    <row r="206">
      <c r="A206" s="74" t="n">
        <v>39722</v>
      </c>
      <c r="B206" s="75">
        <f>VLOOKUP(A206,Database!A:M,MATCH($A$1,Database!$A$1:$M$1,),)</f>
        <v/>
      </c>
      <c r="C206" s="118">
        <f>(Table53514[[#This Row],[Manufacturers'' New Orders: Durable Goods]]-B205)/B205</f>
        <v/>
      </c>
    </row>
    <row r="207">
      <c r="A207" s="74" t="n">
        <v>39753</v>
      </c>
      <c r="B207" s="75">
        <f>VLOOKUP(A207,Database!A:M,MATCH($A$1,Database!$A$1:$M$1,),)</f>
        <v/>
      </c>
      <c r="C207" s="118">
        <f>(Table53514[[#This Row],[Manufacturers'' New Orders: Durable Goods]]-B206)/B206</f>
        <v/>
      </c>
    </row>
    <row r="208">
      <c r="A208" s="74" t="n">
        <v>39783</v>
      </c>
      <c r="B208" s="75">
        <f>VLOOKUP(A208,Database!A:M,MATCH($A$1,Database!$A$1:$M$1,),)</f>
        <v/>
      </c>
      <c r="C208" s="118">
        <f>(Table53514[[#This Row],[Manufacturers'' New Orders: Durable Goods]]-B207)/B207</f>
        <v/>
      </c>
    </row>
    <row r="209">
      <c r="A209" s="74" t="n">
        <v>39814</v>
      </c>
      <c r="B209" s="75">
        <f>VLOOKUP(A209,Database!A:M,MATCH($A$1,Database!$A$1:$M$1,),)</f>
        <v/>
      </c>
      <c r="C209" s="118">
        <f>(Table53514[[#This Row],[Manufacturers'' New Orders: Durable Goods]]-B208)/B208</f>
        <v/>
      </c>
    </row>
    <row r="210">
      <c r="A210" s="74" t="n">
        <v>39845</v>
      </c>
      <c r="B210" s="75">
        <f>VLOOKUP(A210,Database!A:M,MATCH($A$1,Database!$A$1:$M$1,),)</f>
        <v/>
      </c>
      <c r="C210" s="118">
        <f>(Table53514[[#This Row],[Manufacturers'' New Orders: Durable Goods]]-B209)/B209</f>
        <v/>
      </c>
    </row>
    <row r="211">
      <c r="A211" s="74" t="n">
        <v>39873</v>
      </c>
      <c r="B211" s="75">
        <f>VLOOKUP(A211,Database!A:M,MATCH($A$1,Database!$A$1:$M$1,),)</f>
        <v/>
      </c>
      <c r="C211" s="118">
        <f>(Table53514[[#This Row],[Manufacturers'' New Orders: Durable Goods]]-B210)/B210</f>
        <v/>
      </c>
    </row>
    <row r="212">
      <c r="A212" s="74" t="n">
        <v>39904</v>
      </c>
      <c r="B212" s="75">
        <f>VLOOKUP(A212,Database!A:M,MATCH($A$1,Database!$A$1:$M$1,),)</f>
        <v/>
      </c>
      <c r="C212" s="118">
        <f>(Table53514[[#This Row],[Manufacturers'' New Orders: Durable Goods]]-B211)/B211</f>
        <v/>
      </c>
    </row>
    <row r="213">
      <c r="A213" s="74" t="n">
        <v>39934</v>
      </c>
      <c r="B213" s="75">
        <f>VLOOKUP(A213,Database!A:M,MATCH($A$1,Database!$A$1:$M$1,),)</f>
        <v/>
      </c>
      <c r="C213" s="118">
        <f>(Table53514[[#This Row],[Manufacturers'' New Orders: Durable Goods]]-B212)/B212</f>
        <v/>
      </c>
    </row>
    <row r="214">
      <c r="A214" s="74" t="n">
        <v>39965</v>
      </c>
      <c r="B214" s="75">
        <f>VLOOKUP(A214,Database!A:M,MATCH($A$1,Database!$A$1:$M$1,),)</f>
        <v/>
      </c>
      <c r="C214" s="118">
        <f>(Table53514[[#This Row],[Manufacturers'' New Orders: Durable Goods]]-B213)/B213</f>
        <v/>
      </c>
    </row>
    <row r="215">
      <c r="A215" s="74" t="n">
        <v>39995</v>
      </c>
      <c r="B215" s="75">
        <f>VLOOKUP(A215,Database!A:M,MATCH($A$1,Database!$A$1:$M$1,),)</f>
        <v/>
      </c>
      <c r="C215" s="118">
        <f>(Table53514[[#This Row],[Manufacturers'' New Orders: Durable Goods]]-B214)/B214</f>
        <v/>
      </c>
    </row>
    <row r="216">
      <c r="A216" s="74" t="n">
        <v>40026</v>
      </c>
      <c r="B216" s="75">
        <f>VLOOKUP(A216,Database!A:M,MATCH($A$1,Database!$A$1:$M$1,),)</f>
        <v/>
      </c>
      <c r="C216" s="118">
        <f>(Table53514[[#This Row],[Manufacturers'' New Orders: Durable Goods]]-B215)/B215</f>
        <v/>
      </c>
    </row>
    <row r="217">
      <c r="A217" s="74" t="n">
        <v>40057</v>
      </c>
      <c r="B217" s="75">
        <f>VLOOKUP(A217,Database!A:M,MATCH($A$1,Database!$A$1:$M$1,),)</f>
        <v/>
      </c>
      <c r="C217" s="118">
        <f>(Table53514[[#This Row],[Manufacturers'' New Orders: Durable Goods]]-B216)/B216</f>
        <v/>
      </c>
    </row>
    <row r="218">
      <c r="A218" s="74" t="n">
        <v>40087</v>
      </c>
      <c r="B218" s="75">
        <f>VLOOKUP(A218,Database!A:M,MATCH($A$1,Database!$A$1:$M$1,),)</f>
        <v/>
      </c>
      <c r="C218" s="118">
        <f>(Table53514[[#This Row],[Manufacturers'' New Orders: Durable Goods]]-B217)/B217</f>
        <v/>
      </c>
    </row>
    <row r="219">
      <c r="A219" s="74" t="n">
        <v>40118</v>
      </c>
      <c r="B219" s="75">
        <f>VLOOKUP(A219,Database!A:M,MATCH($A$1,Database!$A$1:$M$1,),)</f>
        <v/>
      </c>
      <c r="C219" s="118">
        <f>(Table53514[[#This Row],[Manufacturers'' New Orders: Durable Goods]]-B218)/B218</f>
        <v/>
      </c>
    </row>
    <row r="220">
      <c r="A220" s="74" t="n">
        <v>40148</v>
      </c>
      <c r="B220" s="75">
        <f>VLOOKUP(A220,Database!A:M,MATCH($A$1,Database!$A$1:$M$1,),)</f>
        <v/>
      </c>
      <c r="C220" s="118">
        <f>(Table53514[[#This Row],[Manufacturers'' New Orders: Durable Goods]]-B219)/B219</f>
        <v/>
      </c>
    </row>
    <row r="221">
      <c r="A221" s="74" t="n">
        <v>40179</v>
      </c>
      <c r="B221" s="75">
        <f>VLOOKUP(A221,Database!A:M,MATCH($A$1,Database!$A$1:$M$1,),)</f>
        <v/>
      </c>
      <c r="C221" s="118">
        <f>(Table53514[[#This Row],[Manufacturers'' New Orders: Durable Goods]]-B220)/B220</f>
        <v/>
      </c>
    </row>
    <row r="222">
      <c r="A222" s="74" t="n">
        <v>40210</v>
      </c>
      <c r="B222" s="75">
        <f>VLOOKUP(A222,Database!A:M,MATCH($A$1,Database!$A$1:$M$1,),)</f>
        <v/>
      </c>
      <c r="C222" s="118">
        <f>(Table53514[[#This Row],[Manufacturers'' New Orders: Durable Goods]]-B221)/B221</f>
        <v/>
      </c>
    </row>
    <row r="223">
      <c r="A223" s="74" t="n">
        <v>40238</v>
      </c>
      <c r="B223" s="75">
        <f>VLOOKUP(A223,Database!A:M,MATCH($A$1,Database!$A$1:$M$1,),)</f>
        <v/>
      </c>
      <c r="C223" s="118">
        <f>(Table53514[[#This Row],[Manufacturers'' New Orders: Durable Goods]]-B222)/B222</f>
        <v/>
      </c>
    </row>
    <row r="224">
      <c r="A224" s="74" t="n">
        <v>40269</v>
      </c>
      <c r="B224" s="75">
        <f>VLOOKUP(A224,Database!A:M,MATCH($A$1,Database!$A$1:$M$1,),)</f>
        <v/>
      </c>
      <c r="C224" s="118">
        <f>(Table53514[[#This Row],[Manufacturers'' New Orders: Durable Goods]]-B223)/B223</f>
        <v/>
      </c>
    </row>
    <row r="225">
      <c r="A225" s="74" t="n">
        <v>40299</v>
      </c>
      <c r="B225" s="75">
        <f>VLOOKUP(A225,Database!A:M,MATCH($A$1,Database!$A$1:$M$1,),)</f>
        <v/>
      </c>
      <c r="C225" s="118">
        <f>(Table53514[[#This Row],[Manufacturers'' New Orders: Durable Goods]]-B224)/B224</f>
        <v/>
      </c>
    </row>
    <row r="226">
      <c r="A226" s="74" t="n">
        <v>40330</v>
      </c>
      <c r="B226" s="75">
        <f>VLOOKUP(A226,Database!A:M,MATCH($A$1,Database!$A$1:$M$1,),)</f>
        <v/>
      </c>
      <c r="C226" s="118">
        <f>(Table53514[[#This Row],[Manufacturers'' New Orders: Durable Goods]]-B225)/B225</f>
        <v/>
      </c>
    </row>
    <row r="227">
      <c r="A227" s="74" t="n">
        <v>40360</v>
      </c>
      <c r="B227" s="75">
        <f>VLOOKUP(A227,Database!A:M,MATCH($A$1,Database!$A$1:$M$1,),)</f>
        <v/>
      </c>
      <c r="C227" s="118">
        <f>(Table53514[[#This Row],[Manufacturers'' New Orders: Durable Goods]]-B226)/B226</f>
        <v/>
      </c>
    </row>
    <row r="228">
      <c r="A228" s="74" t="n">
        <v>40391</v>
      </c>
      <c r="B228" s="75">
        <f>VLOOKUP(A228,Database!A:M,MATCH($A$1,Database!$A$1:$M$1,),)</f>
        <v/>
      </c>
      <c r="C228" s="118">
        <f>(Table53514[[#This Row],[Manufacturers'' New Orders: Durable Goods]]-B227)/B227</f>
        <v/>
      </c>
    </row>
    <row r="229">
      <c r="A229" s="74" t="n">
        <v>40422</v>
      </c>
      <c r="B229" s="75">
        <f>VLOOKUP(A229,Database!A:M,MATCH($A$1,Database!$A$1:$M$1,),)</f>
        <v/>
      </c>
      <c r="C229" s="118">
        <f>(Table53514[[#This Row],[Manufacturers'' New Orders: Durable Goods]]-B228)/B228</f>
        <v/>
      </c>
    </row>
    <row r="230">
      <c r="A230" s="74" t="n">
        <v>40452</v>
      </c>
      <c r="B230" s="75">
        <f>VLOOKUP(A230,Database!A:M,MATCH($A$1,Database!$A$1:$M$1,),)</f>
        <v/>
      </c>
      <c r="C230" s="118">
        <f>(Table53514[[#This Row],[Manufacturers'' New Orders: Durable Goods]]-B229)/B229</f>
        <v/>
      </c>
    </row>
    <row r="231">
      <c r="A231" s="74" t="n">
        <v>40483</v>
      </c>
      <c r="B231" s="75">
        <f>VLOOKUP(A231,Database!A:M,MATCH($A$1,Database!$A$1:$M$1,),)</f>
        <v/>
      </c>
      <c r="C231" s="118">
        <f>(Table53514[[#This Row],[Manufacturers'' New Orders: Durable Goods]]-B230)/B230</f>
        <v/>
      </c>
    </row>
    <row r="232">
      <c r="A232" s="74" t="n">
        <v>40513</v>
      </c>
      <c r="B232" s="75">
        <f>VLOOKUP(A232,Database!A:M,MATCH($A$1,Database!$A$1:$M$1,),)</f>
        <v/>
      </c>
      <c r="C232" s="118">
        <f>(Table53514[[#This Row],[Manufacturers'' New Orders: Durable Goods]]-B231)/B231</f>
        <v/>
      </c>
    </row>
    <row r="233">
      <c r="A233" s="74" t="n">
        <v>40544</v>
      </c>
      <c r="B233" s="75">
        <f>VLOOKUP(A233,Database!A:M,MATCH($A$1,Database!$A$1:$M$1,),)</f>
        <v/>
      </c>
      <c r="C233" s="118">
        <f>(Table53514[[#This Row],[Manufacturers'' New Orders: Durable Goods]]-B232)/B232</f>
        <v/>
      </c>
    </row>
    <row r="234">
      <c r="A234" s="74" t="n">
        <v>40575</v>
      </c>
      <c r="B234" s="75">
        <f>VLOOKUP(A234,Database!A:M,MATCH($A$1,Database!$A$1:$M$1,),)</f>
        <v/>
      </c>
      <c r="C234" s="118">
        <f>(Table53514[[#This Row],[Manufacturers'' New Orders: Durable Goods]]-B233)/B233</f>
        <v/>
      </c>
    </row>
    <row r="235">
      <c r="A235" s="74" t="n">
        <v>40603</v>
      </c>
      <c r="B235" s="75">
        <f>VLOOKUP(A235,Database!A:M,MATCH($A$1,Database!$A$1:$M$1,),)</f>
        <v/>
      </c>
      <c r="C235" s="118">
        <f>(Table53514[[#This Row],[Manufacturers'' New Orders: Durable Goods]]-B234)/B234</f>
        <v/>
      </c>
    </row>
    <row r="236">
      <c r="A236" s="74" t="n">
        <v>40634</v>
      </c>
      <c r="B236" s="75">
        <f>VLOOKUP(A236,Database!A:M,MATCH($A$1,Database!$A$1:$M$1,),)</f>
        <v/>
      </c>
      <c r="C236" s="118">
        <f>(Table53514[[#This Row],[Manufacturers'' New Orders: Durable Goods]]-B235)/B235</f>
        <v/>
      </c>
    </row>
    <row r="237">
      <c r="A237" s="74" t="n">
        <v>40664</v>
      </c>
      <c r="B237" s="75">
        <f>VLOOKUP(A237,Database!A:M,MATCH($A$1,Database!$A$1:$M$1,),)</f>
        <v/>
      </c>
      <c r="C237" s="118">
        <f>(Table53514[[#This Row],[Manufacturers'' New Orders: Durable Goods]]-B236)/B236</f>
        <v/>
      </c>
    </row>
    <row r="238">
      <c r="A238" s="74" t="n">
        <v>40695</v>
      </c>
      <c r="B238" s="75">
        <f>VLOOKUP(A238,Database!A:M,MATCH($A$1,Database!$A$1:$M$1,),)</f>
        <v/>
      </c>
      <c r="C238" s="118">
        <f>(Table53514[[#This Row],[Manufacturers'' New Orders: Durable Goods]]-B237)/B237</f>
        <v/>
      </c>
    </row>
    <row r="239">
      <c r="A239" s="74" t="n">
        <v>40725</v>
      </c>
      <c r="B239" s="75">
        <f>VLOOKUP(A239,Database!A:M,MATCH($A$1,Database!$A$1:$M$1,),)</f>
        <v/>
      </c>
      <c r="C239" s="118">
        <f>(Table53514[[#This Row],[Manufacturers'' New Orders: Durable Goods]]-B238)/B238</f>
        <v/>
      </c>
    </row>
    <row r="240">
      <c r="A240" s="74" t="n">
        <v>40756</v>
      </c>
      <c r="B240" s="75">
        <f>VLOOKUP(A240,Database!A:M,MATCH($A$1,Database!$A$1:$M$1,),)</f>
        <v/>
      </c>
      <c r="C240" s="118">
        <f>(Table53514[[#This Row],[Manufacturers'' New Orders: Durable Goods]]-B239)/B239</f>
        <v/>
      </c>
    </row>
    <row r="241">
      <c r="A241" s="74" t="n">
        <v>40787</v>
      </c>
      <c r="B241" s="75">
        <f>VLOOKUP(A241,Database!A:M,MATCH($A$1,Database!$A$1:$M$1,),)</f>
        <v/>
      </c>
      <c r="C241" s="118">
        <f>(Table53514[[#This Row],[Manufacturers'' New Orders: Durable Goods]]-B240)/B240</f>
        <v/>
      </c>
    </row>
    <row r="242">
      <c r="A242" s="74" t="n">
        <v>40817</v>
      </c>
      <c r="B242" s="75">
        <f>VLOOKUP(A242,Database!A:M,MATCH($A$1,Database!$A$1:$M$1,),)</f>
        <v/>
      </c>
      <c r="C242" s="118">
        <f>(Table53514[[#This Row],[Manufacturers'' New Orders: Durable Goods]]-B241)/B241</f>
        <v/>
      </c>
    </row>
    <row r="243">
      <c r="A243" s="74" t="n">
        <v>40848</v>
      </c>
      <c r="B243" s="75">
        <f>VLOOKUP(A243,Database!A:M,MATCH($A$1,Database!$A$1:$M$1,),)</f>
        <v/>
      </c>
      <c r="C243" s="118">
        <f>(Table53514[[#This Row],[Manufacturers'' New Orders: Durable Goods]]-B242)/B242</f>
        <v/>
      </c>
    </row>
    <row r="244">
      <c r="A244" s="74" t="n">
        <v>40878</v>
      </c>
      <c r="B244" s="75">
        <f>VLOOKUP(A244,Database!A:M,MATCH($A$1,Database!$A$1:$M$1,),)</f>
        <v/>
      </c>
      <c r="C244" s="118">
        <f>(Table53514[[#This Row],[Manufacturers'' New Orders: Durable Goods]]-B243)/B243</f>
        <v/>
      </c>
    </row>
    <row r="245">
      <c r="A245" s="74" t="n">
        <v>40909</v>
      </c>
      <c r="B245" s="75">
        <f>VLOOKUP(A245,Database!A:M,MATCH($A$1,Database!$A$1:$M$1,),)</f>
        <v/>
      </c>
      <c r="C245" s="118">
        <f>(Table53514[[#This Row],[Manufacturers'' New Orders: Durable Goods]]-B244)/B244</f>
        <v/>
      </c>
    </row>
    <row r="246">
      <c r="A246" s="74" t="n">
        <v>40940</v>
      </c>
      <c r="B246" s="75">
        <f>VLOOKUP(A246,Database!A:M,MATCH($A$1,Database!$A$1:$M$1,),)</f>
        <v/>
      </c>
      <c r="C246" s="118">
        <f>(Table53514[[#This Row],[Manufacturers'' New Orders: Durable Goods]]-B245)/B245</f>
        <v/>
      </c>
    </row>
    <row r="247">
      <c r="A247" s="74" t="n">
        <v>40969</v>
      </c>
      <c r="B247" s="75">
        <f>VLOOKUP(A247,Database!A:M,MATCH($A$1,Database!$A$1:$M$1,),)</f>
        <v/>
      </c>
      <c r="C247" s="118">
        <f>(Table53514[[#This Row],[Manufacturers'' New Orders: Durable Goods]]-B246)/B246</f>
        <v/>
      </c>
    </row>
    <row r="248">
      <c r="A248" s="74" t="n">
        <v>41000</v>
      </c>
      <c r="B248" s="75">
        <f>VLOOKUP(A248,Database!A:M,MATCH($A$1,Database!$A$1:$M$1,),)</f>
        <v/>
      </c>
      <c r="C248" s="118">
        <f>(Table53514[[#This Row],[Manufacturers'' New Orders: Durable Goods]]-B247)/B247</f>
        <v/>
      </c>
    </row>
    <row r="249">
      <c r="A249" s="74" t="n">
        <v>41030</v>
      </c>
      <c r="B249" s="75">
        <f>VLOOKUP(A249,Database!A:M,MATCH($A$1,Database!$A$1:$M$1,),)</f>
        <v/>
      </c>
      <c r="C249" s="118">
        <f>(Table53514[[#This Row],[Manufacturers'' New Orders: Durable Goods]]-B248)/B248</f>
        <v/>
      </c>
    </row>
    <row r="250">
      <c r="A250" s="74" t="n">
        <v>41061</v>
      </c>
      <c r="B250" s="75">
        <f>VLOOKUP(A250,Database!A:M,MATCH($A$1,Database!$A$1:$M$1,),)</f>
        <v/>
      </c>
      <c r="C250" s="118">
        <f>(Table53514[[#This Row],[Manufacturers'' New Orders: Durable Goods]]-B249)/B249</f>
        <v/>
      </c>
    </row>
    <row r="251">
      <c r="A251" s="74" t="n">
        <v>41091</v>
      </c>
      <c r="B251" s="75">
        <f>VLOOKUP(A251,Database!A:M,MATCH($A$1,Database!$A$1:$M$1,),)</f>
        <v/>
      </c>
      <c r="C251" s="118">
        <f>(Table53514[[#This Row],[Manufacturers'' New Orders: Durable Goods]]-B250)/B250</f>
        <v/>
      </c>
    </row>
    <row r="252">
      <c r="A252" s="74" t="n">
        <v>41122</v>
      </c>
      <c r="B252" s="75">
        <f>VLOOKUP(A252,Database!A:M,MATCH($A$1,Database!$A$1:$M$1,),)</f>
        <v/>
      </c>
      <c r="C252" s="118">
        <f>(Table53514[[#This Row],[Manufacturers'' New Orders: Durable Goods]]-B251)/B251</f>
        <v/>
      </c>
    </row>
    <row r="253">
      <c r="A253" s="74" t="n">
        <v>41153</v>
      </c>
      <c r="B253" s="75">
        <f>VLOOKUP(A253,Database!A:M,MATCH($A$1,Database!$A$1:$M$1,),)</f>
        <v/>
      </c>
      <c r="C253" s="118">
        <f>(Table53514[[#This Row],[Manufacturers'' New Orders: Durable Goods]]-B252)/B252</f>
        <v/>
      </c>
    </row>
    <row r="254">
      <c r="A254" s="74" t="n">
        <v>41183</v>
      </c>
      <c r="B254" s="75">
        <f>VLOOKUP(A254,Database!A:M,MATCH($A$1,Database!$A$1:$M$1,),)</f>
        <v/>
      </c>
      <c r="C254" s="118">
        <f>(Table53514[[#This Row],[Manufacturers'' New Orders: Durable Goods]]-B253)/B253</f>
        <v/>
      </c>
    </row>
    <row r="255">
      <c r="A255" s="74" t="n">
        <v>41214</v>
      </c>
      <c r="B255" s="75">
        <f>VLOOKUP(A255,Database!A:M,MATCH($A$1,Database!$A$1:$M$1,),)</f>
        <v/>
      </c>
      <c r="C255" s="118">
        <f>(Table53514[[#This Row],[Manufacturers'' New Orders: Durable Goods]]-B254)/B254</f>
        <v/>
      </c>
    </row>
    <row r="256">
      <c r="A256" s="74" t="n">
        <v>41244</v>
      </c>
      <c r="B256" s="75">
        <f>VLOOKUP(A256,Database!A:M,MATCH($A$1,Database!$A$1:$M$1,),)</f>
        <v/>
      </c>
      <c r="C256" s="118">
        <f>(Table53514[[#This Row],[Manufacturers'' New Orders: Durable Goods]]-B255)/B255</f>
        <v/>
      </c>
    </row>
    <row r="257">
      <c r="A257" s="74" t="n">
        <v>41275</v>
      </c>
      <c r="B257" s="75">
        <f>VLOOKUP(A257,Database!A:M,MATCH($A$1,Database!$A$1:$M$1,),)</f>
        <v/>
      </c>
      <c r="C257" s="118">
        <f>(Table53514[[#This Row],[Manufacturers'' New Orders: Durable Goods]]-B256)/B256</f>
        <v/>
      </c>
    </row>
    <row r="258">
      <c r="A258" s="74" t="n">
        <v>41306</v>
      </c>
      <c r="B258" s="75">
        <f>VLOOKUP(A258,Database!A:M,MATCH($A$1,Database!$A$1:$M$1,),)</f>
        <v/>
      </c>
      <c r="C258" s="118">
        <f>(Table53514[[#This Row],[Manufacturers'' New Orders: Durable Goods]]-B257)/B257</f>
        <v/>
      </c>
    </row>
    <row r="259">
      <c r="A259" s="74" t="n">
        <v>41334</v>
      </c>
      <c r="B259" s="75">
        <f>VLOOKUP(A259,Database!A:M,MATCH($A$1,Database!$A$1:$M$1,),)</f>
        <v/>
      </c>
      <c r="C259" s="118">
        <f>(Table53514[[#This Row],[Manufacturers'' New Orders: Durable Goods]]-B258)/B258</f>
        <v/>
      </c>
    </row>
    <row r="260">
      <c r="A260" s="74" t="n">
        <v>41365</v>
      </c>
      <c r="B260" s="75">
        <f>VLOOKUP(A260,Database!A:M,MATCH($A$1,Database!$A$1:$M$1,),)</f>
        <v/>
      </c>
      <c r="C260" s="118">
        <f>(Table53514[[#This Row],[Manufacturers'' New Orders: Durable Goods]]-B259)/B259</f>
        <v/>
      </c>
    </row>
    <row r="261">
      <c r="A261" s="74" t="n">
        <v>41395</v>
      </c>
      <c r="B261" s="75">
        <f>VLOOKUP(A261,Database!A:M,MATCH($A$1,Database!$A$1:$M$1,),)</f>
        <v/>
      </c>
      <c r="C261" s="118">
        <f>(Table53514[[#This Row],[Manufacturers'' New Orders: Durable Goods]]-B260)/B260</f>
        <v/>
      </c>
    </row>
    <row r="262">
      <c r="A262" s="74" t="n">
        <v>41426</v>
      </c>
      <c r="B262" s="75">
        <f>VLOOKUP(A262,Database!A:M,MATCH($A$1,Database!$A$1:$M$1,),)</f>
        <v/>
      </c>
      <c r="C262" s="118">
        <f>(Table53514[[#This Row],[Manufacturers'' New Orders: Durable Goods]]-B261)/B261</f>
        <v/>
      </c>
    </row>
    <row r="263">
      <c r="A263" s="74" t="n">
        <v>41456</v>
      </c>
      <c r="B263" s="75">
        <f>VLOOKUP(A263,Database!A:M,MATCH($A$1,Database!$A$1:$M$1,),)</f>
        <v/>
      </c>
      <c r="C263" s="118">
        <f>(Table53514[[#This Row],[Manufacturers'' New Orders: Durable Goods]]-B262)/B262</f>
        <v/>
      </c>
    </row>
    <row r="264">
      <c r="A264" s="74" t="n">
        <v>41487</v>
      </c>
      <c r="B264" s="75">
        <f>VLOOKUP(A264,Database!A:M,MATCH($A$1,Database!$A$1:$M$1,),)</f>
        <v/>
      </c>
      <c r="C264" s="118">
        <f>(Table53514[[#This Row],[Manufacturers'' New Orders: Durable Goods]]-B263)/B263</f>
        <v/>
      </c>
    </row>
    <row r="265">
      <c r="A265" s="74" t="n">
        <v>41518</v>
      </c>
      <c r="B265" s="75">
        <f>VLOOKUP(A265,Database!A:M,MATCH($A$1,Database!$A$1:$M$1,),)</f>
        <v/>
      </c>
      <c r="C265" s="118">
        <f>(Table53514[[#This Row],[Manufacturers'' New Orders: Durable Goods]]-B264)/B264</f>
        <v/>
      </c>
    </row>
    <row r="266">
      <c r="A266" s="74" t="n">
        <v>41548</v>
      </c>
      <c r="B266" s="75">
        <f>VLOOKUP(A266,Database!A:M,MATCH($A$1,Database!$A$1:$M$1,),)</f>
        <v/>
      </c>
      <c r="C266" s="118">
        <f>(Table53514[[#This Row],[Manufacturers'' New Orders: Durable Goods]]-B265)/B265</f>
        <v/>
      </c>
    </row>
    <row r="267">
      <c r="A267" s="74" t="n">
        <v>41579</v>
      </c>
      <c r="B267" s="75">
        <f>VLOOKUP(A267,Database!A:M,MATCH($A$1,Database!$A$1:$M$1,),)</f>
        <v/>
      </c>
      <c r="C267" s="118">
        <f>(Table53514[[#This Row],[Manufacturers'' New Orders: Durable Goods]]-B266)/B266</f>
        <v/>
      </c>
    </row>
    <row r="268">
      <c r="A268" s="74" t="n">
        <v>41609</v>
      </c>
      <c r="B268" s="75">
        <f>VLOOKUP(A268,Database!A:M,MATCH($A$1,Database!$A$1:$M$1,),)</f>
        <v/>
      </c>
      <c r="C268" s="118">
        <f>(Table53514[[#This Row],[Manufacturers'' New Orders: Durable Goods]]-B267)/B267</f>
        <v/>
      </c>
    </row>
    <row r="269">
      <c r="A269" s="74" t="n">
        <v>41640</v>
      </c>
      <c r="B269" s="75">
        <f>VLOOKUP(A269,Database!A:M,MATCH($A$1,Database!$A$1:$M$1,),)</f>
        <v/>
      </c>
      <c r="C269" s="118">
        <f>(Table53514[[#This Row],[Manufacturers'' New Orders: Durable Goods]]-B268)/B268</f>
        <v/>
      </c>
    </row>
    <row r="270">
      <c r="A270" s="74" t="n">
        <v>41671</v>
      </c>
      <c r="B270" s="75">
        <f>VLOOKUP(A270,Database!A:M,MATCH($A$1,Database!$A$1:$M$1,),)</f>
        <v/>
      </c>
      <c r="C270" s="118">
        <f>(Table53514[[#This Row],[Manufacturers'' New Orders: Durable Goods]]-B269)/B269</f>
        <v/>
      </c>
    </row>
    <row r="271">
      <c r="A271" s="74" t="n">
        <v>41699</v>
      </c>
      <c r="B271" s="75">
        <f>VLOOKUP(A271,Database!A:M,MATCH($A$1,Database!$A$1:$M$1,),)</f>
        <v/>
      </c>
      <c r="C271" s="118">
        <f>(Table53514[[#This Row],[Manufacturers'' New Orders: Durable Goods]]-B270)/B270</f>
        <v/>
      </c>
    </row>
    <row r="272">
      <c r="A272" s="74" t="n">
        <v>41730</v>
      </c>
      <c r="B272" s="75">
        <f>VLOOKUP(A272,Database!A:M,MATCH($A$1,Database!$A$1:$M$1,),)</f>
        <v/>
      </c>
      <c r="C272" s="118">
        <f>(Table53514[[#This Row],[Manufacturers'' New Orders: Durable Goods]]-B271)/B271</f>
        <v/>
      </c>
    </row>
    <row r="273">
      <c r="A273" s="74" t="n">
        <v>41760</v>
      </c>
      <c r="B273" s="75">
        <f>VLOOKUP(A273,Database!A:M,MATCH($A$1,Database!$A$1:$M$1,),)</f>
        <v/>
      </c>
      <c r="C273" s="118">
        <f>(Table53514[[#This Row],[Manufacturers'' New Orders: Durable Goods]]-B272)/B272</f>
        <v/>
      </c>
    </row>
    <row r="274">
      <c r="A274" s="74" t="n">
        <v>41791</v>
      </c>
      <c r="B274" s="75">
        <f>VLOOKUP(A274,Database!A:M,MATCH($A$1,Database!$A$1:$M$1,),)</f>
        <v/>
      </c>
      <c r="C274" s="118">
        <f>(Table53514[[#This Row],[Manufacturers'' New Orders: Durable Goods]]-B273)/B273</f>
        <v/>
      </c>
    </row>
    <row r="275">
      <c r="A275" s="74" t="n">
        <v>41821</v>
      </c>
      <c r="B275" s="75">
        <f>VLOOKUP(A275,Database!A:M,MATCH($A$1,Database!$A$1:$M$1,),)</f>
        <v/>
      </c>
      <c r="C275" s="118">
        <f>(Table53514[[#This Row],[Manufacturers'' New Orders: Durable Goods]]-B274)/B274</f>
        <v/>
      </c>
    </row>
    <row r="276">
      <c r="A276" s="74" t="n">
        <v>41852</v>
      </c>
      <c r="B276" s="75">
        <f>VLOOKUP(A276,Database!A:M,MATCH($A$1,Database!$A$1:$M$1,),)</f>
        <v/>
      </c>
      <c r="C276" s="118">
        <f>(Table53514[[#This Row],[Manufacturers'' New Orders: Durable Goods]]-B275)/B275</f>
        <v/>
      </c>
    </row>
    <row r="277">
      <c r="A277" s="74" t="n">
        <v>41883</v>
      </c>
      <c r="B277" s="75">
        <f>VLOOKUP(A277,Database!A:M,MATCH($A$1,Database!$A$1:$M$1,),)</f>
        <v/>
      </c>
      <c r="C277" s="118">
        <f>(Table53514[[#This Row],[Manufacturers'' New Orders: Durable Goods]]-B276)/B276</f>
        <v/>
      </c>
    </row>
    <row r="278">
      <c r="A278" s="74" t="n">
        <v>41913</v>
      </c>
      <c r="B278" s="75">
        <f>VLOOKUP(A278,Database!A:M,MATCH($A$1,Database!$A$1:$M$1,),)</f>
        <v/>
      </c>
      <c r="C278" s="118">
        <f>(Table53514[[#This Row],[Manufacturers'' New Orders: Durable Goods]]-B277)/B277</f>
        <v/>
      </c>
    </row>
    <row r="279">
      <c r="A279" s="74" t="n">
        <v>41944</v>
      </c>
      <c r="B279" s="75">
        <f>VLOOKUP(A279,Database!A:M,MATCH($A$1,Database!$A$1:$M$1,),)</f>
        <v/>
      </c>
      <c r="C279" s="118">
        <f>(Table53514[[#This Row],[Manufacturers'' New Orders: Durable Goods]]-B278)/B278</f>
        <v/>
      </c>
    </row>
    <row r="280">
      <c r="A280" s="74" t="n">
        <v>41974</v>
      </c>
      <c r="B280" s="75">
        <f>VLOOKUP(A280,Database!A:M,MATCH($A$1,Database!$A$1:$M$1,),)</f>
        <v/>
      </c>
      <c r="C280" s="118">
        <f>(Table53514[[#This Row],[Manufacturers'' New Orders: Durable Goods]]-B279)/B279</f>
        <v/>
      </c>
    </row>
    <row r="281">
      <c r="A281" s="74" t="n">
        <v>42005</v>
      </c>
      <c r="B281" s="75">
        <f>VLOOKUP(A281,Database!A:M,MATCH($A$1,Database!$A$1:$M$1,),)</f>
        <v/>
      </c>
      <c r="C281" s="118">
        <f>(Table53514[[#This Row],[Manufacturers'' New Orders: Durable Goods]]-B280)/B280</f>
        <v/>
      </c>
    </row>
    <row r="282">
      <c r="A282" s="74" t="n">
        <v>42036</v>
      </c>
      <c r="B282" s="75">
        <f>VLOOKUP(A282,Database!A:M,MATCH($A$1,Database!$A$1:$M$1,),)</f>
        <v/>
      </c>
      <c r="C282" s="118">
        <f>(Table53514[[#This Row],[Manufacturers'' New Orders: Durable Goods]]-B281)/B281</f>
        <v/>
      </c>
    </row>
    <row r="283">
      <c r="A283" s="74" t="n">
        <v>42064</v>
      </c>
      <c r="B283" s="75">
        <f>VLOOKUP(A283,Database!A:M,MATCH($A$1,Database!$A$1:$M$1,),)</f>
        <v/>
      </c>
      <c r="C283" s="118">
        <f>(Table53514[[#This Row],[Manufacturers'' New Orders: Durable Goods]]-B282)/B282</f>
        <v/>
      </c>
    </row>
    <row r="284">
      <c r="A284" s="74" t="n">
        <v>42095</v>
      </c>
      <c r="B284" s="75">
        <f>VLOOKUP(A284,Database!A:M,MATCH($A$1,Database!$A$1:$M$1,),)</f>
        <v/>
      </c>
      <c r="C284" s="118">
        <f>(Table53514[[#This Row],[Manufacturers'' New Orders: Durable Goods]]-B283)/B283</f>
        <v/>
      </c>
    </row>
    <row r="285">
      <c r="A285" s="74" t="n">
        <v>42125</v>
      </c>
      <c r="B285" s="75">
        <f>VLOOKUP(A285,Database!A:M,MATCH($A$1,Database!$A$1:$M$1,),)</f>
        <v/>
      </c>
      <c r="C285" s="118">
        <f>(Table53514[[#This Row],[Manufacturers'' New Orders: Durable Goods]]-B284)/B284</f>
        <v/>
      </c>
    </row>
    <row r="286">
      <c r="A286" s="74" t="n">
        <v>42156</v>
      </c>
      <c r="B286" s="75">
        <f>VLOOKUP(A286,Database!A:M,MATCH($A$1,Database!$A$1:$M$1,),)</f>
        <v/>
      </c>
      <c r="C286" s="118">
        <f>(Table53514[[#This Row],[Manufacturers'' New Orders: Durable Goods]]-B285)/B285</f>
        <v/>
      </c>
    </row>
    <row r="287">
      <c r="A287" s="74" t="n">
        <v>42186</v>
      </c>
      <c r="B287" s="75">
        <f>VLOOKUP(A287,Database!A:M,MATCH($A$1,Database!$A$1:$M$1,),)</f>
        <v/>
      </c>
      <c r="C287" s="118">
        <f>(Table53514[[#This Row],[Manufacturers'' New Orders: Durable Goods]]-B286)/B286</f>
        <v/>
      </c>
    </row>
    <row r="288">
      <c r="A288" s="74" t="n">
        <v>42217</v>
      </c>
      <c r="B288" s="75">
        <f>VLOOKUP(A288,Database!A:M,MATCH($A$1,Database!$A$1:$M$1,),)</f>
        <v/>
      </c>
      <c r="C288" s="118">
        <f>(Table53514[[#This Row],[Manufacturers'' New Orders: Durable Goods]]-B287)/B287</f>
        <v/>
      </c>
    </row>
    <row r="289">
      <c r="A289" s="74" t="n">
        <v>42248</v>
      </c>
      <c r="B289" s="75">
        <f>VLOOKUP(A289,Database!A:M,MATCH($A$1,Database!$A$1:$M$1,),)</f>
        <v/>
      </c>
      <c r="C289" s="118">
        <f>(Table53514[[#This Row],[Manufacturers'' New Orders: Durable Goods]]-B288)/B288</f>
        <v/>
      </c>
    </row>
    <row r="290">
      <c r="A290" s="74" t="n">
        <v>42278</v>
      </c>
      <c r="B290" s="75">
        <f>VLOOKUP(A290,Database!A:M,MATCH($A$1,Database!$A$1:$M$1,),)</f>
        <v/>
      </c>
      <c r="C290" s="118">
        <f>(Table53514[[#This Row],[Manufacturers'' New Orders: Durable Goods]]-B289)/B289</f>
        <v/>
      </c>
    </row>
    <row r="291">
      <c r="A291" s="74" t="n">
        <v>42309</v>
      </c>
      <c r="B291" s="75">
        <f>VLOOKUP(A291,Database!A:M,MATCH($A$1,Database!$A$1:$M$1,),)</f>
        <v/>
      </c>
      <c r="C291" s="118">
        <f>(Table53514[[#This Row],[Manufacturers'' New Orders: Durable Goods]]-B290)/B290</f>
        <v/>
      </c>
    </row>
    <row r="292">
      <c r="A292" s="74" t="n">
        <v>42339</v>
      </c>
      <c r="B292" s="75">
        <f>VLOOKUP(A292,Database!A:M,MATCH($A$1,Database!$A$1:$M$1,),)</f>
        <v/>
      </c>
      <c r="C292" s="118">
        <f>(Table53514[[#This Row],[Manufacturers'' New Orders: Durable Goods]]-B291)/B291</f>
        <v/>
      </c>
    </row>
    <row r="293">
      <c r="A293" s="74" t="n">
        <v>42370</v>
      </c>
      <c r="B293" s="75">
        <f>VLOOKUP(A293,Database!A:M,MATCH($A$1,Database!$A$1:$M$1,),)</f>
        <v/>
      </c>
      <c r="C293" s="118">
        <f>(Table53514[[#This Row],[Manufacturers'' New Orders: Durable Goods]]-B292)/B292</f>
        <v/>
      </c>
    </row>
    <row r="294">
      <c r="A294" s="74" t="n">
        <v>42401</v>
      </c>
      <c r="B294" s="75">
        <f>VLOOKUP(A294,Database!A:M,MATCH($A$1,Database!$A$1:$M$1,),)</f>
        <v/>
      </c>
      <c r="C294" s="118">
        <f>(Table53514[[#This Row],[Manufacturers'' New Orders: Durable Goods]]-B293)/B293</f>
        <v/>
      </c>
    </row>
    <row r="295">
      <c r="A295" s="74" t="n">
        <v>42430</v>
      </c>
      <c r="B295" s="75">
        <f>VLOOKUP(A295,Database!A:M,MATCH($A$1,Database!$A$1:$M$1,),)</f>
        <v/>
      </c>
      <c r="C295" s="118">
        <f>(Table53514[[#This Row],[Manufacturers'' New Orders: Durable Goods]]-B294)/B294</f>
        <v/>
      </c>
    </row>
    <row r="296">
      <c r="A296" s="74" t="n">
        <v>42461</v>
      </c>
      <c r="B296" s="75">
        <f>VLOOKUP(A296,Database!A:M,MATCH($A$1,Database!$A$1:$M$1,),)</f>
        <v/>
      </c>
      <c r="C296" s="118">
        <f>(Table53514[[#This Row],[Manufacturers'' New Orders: Durable Goods]]-B295)/B295</f>
        <v/>
      </c>
    </row>
    <row r="297">
      <c r="A297" s="74" t="n">
        <v>42491</v>
      </c>
      <c r="B297" s="75">
        <f>VLOOKUP(A297,Database!A:M,MATCH($A$1,Database!$A$1:$M$1,),)</f>
        <v/>
      </c>
      <c r="C297" s="118">
        <f>(Table53514[[#This Row],[Manufacturers'' New Orders: Durable Goods]]-B296)/B296</f>
        <v/>
      </c>
    </row>
    <row r="298">
      <c r="A298" s="74" t="n">
        <v>42522</v>
      </c>
      <c r="B298" s="75">
        <f>VLOOKUP(A298,Database!A:M,MATCH($A$1,Database!$A$1:$M$1,),)</f>
        <v/>
      </c>
      <c r="C298" s="118">
        <f>(Table53514[[#This Row],[Manufacturers'' New Orders: Durable Goods]]-B297)/B297</f>
        <v/>
      </c>
    </row>
    <row r="299">
      <c r="A299" s="74" t="n">
        <v>42552</v>
      </c>
      <c r="B299" s="75">
        <f>VLOOKUP(A299,Database!A:M,MATCH($A$1,Database!$A$1:$M$1,),)</f>
        <v/>
      </c>
      <c r="C299" s="118">
        <f>(Table53514[[#This Row],[Manufacturers'' New Orders: Durable Goods]]-B298)/B298</f>
        <v/>
      </c>
    </row>
    <row r="300">
      <c r="A300" s="74" t="n">
        <v>42583</v>
      </c>
      <c r="B300" s="75">
        <f>VLOOKUP(A300,Database!A:M,MATCH($A$1,Database!$A$1:$M$1,),)</f>
        <v/>
      </c>
      <c r="C300" s="118">
        <f>(Table53514[[#This Row],[Manufacturers'' New Orders: Durable Goods]]-B299)/B299</f>
        <v/>
      </c>
    </row>
    <row r="301">
      <c r="A301" s="74" t="n">
        <v>42614</v>
      </c>
      <c r="B301" s="75">
        <f>VLOOKUP(A301,Database!A:M,MATCH($A$1,Database!$A$1:$M$1,),)</f>
        <v/>
      </c>
      <c r="C301" s="118">
        <f>(Table53514[[#This Row],[Manufacturers'' New Orders: Durable Goods]]-B300)/B300</f>
        <v/>
      </c>
    </row>
    <row r="302">
      <c r="A302" s="74" t="n">
        <v>42644</v>
      </c>
      <c r="B302" s="75">
        <f>VLOOKUP(A302,Database!A:M,MATCH($A$1,Database!$A$1:$M$1,),)</f>
        <v/>
      </c>
      <c r="C302" s="118">
        <f>(Table53514[[#This Row],[Manufacturers'' New Orders: Durable Goods]]-B301)/B301</f>
        <v/>
      </c>
    </row>
    <row r="303">
      <c r="A303" s="74" t="n">
        <v>42675</v>
      </c>
      <c r="B303" s="75">
        <f>VLOOKUP(A303,Database!A:M,MATCH($A$1,Database!$A$1:$M$1,),)</f>
        <v/>
      </c>
      <c r="C303" s="118">
        <f>(Table53514[[#This Row],[Manufacturers'' New Orders: Durable Goods]]-B302)/B302</f>
        <v/>
      </c>
    </row>
    <row r="304">
      <c r="A304" s="74" t="n">
        <v>42705</v>
      </c>
      <c r="B304" s="75">
        <f>VLOOKUP(A304,Database!A:M,MATCH($A$1,Database!$A$1:$M$1,),)</f>
        <v/>
      </c>
      <c r="C304" s="118">
        <f>(Table53514[[#This Row],[Manufacturers'' New Orders: Durable Goods]]-B303)/B303</f>
        <v/>
      </c>
    </row>
    <row r="305">
      <c r="A305" s="74" t="n">
        <v>42736</v>
      </c>
      <c r="B305" s="75">
        <f>VLOOKUP(A305,Database!A:M,MATCH($A$1,Database!$A$1:$M$1,),)</f>
        <v/>
      </c>
      <c r="C305" s="118">
        <f>(Table53514[[#This Row],[Manufacturers'' New Orders: Durable Goods]]-B304)/B304</f>
        <v/>
      </c>
    </row>
    <row r="306">
      <c r="A306" s="74" t="n">
        <v>42767</v>
      </c>
      <c r="B306" s="75">
        <f>VLOOKUP(A306,Database!A:M,MATCH($A$1,Database!$A$1:$M$1,),)</f>
        <v/>
      </c>
      <c r="C306" s="118">
        <f>(Table53514[[#This Row],[Manufacturers'' New Orders: Durable Goods]]-B305)/B305</f>
        <v/>
      </c>
    </row>
    <row r="307">
      <c r="A307" s="74" t="n">
        <v>42795</v>
      </c>
      <c r="B307" s="75">
        <f>VLOOKUP(A307,Database!A:M,MATCH($A$1,Database!$A$1:$M$1,),)</f>
        <v/>
      </c>
      <c r="C307" s="118">
        <f>(Table53514[[#This Row],[Manufacturers'' New Orders: Durable Goods]]-B306)/B306</f>
        <v/>
      </c>
    </row>
    <row r="308">
      <c r="A308" s="74" t="n">
        <v>42826</v>
      </c>
      <c r="B308" s="75">
        <f>VLOOKUP(A308,Database!A:M,MATCH($A$1,Database!$A$1:$M$1,),)</f>
        <v/>
      </c>
      <c r="C308" s="118">
        <f>(Table53514[[#This Row],[Manufacturers'' New Orders: Durable Goods]]-B307)/B307</f>
        <v/>
      </c>
    </row>
    <row r="309">
      <c r="A309" s="74" t="n">
        <v>42856</v>
      </c>
      <c r="B309" s="75">
        <f>VLOOKUP(A309,Database!A:M,MATCH($A$1,Database!$A$1:$M$1,),)</f>
        <v/>
      </c>
      <c r="C309" s="118">
        <f>(Table53514[[#This Row],[Manufacturers'' New Orders: Durable Goods]]-B308)/B308</f>
        <v/>
      </c>
    </row>
    <row r="310">
      <c r="A310" s="74" t="n">
        <v>42887</v>
      </c>
      <c r="B310" s="75">
        <f>VLOOKUP(A310,Database!A:M,MATCH($A$1,Database!$A$1:$M$1,),)</f>
        <v/>
      </c>
      <c r="C310" s="118">
        <f>(Table53514[[#This Row],[Manufacturers'' New Orders: Durable Goods]]-B309)/B309</f>
        <v/>
      </c>
    </row>
    <row r="311">
      <c r="A311" s="74" t="n">
        <v>42917</v>
      </c>
      <c r="B311" s="75">
        <f>VLOOKUP(A311,Database!A:M,MATCH($A$1,Database!$A$1:$M$1,),)</f>
        <v/>
      </c>
      <c r="C311" s="118">
        <f>(Table53514[[#This Row],[Manufacturers'' New Orders: Durable Goods]]-B310)/B310</f>
        <v/>
      </c>
    </row>
    <row r="312">
      <c r="A312" s="74" t="n">
        <v>42948</v>
      </c>
      <c r="B312" s="75">
        <f>VLOOKUP(A312,Database!A:M,MATCH($A$1,Database!$A$1:$M$1,),)</f>
        <v/>
      </c>
      <c r="C312" s="118">
        <f>(Table53514[[#This Row],[Manufacturers'' New Orders: Durable Goods]]-B311)/B311</f>
        <v/>
      </c>
    </row>
    <row r="313">
      <c r="A313" s="74" t="n">
        <v>42979</v>
      </c>
      <c r="B313" s="75">
        <f>VLOOKUP(A313,Database!A:M,MATCH($A$1,Database!$A$1:$M$1,),)</f>
        <v/>
      </c>
      <c r="C313" s="118">
        <f>(Table53514[[#This Row],[Manufacturers'' New Orders: Durable Goods]]-B312)/B312</f>
        <v/>
      </c>
    </row>
    <row r="314">
      <c r="A314" s="74" t="n">
        <v>43009</v>
      </c>
      <c r="B314" s="75">
        <f>VLOOKUP(A314,Database!A:M,MATCH($A$1,Database!$A$1:$M$1,),)</f>
        <v/>
      </c>
      <c r="C314" s="118">
        <f>(Table53514[[#This Row],[Manufacturers'' New Orders: Durable Goods]]-B313)/B313</f>
        <v/>
      </c>
    </row>
    <row r="315">
      <c r="A315" s="74" t="n">
        <v>43040</v>
      </c>
      <c r="B315" s="75">
        <f>VLOOKUP(A315,Database!A:M,MATCH($A$1,Database!$A$1:$M$1,),)</f>
        <v/>
      </c>
      <c r="C315" s="118">
        <f>(Table53514[[#This Row],[Manufacturers'' New Orders: Durable Goods]]-B314)/B314</f>
        <v/>
      </c>
    </row>
    <row r="316">
      <c r="A316" s="74" t="n">
        <v>43070</v>
      </c>
      <c r="B316" s="75">
        <f>VLOOKUP(A316,Database!A:M,MATCH($A$1,Database!$A$1:$M$1,),)</f>
        <v/>
      </c>
      <c r="C316" s="118">
        <f>(Table53514[[#This Row],[Manufacturers'' New Orders: Durable Goods]]-B315)/B315</f>
        <v/>
      </c>
    </row>
    <row r="317">
      <c r="A317" s="74" t="n">
        <v>43101</v>
      </c>
      <c r="B317" s="75">
        <f>VLOOKUP(A317,Database!A:M,MATCH($A$1,Database!$A$1:$M$1,),)</f>
        <v/>
      </c>
      <c r="C317" s="118">
        <f>(Table53514[[#This Row],[Manufacturers'' New Orders: Durable Goods]]-B316)/B316</f>
        <v/>
      </c>
    </row>
    <row r="318">
      <c r="A318" s="74" t="n">
        <v>43132</v>
      </c>
      <c r="B318" s="75">
        <f>VLOOKUP(A318,Database!A:M,MATCH($A$1,Database!$A$1:$M$1,),)</f>
        <v/>
      </c>
      <c r="C318" s="118">
        <f>(Table53514[[#This Row],[Manufacturers'' New Orders: Durable Goods]]-B317)/B317</f>
        <v/>
      </c>
    </row>
    <row r="319">
      <c r="A319" s="74" t="n">
        <v>43160</v>
      </c>
      <c r="B319" s="75">
        <f>VLOOKUP(A319,Database!A:M,MATCH($A$1,Database!$A$1:$M$1,),)</f>
        <v/>
      </c>
      <c r="C319" s="118">
        <f>(Table53514[[#This Row],[Manufacturers'' New Orders: Durable Goods]]-B318)/B318</f>
        <v/>
      </c>
    </row>
    <row r="320">
      <c r="A320" s="74" t="n">
        <v>43191</v>
      </c>
      <c r="B320" s="75">
        <f>VLOOKUP(A320,Database!A:M,MATCH($A$1,Database!$A$1:$M$1,),)</f>
        <v/>
      </c>
      <c r="C320" s="118">
        <f>(Table53514[[#This Row],[Manufacturers'' New Orders: Durable Goods]]-B319)/B319</f>
        <v/>
      </c>
    </row>
    <row r="321">
      <c r="A321" s="74" t="n">
        <v>43221</v>
      </c>
      <c r="B321" s="75">
        <f>VLOOKUP(A321,Database!A:M,MATCH($A$1,Database!$A$1:$M$1,),)</f>
        <v/>
      </c>
      <c r="C321" s="118">
        <f>(Table53514[[#This Row],[Manufacturers'' New Orders: Durable Goods]]-B320)/B320</f>
        <v/>
      </c>
    </row>
    <row r="322">
      <c r="A322" s="74" t="n">
        <v>43252</v>
      </c>
      <c r="B322" s="75">
        <f>VLOOKUP(A322,Database!A:M,MATCH($A$1,Database!$A$1:$M$1,),)</f>
        <v/>
      </c>
      <c r="C322" s="118">
        <f>(Table53514[[#This Row],[Manufacturers'' New Orders: Durable Goods]]-B321)/B321</f>
        <v/>
      </c>
    </row>
    <row r="323">
      <c r="A323" s="74" t="n">
        <v>43282</v>
      </c>
      <c r="B323" s="75">
        <f>VLOOKUP(A323,Database!A:M,MATCH($A$1,Database!$A$1:$M$1,),)</f>
        <v/>
      </c>
      <c r="C323" s="118">
        <f>(Table53514[[#This Row],[Manufacturers'' New Orders: Durable Goods]]-B322)/B322</f>
        <v/>
      </c>
    </row>
    <row r="324">
      <c r="A324" s="74" t="n">
        <v>43313</v>
      </c>
      <c r="B324" s="75">
        <f>VLOOKUP(A324,Database!A:M,MATCH($A$1,Database!$A$1:$M$1,),)</f>
        <v/>
      </c>
      <c r="C324" s="118">
        <f>(Table53514[[#This Row],[Manufacturers'' New Orders: Durable Goods]]-B323)/B323</f>
        <v/>
      </c>
    </row>
    <row r="325">
      <c r="A325" s="74" t="n">
        <v>43344</v>
      </c>
      <c r="B325" s="75">
        <f>VLOOKUP(A325,Database!A:M,MATCH($A$1,Database!$A$1:$M$1,),)</f>
        <v/>
      </c>
      <c r="C325" s="118">
        <f>(Table53514[[#This Row],[Manufacturers'' New Orders: Durable Goods]]-B324)/B324</f>
        <v/>
      </c>
    </row>
    <row r="326">
      <c r="A326" s="74" t="n">
        <v>43374</v>
      </c>
      <c r="B326" s="75">
        <f>VLOOKUP(A326,Database!A:M,MATCH($A$1,Database!$A$1:$M$1,),)</f>
        <v/>
      </c>
      <c r="C326" s="118">
        <f>(Table53514[[#This Row],[Manufacturers'' New Orders: Durable Goods]]-B325)/B325</f>
        <v/>
      </c>
    </row>
    <row r="327">
      <c r="A327" s="74" t="n">
        <v>43405</v>
      </c>
      <c r="B327" s="75">
        <f>VLOOKUP(A327,Database!A:M,MATCH($A$1,Database!$A$1:$M$1,),)</f>
        <v/>
      </c>
      <c r="C327" s="118">
        <f>(Table53514[[#This Row],[Manufacturers'' New Orders: Durable Goods]]-B326)/B326</f>
        <v/>
      </c>
    </row>
    <row r="328">
      <c r="A328" s="74" t="n">
        <v>43435</v>
      </c>
      <c r="B328" s="75">
        <f>VLOOKUP(A328,Database!A:M,MATCH($A$1,Database!$A$1:$M$1,),)</f>
        <v/>
      </c>
      <c r="C328" s="118">
        <f>(Table53514[[#This Row],[Manufacturers'' New Orders: Durable Goods]]-B327)/B327</f>
        <v/>
      </c>
    </row>
    <row r="329">
      <c r="A329" s="74" t="n">
        <v>43466</v>
      </c>
      <c r="B329" s="75">
        <f>VLOOKUP(A329,Database!A:M,MATCH($A$1,Database!$A$1:$M$1,),)</f>
        <v/>
      </c>
      <c r="C329" s="118">
        <f>(Table53514[[#This Row],[Manufacturers'' New Orders: Durable Goods]]-B328)/B328</f>
        <v/>
      </c>
    </row>
    <row r="330">
      <c r="A330" s="74" t="n">
        <v>43497</v>
      </c>
      <c r="B330" s="75">
        <f>VLOOKUP(A330,Database!A:M,MATCH($A$1,Database!$A$1:$M$1,),)</f>
        <v/>
      </c>
      <c r="C330" s="118">
        <f>(Table53514[[#This Row],[Manufacturers'' New Orders: Durable Goods]]-B329)/B329</f>
        <v/>
      </c>
    </row>
    <row r="331">
      <c r="A331" s="74" t="n">
        <v>43525</v>
      </c>
      <c r="B331" s="75">
        <f>VLOOKUP(A331,Database!A:M,MATCH($A$1,Database!$A$1:$M$1,),)</f>
        <v/>
      </c>
      <c r="C331" s="118">
        <f>(Table53514[[#This Row],[Manufacturers'' New Orders: Durable Goods]]-B330)/B330</f>
        <v/>
      </c>
    </row>
    <row r="332">
      <c r="A332" s="74" t="n">
        <v>43556</v>
      </c>
      <c r="B332" s="75">
        <f>VLOOKUP(A332,Database!A:M,MATCH($A$1,Database!$A$1:$M$1,),)</f>
        <v/>
      </c>
      <c r="C332" s="118">
        <f>(Table53514[[#This Row],[Manufacturers'' New Orders: Durable Goods]]-B331)/B331</f>
        <v/>
      </c>
    </row>
    <row r="333">
      <c r="A333" s="74" t="n">
        <v>43586</v>
      </c>
      <c r="B333" s="75">
        <f>VLOOKUP(A333,Database!A:M,MATCH($A$1,Database!$A$1:$M$1,),)</f>
        <v/>
      </c>
      <c r="C333" s="118">
        <f>(Table53514[[#This Row],[Manufacturers'' New Orders: Durable Goods]]-B332)/B332</f>
        <v/>
      </c>
    </row>
    <row r="334">
      <c r="A334" s="74" t="n">
        <v>43617</v>
      </c>
      <c r="B334" s="75">
        <f>VLOOKUP(A334,Database!A:M,MATCH($A$1,Database!$A$1:$M$1,),)</f>
        <v/>
      </c>
      <c r="C334" s="118">
        <f>(Table53514[[#This Row],[Manufacturers'' New Orders: Durable Goods]]-B333)/B333</f>
        <v/>
      </c>
    </row>
    <row r="335">
      <c r="A335" s="74" t="n">
        <v>43647</v>
      </c>
      <c r="B335" s="75">
        <f>VLOOKUP(A335,Database!A:M,MATCH($A$1,Database!$A$1:$M$1,),)</f>
        <v/>
      </c>
      <c r="C335" s="118">
        <f>(Table53514[[#This Row],[Manufacturers'' New Orders: Durable Goods]]-B334)/B334</f>
        <v/>
      </c>
    </row>
    <row r="336">
      <c r="A336" s="74" t="n">
        <v>43678</v>
      </c>
      <c r="B336" s="75">
        <f>VLOOKUP(A336,Database!A:M,MATCH($A$1,Database!$A$1:$M$1,),)</f>
        <v/>
      </c>
      <c r="C336" s="118">
        <f>(Table53514[[#This Row],[Manufacturers'' New Orders: Durable Goods]]-B335)/B335</f>
        <v/>
      </c>
    </row>
    <row r="337">
      <c r="A337" s="74" t="n">
        <v>43709</v>
      </c>
      <c r="B337" s="75">
        <f>VLOOKUP(A337,Database!A:M,MATCH($A$1,Database!$A$1:$M$1,),)</f>
        <v/>
      </c>
      <c r="C337" s="118">
        <f>(Table53514[[#This Row],[Manufacturers'' New Orders: Durable Goods]]-B336)/B336</f>
        <v/>
      </c>
    </row>
    <row r="338">
      <c r="A338" s="74" t="n">
        <v>43739</v>
      </c>
      <c r="B338" s="75">
        <f>VLOOKUP(A338,Database!A:M,MATCH($A$1,Database!$A$1:$M$1,),)</f>
        <v/>
      </c>
      <c r="C338" s="118">
        <f>(Table53514[[#This Row],[Manufacturers'' New Orders: Durable Goods]]-B337)/B337</f>
        <v/>
      </c>
    </row>
    <row r="339">
      <c r="A339" s="74" t="n">
        <v>43770</v>
      </c>
      <c r="B339" s="75">
        <f>VLOOKUP(A339,Database!A:M,MATCH($A$1,Database!$A$1:$M$1,),)</f>
        <v/>
      </c>
      <c r="C339" s="118">
        <f>(Table53514[[#This Row],[Manufacturers'' New Orders: Durable Goods]]-B338)/B338</f>
        <v/>
      </c>
    </row>
    <row r="340">
      <c r="A340" s="74" t="n">
        <v>43800</v>
      </c>
      <c r="B340" s="75">
        <f>VLOOKUP(A340,Database!A:M,MATCH($A$1,Database!$A$1:$M$1,),)</f>
        <v/>
      </c>
      <c r="C340" s="118">
        <f>(Table53514[[#This Row],[Manufacturers'' New Orders: Durable Goods]]-B339)/B339</f>
        <v/>
      </c>
    </row>
    <row r="341">
      <c r="A341" s="74" t="n">
        <v>43831</v>
      </c>
      <c r="B341" s="75">
        <f>VLOOKUP(A341,Database!A:M,MATCH($A$1,Database!$A$1:$M$1,),)</f>
        <v/>
      </c>
      <c r="C341" s="118">
        <f>(Table53514[[#This Row],[Manufacturers'' New Orders: Durable Goods]]-B340)/B340</f>
        <v/>
      </c>
    </row>
    <row r="342">
      <c r="A342" s="74" t="n">
        <v>43862</v>
      </c>
      <c r="B342" s="75">
        <f>VLOOKUP(A342,Database!A:M,MATCH($A$1,Database!$A$1:$M$1,),)</f>
        <v/>
      </c>
      <c r="C342" s="118">
        <f>(Table53514[[#This Row],[Manufacturers'' New Orders: Durable Goods]]-B341)/B341</f>
        <v/>
      </c>
    </row>
    <row r="343">
      <c r="A343" s="74" t="n">
        <v>43891</v>
      </c>
      <c r="B343" s="75">
        <f>VLOOKUP(A343,Database!A:M,MATCH($A$1,Database!$A$1:$M$1,),)</f>
        <v/>
      </c>
      <c r="C343" s="118">
        <f>(Table53514[[#This Row],[Manufacturers'' New Orders: Durable Goods]]-B342)/B342</f>
        <v/>
      </c>
    </row>
    <row r="344">
      <c r="A344" s="74" t="n">
        <v>43922</v>
      </c>
      <c r="B344" s="75">
        <f>VLOOKUP(A344,Database!A:M,MATCH($A$1,Database!$A$1:$M$1,),)</f>
        <v/>
      </c>
      <c r="C344" s="118">
        <f>(Table53514[[#This Row],[Manufacturers'' New Orders: Durable Goods]]-B343)/B343</f>
        <v/>
      </c>
    </row>
    <row r="345">
      <c r="A345" s="74" t="n">
        <v>43952</v>
      </c>
      <c r="B345" s="75">
        <f>VLOOKUP(A345,Database!A:M,MATCH($A$1,Database!$A$1:$M$1,),)</f>
        <v/>
      </c>
      <c r="C345" s="118">
        <f>(Table53514[[#This Row],[Manufacturers'' New Orders: Durable Goods]]-B344)/B344</f>
        <v/>
      </c>
    </row>
    <row r="346">
      <c r="A346" s="74" t="n">
        <v>43983</v>
      </c>
      <c r="B346" s="75">
        <f>VLOOKUP(A346,Database!A:M,MATCH($A$1,Database!$A$1:$M$1,),)</f>
        <v/>
      </c>
      <c r="C346" s="118">
        <f>(Table53514[[#This Row],[Manufacturers'' New Orders: Durable Goods]]-B345)/B345</f>
        <v/>
      </c>
    </row>
    <row r="347">
      <c r="A347" s="74" t="n">
        <v>44013</v>
      </c>
      <c r="B347" s="75">
        <f>VLOOKUP(A347,Database!A:M,MATCH($A$1,Database!$A$1:$M$1,),)</f>
        <v/>
      </c>
      <c r="C347" s="118">
        <f>(Table53514[[#This Row],[Manufacturers'' New Orders: Durable Goods]]-B346)/B346</f>
        <v/>
      </c>
    </row>
    <row r="348">
      <c r="A348" s="74" t="n">
        <v>44044</v>
      </c>
      <c r="B348" s="75">
        <f>VLOOKUP(A348,Database!A:M,MATCH($A$1,Database!$A$1:$M$1,),)</f>
        <v/>
      </c>
      <c r="C348" s="118">
        <f>(Table53514[[#This Row],[Manufacturers'' New Orders: Durable Goods]]-B347)/B347</f>
        <v/>
      </c>
    </row>
    <row r="349">
      <c r="A349" s="74" t="n">
        <v>44075</v>
      </c>
      <c r="B349" s="75">
        <f>VLOOKUP(A349,Database!A:M,MATCH($A$1,Database!$A$1:$M$1,),)</f>
        <v/>
      </c>
      <c r="C349" s="118">
        <f>(Table53514[[#This Row],[Manufacturers'' New Orders: Durable Goods]]-B348)/B348</f>
        <v/>
      </c>
    </row>
    <row r="350">
      <c r="A350" s="74" t="n">
        <v>44105</v>
      </c>
      <c r="B350" s="75">
        <f>VLOOKUP(A350,Database!A:M,MATCH($A$1,Database!$A$1:$M$1,),)</f>
        <v/>
      </c>
      <c r="C350" s="118">
        <f>(Table53514[[#This Row],[Manufacturers'' New Orders: Durable Goods]]-B349)/B349</f>
        <v/>
      </c>
    </row>
    <row r="351">
      <c r="A351" s="74" t="n">
        <v>44136</v>
      </c>
      <c r="B351" s="75">
        <f>VLOOKUP(A351,Database!A:M,MATCH($A$1,Database!$A$1:$M$1,),)</f>
        <v/>
      </c>
      <c r="C351" s="118">
        <f>(Table53514[[#This Row],[Manufacturers'' New Orders: Durable Goods]]-B350)/B350</f>
        <v/>
      </c>
    </row>
    <row r="352">
      <c r="A352" s="74" t="n">
        <v>44166</v>
      </c>
      <c r="B352" s="75">
        <f>VLOOKUP(A352,Database!A:M,MATCH($A$1,Database!$A$1:$M$1,),)</f>
        <v/>
      </c>
      <c r="C352" s="118">
        <f>(Table53514[[#This Row],[Manufacturers'' New Orders: Durable Goods]]-B351)/B351</f>
        <v/>
      </c>
    </row>
    <row r="353">
      <c r="A353" s="74" t="n">
        <v>44197</v>
      </c>
      <c r="B353" s="75">
        <f>VLOOKUP(A353,Database!A:M,MATCH($A$1,Database!$A$1:$M$1,),)</f>
        <v/>
      </c>
      <c r="C353" s="118">
        <f>(Table53514[[#This Row],[Manufacturers'' New Orders: Durable Goods]]-B352)/B352</f>
        <v/>
      </c>
    </row>
    <row r="354">
      <c r="A354" s="74" t="n">
        <v>44228</v>
      </c>
      <c r="B354" s="75">
        <f>VLOOKUP(A354,Database!A:M,MATCH($A$1,Database!$A$1:$M$1,),)</f>
        <v/>
      </c>
      <c r="C354" s="118">
        <f>(Table53514[[#This Row],[Manufacturers'' New Orders: Durable Goods]]-B353)/B353</f>
        <v/>
      </c>
    </row>
    <row r="355">
      <c r="A355" s="74" t="n">
        <v>44256</v>
      </c>
      <c r="B355" s="75">
        <f>VLOOKUP(A355,Database!A:M,MATCH($A$1,Database!$A$1:$M$1,),)</f>
        <v/>
      </c>
      <c r="C355" s="118">
        <f>(Table53514[[#This Row],[Manufacturers'' New Orders: Durable Goods]]-B354)/B354</f>
        <v/>
      </c>
    </row>
    <row r="356">
      <c r="A356" s="74" t="n">
        <v>44287</v>
      </c>
      <c r="B356" s="75">
        <f>VLOOKUP(A356,Database!A:M,MATCH($A$1,Database!$A$1:$M$1,),)</f>
        <v/>
      </c>
      <c r="C356" s="118">
        <f>(Table53514[[#This Row],[Manufacturers'' New Orders: Durable Goods]]-B355)/B355</f>
        <v/>
      </c>
    </row>
    <row r="357">
      <c r="A357" s="74" t="n">
        <v>44317</v>
      </c>
      <c r="B357" s="75">
        <f>VLOOKUP(A357,Database!A:M,MATCH($A$1,Database!$A$1:$M$1,),)</f>
        <v/>
      </c>
      <c r="C357" s="118">
        <f>(Table53514[[#This Row],[Manufacturers'' New Orders: Durable Goods]]-B356)/B356</f>
        <v/>
      </c>
    </row>
    <row r="358">
      <c r="A358" s="74" t="n">
        <v>44348</v>
      </c>
      <c r="B358" s="75">
        <f>VLOOKUP(A358,Database!A:M,MATCH($A$1,Database!$A$1:$M$1,),)</f>
        <v/>
      </c>
      <c r="C358" s="118">
        <f>(Table53514[[#This Row],[Manufacturers'' New Orders: Durable Goods]]-B357)/B357</f>
        <v/>
      </c>
    </row>
    <row r="359">
      <c r="A359" s="74" t="n">
        <v>44378</v>
      </c>
      <c r="B359" s="75">
        <f>VLOOKUP(A359,Database!A:M,MATCH($A$1,Database!$A$1:$M$1,),)</f>
        <v/>
      </c>
      <c r="C359" s="118">
        <f>(Table53514[[#This Row],[Manufacturers'' New Orders: Durable Goods]]-B358)/B358</f>
        <v/>
      </c>
    </row>
    <row r="360">
      <c r="A360" s="74" t="n">
        <v>44409</v>
      </c>
      <c r="B360" s="75">
        <f>VLOOKUP(A360,Database!A:M,MATCH($A$1,Database!$A$1:$M$1,),)</f>
        <v/>
      </c>
      <c r="C360" s="118">
        <f>(Table53514[[#This Row],[Manufacturers'' New Orders: Durable Goods]]-B359)/B359</f>
        <v/>
      </c>
    </row>
    <row r="361">
      <c r="A361" s="74" t="n">
        <v>44440</v>
      </c>
      <c r="B361" s="75">
        <f>VLOOKUP(A361,Database!A:M,MATCH($A$1,Database!$A$1:$M$1,),)</f>
        <v/>
      </c>
      <c r="C361" s="118">
        <f>(Table53514[[#This Row],[Manufacturers'' New Orders: Durable Goods]]-B360)/B360</f>
        <v/>
      </c>
    </row>
    <row r="362">
      <c r="A362" s="74" t="n">
        <v>44470</v>
      </c>
      <c r="B362" s="75">
        <f>VLOOKUP(A362,Database!A:M,MATCH($A$1,Database!$A$1:$M$1,),)</f>
        <v/>
      </c>
      <c r="C362" s="118">
        <f>(Table53514[[#This Row],[Manufacturers'' New Orders: Durable Goods]]-B361)/B361</f>
        <v/>
      </c>
    </row>
    <row r="363">
      <c r="A363" s="74" t="n">
        <v>44501</v>
      </c>
      <c r="B363" s="75">
        <f>VLOOKUP(A363,Database!A:M,MATCH($A$1,Database!$A$1:$M$1,),)</f>
        <v/>
      </c>
      <c r="C363" s="118">
        <f>(Table53514[[#This Row],[Manufacturers'' New Orders: Durable Goods]]-B362)/B362</f>
        <v/>
      </c>
    </row>
    <row r="364">
      <c r="A364" s="74" t="n">
        <v>44531</v>
      </c>
      <c r="B364" s="75">
        <f>VLOOKUP(A364,Database!A:M,MATCH($A$1,Database!$A$1:$M$1,),)</f>
        <v/>
      </c>
      <c r="C364" s="118">
        <f>(Table53514[[#This Row],[Manufacturers'' New Orders: Durable Goods]]-B363)/B363</f>
        <v/>
      </c>
    </row>
    <row r="365">
      <c r="A365" s="74" t="n">
        <v>44562</v>
      </c>
      <c r="B365" s="75">
        <f>VLOOKUP(A365,Database!A:M,MATCH($A$1,Database!$A$1:$M$1,),)</f>
        <v/>
      </c>
      <c r="C365" s="118">
        <f>(Table53514[[#This Row],[Manufacturers'' New Orders: Durable Goods]]-B364)/B364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5"/>
  <sheetViews>
    <sheetView zoomScale="160" zoomScaleNormal="160" workbookViewId="0">
      <pane ySplit="5" topLeftCell="A333" activePane="bottomLeft" state="frozen"/>
      <selection pane="bottomLeft" activeCell="W361" sqref="W36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6" t="inlineStr">
        <is>
          <t>mom %</t>
        </is>
      </c>
    </row>
    <row r="6">
      <c r="A6" s="74" t="n">
        <v>33635</v>
      </c>
      <c r="B6" s="75">
        <f>VLOOKUP(A6,Database!A:M,MATCH($A$1,Database!$A$1:$M$1,),)</f>
        <v/>
      </c>
      <c r="C6" s="117" t="n"/>
    </row>
    <row r="7">
      <c r="A7" s="74" t="n">
        <v>33664</v>
      </c>
      <c r="B7" s="75">
        <f>VLOOKUP(A7,Database!A:M,MATCH($A$1,Database!$A$1:$M$1,),)</f>
        <v/>
      </c>
      <c r="C7" s="118">
        <f>(Table5351415[[#This Row],[New Orders ex Transport]]-B6)/B6</f>
        <v/>
      </c>
    </row>
    <row r="8">
      <c r="A8" s="74" t="n">
        <v>33695</v>
      </c>
      <c r="B8" s="75">
        <f>VLOOKUP(A8,Database!A:M,MATCH($A$1,Database!$A$1:$M$1,),)</f>
        <v/>
      </c>
      <c r="C8" s="118">
        <f>(Table5351415[[#This Row],[New Orders ex Transport]]-B7)/B7</f>
        <v/>
      </c>
    </row>
    <row r="9">
      <c r="A9" s="74" t="n">
        <v>33725</v>
      </c>
      <c r="B9" s="75">
        <f>VLOOKUP(A9,Database!A:M,MATCH($A$1,Database!$A$1:$M$1,),)</f>
        <v/>
      </c>
      <c r="C9" s="118">
        <f>(Table5351415[[#This Row],[New Orders ex Transport]]-B8)/B8</f>
        <v/>
      </c>
    </row>
    <row r="10">
      <c r="A10" s="74" t="n">
        <v>33756</v>
      </c>
      <c r="B10" s="75">
        <f>VLOOKUP(A10,Database!A:M,MATCH($A$1,Database!$A$1:$M$1,),)</f>
        <v/>
      </c>
      <c r="C10" s="118">
        <f>(Table5351415[[#This Row],[New Orders ex Transport]]-B9)/B9</f>
        <v/>
      </c>
    </row>
    <row r="11">
      <c r="A11" s="74" t="n">
        <v>33786</v>
      </c>
      <c r="B11" s="75">
        <f>VLOOKUP(A11,Database!A:M,MATCH($A$1,Database!$A$1:$M$1,),)</f>
        <v/>
      </c>
      <c r="C11" s="118">
        <f>(Table5351415[[#This Row],[New Orders ex Transport]]-B10)/B10</f>
        <v/>
      </c>
    </row>
    <row r="12">
      <c r="A12" s="74" t="n">
        <v>33817</v>
      </c>
      <c r="B12" s="75">
        <f>VLOOKUP(A12,Database!A:M,MATCH($A$1,Database!$A$1:$M$1,),)</f>
        <v/>
      </c>
      <c r="C12" s="118">
        <f>(Table5351415[[#This Row],[New Orders ex Transport]]-B11)/B11</f>
        <v/>
      </c>
    </row>
    <row r="13">
      <c r="A13" s="74" t="n">
        <v>33848</v>
      </c>
      <c r="B13" s="75">
        <f>VLOOKUP(A13,Database!A:M,MATCH($A$1,Database!$A$1:$M$1,),)</f>
        <v/>
      </c>
      <c r="C13" s="118">
        <f>(Table5351415[[#This Row],[New Orders ex Transport]]-B12)/B12</f>
        <v/>
      </c>
    </row>
    <row r="14">
      <c r="A14" s="74" t="n">
        <v>33878</v>
      </c>
      <c r="B14" s="75">
        <f>VLOOKUP(A14,Database!A:M,MATCH($A$1,Database!$A$1:$M$1,),)</f>
        <v/>
      </c>
      <c r="C14" s="118">
        <f>(Table5351415[[#This Row],[New Orders ex Transport]]-B13)/B13</f>
        <v/>
      </c>
    </row>
    <row r="15">
      <c r="A15" s="74" t="n">
        <v>33909</v>
      </c>
      <c r="B15" s="75">
        <f>VLOOKUP(A15,Database!A:M,MATCH($A$1,Database!$A$1:$M$1,),)</f>
        <v/>
      </c>
      <c r="C15" s="118">
        <f>(Table5351415[[#This Row],[New Orders ex Transport]]-B14)/B14</f>
        <v/>
      </c>
    </row>
    <row r="16">
      <c r="A16" s="74" t="n">
        <v>33939</v>
      </c>
      <c r="B16" s="75">
        <f>VLOOKUP(A16,Database!A:M,MATCH($A$1,Database!$A$1:$M$1,),)</f>
        <v/>
      </c>
      <c r="C16" s="118">
        <f>(Table5351415[[#This Row],[New Orders ex Transport]]-B15)/B15</f>
        <v/>
      </c>
    </row>
    <row r="17">
      <c r="A17" s="74" t="n">
        <v>33970</v>
      </c>
      <c r="B17" s="75">
        <f>VLOOKUP(A17,Database!A:M,MATCH($A$1,Database!$A$1:$M$1,),)</f>
        <v/>
      </c>
      <c r="C17" s="118">
        <f>(Table5351415[[#This Row],[New Orders ex Transport]]-B16)/B16</f>
        <v/>
      </c>
    </row>
    <row r="18">
      <c r="A18" s="74" t="n">
        <v>34001</v>
      </c>
      <c r="B18" s="75">
        <f>VLOOKUP(A18,Database!A:M,MATCH($A$1,Database!$A$1:$M$1,),)</f>
        <v/>
      </c>
      <c r="C18" s="118">
        <f>(Table5351415[[#This Row],[New Orders ex Transport]]-B17)/B17</f>
        <v/>
      </c>
    </row>
    <row r="19">
      <c r="A19" s="74" t="n">
        <v>34029</v>
      </c>
      <c r="B19" s="75">
        <f>VLOOKUP(A19,Database!A:M,MATCH($A$1,Database!$A$1:$M$1,),)</f>
        <v/>
      </c>
      <c r="C19" s="118">
        <f>(Table5351415[[#This Row],[New Orders ex Transport]]-B18)/B18</f>
        <v/>
      </c>
    </row>
    <row r="20">
      <c r="A20" s="74" t="n">
        <v>34060</v>
      </c>
      <c r="B20" s="75">
        <f>VLOOKUP(A20,Database!A:M,MATCH($A$1,Database!$A$1:$M$1,),)</f>
        <v/>
      </c>
      <c r="C20" s="118">
        <f>(Table5351415[[#This Row],[New Orders ex Transport]]-B19)/B19</f>
        <v/>
      </c>
    </row>
    <row r="21">
      <c r="A21" s="74" t="n">
        <v>34090</v>
      </c>
      <c r="B21" s="75">
        <f>VLOOKUP(A21,Database!A:M,MATCH($A$1,Database!$A$1:$M$1,),)</f>
        <v/>
      </c>
      <c r="C21" s="118">
        <f>(Table5351415[[#This Row],[New Orders ex Transport]]-B20)/B20</f>
        <v/>
      </c>
    </row>
    <row r="22">
      <c r="A22" s="74" t="n">
        <v>34121</v>
      </c>
      <c r="B22" s="75">
        <f>VLOOKUP(A22,Database!A:M,MATCH($A$1,Database!$A$1:$M$1,),)</f>
        <v/>
      </c>
      <c r="C22" s="118">
        <f>(Table5351415[[#This Row],[New Orders ex Transport]]-B21)/B21</f>
        <v/>
      </c>
    </row>
    <row r="23">
      <c r="A23" s="74" t="n">
        <v>34151</v>
      </c>
      <c r="B23" s="75">
        <f>VLOOKUP(A23,Database!A:M,MATCH($A$1,Database!$A$1:$M$1,),)</f>
        <v/>
      </c>
      <c r="C23" s="118">
        <f>(Table5351415[[#This Row],[New Orders ex Transport]]-B22)/B22</f>
        <v/>
      </c>
    </row>
    <row r="24">
      <c r="A24" s="74" t="n">
        <v>34182</v>
      </c>
      <c r="B24" s="75">
        <f>VLOOKUP(A24,Database!A:M,MATCH($A$1,Database!$A$1:$M$1,),)</f>
        <v/>
      </c>
      <c r="C24" s="118">
        <f>(Table5351415[[#This Row],[New Orders ex Transport]]-B23)/B23</f>
        <v/>
      </c>
    </row>
    <row r="25">
      <c r="A25" s="74" t="n">
        <v>34213</v>
      </c>
      <c r="B25" s="75">
        <f>VLOOKUP(A25,Database!A:M,MATCH($A$1,Database!$A$1:$M$1,),)</f>
        <v/>
      </c>
      <c r="C25" s="118">
        <f>(Table5351415[[#This Row],[New Orders ex Transport]]-B24)/B24</f>
        <v/>
      </c>
    </row>
    <row r="26">
      <c r="A26" s="74" t="n">
        <v>34243</v>
      </c>
      <c r="B26" s="75">
        <f>VLOOKUP(A26,Database!A:M,MATCH($A$1,Database!$A$1:$M$1,),)</f>
        <v/>
      </c>
      <c r="C26" s="118">
        <f>(Table5351415[[#This Row],[New Orders ex Transport]]-B25)/B25</f>
        <v/>
      </c>
    </row>
    <row r="27">
      <c r="A27" s="74" t="n">
        <v>34274</v>
      </c>
      <c r="B27" s="75">
        <f>VLOOKUP(A27,Database!A:M,MATCH($A$1,Database!$A$1:$M$1,),)</f>
        <v/>
      </c>
      <c r="C27" s="118">
        <f>(Table5351415[[#This Row],[New Orders ex Transport]]-B26)/B26</f>
        <v/>
      </c>
    </row>
    <row r="28">
      <c r="A28" s="74" t="n">
        <v>34304</v>
      </c>
      <c r="B28" s="75">
        <f>VLOOKUP(A28,Database!A:M,MATCH($A$1,Database!$A$1:$M$1,),)</f>
        <v/>
      </c>
      <c r="C28" s="118">
        <f>(Table5351415[[#This Row],[New Orders ex Transport]]-B27)/B27</f>
        <v/>
      </c>
    </row>
    <row r="29">
      <c r="A29" s="74" t="n">
        <v>34335</v>
      </c>
      <c r="B29" s="75">
        <f>VLOOKUP(A29,Database!A:M,MATCH($A$1,Database!$A$1:$M$1,),)</f>
        <v/>
      </c>
      <c r="C29" s="118">
        <f>(Table5351415[[#This Row],[New Orders ex Transport]]-B28)/B28</f>
        <v/>
      </c>
    </row>
    <row r="30">
      <c r="A30" s="74" t="n">
        <v>34366</v>
      </c>
      <c r="B30" s="75">
        <f>VLOOKUP(A30,Database!A:M,MATCH($A$1,Database!$A$1:$M$1,),)</f>
        <v/>
      </c>
      <c r="C30" s="118">
        <f>(Table5351415[[#This Row],[New Orders ex Transport]]-B29)/B29</f>
        <v/>
      </c>
    </row>
    <row r="31">
      <c r="A31" s="74" t="n">
        <v>34394</v>
      </c>
      <c r="B31" s="75">
        <f>VLOOKUP(A31,Database!A:M,MATCH($A$1,Database!$A$1:$M$1,),)</f>
        <v/>
      </c>
      <c r="C31" s="118">
        <f>(Table5351415[[#This Row],[New Orders ex Transport]]-B30)/B30</f>
        <v/>
      </c>
    </row>
    <row r="32">
      <c r="A32" s="74" t="n">
        <v>34425</v>
      </c>
      <c r="B32" s="75">
        <f>VLOOKUP(A32,Database!A:M,MATCH($A$1,Database!$A$1:$M$1,),)</f>
        <v/>
      </c>
      <c r="C32" s="118">
        <f>(Table5351415[[#This Row],[New Orders ex Transport]]-B31)/B31</f>
        <v/>
      </c>
    </row>
    <row r="33">
      <c r="A33" s="74" t="n">
        <v>34455</v>
      </c>
      <c r="B33" s="75">
        <f>VLOOKUP(A33,Database!A:M,MATCH($A$1,Database!$A$1:$M$1,),)</f>
        <v/>
      </c>
      <c r="C33" s="118">
        <f>(Table5351415[[#This Row],[New Orders ex Transport]]-B32)/B32</f>
        <v/>
      </c>
    </row>
    <row r="34">
      <c r="A34" s="74" t="n">
        <v>34486</v>
      </c>
      <c r="B34" s="75">
        <f>VLOOKUP(A34,Database!A:M,MATCH($A$1,Database!$A$1:$M$1,),)</f>
        <v/>
      </c>
      <c r="C34" s="118">
        <f>(Table5351415[[#This Row],[New Orders ex Transport]]-B33)/B33</f>
        <v/>
      </c>
    </row>
    <row r="35">
      <c r="A35" s="74" t="n">
        <v>34516</v>
      </c>
      <c r="B35" s="75">
        <f>VLOOKUP(A35,Database!A:M,MATCH($A$1,Database!$A$1:$M$1,),)</f>
        <v/>
      </c>
      <c r="C35" s="118">
        <f>(Table5351415[[#This Row],[New Orders ex Transport]]-B34)/B34</f>
        <v/>
      </c>
    </row>
    <row r="36">
      <c r="A36" s="74" t="n">
        <v>34547</v>
      </c>
      <c r="B36" s="75">
        <f>VLOOKUP(A36,Database!A:M,MATCH($A$1,Database!$A$1:$M$1,),)</f>
        <v/>
      </c>
      <c r="C36" s="118">
        <f>(Table5351415[[#This Row],[New Orders ex Transport]]-B35)/B35</f>
        <v/>
      </c>
    </row>
    <row r="37">
      <c r="A37" s="74" t="n">
        <v>34578</v>
      </c>
      <c r="B37" s="75">
        <f>VLOOKUP(A37,Database!A:M,MATCH($A$1,Database!$A$1:$M$1,),)</f>
        <v/>
      </c>
      <c r="C37" s="118">
        <f>(Table5351415[[#This Row],[New Orders ex Transport]]-B36)/B36</f>
        <v/>
      </c>
    </row>
    <row r="38">
      <c r="A38" s="74" t="n">
        <v>34608</v>
      </c>
      <c r="B38" s="75">
        <f>VLOOKUP(A38,Database!A:M,MATCH($A$1,Database!$A$1:$M$1,),)</f>
        <v/>
      </c>
      <c r="C38" s="118">
        <f>(Table5351415[[#This Row],[New Orders ex Transport]]-B37)/B37</f>
        <v/>
      </c>
    </row>
    <row r="39">
      <c r="A39" s="74" t="n">
        <v>34639</v>
      </c>
      <c r="B39" s="75">
        <f>VLOOKUP(A39,Database!A:M,MATCH($A$1,Database!$A$1:$M$1,),)</f>
        <v/>
      </c>
      <c r="C39" s="118">
        <f>(Table5351415[[#This Row],[New Orders ex Transport]]-B38)/B38</f>
        <v/>
      </c>
    </row>
    <row r="40">
      <c r="A40" s="74" t="n">
        <v>34669</v>
      </c>
      <c r="B40" s="75">
        <f>VLOOKUP(A40,Database!A:M,MATCH($A$1,Database!$A$1:$M$1,),)</f>
        <v/>
      </c>
      <c r="C40" s="118">
        <f>(Table5351415[[#This Row],[New Orders ex Transport]]-B39)/B39</f>
        <v/>
      </c>
    </row>
    <row r="41">
      <c r="A41" s="74" t="n">
        <v>34700</v>
      </c>
      <c r="B41" s="75">
        <f>VLOOKUP(A41,Database!A:M,MATCH($A$1,Database!$A$1:$M$1,),)</f>
        <v/>
      </c>
      <c r="C41" s="118">
        <f>(Table5351415[[#This Row],[New Orders ex Transport]]-B40)/B40</f>
        <v/>
      </c>
    </row>
    <row r="42">
      <c r="A42" s="74" t="n">
        <v>34731</v>
      </c>
      <c r="B42" s="75">
        <f>VLOOKUP(A42,Database!A:M,MATCH($A$1,Database!$A$1:$M$1,),)</f>
        <v/>
      </c>
      <c r="C42" s="118">
        <f>(Table5351415[[#This Row],[New Orders ex Transport]]-B41)/B41</f>
        <v/>
      </c>
    </row>
    <row r="43">
      <c r="A43" s="74" t="n">
        <v>34759</v>
      </c>
      <c r="B43" s="75">
        <f>VLOOKUP(A43,Database!A:M,MATCH($A$1,Database!$A$1:$M$1,),)</f>
        <v/>
      </c>
      <c r="C43" s="118">
        <f>(Table5351415[[#This Row],[New Orders ex Transport]]-B42)/B42</f>
        <v/>
      </c>
    </row>
    <row r="44">
      <c r="A44" s="74" t="n">
        <v>34790</v>
      </c>
      <c r="B44" s="75">
        <f>VLOOKUP(A44,Database!A:M,MATCH($A$1,Database!$A$1:$M$1,),)</f>
        <v/>
      </c>
      <c r="C44" s="118">
        <f>(Table5351415[[#This Row],[New Orders ex Transport]]-B43)/B43</f>
        <v/>
      </c>
    </row>
    <row r="45">
      <c r="A45" s="74" t="n">
        <v>34820</v>
      </c>
      <c r="B45" s="75">
        <f>VLOOKUP(A45,Database!A:M,MATCH($A$1,Database!$A$1:$M$1,),)</f>
        <v/>
      </c>
      <c r="C45" s="118">
        <f>(Table5351415[[#This Row],[New Orders ex Transport]]-B44)/B44</f>
        <v/>
      </c>
    </row>
    <row r="46">
      <c r="A46" s="74" t="n">
        <v>34851</v>
      </c>
      <c r="B46" s="75">
        <f>VLOOKUP(A46,Database!A:M,MATCH($A$1,Database!$A$1:$M$1,),)</f>
        <v/>
      </c>
      <c r="C46" s="118">
        <f>(Table5351415[[#This Row],[New Orders ex Transport]]-B45)/B45</f>
        <v/>
      </c>
    </row>
    <row r="47">
      <c r="A47" s="74" t="n">
        <v>34881</v>
      </c>
      <c r="B47" s="75">
        <f>VLOOKUP(A47,Database!A:M,MATCH($A$1,Database!$A$1:$M$1,),)</f>
        <v/>
      </c>
      <c r="C47" s="118">
        <f>(Table5351415[[#This Row],[New Orders ex Transport]]-B46)/B46</f>
        <v/>
      </c>
    </row>
    <row r="48">
      <c r="A48" s="74" t="n">
        <v>34912</v>
      </c>
      <c r="B48" s="75">
        <f>VLOOKUP(A48,Database!A:M,MATCH($A$1,Database!$A$1:$M$1,),)</f>
        <v/>
      </c>
      <c r="C48" s="118">
        <f>(Table5351415[[#This Row],[New Orders ex Transport]]-B47)/B47</f>
        <v/>
      </c>
    </row>
    <row r="49">
      <c r="A49" s="74" t="n">
        <v>34943</v>
      </c>
      <c r="B49" s="75">
        <f>VLOOKUP(A49,Database!A:M,MATCH($A$1,Database!$A$1:$M$1,),)</f>
        <v/>
      </c>
      <c r="C49" s="118">
        <f>(Table5351415[[#This Row],[New Orders ex Transport]]-B48)/B48</f>
        <v/>
      </c>
    </row>
    <row r="50">
      <c r="A50" s="74" t="n">
        <v>34973</v>
      </c>
      <c r="B50" s="75">
        <f>VLOOKUP(A50,Database!A:M,MATCH($A$1,Database!$A$1:$M$1,),)</f>
        <v/>
      </c>
      <c r="C50" s="118">
        <f>(Table5351415[[#This Row],[New Orders ex Transport]]-B49)/B49</f>
        <v/>
      </c>
    </row>
    <row r="51">
      <c r="A51" s="74" t="n">
        <v>35004</v>
      </c>
      <c r="B51" s="75">
        <f>VLOOKUP(A51,Database!A:M,MATCH($A$1,Database!$A$1:$M$1,),)</f>
        <v/>
      </c>
      <c r="C51" s="118">
        <f>(Table5351415[[#This Row],[New Orders ex Transport]]-B50)/B50</f>
        <v/>
      </c>
    </row>
    <row r="52">
      <c r="A52" s="74" t="n">
        <v>35034</v>
      </c>
      <c r="B52" s="75">
        <f>VLOOKUP(A52,Database!A:M,MATCH($A$1,Database!$A$1:$M$1,),)</f>
        <v/>
      </c>
      <c r="C52" s="118">
        <f>(Table5351415[[#This Row],[New Orders ex Transport]]-B51)/B51</f>
        <v/>
      </c>
    </row>
    <row r="53">
      <c r="A53" s="74" t="n">
        <v>35065</v>
      </c>
      <c r="B53" s="75">
        <f>VLOOKUP(A53,Database!A:M,MATCH($A$1,Database!$A$1:$M$1,),)</f>
        <v/>
      </c>
      <c r="C53" s="118">
        <f>(Table5351415[[#This Row],[New Orders ex Transport]]-B52)/B52</f>
        <v/>
      </c>
    </row>
    <row r="54">
      <c r="A54" s="74" t="n">
        <v>35096</v>
      </c>
      <c r="B54" s="75">
        <f>VLOOKUP(A54,Database!A:M,MATCH($A$1,Database!$A$1:$M$1,),)</f>
        <v/>
      </c>
      <c r="C54" s="118">
        <f>(Table5351415[[#This Row],[New Orders ex Transport]]-B53)/B53</f>
        <v/>
      </c>
    </row>
    <row r="55">
      <c r="A55" s="74" t="n">
        <v>35125</v>
      </c>
      <c r="B55" s="75">
        <f>VLOOKUP(A55,Database!A:M,MATCH($A$1,Database!$A$1:$M$1,),)</f>
        <v/>
      </c>
      <c r="C55" s="118">
        <f>(Table5351415[[#This Row],[New Orders ex Transport]]-B54)/B54</f>
        <v/>
      </c>
    </row>
    <row r="56">
      <c r="A56" s="74" t="n">
        <v>35156</v>
      </c>
      <c r="B56" s="75">
        <f>VLOOKUP(A56,Database!A:M,MATCH($A$1,Database!$A$1:$M$1,),)</f>
        <v/>
      </c>
      <c r="C56" s="118">
        <f>(Table5351415[[#This Row],[New Orders ex Transport]]-B55)/B55</f>
        <v/>
      </c>
    </row>
    <row r="57">
      <c r="A57" s="74" t="n">
        <v>35186</v>
      </c>
      <c r="B57" s="75">
        <f>VLOOKUP(A57,Database!A:M,MATCH($A$1,Database!$A$1:$M$1,),)</f>
        <v/>
      </c>
      <c r="C57" s="118">
        <f>(Table5351415[[#This Row],[New Orders ex Transport]]-B56)/B56</f>
        <v/>
      </c>
    </row>
    <row r="58">
      <c r="A58" s="74" t="n">
        <v>35217</v>
      </c>
      <c r="B58" s="75">
        <f>VLOOKUP(A58,Database!A:M,MATCH($A$1,Database!$A$1:$M$1,),)</f>
        <v/>
      </c>
      <c r="C58" s="118">
        <f>(Table5351415[[#This Row],[New Orders ex Transport]]-B57)/B57</f>
        <v/>
      </c>
    </row>
    <row r="59">
      <c r="A59" s="74" t="n">
        <v>35247</v>
      </c>
      <c r="B59" s="75">
        <f>VLOOKUP(A59,Database!A:M,MATCH($A$1,Database!$A$1:$M$1,),)</f>
        <v/>
      </c>
      <c r="C59" s="118">
        <f>(Table5351415[[#This Row],[New Orders ex Transport]]-B58)/B58</f>
        <v/>
      </c>
    </row>
    <row r="60">
      <c r="A60" s="74" t="n">
        <v>35278</v>
      </c>
      <c r="B60" s="75">
        <f>VLOOKUP(A60,Database!A:M,MATCH($A$1,Database!$A$1:$M$1,),)</f>
        <v/>
      </c>
      <c r="C60" s="118">
        <f>(Table5351415[[#This Row],[New Orders ex Transport]]-B59)/B59</f>
        <v/>
      </c>
    </row>
    <row r="61">
      <c r="A61" s="74" t="n">
        <v>35309</v>
      </c>
      <c r="B61" s="75">
        <f>VLOOKUP(A61,Database!A:M,MATCH($A$1,Database!$A$1:$M$1,),)</f>
        <v/>
      </c>
      <c r="C61" s="118">
        <f>(Table5351415[[#This Row],[New Orders ex Transport]]-B60)/B60</f>
        <v/>
      </c>
    </row>
    <row r="62">
      <c r="A62" s="74" t="n">
        <v>35339</v>
      </c>
      <c r="B62" s="75">
        <f>VLOOKUP(A62,Database!A:M,MATCH($A$1,Database!$A$1:$M$1,),)</f>
        <v/>
      </c>
      <c r="C62" s="118">
        <f>(Table5351415[[#This Row],[New Orders ex Transport]]-B61)/B61</f>
        <v/>
      </c>
    </row>
    <row r="63">
      <c r="A63" s="74" t="n">
        <v>35370</v>
      </c>
      <c r="B63" s="75">
        <f>VLOOKUP(A63,Database!A:M,MATCH($A$1,Database!$A$1:$M$1,),)</f>
        <v/>
      </c>
      <c r="C63" s="118">
        <f>(Table5351415[[#This Row],[New Orders ex Transport]]-B62)/B62</f>
        <v/>
      </c>
    </row>
    <row r="64">
      <c r="A64" s="74" t="n">
        <v>35400</v>
      </c>
      <c r="B64" s="75">
        <f>VLOOKUP(A64,Database!A:M,MATCH($A$1,Database!$A$1:$M$1,),)</f>
        <v/>
      </c>
      <c r="C64" s="118">
        <f>(Table5351415[[#This Row],[New Orders ex Transport]]-B63)/B63</f>
        <v/>
      </c>
    </row>
    <row r="65">
      <c r="A65" s="74" t="n">
        <v>35431</v>
      </c>
      <c r="B65" s="75">
        <f>VLOOKUP(A65,Database!A:M,MATCH($A$1,Database!$A$1:$M$1,),)</f>
        <v/>
      </c>
      <c r="C65" s="118">
        <f>(Table5351415[[#This Row],[New Orders ex Transport]]-B64)/B64</f>
        <v/>
      </c>
    </row>
    <row r="66">
      <c r="A66" s="74" t="n">
        <v>35462</v>
      </c>
      <c r="B66" s="75">
        <f>VLOOKUP(A66,Database!A:M,MATCH($A$1,Database!$A$1:$M$1,),)</f>
        <v/>
      </c>
      <c r="C66" s="118">
        <f>(Table5351415[[#This Row],[New Orders ex Transport]]-B65)/B65</f>
        <v/>
      </c>
    </row>
    <row r="67">
      <c r="A67" s="74" t="n">
        <v>35490</v>
      </c>
      <c r="B67" s="75">
        <f>VLOOKUP(A67,Database!A:M,MATCH($A$1,Database!$A$1:$M$1,),)</f>
        <v/>
      </c>
      <c r="C67" s="118">
        <f>(Table5351415[[#This Row],[New Orders ex Transport]]-B66)/B66</f>
        <v/>
      </c>
    </row>
    <row r="68">
      <c r="A68" s="74" t="n">
        <v>35521</v>
      </c>
      <c r="B68" s="75">
        <f>VLOOKUP(A68,Database!A:M,MATCH($A$1,Database!$A$1:$M$1,),)</f>
        <v/>
      </c>
      <c r="C68" s="118">
        <f>(Table5351415[[#This Row],[New Orders ex Transport]]-B67)/B67</f>
        <v/>
      </c>
    </row>
    <row r="69">
      <c r="A69" s="74" t="n">
        <v>35551</v>
      </c>
      <c r="B69" s="75">
        <f>VLOOKUP(A69,Database!A:M,MATCH($A$1,Database!$A$1:$M$1,),)</f>
        <v/>
      </c>
      <c r="C69" s="118">
        <f>(Table5351415[[#This Row],[New Orders ex Transport]]-B68)/B68</f>
        <v/>
      </c>
    </row>
    <row r="70">
      <c r="A70" s="74" t="n">
        <v>35582</v>
      </c>
      <c r="B70" s="75">
        <f>VLOOKUP(A70,Database!A:M,MATCH($A$1,Database!$A$1:$M$1,),)</f>
        <v/>
      </c>
      <c r="C70" s="118">
        <f>(Table5351415[[#This Row],[New Orders ex Transport]]-B69)/B69</f>
        <v/>
      </c>
    </row>
    <row r="71">
      <c r="A71" s="74" t="n">
        <v>35612</v>
      </c>
      <c r="B71" s="75">
        <f>VLOOKUP(A71,Database!A:M,MATCH($A$1,Database!$A$1:$M$1,),)</f>
        <v/>
      </c>
      <c r="C71" s="118">
        <f>(Table5351415[[#This Row],[New Orders ex Transport]]-B70)/B70</f>
        <v/>
      </c>
    </row>
    <row r="72">
      <c r="A72" s="74" t="n">
        <v>35643</v>
      </c>
      <c r="B72" s="75">
        <f>VLOOKUP(A72,Database!A:M,MATCH($A$1,Database!$A$1:$M$1,),)</f>
        <v/>
      </c>
      <c r="C72" s="118">
        <f>(Table5351415[[#This Row],[New Orders ex Transport]]-B71)/B71</f>
        <v/>
      </c>
    </row>
    <row r="73">
      <c r="A73" s="74" t="n">
        <v>35674</v>
      </c>
      <c r="B73" s="75">
        <f>VLOOKUP(A73,Database!A:M,MATCH($A$1,Database!$A$1:$M$1,),)</f>
        <v/>
      </c>
      <c r="C73" s="118">
        <f>(Table5351415[[#This Row],[New Orders ex Transport]]-B72)/B72</f>
        <v/>
      </c>
    </row>
    <row r="74">
      <c r="A74" s="74" t="n">
        <v>35704</v>
      </c>
      <c r="B74" s="75">
        <f>VLOOKUP(A74,Database!A:M,MATCH($A$1,Database!$A$1:$M$1,),)</f>
        <v/>
      </c>
      <c r="C74" s="118">
        <f>(Table5351415[[#This Row],[New Orders ex Transport]]-B73)/B73</f>
        <v/>
      </c>
    </row>
    <row r="75">
      <c r="A75" s="74" t="n">
        <v>35735</v>
      </c>
      <c r="B75" s="75">
        <f>VLOOKUP(A75,Database!A:M,MATCH($A$1,Database!$A$1:$M$1,),)</f>
        <v/>
      </c>
      <c r="C75" s="118">
        <f>(Table5351415[[#This Row],[New Orders ex Transport]]-B74)/B74</f>
        <v/>
      </c>
    </row>
    <row r="76">
      <c r="A76" s="74" t="n">
        <v>35765</v>
      </c>
      <c r="B76" s="75">
        <f>VLOOKUP(A76,Database!A:M,MATCH($A$1,Database!$A$1:$M$1,),)</f>
        <v/>
      </c>
      <c r="C76" s="118">
        <f>(Table5351415[[#This Row],[New Orders ex Transport]]-B75)/B75</f>
        <v/>
      </c>
    </row>
    <row r="77">
      <c r="A77" s="74" t="n">
        <v>35796</v>
      </c>
      <c r="B77" s="75">
        <f>VLOOKUP(A77,Database!A:M,MATCH($A$1,Database!$A$1:$M$1,),)</f>
        <v/>
      </c>
      <c r="C77" s="118">
        <f>(Table5351415[[#This Row],[New Orders ex Transport]]-B76)/B76</f>
        <v/>
      </c>
    </row>
    <row r="78">
      <c r="A78" s="74" t="n">
        <v>35827</v>
      </c>
      <c r="B78" s="75">
        <f>VLOOKUP(A78,Database!A:M,MATCH($A$1,Database!$A$1:$M$1,),)</f>
        <v/>
      </c>
      <c r="C78" s="118">
        <f>(Table5351415[[#This Row],[New Orders ex Transport]]-B77)/B77</f>
        <v/>
      </c>
    </row>
    <row r="79">
      <c r="A79" s="74" t="n">
        <v>35855</v>
      </c>
      <c r="B79" s="75">
        <f>VLOOKUP(A79,Database!A:M,MATCH($A$1,Database!$A$1:$M$1,),)</f>
        <v/>
      </c>
      <c r="C79" s="118">
        <f>(Table5351415[[#This Row],[New Orders ex Transport]]-B78)/B78</f>
        <v/>
      </c>
    </row>
    <row r="80">
      <c r="A80" s="74" t="n">
        <v>35886</v>
      </c>
      <c r="B80" s="75">
        <f>VLOOKUP(A80,Database!A:M,MATCH($A$1,Database!$A$1:$M$1,),)</f>
        <v/>
      </c>
      <c r="C80" s="118">
        <f>(Table5351415[[#This Row],[New Orders ex Transport]]-B79)/B79</f>
        <v/>
      </c>
    </row>
    <row r="81">
      <c r="A81" s="74" t="n">
        <v>35916</v>
      </c>
      <c r="B81" s="75">
        <f>VLOOKUP(A81,Database!A:M,MATCH($A$1,Database!$A$1:$M$1,),)</f>
        <v/>
      </c>
      <c r="C81" s="118">
        <f>(Table5351415[[#This Row],[New Orders ex Transport]]-B80)/B80</f>
        <v/>
      </c>
    </row>
    <row r="82">
      <c r="A82" s="74" t="n">
        <v>35947</v>
      </c>
      <c r="B82" s="75">
        <f>VLOOKUP(A82,Database!A:M,MATCH($A$1,Database!$A$1:$M$1,),)</f>
        <v/>
      </c>
      <c r="C82" s="118">
        <f>(Table5351415[[#This Row],[New Orders ex Transport]]-B81)/B81</f>
        <v/>
      </c>
    </row>
    <row r="83">
      <c r="A83" s="74" t="n">
        <v>35977</v>
      </c>
      <c r="B83" s="75">
        <f>VLOOKUP(A83,Database!A:M,MATCH($A$1,Database!$A$1:$M$1,),)</f>
        <v/>
      </c>
      <c r="C83" s="118">
        <f>(Table5351415[[#This Row],[New Orders ex Transport]]-B82)/B82</f>
        <v/>
      </c>
    </row>
    <row r="84">
      <c r="A84" s="74" t="n">
        <v>36008</v>
      </c>
      <c r="B84" s="75">
        <f>VLOOKUP(A84,Database!A:M,MATCH($A$1,Database!$A$1:$M$1,),)</f>
        <v/>
      </c>
      <c r="C84" s="118">
        <f>(Table5351415[[#This Row],[New Orders ex Transport]]-B83)/B83</f>
        <v/>
      </c>
    </row>
    <row r="85">
      <c r="A85" s="74" t="n">
        <v>36039</v>
      </c>
      <c r="B85" s="75">
        <f>VLOOKUP(A85,Database!A:M,MATCH($A$1,Database!$A$1:$M$1,),)</f>
        <v/>
      </c>
      <c r="C85" s="118">
        <f>(Table5351415[[#This Row],[New Orders ex Transport]]-B84)/B84</f>
        <v/>
      </c>
    </row>
    <row r="86">
      <c r="A86" s="74" t="n">
        <v>36069</v>
      </c>
      <c r="B86" s="75">
        <f>VLOOKUP(A86,Database!A:M,MATCH($A$1,Database!$A$1:$M$1,),)</f>
        <v/>
      </c>
      <c r="C86" s="118">
        <f>(Table5351415[[#This Row],[New Orders ex Transport]]-B85)/B85</f>
        <v/>
      </c>
    </row>
    <row r="87">
      <c r="A87" s="74" t="n">
        <v>36100</v>
      </c>
      <c r="B87" s="75">
        <f>VLOOKUP(A87,Database!A:M,MATCH($A$1,Database!$A$1:$M$1,),)</f>
        <v/>
      </c>
      <c r="C87" s="118">
        <f>(Table5351415[[#This Row],[New Orders ex Transport]]-B86)/B86</f>
        <v/>
      </c>
    </row>
    <row r="88">
      <c r="A88" s="74" t="n">
        <v>36130</v>
      </c>
      <c r="B88" s="75">
        <f>VLOOKUP(A88,Database!A:M,MATCH($A$1,Database!$A$1:$M$1,),)</f>
        <v/>
      </c>
      <c r="C88" s="118">
        <f>(Table5351415[[#This Row],[New Orders ex Transport]]-B87)/B87</f>
        <v/>
      </c>
    </row>
    <row r="89">
      <c r="A89" s="74" t="n">
        <v>36161</v>
      </c>
      <c r="B89" s="75">
        <f>VLOOKUP(A89,Database!A:M,MATCH($A$1,Database!$A$1:$M$1,),)</f>
        <v/>
      </c>
      <c r="C89" s="118">
        <f>(Table5351415[[#This Row],[New Orders ex Transport]]-B88)/B88</f>
        <v/>
      </c>
    </row>
    <row r="90">
      <c r="A90" s="74" t="n">
        <v>36192</v>
      </c>
      <c r="B90" s="75">
        <f>VLOOKUP(A90,Database!A:M,MATCH($A$1,Database!$A$1:$M$1,),)</f>
        <v/>
      </c>
      <c r="C90" s="118">
        <f>(Table5351415[[#This Row],[New Orders ex Transport]]-B89)/B89</f>
        <v/>
      </c>
    </row>
    <row r="91">
      <c r="A91" s="74" t="n">
        <v>36220</v>
      </c>
      <c r="B91" s="75">
        <f>VLOOKUP(A91,Database!A:M,MATCH($A$1,Database!$A$1:$M$1,),)</f>
        <v/>
      </c>
      <c r="C91" s="118">
        <f>(Table5351415[[#This Row],[New Orders ex Transport]]-B90)/B90</f>
        <v/>
      </c>
    </row>
    <row r="92">
      <c r="A92" s="74" t="n">
        <v>36251</v>
      </c>
      <c r="B92" s="75">
        <f>VLOOKUP(A92,Database!A:M,MATCH($A$1,Database!$A$1:$M$1,),)</f>
        <v/>
      </c>
      <c r="C92" s="118">
        <f>(Table5351415[[#This Row],[New Orders ex Transport]]-B91)/B91</f>
        <v/>
      </c>
    </row>
    <row r="93">
      <c r="A93" s="74" t="n">
        <v>36281</v>
      </c>
      <c r="B93" s="75">
        <f>VLOOKUP(A93,Database!A:M,MATCH($A$1,Database!$A$1:$M$1,),)</f>
        <v/>
      </c>
      <c r="C93" s="118">
        <f>(Table5351415[[#This Row],[New Orders ex Transport]]-B92)/B92</f>
        <v/>
      </c>
    </row>
    <row r="94">
      <c r="A94" s="74" t="n">
        <v>36312</v>
      </c>
      <c r="B94" s="75">
        <f>VLOOKUP(A94,Database!A:M,MATCH($A$1,Database!$A$1:$M$1,),)</f>
        <v/>
      </c>
      <c r="C94" s="118">
        <f>(Table5351415[[#This Row],[New Orders ex Transport]]-B93)/B93</f>
        <v/>
      </c>
    </row>
    <row r="95">
      <c r="A95" s="74" t="n">
        <v>36342</v>
      </c>
      <c r="B95" s="75">
        <f>VLOOKUP(A95,Database!A:M,MATCH($A$1,Database!$A$1:$M$1,),)</f>
        <v/>
      </c>
      <c r="C95" s="118">
        <f>(Table5351415[[#This Row],[New Orders ex Transport]]-B94)/B94</f>
        <v/>
      </c>
    </row>
    <row r="96">
      <c r="A96" s="74" t="n">
        <v>36373</v>
      </c>
      <c r="B96" s="75">
        <f>VLOOKUP(A96,Database!A:M,MATCH($A$1,Database!$A$1:$M$1,),)</f>
        <v/>
      </c>
      <c r="C96" s="118">
        <f>(Table5351415[[#This Row],[New Orders ex Transport]]-B95)/B95</f>
        <v/>
      </c>
    </row>
    <row r="97">
      <c r="A97" s="74" t="n">
        <v>36404</v>
      </c>
      <c r="B97" s="75">
        <f>VLOOKUP(A97,Database!A:M,MATCH($A$1,Database!$A$1:$M$1,),)</f>
        <v/>
      </c>
      <c r="C97" s="118">
        <f>(Table5351415[[#This Row],[New Orders ex Transport]]-B96)/B96</f>
        <v/>
      </c>
    </row>
    <row r="98">
      <c r="A98" s="74" t="n">
        <v>36434</v>
      </c>
      <c r="B98" s="75">
        <f>VLOOKUP(A98,Database!A:M,MATCH($A$1,Database!$A$1:$M$1,),)</f>
        <v/>
      </c>
      <c r="C98" s="118">
        <f>(Table5351415[[#This Row],[New Orders ex Transport]]-B97)/B97</f>
        <v/>
      </c>
    </row>
    <row r="99">
      <c r="A99" s="74" t="n">
        <v>36465</v>
      </c>
      <c r="B99" s="75">
        <f>VLOOKUP(A99,Database!A:M,MATCH($A$1,Database!$A$1:$M$1,),)</f>
        <v/>
      </c>
      <c r="C99" s="118">
        <f>(Table5351415[[#This Row],[New Orders ex Transport]]-B98)/B98</f>
        <v/>
      </c>
    </row>
    <row r="100">
      <c r="A100" s="74" t="n">
        <v>36495</v>
      </c>
      <c r="B100" s="75">
        <f>VLOOKUP(A100,Database!A:M,MATCH($A$1,Database!$A$1:$M$1,),)</f>
        <v/>
      </c>
      <c r="C100" s="118">
        <f>(Table5351415[[#This Row],[New Orders ex Transport]]-B99)/B99</f>
        <v/>
      </c>
    </row>
    <row r="101">
      <c r="A101" s="74" t="n">
        <v>36526</v>
      </c>
      <c r="B101" s="75">
        <f>VLOOKUP(A101,Database!A:M,MATCH($A$1,Database!$A$1:$M$1,),)</f>
        <v/>
      </c>
      <c r="C101" s="118">
        <f>(Table5351415[[#This Row],[New Orders ex Transport]]-B100)/B100</f>
        <v/>
      </c>
    </row>
    <row r="102">
      <c r="A102" s="74" t="n">
        <v>36557</v>
      </c>
      <c r="B102" s="75">
        <f>VLOOKUP(A102,Database!A:M,MATCH($A$1,Database!$A$1:$M$1,),)</f>
        <v/>
      </c>
      <c r="C102" s="118">
        <f>(Table5351415[[#This Row],[New Orders ex Transport]]-B101)/B101</f>
        <v/>
      </c>
    </row>
    <row r="103">
      <c r="A103" s="74" t="n">
        <v>36586</v>
      </c>
      <c r="B103" s="75">
        <f>VLOOKUP(A103,Database!A:M,MATCH($A$1,Database!$A$1:$M$1,),)</f>
        <v/>
      </c>
      <c r="C103" s="118">
        <f>(Table5351415[[#This Row],[New Orders ex Transport]]-B102)/B102</f>
        <v/>
      </c>
    </row>
    <row r="104">
      <c r="A104" s="74" t="n">
        <v>36617</v>
      </c>
      <c r="B104" s="75">
        <f>VLOOKUP(A104,Database!A:M,MATCH($A$1,Database!$A$1:$M$1,),)</f>
        <v/>
      </c>
      <c r="C104" s="118">
        <f>(Table5351415[[#This Row],[New Orders ex Transport]]-B103)/B103</f>
        <v/>
      </c>
    </row>
    <row r="105">
      <c r="A105" s="74" t="n">
        <v>36647</v>
      </c>
      <c r="B105" s="75">
        <f>VLOOKUP(A105,Database!A:M,MATCH($A$1,Database!$A$1:$M$1,),)</f>
        <v/>
      </c>
      <c r="C105" s="118">
        <f>(Table5351415[[#This Row],[New Orders ex Transport]]-B104)/B104</f>
        <v/>
      </c>
    </row>
    <row r="106">
      <c r="A106" s="74" t="n">
        <v>36678</v>
      </c>
      <c r="B106" s="75">
        <f>VLOOKUP(A106,Database!A:M,MATCH($A$1,Database!$A$1:$M$1,),)</f>
        <v/>
      </c>
      <c r="C106" s="118">
        <f>(Table5351415[[#This Row],[New Orders ex Transport]]-B105)/B105</f>
        <v/>
      </c>
    </row>
    <row r="107">
      <c r="A107" s="74" t="n">
        <v>36708</v>
      </c>
      <c r="B107" s="75">
        <f>VLOOKUP(A107,Database!A:M,MATCH($A$1,Database!$A$1:$M$1,),)</f>
        <v/>
      </c>
      <c r="C107" s="118">
        <f>(Table5351415[[#This Row],[New Orders ex Transport]]-B106)/B106</f>
        <v/>
      </c>
    </row>
    <row r="108">
      <c r="A108" s="74" t="n">
        <v>36739</v>
      </c>
      <c r="B108" s="75">
        <f>VLOOKUP(A108,Database!A:M,MATCH($A$1,Database!$A$1:$M$1,),)</f>
        <v/>
      </c>
      <c r="C108" s="118">
        <f>(Table5351415[[#This Row],[New Orders ex Transport]]-B107)/B107</f>
        <v/>
      </c>
    </row>
    <row r="109">
      <c r="A109" s="74" t="n">
        <v>36770</v>
      </c>
      <c r="B109" s="75">
        <f>VLOOKUP(A109,Database!A:M,MATCH($A$1,Database!$A$1:$M$1,),)</f>
        <v/>
      </c>
      <c r="C109" s="118">
        <f>(Table5351415[[#This Row],[New Orders ex Transport]]-B108)/B108</f>
        <v/>
      </c>
    </row>
    <row r="110">
      <c r="A110" s="74" t="n">
        <v>36800</v>
      </c>
      <c r="B110" s="75">
        <f>VLOOKUP(A110,Database!A:M,MATCH($A$1,Database!$A$1:$M$1,),)</f>
        <v/>
      </c>
      <c r="C110" s="118">
        <f>(Table5351415[[#This Row],[New Orders ex Transport]]-B109)/B109</f>
        <v/>
      </c>
    </row>
    <row r="111">
      <c r="A111" s="74" t="n">
        <v>36831</v>
      </c>
      <c r="B111" s="75">
        <f>VLOOKUP(A111,Database!A:M,MATCH($A$1,Database!$A$1:$M$1,),)</f>
        <v/>
      </c>
      <c r="C111" s="118">
        <f>(Table5351415[[#This Row],[New Orders ex Transport]]-B110)/B110</f>
        <v/>
      </c>
    </row>
    <row r="112">
      <c r="A112" s="74" t="n">
        <v>36861</v>
      </c>
      <c r="B112" s="75">
        <f>VLOOKUP(A112,Database!A:M,MATCH($A$1,Database!$A$1:$M$1,),)</f>
        <v/>
      </c>
      <c r="C112" s="118">
        <f>(Table5351415[[#This Row],[New Orders ex Transport]]-B111)/B111</f>
        <v/>
      </c>
    </row>
    <row r="113">
      <c r="A113" s="74" t="n">
        <v>36892</v>
      </c>
      <c r="B113" s="75">
        <f>VLOOKUP(A113,Database!A:M,MATCH($A$1,Database!$A$1:$M$1,),)</f>
        <v/>
      </c>
      <c r="C113" s="118">
        <f>(Table5351415[[#This Row],[New Orders ex Transport]]-B112)/B112</f>
        <v/>
      </c>
    </row>
    <row r="114">
      <c r="A114" s="74" t="n">
        <v>36923</v>
      </c>
      <c r="B114" s="75">
        <f>VLOOKUP(A114,Database!A:M,MATCH($A$1,Database!$A$1:$M$1,),)</f>
        <v/>
      </c>
      <c r="C114" s="118">
        <f>(Table5351415[[#This Row],[New Orders ex Transport]]-B113)/B113</f>
        <v/>
      </c>
    </row>
    <row r="115">
      <c r="A115" s="74" t="n">
        <v>36951</v>
      </c>
      <c r="B115" s="75">
        <f>VLOOKUP(A115,Database!A:M,MATCH($A$1,Database!$A$1:$M$1,),)</f>
        <v/>
      </c>
      <c r="C115" s="118">
        <f>(Table5351415[[#This Row],[New Orders ex Transport]]-B114)/B114</f>
        <v/>
      </c>
    </row>
    <row r="116">
      <c r="A116" s="74" t="n">
        <v>36982</v>
      </c>
      <c r="B116" s="75">
        <f>VLOOKUP(A116,Database!A:M,MATCH($A$1,Database!$A$1:$M$1,),)</f>
        <v/>
      </c>
      <c r="C116" s="118">
        <f>(Table5351415[[#This Row],[New Orders ex Transport]]-B115)/B115</f>
        <v/>
      </c>
    </row>
    <row r="117">
      <c r="A117" s="74" t="n">
        <v>37012</v>
      </c>
      <c r="B117" s="75">
        <f>VLOOKUP(A117,Database!A:M,MATCH($A$1,Database!$A$1:$M$1,),)</f>
        <v/>
      </c>
      <c r="C117" s="118">
        <f>(Table5351415[[#This Row],[New Orders ex Transport]]-B116)/B116</f>
        <v/>
      </c>
    </row>
    <row r="118">
      <c r="A118" s="74" t="n">
        <v>37043</v>
      </c>
      <c r="B118" s="75">
        <f>VLOOKUP(A118,Database!A:M,MATCH($A$1,Database!$A$1:$M$1,),)</f>
        <v/>
      </c>
      <c r="C118" s="118">
        <f>(Table5351415[[#This Row],[New Orders ex Transport]]-B117)/B117</f>
        <v/>
      </c>
    </row>
    <row r="119">
      <c r="A119" s="74" t="n">
        <v>37073</v>
      </c>
      <c r="B119" s="75">
        <f>VLOOKUP(A119,Database!A:M,MATCH($A$1,Database!$A$1:$M$1,),)</f>
        <v/>
      </c>
      <c r="C119" s="118">
        <f>(Table5351415[[#This Row],[New Orders ex Transport]]-B118)/B118</f>
        <v/>
      </c>
    </row>
    <row r="120">
      <c r="A120" s="74" t="n">
        <v>37104</v>
      </c>
      <c r="B120" s="75">
        <f>VLOOKUP(A120,Database!A:M,MATCH($A$1,Database!$A$1:$M$1,),)</f>
        <v/>
      </c>
      <c r="C120" s="118">
        <f>(Table5351415[[#This Row],[New Orders ex Transport]]-B119)/B119</f>
        <v/>
      </c>
    </row>
    <row r="121">
      <c r="A121" s="74" t="n">
        <v>37135</v>
      </c>
      <c r="B121" s="75">
        <f>VLOOKUP(A121,Database!A:M,MATCH($A$1,Database!$A$1:$M$1,),)</f>
        <v/>
      </c>
      <c r="C121" s="118">
        <f>(Table5351415[[#This Row],[New Orders ex Transport]]-B120)/B120</f>
        <v/>
      </c>
    </row>
    <row r="122">
      <c r="A122" s="74" t="n">
        <v>37165</v>
      </c>
      <c r="B122" s="75">
        <f>VLOOKUP(A122,Database!A:M,MATCH($A$1,Database!$A$1:$M$1,),)</f>
        <v/>
      </c>
      <c r="C122" s="118">
        <f>(Table5351415[[#This Row],[New Orders ex Transport]]-B121)/B121</f>
        <v/>
      </c>
    </row>
    <row r="123">
      <c r="A123" s="74" t="n">
        <v>37196</v>
      </c>
      <c r="B123" s="75">
        <f>VLOOKUP(A123,Database!A:M,MATCH($A$1,Database!$A$1:$M$1,),)</f>
        <v/>
      </c>
      <c r="C123" s="118">
        <f>(Table5351415[[#This Row],[New Orders ex Transport]]-B122)/B122</f>
        <v/>
      </c>
    </row>
    <row r="124">
      <c r="A124" s="74" t="n">
        <v>37226</v>
      </c>
      <c r="B124" s="75">
        <f>VLOOKUP(A124,Database!A:M,MATCH($A$1,Database!$A$1:$M$1,),)</f>
        <v/>
      </c>
      <c r="C124" s="118">
        <f>(Table5351415[[#This Row],[New Orders ex Transport]]-B123)/B123</f>
        <v/>
      </c>
    </row>
    <row r="125">
      <c r="A125" s="74" t="n">
        <v>37257</v>
      </c>
      <c r="B125" s="75">
        <f>VLOOKUP(A125,Database!A:M,MATCH($A$1,Database!$A$1:$M$1,),)</f>
        <v/>
      </c>
      <c r="C125" s="118">
        <f>(Table5351415[[#This Row],[New Orders ex Transport]]-B124)/B124</f>
        <v/>
      </c>
    </row>
    <row r="126">
      <c r="A126" s="74" t="n">
        <v>37288</v>
      </c>
      <c r="B126" s="75">
        <f>VLOOKUP(A126,Database!A:M,MATCH($A$1,Database!$A$1:$M$1,),)</f>
        <v/>
      </c>
      <c r="C126" s="118">
        <f>(Table5351415[[#This Row],[New Orders ex Transport]]-B125)/B125</f>
        <v/>
      </c>
    </row>
    <row r="127">
      <c r="A127" s="74" t="n">
        <v>37316</v>
      </c>
      <c r="B127" s="75">
        <f>VLOOKUP(A127,Database!A:M,MATCH($A$1,Database!$A$1:$M$1,),)</f>
        <v/>
      </c>
      <c r="C127" s="118">
        <f>(Table5351415[[#This Row],[New Orders ex Transport]]-B126)/B126</f>
        <v/>
      </c>
    </row>
    <row r="128">
      <c r="A128" s="74" t="n">
        <v>37347</v>
      </c>
      <c r="B128" s="75">
        <f>VLOOKUP(A128,Database!A:M,MATCH($A$1,Database!$A$1:$M$1,),)</f>
        <v/>
      </c>
      <c r="C128" s="118">
        <f>(Table5351415[[#This Row],[New Orders ex Transport]]-B127)/B127</f>
        <v/>
      </c>
    </row>
    <row r="129">
      <c r="A129" s="74" t="n">
        <v>37377</v>
      </c>
      <c r="B129" s="75">
        <f>VLOOKUP(A129,Database!A:M,MATCH($A$1,Database!$A$1:$M$1,),)</f>
        <v/>
      </c>
      <c r="C129" s="118">
        <f>(Table5351415[[#This Row],[New Orders ex Transport]]-B128)/B128</f>
        <v/>
      </c>
    </row>
    <row r="130">
      <c r="A130" s="74" t="n">
        <v>37408</v>
      </c>
      <c r="B130" s="75">
        <f>VLOOKUP(A130,Database!A:M,MATCH($A$1,Database!$A$1:$M$1,),)</f>
        <v/>
      </c>
      <c r="C130" s="118">
        <f>(Table5351415[[#This Row],[New Orders ex Transport]]-B129)/B129</f>
        <v/>
      </c>
    </row>
    <row r="131">
      <c r="A131" s="74" t="n">
        <v>37438</v>
      </c>
      <c r="B131" s="75">
        <f>VLOOKUP(A131,Database!A:M,MATCH($A$1,Database!$A$1:$M$1,),)</f>
        <v/>
      </c>
      <c r="C131" s="118">
        <f>(Table5351415[[#This Row],[New Orders ex Transport]]-B130)/B130</f>
        <v/>
      </c>
    </row>
    <row r="132">
      <c r="A132" s="74" t="n">
        <v>37469</v>
      </c>
      <c r="B132" s="75">
        <f>VLOOKUP(A132,Database!A:M,MATCH($A$1,Database!$A$1:$M$1,),)</f>
        <v/>
      </c>
      <c r="C132" s="118">
        <f>(Table5351415[[#This Row],[New Orders ex Transport]]-B131)/B131</f>
        <v/>
      </c>
    </row>
    <row r="133">
      <c r="A133" s="74" t="n">
        <v>37500</v>
      </c>
      <c r="B133" s="75">
        <f>VLOOKUP(A133,Database!A:M,MATCH($A$1,Database!$A$1:$M$1,),)</f>
        <v/>
      </c>
      <c r="C133" s="118">
        <f>(Table5351415[[#This Row],[New Orders ex Transport]]-B132)/B132</f>
        <v/>
      </c>
    </row>
    <row r="134">
      <c r="A134" s="74" t="n">
        <v>37530</v>
      </c>
      <c r="B134" s="75">
        <f>VLOOKUP(A134,Database!A:M,MATCH($A$1,Database!$A$1:$M$1,),)</f>
        <v/>
      </c>
      <c r="C134" s="118">
        <f>(Table5351415[[#This Row],[New Orders ex Transport]]-B133)/B133</f>
        <v/>
      </c>
    </row>
    <row r="135">
      <c r="A135" s="74" t="n">
        <v>37561</v>
      </c>
      <c r="B135" s="75">
        <f>VLOOKUP(A135,Database!A:M,MATCH($A$1,Database!$A$1:$M$1,),)</f>
        <v/>
      </c>
      <c r="C135" s="118">
        <f>(Table5351415[[#This Row],[New Orders ex Transport]]-B134)/B134</f>
        <v/>
      </c>
    </row>
    <row r="136">
      <c r="A136" s="74" t="n">
        <v>37591</v>
      </c>
      <c r="B136" s="75">
        <f>VLOOKUP(A136,Database!A:M,MATCH($A$1,Database!$A$1:$M$1,),)</f>
        <v/>
      </c>
      <c r="C136" s="118">
        <f>(Table5351415[[#This Row],[New Orders ex Transport]]-B135)/B135</f>
        <v/>
      </c>
    </row>
    <row r="137">
      <c r="A137" s="74" t="n">
        <v>37622</v>
      </c>
      <c r="B137" s="75">
        <f>VLOOKUP(A137,Database!A:M,MATCH($A$1,Database!$A$1:$M$1,),)</f>
        <v/>
      </c>
      <c r="C137" s="118">
        <f>(Table5351415[[#This Row],[New Orders ex Transport]]-B136)/B136</f>
        <v/>
      </c>
    </row>
    <row r="138">
      <c r="A138" s="74" t="n">
        <v>37653</v>
      </c>
      <c r="B138" s="75">
        <f>VLOOKUP(A138,Database!A:M,MATCH($A$1,Database!$A$1:$M$1,),)</f>
        <v/>
      </c>
      <c r="C138" s="118">
        <f>(Table5351415[[#This Row],[New Orders ex Transport]]-B137)/B137</f>
        <v/>
      </c>
    </row>
    <row r="139">
      <c r="A139" s="74" t="n">
        <v>37681</v>
      </c>
      <c r="B139" s="75">
        <f>VLOOKUP(A139,Database!A:M,MATCH($A$1,Database!$A$1:$M$1,),)</f>
        <v/>
      </c>
      <c r="C139" s="118">
        <f>(Table5351415[[#This Row],[New Orders ex Transport]]-B138)/B138</f>
        <v/>
      </c>
    </row>
    <row r="140">
      <c r="A140" s="74" t="n">
        <v>37712</v>
      </c>
      <c r="B140" s="75">
        <f>VLOOKUP(A140,Database!A:M,MATCH($A$1,Database!$A$1:$M$1,),)</f>
        <v/>
      </c>
      <c r="C140" s="118">
        <f>(Table5351415[[#This Row],[New Orders ex Transport]]-B139)/B139</f>
        <v/>
      </c>
    </row>
    <row r="141">
      <c r="A141" s="74" t="n">
        <v>37742</v>
      </c>
      <c r="B141" s="75">
        <f>VLOOKUP(A141,Database!A:M,MATCH($A$1,Database!$A$1:$M$1,),)</f>
        <v/>
      </c>
      <c r="C141" s="118">
        <f>(Table5351415[[#This Row],[New Orders ex Transport]]-B140)/B140</f>
        <v/>
      </c>
    </row>
    <row r="142">
      <c r="A142" s="74" t="n">
        <v>37773</v>
      </c>
      <c r="B142" s="75">
        <f>VLOOKUP(A142,Database!A:M,MATCH($A$1,Database!$A$1:$M$1,),)</f>
        <v/>
      </c>
      <c r="C142" s="118">
        <f>(Table5351415[[#This Row],[New Orders ex Transport]]-B141)/B141</f>
        <v/>
      </c>
    </row>
    <row r="143">
      <c r="A143" s="74" t="n">
        <v>37803</v>
      </c>
      <c r="B143" s="75">
        <f>VLOOKUP(A143,Database!A:M,MATCH($A$1,Database!$A$1:$M$1,),)</f>
        <v/>
      </c>
      <c r="C143" s="118">
        <f>(Table5351415[[#This Row],[New Orders ex Transport]]-B142)/B142</f>
        <v/>
      </c>
    </row>
    <row r="144">
      <c r="A144" s="74" t="n">
        <v>37834</v>
      </c>
      <c r="B144" s="75">
        <f>VLOOKUP(A144,Database!A:M,MATCH($A$1,Database!$A$1:$M$1,),)</f>
        <v/>
      </c>
      <c r="C144" s="118">
        <f>(Table5351415[[#This Row],[New Orders ex Transport]]-B143)/B143</f>
        <v/>
      </c>
    </row>
    <row r="145">
      <c r="A145" s="74" t="n">
        <v>37865</v>
      </c>
      <c r="B145" s="75">
        <f>VLOOKUP(A145,Database!A:M,MATCH($A$1,Database!$A$1:$M$1,),)</f>
        <v/>
      </c>
      <c r="C145" s="118">
        <f>(Table5351415[[#This Row],[New Orders ex Transport]]-B144)/B144</f>
        <v/>
      </c>
    </row>
    <row r="146">
      <c r="A146" s="74" t="n">
        <v>37895</v>
      </c>
      <c r="B146" s="75">
        <f>VLOOKUP(A146,Database!A:M,MATCH($A$1,Database!$A$1:$M$1,),)</f>
        <v/>
      </c>
      <c r="C146" s="118">
        <f>(Table5351415[[#This Row],[New Orders ex Transport]]-B145)/B145</f>
        <v/>
      </c>
    </row>
    <row r="147">
      <c r="A147" s="74" t="n">
        <v>37926</v>
      </c>
      <c r="B147" s="75">
        <f>VLOOKUP(A147,Database!A:M,MATCH($A$1,Database!$A$1:$M$1,),)</f>
        <v/>
      </c>
      <c r="C147" s="118">
        <f>(Table5351415[[#This Row],[New Orders ex Transport]]-B146)/B146</f>
        <v/>
      </c>
    </row>
    <row r="148">
      <c r="A148" s="74" t="n">
        <v>37956</v>
      </c>
      <c r="B148" s="75">
        <f>VLOOKUP(A148,Database!A:M,MATCH($A$1,Database!$A$1:$M$1,),)</f>
        <v/>
      </c>
      <c r="C148" s="118">
        <f>(Table5351415[[#This Row],[New Orders ex Transport]]-B147)/B147</f>
        <v/>
      </c>
    </row>
    <row r="149">
      <c r="A149" s="74" t="n">
        <v>37987</v>
      </c>
      <c r="B149" s="75">
        <f>VLOOKUP(A149,Database!A:M,MATCH($A$1,Database!$A$1:$M$1,),)</f>
        <v/>
      </c>
      <c r="C149" s="118">
        <f>(Table5351415[[#This Row],[New Orders ex Transport]]-B148)/B148</f>
        <v/>
      </c>
    </row>
    <row r="150">
      <c r="A150" s="74" t="n">
        <v>38018</v>
      </c>
      <c r="B150" s="75">
        <f>VLOOKUP(A150,Database!A:M,MATCH($A$1,Database!$A$1:$M$1,),)</f>
        <v/>
      </c>
      <c r="C150" s="118">
        <f>(Table5351415[[#This Row],[New Orders ex Transport]]-B149)/B149</f>
        <v/>
      </c>
    </row>
    <row r="151">
      <c r="A151" s="74" t="n">
        <v>38047</v>
      </c>
      <c r="B151" s="75">
        <f>VLOOKUP(A151,Database!A:M,MATCH($A$1,Database!$A$1:$M$1,),)</f>
        <v/>
      </c>
      <c r="C151" s="118">
        <f>(Table5351415[[#This Row],[New Orders ex Transport]]-B150)/B150</f>
        <v/>
      </c>
    </row>
    <row r="152">
      <c r="A152" s="74" t="n">
        <v>38078</v>
      </c>
      <c r="B152" s="75">
        <f>VLOOKUP(A152,Database!A:M,MATCH($A$1,Database!$A$1:$M$1,),)</f>
        <v/>
      </c>
      <c r="C152" s="118">
        <f>(Table5351415[[#This Row],[New Orders ex Transport]]-B151)/B151</f>
        <v/>
      </c>
    </row>
    <row r="153">
      <c r="A153" s="74" t="n">
        <v>38108</v>
      </c>
      <c r="B153" s="75">
        <f>VLOOKUP(A153,Database!A:M,MATCH($A$1,Database!$A$1:$M$1,),)</f>
        <v/>
      </c>
      <c r="C153" s="118">
        <f>(Table5351415[[#This Row],[New Orders ex Transport]]-B152)/B152</f>
        <v/>
      </c>
    </row>
    <row r="154">
      <c r="A154" s="74" t="n">
        <v>38139</v>
      </c>
      <c r="B154" s="75">
        <f>VLOOKUP(A154,Database!A:M,MATCH($A$1,Database!$A$1:$M$1,),)</f>
        <v/>
      </c>
      <c r="C154" s="118">
        <f>(Table5351415[[#This Row],[New Orders ex Transport]]-B153)/B153</f>
        <v/>
      </c>
    </row>
    <row r="155">
      <c r="A155" s="74" t="n">
        <v>38169</v>
      </c>
      <c r="B155" s="75">
        <f>VLOOKUP(A155,Database!A:M,MATCH($A$1,Database!$A$1:$M$1,),)</f>
        <v/>
      </c>
      <c r="C155" s="118">
        <f>(Table5351415[[#This Row],[New Orders ex Transport]]-B154)/B154</f>
        <v/>
      </c>
    </row>
    <row r="156">
      <c r="A156" s="74" t="n">
        <v>38200</v>
      </c>
      <c r="B156" s="75">
        <f>VLOOKUP(A156,Database!A:M,MATCH($A$1,Database!$A$1:$M$1,),)</f>
        <v/>
      </c>
      <c r="C156" s="118">
        <f>(Table5351415[[#This Row],[New Orders ex Transport]]-B155)/B155</f>
        <v/>
      </c>
    </row>
    <row r="157">
      <c r="A157" s="74" t="n">
        <v>38231</v>
      </c>
      <c r="B157" s="75">
        <f>VLOOKUP(A157,Database!A:M,MATCH($A$1,Database!$A$1:$M$1,),)</f>
        <v/>
      </c>
      <c r="C157" s="118">
        <f>(Table5351415[[#This Row],[New Orders ex Transport]]-B156)/B156</f>
        <v/>
      </c>
    </row>
    <row r="158">
      <c r="A158" s="74" t="n">
        <v>38261</v>
      </c>
      <c r="B158" s="75">
        <f>VLOOKUP(A158,Database!A:M,MATCH($A$1,Database!$A$1:$M$1,),)</f>
        <v/>
      </c>
      <c r="C158" s="118">
        <f>(Table5351415[[#This Row],[New Orders ex Transport]]-B157)/B157</f>
        <v/>
      </c>
    </row>
    <row r="159">
      <c r="A159" s="74" t="n">
        <v>38292</v>
      </c>
      <c r="B159" s="75">
        <f>VLOOKUP(A159,Database!A:M,MATCH($A$1,Database!$A$1:$M$1,),)</f>
        <v/>
      </c>
      <c r="C159" s="118">
        <f>(Table5351415[[#This Row],[New Orders ex Transport]]-B158)/B158</f>
        <v/>
      </c>
    </row>
    <row r="160">
      <c r="A160" s="74" t="n">
        <v>38322</v>
      </c>
      <c r="B160" s="75">
        <f>VLOOKUP(A160,Database!A:M,MATCH($A$1,Database!$A$1:$M$1,),)</f>
        <v/>
      </c>
      <c r="C160" s="118">
        <f>(Table5351415[[#This Row],[New Orders ex Transport]]-B159)/B159</f>
        <v/>
      </c>
    </row>
    <row r="161">
      <c r="A161" s="74" t="n">
        <v>38353</v>
      </c>
      <c r="B161" s="75">
        <f>VLOOKUP(A161,Database!A:M,MATCH($A$1,Database!$A$1:$M$1,),)</f>
        <v/>
      </c>
      <c r="C161" s="118">
        <f>(Table5351415[[#This Row],[New Orders ex Transport]]-B160)/B160</f>
        <v/>
      </c>
    </row>
    <row r="162">
      <c r="A162" s="74" t="n">
        <v>38384</v>
      </c>
      <c r="B162" s="75">
        <f>VLOOKUP(A162,Database!A:M,MATCH($A$1,Database!$A$1:$M$1,),)</f>
        <v/>
      </c>
      <c r="C162" s="118">
        <f>(Table5351415[[#This Row],[New Orders ex Transport]]-B161)/B161</f>
        <v/>
      </c>
    </row>
    <row r="163">
      <c r="A163" s="74" t="n">
        <v>38412</v>
      </c>
      <c r="B163" s="75">
        <f>VLOOKUP(A163,Database!A:M,MATCH($A$1,Database!$A$1:$M$1,),)</f>
        <v/>
      </c>
      <c r="C163" s="118">
        <f>(Table5351415[[#This Row],[New Orders ex Transport]]-B162)/B162</f>
        <v/>
      </c>
    </row>
    <row r="164">
      <c r="A164" s="74" t="n">
        <v>38443</v>
      </c>
      <c r="B164" s="75">
        <f>VLOOKUP(A164,Database!A:M,MATCH($A$1,Database!$A$1:$M$1,),)</f>
        <v/>
      </c>
      <c r="C164" s="118">
        <f>(Table5351415[[#This Row],[New Orders ex Transport]]-B163)/B163</f>
        <v/>
      </c>
    </row>
    <row r="165">
      <c r="A165" s="74" t="n">
        <v>38473</v>
      </c>
      <c r="B165" s="75">
        <f>VLOOKUP(A165,Database!A:M,MATCH($A$1,Database!$A$1:$M$1,),)</f>
        <v/>
      </c>
      <c r="C165" s="118">
        <f>(Table5351415[[#This Row],[New Orders ex Transport]]-B164)/B164</f>
        <v/>
      </c>
    </row>
    <row r="166">
      <c r="A166" s="74" t="n">
        <v>38504</v>
      </c>
      <c r="B166" s="75">
        <f>VLOOKUP(A166,Database!A:M,MATCH($A$1,Database!$A$1:$M$1,),)</f>
        <v/>
      </c>
      <c r="C166" s="118">
        <f>(Table5351415[[#This Row],[New Orders ex Transport]]-B165)/B165</f>
        <v/>
      </c>
    </row>
    <row r="167">
      <c r="A167" s="74" t="n">
        <v>38534</v>
      </c>
      <c r="B167" s="75">
        <f>VLOOKUP(A167,Database!A:M,MATCH($A$1,Database!$A$1:$M$1,),)</f>
        <v/>
      </c>
      <c r="C167" s="118">
        <f>(Table5351415[[#This Row],[New Orders ex Transport]]-B166)/B166</f>
        <v/>
      </c>
    </row>
    <row r="168">
      <c r="A168" s="74" t="n">
        <v>38565</v>
      </c>
      <c r="B168" s="75">
        <f>VLOOKUP(A168,Database!A:M,MATCH($A$1,Database!$A$1:$M$1,),)</f>
        <v/>
      </c>
      <c r="C168" s="118">
        <f>(Table5351415[[#This Row],[New Orders ex Transport]]-B167)/B167</f>
        <v/>
      </c>
    </row>
    <row r="169">
      <c r="A169" s="74" t="n">
        <v>38596</v>
      </c>
      <c r="B169" s="75">
        <f>VLOOKUP(A169,Database!A:M,MATCH($A$1,Database!$A$1:$M$1,),)</f>
        <v/>
      </c>
      <c r="C169" s="118">
        <f>(Table5351415[[#This Row],[New Orders ex Transport]]-B168)/B168</f>
        <v/>
      </c>
    </row>
    <row r="170">
      <c r="A170" s="74" t="n">
        <v>38626</v>
      </c>
      <c r="B170" s="75">
        <f>VLOOKUP(A170,Database!A:M,MATCH($A$1,Database!$A$1:$M$1,),)</f>
        <v/>
      </c>
      <c r="C170" s="118">
        <f>(Table5351415[[#This Row],[New Orders ex Transport]]-B169)/B169</f>
        <v/>
      </c>
    </row>
    <row r="171">
      <c r="A171" s="74" t="n">
        <v>38657</v>
      </c>
      <c r="B171" s="75">
        <f>VLOOKUP(A171,Database!A:M,MATCH($A$1,Database!$A$1:$M$1,),)</f>
        <v/>
      </c>
      <c r="C171" s="118">
        <f>(Table5351415[[#This Row],[New Orders ex Transport]]-B170)/B170</f>
        <v/>
      </c>
    </row>
    <row r="172">
      <c r="A172" s="74" t="n">
        <v>38687</v>
      </c>
      <c r="B172" s="75">
        <f>VLOOKUP(A172,Database!A:M,MATCH($A$1,Database!$A$1:$M$1,),)</f>
        <v/>
      </c>
      <c r="C172" s="118">
        <f>(Table5351415[[#This Row],[New Orders ex Transport]]-B171)/B171</f>
        <v/>
      </c>
    </row>
    <row r="173">
      <c r="A173" s="74" t="n">
        <v>38718</v>
      </c>
      <c r="B173" s="75">
        <f>VLOOKUP(A173,Database!A:M,MATCH($A$1,Database!$A$1:$M$1,),)</f>
        <v/>
      </c>
      <c r="C173" s="118">
        <f>(Table5351415[[#This Row],[New Orders ex Transport]]-B172)/B172</f>
        <v/>
      </c>
    </row>
    <row r="174">
      <c r="A174" s="74" t="n">
        <v>38749</v>
      </c>
      <c r="B174" s="75">
        <f>VLOOKUP(A174,Database!A:M,MATCH($A$1,Database!$A$1:$M$1,),)</f>
        <v/>
      </c>
      <c r="C174" s="118">
        <f>(Table5351415[[#This Row],[New Orders ex Transport]]-B173)/B173</f>
        <v/>
      </c>
    </row>
    <row r="175">
      <c r="A175" s="74" t="n">
        <v>38777</v>
      </c>
      <c r="B175" s="75">
        <f>VLOOKUP(A175,Database!A:M,MATCH($A$1,Database!$A$1:$M$1,),)</f>
        <v/>
      </c>
      <c r="C175" s="118">
        <f>(Table5351415[[#This Row],[New Orders ex Transport]]-B174)/B174</f>
        <v/>
      </c>
    </row>
    <row r="176">
      <c r="A176" s="74" t="n">
        <v>38808</v>
      </c>
      <c r="B176" s="75">
        <f>VLOOKUP(A176,Database!A:M,MATCH($A$1,Database!$A$1:$M$1,),)</f>
        <v/>
      </c>
      <c r="C176" s="118">
        <f>(Table5351415[[#This Row],[New Orders ex Transport]]-B175)/B175</f>
        <v/>
      </c>
    </row>
    <row r="177">
      <c r="A177" s="74" t="n">
        <v>38838</v>
      </c>
      <c r="B177" s="75">
        <f>VLOOKUP(A177,Database!A:M,MATCH($A$1,Database!$A$1:$M$1,),)</f>
        <v/>
      </c>
      <c r="C177" s="118">
        <f>(Table5351415[[#This Row],[New Orders ex Transport]]-B176)/B176</f>
        <v/>
      </c>
    </row>
    <row r="178">
      <c r="A178" s="74" t="n">
        <v>38869</v>
      </c>
      <c r="B178" s="75">
        <f>VLOOKUP(A178,Database!A:M,MATCH($A$1,Database!$A$1:$M$1,),)</f>
        <v/>
      </c>
      <c r="C178" s="118">
        <f>(Table5351415[[#This Row],[New Orders ex Transport]]-B177)/B177</f>
        <v/>
      </c>
    </row>
    <row r="179">
      <c r="A179" s="74" t="n">
        <v>38899</v>
      </c>
      <c r="B179" s="75">
        <f>VLOOKUP(A179,Database!A:M,MATCH($A$1,Database!$A$1:$M$1,),)</f>
        <v/>
      </c>
      <c r="C179" s="118">
        <f>(Table5351415[[#This Row],[New Orders ex Transport]]-B178)/B178</f>
        <v/>
      </c>
    </row>
    <row r="180">
      <c r="A180" s="74" t="n">
        <v>38930</v>
      </c>
      <c r="B180" s="75">
        <f>VLOOKUP(A180,Database!A:M,MATCH($A$1,Database!$A$1:$M$1,),)</f>
        <v/>
      </c>
      <c r="C180" s="118">
        <f>(Table5351415[[#This Row],[New Orders ex Transport]]-B179)/B179</f>
        <v/>
      </c>
    </row>
    <row r="181">
      <c r="A181" s="74" t="n">
        <v>38961</v>
      </c>
      <c r="B181" s="75">
        <f>VLOOKUP(A181,Database!A:M,MATCH($A$1,Database!$A$1:$M$1,),)</f>
        <v/>
      </c>
      <c r="C181" s="118">
        <f>(Table5351415[[#This Row],[New Orders ex Transport]]-B180)/B180</f>
        <v/>
      </c>
    </row>
    <row r="182">
      <c r="A182" s="74" t="n">
        <v>38991</v>
      </c>
      <c r="B182" s="75">
        <f>VLOOKUP(A182,Database!A:M,MATCH($A$1,Database!$A$1:$M$1,),)</f>
        <v/>
      </c>
      <c r="C182" s="118">
        <f>(Table5351415[[#This Row],[New Orders ex Transport]]-B181)/B181</f>
        <v/>
      </c>
    </row>
    <row r="183">
      <c r="A183" s="74" t="n">
        <v>39022</v>
      </c>
      <c r="B183" s="75">
        <f>VLOOKUP(A183,Database!A:M,MATCH($A$1,Database!$A$1:$M$1,),)</f>
        <v/>
      </c>
      <c r="C183" s="118">
        <f>(Table5351415[[#This Row],[New Orders ex Transport]]-B182)/B182</f>
        <v/>
      </c>
    </row>
    <row r="184">
      <c r="A184" s="74" t="n">
        <v>39052</v>
      </c>
      <c r="B184" s="75">
        <f>VLOOKUP(A184,Database!A:M,MATCH($A$1,Database!$A$1:$M$1,),)</f>
        <v/>
      </c>
      <c r="C184" s="118">
        <f>(Table5351415[[#This Row],[New Orders ex Transport]]-B183)/B183</f>
        <v/>
      </c>
    </row>
    <row r="185">
      <c r="A185" s="74" t="n">
        <v>39083</v>
      </c>
      <c r="B185" s="75">
        <f>VLOOKUP(A185,Database!A:M,MATCH($A$1,Database!$A$1:$M$1,),)</f>
        <v/>
      </c>
      <c r="C185" s="118">
        <f>(Table5351415[[#This Row],[New Orders ex Transport]]-B184)/B184</f>
        <v/>
      </c>
    </row>
    <row r="186">
      <c r="A186" s="74" t="n">
        <v>39114</v>
      </c>
      <c r="B186" s="75">
        <f>VLOOKUP(A186,Database!A:M,MATCH($A$1,Database!$A$1:$M$1,),)</f>
        <v/>
      </c>
      <c r="C186" s="118">
        <f>(Table5351415[[#This Row],[New Orders ex Transport]]-B185)/B185</f>
        <v/>
      </c>
    </row>
    <row r="187">
      <c r="A187" s="74" t="n">
        <v>39142</v>
      </c>
      <c r="B187" s="75">
        <f>VLOOKUP(A187,Database!A:M,MATCH($A$1,Database!$A$1:$M$1,),)</f>
        <v/>
      </c>
      <c r="C187" s="118">
        <f>(Table5351415[[#This Row],[New Orders ex Transport]]-B186)/B186</f>
        <v/>
      </c>
    </row>
    <row r="188">
      <c r="A188" s="74" t="n">
        <v>39173</v>
      </c>
      <c r="B188" s="75">
        <f>VLOOKUP(A188,Database!A:M,MATCH($A$1,Database!$A$1:$M$1,),)</f>
        <v/>
      </c>
      <c r="C188" s="118">
        <f>(Table5351415[[#This Row],[New Orders ex Transport]]-B187)/B187</f>
        <v/>
      </c>
    </row>
    <row r="189">
      <c r="A189" s="74" t="n">
        <v>39203</v>
      </c>
      <c r="B189" s="75">
        <f>VLOOKUP(A189,Database!A:M,MATCH($A$1,Database!$A$1:$M$1,),)</f>
        <v/>
      </c>
      <c r="C189" s="118">
        <f>(Table5351415[[#This Row],[New Orders ex Transport]]-B188)/B188</f>
        <v/>
      </c>
    </row>
    <row r="190">
      <c r="A190" s="74" t="n">
        <v>39234</v>
      </c>
      <c r="B190" s="75">
        <f>VLOOKUP(A190,Database!A:M,MATCH($A$1,Database!$A$1:$M$1,),)</f>
        <v/>
      </c>
      <c r="C190" s="118">
        <f>(Table5351415[[#This Row],[New Orders ex Transport]]-B189)/B189</f>
        <v/>
      </c>
    </row>
    <row r="191">
      <c r="A191" s="74" t="n">
        <v>39264</v>
      </c>
      <c r="B191" s="75">
        <f>VLOOKUP(A191,Database!A:M,MATCH($A$1,Database!$A$1:$M$1,),)</f>
        <v/>
      </c>
      <c r="C191" s="118">
        <f>(Table5351415[[#This Row],[New Orders ex Transport]]-B190)/B190</f>
        <v/>
      </c>
    </row>
    <row r="192">
      <c r="A192" s="74" t="n">
        <v>39295</v>
      </c>
      <c r="B192" s="75">
        <f>VLOOKUP(A192,Database!A:M,MATCH($A$1,Database!$A$1:$M$1,),)</f>
        <v/>
      </c>
      <c r="C192" s="118">
        <f>(Table5351415[[#This Row],[New Orders ex Transport]]-B191)/B191</f>
        <v/>
      </c>
    </row>
    <row r="193">
      <c r="A193" s="74" t="n">
        <v>39326</v>
      </c>
      <c r="B193" s="75">
        <f>VLOOKUP(A193,Database!A:M,MATCH($A$1,Database!$A$1:$M$1,),)</f>
        <v/>
      </c>
      <c r="C193" s="118">
        <f>(Table5351415[[#This Row],[New Orders ex Transport]]-B192)/B192</f>
        <v/>
      </c>
    </row>
    <row r="194">
      <c r="A194" s="74" t="n">
        <v>39356</v>
      </c>
      <c r="B194" s="75">
        <f>VLOOKUP(A194,Database!A:M,MATCH($A$1,Database!$A$1:$M$1,),)</f>
        <v/>
      </c>
      <c r="C194" s="118">
        <f>(Table5351415[[#This Row],[New Orders ex Transport]]-B193)/B193</f>
        <v/>
      </c>
    </row>
    <row r="195">
      <c r="A195" s="74" t="n">
        <v>39387</v>
      </c>
      <c r="B195" s="75">
        <f>VLOOKUP(A195,Database!A:M,MATCH($A$1,Database!$A$1:$M$1,),)</f>
        <v/>
      </c>
      <c r="C195" s="118">
        <f>(Table5351415[[#This Row],[New Orders ex Transport]]-B194)/B194</f>
        <v/>
      </c>
    </row>
    <row r="196">
      <c r="A196" s="74" t="n">
        <v>39417</v>
      </c>
      <c r="B196" s="75">
        <f>VLOOKUP(A196,Database!A:M,MATCH($A$1,Database!$A$1:$M$1,),)</f>
        <v/>
      </c>
      <c r="C196" s="118">
        <f>(Table5351415[[#This Row],[New Orders ex Transport]]-B195)/B195</f>
        <v/>
      </c>
    </row>
    <row r="197">
      <c r="A197" s="74" t="n">
        <v>39448</v>
      </c>
      <c r="B197" s="75">
        <f>VLOOKUP(A197,Database!A:M,MATCH($A$1,Database!$A$1:$M$1,),)</f>
        <v/>
      </c>
      <c r="C197" s="118">
        <f>(Table5351415[[#This Row],[New Orders ex Transport]]-B196)/B196</f>
        <v/>
      </c>
    </row>
    <row r="198">
      <c r="A198" s="74" t="n">
        <v>39479</v>
      </c>
      <c r="B198" s="75">
        <f>VLOOKUP(A198,Database!A:M,MATCH($A$1,Database!$A$1:$M$1,),)</f>
        <v/>
      </c>
      <c r="C198" s="118">
        <f>(Table5351415[[#This Row],[New Orders ex Transport]]-B197)/B197</f>
        <v/>
      </c>
    </row>
    <row r="199">
      <c r="A199" s="74" t="n">
        <v>39508</v>
      </c>
      <c r="B199" s="75">
        <f>VLOOKUP(A199,Database!A:M,MATCH($A$1,Database!$A$1:$M$1,),)</f>
        <v/>
      </c>
      <c r="C199" s="118">
        <f>(Table5351415[[#This Row],[New Orders ex Transport]]-B198)/B198</f>
        <v/>
      </c>
    </row>
    <row r="200">
      <c r="A200" s="74" t="n">
        <v>39539</v>
      </c>
      <c r="B200" s="75">
        <f>VLOOKUP(A200,Database!A:M,MATCH($A$1,Database!$A$1:$M$1,),)</f>
        <v/>
      </c>
      <c r="C200" s="118">
        <f>(Table5351415[[#This Row],[New Orders ex Transport]]-B199)/B199</f>
        <v/>
      </c>
    </row>
    <row r="201">
      <c r="A201" s="74" t="n">
        <v>39569</v>
      </c>
      <c r="B201" s="75">
        <f>VLOOKUP(A201,Database!A:M,MATCH($A$1,Database!$A$1:$M$1,),)</f>
        <v/>
      </c>
      <c r="C201" s="118">
        <f>(Table5351415[[#This Row],[New Orders ex Transport]]-B200)/B200</f>
        <v/>
      </c>
    </row>
    <row r="202">
      <c r="A202" s="74" t="n">
        <v>39600</v>
      </c>
      <c r="B202" s="75">
        <f>VLOOKUP(A202,Database!A:M,MATCH($A$1,Database!$A$1:$M$1,),)</f>
        <v/>
      </c>
      <c r="C202" s="118">
        <f>(Table5351415[[#This Row],[New Orders ex Transport]]-B201)/B201</f>
        <v/>
      </c>
    </row>
    <row r="203">
      <c r="A203" s="74" t="n">
        <v>39630</v>
      </c>
      <c r="B203" s="75">
        <f>VLOOKUP(A203,Database!A:M,MATCH($A$1,Database!$A$1:$M$1,),)</f>
        <v/>
      </c>
      <c r="C203" s="118">
        <f>(Table5351415[[#This Row],[New Orders ex Transport]]-B202)/B202</f>
        <v/>
      </c>
    </row>
    <row r="204">
      <c r="A204" s="74" t="n">
        <v>39661</v>
      </c>
      <c r="B204" s="75">
        <f>VLOOKUP(A204,Database!A:M,MATCH($A$1,Database!$A$1:$M$1,),)</f>
        <v/>
      </c>
      <c r="C204" s="118">
        <f>(Table5351415[[#This Row],[New Orders ex Transport]]-B203)/B203</f>
        <v/>
      </c>
    </row>
    <row r="205">
      <c r="A205" s="74" t="n">
        <v>39692</v>
      </c>
      <c r="B205" s="75">
        <f>VLOOKUP(A205,Database!A:M,MATCH($A$1,Database!$A$1:$M$1,),)</f>
        <v/>
      </c>
      <c r="C205" s="118">
        <f>(Table5351415[[#This Row],[New Orders ex Transport]]-B204)/B204</f>
        <v/>
      </c>
    </row>
    <row r="206">
      <c r="A206" s="74" t="n">
        <v>39722</v>
      </c>
      <c r="B206" s="75">
        <f>VLOOKUP(A206,Database!A:M,MATCH($A$1,Database!$A$1:$M$1,),)</f>
        <v/>
      </c>
      <c r="C206" s="118">
        <f>(Table5351415[[#This Row],[New Orders ex Transport]]-B205)/B205</f>
        <v/>
      </c>
    </row>
    <row r="207">
      <c r="A207" s="74" t="n">
        <v>39753</v>
      </c>
      <c r="B207" s="75">
        <f>VLOOKUP(A207,Database!A:M,MATCH($A$1,Database!$A$1:$M$1,),)</f>
        <v/>
      </c>
      <c r="C207" s="118">
        <f>(Table5351415[[#This Row],[New Orders ex Transport]]-B206)/B206</f>
        <v/>
      </c>
    </row>
    <row r="208">
      <c r="A208" s="74" t="n">
        <v>39783</v>
      </c>
      <c r="B208" s="75">
        <f>VLOOKUP(A208,Database!A:M,MATCH($A$1,Database!$A$1:$M$1,),)</f>
        <v/>
      </c>
      <c r="C208" s="118">
        <f>(Table5351415[[#This Row],[New Orders ex Transport]]-B207)/B207</f>
        <v/>
      </c>
    </row>
    <row r="209">
      <c r="A209" s="74" t="n">
        <v>39814</v>
      </c>
      <c r="B209" s="75">
        <f>VLOOKUP(A209,Database!A:M,MATCH($A$1,Database!$A$1:$M$1,),)</f>
        <v/>
      </c>
      <c r="C209" s="118">
        <f>(Table5351415[[#This Row],[New Orders ex Transport]]-B208)/B208</f>
        <v/>
      </c>
    </row>
    <row r="210">
      <c r="A210" s="74" t="n">
        <v>39845</v>
      </c>
      <c r="B210" s="75">
        <f>VLOOKUP(A210,Database!A:M,MATCH($A$1,Database!$A$1:$M$1,),)</f>
        <v/>
      </c>
      <c r="C210" s="118">
        <f>(Table5351415[[#This Row],[New Orders ex Transport]]-B209)/B209</f>
        <v/>
      </c>
    </row>
    <row r="211">
      <c r="A211" s="74" t="n">
        <v>39873</v>
      </c>
      <c r="B211" s="75">
        <f>VLOOKUP(A211,Database!A:M,MATCH($A$1,Database!$A$1:$M$1,),)</f>
        <v/>
      </c>
      <c r="C211" s="118">
        <f>(Table5351415[[#This Row],[New Orders ex Transport]]-B210)/B210</f>
        <v/>
      </c>
    </row>
    <row r="212">
      <c r="A212" s="74" t="n">
        <v>39904</v>
      </c>
      <c r="B212" s="75">
        <f>VLOOKUP(A212,Database!A:M,MATCH($A$1,Database!$A$1:$M$1,),)</f>
        <v/>
      </c>
      <c r="C212" s="118">
        <f>(Table5351415[[#This Row],[New Orders ex Transport]]-B211)/B211</f>
        <v/>
      </c>
    </row>
    <row r="213">
      <c r="A213" s="74" t="n">
        <v>39934</v>
      </c>
      <c r="B213" s="75">
        <f>VLOOKUP(A213,Database!A:M,MATCH($A$1,Database!$A$1:$M$1,),)</f>
        <v/>
      </c>
      <c r="C213" s="118">
        <f>(Table5351415[[#This Row],[New Orders ex Transport]]-B212)/B212</f>
        <v/>
      </c>
    </row>
    <row r="214">
      <c r="A214" s="74" t="n">
        <v>39965</v>
      </c>
      <c r="B214" s="75">
        <f>VLOOKUP(A214,Database!A:M,MATCH($A$1,Database!$A$1:$M$1,),)</f>
        <v/>
      </c>
      <c r="C214" s="118">
        <f>(Table5351415[[#This Row],[New Orders ex Transport]]-B213)/B213</f>
        <v/>
      </c>
    </row>
    <row r="215">
      <c r="A215" s="74" t="n">
        <v>39995</v>
      </c>
      <c r="B215" s="75">
        <f>VLOOKUP(A215,Database!A:M,MATCH($A$1,Database!$A$1:$M$1,),)</f>
        <v/>
      </c>
      <c r="C215" s="118">
        <f>(Table5351415[[#This Row],[New Orders ex Transport]]-B214)/B214</f>
        <v/>
      </c>
    </row>
    <row r="216">
      <c r="A216" s="74" t="n">
        <v>40026</v>
      </c>
      <c r="B216" s="75">
        <f>VLOOKUP(A216,Database!A:M,MATCH($A$1,Database!$A$1:$M$1,),)</f>
        <v/>
      </c>
      <c r="C216" s="118">
        <f>(Table5351415[[#This Row],[New Orders ex Transport]]-B215)/B215</f>
        <v/>
      </c>
    </row>
    <row r="217">
      <c r="A217" s="74" t="n">
        <v>40057</v>
      </c>
      <c r="B217" s="75">
        <f>VLOOKUP(A217,Database!A:M,MATCH($A$1,Database!$A$1:$M$1,),)</f>
        <v/>
      </c>
      <c r="C217" s="118">
        <f>(Table5351415[[#This Row],[New Orders ex Transport]]-B216)/B216</f>
        <v/>
      </c>
    </row>
    <row r="218">
      <c r="A218" s="74" t="n">
        <v>40087</v>
      </c>
      <c r="B218" s="75">
        <f>VLOOKUP(A218,Database!A:M,MATCH($A$1,Database!$A$1:$M$1,),)</f>
        <v/>
      </c>
      <c r="C218" s="118">
        <f>(Table5351415[[#This Row],[New Orders ex Transport]]-B217)/B217</f>
        <v/>
      </c>
    </row>
    <row r="219">
      <c r="A219" s="74" t="n">
        <v>40118</v>
      </c>
      <c r="B219" s="75">
        <f>VLOOKUP(A219,Database!A:M,MATCH($A$1,Database!$A$1:$M$1,),)</f>
        <v/>
      </c>
      <c r="C219" s="118">
        <f>(Table5351415[[#This Row],[New Orders ex Transport]]-B218)/B218</f>
        <v/>
      </c>
    </row>
    <row r="220">
      <c r="A220" s="74" t="n">
        <v>40148</v>
      </c>
      <c r="B220" s="75">
        <f>VLOOKUP(A220,Database!A:M,MATCH($A$1,Database!$A$1:$M$1,),)</f>
        <v/>
      </c>
      <c r="C220" s="118">
        <f>(Table5351415[[#This Row],[New Orders ex Transport]]-B219)/B219</f>
        <v/>
      </c>
    </row>
    <row r="221">
      <c r="A221" s="74" t="n">
        <v>40179</v>
      </c>
      <c r="B221" s="75">
        <f>VLOOKUP(A221,Database!A:M,MATCH($A$1,Database!$A$1:$M$1,),)</f>
        <v/>
      </c>
      <c r="C221" s="118">
        <f>(Table5351415[[#This Row],[New Orders ex Transport]]-B220)/B220</f>
        <v/>
      </c>
    </row>
    <row r="222">
      <c r="A222" s="74" t="n">
        <v>40210</v>
      </c>
      <c r="B222" s="75">
        <f>VLOOKUP(A222,Database!A:M,MATCH($A$1,Database!$A$1:$M$1,),)</f>
        <v/>
      </c>
      <c r="C222" s="118">
        <f>(Table5351415[[#This Row],[New Orders ex Transport]]-B221)/B221</f>
        <v/>
      </c>
    </row>
    <row r="223">
      <c r="A223" s="74" t="n">
        <v>40238</v>
      </c>
      <c r="B223" s="75">
        <f>VLOOKUP(A223,Database!A:M,MATCH($A$1,Database!$A$1:$M$1,),)</f>
        <v/>
      </c>
      <c r="C223" s="118">
        <f>(Table5351415[[#This Row],[New Orders ex Transport]]-B222)/B222</f>
        <v/>
      </c>
    </row>
    <row r="224">
      <c r="A224" s="74" t="n">
        <v>40269</v>
      </c>
      <c r="B224" s="75">
        <f>VLOOKUP(A224,Database!A:M,MATCH($A$1,Database!$A$1:$M$1,),)</f>
        <v/>
      </c>
      <c r="C224" s="118">
        <f>(Table5351415[[#This Row],[New Orders ex Transport]]-B223)/B223</f>
        <v/>
      </c>
    </row>
    <row r="225">
      <c r="A225" s="74" t="n">
        <v>40299</v>
      </c>
      <c r="B225" s="75">
        <f>VLOOKUP(A225,Database!A:M,MATCH($A$1,Database!$A$1:$M$1,),)</f>
        <v/>
      </c>
      <c r="C225" s="118">
        <f>(Table5351415[[#This Row],[New Orders ex Transport]]-B224)/B224</f>
        <v/>
      </c>
    </row>
    <row r="226">
      <c r="A226" s="74" t="n">
        <v>40330</v>
      </c>
      <c r="B226" s="75">
        <f>VLOOKUP(A226,Database!A:M,MATCH($A$1,Database!$A$1:$M$1,),)</f>
        <v/>
      </c>
      <c r="C226" s="118">
        <f>(Table5351415[[#This Row],[New Orders ex Transport]]-B225)/B225</f>
        <v/>
      </c>
    </row>
    <row r="227">
      <c r="A227" s="74" t="n">
        <v>40360</v>
      </c>
      <c r="B227" s="75">
        <f>VLOOKUP(A227,Database!A:M,MATCH($A$1,Database!$A$1:$M$1,),)</f>
        <v/>
      </c>
      <c r="C227" s="118">
        <f>(Table5351415[[#This Row],[New Orders ex Transport]]-B226)/B226</f>
        <v/>
      </c>
    </row>
    <row r="228">
      <c r="A228" s="74" t="n">
        <v>40391</v>
      </c>
      <c r="B228" s="75">
        <f>VLOOKUP(A228,Database!A:M,MATCH($A$1,Database!$A$1:$M$1,),)</f>
        <v/>
      </c>
      <c r="C228" s="118">
        <f>(Table5351415[[#This Row],[New Orders ex Transport]]-B227)/B227</f>
        <v/>
      </c>
    </row>
    <row r="229">
      <c r="A229" s="74" t="n">
        <v>40422</v>
      </c>
      <c r="B229" s="75">
        <f>VLOOKUP(A229,Database!A:M,MATCH($A$1,Database!$A$1:$M$1,),)</f>
        <v/>
      </c>
      <c r="C229" s="118">
        <f>(Table5351415[[#This Row],[New Orders ex Transport]]-B228)/B228</f>
        <v/>
      </c>
    </row>
    <row r="230">
      <c r="A230" s="74" t="n">
        <v>40452</v>
      </c>
      <c r="B230" s="75">
        <f>VLOOKUP(A230,Database!A:M,MATCH($A$1,Database!$A$1:$M$1,),)</f>
        <v/>
      </c>
      <c r="C230" s="118">
        <f>(Table5351415[[#This Row],[New Orders ex Transport]]-B229)/B229</f>
        <v/>
      </c>
    </row>
    <row r="231">
      <c r="A231" s="74" t="n">
        <v>40483</v>
      </c>
      <c r="B231" s="75">
        <f>VLOOKUP(A231,Database!A:M,MATCH($A$1,Database!$A$1:$M$1,),)</f>
        <v/>
      </c>
      <c r="C231" s="118">
        <f>(Table5351415[[#This Row],[New Orders ex Transport]]-B230)/B230</f>
        <v/>
      </c>
    </row>
    <row r="232">
      <c r="A232" s="74" t="n">
        <v>40513</v>
      </c>
      <c r="B232" s="75">
        <f>VLOOKUP(A232,Database!A:M,MATCH($A$1,Database!$A$1:$M$1,),)</f>
        <v/>
      </c>
      <c r="C232" s="118">
        <f>(Table5351415[[#This Row],[New Orders ex Transport]]-B231)/B231</f>
        <v/>
      </c>
    </row>
    <row r="233">
      <c r="A233" s="74" t="n">
        <v>40544</v>
      </c>
      <c r="B233" s="75">
        <f>VLOOKUP(A233,Database!A:M,MATCH($A$1,Database!$A$1:$M$1,),)</f>
        <v/>
      </c>
      <c r="C233" s="118">
        <f>(Table5351415[[#This Row],[New Orders ex Transport]]-B232)/B232</f>
        <v/>
      </c>
    </row>
    <row r="234">
      <c r="A234" s="74" t="n">
        <v>40575</v>
      </c>
      <c r="B234" s="75">
        <f>VLOOKUP(A234,Database!A:M,MATCH($A$1,Database!$A$1:$M$1,),)</f>
        <v/>
      </c>
      <c r="C234" s="118">
        <f>(Table5351415[[#This Row],[New Orders ex Transport]]-B233)/B233</f>
        <v/>
      </c>
    </row>
    <row r="235">
      <c r="A235" s="74" t="n">
        <v>40603</v>
      </c>
      <c r="B235" s="75">
        <f>VLOOKUP(A235,Database!A:M,MATCH($A$1,Database!$A$1:$M$1,),)</f>
        <v/>
      </c>
      <c r="C235" s="118">
        <f>(Table5351415[[#This Row],[New Orders ex Transport]]-B234)/B234</f>
        <v/>
      </c>
    </row>
    <row r="236">
      <c r="A236" s="74" t="n">
        <v>40634</v>
      </c>
      <c r="B236" s="75">
        <f>VLOOKUP(A236,Database!A:M,MATCH($A$1,Database!$A$1:$M$1,),)</f>
        <v/>
      </c>
      <c r="C236" s="118">
        <f>(Table5351415[[#This Row],[New Orders ex Transport]]-B235)/B235</f>
        <v/>
      </c>
    </row>
    <row r="237">
      <c r="A237" s="74" t="n">
        <v>40664</v>
      </c>
      <c r="B237" s="75">
        <f>VLOOKUP(A237,Database!A:M,MATCH($A$1,Database!$A$1:$M$1,),)</f>
        <v/>
      </c>
      <c r="C237" s="118">
        <f>(Table5351415[[#This Row],[New Orders ex Transport]]-B236)/B236</f>
        <v/>
      </c>
    </row>
    <row r="238">
      <c r="A238" s="74" t="n">
        <v>40695</v>
      </c>
      <c r="B238" s="75">
        <f>VLOOKUP(A238,Database!A:M,MATCH($A$1,Database!$A$1:$M$1,),)</f>
        <v/>
      </c>
      <c r="C238" s="118">
        <f>(Table5351415[[#This Row],[New Orders ex Transport]]-B237)/B237</f>
        <v/>
      </c>
    </row>
    <row r="239">
      <c r="A239" s="74" t="n">
        <v>40725</v>
      </c>
      <c r="B239" s="75">
        <f>VLOOKUP(A239,Database!A:M,MATCH($A$1,Database!$A$1:$M$1,),)</f>
        <v/>
      </c>
      <c r="C239" s="118">
        <f>(Table5351415[[#This Row],[New Orders ex Transport]]-B238)/B238</f>
        <v/>
      </c>
    </row>
    <row r="240">
      <c r="A240" s="74" t="n">
        <v>40756</v>
      </c>
      <c r="B240" s="75">
        <f>VLOOKUP(A240,Database!A:M,MATCH($A$1,Database!$A$1:$M$1,),)</f>
        <v/>
      </c>
      <c r="C240" s="118">
        <f>(Table5351415[[#This Row],[New Orders ex Transport]]-B239)/B239</f>
        <v/>
      </c>
    </row>
    <row r="241">
      <c r="A241" s="74" t="n">
        <v>40787</v>
      </c>
      <c r="B241" s="75">
        <f>VLOOKUP(A241,Database!A:M,MATCH($A$1,Database!$A$1:$M$1,),)</f>
        <v/>
      </c>
      <c r="C241" s="118">
        <f>(Table5351415[[#This Row],[New Orders ex Transport]]-B240)/B240</f>
        <v/>
      </c>
    </row>
    <row r="242">
      <c r="A242" s="74" t="n">
        <v>40817</v>
      </c>
      <c r="B242" s="75">
        <f>VLOOKUP(A242,Database!A:M,MATCH($A$1,Database!$A$1:$M$1,),)</f>
        <v/>
      </c>
      <c r="C242" s="118">
        <f>(Table5351415[[#This Row],[New Orders ex Transport]]-B241)/B241</f>
        <v/>
      </c>
    </row>
    <row r="243">
      <c r="A243" s="74" t="n">
        <v>40848</v>
      </c>
      <c r="B243" s="75">
        <f>VLOOKUP(A243,Database!A:M,MATCH($A$1,Database!$A$1:$M$1,),)</f>
        <v/>
      </c>
      <c r="C243" s="118">
        <f>(Table5351415[[#This Row],[New Orders ex Transport]]-B242)/B242</f>
        <v/>
      </c>
    </row>
    <row r="244">
      <c r="A244" s="74" t="n">
        <v>40878</v>
      </c>
      <c r="B244" s="75">
        <f>VLOOKUP(A244,Database!A:M,MATCH($A$1,Database!$A$1:$M$1,),)</f>
        <v/>
      </c>
      <c r="C244" s="118">
        <f>(Table5351415[[#This Row],[New Orders ex Transport]]-B243)/B243</f>
        <v/>
      </c>
    </row>
    <row r="245">
      <c r="A245" s="74" t="n">
        <v>40909</v>
      </c>
      <c r="B245" s="75">
        <f>VLOOKUP(A245,Database!A:M,MATCH($A$1,Database!$A$1:$M$1,),)</f>
        <v/>
      </c>
      <c r="C245" s="118">
        <f>(Table5351415[[#This Row],[New Orders ex Transport]]-B244)/B244</f>
        <v/>
      </c>
    </row>
    <row r="246">
      <c r="A246" s="74" t="n">
        <v>40940</v>
      </c>
      <c r="B246" s="75">
        <f>VLOOKUP(A246,Database!A:M,MATCH($A$1,Database!$A$1:$M$1,),)</f>
        <v/>
      </c>
      <c r="C246" s="118">
        <f>(Table5351415[[#This Row],[New Orders ex Transport]]-B245)/B245</f>
        <v/>
      </c>
    </row>
    <row r="247">
      <c r="A247" s="74" t="n">
        <v>40969</v>
      </c>
      <c r="B247" s="75">
        <f>VLOOKUP(A247,Database!A:M,MATCH($A$1,Database!$A$1:$M$1,),)</f>
        <v/>
      </c>
      <c r="C247" s="118">
        <f>(Table5351415[[#This Row],[New Orders ex Transport]]-B246)/B246</f>
        <v/>
      </c>
    </row>
    <row r="248">
      <c r="A248" s="74" t="n">
        <v>41000</v>
      </c>
      <c r="B248" s="75">
        <f>VLOOKUP(A248,Database!A:M,MATCH($A$1,Database!$A$1:$M$1,),)</f>
        <v/>
      </c>
      <c r="C248" s="118">
        <f>(Table5351415[[#This Row],[New Orders ex Transport]]-B247)/B247</f>
        <v/>
      </c>
    </row>
    <row r="249">
      <c r="A249" s="74" t="n">
        <v>41030</v>
      </c>
      <c r="B249" s="75">
        <f>VLOOKUP(A249,Database!A:M,MATCH($A$1,Database!$A$1:$M$1,),)</f>
        <v/>
      </c>
      <c r="C249" s="118">
        <f>(Table5351415[[#This Row],[New Orders ex Transport]]-B248)/B248</f>
        <v/>
      </c>
    </row>
    <row r="250">
      <c r="A250" s="74" t="n">
        <v>41061</v>
      </c>
      <c r="B250" s="75">
        <f>VLOOKUP(A250,Database!A:M,MATCH($A$1,Database!$A$1:$M$1,),)</f>
        <v/>
      </c>
      <c r="C250" s="118">
        <f>(Table5351415[[#This Row],[New Orders ex Transport]]-B249)/B249</f>
        <v/>
      </c>
    </row>
    <row r="251">
      <c r="A251" s="74" t="n">
        <v>41091</v>
      </c>
      <c r="B251" s="75">
        <f>VLOOKUP(A251,Database!A:M,MATCH($A$1,Database!$A$1:$M$1,),)</f>
        <v/>
      </c>
      <c r="C251" s="118">
        <f>(Table5351415[[#This Row],[New Orders ex Transport]]-B250)/B250</f>
        <v/>
      </c>
    </row>
    <row r="252">
      <c r="A252" s="74" t="n">
        <v>41122</v>
      </c>
      <c r="B252" s="75">
        <f>VLOOKUP(A252,Database!A:M,MATCH($A$1,Database!$A$1:$M$1,),)</f>
        <v/>
      </c>
      <c r="C252" s="118">
        <f>(Table5351415[[#This Row],[New Orders ex Transport]]-B251)/B251</f>
        <v/>
      </c>
    </row>
    <row r="253">
      <c r="A253" s="74" t="n">
        <v>41153</v>
      </c>
      <c r="B253" s="75">
        <f>VLOOKUP(A253,Database!A:M,MATCH($A$1,Database!$A$1:$M$1,),)</f>
        <v/>
      </c>
      <c r="C253" s="118">
        <f>(Table5351415[[#This Row],[New Orders ex Transport]]-B252)/B252</f>
        <v/>
      </c>
    </row>
    <row r="254">
      <c r="A254" s="74" t="n">
        <v>41183</v>
      </c>
      <c r="B254" s="75">
        <f>VLOOKUP(A254,Database!A:M,MATCH($A$1,Database!$A$1:$M$1,),)</f>
        <v/>
      </c>
      <c r="C254" s="118">
        <f>(Table5351415[[#This Row],[New Orders ex Transport]]-B253)/B253</f>
        <v/>
      </c>
    </row>
    <row r="255">
      <c r="A255" s="74" t="n">
        <v>41214</v>
      </c>
      <c r="B255" s="75">
        <f>VLOOKUP(A255,Database!A:M,MATCH($A$1,Database!$A$1:$M$1,),)</f>
        <v/>
      </c>
      <c r="C255" s="118">
        <f>(Table5351415[[#This Row],[New Orders ex Transport]]-B254)/B254</f>
        <v/>
      </c>
    </row>
    <row r="256">
      <c r="A256" s="74" t="n">
        <v>41244</v>
      </c>
      <c r="B256" s="75">
        <f>VLOOKUP(A256,Database!A:M,MATCH($A$1,Database!$A$1:$M$1,),)</f>
        <v/>
      </c>
      <c r="C256" s="118">
        <f>(Table5351415[[#This Row],[New Orders ex Transport]]-B255)/B255</f>
        <v/>
      </c>
    </row>
    <row r="257">
      <c r="A257" s="74" t="n">
        <v>41275</v>
      </c>
      <c r="B257" s="75">
        <f>VLOOKUP(A257,Database!A:M,MATCH($A$1,Database!$A$1:$M$1,),)</f>
        <v/>
      </c>
      <c r="C257" s="118">
        <f>(Table5351415[[#This Row],[New Orders ex Transport]]-B256)/B256</f>
        <v/>
      </c>
    </row>
    <row r="258">
      <c r="A258" s="74" t="n">
        <v>41306</v>
      </c>
      <c r="B258" s="75">
        <f>VLOOKUP(A258,Database!A:M,MATCH($A$1,Database!$A$1:$M$1,),)</f>
        <v/>
      </c>
      <c r="C258" s="118">
        <f>(Table5351415[[#This Row],[New Orders ex Transport]]-B257)/B257</f>
        <v/>
      </c>
    </row>
    <row r="259">
      <c r="A259" s="74" t="n">
        <v>41334</v>
      </c>
      <c r="B259" s="75">
        <f>VLOOKUP(A259,Database!A:M,MATCH($A$1,Database!$A$1:$M$1,),)</f>
        <v/>
      </c>
      <c r="C259" s="118">
        <f>(Table5351415[[#This Row],[New Orders ex Transport]]-B258)/B258</f>
        <v/>
      </c>
    </row>
    <row r="260">
      <c r="A260" s="74" t="n">
        <v>41365</v>
      </c>
      <c r="B260" s="75">
        <f>VLOOKUP(A260,Database!A:M,MATCH($A$1,Database!$A$1:$M$1,),)</f>
        <v/>
      </c>
      <c r="C260" s="118">
        <f>(Table5351415[[#This Row],[New Orders ex Transport]]-B259)/B259</f>
        <v/>
      </c>
    </row>
    <row r="261">
      <c r="A261" s="74" t="n">
        <v>41395</v>
      </c>
      <c r="B261" s="75">
        <f>VLOOKUP(A261,Database!A:M,MATCH($A$1,Database!$A$1:$M$1,),)</f>
        <v/>
      </c>
      <c r="C261" s="118">
        <f>(Table5351415[[#This Row],[New Orders ex Transport]]-B260)/B260</f>
        <v/>
      </c>
    </row>
    <row r="262">
      <c r="A262" s="74" t="n">
        <v>41426</v>
      </c>
      <c r="B262" s="75">
        <f>VLOOKUP(A262,Database!A:M,MATCH($A$1,Database!$A$1:$M$1,),)</f>
        <v/>
      </c>
      <c r="C262" s="118">
        <f>(Table5351415[[#This Row],[New Orders ex Transport]]-B261)/B261</f>
        <v/>
      </c>
    </row>
    <row r="263">
      <c r="A263" s="74" t="n">
        <v>41456</v>
      </c>
      <c r="B263" s="75">
        <f>VLOOKUP(A263,Database!A:M,MATCH($A$1,Database!$A$1:$M$1,),)</f>
        <v/>
      </c>
      <c r="C263" s="118">
        <f>(Table5351415[[#This Row],[New Orders ex Transport]]-B262)/B262</f>
        <v/>
      </c>
    </row>
    <row r="264">
      <c r="A264" s="74" t="n">
        <v>41487</v>
      </c>
      <c r="B264" s="75">
        <f>VLOOKUP(A264,Database!A:M,MATCH($A$1,Database!$A$1:$M$1,),)</f>
        <v/>
      </c>
      <c r="C264" s="118">
        <f>(Table5351415[[#This Row],[New Orders ex Transport]]-B263)/B263</f>
        <v/>
      </c>
    </row>
    <row r="265">
      <c r="A265" s="74" t="n">
        <v>41518</v>
      </c>
      <c r="B265" s="75">
        <f>VLOOKUP(A265,Database!A:M,MATCH($A$1,Database!$A$1:$M$1,),)</f>
        <v/>
      </c>
      <c r="C265" s="118">
        <f>(Table5351415[[#This Row],[New Orders ex Transport]]-B264)/B264</f>
        <v/>
      </c>
    </row>
    <row r="266">
      <c r="A266" s="74" t="n">
        <v>41548</v>
      </c>
      <c r="B266" s="75">
        <f>VLOOKUP(A266,Database!A:M,MATCH($A$1,Database!$A$1:$M$1,),)</f>
        <v/>
      </c>
      <c r="C266" s="118">
        <f>(Table5351415[[#This Row],[New Orders ex Transport]]-B265)/B265</f>
        <v/>
      </c>
    </row>
    <row r="267">
      <c r="A267" s="74" t="n">
        <v>41579</v>
      </c>
      <c r="B267" s="75">
        <f>VLOOKUP(A267,Database!A:M,MATCH($A$1,Database!$A$1:$M$1,),)</f>
        <v/>
      </c>
      <c r="C267" s="118">
        <f>(Table5351415[[#This Row],[New Orders ex Transport]]-B266)/B266</f>
        <v/>
      </c>
    </row>
    <row r="268">
      <c r="A268" s="74" t="n">
        <v>41609</v>
      </c>
      <c r="B268" s="75">
        <f>VLOOKUP(A268,Database!A:M,MATCH($A$1,Database!$A$1:$M$1,),)</f>
        <v/>
      </c>
      <c r="C268" s="118">
        <f>(Table5351415[[#This Row],[New Orders ex Transport]]-B267)/B267</f>
        <v/>
      </c>
    </row>
    <row r="269">
      <c r="A269" s="74" t="n">
        <v>41640</v>
      </c>
      <c r="B269" s="75">
        <f>VLOOKUP(A269,Database!A:M,MATCH($A$1,Database!$A$1:$M$1,),)</f>
        <v/>
      </c>
      <c r="C269" s="118">
        <f>(Table5351415[[#This Row],[New Orders ex Transport]]-B268)/B268</f>
        <v/>
      </c>
    </row>
    <row r="270">
      <c r="A270" s="74" t="n">
        <v>41671</v>
      </c>
      <c r="B270" s="75">
        <f>VLOOKUP(A270,Database!A:M,MATCH($A$1,Database!$A$1:$M$1,),)</f>
        <v/>
      </c>
      <c r="C270" s="118">
        <f>(Table5351415[[#This Row],[New Orders ex Transport]]-B269)/B269</f>
        <v/>
      </c>
    </row>
    <row r="271">
      <c r="A271" s="74" t="n">
        <v>41699</v>
      </c>
      <c r="B271" s="75">
        <f>VLOOKUP(A271,Database!A:M,MATCH($A$1,Database!$A$1:$M$1,),)</f>
        <v/>
      </c>
      <c r="C271" s="118">
        <f>(Table5351415[[#This Row],[New Orders ex Transport]]-B270)/B270</f>
        <v/>
      </c>
    </row>
    <row r="272">
      <c r="A272" s="74" t="n">
        <v>41730</v>
      </c>
      <c r="B272" s="75">
        <f>VLOOKUP(A272,Database!A:M,MATCH($A$1,Database!$A$1:$M$1,),)</f>
        <v/>
      </c>
      <c r="C272" s="118">
        <f>(Table5351415[[#This Row],[New Orders ex Transport]]-B271)/B271</f>
        <v/>
      </c>
    </row>
    <row r="273">
      <c r="A273" s="74" t="n">
        <v>41760</v>
      </c>
      <c r="B273" s="75">
        <f>VLOOKUP(A273,Database!A:M,MATCH($A$1,Database!$A$1:$M$1,),)</f>
        <v/>
      </c>
      <c r="C273" s="118">
        <f>(Table5351415[[#This Row],[New Orders ex Transport]]-B272)/B272</f>
        <v/>
      </c>
    </row>
    <row r="274">
      <c r="A274" s="74" t="n">
        <v>41791</v>
      </c>
      <c r="B274" s="75">
        <f>VLOOKUP(A274,Database!A:M,MATCH($A$1,Database!$A$1:$M$1,),)</f>
        <v/>
      </c>
      <c r="C274" s="118">
        <f>(Table5351415[[#This Row],[New Orders ex Transport]]-B273)/B273</f>
        <v/>
      </c>
    </row>
    <row r="275">
      <c r="A275" s="74" t="n">
        <v>41821</v>
      </c>
      <c r="B275" s="75">
        <f>VLOOKUP(A275,Database!A:M,MATCH($A$1,Database!$A$1:$M$1,),)</f>
        <v/>
      </c>
      <c r="C275" s="118">
        <f>(Table5351415[[#This Row],[New Orders ex Transport]]-B274)/B274</f>
        <v/>
      </c>
    </row>
    <row r="276">
      <c r="A276" s="74" t="n">
        <v>41852</v>
      </c>
      <c r="B276" s="75">
        <f>VLOOKUP(A276,Database!A:M,MATCH($A$1,Database!$A$1:$M$1,),)</f>
        <v/>
      </c>
      <c r="C276" s="118">
        <f>(Table5351415[[#This Row],[New Orders ex Transport]]-B275)/B275</f>
        <v/>
      </c>
    </row>
    <row r="277">
      <c r="A277" s="74" t="n">
        <v>41883</v>
      </c>
      <c r="B277" s="75">
        <f>VLOOKUP(A277,Database!A:M,MATCH($A$1,Database!$A$1:$M$1,),)</f>
        <v/>
      </c>
      <c r="C277" s="118">
        <f>(Table5351415[[#This Row],[New Orders ex Transport]]-B276)/B276</f>
        <v/>
      </c>
    </row>
    <row r="278">
      <c r="A278" s="74" t="n">
        <v>41913</v>
      </c>
      <c r="B278" s="75">
        <f>VLOOKUP(A278,Database!A:M,MATCH($A$1,Database!$A$1:$M$1,),)</f>
        <v/>
      </c>
      <c r="C278" s="118">
        <f>(Table5351415[[#This Row],[New Orders ex Transport]]-B277)/B277</f>
        <v/>
      </c>
    </row>
    <row r="279">
      <c r="A279" s="74" t="n">
        <v>41944</v>
      </c>
      <c r="B279" s="75">
        <f>VLOOKUP(A279,Database!A:M,MATCH($A$1,Database!$A$1:$M$1,),)</f>
        <v/>
      </c>
      <c r="C279" s="118">
        <f>(Table5351415[[#This Row],[New Orders ex Transport]]-B278)/B278</f>
        <v/>
      </c>
    </row>
    <row r="280">
      <c r="A280" s="74" t="n">
        <v>41974</v>
      </c>
      <c r="B280" s="75">
        <f>VLOOKUP(A280,Database!A:M,MATCH($A$1,Database!$A$1:$M$1,),)</f>
        <v/>
      </c>
      <c r="C280" s="118">
        <f>(Table5351415[[#This Row],[New Orders ex Transport]]-B279)/B279</f>
        <v/>
      </c>
    </row>
    <row r="281">
      <c r="A281" s="74" t="n">
        <v>42005</v>
      </c>
      <c r="B281" s="75">
        <f>VLOOKUP(A281,Database!A:M,MATCH($A$1,Database!$A$1:$M$1,),)</f>
        <v/>
      </c>
      <c r="C281" s="118">
        <f>(Table5351415[[#This Row],[New Orders ex Transport]]-B280)/B280</f>
        <v/>
      </c>
    </row>
    <row r="282">
      <c r="A282" s="74" t="n">
        <v>42036</v>
      </c>
      <c r="B282" s="75">
        <f>VLOOKUP(A282,Database!A:M,MATCH($A$1,Database!$A$1:$M$1,),)</f>
        <v/>
      </c>
      <c r="C282" s="118">
        <f>(Table5351415[[#This Row],[New Orders ex Transport]]-B281)/B281</f>
        <v/>
      </c>
    </row>
    <row r="283">
      <c r="A283" s="74" t="n">
        <v>42064</v>
      </c>
      <c r="B283" s="75">
        <f>VLOOKUP(A283,Database!A:M,MATCH($A$1,Database!$A$1:$M$1,),)</f>
        <v/>
      </c>
      <c r="C283" s="118">
        <f>(Table5351415[[#This Row],[New Orders ex Transport]]-B282)/B282</f>
        <v/>
      </c>
    </row>
    <row r="284">
      <c r="A284" s="74" t="n">
        <v>42095</v>
      </c>
      <c r="B284" s="75">
        <f>VLOOKUP(A284,Database!A:M,MATCH($A$1,Database!$A$1:$M$1,),)</f>
        <v/>
      </c>
      <c r="C284" s="118">
        <f>(Table5351415[[#This Row],[New Orders ex Transport]]-B283)/B283</f>
        <v/>
      </c>
    </row>
    <row r="285">
      <c r="A285" s="74" t="n">
        <v>42125</v>
      </c>
      <c r="B285" s="75">
        <f>VLOOKUP(A285,Database!A:M,MATCH($A$1,Database!$A$1:$M$1,),)</f>
        <v/>
      </c>
      <c r="C285" s="118">
        <f>(Table5351415[[#This Row],[New Orders ex Transport]]-B284)/B284</f>
        <v/>
      </c>
    </row>
    <row r="286">
      <c r="A286" s="74" t="n">
        <v>42156</v>
      </c>
      <c r="B286" s="75">
        <f>VLOOKUP(A286,Database!A:M,MATCH($A$1,Database!$A$1:$M$1,),)</f>
        <v/>
      </c>
      <c r="C286" s="118">
        <f>(Table5351415[[#This Row],[New Orders ex Transport]]-B285)/B285</f>
        <v/>
      </c>
    </row>
    <row r="287">
      <c r="A287" s="74" t="n">
        <v>42186</v>
      </c>
      <c r="B287" s="75">
        <f>VLOOKUP(A287,Database!A:M,MATCH($A$1,Database!$A$1:$M$1,),)</f>
        <v/>
      </c>
      <c r="C287" s="118">
        <f>(Table5351415[[#This Row],[New Orders ex Transport]]-B286)/B286</f>
        <v/>
      </c>
    </row>
    <row r="288">
      <c r="A288" s="74" t="n">
        <v>42217</v>
      </c>
      <c r="B288" s="75">
        <f>VLOOKUP(A288,Database!A:M,MATCH($A$1,Database!$A$1:$M$1,),)</f>
        <v/>
      </c>
      <c r="C288" s="118">
        <f>(Table5351415[[#This Row],[New Orders ex Transport]]-B287)/B287</f>
        <v/>
      </c>
    </row>
    <row r="289">
      <c r="A289" s="74" t="n">
        <v>42248</v>
      </c>
      <c r="B289" s="75">
        <f>VLOOKUP(A289,Database!A:M,MATCH($A$1,Database!$A$1:$M$1,),)</f>
        <v/>
      </c>
      <c r="C289" s="118">
        <f>(Table5351415[[#This Row],[New Orders ex Transport]]-B288)/B288</f>
        <v/>
      </c>
    </row>
    <row r="290">
      <c r="A290" s="74" t="n">
        <v>42278</v>
      </c>
      <c r="B290" s="75">
        <f>VLOOKUP(A290,Database!A:M,MATCH($A$1,Database!$A$1:$M$1,),)</f>
        <v/>
      </c>
      <c r="C290" s="118">
        <f>(Table5351415[[#This Row],[New Orders ex Transport]]-B289)/B289</f>
        <v/>
      </c>
    </row>
    <row r="291">
      <c r="A291" s="74" t="n">
        <v>42309</v>
      </c>
      <c r="B291" s="75">
        <f>VLOOKUP(A291,Database!A:M,MATCH($A$1,Database!$A$1:$M$1,),)</f>
        <v/>
      </c>
      <c r="C291" s="118">
        <f>(Table5351415[[#This Row],[New Orders ex Transport]]-B290)/B290</f>
        <v/>
      </c>
    </row>
    <row r="292">
      <c r="A292" s="74" t="n">
        <v>42339</v>
      </c>
      <c r="B292" s="75">
        <f>VLOOKUP(A292,Database!A:M,MATCH($A$1,Database!$A$1:$M$1,),)</f>
        <v/>
      </c>
      <c r="C292" s="118">
        <f>(Table5351415[[#This Row],[New Orders ex Transport]]-B291)/B291</f>
        <v/>
      </c>
    </row>
    <row r="293">
      <c r="A293" s="74" t="n">
        <v>42370</v>
      </c>
      <c r="B293" s="75">
        <f>VLOOKUP(A293,Database!A:M,MATCH($A$1,Database!$A$1:$M$1,),)</f>
        <v/>
      </c>
      <c r="C293" s="118">
        <f>(Table5351415[[#This Row],[New Orders ex Transport]]-B292)/B292</f>
        <v/>
      </c>
    </row>
    <row r="294">
      <c r="A294" s="74" t="n">
        <v>42401</v>
      </c>
      <c r="B294" s="75">
        <f>VLOOKUP(A294,Database!A:M,MATCH($A$1,Database!$A$1:$M$1,),)</f>
        <v/>
      </c>
      <c r="C294" s="118">
        <f>(Table5351415[[#This Row],[New Orders ex Transport]]-B293)/B293</f>
        <v/>
      </c>
    </row>
    <row r="295">
      <c r="A295" s="74" t="n">
        <v>42430</v>
      </c>
      <c r="B295" s="75">
        <f>VLOOKUP(A295,Database!A:M,MATCH($A$1,Database!$A$1:$M$1,),)</f>
        <v/>
      </c>
      <c r="C295" s="118">
        <f>(Table5351415[[#This Row],[New Orders ex Transport]]-B294)/B294</f>
        <v/>
      </c>
    </row>
    <row r="296">
      <c r="A296" s="74" t="n">
        <v>42461</v>
      </c>
      <c r="B296" s="75">
        <f>VLOOKUP(A296,Database!A:M,MATCH($A$1,Database!$A$1:$M$1,),)</f>
        <v/>
      </c>
      <c r="C296" s="118">
        <f>(Table5351415[[#This Row],[New Orders ex Transport]]-B295)/B295</f>
        <v/>
      </c>
    </row>
    <row r="297">
      <c r="A297" s="74" t="n">
        <v>42491</v>
      </c>
      <c r="B297" s="75">
        <f>VLOOKUP(A297,Database!A:M,MATCH($A$1,Database!$A$1:$M$1,),)</f>
        <v/>
      </c>
      <c r="C297" s="118">
        <f>(Table5351415[[#This Row],[New Orders ex Transport]]-B296)/B296</f>
        <v/>
      </c>
    </row>
    <row r="298">
      <c r="A298" s="74" t="n">
        <v>42522</v>
      </c>
      <c r="B298" s="75">
        <f>VLOOKUP(A298,Database!A:M,MATCH($A$1,Database!$A$1:$M$1,),)</f>
        <v/>
      </c>
      <c r="C298" s="118">
        <f>(Table5351415[[#This Row],[New Orders ex Transport]]-B297)/B297</f>
        <v/>
      </c>
    </row>
    <row r="299">
      <c r="A299" s="74" t="n">
        <v>42552</v>
      </c>
      <c r="B299" s="75">
        <f>VLOOKUP(A299,Database!A:M,MATCH($A$1,Database!$A$1:$M$1,),)</f>
        <v/>
      </c>
      <c r="C299" s="118">
        <f>(Table5351415[[#This Row],[New Orders ex Transport]]-B298)/B298</f>
        <v/>
      </c>
    </row>
    <row r="300">
      <c r="A300" s="74" t="n">
        <v>42583</v>
      </c>
      <c r="B300" s="75">
        <f>VLOOKUP(A300,Database!A:M,MATCH($A$1,Database!$A$1:$M$1,),)</f>
        <v/>
      </c>
      <c r="C300" s="118">
        <f>(Table5351415[[#This Row],[New Orders ex Transport]]-B299)/B299</f>
        <v/>
      </c>
    </row>
    <row r="301">
      <c r="A301" s="74" t="n">
        <v>42614</v>
      </c>
      <c r="B301" s="75">
        <f>VLOOKUP(A301,Database!A:M,MATCH($A$1,Database!$A$1:$M$1,),)</f>
        <v/>
      </c>
      <c r="C301" s="118">
        <f>(Table5351415[[#This Row],[New Orders ex Transport]]-B300)/B300</f>
        <v/>
      </c>
    </row>
    <row r="302">
      <c r="A302" s="74" t="n">
        <v>42644</v>
      </c>
      <c r="B302" s="75">
        <f>VLOOKUP(A302,Database!A:M,MATCH($A$1,Database!$A$1:$M$1,),)</f>
        <v/>
      </c>
      <c r="C302" s="118">
        <f>(Table5351415[[#This Row],[New Orders ex Transport]]-B301)/B301</f>
        <v/>
      </c>
    </row>
    <row r="303">
      <c r="A303" s="74" t="n">
        <v>42675</v>
      </c>
      <c r="B303" s="75">
        <f>VLOOKUP(A303,Database!A:M,MATCH($A$1,Database!$A$1:$M$1,),)</f>
        <v/>
      </c>
      <c r="C303" s="118">
        <f>(Table5351415[[#This Row],[New Orders ex Transport]]-B302)/B302</f>
        <v/>
      </c>
    </row>
    <row r="304">
      <c r="A304" s="74" t="n">
        <v>42705</v>
      </c>
      <c r="B304" s="75">
        <f>VLOOKUP(A304,Database!A:M,MATCH($A$1,Database!$A$1:$M$1,),)</f>
        <v/>
      </c>
      <c r="C304" s="118">
        <f>(Table5351415[[#This Row],[New Orders ex Transport]]-B303)/B303</f>
        <v/>
      </c>
    </row>
    <row r="305">
      <c r="A305" s="74" t="n">
        <v>42736</v>
      </c>
      <c r="B305" s="75">
        <f>VLOOKUP(A305,Database!A:M,MATCH($A$1,Database!$A$1:$M$1,),)</f>
        <v/>
      </c>
      <c r="C305" s="118">
        <f>(Table5351415[[#This Row],[New Orders ex Transport]]-B304)/B304</f>
        <v/>
      </c>
    </row>
    <row r="306">
      <c r="A306" s="74" t="n">
        <v>42767</v>
      </c>
      <c r="B306" s="75">
        <f>VLOOKUP(A306,Database!A:M,MATCH($A$1,Database!$A$1:$M$1,),)</f>
        <v/>
      </c>
      <c r="C306" s="118">
        <f>(Table5351415[[#This Row],[New Orders ex Transport]]-B305)/B305</f>
        <v/>
      </c>
    </row>
    <row r="307">
      <c r="A307" s="74" t="n">
        <v>42795</v>
      </c>
      <c r="B307" s="75">
        <f>VLOOKUP(A307,Database!A:M,MATCH($A$1,Database!$A$1:$M$1,),)</f>
        <v/>
      </c>
      <c r="C307" s="118">
        <f>(Table5351415[[#This Row],[New Orders ex Transport]]-B306)/B306</f>
        <v/>
      </c>
    </row>
    <row r="308">
      <c r="A308" s="74" t="n">
        <v>42826</v>
      </c>
      <c r="B308" s="75">
        <f>VLOOKUP(A308,Database!A:M,MATCH($A$1,Database!$A$1:$M$1,),)</f>
        <v/>
      </c>
      <c r="C308" s="118">
        <f>(Table5351415[[#This Row],[New Orders ex Transport]]-B307)/B307</f>
        <v/>
      </c>
    </row>
    <row r="309">
      <c r="A309" s="74" t="n">
        <v>42856</v>
      </c>
      <c r="B309" s="75">
        <f>VLOOKUP(A309,Database!A:M,MATCH($A$1,Database!$A$1:$M$1,),)</f>
        <v/>
      </c>
      <c r="C309" s="118">
        <f>(Table5351415[[#This Row],[New Orders ex Transport]]-B308)/B308</f>
        <v/>
      </c>
    </row>
    <row r="310">
      <c r="A310" s="74" t="n">
        <v>42887</v>
      </c>
      <c r="B310" s="75">
        <f>VLOOKUP(A310,Database!A:M,MATCH($A$1,Database!$A$1:$M$1,),)</f>
        <v/>
      </c>
      <c r="C310" s="118">
        <f>(Table5351415[[#This Row],[New Orders ex Transport]]-B309)/B309</f>
        <v/>
      </c>
    </row>
    <row r="311">
      <c r="A311" s="74" t="n">
        <v>42917</v>
      </c>
      <c r="B311" s="75">
        <f>VLOOKUP(A311,Database!A:M,MATCH($A$1,Database!$A$1:$M$1,),)</f>
        <v/>
      </c>
      <c r="C311" s="118">
        <f>(Table5351415[[#This Row],[New Orders ex Transport]]-B310)/B310</f>
        <v/>
      </c>
    </row>
    <row r="312">
      <c r="A312" s="74" t="n">
        <v>42948</v>
      </c>
      <c r="B312" s="75">
        <f>VLOOKUP(A312,Database!A:M,MATCH($A$1,Database!$A$1:$M$1,),)</f>
        <v/>
      </c>
      <c r="C312" s="118">
        <f>(Table5351415[[#This Row],[New Orders ex Transport]]-B311)/B311</f>
        <v/>
      </c>
    </row>
    <row r="313">
      <c r="A313" s="74" t="n">
        <v>42979</v>
      </c>
      <c r="B313" s="75">
        <f>VLOOKUP(A313,Database!A:M,MATCH($A$1,Database!$A$1:$M$1,),)</f>
        <v/>
      </c>
      <c r="C313" s="118">
        <f>(Table5351415[[#This Row],[New Orders ex Transport]]-B312)/B312</f>
        <v/>
      </c>
    </row>
    <row r="314">
      <c r="A314" s="74" t="n">
        <v>43009</v>
      </c>
      <c r="B314" s="75">
        <f>VLOOKUP(A314,Database!A:M,MATCH($A$1,Database!$A$1:$M$1,),)</f>
        <v/>
      </c>
      <c r="C314" s="118">
        <f>(Table5351415[[#This Row],[New Orders ex Transport]]-B313)/B313</f>
        <v/>
      </c>
    </row>
    <row r="315">
      <c r="A315" s="74" t="n">
        <v>43040</v>
      </c>
      <c r="B315" s="75">
        <f>VLOOKUP(A315,Database!A:M,MATCH($A$1,Database!$A$1:$M$1,),)</f>
        <v/>
      </c>
      <c r="C315" s="118">
        <f>(Table5351415[[#This Row],[New Orders ex Transport]]-B314)/B314</f>
        <v/>
      </c>
    </row>
    <row r="316">
      <c r="A316" s="74" t="n">
        <v>43070</v>
      </c>
      <c r="B316" s="75">
        <f>VLOOKUP(A316,Database!A:M,MATCH($A$1,Database!$A$1:$M$1,),)</f>
        <v/>
      </c>
      <c r="C316" s="118">
        <f>(Table5351415[[#This Row],[New Orders ex Transport]]-B315)/B315</f>
        <v/>
      </c>
    </row>
    <row r="317">
      <c r="A317" s="74" t="n">
        <v>43101</v>
      </c>
      <c r="B317" s="75">
        <f>VLOOKUP(A317,Database!A:M,MATCH($A$1,Database!$A$1:$M$1,),)</f>
        <v/>
      </c>
      <c r="C317" s="118">
        <f>(Table5351415[[#This Row],[New Orders ex Transport]]-B316)/B316</f>
        <v/>
      </c>
    </row>
    <row r="318">
      <c r="A318" s="74" t="n">
        <v>43132</v>
      </c>
      <c r="B318" s="75">
        <f>VLOOKUP(A318,Database!A:M,MATCH($A$1,Database!$A$1:$M$1,),)</f>
        <v/>
      </c>
      <c r="C318" s="118">
        <f>(Table5351415[[#This Row],[New Orders ex Transport]]-B317)/B317</f>
        <v/>
      </c>
    </row>
    <row r="319">
      <c r="A319" s="74" t="n">
        <v>43160</v>
      </c>
      <c r="B319" s="75">
        <f>VLOOKUP(A319,Database!A:M,MATCH($A$1,Database!$A$1:$M$1,),)</f>
        <v/>
      </c>
      <c r="C319" s="118">
        <f>(Table5351415[[#This Row],[New Orders ex Transport]]-B318)/B318</f>
        <v/>
      </c>
    </row>
    <row r="320">
      <c r="A320" s="74" t="n">
        <v>43191</v>
      </c>
      <c r="B320" s="75">
        <f>VLOOKUP(A320,Database!A:M,MATCH($A$1,Database!$A$1:$M$1,),)</f>
        <v/>
      </c>
      <c r="C320" s="118">
        <f>(Table5351415[[#This Row],[New Orders ex Transport]]-B319)/B319</f>
        <v/>
      </c>
    </row>
    <row r="321">
      <c r="A321" s="74" t="n">
        <v>43221</v>
      </c>
      <c r="B321" s="75">
        <f>VLOOKUP(A321,Database!A:M,MATCH($A$1,Database!$A$1:$M$1,),)</f>
        <v/>
      </c>
      <c r="C321" s="118">
        <f>(Table5351415[[#This Row],[New Orders ex Transport]]-B320)/B320</f>
        <v/>
      </c>
    </row>
    <row r="322">
      <c r="A322" s="74" t="n">
        <v>43252</v>
      </c>
      <c r="B322" s="75">
        <f>VLOOKUP(A322,Database!A:M,MATCH($A$1,Database!$A$1:$M$1,),)</f>
        <v/>
      </c>
      <c r="C322" s="118">
        <f>(Table5351415[[#This Row],[New Orders ex Transport]]-B321)/B321</f>
        <v/>
      </c>
    </row>
    <row r="323">
      <c r="A323" s="74" t="n">
        <v>43282</v>
      </c>
      <c r="B323" s="75">
        <f>VLOOKUP(A323,Database!A:M,MATCH($A$1,Database!$A$1:$M$1,),)</f>
        <v/>
      </c>
      <c r="C323" s="118">
        <f>(Table5351415[[#This Row],[New Orders ex Transport]]-B322)/B322</f>
        <v/>
      </c>
    </row>
    <row r="324">
      <c r="A324" s="74" t="n">
        <v>43313</v>
      </c>
      <c r="B324" s="75">
        <f>VLOOKUP(A324,Database!A:M,MATCH($A$1,Database!$A$1:$M$1,),)</f>
        <v/>
      </c>
      <c r="C324" s="118">
        <f>(Table5351415[[#This Row],[New Orders ex Transport]]-B323)/B323</f>
        <v/>
      </c>
    </row>
    <row r="325">
      <c r="A325" s="74" t="n">
        <v>43344</v>
      </c>
      <c r="B325" s="75">
        <f>VLOOKUP(A325,Database!A:M,MATCH($A$1,Database!$A$1:$M$1,),)</f>
        <v/>
      </c>
      <c r="C325" s="118">
        <f>(Table5351415[[#This Row],[New Orders ex Transport]]-B324)/B324</f>
        <v/>
      </c>
    </row>
    <row r="326">
      <c r="A326" s="74" t="n">
        <v>43374</v>
      </c>
      <c r="B326" s="75">
        <f>VLOOKUP(A326,Database!A:M,MATCH($A$1,Database!$A$1:$M$1,),)</f>
        <v/>
      </c>
      <c r="C326" s="118">
        <f>(Table5351415[[#This Row],[New Orders ex Transport]]-B325)/B325</f>
        <v/>
      </c>
    </row>
    <row r="327">
      <c r="A327" s="74" t="n">
        <v>43405</v>
      </c>
      <c r="B327" s="75">
        <f>VLOOKUP(A327,Database!A:M,MATCH($A$1,Database!$A$1:$M$1,),)</f>
        <v/>
      </c>
      <c r="C327" s="118">
        <f>(Table5351415[[#This Row],[New Orders ex Transport]]-B326)/B326</f>
        <v/>
      </c>
    </row>
    <row r="328">
      <c r="A328" s="74" t="n">
        <v>43435</v>
      </c>
      <c r="B328" s="75">
        <f>VLOOKUP(A328,Database!A:M,MATCH($A$1,Database!$A$1:$M$1,),)</f>
        <v/>
      </c>
      <c r="C328" s="118">
        <f>(Table5351415[[#This Row],[New Orders ex Transport]]-B327)/B327</f>
        <v/>
      </c>
    </row>
    <row r="329">
      <c r="A329" s="74" t="n">
        <v>43466</v>
      </c>
      <c r="B329" s="75">
        <f>VLOOKUP(A329,Database!A:M,MATCH($A$1,Database!$A$1:$M$1,),)</f>
        <v/>
      </c>
      <c r="C329" s="118">
        <f>(Table5351415[[#This Row],[New Orders ex Transport]]-B328)/B328</f>
        <v/>
      </c>
    </row>
    <row r="330">
      <c r="A330" s="74" t="n">
        <v>43497</v>
      </c>
      <c r="B330" s="75">
        <f>VLOOKUP(A330,Database!A:M,MATCH($A$1,Database!$A$1:$M$1,),)</f>
        <v/>
      </c>
      <c r="C330" s="118">
        <f>(Table5351415[[#This Row],[New Orders ex Transport]]-B329)/B329</f>
        <v/>
      </c>
    </row>
    <row r="331">
      <c r="A331" s="74" t="n">
        <v>43525</v>
      </c>
      <c r="B331" s="75">
        <f>VLOOKUP(A331,Database!A:M,MATCH($A$1,Database!$A$1:$M$1,),)</f>
        <v/>
      </c>
      <c r="C331" s="118">
        <f>(Table5351415[[#This Row],[New Orders ex Transport]]-B330)/B330</f>
        <v/>
      </c>
    </row>
    <row r="332">
      <c r="A332" s="74" t="n">
        <v>43556</v>
      </c>
      <c r="B332" s="75">
        <f>VLOOKUP(A332,Database!A:M,MATCH($A$1,Database!$A$1:$M$1,),)</f>
        <v/>
      </c>
      <c r="C332" s="118">
        <f>(Table5351415[[#This Row],[New Orders ex Transport]]-B331)/B331</f>
        <v/>
      </c>
    </row>
    <row r="333">
      <c r="A333" s="74" t="n">
        <v>43586</v>
      </c>
      <c r="B333" s="75">
        <f>VLOOKUP(A333,Database!A:M,MATCH($A$1,Database!$A$1:$M$1,),)</f>
        <v/>
      </c>
      <c r="C333" s="118">
        <f>(Table5351415[[#This Row],[New Orders ex Transport]]-B332)/B332</f>
        <v/>
      </c>
    </row>
    <row r="334">
      <c r="A334" s="74" t="n">
        <v>43617</v>
      </c>
      <c r="B334" s="75">
        <f>VLOOKUP(A334,Database!A:M,MATCH($A$1,Database!$A$1:$M$1,),)</f>
        <v/>
      </c>
      <c r="C334" s="118">
        <f>(Table5351415[[#This Row],[New Orders ex Transport]]-B333)/B333</f>
        <v/>
      </c>
    </row>
    <row r="335">
      <c r="A335" s="74" t="n">
        <v>43647</v>
      </c>
      <c r="B335" s="75">
        <f>VLOOKUP(A335,Database!A:M,MATCH($A$1,Database!$A$1:$M$1,),)</f>
        <v/>
      </c>
      <c r="C335" s="118">
        <f>(Table5351415[[#This Row],[New Orders ex Transport]]-B334)/B334</f>
        <v/>
      </c>
    </row>
    <row r="336">
      <c r="A336" s="74" t="n">
        <v>43678</v>
      </c>
      <c r="B336" s="75">
        <f>VLOOKUP(A336,Database!A:M,MATCH($A$1,Database!$A$1:$M$1,),)</f>
        <v/>
      </c>
      <c r="C336" s="118">
        <f>(Table5351415[[#This Row],[New Orders ex Transport]]-B335)/B335</f>
        <v/>
      </c>
    </row>
    <row r="337">
      <c r="A337" s="74" t="n">
        <v>43709</v>
      </c>
      <c r="B337" s="75">
        <f>VLOOKUP(A337,Database!A:M,MATCH($A$1,Database!$A$1:$M$1,),)</f>
        <v/>
      </c>
      <c r="C337" s="118">
        <f>(Table5351415[[#This Row],[New Orders ex Transport]]-B336)/B336</f>
        <v/>
      </c>
    </row>
    <row r="338">
      <c r="A338" s="74" t="n">
        <v>43739</v>
      </c>
      <c r="B338" s="75">
        <f>VLOOKUP(A338,Database!A:M,MATCH($A$1,Database!$A$1:$M$1,),)</f>
        <v/>
      </c>
      <c r="C338" s="118">
        <f>(Table5351415[[#This Row],[New Orders ex Transport]]-B337)/B337</f>
        <v/>
      </c>
    </row>
    <row r="339">
      <c r="A339" s="74" t="n">
        <v>43770</v>
      </c>
      <c r="B339" s="75">
        <f>VLOOKUP(A339,Database!A:M,MATCH($A$1,Database!$A$1:$M$1,),)</f>
        <v/>
      </c>
      <c r="C339" s="118">
        <f>(Table5351415[[#This Row],[New Orders ex Transport]]-B338)/B338</f>
        <v/>
      </c>
    </row>
    <row r="340">
      <c r="A340" s="74" t="n">
        <v>43800</v>
      </c>
      <c r="B340" s="75">
        <f>VLOOKUP(A340,Database!A:M,MATCH($A$1,Database!$A$1:$M$1,),)</f>
        <v/>
      </c>
      <c r="C340" s="118">
        <f>(Table5351415[[#This Row],[New Orders ex Transport]]-B339)/B339</f>
        <v/>
      </c>
    </row>
    <row r="341">
      <c r="A341" s="74" t="n">
        <v>43831</v>
      </c>
      <c r="B341" s="75">
        <f>VLOOKUP(A341,Database!A:M,MATCH($A$1,Database!$A$1:$M$1,),)</f>
        <v/>
      </c>
      <c r="C341" s="118">
        <f>(Table5351415[[#This Row],[New Orders ex Transport]]-B340)/B340</f>
        <v/>
      </c>
    </row>
    <row r="342">
      <c r="A342" s="74" t="n">
        <v>43862</v>
      </c>
      <c r="B342" s="75">
        <f>VLOOKUP(A342,Database!A:M,MATCH($A$1,Database!$A$1:$M$1,),)</f>
        <v/>
      </c>
      <c r="C342" s="118">
        <f>(Table5351415[[#This Row],[New Orders ex Transport]]-B341)/B341</f>
        <v/>
      </c>
    </row>
    <row r="343">
      <c r="A343" s="74" t="n">
        <v>43891</v>
      </c>
      <c r="B343" s="75">
        <f>VLOOKUP(A343,Database!A:M,MATCH($A$1,Database!$A$1:$M$1,),)</f>
        <v/>
      </c>
      <c r="C343" s="118">
        <f>(Table5351415[[#This Row],[New Orders ex Transport]]-B342)/B342</f>
        <v/>
      </c>
    </row>
    <row r="344">
      <c r="A344" s="74" t="n">
        <v>43922</v>
      </c>
      <c r="B344" s="75">
        <f>VLOOKUP(A344,Database!A:M,MATCH($A$1,Database!$A$1:$M$1,),)</f>
        <v/>
      </c>
      <c r="C344" s="118">
        <f>(Table5351415[[#This Row],[New Orders ex Transport]]-B343)/B343</f>
        <v/>
      </c>
    </row>
    <row r="345">
      <c r="A345" s="74" t="n">
        <v>43952</v>
      </c>
      <c r="B345" s="75">
        <f>VLOOKUP(A345,Database!A:M,MATCH($A$1,Database!$A$1:$M$1,),)</f>
        <v/>
      </c>
      <c r="C345" s="118">
        <f>(Table5351415[[#This Row],[New Orders ex Transport]]-B344)/B344</f>
        <v/>
      </c>
    </row>
    <row r="346">
      <c r="A346" s="74" t="n">
        <v>43983</v>
      </c>
      <c r="B346" s="75">
        <f>VLOOKUP(A346,Database!A:M,MATCH($A$1,Database!$A$1:$M$1,),)</f>
        <v/>
      </c>
      <c r="C346" s="118">
        <f>(Table5351415[[#This Row],[New Orders ex Transport]]-B345)/B345</f>
        <v/>
      </c>
    </row>
    <row r="347">
      <c r="A347" s="74" t="n">
        <v>44013</v>
      </c>
      <c r="B347" s="75">
        <f>VLOOKUP(A347,Database!A:M,MATCH($A$1,Database!$A$1:$M$1,),)</f>
        <v/>
      </c>
      <c r="C347" s="118">
        <f>(Table5351415[[#This Row],[New Orders ex Transport]]-B346)/B346</f>
        <v/>
      </c>
    </row>
    <row r="348">
      <c r="A348" s="74" t="n">
        <v>44044</v>
      </c>
      <c r="B348" s="75">
        <f>VLOOKUP(A348,Database!A:M,MATCH($A$1,Database!$A$1:$M$1,),)</f>
        <v/>
      </c>
      <c r="C348" s="118">
        <f>(Table5351415[[#This Row],[New Orders ex Transport]]-B347)/B347</f>
        <v/>
      </c>
    </row>
    <row r="349">
      <c r="A349" s="74" t="n">
        <v>44075</v>
      </c>
      <c r="B349" s="75">
        <f>VLOOKUP(A349,Database!A:M,MATCH($A$1,Database!$A$1:$M$1,),)</f>
        <v/>
      </c>
      <c r="C349" s="118">
        <f>(Table5351415[[#This Row],[New Orders ex Transport]]-B348)/B348</f>
        <v/>
      </c>
    </row>
    <row r="350">
      <c r="A350" s="74" t="n">
        <v>44105</v>
      </c>
      <c r="B350" s="75">
        <f>VLOOKUP(A350,Database!A:M,MATCH($A$1,Database!$A$1:$M$1,),)</f>
        <v/>
      </c>
      <c r="C350" s="118">
        <f>(Table5351415[[#This Row],[New Orders ex Transport]]-B349)/B349</f>
        <v/>
      </c>
    </row>
    <row r="351">
      <c r="A351" s="74" t="n">
        <v>44136</v>
      </c>
      <c r="B351" s="75">
        <f>VLOOKUP(A351,Database!A:M,MATCH($A$1,Database!$A$1:$M$1,),)</f>
        <v/>
      </c>
      <c r="C351" s="118">
        <f>(Table5351415[[#This Row],[New Orders ex Transport]]-B350)/B350</f>
        <v/>
      </c>
    </row>
    <row r="352">
      <c r="A352" s="74" t="n">
        <v>44166</v>
      </c>
      <c r="B352" s="75">
        <f>VLOOKUP(A352,Database!A:M,MATCH($A$1,Database!$A$1:$M$1,),)</f>
        <v/>
      </c>
      <c r="C352" s="118">
        <f>(Table5351415[[#This Row],[New Orders ex Transport]]-B351)/B351</f>
        <v/>
      </c>
    </row>
    <row r="353">
      <c r="A353" s="74" t="n">
        <v>44197</v>
      </c>
      <c r="B353" s="75">
        <f>VLOOKUP(A353,Database!A:M,MATCH($A$1,Database!$A$1:$M$1,),)</f>
        <v/>
      </c>
      <c r="C353" s="118">
        <f>(Table5351415[[#This Row],[New Orders ex Transport]]-B352)/B352</f>
        <v/>
      </c>
    </row>
    <row r="354">
      <c r="A354" s="74" t="n">
        <v>44228</v>
      </c>
      <c r="B354" s="75">
        <f>VLOOKUP(A354,Database!A:M,MATCH($A$1,Database!$A$1:$M$1,),)</f>
        <v/>
      </c>
      <c r="C354" s="118">
        <f>(Table5351415[[#This Row],[New Orders ex Transport]]-B353)/B353</f>
        <v/>
      </c>
    </row>
    <row r="355">
      <c r="A355" s="74" t="n">
        <v>44256</v>
      </c>
      <c r="B355" s="75">
        <f>VLOOKUP(A355,Database!A:M,MATCH($A$1,Database!$A$1:$M$1,),)</f>
        <v/>
      </c>
      <c r="C355" s="118">
        <f>(Table5351415[[#This Row],[New Orders ex Transport]]-B354)/B354</f>
        <v/>
      </c>
    </row>
    <row r="356">
      <c r="A356" s="74" t="n">
        <v>44287</v>
      </c>
      <c r="B356" s="75">
        <f>VLOOKUP(A356,Database!A:M,MATCH($A$1,Database!$A$1:$M$1,),)</f>
        <v/>
      </c>
      <c r="C356" s="118">
        <f>(Table5351415[[#This Row],[New Orders ex Transport]]-B355)/B355</f>
        <v/>
      </c>
    </row>
    <row r="357">
      <c r="A357" s="74" t="n">
        <v>44317</v>
      </c>
      <c r="B357" s="75">
        <f>VLOOKUP(A357,Database!A:M,MATCH($A$1,Database!$A$1:$M$1,),)</f>
        <v/>
      </c>
      <c r="C357" s="118">
        <f>(Table5351415[[#This Row],[New Orders ex Transport]]-B356)/B356</f>
        <v/>
      </c>
    </row>
    <row r="358">
      <c r="A358" s="74" t="n">
        <v>44348</v>
      </c>
      <c r="B358" s="75">
        <f>VLOOKUP(A358,Database!A:M,MATCH($A$1,Database!$A$1:$M$1,),)</f>
        <v/>
      </c>
      <c r="C358" s="118">
        <f>(Table5351415[[#This Row],[New Orders ex Transport]]-B357)/B357</f>
        <v/>
      </c>
    </row>
    <row r="359">
      <c r="A359" s="74" t="n">
        <v>44378</v>
      </c>
      <c r="B359" s="75">
        <f>VLOOKUP(A359,Database!A:M,MATCH($A$1,Database!$A$1:$M$1,),)</f>
        <v/>
      </c>
      <c r="C359" s="118">
        <f>(Table5351415[[#This Row],[New Orders ex Transport]]-B358)/B358</f>
        <v/>
      </c>
    </row>
    <row r="360">
      <c r="A360" s="74" t="n">
        <v>44409</v>
      </c>
      <c r="B360" s="75">
        <f>VLOOKUP(A360,Database!A:M,MATCH($A$1,Database!$A$1:$M$1,),)</f>
        <v/>
      </c>
      <c r="C360" s="118">
        <f>(Table5351415[[#This Row],[New Orders ex Transport]]-B359)/B359</f>
        <v/>
      </c>
    </row>
    <row r="361">
      <c r="A361" s="74" t="n">
        <v>44440</v>
      </c>
      <c r="B361" s="75">
        <f>VLOOKUP(A361,Database!A:M,MATCH($A$1,Database!$A$1:$M$1,),)</f>
        <v/>
      </c>
      <c r="C361" s="118">
        <f>(Table5351415[[#This Row],[New Orders ex Transport]]-B360)/B360</f>
        <v/>
      </c>
    </row>
    <row r="362">
      <c r="A362" s="74" t="n">
        <v>44470</v>
      </c>
      <c r="B362" s="75">
        <f>VLOOKUP(A362,Database!A:M,MATCH($A$1,Database!$A$1:$M$1,),)</f>
        <v/>
      </c>
      <c r="C362" s="118">
        <f>(Table5351415[[#This Row],[New Orders ex Transport]]-B361)/B361</f>
        <v/>
      </c>
    </row>
    <row r="363">
      <c r="A363" s="74" t="n">
        <v>44501</v>
      </c>
      <c r="B363" s="75">
        <f>VLOOKUP(A363,Database!A:M,MATCH($A$1,Database!$A$1:$M$1,),)</f>
        <v/>
      </c>
      <c r="C363" s="118">
        <f>(Table5351415[[#This Row],[New Orders ex Transport]]-B362)/B362</f>
        <v/>
      </c>
    </row>
    <row r="364">
      <c r="A364" s="74" t="n">
        <v>44531</v>
      </c>
      <c r="B364" s="75">
        <f>VLOOKUP(A364,Database!A:M,MATCH($A$1,Database!$A$1:$M$1,),)</f>
        <v/>
      </c>
      <c r="C364" s="118">
        <f>(Table5351415[[#This Row],[New Orders ex Transport]]-B363)/B363</f>
        <v/>
      </c>
    </row>
    <row r="365">
      <c r="A365" s="74" t="n">
        <v>44562</v>
      </c>
      <c r="B365" s="75">
        <f>VLOOKUP(A365,Database!A:M,MATCH($A$1,Database!$A$1:$M$1,),)</f>
        <v/>
      </c>
      <c r="C365" s="118">
        <f>(Table5351415[[#This Row],[New Orders ex Transport]]-B364)/B364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5"/>
  <sheetViews>
    <sheetView tabSelected="1" zoomScale="150" zoomScaleNormal="150" workbookViewId="0">
      <pane ySplit="5" topLeftCell="A329" activePane="bottomLeft" state="frozen"/>
      <selection pane="bottomLeft" activeCell="X352" sqref="X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9" t="inlineStr">
        <is>
          <t>mom %</t>
        </is>
      </c>
    </row>
    <row r="6">
      <c r="A6" s="86" t="n">
        <v>33635</v>
      </c>
      <c r="B6" s="87">
        <f>VLOOKUP(A6,Database!A:M,MATCH($A$1,Database!$A$1:$M$1,),)</f>
        <v/>
      </c>
      <c r="C6" s="120" t="n"/>
    </row>
    <row r="7">
      <c r="A7" s="74" t="n">
        <v>33664</v>
      </c>
      <c r="B7" s="75">
        <f>VLOOKUP(A7,Database!A:M,MATCH($A$1,Database!$A$1:$M$1,),)</f>
        <v/>
      </c>
      <c r="C7" s="118">
        <f>(Table535141516[[#This Row],[Durable Goods]]-B6)/B6</f>
        <v/>
      </c>
    </row>
    <row r="8">
      <c r="A8" s="74" t="n">
        <v>33695</v>
      </c>
      <c r="B8" s="75">
        <f>VLOOKUP(A8,Database!A:M,MATCH($A$1,Database!$A$1:$M$1,),)</f>
        <v/>
      </c>
      <c r="C8" s="118">
        <f>(Table535141516[[#This Row],[Durable Goods]]-B7)/B7</f>
        <v/>
      </c>
    </row>
    <row r="9">
      <c r="A9" s="74" t="n">
        <v>33725</v>
      </c>
      <c r="B9" s="75">
        <f>VLOOKUP(A9,Database!A:M,MATCH($A$1,Database!$A$1:$M$1,),)</f>
        <v/>
      </c>
      <c r="C9" s="118">
        <f>(Table535141516[[#This Row],[Durable Goods]]-B8)/B8</f>
        <v/>
      </c>
    </row>
    <row r="10">
      <c r="A10" s="74" t="n">
        <v>33756</v>
      </c>
      <c r="B10" s="75">
        <f>VLOOKUP(A10,Database!A:M,MATCH($A$1,Database!$A$1:$M$1,),)</f>
        <v/>
      </c>
      <c r="C10" s="118">
        <f>(Table535141516[[#This Row],[Durable Goods]]-B9)/B9</f>
        <v/>
      </c>
    </row>
    <row r="11">
      <c r="A11" s="74" t="n">
        <v>33786</v>
      </c>
      <c r="B11" s="75">
        <f>VLOOKUP(A11,Database!A:M,MATCH($A$1,Database!$A$1:$M$1,),)</f>
        <v/>
      </c>
      <c r="C11" s="118">
        <f>(Table535141516[[#This Row],[Durable Goods]]-B10)/B10</f>
        <v/>
      </c>
    </row>
    <row r="12">
      <c r="A12" s="74" t="n">
        <v>33817</v>
      </c>
      <c r="B12" s="75">
        <f>VLOOKUP(A12,Database!A:M,MATCH($A$1,Database!$A$1:$M$1,),)</f>
        <v/>
      </c>
      <c r="C12" s="118">
        <f>(Table535141516[[#This Row],[Durable Goods]]-B11)/B11</f>
        <v/>
      </c>
    </row>
    <row r="13">
      <c r="A13" s="74" t="n">
        <v>33848</v>
      </c>
      <c r="B13" s="75">
        <f>VLOOKUP(A13,Database!A:M,MATCH($A$1,Database!$A$1:$M$1,),)</f>
        <v/>
      </c>
      <c r="C13" s="118">
        <f>(Table535141516[[#This Row],[Durable Goods]]-B12)/B12</f>
        <v/>
      </c>
    </row>
    <row r="14">
      <c r="A14" s="74" t="n">
        <v>33878</v>
      </c>
      <c r="B14" s="75">
        <f>VLOOKUP(A14,Database!A:M,MATCH($A$1,Database!$A$1:$M$1,),)</f>
        <v/>
      </c>
      <c r="C14" s="118">
        <f>(Table535141516[[#This Row],[Durable Goods]]-B13)/B13</f>
        <v/>
      </c>
    </row>
    <row r="15">
      <c r="A15" s="74" t="n">
        <v>33909</v>
      </c>
      <c r="B15" s="75">
        <f>VLOOKUP(A15,Database!A:M,MATCH($A$1,Database!$A$1:$M$1,),)</f>
        <v/>
      </c>
      <c r="C15" s="118">
        <f>(Table535141516[[#This Row],[Durable Goods]]-B14)/B14</f>
        <v/>
      </c>
    </row>
    <row r="16">
      <c r="A16" s="74" t="n">
        <v>33939</v>
      </c>
      <c r="B16" s="75">
        <f>VLOOKUP(A16,Database!A:M,MATCH($A$1,Database!$A$1:$M$1,),)</f>
        <v/>
      </c>
      <c r="C16" s="118">
        <f>(Table535141516[[#This Row],[Durable Goods]]-B15)/B15</f>
        <v/>
      </c>
    </row>
    <row r="17">
      <c r="A17" s="74" t="n">
        <v>33970</v>
      </c>
      <c r="B17" s="75">
        <f>VLOOKUP(A17,Database!A:M,MATCH($A$1,Database!$A$1:$M$1,),)</f>
        <v/>
      </c>
      <c r="C17" s="118">
        <f>(Table535141516[[#This Row],[Durable Goods]]-B16)/B16</f>
        <v/>
      </c>
    </row>
    <row r="18">
      <c r="A18" s="74" t="n">
        <v>34001</v>
      </c>
      <c r="B18" s="75">
        <f>VLOOKUP(A18,Database!A:M,MATCH($A$1,Database!$A$1:$M$1,),)</f>
        <v/>
      </c>
      <c r="C18" s="118">
        <f>(Table535141516[[#This Row],[Durable Goods]]-B17)/B17</f>
        <v/>
      </c>
    </row>
    <row r="19">
      <c r="A19" s="74" t="n">
        <v>34029</v>
      </c>
      <c r="B19" s="75">
        <f>VLOOKUP(A19,Database!A:M,MATCH($A$1,Database!$A$1:$M$1,),)</f>
        <v/>
      </c>
      <c r="C19" s="118">
        <f>(Table535141516[[#This Row],[Durable Goods]]-B18)/B18</f>
        <v/>
      </c>
    </row>
    <row r="20">
      <c r="A20" s="74" t="n">
        <v>34060</v>
      </c>
      <c r="B20" s="75">
        <f>VLOOKUP(A20,Database!A:M,MATCH($A$1,Database!$A$1:$M$1,),)</f>
        <v/>
      </c>
      <c r="C20" s="118">
        <f>(Table535141516[[#This Row],[Durable Goods]]-B19)/B19</f>
        <v/>
      </c>
    </row>
    <row r="21">
      <c r="A21" s="74" t="n">
        <v>34090</v>
      </c>
      <c r="B21" s="75">
        <f>VLOOKUP(A21,Database!A:M,MATCH($A$1,Database!$A$1:$M$1,),)</f>
        <v/>
      </c>
      <c r="C21" s="118">
        <f>(Table535141516[[#This Row],[Durable Goods]]-B20)/B20</f>
        <v/>
      </c>
    </row>
    <row r="22">
      <c r="A22" s="74" t="n">
        <v>34121</v>
      </c>
      <c r="B22" s="75">
        <f>VLOOKUP(A22,Database!A:M,MATCH($A$1,Database!$A$1:$M$1,),)</f>
        <v/>
      </c>
      <c r="C22" s="118">
        <f>(Table535141516[[#This Row],[Durable Goods]]-B21)/B21</f>
        <v/>
      </c>
    </row>
    <row r="23">
      <c r="A23" s="74" t="n">
        <v>34151</v>
      </c>
      <c r="B23" s="75">
        <f>VLOOKUP(A23,Database!A:M,MATCH($A$1,Database!$A$1:$M$1,),)</f>
        <v/>
      </c>
      <c r="C23" s="118">
        <f>(Table535141516[[#This Row],[Durable Goods]]-B22)/B22</f>
        <v/>
      </c>
    </row>
    <row r="24">
      <c r="A24" s="74" t="n">
        <v>34182</v>
      </c>
      <c r="B24" s="75">
        <f>VLOOKUP(A24,Database!A:M,MATCH($A$1,Database!$A$1:$M$1,),)</f>
        <v/>
      </c>
      <c r="C24" s="118">
        <f>(Table535141516[[#This Row],[Durable Goods]]-B23)/B23</f>
        <v/>
      </c>
    </row>
    <row r="25">
      <c r="A25" s="74" t="n">
        <v>34213</v>
      </c>
      <c r="B25" s="75">
        <f>VLOOKUP(A25,Database!A:M,MATCH($A$1,Database!$A$1:$M$1,),)</f>
        <v/>
      </c>
      <c r="C25" s="118">
        <f>(Table535141516[[#This Row],[Durable Goods]]-B24)/B24</f>
        <v/>
      </c>
    </row>
    <row r="26">
      <c r="A26" s="74" t="n">
        <v>34243</v>
      </c>
      <c r="B26" s="75">
        <f>VLOOKUP(A26,Database!A:M,MATCH($A$1,Database!$A$1:$M$1,),)</f>
        <v/>
      </c>
      <c r="C26" s="118">
        <f>(Table535141516[[#This Row],[Durable Goods]]-B25)/B25</f>
        <v/>
      </c>
    </row>
    <row r="27">
      <c r="A27" s="74" t="n">
        <v>34274</v>
      </c>
      <c r="B27" s="75">
        <f>VLOOKUP(A27,Database!A:M,MATCH($A$1,Database!$A$1:$M$1,),)</f>
        <v/>
      </c>
      <c r="C27" s="118">
        <f>(Table535141516[[#This Row],[Durable Goods]]-B26)/B26</f>
        <v/>
      </c>
    </row>
    <row r="28">
      <c r="A28" s="74" t="n">
        <v>34304</v>
      </c>
      <c r="B28" s="75">
        <f>VLOOKUP(A28,Database!A:M,MATCH($A$1,Database!$A$1:$M$1,),)</f>
        <v/>
      </c>
      <c r="C28" s="118">
        <f>(Table535141516[[#This Row],[Durable Goods]]-B27)/B27</f>
        <v/>
      </c>
    </row>
    <row r="29">
      <c r="A29" s="74" t="n">
        <v>34335</v>
      </c>
      <c r="B29" s="75">
        <f>VLOOKUP(A29,Database!A:M,MATCH($A$1,Database!$A$1:$M$1,),)</f>
        <v/>
      </c>
      <c r="C29" s="118">
        <f>(Table535141516[[#This Row],[Durable Goods]]-B28)/B28</f>
        <v/>
      </c>
    </row>
    <row r="30">
      <c r="A30" s="74" t="n">
        <v>34366</v>
      </c>
      <c r="B30" s="75">
        <f>VLOOKUP(A30,Database!A:M,MATCH($A$1,Database!$A$1:$M$1,),)</f>
        <v/>
      </c>
      <c r="C30" s="118">
        <f>(Table535141516[[#This Row],[Durable Goods]]-B29)/B29</f>
        <v/>
      </c>
    </row>
    <row r="31">
      <c r="A31" s="74" t="n">
        <v>34394</v>
      </c>
      <c r="B31" s="75">
        <f>VLOOKUP(A31,Database!A:M,MATCH($A$1,Database!$A$1:$M$1,),)</f>
        <v/>
      </c>
      <c r="C31" s="118">
        <f>(Table535141516[[#This Row],[Durable Goods]]-B30)/B30</f>
        <v/>
      </c>
    </row>
    <row r="32">
      <c r="A32" s="74" t="n">
        <v>34425</v>
      </c>
      <c r="B32" s="75">
        <f>VLOOKUP(A32,Database!A:M,MATCH($A$1,Database!$A$1:$M$1,),)</f>
        <v/>
      </c>
      <c r="C32" s="118">
        <f>(Table535141516[[#This Row],[Durable Goods]]-B31)/B31</f>
        <v/>
      </c>
    </row>
    <row r="33">
      <c r="A33" s="74" t="n">
        <v>34455</v>
      </c>
      <c r="B33" s="75">
        <f>VLOOKUP(A33,Database!A:M,MATCH($A$1,Database!$A$1:$M$1,),)</f>
        <v/>
      </c>
      <c r="C33" s="118">
        <f>(Table535141516[[#This Row],[Durable Goods]]-B32)/B32</f>
        <v/>
      </c>
    </row>
    <row r="34">
      <c r="A34" s="74" t="n">
        <v>34486</v>
      </c>
      <c r="B34" s="75">
        <f>VLOOKUP(A34,Database!A:M,MATCH($A$1,Database!$A$1:$M$1,),)</f>
        <v/>
      </c>
      <c r="C34" s="118">
        <f>(Table535141516[[#This Row],[Durable Goods]]-B33)/B33</f>
        <v/>
      </c>
    </row>
    <row r="35">
      <c r="A35" s="74" t="n">
        <v>34516</v>
      </c>
      <c r="B35" s="75">
        <f>VLOOKUP(A35,Database!A:M,MATCH($A$1,Database!$A$1:$M$1,),)</f>
        <v/>
      </c>
      <c r="C35" s="118">
        <f>(Table535141516[[#This Row],[Durable Goods]]-B34)/B34</f>
        <v/>
      </c>
    </row>
    <row r="36">
      <c r="A36" s="74" t="n">
        <v>34547</v>
      </c>
      <c r="B36" s="75">
        <f>VLOOKUP(A36,Database!A:M,MATCH($A$1,Database!$A$1:$M$1,),)</f>
        <v/>
      </c>
      <c r="C36" s="118">
        <f>(Table535141516[[#This Row],[Durable Goods]]-B35)/B35</f>
        <v/>
      </c>
    </row>
    <row r="37">
      <c r="A37" s="74" t="n">
        <v>34578</v>
      </c>
      <c r="B37" s="75">
        <f>VLOOKUP(A37,Database!A:M,MATCH($A$1,Database!$A$1:$M$1,),)</f>
        <v/>
      </c>
      <c r="C37" s="118">
        <f>(Table535141516[[#This Row],[Durable Goods]]-B36)/B36</f>
        <v/>
      </c>
    </row>
    <row r="38">
      <c r="A38" s="74" t="n">
        <v>34608</v>
      </c>
      <c r="B38" s="75">
        <f>VLOOKUP(A38,Database!A:M,MATCH($A$1,Database!$A$1:$M$1,),)</f>
        <v/>
      </c>
      <c r="C38" s="118">
        <f>(Table535141516[[#This Row],[Durable Goods]]-B37)/B37</f>
        <v/>
      </c>
    </row>
    <row r="39">
      <c r="A39" s="74" t="n">
        <v>34639</v>
      </c>
      <c r="B39" s="75">
        <f>VLOOKUP(A39,Database!A:M,MATCH($A$1,Database!$A$1:$M$1,),)</f>
        <v/>
      </c>
      <c r="C39" s="118">
        <f>(Table535141516[[#This Row],[Durable Goods]]-B38)/B38</f>
        <v/>
      </c>
    </row>
    <row r="40">
      <c r="A40" s="74" t="n">
        <v>34669</v>
      </c>
      <c r="B40" s="75">
        <f>VLOOKUP(A40,Database!A:M,MATCH($A$1,Database!$A$1:$M$1,),)</f>
        <v/>
      </c>
      <c r="C40" s="118">
        <f>(Table535141516[[#This Row],[Durable Goods]]-B39)/B39</f>
        <v/>
      </c>
    </row>
    <row r="41">
      <c r="A41" s="74" t="n">
        <v>34700</v>
      </c>
      <c r="B41" s="75">
        <f>VLOOKUP(A41,Database!A:M,MATCH($A$1,Database!$A$1:$M$1,),)</f>
        <v/>
      </c>
      <c r="C41" s="118">
        <f>(Table535141516[[#This Row],[Durable Goods]]-B40)/B40</f>
        <v/>
      </c>
    </row>
    <row r="42">
      <c r="A42" s="74" t="n">
        <v>34731</v>
      </c>
      <c r="B42" s="75">
        <f>VLOOKUP(A42,Database!A:M,MATCH($A$1,Database!$A$1:$M$1,),)</f>
        <v/>
      </c>
      <c r="C42" s="118">
        <f>(Table535141516[[#This Row],[Durable Goods]]-B41)/B41</f>
        <v/>
      </c>
    </row>
    <row r="43">
      <c r="A43" s="74" t="n">
        <v>34759</v>
      </c>
      <c r="B43" s="75">
        <f>VLOOKUP(A43,Database!A:M,MATCH($A$1,Database!$A$1:$M$1,),)</f>
        <v/>
      </c>
      <c r="C43" s="118">
        <f>(Table535141516[[#This Row],[Durable Goods]]-B42)/B42</f>
        <v/>
      </c>
    </row>
    <row r="44">
      <c r="A44" s="74" t="n">
        <v>34790</v>
      </c>
      <c r="B44" s="75">
        <f>VLOOKUP(A44,Database!A:M,MATCH($A$1,Database!$A$1:$M$1,),)</f>
        <v/>
      </c>
      <c r="C44" s="118">
        <f>(Table535141516[[#This Row],[Durable Goods]]-B43)/B43</f>
        <v/>
      </c>
    </row>
    <row r="45">
      <c r="A45" s="74" t="n">
        <v>34820</v>
      </c>
      <c r="B45" s="75">
        <f>VLOOKUP(A45,Database!A:M,MATCH($A$1,Database!$A$1:$M$1,),)</f>
        <v/>
      </c>
      <c r="C45" s="118">
        <f>(Table535141516[[#This Row],[Durable Goods]]-B44)/B44</f>
        <v/>
      </c>
    </row>
    <row r="46">
      <c r="A46" s="74" t="n">
        <v>34851</v>
      </c>
      <c r="B46" s="75">
        <f>VLOOKUP(A46,Database!A:M,MATCH($A$1,Database!$A$1:$M$1,),)</f>
        <v/>
      </c>
      <c r="C46" s="118">
        <f>(Table535141516[[#This Row],[Durable Goods]]-B45)/B45</f>
        <v/>
      </c>
    </row>
    <row r="47">
      <c r="A47" s="74" t="n">
        <v>34881</v>
      </c>
      <c r="B47" s="75">
        <f>VLOOKUP(A47,Database!A:M,MATCH($A$1,Database!$A$1:$M$1,),)</f>
        <v/>
      </c>
      <c r="C47" s="118">
        <f>(Table535141516[[#This Row],[Durable Goods]]-B46)/B46</f>
        <v/>
      </c>
    </row>
    <row r="48">
      <c r="A48" s="74" t="n">
        <v>34912</v>
      </c>
      <c r="B48" s="75">
        <f>VLOOKUP(A48,Database!A:M,MATCH($A$1,Database!$A$1:$M$1,),)</f>
        <v/>
      </c>
      <c r="C48" s="118">
        <f>(Table535141516[[#This Row],[Durable Goods]]-B47)/B47</f>
        <v/>
      </c>
    </row>
    <row r="49">
      <c r="A49" s="74" t="n">
        <v>34943</v>
      </c>
      <c r="B49" s="75">
        <f>VLOOKUP(A49,Database!A:M,MATCH($A$1,Database!$A$1:$M$1,),)</f>
        <v/>
      </c>
      <c r="C49" s="118">
        <f>(Table535141516[[#This Row],[Durable Goods]]-B48)/B48</f>
        <v/>
      </c>
    </row>
    <row r="50">
      <c r="A50" s="74" t="n">
        <v>34973</v>
      </c>
      <c r="B50" s="75">
        <f>VLOOKUP(A50,Database!A:M,MATCH($A$1,Database!$A$1:$M$1,),)</f>
        <v/>
      </c>
      <c r="C50" s="118">
        <f>(Table535141516[[#This Row],[Durable Goods]]-B49)/B49</f>
        <v/>
      </c>
    </row>
    <row r="51">
      <c r="A51" s="74" t="n">
        <v>35004</v>
      </c>
      <c r="B51" s="75">
        <f>VLOOKUP(A51,Database!A:M,MATCH($A$1,Database!$A$1:$M$1,),)</f>
        <v/>
      </c>
      <c r="C51" s="118">
        <f>(Table535141516[[#This Row],[Durable Goods]]-B50)/B50</f>
        <v/>
      </c>
    </row>
    <row r="52">
      <c r="A52" s="74" t="n">
        <v>35034</v>
      </c>
      <c r="B52" s="75">
        <f>VLOOKUP(A52,Database!A:M,MATCH($A$1,Database!$A$1:$M$1,),)</f>
        <v/>
      </c>
      <c r="C52" s="118">
        <f>(Table535141516[[#This Row],[Durable Goods]]-B51)/B51</f>
        <v/>
      </c>
    </row>
    <row r="53">
      <c r="A53" s="74" t="n">
        <v>35065</v>
      </c>
      <c r="B53" s="75">
        <f>VLOOKUP(A53,Database!A:M,MATCH($A$1,Database!$A$1:$M$1,),)</f>
        <v/>
      </c>
      <c r="C53" s="118">
        <f>(Table535141516[[#This Row],[Durable Goods]]-B52)/B52</f>
        <v/>
      </c>
    </row>
    <row r="54">
      <c r="A54" s="74" t="n">
        <v>35096</v>
      </c>
      <c r="B54" s="75">
        <f>VLOOKUP(A54,Database!A:M,MATCH($A$1,Database!$A$1:$M$1,),)</f>
        <v/>
      </c>
      <c r="C54" s="118">
        <f>(Table535141516[[#This Row],[Durable Goods]]-B53)/B53</f>
        <v/>
      </c>
    </row>
    <row r="55">
      <c r="A55" s="74" t="n">
        <v>35125</v>
      </c>
      <c r="B55" s="75">
        <f>VLOOKUP(A55,Database!A:M,MATCH($A$1,Database!$A$1:$M$1,),)</f>
        <v/>
      </c>
      <c r="C55" s="118">
        <f>(Table535141516[[#This Row],[Durable Goods]]-B54)/B54</f>
        <v/>
      </c>
    </row>
    <row r="56">
      <c r="A56" s="74" t="n">
        <v>35156</v>
      </c>
      <c r="B56" s="75">
        <f>VLOOKUP(A56,Database!A:M,MATCH($A$1,Database!$A$1:$M$1,),)</f>
        <v/>
      </c>
      <c r="C56" s="118">
        <f>(Table535141516[[#This Row],[Durable Goods]]-B55)/B55</f>
        <v/>
      </c>
    </row>
    <row r="57">
      <c r="A57" s="74" t="n">
        <v>35186</v>
      </c>
      <c r="B57" s="75">
        <f>VLOOKUP(A57,Database!A:M,MATCH($A$1,Database!$A$1:$M$1,),)</f>
        <v/>
      </c>
      <c r="C57" s="118">
        <f>(Table535141516[[#This Row],[Durable Goods]]-B56)/B56</f>
        <v/>
      </c>
    </row>
    <row r="58">
      <c r="A58" s="74" t="n">
        <v>35217</v>
      </c>
      <c r="B58" s="75">
        <f>VLOOKUP(A58,Database!A:M,MATCH($A$1,Database!$A$1:$M$1,),)</f>
        <v/>
      </c>
      <c r="C58" s="118">
        <f>(Table535141516[[#This Row],[Durable Goods]]-B57)/B57</f>
        <v/>
      </c>
    </row>
    <row r="59">
      <c r="A59" s="74" t="n">
        <v>35247</v>
      </c>
      <c r="B59" s="75">
        <f>VLOOKUP(A59,Database!A:M,MATCH($A$1,Database!$A$1:$M$1,),)</f>
        <v/>
      </c>
      <c r="C59" s="118">
        <f>(Table535141516[[#This Row],[Durable Goods]]-B58)/B58</f>
        <v/>
      </c>
    </row>
    <row r="60">
      <c r="A60" s="74" t="n">
        <v>35278</v>
      </c>
      <c r="B60" s="75">
        <f>VLOOKUP(A60,Database!A:M,MATCH($A$1,Database!$A$1:$M$1,),)</f>
        <v/>
      </c>
      <c r="C60" s="118">
        <f>(Table535141516[[#This Row],[Durable Goods]]-B59)/B59</f>
        <v/>
      </c>
    </row>
    <row r="61">
      <c r="A61" s="74" t="n">
        <v>35309</v>
      </c>
      <c r="B61" s="75">
        <f>VLOOKUP(A61,Database!A:M,MATCH($A$1,Database!$A$1:$M$1,),)</f>
        <v/>
      </c>
      <c r="C61" s="118">
        <f>(Table535141516[[#This Row],[Durable Goods]]-B60)/B60</f>
        <v/>
      </c>
    </row>
    <row r="62">
      <c r="A62" s="74" t="n">
        <v>35339</v>
      </c>
      <c r="B62" s="75">
        <f>VLOOKUP(A62,Database!A:M,MATCH($A$1,Database!$A$1:$M$1,),)</f>
        <v/>
      </c>
      <c r="C62" s="118">
        <f>(Table535141516[[#This Row],[Durable Goods]]-B61)/B61</f>
        <v/>
      </c>
    </row>
    <row r="63">
      <c r="A63" s="74" t="n">
        <v>35370</v>
      </c>
      <c r="B63" s="75">
        <f>VLOOKUP(A63,Database!A:M,MATCH($A$1,Database!$A$1:$M$1,),)</f>
        <v/>
      </c>
      <c r="C63" s="118">
        <f>(Table535141516[[#This Row],[Durable Goods]]-B62)/B62</f>
        <v/>
      </c>
    </row>
    <row r="64">
      <c r="A64" s="74" t="n">
        <v>35400</v>
      </c>
      <c r="B64" s="75">
        <f>VLOOKUP(A64,Database!A:M,MATCH($A$1,Database!$A$1:$M$1,),)</f>
        <v/>
      </c>
      <c r="C64" s="118">
        <f>(Table535141516[[#This Row],[Durable Goods]]-B63)/B63</f>
        <v/>
      </c>
    </row>
    <row r="65">
      <c r="A65" s="74" t="n">
        <v>35431</v>
      </c>
      <c r="B65" s="75">
        <f>VLOOKUP(A65,Database!A:M,MATCH($A$1,Database!$A$1:$M$1,),)</f>
        <v/>
      </c>
      <c r="C65" s="118">
        <f>(Table535141516[[#This Row],[Durable Goods]]-B64)/B64</f>
        <v/>
      </c>
    </row>
    <row r="66">
      <c r="A66" s="74" t="n">
        <v>35462</v>
      </c>
      <c r="B66" s="75">
        <f>VLOOKUP(A66,Database!A:M,MATCH($A$1,Database!$A$1:$M$1,),)</f>
        <v/>
      </c>
      <c r="C66" s="118">
        <f>(Table535141516[[#This Row],[Durable Goods]]-B65)/B65</f>
        <v/>
      </c>
    </row>
    <row r="67">
      <c r="A67" s="74" t="n">
        <v>35490</v>
      </c>
      <c r="B67" s="75">
        <f>VLOOKUP(A67,Database!A:M,MATCH($A$1,Database!$A$1:$M$1,),)</f>
        <v/>
      </c>
      <c r="C67" s="118">
        <f>(Table535141516[[#This Row],[Durable Goods]]-B66)/B66</f>
        <v/>
      </c>
    </row>
    <row r="68">
      <c r="A68" s="74" t="n">
        <v>35521</v>
      </c>
      <c r="B68" s="75">
        <f>VLOOKUP(A68,Database!A:M,MATCH($A$1,Database!$A$1:$M$1,),)</f>
        <v/>
      </c>
      <c r="C68" s="118">
        <f>(Table535141516[[#This Row],[Durable Goods]]-B67)/B67</f>
        <v/>
      </c>
    </row>
    <row r="69">
      <c r="A69" s="74" t="n">
        <v>35551</v>
      </c>
      <c r="B69" s="75">
        <f>VLOOKUP(A69,Database!A:M,MATCH($A$1,Database!$A$1:$M$1,),)</f>
        <v/>
      </c>
      <c r="C69" s="118">
        <f>(Table535141516[[#This Row],[Durable Goods]]-B68)/B68</f>
        <v/>
      </c>
    </row>
    <row r="70">
      <c r="A70" s="74" t="n">
        <v>35582</v>
      </c>
      <c r="B70" s="75">
        <f>VLOOKUP(A70,Database!A:M,MATCH($A$1,Database!$A$1:$M$1,),)</f>
        <v/>
      </c>
      <c r="C70" s="118">
        <f>(Table535141516[[#This Row],[Durable Goods]]-B69)/B69</f>
        <v/>
      </c>
    </row>
    <row r="71">
      <c r="A71" s="74" t="n">
        <v>35612</v>
      </c>
      <c r="B71" s="75">
        <f>VLOOKUP(A71,Database!A:M,MATCH($A$1,Database!$A$1:$M$1,),)</f>
        <v/>
      </c>
      <c r="C71" s="118">
        <f>(Table535141516[[#This Row],[Durable Goods]]-B70)/B70</f>
        <v/>
      </c>
    </row>
    <row r="72">
      <c r="A72" s="74" t="n">
        <v>35643</v>
      </c>
      <c r="B72" s="75">
        <f>VLOOKUP(A72,Database!A:M,MATCH($A$1,Database!$A$1:$M$1,),)</f>
        <v/>
      </c>
      <c r="C72" s="118">
        <f>(Table535141516[[#This Row],[Durable Goods]]-B71)/B71</f>
        <v/>
      </c>
    </row>
    <row r="73">
      <c r="A73" s="74" t="n">
        <v>35674</v>
      </c>
      <c r="B73" s="75">
        <f>VLOOKUP(A73,Database!A:M,MATCH($A$1,Database!$A$1:$M$1,),)</f>
        <v/>
      </c>
      <c r="C73" s="118">
        <f>(Table535141516[[#This Row],[Durable Goods]]-B72)/B72</f>
        <v/>
      </c>
    </row>
    <row r="74">
      <c r="A74" s="74" t="n">
        <v>35704</v>
      </c>
      <c r="B74" s="75">
        <f>VLOOKUP(A74,Database!A:M,MATCH($A$1,Database!$A$1:$M$1,),)</f>
        <v/>
      </c>
      <c r="C74" s="118">
        <f>(Table535141516[[#This Row],[Durable Goods]]-B73)/B73</f>
        <v/>
      </c>
    </row>
    <row r="75">
      <c r="A75" s="74" t="n">
        <v>35735</v>
      </c>
      <c r="B75" s="75">
        <f>VLOOKUP(A75,Database!A:M,MATCH($A$1,Database!$A$1:$M$1,),)</f>
        <v/>
      </c>
      <c r="C75" s="118">
        <f>(Table535141516[[#This Row],[Durable Goods]]-B74)/B74</f>
        <v/>
      </c>
    </row>
    <row r="76">
      <c r="A76" s="74" t="n">
        <v>35765</v>
      </c>
      <c r="B76" s="75">
        <f>VLOOKUP(A76,Database!A:M,MATCH($A$1,Database!$A$1:$M$1,),)</f>
        <v/>
      </c>
      <c r="C76" s="118">
        <f>(Table535141516[[#This Row],[Durable Goods]]-B75)/B75</f>
        <v/>
      </c>
    </row>
    <row r="77">
      <c r="A77" s="74" t="n">
        <v>35796</v>
      </c>
      <c r="B77" s="75">
        <f>VLOOKUP(A77,Database!A:M,MATCH($A$1,Database!$A$1:$M$1,),)</f>
        <v/>
      </c>
      <c r="C77" s="118">
        <f>(Table535141516[[#This Row],[Durable Goods]]-B76)/B76</f>
        <v/>
      </c>
    </row>
    <row r="78">
      <c r="A78" s="74" t="n">
        <v>35827</v>
      </c>
      <c r="B78" s="75">
        <f>VLOOKUP(A78,Database!A:M,MATCH($A$1,Database!$A$1:$M$1,),)</f>
        <v/>
      </c>
      <c r="C78" s="118">
        <f>(Table535141516[[#This Row],[Durable Goods]]-B77)/B77</f>
        <v/>
      </c>
    </row>
    <row r="79">
      <c r="A79" s="74" t="n">
        <v>35855</v>
      </c>
      <c r="B79" s="75">
        <f>VLOOKUP(A79,Database!A:M,MATCH($A$1,Database!$A$1:$M$1,),)</f>
        <v/>
      </c>
      <c r="C79" s="118">
        <f>(Table535141516[[#This Row],[Durable Goods]]-B78)/B78</f>
        <v/>
      </c>
    </row>
    <row r="80">
      <c r="A80" s="74" t="n">
        <v>35886</v>
      </c>
      <c r="B80" s="75">
        <f>VLOOKUP(A80,Database!A:M,MATCH($A$1,Database!$A$1:$M$1,),)</f>
        <v/>
      </c>
      <c r="C80" s="118">
        <f>(Table535141516[[#This Row],[Durable Goods]]-B79)/B79</f>
        <v/>
      </c>
    </row>
    <row r="81">
      <c r="A81" s="74" t="n">
        <v>35916</v>
      </c>
      <c r="B81" s="75">
        <f>VLOOKUP(A81,Database!A:M,MATCH($A$1,Database!$A$1:$M$1,),)</f>
        <v/>
      </c>
      <c r="C81" s="118">
        <f>(Table535141516[[#This Row],[Durable Goods]]-B80)/B80</f>
        <v/>
      </c>
    </row>
    <row r="82">
      <c r="A82" s="74" t="n">
        <v>35947</v>
      </c>
      <c r="B82" s="75">
        <f>VLOOKUP(A82,Database!A:M,MATCH($A$1,Database!$A$1:$M$1,),)</f>
        <v/>
      </c>
      <c r="C82" s="118">
        <f>(Table535141516[[#This Row],[Durable Goods]]-B81)/B81</f>
        <v/>
      </c>
    </row>
    <row r="83">
      <c r="A83" s="74" t="n">
        <v>35977</v>
      </c>
      <c r="B83" s="75">
        <f>VLOOKUP(A83,Database!A:M,MATCH($A$1,Database!$A$1:$M$1,),)</f>
        <v/>
      </c>
      <c r="C83" s="118">
        <f>(Table535141516[[#This Row],[Durable Goods]]-B82)/B82</f>
        <v/>
      </c>
    </row>
    <row r="84">
      <c r="A84" s="74" t="n">
        <v>36008</v>
      </c>
      <c r="B84" s="75">
        <f>VLOOKUP(A84,Database!A:M,MATCH($A$1,Database!$A$1:$M$1,),)</f>
        <v/>
      </c>
      <c r="C84" s="118">
        <f>(Table535141516[[#This Row],[Durable Goods]]-B83)/B83</f>
        <v/>
      </c>
    </row>
    <row r="85">
      <c r="A85" s="74" t="n">
        <v>36039</v>
      </c>
      <c r="B85" s="75">
        <f>VLOOKUP(A85,Database!A:M,MATCH($A$1,Database!$A$1:$M$1,),)</f>
        <v/>
      </c>
      <c r="C85" s="118">
        <f>(Table535141516[[#This Row],[Durable Goods]]-B84)/B84</f>
        <v/>
      </c>
    </row>
    <row r="86">
      <c r="A86" s="74" t="n">
        <v>36069</v>
      </c>
      <c r="B86" s="75">
        <f>VLOOKUP(A86,Database!A:M,MATCH($A$1,Database!$A$1:$M$1,),)</f>
        <v/>
      </c>
      <c r="C86" s="118">
        <f>(Table535141516[[#This Row],[Durable Goods]]-B85)/B85</f>
        <v/>
      </c>
    </row>
    <row r="87">
      <c r="A87" s="74" t="n">
        <v>36100</v>
      </c>
      <c r="B87" s="75">
        <f>VLOOKUP(A87,Database!A:M,MATCH($A$1,Database!$A$1:$M$1,),)</f>
        <v/>
      </c>
      <c r="C87" s="118">
        <f>(Table535141516[[#This Row],[Durable Goods]]-B86)/B86</f>
        <v/>
      </c>
    </row>
    <row r="88">
      <c r="A88" s="74" t="n">
        <v>36130</v>
      </c>
      <c r="B88" s="75">
        <f>VLOOKUP(A88,Database!A:M,MATCH($A$1,Database!$A$1:$M$1,),)</f>
        <v/>
      </c>
      <c r="C88" s="118">
        <f>(Table535141516[[#This Row],[Durable Goods]]-B87)/B87</f>
        <v/>
      </c>
    </row>
    <row r="89">
      <c r="A89" s="74" t="n">
        <v>36161</v>
      </c>
      <c r="B89" s="75">
        <f>VLOOKUP(A89,Database!A:M,MATCH($A$1,Database!$A$1:$M$1,),)</f>
        <v/>
      </c>
      <c r="C89" s="118">
        <f>(Table535141516[[#This Row],[Durable Goods]]-B88)/B88</f>
        <v/>
      </c>
    </row>
    <row r="90">
      <c r="A90" s="74" t="n">
        <v>36192</v>
      </c>
      <c r="B90" s="75">
        <f>VLOOKUP(A90,Database!A:M,MATCH($A$1,Database!$A$1:$M$1,),)</f>
        <v/>
      </c>
      <c r="C90" s="118">
        <f>(Table535141516[[#This Row],[Durable Goods]]-B89)/B89</f>
        <v/>
      </c>
    </row>
    <row r="91">
      <c r="A91" s="74" t="n">
        <v>36220</v>
      </c>
      <c r="B91" s="75">
        <f>VLOOKUP(A91,Database!A:M,MATCH($A$1,Database!$A$1:$M$1,),)</f>
        <v/>
      </c>
      <c r="C91" s="118">
        <f>(Table535141516[[#This Row],[Durable Goods]]-B90)/B90</f>
        <v/>
      </c>
    </row>
    <row r="92">
      <c r="A92" s="74" t="n">
        <v>36251</v>
      </c>
      <c r="B92" s="75">
        <f>VLOOKUP(A92,Database!A:M,MATCH($A$1,Database!$A$1:$M$1,),)</f>
        <v/>
      </c>
      <c r="C92" s="118">
        <f>(Table535141516[[#This Row],[Durable Goods]]-B91)/B91</f>
        <v/>
      </c>
    </row>
    <row r="93">
      <c r="A93" s="74" t="n">
        <v>36281</v>
      </c>
      <c r="B93" s="75">
        <f>VLOOKUP(A93,Database!A:M,MATCH($A$1,Database!$A$1:$M$1,),)</f>
        <v/>
      </c>
      <c r="C93" s="118">
        <f>(Table535141516[[#This Row],[Durable Goods]]-B92)/B92</f>
        <v/>
      </c>
    </row>
    <row r="94">
      <c r="A94" s="74" t="n">
        <v>36312</v>
      </c>
      <c r="B94" s="75">
        <f>VLOOKUP(A94,Database!A:M,MATCH($A$1,Database!$A$1:$M$1,),)</f>
        <v/>
      </c>
      <c r="C94" s="118">
        <f>(Table535141516[[#This Row],[Durable Goods]]-B93)/B93</f>
        <v/>
      </c>
    </row>
    <row r="95">
      <c r="A95" s="74" t="n">
        <v>36342</v>
      </c>
      <c r="B95" s="75">
        <f>VLOOKUP(A95,Database!A:M,MATCH($A$1,Database!$A$1:$M$1,),)</f>
        <v/>
      </c>
      <c r="C95" s="118">
        <f>(Table535141516[[#This Row],[Durable Goods]]-B94)/B94</f>
        <v/>
      </c>
    </row>
    <row r="96">
      <c r="A96" s="74" t="n">
        <v>36373</v>
      </c>
      <c r="B96" s="75">
        <f>VLOOKUP(A96,Database!A:M,MATCH($A$1,Database!$A$1:$M$1,),)</f>
        <v/>
      </c>
      <c r="C96" s="118">
        <f>(Table535141516[[#This Row],[Durable Goods]]-B95)/B95</f>
        <v/>
      </c>
    </row>
    <row r="97">
      <c r="A97" s="74" t="n">
        <v>36404</v>
      </c>
      <c r="B97" s="75">
        <f>VLOOKUP(A97,Database!A:M,MATCH($A$1,Database!$A$1:$M$1,),)</f>
        <v/>
      </c>
      <c r="C97" s="118">
        <f>(Table535141516[[#This Row],[Durable Goods]]-B96)/B96</f>
        <v/>
      </c>
    </row>
    <row r="98">
      <c r="A98" s="74" t="n">
        <v>36434</v>
      </c>
      <c r="B98" s="75">
        <f>VLOOKUP(A98,Database!A:M,MATCH($A$1,Database!$A$1:$M$1,),)</f>
        <v/>
      </c>
      <c r="C98" s="118">
        <f>(Table535141516[[#This Row],[Durable Goods]]-B97)/B97</f>
        <v/>
      </c>
    </row>
    <row r="99">
      <c r="A99" s="74" t="n">
        <v>36465</v>
      </c>
      <c r="B99" s="75">
        <f>VLOOKUP(A99,Database!A:M,MATCH($A$1,Database!$A$1:$M$1,),)</f>
        <v/>
      </c>
      <c r="C99" s="118">
        <f>(Table535141516[[#This Row],[Durable Goods]]-B98)/B98</f>
        <v/>
      </c>
    </row>
    <row r="100">
      <c r="A100" s="74" t="n">
        <v>36495</v>
      </c>
      <c r="B100" s="75">
        <f>VLOOKUP(A100,Database!A:M,MATCH($A$1,Database!$A$1:$M$1,),)</f>
        <v/>
      </c>
      <c r="C100" s="118">
        <f>(Table535141516[[#This Row],[Durable Goods]]-B99)/B99</f>
        <v/>
      </c>
    </row>
    <row r="101">
      <c r="A101" s="74" t="n">
        <v>36526</v>
      </c>
      <c r="B101" s="75">
        <f>VLOOKUP(A101,Database!A:M,MATCH($A$1,Database!$A$1:$M$1,),)</f>
        <v/>
      </c>
      <c r="C101" s="118">
        <f>(Table535141516[[#This Row],[Durable Goods]]-B100)/B100</f>
        <v/>
      </c>
    </row>
    <row r="102">
      <c r="A102" s="74" t="n">
        <v>36557</v>
      </c>
      <c r="B102" s="75">
        <f>VLOOKUP(A102,Database!A:M,MATCH($A$1,Database!$A$1:$M$1,),)</f>
        <v/>
      </c>
      <c r="C102" s="118">
        <f>(Table535141516[[#This Row],[Durable Goods]]-B101)/B101</f>
        <v/>
      </c>
    </row>
    <row r="103">
      <c r="A103" s="74" t="n">
        <v>36586</v>
      </c>
      <c r="B103" s="75">
        <f>VLOOKUP(A103,Database!A:M,MATCH($A$1,Database!$A$1:$M$1,),)</f>
        <v/>
      </c>
      <c r="C103" s="118">
        <f>(Table535141516[[#This Row],[Durable Goods]]-B102)/B102</f>
        <v/>
      </c>
    </row>
    <row r="104">
      <c r="A104" s="74" t="n">
        <v>36617</v>
      </c>
      <c r="B104" s="75">
        <f>VLOOKUP(A104,Database!A:M,MATCH($A$1,Database!$A$1:$M$1,),)</f>
        <v/>
      </c>
      <c r="C104" s="118">
        <f>(Table535141516[[#This Row],[Durable Goods]]-B103)/B103</f>
        <v/>
      </c>
    </row>
    <row r="105">
      <c r="A105" s="74" t="n">
        <v>36647</v>
      </c>
      <c r="B105" s="75">
        <f>VLOOKUP(A105,Database!A:M,MATCH($A$1,Database!$A$1:$M$1,),)</f>
        <v/>
      </c>
      <c r="C105" s="118">
        <f>(Table535141516[[#This Row],[Durable Goods]]-B104)/B104</f>
        <v/>
      </c>
    </row>
    <row r="106">
      <c r="A106" s="74" t="n">
        <v>36678</v>
      </c>
      <c r="B106" s="75">
        <f>VLOOKUP(A106,Database!A:M,MATCH($A$1,Database!$A$1:$M$1,),)</f>
        <v/>
      </c>
      <c r="C106" s="118">
        <f>(Table535141516[[#This Row],[Durable Goods]]-B105)/B105</f>
        <v/>
      </c>
    </row>
    <row r="107">
      <c r="A107" s="74" t="n">
        <v>36708</v>
      </c>
      <c r="B107" s="75">
        <f>VLOOKUP(A107,Database!A:M,MATCH($A$1,Database!$A$1:$M$1,),)</f>
        <v/>
      </c>
      <c r="C107" s="118">
        <f>(Table535141516[[#This Row],[Durable Goods]]-B106)/B106</f>
        <v/>
      </c>
    </row>
    <row r="108">
      <c r="A108" s="74" t="n">
        <v>36739</v>
      </c>
      <c r="B108" s="75">
        <f>VLOOKUP(A108,Database!A:M,MATCH($A$1,Database!$A$1:$M$1,),)</f>
        <v/>
      </c>
      <c r="C108" s="118">
        <f>(Table535141516[[#This Row],[Durable Goods]]-B107)/B107</f>
        <v/>
      </c>
    </row>
    <row r="109">
      <c r="A109" s="74" t="n">
        <v>36770</v>
      </c>
      <c r="B109" s="75">
        <f>VLOOKUP(A109,Database!A:M,MATCH($A$1,Database!$A$1:$M$1,),)</f>
        <v/>
      </c>
      <c r="C109" s="118">
        <f>(Table535141516[[#This Row],[Durable Goods]]-B108)/B108</f>
        <v/>
      </c>
    </row>
    <row r="110">
      <c r="A110" s="74" t="n">
        <v>36800</v>
      </c>
      <c r="B110" s="75">
        <f>VLOOKUP(A110,Database!A:M,MATCH($A$1,Database!$A$1:$M$1,),)</f>
        <v/>
      </c>
      <c r="C110" s="118">
        <f>(Table535141516[[#This Row],[Durable Goods]]-B109)/B109</f>
        <v/>
      </c>
    </row>
    <row r="111">
      <c r="A111" s="74" t="n">
        <v>36831</v>
      </c>
      <c r="B111" s="75">
        <f>VLOOKUP(A111,Database!A:M,MATCH($A$1,Database!$A$1:$M$1,),)</f>
        <v/>
      </c>
      <c r="C111" s="118">
        <f>(Table535141516[[#This Row],[Durable Goods]]-B110)/B110</f>
        <v/>
      </c>
    </row>
    <row r="112">
      <c r="A112" s="74" t="n">
        <v>36861</v>
      </c>
      <c r="B112" s="75">
        <f>VLOOKUP(A112,Database!A:M,MATCH($A$1,Database!$A$1:$M$1,),)</f>
        <v/>
      </c>
      <c r="C112" s="118">
        <f>(Table535141516[[#This Row],[Durable Goods]]-B111)/B111</f>
        <v/>
      </c>
    </row>
    <row r="113">
      <c r="A113" s="74" t="n">
        <v>36892</v>
      </c>
      <c r="B113" s="75">
        <f>VLOOKUP(A113,Database!A:M,MATCH($A$1,Database!$A$1:$M$1,),)</f>
        <v/>
      </c>
      <c r="C113" s="118">
        <f>(Table535141516[[#This Row],[Durable Goods]]-B112)/B112</f>
        <v/>
      </c>
    </row>
    <row r="114">
      <c r="A114" s="74" t="n">
        <v>36923</v>
      </c>
      <c r="B114" s="75">
        <f>VLOOKUP(A114,Database!A:M,MATCH($A$1,Database!$A$1:$M$1,),)</f>
        <v/>
      </c>
      <c r="C114" s="118">
        <f>(Table535141516[[#This Row],[Durable Goods]]-B113)/B113</f>
        <v/>
      </c>
    </row>
    <row r="115">
      <c r="A115" s="74" t="n">
        <v>36951</v>
      </c>
      <c r="B115" s="75">
        <f>VLOOKUP(A115,Database!A:M,MATCH($A$1,Database!$A$1:$M$1,),)</f>
        <v/>
      </c>
      <c r="C115" s="118">
        <f>(Table535141516[[#This Row],[Durable Goods]]-B114)/B114</f>
        <v/>
      </c>
    </row>
    <row r="116">
      <c r="A116" s="74" t="n">
        <v>36982</v>
      </c>
      <c r="B116" s="75">
        <f>VLOOKUP(A116,Database!A:M,MATCH($A$1,Database!$A$1:$M$1,),)</f>
        <v/>
      </c>
      <c r="C116" s="118">
        <f>(Table535141516[[#This Row],[Durable Goods]]-B115)/B115</f>
        <v/>
      </c>
    </row>
    <row r="117">
      <c r="A117" s="74" t="n">
        <v>37012</v>
      </c>
      <c r="B117" s="75">
        <f>VLOOKUP(A117,Database!A:M,MATCH($A$1,Database!$A$1:$M$1,),)</f>
        <v/>
      </c>
      <c r="C117" s="118">
        <f>(Table535141516[[#This Row],[Durable Goods]]-B116)/B116</f>
        <v/>
      </c>
    </row>
    <row r="118">
      <c r="A118" s="74" t="n">
        <v>37043</v>
      </c>
      <c r="B118" s="75">
        <f>VLOOKUP(A118,Database!A:M,MATCH($A$1,Database!$A$1:$M$1,),)</f>
        <v/>
      </c>
      <c r="C118" s="118">
        <f>(Table535141516[[#This Row],[Durable Goods]]-B117)/B117</f>
        <v/>
      </c>
    </row>
    <row r="119">
      <c r="A119" s="74" t="n">
        <v>37073</v>
      </c>
      <c r="B119" s="75">
        <f>VLOOKUP(A119,Database!A:M,MATCH($A$1,Database!$A$1:$M$1,),)</f>
        <v/>
      </c>
      <c r="C119" s="118">
        <f>(Table535141516[[#This Row],[Durable Goods]]-B118)/B118</f>
        <v/>
      </c>
    </row>
    <row r="120">
      <c r="A120" s="74" t="n">
        <v>37104</v>
      </c>
      <c r="B120" s="75">
        <f>VLOOKUP(A120,Database!A:M,MATCH($A$1,Database!$A$1:$M$1,),)</f>
        <v/>
      </c>
      <c r="C120" s="118">
        <f>(Table535141516[[#This Row],[Durable Goods]]-B119)/B119</f>
        <v/>
      </c>
    </row>
    <row r="121">
      <c r="A121" s="74" t="n">
        <v>37135</v>
      </c>
      <c r="B121" s="75">
        <f>VLOOKUP(A121,Database!A:M,MATCH($A$1,Database!$A$1:$M$1,),)</f>
        <v/>
      </c>
      <c r="C121" s="118">
        <f>(Table535141516[[#This Row],[Durable Goods]]-B120)/B120</f>
        <v/>
      </c>
    </row>
    <row r="122">
      <c r="A122" s="74" t="n">
        <v>37165</v>
      </c>
      <c r="B122" s="75">
        <f>VLOOKUP(A122,Database!A:M,MATCH($A$1,Database!$A$1:$M$1,),)</f>
        <v/>
      </c>
      <c r="C122" s="118">
        <f>(Table535141516[[#This Row],[Durable Goods]]-B121)/B121</f>
        <v/>
      </c>
    </row>
    <row r="123">
      <c r="A123" s="74" t="n">
        <v>37196</v>
      </c>
      <c r="B123" s="75">
        <f>VLOOKUP(A123,Database!A:M,MATCH($A$1,Database!$A$1:$M$1,),)</f>
        <v/>
      </c>
      <c r="C123" s="118">
        <f>(Table535141516[[#This Row],[Durable Goods]]-B122)/B122</f>
        <v/>
      </c>
    </row>
    <row r="124">
      <c r="A124" s="74" t="n">
        <v>37226</v>
      </c>
      <c r="B124" s="75">
        <f>VLOOKUP(A124,Database!A:M,MATCH($A$1,Database!$A$1:$M$1,),)</f>
        <v/>
      </c>
      <c r="C124" s="118">
        <f>(Table535141516[[#This Row],[Durable Goods]]-B123)/B123</f>
        <v/>
      </c>
    </row>
    <row r="125">
      <c r="A125" s="74" t="n">
        <v>37257</v>
      </c>
      <c r="B125" s="75">
        <f>VLOOKUP(A125,Database!A:M,MATCH($A$1,Database!$A$1:$M$1,),)</f>
        <v/>
      </c>
      <c r="C125" s="118">
        <f>(Table535141516[[#This Row],[Durable Goods]]-B124)/B124</f>
        <v/>
      </c>
    </row>
    <row r="126">
      <c r="A126" s="74" t="n">
        <v>37288</v>
      </c>
      <c r="B126" s="75">
        <f>VLOOKUP(A126,Database!A:M,MATCH($A$1,Database!$A$1:$M$1,),)</f>
        <v/>
      </c>
      <c r="C126" s="118">
        <f>(Table535141516[[#This Row],[Durable Goods]]-B125)/B125</f>
        <v/>
      </c>
    </row>
    <row r="127">
      <c r="A127" s="74" t="n">
        <v>37316</v>
      </c>
      <c r="B127" s="75">
        <f>VLOOKUP(A127,Database!A:M,MATCH($A$1,Database!$A$1:$M$1,),)</f>
        <v/>
      </c>
      <c r="C127" s="118">
        <f>(Table535141516[[#This Row],[Durable Goods]]-B126)/B126</f>
        <v/>
      </c>
    </row>
    <row r="128">
      <c r="A128" s="74" t="n">
        <v>37347</v>
      </c>
      <c r="B128" s="75">
        <f>VLOOKUP(A128,Database!A:M,MATCH($A$1,Database!$A$1:$M$1,),)</f>
        <v/>
      </c>
      <c r="C128" s="118">
        <f>(Table535141516[[#This Row],[Durable Goods]]-B127)/B127</f>
        <v/>
      </c>
    </row>
    <row r="129">
      <c r="A129" s="74" t="n">
        <v>37377</v>
      </c>
      <c r="B129" s="75">
        <f>VLOOKUP(A129,Database!A:M,MATCH($A$1,Database!$A$1:$M$1,),)</f>
        <v/>
      </c>
      <c r="C129" s="118">
        <f>(Table535141516[[#This Row],[Durable Goods]]-B128)/B128</f>
        <v/>
      </c>
    </row>
    <row r="130">
      <c r="A130" s="74" t="n">
        <v>37408</v>
      </c>
      <c r="B130" s="75">
        <f>VLOOKUP(A130,Database!A:M,MATCH($A$1,Database!$A$1:$M$1,),)</f>
        <v/>
      </c>
      <c r="C130" s="118">
        <f>(Table535141516[[#This Row],[Durable Goods]]-B129)/B129</f>
        <v/>
      </c>
    </row>
    <row r="131">
      <c r="A131" s="74" t="n">
        <v>37438</v>
      </c>
      <c r="B131" s="75">
        <f>VLOOKUP(A131,Database!A:M,MATCH($A$1,Database!$A$1:$M$1,),)</f>
        <v/>
      </c>
      <c r="C131" s="118">
        <f>(Table535141516[[#This Row],[Durable Goods]]-B130)/B130</f>
        <v/>
      </c>
    </row>
    <row r="132">
      <c r="A132" s="74" t="n">
        <v>37469</v>
      </c>
      <c r="B132" s="75">
        <f>VLOOKUP(A132,Database!A:M,MATCH($A$1,Database!$A$1:$M$1,),)</f>
        <v/>
      </c>
      <c r="C132" s="118">
        <f>(Table535141516[[#This Row],[Durable Goods]]-B131)/B131</f>
        <v/>
      </c>
    </row>
    <row r="133">
      <c r="A133" s="74" t="n">
        <v>37500</v>
      </c>
      <c r="B133" s="75">
        <f>VLOOKUP(A133,Database!A:M,MATCH($A$1,Database!$A$1:$M$1,),)</f>
        <v/>
      </c>
      <c r="C133" s="118">
        <f>(Table535141516[[#This Row],[Durable Goods]]-B132)/B132</f>
        <v/>
      </c>
    </row>
    <row r="134">
      <c r="A134" s="74" t="n">
        <v>37530</v>
      </c>
      <c r="B134" s="75">
        <f>VLOOKUP(A134,Database!A:M,MATCH($A$1,Database!$A$1:$M$1,),)</f>
        <v/>
      </c>
      <c r="C134" s="118">
        <f>(Table535141516[[#This Row],[Durable Goods]]-B133)/B133</f>
        <v/>
      </c>
    </row>
    <row r="135">
      <c r="A135" s="74" t="n">
        <v>37561</v>
      </c>
      <c r="B135" s="75">
        <f>VLOOKUP(A135,Database!A:M,MATCH($A$1,Database!$A$1:$M$1,),)</f>
        <v/>
      </c>
      <c r="C135" s="118">
        <f>(Table535141516[[#This Row],[Durable Goods]]-B134)/B134</f>
        <v/>
      </c>
    </row>
    <row r="136">
      <c r="A136" s="74" t="n">
        <v>37591</v>
      </c>
      <c r="B136" s="75">
        <f>VLOOKUP(A136,Database!A:M,MATCH($A$1,Database!$A$1:$M$1,),)</f>
        <v/>
      </c>
      <c r="C136" s="118">
        <f>(Table535141516[[#This Row],[Durable Goods]]-B135)/B135</f>
        <v/>
      </c>
    </row>
    <row r="137">
      <c r="A137" s="74" t="n">
        <v>37622</v>
      </c>
      <c r="B137" s="75">
        <f>VLOOKUP(A137,Database!A:M,MATCH($A$1,Database!$A$1:$M$1,),)</f>
        <v/>
      </c>
      <c r="C137" s="118">
        <f>(Table535141516[[#This Row],[Durable Goods]]-B136)/B136</f>
        <v/>
      </c>
    </row>
    <row r="138">
      <c r="A138" s="74" t="n">
        <v>37653</v>
      </c>
      <c r="B138" s="75">
        <f>VLOOKUP(A138,Database!A:M,MATCH($A$1,Database!$A$1:$M$1,),)</f>
        <v/>
      </c>
      <c r="C138" s="118">
        <f>(Table535141516[[#This Row],[Durable Goods]]-B137)/B137</f>
        <v/>
      </c>
    </row>
    <row r="139">
      <c r="A139" s="74" t="n">
        <v>37681</v>
      </c>
      <c r="B139" s="75">
        <f>VLOOKUP(A139,Database!A:M,MATCH($A$1,Database!$A$1:$M$1,),)</f>
        <v/>
      </c>
      <c r="C139" s="118">
        <f>(Table535141516[[#This Row],[Durable Goods]]-B138)/B138</f>
        <v/>
      </c>
    </row>
    <row r="140">
      <c r="A140" s="74" t="n">
        <v>37712</v>
      </c>
      <c r="B140" s="75">
        <f>VLOOKUP(A140,Database!A:M,MATCH($A$1,Database!$A$1:$M$1,),)</f>
        <v/>
      </c>
      <c r="C140" s="118">
        <f>(Table535141516[[#This Row],[Durable Goods]]-B139)/B139</f>
        <v/>
      </c>
    </row>
    <row r="141">
      <c r="A141" s="74" t="n">
        <v>37742</v>
      </c>
      <c r="B141" s="75">
        <f>VLOOKUP(A141,Database!A:M,MATCH($A$1,Database!$A$1:$M$1,),)</f>
        <v/>
      </c>
      <c r="C141" s="118">
        <f>(Table535141516[[#This Row],[Durable Goods]]-B140)/B140</f>
        <v/>
      </c>
    </row>
    <row r="142">
      <c r="A142" s="74" t="n">
        <v>37773</v>
      </c>
      <c r="B142" s="75">
        <f>VLOOKUP(A142,Database!A:M,MATCH($A$1,Database!$A$1:$M$1,),)</f>
        <v/>
      </c>
      <c r="C142" s="118">
        <f>(Table535141516[[#This Row],[Durable Goods]]-B141)/B141</f>
        <v/>
      </c>
    </row>
    <row r="143">
      <c r="A143" s="74" t="n">
        <v>37803</v>
      </c>
      <c r="B143" s="75">
        <f>VLOOKUP(A143,Database!A:M,MATCH($A$1,Database!$A$1:$M$1,),)</f>
        <v/>
      </c>
      <c r="C143" s="118">
        <f>(Table535141516[[#This Row],[Durable Goods]]-B142)/B142</f>
        <v/>
      </c>
    </row>
    <row r="144">
      <c r="A144" s="74" t="n">
        <v>37834</v>
      </c>
      <c r="B144" s="75">
        <f>VLOOKUP(A144,Database!A:M,MATCH($A$1,Database!$A$1:$M$1,),)</f>
        <v/>
      </c>
      <c r="C144" s="118">
        <f>(Table535141516[[#This Row],[Durable Goods]]-B143)/B143</f>
        <v/>
      </c>
    </row>
    <row r="145">
      <c r="A145" s="74" t="n">
        <v>37865</v>
      </c>
      <c r="B145" s="75">
        <f>VLOOKUP(A145,Database!A:M,MATCH($A$1,Database!$A$1:$M$1,),)</f>
        <v/>
      </c>
      <c r="C145" s="118">
        <f>(Table535141516[[#This Row],[Durable Goods]]-B144)/B144</f>
        <v/>
      </c>
    </row>
    <row r="146">
      <c r="A146" s="74" t="n">
        <v>37895</v>
      </c>
      <c r="B146" s="75">
        <f>VLOOKUP(A146,Database!A:M,MATCH($A$1,Database!$A$1:$M$1,),)</f>
        <v/>
      </c>
      <c r="C146" s="118">
        <f>(Table535141516[[#This Row],[Durable Goods]]-B145)/B145</f>
        <v/>
      </c>
    </row>
    <row r="147">
      <c r="A147" s="74" t="n">
        <v>37926</v>
      </c>
      <c r="B147" s="75">
        <f>VLOOKUP(A147,Database!A:M,MATCH($A$1,Database!$A$1:$M$1,),)</f>
        <v/>
      </c>
      <c r="C147" s="118">
        <f>(Table535141516[[#This Row],[Durable Goods]]-B146)/B146</f>
        <v/>
      </c>
    </row>
    <row r="148">
      <c r="A148" s="74" t="n">
        <v>37956</v>
      </c>
      <c r="B148" s="75">
        <f>VLOOKUP(A148,Database!A:M,MATCH($A$1,Database!$A$1:$M$1,),)</f>
        <v/>
      </c>
      <c r="C148" s="118">
        <f>(Table535141516[[#This Row],[Durable Goods]]-B147)/B147</f>
        <v/>
      </c>
    </row>
    <row r="149">
      <c r="A149" s="74" t="n">
        <v>37987</v>
      </c>
      <c r="B149" s="75">
        <f>VLOOKUP(A149,Database!A:M,MATCH($A$1,Database!$A$1:$M$1,),)</f>
        <v/>
      </c>
      <c r="C149" s="118">
        <f>(Table535141516[[#This Row],[Durable Goods]]-B148)/B148</f>
        <v/>
      </c>
    </row>
    <row r="150">
      <c r="A150" s="74" t="n">
        <v>38018</v>
      </c>
      <c r="B150" s="75">
        <f>VLOOKUP(A150,Database!A:M,MATCH($A$1,Database!$A$1:$M$1,),)</f>
        <v/>
      </c>
      <c r="C150" s="118">
        <f>(Table535141516[[#This Row],[Durable Goods]]-B149)/B149</f>
        <v/>
      </c>
    </row>
    <row r="151">
      <c r="A151" s="74" t="n">
        <v>38047</v>
      </c>
      <c r="B151" s="75">
        <f>VLOOKUP(A151,Database!A:M,MATCH($A$1,Database!$A$1:$M$1,),)</f>
        <v/>
      </c>
      <c r="C151" s="118">
        <f>(Table535141516[[#This Row],[Durable Goods]]-B150)/B150</f>
        <v/>
      </c>
    </row>
    <row r="152">
      <c r="A152" s="74" t="n">
        <v>38078</v>
      </c>
      <c r="B152" s="75">
        <f>VLOOKUP(A152,Database!A:M,MATCH($A$1,Database!$A$1:$M$1,),)</f>
        <v/>
      </c>
      <c r="C152" s="118">
        <f>(Table535141516[[#This Row],[Durable Goods]]-B151)/B151</f>
        <v/>
      </c>
    </row>
    <row r="153">
      <c r="A153" s="74" t="n">
        <v>38108</v>
      </c>
      <c r="B153" s="75">
        <f>VLOOKUP(A153,Database!A:M,MATCH($A$1,Database!$A$1:$M$1,),)</f>
        <v/>
      </c>
      <c r="C153" s="118">
        <f>(Table535141516[[#This Row],[Durable Goods]]-B152)/B152</f>
        <v/>
      </c>
    </row>
    <row r="154">
      <c r="A154" s="74" t="n">
        <v>38139</v>
      </c>
      <c r="B154" s="75">
        <f>VLOOKUP(A154,Database!A:M,MATCH($A$1,Database!$A$1:$M$1,),)</f>
        <v/>
      </c>
      <c r="C154" s="118">
        <f>(Table535141516[[#This Row],[Durable Goods]]-B153)/B153</f>
        <v/>
      </c>
    </row>
    <row r="155">
      <c r="A155" s="74" t="n">
        <v>38169</v>
      </c>
      <c r="B155" s="75">
        <f>VLOOKUP(A155,Database!A:M,MATCH($A$1,Database!$A$1:$M$1,),)</f>
        <v/>
      </c>
      <c r="C155" s="118">
        <f>(Table535141516[[#This Row],[Durable Goods]]-B154)/B154</f>
        <v/>
      </c>
    </row>
    <row r="156">
      <c r="A156" s="74" t="n">
        <v>38200</v>
      </c>
      <c r="B156" s="75">
        <f>VLOOKUP(A156,Database!A:M,MATCH($A$1,Database!$A$1:$M$1,),)</f>
        <v/>
      </c>
      <c r="C156" s="118">
        <f>(Table535141516[[#This Row],[Durable Goods]]-B155)/B155</f>
        <v/>
      </c>
    </row>
    <row r="157">
      <c r="A157" s="74" t="n">
        <v>38231</v>
      </c>
      <c r="B157" s="75">
        <f>VLOOKUP(A157,Database!A:M,MATCH($A$1,Database!$A$1:$M$1,),)</f>
        <v/>
      </c>
      <c r="C157" s="118">
        <f>(Table535141516[[#This Row],[Durable Goods]]-B156)/B156</f>
        <v/>
      </c>
    </row>
    <row r="158">
      <c r="A158" s="74" t="n">
        <v>38261</v>
      </c>
      <c r="B158" s="75">
        <f>VLOOKUP(A158,Database!A:M,MATCH($A$1,Database!$A$1:$M$1,),)</f>
        <v/>
      </c>
      <c r="C158" s="118">
        <f>(Table535141516[[#This Row],[Durable Goods]]-B157)/B157</f>
        <v/>
      </c>
    </row>
    <row r="159">
      <c r="A159" s="74" t="n">
        <v>38292</v>
      </c>
      <c r="B159" s="75">
        <f>VLOOKUP(A159,Database!A:M,MATCH($A$1,Database!$A$1:$M$1,),)</f>
        <v/>
      </c>
      <c r="C159" s="118">
        <f>(Table535141516[[#This Row],[Durable Goods]]-B158)/B158</f>
        <v/>
      </c>
    </row>
    <row r="160">
      <c r="A160" s="74" t="n">
        <v>38322</v>
      </c>
      <c r="B160" s="75">
        <f>VLOOKUP(A160,Database!A:M,MATCH($A$1,Database!$A$1:$M$1,),)</f>
        <v/>
      </c>
      <c r="C160" s="118">
        <f>(Table535141516[[#This Row],[Durable Goods]]-B159)/B159</f>
        <v/>
      </c>
    </row>
    <row r="161">
      <c r="A161" s="74" t="n">
        <v>38353</v>
      </c>
      <c r="B161" s="75">
        <f>VLOOKUP(A161,Database!A:M,MATCH($A$1,Database!$A$1:$M$1,),)</f>
        <v/>
      </c>
      <c r="C161" s="118">
        <f>(Table535141516[[#This Row],[Durable Goods]]-B160)/B160</f>
        <v/>
      </c>
    </row>
    <row r="162">
      <c r="A162" s="74" t="n">
        <v>38384</v>
      </c>
      <c r="B162" s="75">
        <f>VLOOKUP(A162,Database!A:M,MATCH($A$1,Database!$A$1:$M$1,),)</f>
        <v/>
      </c>
      <c r="C162" s="118">
        <f>(Table535141516[[#This Row],[Durable Goods]]-B161)/B161</f>
        <v/>
      </c>
    </row>
    <row r="163">
      <c r="A163" s="74" t="n">
        <v>38412</v>
      </c>
      <c r="B163" s="75">
        <f>VLOOKUP(A163,Database!A:M,MATCH($A$1,Database!$A$1:$M$1,),)</f>
        <v/>
      </c>
      <c r="C163" s="118">
        <f>(Table535141516[[#This Row],[Durable Goods]]-B162)/B162</f>
        <v/>
      </c>
    </row>
    <row r="164">
      <c r="A164" s="74" t="n">
        <v>38443</v>
      </c>
      <c r="B164" s="75">
        <f>VLOOKUP(A164,Database!A:M,MATCH($A$1,Database!$A$1:$M$1,),)</f>
        <v/>
      </c>
      <c r="C164" s="118">
        <f>(Table535141516[[#This Row],[Durable Goods]]-B163)/B163</f>
        <v/>
      </c>
    </row>
    <row r="165">
      <c r="A165" s="74" t="n">
        <v>38473</v>
      </c>
      <c r="B165" s="75">
        <f>VLOOKUP(A165,Database!A:M,MATCH($A$1,Database!$A$1:$M$1,),)</f>
        <v/>
      </c>
      <c r="C165" s="118">
        <f>(Table535141516[[#This Row],[Durable Goods]]-B164)/B164</f>
        <v/>
      </c>
    </row>
    <row r="166">
      <c r="A166" s="74" t="n">
        <v>38504</v>
      </c>
      <c r="B166" s="75">
        <f>VLOOKUP(A166,Database!A:M,MATCH($A$1,Database!$A$1:$M$1,),)</f>
        <v/>
      </c>
      <c r="C166" s="118">
        <f>(Table535141516[[#This Row],[Durable Goods]]-B165)/B165</f>
        <v/>
      </c>
    </row>
    <row r="167">
      <c r="A167" s="74" t="n">
        <v>38534</v>
      </c>
      <c r="B167" s="75">
        <f>VLOOKUP(A167,Database!A:M,MATCH($A$1,Database!$A$1:$M$1,),)</f>
        <v/>
      </c>
      <c r="C167" s="118">
        <f>(Table535141516[[#This Row],[Durable Goods]]-B166)/B166</f>
        <v/>
      </c>
    </row>
    <row r="168">
      <c r="A168" s="74" t="n">
        <v>38565</v>
      </c>
      <c r="B168" s="75">
        <f>VLOOKUP(A168,Database!A:M,MATCH($A$1,Database!$A$1:$M$1,),)</f>
        <v/>
      </c>
      <c r="C168" s="118">
        <f>(Table535141516[[#This Row],[Durable Goods]]-B167)/B167</f>
        <v/>
      </c>
    </row>
    <row r="169">
      <c r="A169" s="74" t="n">
        <v>38596</v>
      </c>
      <c r="B169" s="75">
        <f>VLOOKUP(A169,Database!A:M,MATCH($A$1,Database!$A$1:$M$1,),)</f>
        <v/>
      </c>
      <c r="C169" s="118">
        <f>(Table535141516[[#This Row],[Durable Goods]]-B168)/B168</f>
        <v/>
      </c>
    </row>
    <row r="170">
      <c r="A170" s="74" t="n">
        <v>38626</v>
      </c>
      <c r="B170" s="75">
        <f>VLOOKUP(A170,Database!A:M,MATCH($A$1,Database!$A$1:$M$1,),)</f>
        <v/>
      </c>
      <c r="C170" s="118">
        <f>(Table535141516[[#This Row],[Durable Goods]]-B169)/B169</f>
        <v/>
      </c>
    </row>
    <row r="171">
      <c r="A171" s="74" t="n">
        <v>38657</v>
      </c>
      <c r="B171" s="75">
        <f>VLOOKUP(A171,Database!A:M,MATCH($A$1,Database!$A$1:$M$1,),)</f>
        <v/>
      </c>
      <c r="C171" s="118">
        <f>(Table535141516[[#This Row],[Durable Goods]]-B170)/B170</f>
        <v/>
      </c>
    </row>
    <row r="172">
      <c r="A172" s="74" t="n">
        <v>38687</v>
      </c>
      <c r="B172" s="75">
        <f>VLOOKUP(A172,Database!A:M,MATCH($A$1,Database!$A$1:$M$1,),)</f>
        <v/>
      </c>
      <c r="C172" s="118">
        <f>(Table535141516[[#This Row],[Durable Goods]]-B171)/B171</f>
        <v/>
      </c>
    </row>
    <row r="173">
      <c r="A173" s="74" t="n">
        <v>38718</v>
      </c>
      <c r="B173" s="75">
        <f>VLOOKUP(A173,Database!A:M,MATCH($A$1,Database!$A$1:$M$1,),)</f>
        <v/>
      </c>
      <c r="C173" s="118">
        <f>(Table535141516[[#This Row],[Durable Goods]]-B172)/B172</f>
        <v/>
      </c>
    </row>
    <row r="174">
      <c r="A174" s="74" t="n">
        <v>38749</v>
      </c>
      <c r="B174" s="75">
        <f>VLOOKUP(A174,Database!A:M,MATCH($A$1,Database!$A$1:$M$1,),)</f>
        <v/>
      </c>
      <c r="C174" s="118">
        <f>(Table535141516[[#This Row],[Durable Goods]]-B173)/B173</f>
        <v/>
      </c>
    </row>
    <row r="175">
      <c r="A175" s="74" t="n">
        <v>38777</v>
      </c>
      <c r="B175" s="75">
        <f>VLOOKUP(A175,Database!A:M,MATCH($A$1,Database!$A$1:$M$1,),)</f>
        <v/>
      </c>
      <c r="C175" s="118">
        <f>(Table535141516[[#This Row],[Durable Goods]]-B174)/B174</f>
        <v/>
      </c>
    </row>
    <row r="176">
      <c r="A176" s="74" t="n">
        <v>38808</v>
      </c>
      <c r="B176" s="75">
        <f>VLOOKUP(A176,Database!A:M,MATCH($A$1,Database!$A$1:$M$1,),)</f>
        <v/>
      </c>
      <c r="C176" s="118">
        <f>(Table535141516[[#This Row],[Durable Goods]]-B175)/B175</f>
        <v/>
      </c>
    </row>
    <row r="177">
      <c r="A177" s="74" t="n">
        <v>38838</v>
      </c>
      <c r="B177" s="75">
        <f>VLOOKUP(A177,Database!A:M,MATCH($A$1,Database!$A$1:$M$1,),)</f>
        <v/>
      </c>
      <c r="C177" s="118">
        <f>(Table535141516[[#This Row],[Durable Goods]]-B176)/B176</f>
        <v/>
      </c>
    </row>
    <row r="178">
      <c r="A178" s="74" t="n">
        <v>38869</v>
      </c>
      <c r="B178" s="75">
        <f>VLOOKUP(A178,Database!A:M,MATCH($A$1,Database!$A$1:$M$1,),)</f>
        <v/>
      </c>
      <c r="C178" s="118">
        <f>(Table535141516[[#This Row],[Durable Goods]]-B177)/B177</f>
        <v/>
      </c>
    </row>
    <row r="179">
      <c r="A179" s="74" t="n">
        <v>38899</v>
      </c>
      <c r="B179" s="75">
        <f>VLOOKUP(A179,Database!A:M,MATCH($A$1,Database!$A$1:$M$1,),)</f>
        <v/>
      </c>
      <c r="C179" s="118">
        <f>(Table535141516[[#This Row],[Durable Goods]]-B178)/B178</f>
        <v/>
      </c>
    </row>
    <row r="180">
      <c r="A180" s="74" t="n">
        <v>38930</v>
      </c>
      <c r="B180" s="75">
        <f>VLOOKUP(A180,Database!A:M,MATCH($A$1,Database!$A$1:$M$1,),)</f>
        <v/>
      </c>
      <c r="C180" s="118">
        <f>(Table535141516[[#This Row],[Durable Goods]]-B179)/B179</f>
        <v/>
      </c>
    </row>
    <row r="181">
      <c r="A181" s="74" t="n">
        <v>38961</v>
      </c>
      <c r="B181" s="75">
        <f>VLOOKUP(A181,Database!A:M,MATCH($A$1,Database!$A$1:$M$1,),)</f>
        <v/>
      </c>
      <c r="C181" s="118">
        <f>(Table535141516[[#This Row],[Durable Goods]]-B180)/B180</f>
        <v/>
      </c>
    </row>
    <row r="182">
      <c r="A182" s="74" t="n">
        <v>38991</v>
      </c>
      <c r="B182" s="75">
        <f>VLOOKUP(A182,Database!A:M,MATCH($A$1,Database!$A$1:$M$1,),)</f>
        <v/>
      </c>
      <c r="C182" s="118">
        <f>(Table535141516[[#This Row],[Durable Goods]]-B181)/B181</f>
        <v/>
      </c>
    </row>
    <row r="183">
      <c r="A183" s="74" t="n">
        <v>39022</v>
      </c>
      <c r="B183" s="75">
        <f>VLOOKUP(A183,Database!A:M,MATCH($A$1,Database!$A$1:$M$1,),)</f>
        <v/>
      </c>
      <c r="C183" s="118">
        <f>(Table535141516[[#This Row],[Durable Goods]]-B182)/B182</f>
        <v/>
      </c>
    </row>
    <row r="184">
      <c r="A184" s="74" t="n">
        <v>39052</v>
      </c>
      <c r="B184" s="75">
        <f>VLOOKUP(A184,Database!A:M,MATCH($A$1,Database!$A$1:$M$1,),)</f>
        <v/>
      </c>
      <c r="C184" s="118">
        <f>(Table535141516[[#This Row],[Durable Goods]]-B183)/B183</f>
        <v/>
      </c>
    </row>
    <row r="185">
      <c r="A185" s="74" t="n">
        <v>39083</v>
      </c>
      <c r="B185" s="75">
        <f>VLOOKUP(A185,Database!A:M,MATCH($A$1,Database!$A$1:$M$1,),)</f>
        <v/>
      </c>
      <c r="C185" s="118">
        <f>(Table535141516[[#This Row],[Durable Goods]]-B184)/B184</f>
        <v/>
      </c>
    </row>
    <row r="186">
      <c r="A186" s="74" t="n">
        <v>39114</v>
      </c>
      <c r="B186" s="75">
        <f>VLOOKUP(A186,Database!A:M,MATCH($A$1,Database!$A$1:$M$1,),)</f>
        <v/>
      </c>
      <c r="C186" s="118">
        <f>(Table535141516[[#This Row],[Durable Goods]]-B185)/B185</f>
        <v/>
      </c>
    </row>
    <row r="187">
      <c r="A187" s="74" t="n">
        <v>39142</v>
      </c>
      <c r="B187" s="75">
        <f>VLOOKUP(A187,Database!A:M,MATCH($A$1,Database!$A$1:$M$1,),)</f>
        <v/>
      </c>
      <c r="C187" s="118">
        <f>(Table535141516[[#This Row],[Durable Goods]]-B186)/B186</f>
        <v/>
      </c>
    </row>
    <row r="188">
      <c r="A188" s="74" t="n">
        <v>39173</v>
      </c>
      <c r="B188" s="75">
        <f>VLOOKUP(A188,Database!A:M,MATCH($A$1,Database!$A$1:$M$1,),)</f>
        <v/>
      </c>
      <c r="C188" s="118">
        <f>(Table535141516[[#This Row],[Durable Goods]]-B187)/B187</f>
        <v/>
      </c>
    </row>
    <row r="189">
      <c r="A189" s="74" t="n">
        <v>39203</v>
      </c>
      <c r="B189" s="75">
        <f>VLOOKUP(A189,Database!A:M,MATCH($A$1,Database!$A$1:$M$1,),)</f>
        <v/>
      </c>
      <c r="C189" s="118">
        <f>(Table535141516[[#This Row],[Durable Goods]]-B188)/B188</f>
        <v/>
      </c>
    </row>
    <row r="190">
      <c r="A190" s="74" t="n">
        <v>39234</v>
      </c>
      <c r="B190" s="75">
        <f>VLOOKUP(A190,Database!A:M,MATCH($A$1,Database!$A$1:$M$1,),)</f>
        <v/>
      </c>
      <c r="C190" s="118">
        <f>(Table535141516[[#This Row],[Durable Goods]]-B189)/B189</f>
        <v/>
      </c>
    </row>
    <row r="191">
      <c r="A191" s="74" t="n">
        <v>39264</v>
      </c>
      <c r="B191" s="75">
        <f>VLOOKUP(A191,Database!A:M,MATCH($A$1,Database!$A$1:$M$1,),)</f>
        <v/>
      </c>
      <c r="C191" s="118">
        <f>(Table535141516[[#This Row],[Durable Goods]]-B190)/B190</f>
        <v/>
      </c>
    </row>
    <row r="192">
      <c r="A192" s="74" t="n">
        <v>39295</v>
      </c>
      <c r="B192" s="75">
        <f>VLOOKUP(A192,Database!A:M,MATCH($A$1,Database!$A$1:$M$1,),)</f>
        <v/>
      </c>
      <c r="C192" s="118">
        <f>(Table535141516[[#This Row],[Durable Goods]]-B191)/B191</f>
        <v/>
      </c>
    </row>
    <row r="193">
      <c r="A193" s="74" t="n">
        <v>39326</v>
      </c>
      <c r="B193" s="75">
        <f>VLOOKUP(A193,Database!A:M,MATCH($A$1,Database!$A$1:$M$1,),)</f>
        <v/>
      </c>
      <c r="C193" s="118">
        <f>(Table535141516[[#This Row],[Durable Goods]]-B192)/B192</f>
        <v/>
      </c>
    </row>
    <row r="194">
      <c r="A194" s="74" t="n">
        <v>39356</v>
      </c>
      <c r="B194" s="75">
        <f>VLOOKUP(A194,Database!A:M,MATCH($A$1,Database!$A$1:$M$1,),)</f>
        <v/>
      </c>
      <c r="C194" s="118">
        <f>(Table535141516[[#This Row],[Durable Goods]]-B193)/B193</f>
        <v/>
      </c>
    </row>
    <row r="195">
      <c r="A195" s="74" t="n">
        <v>39387</v>
      </c>
      <c r="B195" s="75">
        <f>VLOOKUP(A195,Database!A:M,MATCH($A$1,Database!$A$1:$M$1,),)</f>
        <v/>
      </c>
      <c r="C195" s="118">
        <f>(Table535141516[[#This Row],[Durable Goods]]-B194)/B194</f>
        <v/>
      </c>
    </row>
    <row r="196">
      <c r="A196" s="74" t="n">
        <v>39417</v>
      </c>
      <c r="B196" s="75">
        <f>VLOOKUP(A196,Database!A:M,MATCH($A$1,Database!$A$1:$M$1,),)</f>
        <v/>
      </c>
      <c r="C196" s="118">
        <f>(Table535141516[[#This Row],[Durable Goods]]-B195)/B195</f>
        <v/>
      </c>
    </row>
    <row r="197">
      <c r="A197" s="74" t="n">
        <v>39448</v>
      </c>
      <c r="B197" s="75">
        <f>VLOOKUP(A197,Database!A:M,MATCH($A$1,Database!$A$1:$M$1,),)</f>
        <v/>
      </c>
      <c r="C197" s="118">
        <f>(Table535141516[[#This Row],[Durable Goods]]-B196)/B196</f>
        <v/>
      </c>
    </row>
    <row r="198">
      <c r="A198" s="74" t="n">
        <v>39479</v>
      </c>
      <c r="B198" s="75">
        <f>VLOOKUP(A198,Database!A:M,MATCH($A$1,Database!$A$1:$M$1,),)</f>
        <v/>
      </c>
      <c r="C198" s="118">
        <f>(Table535141516[[#This Row],[Durable Goods]]-B197)/B197</f>
        <v/>
      </c>
    </row>
    <row r="199">
      <c r="A199" s="74" t="n">
        <v>39508</v>
      </c>
      <c r="B199" s="75">
        <f>VLOOKUP(A199,Database!A:M,MATCH($A$1,Database!$A$1:$M$1,),)</f>
        <v/>
      </c>
      <c r="C199" s="118">
        <f>(Table535141516[[#This Row],[Durable Goods]]-B198)/B198</f>
        <v/>
      </c>
    </row>
    <row r="200">
      <c r="A200" s="74" t="n">
        <v>39539</v>
      </c>
      <c r="B200" s="75">
        <f>VLOOKUP(A200,Database!A:M,MATCH($A$1,Database!$A$1:$M$1,),)</f>
        <v/>
      </c>
      <c r="C200" s="118">
        <f>(Table535141516[[#This Row],[Durable Goods]]-B199)/B199</f>
        <v/>
      </c>
    </row>
    <row r="201">
      <c r="A201" s="74" t="n">
        <v>39569</v>
      </c>
      <c r="B201" s="75">
        <f>VLOOKUP(A201,Database!A:M,MATCH($A$1,Database!$A$1:$M$1,),)</f>
        <v/>
      </c>
      <c r="C201" s="118">
        <f>(Table535141516[[#This Row],[Durable Goods]]-B200)/B200</f>
        <v/>
      </c>
    </row>
    <row r="202">
      <c r="A202" s="74" t="n">
        <v>39600</v>
      </c>
      <c r="B202" s="75">
        <f>VLOOKUP(A202,Database!A:M,MATCH($A$1,Database!$A$1:$M$1,),)</f>
        <v/>
      </c>
      <c r="C202" s="118">
        <f>(Table535141516[[#This Row],[Durable Goods]]-B201)/B201</f>
        <v/>
      </c>
    </row>
    <row r="203">
      <c r="A203" s="74" t="n">
        <v>39630</v>
      </c>
      <c r="B203" s="75">
        <f>VLOOKUP(A203,Database!A:M,MATCH($A$1,Database!$A$1:$M$1,),)</f>
        <v/>
      </c>
      <c r="C203" s="118">
        <f>(Table535141516[[#This Row],[Durable Goods]]-B202)/B202</f>
        <v/>
      </c>
    </row>
    <row r="204">
      <c r="A204" s="74" t="n">
        <v>39661</v>
      </c>
      <c r="B204" s="75">
        <f>VLOOKUP(A204,Database!A:M,MATCH($A$1,Database!$A$1:$M$1,),)</f>
        <v/>
      </c>
      <c r="C204" s="118">
        <f>(Table535141516[[#This Row],[Durable Goods]]-B203)/B203</f>
        <v/>
      </c>
    </row>
    <row r="205">
      <c r="A205" s="74" t="n">
        <v>39692</v>
      </c>
      <c r="B205" s="75">
        <f>VLOOKUP(A205,Database!A:M,MATCH($A$1,Database!$A$1:$M$1,),)</f>
        <v/>
      </c>
      <c r="C205" s="118">
        <f>(Table535141516[[#This Row],[Durable Goods]]-B204)/B204</f>
        <v/>
      </c>
    </row>
    <row r="206">
      <c r="A206" s="74" t="n">
        <v>39722</v>
      </c>
      <c r="B206" s="75">
        <f>VLOOKUP(A206,Database!A:M,MATCH($A$1,Database!$A$1:$M$1,),)</f>
        <v/>
      </c>
      <c r="C206" s="118">
        <f>(Table535141516[[#This Row],[Durable Goods]]-B205)/B205</f>
        <v/>
      </c>
    </row>
    <row r="207">
      <c r="A207" s="74" t="n">
        <v>39753</v>
      </c>
      <c r="B207" s="75">
        <f>VLOOKUP(A207,Database!A:M,MATCH($A$1,Database!$A$1:$M$1,),)</f>
        <v/>
      </c>
      <c r="C207" s="118">
        <f>(Table535141516[[#This Row],[Durable Goods]]-B206)/B206</f>
        <v/>
      </c>
    </row>
    <row r="208">
      <c r="A208" s="74" t="n">
        <v>39783</v>
      </c>
      <c r="B208" s="75">
        <f>VLOOKUP(A208,Database!A:M,MATCH($A$1,Database!$A$1:$M$1,),)</f>
        <v/>
      </c>
      <c r="C208" s="118">
        <f>(Table535141516[[#This Row],[Durable Goods]]-B207)/B207</f>
        <v/>
      </c>
    </row>
    <row r="209">
      <c r="A209" s="74" t="n">
        <v>39814</v>
      </c>
      <c r="B209" s="75">
        <f>VLOOKUP(A209,Database!A:M,MATCH($A$1,Database!$A$1:$M$1,),)</f>
        <v/>
      </c>
      <c r="C209" s="118">
        <f>(Table535141516[[#This Row],[Durable Goods]]-B208)/B208</f>
        <v/>
      </c>
    </row>
    <row r="210">
      <c r="A210" s="74" t="n">
        <v>39845</v>
      </c>
      <c r="B210" s="75">
        <f>VLOOKUP(A210,Database!A:M,MATCH($A$1,Database!$A$1:$M$1,),)</f>
        <v/>
      </c>
      <c r="C210" s="118">
        <f>(Table535141516[[#This Row],[Durable Goods]]-B209)/B209</f>
        <v/>
      </c>
    </row>
    <row r="211">
      <c r="A211" s="74" t="n">
        <v>39873</v>
      </c>
      <c r="B211" s="75">
        <f>VLOOKUP(A211,Database!A:M,MATCH($A$1,Database!$A$1:$M$1,),)</f>
        <v/>
      </c>
      <c r="C211" s="118">
        <f>(Table535141516[[#This Row],[Durable Goods]]-B210)/B210</f>
        <v/>
      </c>
    </row>
    <row r="212">
      <c r="A212" s="74" t="n">
        <v>39904</v>
      </c>
      <c r="B212" s="75">
        <f>VLOOKUP(A212,Database!A:M,MATCH($A$1,Database!$A$1:$M$1,),)</f>
        <v/>
      </c>
      <c r="C212" s="118">
        <f>(Table535141516[[#This Row],[Durable Goods]]-B211)/B211</f>
        <v/>
      </c>
    </row>
    <row r="213">
      <c r="A213" s="74" t="n">
        <v>39934</v>
      </c>
      <c r="B213" s="75">
        <f>VLOOKUP(A213,Database!A:M,MATCH($A$1,Database!$A$1:$M$1,),)</f>
        <v/>
      </c>
      <c r="C213" s="118">
        <f>(Table535141516[[#This Row],[Durable Goods]]-B212)/B212</f>
        <v/>
      </c>
    </row>
    <row r="214">
      <c r="A214" s="74" t="n">
        <v>39965</v>
      </c>
      <c r="B214" s="75">
        <f>VLOOKUP(A214,Database!A:M,MATCH($A$1,Database!$A$1:$M$1,),)</f>
        <v/>
      </c>
      <c r="C214" s="118">
        <f>(Table535141516[[#This Row],[Durable Goods]]-B213)/B213</f>
        <v/>
      </c>
    </row>
    <row r="215">
      <c r="A215" s="74" t="n">
        <v>39995</v>
      </c>
      <c r="B215" s="75">
        <f>VLOOKUP(A215,Database!A:M,MATCH($A$1,Database!$A$1:$M$1,),)</f>
        <v/>
      </c>
      <c r="C215" s="118">
        <f>(Table535141516[[#This Row],[Durable Goods]]-B214)/B214</f>
        <v/>
      </c>
    </row>
    <row r="216">
      <c r="A216" s="74" t="n">
        <v>40026</v>
      </c>
      <c r="B216" s="75">
        <f>VLOOKUP(A216,Database!A:M,MATCH($A$1,Database!$A$1:$M$1,),)</f>
        <v/>
      </c>
      <c r="C216" s="118">
        <f>(Table535141516[[#This Row],[Durable Goods]]-B215)/B215</f>
        <v/>
      </c>
    </row>
    <row r="217">
      <c r="A217" s="74" t="n">
        <v>40057</v>
      </c>
      <c r="B217" s="75">
        <f>VLOOKUP(A217,Database!A:M,MATCH($A$1,Database!$A$1:$M$1,),)</f>
        <v/>
      </c>
      <c r="C217" s="118">
        <f>(Table535141516[[#This Row],[Durable Goods]]-B216)/B216</f>
        <v/>
      </c>
    </row>
    <row r="218">
      <c r="A218" s="74" t="n">
        <v>40087</v>
      </c>
      <c r="B218" s="75">
        <f>VLOOKUP(A218,Database!A:M,MATCH($A$1,Database!$A$1:$M$1,),)</f>
        <v/>
      </c>
      <c r="C218" s="118">
        <f>(Table535141516[[#This Row],[Durable Goods]]-B217)/B217</f>
        <v/>
      </c>
    </row>
    <row r="219">
      <c r="A219" s="74" t="n">
        <v>40118</v>
      </c>
      <c r="B219" s="75">
        <f>VLOOKUP(A219,Database!A:M,MATCH($A$1,Database!$A$1:$M$1,),)</f>
        <v/>
      </c>
      <c r="C219" s="118">
        <f>(Table535141516[[#This Row],[Durable Goods]]-B218)/B218</f>
        <v/>
      </c>
    </row>
    <row r="220">
      <c r="A220" s="74" t="n">
        <v>40148</v>
      </c>
      <c r="B220" s="75">
        <f>VLOOKUP(A220,Database!A:M,MATCH($A$1,Database!$A$1:$M$1,),)</f>
        <v/>
      </c>
      <c r="C220" s="118">
        <f>(Table535141516[[#This Row],[Durable Goods]]-B219)/B219</f>
        <v/>
      </c>
    </row>
    <row r="221">
      <c r="A221" s="74" t="n">
        <v>40179</v>
      </c>
      <c r="B221" s="75">
        <f>VLOOKUP(A221,Database!A:M,MATCH($A$1,Database!$A$1:$M$1,),)</f>
        <v/>
      </c>
      <c r="C221" s="118">
        <f>(Table535141516[[#This Row],[Durable Goods]]-B220)/B220</f>
        <v/>
      </c>
    </row>
    <row r="222">
      <c r="A222" s="74" t="n">
        <v>40210</v>
      </c>
      <c r="B222" s="75">
        <f>VLOOKUP(A222,Database!A:M,MATCH($A$1,Database!$A$1:$M$1,),)</f>
        <v/>
      </c>
      <c r="C222" s="118">
        <f>(Table535141516[[#This Row],[Durable Goods]]-B221)/B221</f>
        <v/>
      </c>
    </row>
    <row r="223">
      <c r="A223" s="74" t="n">
        <v>40238</v>
      </c>
      <c r="B223" s="75">
        <f>VLOOKUP(A223,Database!A:M,MATCH($A$1,Database!$A$1:$M$1,),)</f>
        <v/>
      </c>
      <c r="C223" s="118">
        <f>(Table535141516[[#This Row],[Durable Goods]]-B222)/B222</f>
        <v/>
      </c>
    </row>
    <row r="224">
      <c r="A224" s="74" t="n">
        <v>40269</v>
      </c>
      <c r="B224" s="75">
        <f>VLOOKUP(A224,Database!A:M,MATCH($A$1,Database!$A$1:$M$1,),)</f>
        <v/>
      </c>
      <c r="C224" s="118">
        <f>(Table535141516[[#This Row],[Durable Goods]]-B223)/B223</f>
        <v/>
      </c>
    </row>
    <row r="225">
      <c r="A225" s="74" t="n">
        <v>40299</v>
      </c>
      <c r="B225" s="75">
        <f>VLOOKUP(A225,Database!A:M,MATCH($A$1,Database!$A$1:$M$1,),)</f>
        <v/>
      </c>
      <c r="C225" s="118">
        <f>(Table535141516[[#This Row],[Durable Goods]]-B224)/B224</f>
        <v/>
      </c>
    </row>
    <row r="226">
      <c r="A226" s="74" t="n">
        <v>40330</v>
      </c>
      <c r="B226" s="75">
        <f>VLOOKUP(A226,Database!A:M,MATCH($A$1,Database!$A$1:$M$1,),)</f>
        <v/>
      </c>
      <c r="C226" s="118">
        <f>(Table535141516[[#This Row],[Durable Goods]]-B225)/B225</f>
        <v/>
      </c>
    </row>
    <row r="227">
      <c r="A227" s="74" t="n">
        <v>40360</v>
      </c>
      <c r="B227" s="75">
        <f>VLOOKUP(A227,Database!A:M,MATCH($A$1,Database!$A$1:$M$1,),)</f>
        <v/>
      </c>
      <c r="C227" s="118">
        <f>(Table535141516[[#This Row],[Durable Goods]]-B226)/B226</f>
        <v/>
      </c>
    </row>
    <row r="228">
      <c r="A228" s="74" t="n">
        <v>40391</v>
      </c>
      <c r="B228" s="75">
        <f>VLOOKUP(A228,Database!A:M,MATCH($A$1,Database!$A$1:$M$1,),)</f>
        <v/>
      </c>
      <c r="C228" s="118">
        <f>(Table535141516[[#This Row],[Durable Goods]]-B227)/B227</f>
        <v/>
      </c>
    </row>
    <row r="229">
      <c r="A229" s="74" t="n">
        <v>40422</v>
      </c>
      <c r="B229" s="75">
        <f>VLOOKUP(A229,Database!A:M,MATCH($A$1,Database!$A$1:$M$1,),)</f>
        <v/>
      </c>
      <c r="C229" s="118">
        <f>(Table535141516[[#This Row],[Durable Goods]]-B228)/B228</f>
        <v/>
      </c>
    </row>
    <row r="230">
      <c r="A230" s="74" t="n">
        <v>40452</v>
      </c>
      <c r="B230" s="75">
        <f>VLOOKUP(A230,Database!A:M,MATCH($A$1,Database!$A$1:$M$1,),)</f>
        <v/>
      </c>
      <c r="C230" s="118">
        <f>(Table535141516[[#This Row],[Durable Goods]]-B229)/B229</f>
        <v/>
      </c>
    </row>
    <row r="231">
      <c r="A231" s="74" t="n">
        <v>40483</v>
      </c>
      <c r="B231" s="75">
        <f>VLOOKUP(A231,Database!A:M,MATCH($A$1,Database!$A$1:$M$1,),)</f>
        <v/>
      </c>
      <c r="C231" s="118">
        <f>(Table535141516[[#This Row],[Durable Goods]]-B230)/B230</f>
        <v/>
      </c>
    </row>
    <row r="232">
      <c r="A232" s="74" t="n">
        <v>40513</v>
      </c>
      <c r="B232" s="75">
        <f>VLOOKUP(A232,Database!A:M,MATCH($A$1,Database!$A$1:$M$1,),)</f>
        <v/>
      </c>
      <c r="C232" s="118">
        <f>(Table535141516[[#This Row],[Durable Goods]]-B231)/B231</f>
        <v/>
      </c>
    </row>
    <row r="233">
      <c r="A233" s="74" t="n">
        <v>40544</v>
      </c>
      <c r="B233" s="75">
        <f>VLOOKUP(A233,Database!A:M,MATCH($A$1,Database!$A$1:$M$1,),)</f>
        <v/>
      </c>
      <c r="C233" s="118">
        <f>(Table535141516[[#This Row],[Durable Goods]]-B232)/B232</f>
        <v/>
      </c>
    </row>
    <row r="234">
      <c r="A234" s="74" t="n">
        <v>40575</v>
      </c>
      <c r="B234" s="75">
        <f>VLOOKUP(A234,Database!A:M,MATCH($A$1,Database!$A$1:$M$1,),)</f>
        <v/>
      </c>
      <c r="C234" s="118">
        <f>(Table535141516[[#This Row],[Durable Goods]]-B233)/B233</f>
        <v/>
      </c>
    </row>
    <row r="235">
      <c r="A235" s="74" t="n">
        <v>40603</v>
      </c>
      <c r="B235" s="75">
        <f>VLOOKUP(A235,Database!A:M,MATCH($A$1,Database!$A$1:$M$1,),)</f>
        <v/>
      </c>
      <c r="C235" s="118">
        <f>(Table535141516[[#This Row],[Durable Goods]]-B234)/B234</f>
        <v/>
      </c>
    </row>
    <row r="236">
      <c r="A236" s="74" t="n">
        <v>40634</v>
      </c>
      <c r="B236" s="75">
        <f>VLOOKUP(A236,Database!A:M,MATCH($A$1,Database!$A$1:$M$1,),)</f>
        <v/>
      </c>
      <c r="C236" s="118">
        <f>(Table535141516[[#This Row],[Durable Goods]]-B235)/B235</f>
        <v/>
      </c>
    </row>
    <row r="237">
      <c r="A237" s="74" t="n">
        <v>40664</v>
      </c>
      <c r="B237" s="75">
        <f>VLOOKUP(A237,Database!A:M,MATCH($A$1,Database!$A$1:$M$1,),)</f>
        <v/>
      </c>
      <c r="C237" s="118">
        <f>(Table535141516[[#This Row],[Durable Goods]]-B236)/B236</f>
        <v/>
      </c>
    </row>
    <row r="238">
      <c r="A238" s="74" t="n">
        <v>40695</v>
      </c>
      <c r="B238" s="75">
        <f>VLOOKUP(A238,Database!A:M,MATCH($A$1,Database!$A$1:$M$1,),)</f>
        <v/>
      </c>
      <c r="C238" s="118">
        <f>(Table535141516[[#This Row],[Durable Goods]]-B237)/B237</f>
        <v/>
      </c>
    </row>
    <row r="239">
      <c r="A239" s="74" t="n">
        <v>40725</v>
      </c>
      <c r="B239" s="75">
        <f>VLOOKUP(A239,Database!A:M,MATCH($A$1,Database!$A$1:$M$1,),)</f>
        <v/>
      </c>
      <c r="C239" s="118">
        <f>(Table535141516[[#This Row],[Durable Goods]]-B238)/B238</f>
        <v/>
      </c>
    </row>
    <row r="240">
      <c r="A240" s="74" t="n">
        <v>40756</v>
      </c>
      <c r="B240" s="75">
        <f>VLOOKUP(A240,Database!A:M,MATCH($A$1,Database!$A$1:$M$1,),)</f>
        <v/>
      </c>
      <c r="C240" s="118">
        <f>(Table535141516[[#This Row],[Durable Goods]]-B239)/B239</f>
        <v/>
      </c>
    </row>
    <row r="241">
      <c r="A241" s="74" t="n">
        <v>40787</v>
      </c>
      <c r="B241" s="75">
        <f>VLOOKUP(A241,Database!A:M,MATCH($A$1,Database!$A$1:$M$1,),)</f>
        <v/>
      </c>
      <c r="C241" s="118">
        <f>(Table535141516[[#This Row],[Durable Goods]]-B240)/B240</f>
        <v/>
      </c>
    </row>
    <row r="242">
      <c r="A242" s="74" t="n">
        <v>40817</v>
      </c>
      <c r="B242" s="75">
        <f>VLOOKUP(A242,Database!A:M,MATCH($A$1,Database!$A$1:$M$1,),)</f>
        <v/>
      </c>
      <c r="C242" s="118">
        <f>(Table535141516[[#This Row],[Durable Goods]]-B241)/B241</f>
        <v/>
      </c>
    </row>
    <row r="243">
      <c r="A243" s="74" t="n">
        <v>40848</v>
      </c>
      <c r="B243" s="75">
        <f>VLOOKUP(A243,Database!A:M,MATCH($A$1,Database!$A$1:$M$1,),)</f>
        <v/>
      </c>
      <c r="C243" s="118">
        <f>(Table535141516[[#This Row],[Durable Goods]]-B242)/B242</f>
        <v/>
      </c>
    </row>
    <row r="244">
      <c r="A244" s="74" t="n">
        <v>40878</v>
      </c>
      <c r="B244" s="75">
        <f>VLOOKUP(A244,Database!A:M,MATCH($A$1,Database!$A$1:$M$1,),)</f>
        <v/>
      </c>
      <c r="C244" s="118">
        <f>(Table535141516[[#This Row],[Durable Goods]]-B243)/B243</f>
        <v/>
      </c>
    </row>
    <row r="245">
      <c r="A245" s="74" t="n">
        <v>40909</v>
      </c>
      <c r="B245" s="75">
        <f>VLOOKUP(A245,Database!A:M,MATCH($A$1,Database!$A$1:$M$1,),)</f>
        <v/>
      </c>
      <c r="C245" s="118">
        <f>(Table535141516[[#This Row],[Durable Goods]]-B244)/B244</f>
        <v/>
      </c>
    </row>
    <row r="246">
      <c r="A246" s="74" t="n">
        <v>40940</v>
      </c>
      <c r="B246" s="75">
        <f>VLOOKUP(A246,Database!A:M,MATCH($A$1,Database!$A$1:$M$1,),)</f>
        <v/>
      </c>
      <c r="C246" s="118">
        <f>(Table535141516[[#This Row],[Durable Goods]]-B245)/B245</f>
        <v/>
      </c>
    </row>
    <row r="247">
      <c r="A247" s="74" t="n">
        <v>40969</v>
      </c>
      <c r="B247" s="75">
        <f>VLOOKUP(A247,Database!A:M,MATCH($A$1,Database!$A$1:$M$1,),)</f>
        <v/>
      </c>
      <c r="C247" s="118">
        <f>(Table535141516[[#This Row],[Durable Goods]]-B246)/B246</f>
        <v/>
      </c>
    </row>
    <row r="248">
      <c r="A248" s="74" t="n">
        <v>41000</v>
      </c>
      <c r="B248" s="75">
        <f>VLOOKUP(A248,Database!A:M,MATCH($A$1,Database!$A$1:$M$1,),)</f>
        <v/>
      </c>
      <c r="C248" s="118">
        <f>(Table535141516[[#This Row],[Durable Goods]]-B247)/B247</f>
        <v/>
      </c>
    </row>
    <row r="249">
      <c r="A249" s="74" t="n">
        <v>41030</v>
      </c>
      <c r="B249" s="75">
        <f>VLOOKUP(A249,Database!A:M,MATCH($A$1,Database!$A$1:$M$1,),)</f>
        <v/>
      </c>
      <c r="C249" s="118">
        <f>(Table535141516[[#This Row],[Durable Goods]]-B248)/B248</f>
        <v/>
      </c>
    </row>
    <row r="250">
      <c r="A250" s="74" t="n">
        <v>41061</v>
      </c>
      <c r="B250" s="75">
        <f>VLOOKUP(A250,Database!A:M,MATCH($A$1,Database!$A$1:$M$1,),)</f>
        <v/>
      </c>
      <c r="C250" s="118">
        <f>(Table535141516[[#This Row],[Durable Goods]]-B249)/B249</f>
        <v/>
      </c>
    </row>
    <row r="251">
      <c r="A251" s="74" t="n">
        <v>41091</v>
      </c>
      <c r="B251" s="75">
        <f>VLOOKUP(A251,Database!A:M,MATCH($A$1,Database!$A$1:$M$1,),)</f>
        <v/>
      </c>
      <c r="C251" s="118">
        <f>(Table535141516[[#This Row],[Durable Goods]]-B250)/B250</f>
        <v/>
      </c>
    </row>
    <row r="252">
      <c r="A252" s="74" t="n">
        <v>41122</v>
      </c>
      <c r="B252" s="75">
        <f>VLOOKUP(A252,Database!A:M,MATCH($A$1,Database!$A$1:$M$1,),)</f>
        <v/>
      </c>
      <c r="C252" s="118">
        <f>(Table535141516[[#This Row],[Durable Goods]]-B251)/B251</f>
        <v/>
      </c>
    </row>
    <row r="253">
      <c r="A253" s="74" t="n">
        <v>41153</v>
      </c>
      <c r="B253" s="75">
        <f>VLOOKUP(A253,Database!A:M,MATCH($A$1,Database!$A$1:$M$1,),)</f>
        <v/>
      </c>
      <c r="C253" s="118">
        <f>(Table535141516[[#This Row],[Durable Goods]]-B252)/B252</f>
        <v/>
      </c>
    </row>
    <row r="254">
      <c r="A254" s="74" t="n">
        <v>41183</v>
      </c>
      <c r="B254" s="75">
        <f>VLOOKUP(A254,Database!A:M,MATCH($A$1,Database!$A$1:$M$1,),)</f>
        <v/>
      </c>
      <c r="C254" s="118">
        <f>(Table535141516[[#This Row],[Durable Goods]]-B253)/B253</f>
        <v/>
      </c>
    </row>
    <row r="255">
      <c r="A255" s="74" t="n">
        <v>41214</v>
      </c>
      <c r="B255" s="75">
        <f>VLOOKUP(A255,Database!A:M,MATCH($A$1,Database!$A$1:$M$1,),)</f>
        <v/>
      </c>
      <c r="C255" s="118">
        <f>(Table535141516[[#This Row],[Durable Goods]]-B254)/B254</f>
        <v/>
      </c>
    </row>
    <row r="256">
      <c r="A256" s="74" t="n">
        <v>41244</v>
      </c>
      <c r="B256" s="75">
        <f>VLOOKUP(A256,Database!A:M,MATCH($A$1,Database!$A$1:$M$1,),)</f>
        <v/>
      </c>
      <c r="C256" s="118">
        <f>(Table535141516[[#This Row],[Durable Goods]]-B255)/B255</f>
        <v/>
      </c>
    </row>
    <row r="257">
      <c r="A257" s="74" t="n">
        <v>41275</v>
      </c>
      <c r="B257" s="75">
        <f>VLOOKUP(A257,Database!A:M,MATCH($A$1,Database!$A$1:$M$1,),)</f>
        <v/>
      </c>
      <c r="C257" s="118">
        <f>(Table535141516[[#This Row],[Durable Goods]]-B256)/B256</f>
        <v/>
      </c>
    </row>
    <row r="258">
      <c r="A258" s="74" t="n">
        <v>41306</v>
      </c>
      <c r="B258" s="75">
        <f>VLOOKUP(A258,Database!A:M,MATCH($A$1,Database!$A$1:$M$1,),)</f>
        <v/>
      </c>
      <c r="C258" s="118">
        <f>(Table535141516[[#This Row],[Durable Goods]]-B257)/B257</f>
        <v/>
      </c>
    </row>
    <row r="259">
      <c r="A259" s="74" t="n">
        <v>41334</v>
      </c>
      <c r="B259" s="75">
        <f>VLOOKUP(A259,Database!A:M,MATCH($A$1,Database!$A$1:$M$1,),)</f>
        <v/>
      </c>
      <c r="C259" s="118">
        <f>(Table535141516[[#This Row],[Durable Goods]]-B258)/B258</f>
        <v/>
      </c>
    </row>
    <row r="260">
      <c r="A260" s="74" t="n">
        <v>41365</v>
      </c>
      <c r="B260" s="75">
        <f>VLOOKUP(A260,Database!A:M,MATCH($A$1,Database!$A$1:$M$1,),)</f>
        <v/>
      </c>
      <c r="C260" s="118">
        <f>(Table535141516[[#This Row],[Durable Goods]]-B259)/B259</f>
        <v/>
      </c>
    </row>
    <row r="261">
      <c r="A261" s="74" t="n">
        <v>41395</v>
      </c>
      <c r="B261" s="75">
        <f>VLOOKUP(A261,Database!A:M,MATCH($A$1,Database!$A$1:$M$1,),)</f>
        <v/>
      </c>
      <c r="C261" s="118">
        <f>(Table535141516[[#This Row],[Durable Goods]]-B260)/B260</f>
        <v/>
      </c>
    </row>
    <row r="262">
      <c r="A262" s="74" t="n">
        <v>41426</v>
      </c>
      <c r="B262" s="75">
        <f>VLOOKUP(A262,Database!A:M,MATCH($A$1,Database!$A$1:$M$1,),)</f>
        <v/>
      </c>
      <c r="C262" s="118">
        <f>(Table535141516[[#This Row],[Durable Goods]]-B261)/B261</f>
        <v/>
      </c>
    </row>
    <row r="263">
      <c r="A263" s="74" t="n">
        <v>41456</v>
      </c>
      <c r="B263" s="75">
        <f>VLOOKUP(A263,Database!A:M,MATCH($A$1,Database!$A$1:$M$1,),)</f>
        <v/>
      </c>
      <c r="C263" s="118">
        <f>(Table535141516[[#This Row],[Durable Goods]]-B262)/B262</f>
        <v/>
      </c>
    </row>
    <row r="264">
      <c r="A264" s="74" t="n">
        <v>41487</v>
      </c>
      <c r="B264" s="75">
        <f>VLOOKUP(A264,Database!A:M,MATCH($A$1,Database!$A$1:$M$1,),)</f>
        <v/>
      </c>
      <c r="C264" s="118">
        <f>(Table535141516[[#This Row],[Durable Goods]]-B263)/B263</f>
        <v/>
      </c>
    </row>
    <row r="265">
      <c r="A265" s="74" t="n">
        <v>41518</v>
      </c>
      <c r="B265" s="75">
        <f>VLOOKUP(A265,Database!A:M,MATCH($A$1,Database!$A$1:$M$1,),)</f>
        <v/>
      </c>
      <c r="C265" s="118">
        <f>(Table535141516[[#This Row],[Durable Goods]]-B264)/B264</f>
        <v/>
      </c>
    </row>
    <row r="266">
      <c r="A266" s="74" t="n">
        <v>41548</v>
      </c>
      <c r="B266" s="75">
        <f>VLOOKUP(A266,Database!A:M,MATCH($A$1,Database!$A$1:$M$1,),)</f>
        <v/>
      </c>
      <c r="C266" s="118">
        <f>(Table535141516[[#This Row],[Durable Goods]]-B265)/B265</f>
        <v/>
      </c>
    </row>
    <row r="267">
      <c r="A267" s="74" t="n">
        <v>41579</v>
      </c>
      <c r="B267" s="75">
        <f>VLOOKUP(A267,Database!A:M,MATCH($A$1,Database!$A$1:$M$1,),)</f>
        <v/>
      </c>
      <c r="C267" s="118">
        <f>(Table535141516[[#This Row],[Durable Goods]]-B266)/B266</f>
        <v/>
      </c>
    </row>
    <row r="268">
      <c r="A268" s="74" t="n">
        <v>41609</v>
      </c>
      <c r="B268" s="75">
        <f>VLOOKUP(A268,Database!A:M,MATCH($A$1,Database!$A$1:$M$1,),)</f>
        <v/>
      </c>
      <c r="C268" s="118">
        <f>(Table535141516[[#This Row],[Durable Goods]]-B267)/B267</f>
        <v/>
      </c>
    </row>
    <row r="269">
      <c r="A269" s="74" t="n">
        <v>41640</v>
      </c>
      <c r="B269" s="75">
        <f>VLOOKUP(A269,Database!A:M,MATCH($A$1,Database!$A$1:$M$1,),)</f>
        <v/>
      </c>
      <c r="C269" s="118">
        <f>(Table535141516[[#This Row],[Durable Goods]]-B268)/B268</f>
        <v/>
      </c>
    </row>
    <row r="270">
      <c r="A270" s="74" t="n">
        <v>41671</v>
      </c>
      <c r="B270" s="75">
        <f>VLOOKUP(A270,Database!A:M,MATCH($A$1,Database!$A$1:$M$1,),)</f>
        <v/>
      </c>
      <c r="C270" s="118">
        <f>(Table535141516[[#This Row],[Durable Goods]]-B269)/B269</f>
        <v/>
      </c>
    </row>
    <row r="271">
      <c r="A271" s="74" t="n">
        <v>41699</v>
      </c>
      <c r="B271" s="75">
        <f>VLOOKUP(A271,Database!A:M,MATCH($A$1,Database!$A$1:$M$1,),)</f>
        <v/>
      </c>
      <c r="C271" s="118">
        <f>(Table535141516[[#This Row],[Durable Goods]]-B270)/B270</f>
        <v/>
      </c>
    </row>
    <row r="272">
      <c r="A272" s="74" t="n">
        <v>41730</v>
      </c>
      <c r="B272" s="75">
        <f>VLOOKUP(A272,Database!A:M,MATCH($A$1,Database!$A$1:$M$1,),)</f>
        <v/>
      </c>
      <c r="C272" s="118">
        <f>(Table535141516[[#This Row],[Durable Goods]]-B271)/B271</f>
        <v/>
      </c>
    </row>
    <row r="273">
      <c r="A273" s="74" t="n">
        <v>41760</v>
      </c>
      <c r="B273" s="75">
        <f>VLOOKUP(A273,Database!A:M,MATCH($A$1,Database!$A$1:$M$1,),)</f>
        <v/>
      </c>
      <c r="C273" s="118">
        <f>(Table535141516[[#This Row],[Durable Goods]]-B272)/B272</f>
        <v/>
      </c>
    </row>
    <row r="274">
      <c r="A274" s="74" t="n">
        <v>41791</v>
      </c>
      <c r="B274" s="75">
        <f>VLOOKUP(A274,Database!A:M,MATCH($A$1,Database!$A$1:$M$1,),)</f>
        <v/>
      </c>
      <c r="C274" s="118">
        <f>(Table535141516[[#This Row],[Durable Goods]]-B273)/B273</f>
        <v/>
      </c>
    </row>
    <row r="275">
      <c r="A275" s="74" t="n">
        <v>41821</v>
      </c>
      <c r="B275" s="75">
        <f>VLOOKUP(A275,Database!A:M,MATCH($A$1,Database!$A$1:$M$1,),)</f>
        <v/>
      </c>
      <c r="C275" s="118">
        <f>(Table535141516[[#This Row],[Durable Goods]]-B274)/B274</f>
        <v/>
      </c>
    </row>
    <row r="276">
      <c r="A276" s="74" t="n">
        <v>41852</v>
      </c>
      <c r="B276" s="75">
        <f>VLOOKUP(A276,Database!A:M,MATCH($A$1,Database!$A$1:$M$1,),)</f>
        <v/>
      </c>
      <c r="C276" s="118">
        <f>(Table535141516[[#This Row],[Durable Goods]]-B275)/B275</f>
        <v/>
      </c>
    </row>
    <row r="277">
      <c r="A277" s="74" t="n">
        <v>41883</v>
      </c>
      <c r="B277" s="75">
        <f>VLOOKUP(A277,Database!A:M,MATCH($A$1,Database!$A$1:$M$1,),)</f>
        <v/>
      </c>
      <c r="C277" s="118">
        <f>(Table535141516[[#This Row],[Durable Goods]]-B276)/B276</f>
        <v/>
      </c>
    </row>
    <row r="278">
      <c r="A278" s="74" t="n">
        <v>41913</v>
      </c>
      <c r="B278" s="75">
        <f>VLOOKUP(A278,Database!A:M,MATCH($A$1,Database!$A$1:$M$1,),)</f>
        <v/>
      </c>
      <c r="C278" s="118">
        <f>(Table535141516[[#This Row],[Durable Goods]]-B277)/B277</f>
        <v/>
      </c>
    </row>
    <row r="279">
      <c r="A279" s="74" t="n">
        <v>41944</v>
      </c>
      <c r="B279" s="75">
        <f>VLOOKUP(A279,Database!A:M,MATCH($A$1,Database!$A$1:$M$1,),)</f>
        <v/>
      </c>
      <c r="C279" s="118">
        <f>(Table535141516[[#This Row],[Durable Goods]]-B278)/B278</f>
        <v/>
      </c>
    </row>
    <row r="280">
      <c r="A280" s="74" t="n">
        <v>41974</v>
      </c>
      <c r="B280" s="75">
        <f>VLOOKUP(A280,Database!A:M,MATCH($A$1,Database!$A$1:$M$1,),)</f>
        <v/>
      </c>
      <c r="C280" s="118">
        <f>(Table535141516[[#This Row],[Durable Goods]]-B279)/B279</f>
        <v/>
      </c>
    </row>
    <row r="281">
      <c r="A281" s="74" t="n">
        <v>42005</v>
      </c>
      <c r="B281" s="75">
        <f>VLOOKUP(A281,Database!A:M,MATCH($A$1,Database!$A$1:$M$1,),)</f>
        <v/>
      </c>
      <c r="C281" s="118">
        <f>(Table535141516[[#This Row],[Durable Goods]]-B280)/B280</f>
        <v/>
      </c>
    </row>
    <row r="282">
      <c r="A282" s="74" t="n">
        <v>42036</v>
      </c>
      <c r="B282" s="75">
        <f>VLOOKUP(A282,Database!A:M,MATCH($A$1,Database!$A$1:$M$1,),)</f>
        <v/>
      </c>
      <c r="C282" s="118">
        <f>(Table535141516[[#This Row],[Durable Goods]]-B281)/B281</f>
        <v/>
      </c>
    </row>
    <row r="283">
      <c r="A283" s="74" t="n">
        <v>42064</v>
      </c>
      <c r="B283" s="75">
        <f>VLOOKUP(A283,Database!A:M,MATCH($A$1,Database!$A$1:$M$1,),)</f>
        <v/>
      </c>
      <c r="C283" s="118">
        <f>(Table535141516[[#This Row],[Durable Goods]]-B282)/B282</f>
        <v/>
      </c>
    </row>
    <row r="284">
      <c r="A284" s="74" t="n">
        <v>42095</v>
      </c>
      <c r="B284" s="75">
        <f>VLOOKUP(A284,Database!A:M,MATCH($A$1,Database!$A$1:$M$1,),)</f>
        <v/>
      </c>
      <c r="C284" s="118">
        <f>(Table535141516[[#This Row],[Durable Goods]]-B283)/B283</f>
        <v/>
      </c>
    </row>
    <row r="285">
      <c r="A285" s="74" t="n">
        <v>42125</v>
      </c>
      <c r="B285" s="75">
        <f>VLOOKUP(A285,Database!A:M,MATCH($A$1,Database!$A$1:$M$1,),)</f>
        <v/>
      </c>
      <c r="C285" s="118">
        <f>(Table535141516[[#This Row],[Durable Goods]]-B284)/B284</f>
        <v/>
      </c>
    </row>
    <row r="286">
      <c r="A286" s="74" t="n">
        <v>42156</v>
      </c>
      <c r="B286" s="75">
        <f>VLOOKUP(A286,Database!A:M,MATCH($A$1,Database!$A$1:$M$1,),)</f>
        <v/>
      </c>
      <c r="C286" s="118">
        <f>(Table535141516[[#This Row],[Durable Goods]]-B285)/B285</f>
        <v/>
      </c>
    </row>
    <row r="287">
      <c r="A287" s="74" t="n">
        <v>42186</v>
      </c>
      <c r="B287" s="75">
        <f>VLOOKUP(A287,Database!A:M,MATCH($A$1,Database!$A$1:$M$1,),)</f>
        <v/>
      </c>
      <c r="C287" s="118">
        <f>(Table535141516[[#This Row],[Durable Goods]]-B286)/B286</f>
        <v/>
      </c>
    </row>
    <row r="288">
      <c r="A288" s="74" t="n">
        <v>42217</v>
      </c>
      <c r="B288" s="75">
        <f>VLOOKUP(A288,Database!A:M,MATCH($A$1,Database!$A$1:$M$1,),)</f>
        <v/>
      </c>
      <c r="C288" s="118">
        <f>(Table535141516[[#This Row],[Durable Goods]]-B287)/B287</f>
        <v/>
      </c>
    </row>
    <row r="289">
      <c r="A289" s="74" t="n">
        <v>42248</v>
      </c>
      <c r="B289" s="75">
        <f>VLOOKUP(A289,Database!A:M,MATCH($A$1,Database!$A$1:$M$1,),)</f>
        <v/>
      </c>
      <c r="C289" s="118">
        <f>(Table535141516[[#This Row],[Durable Goods]]-B288)/B288</f>
        <v/>
      </c>
    </row>
    <row r="290">
      <c r="A290" s="74" t="n">
        <v>42278</v>
      </c>
      <c r="B290" s="75">
        <f>VLOOKUP(A290,Database!A:M,MATCH($A$1,Database!$A$1:$M$1,),)</f>
        <v/>
      </c>
      <c r="C290" s="118">
        <f>(Table535141516[[#This Row],[Durable Goods]]-B289)/B289</f>
        <v/>
      </c>
    </row>
    <row r="291">
      <c r="A291" s="74" t="n">
        <v>42309</v>
      </c>
      <c r="B291" s="75">
        <f>VLOOKUP(A291,Database!A:M,MATCH($A$1,Database!$A$1:$M$1,),)</f>
        <v/>
      </c>
      <c r="C291" s="118">
        <f>(Table535141516[[#This Row],[Durable Goods]]-B290)/B290</f>
        <v/>
      </c>
    </row>
    <row r="292">
      <c r="A292" s="74" t="n">
        <v>42339</v>
      </c>
      <c r="B292" s="75">
        <f>VLOOKUP(A292,Database!A:M,MATCH($A$1,Database!$A$1:$M$1,),)</f>
        <v/>
      </c>
      <c r="C292" s="118">
        <f>(Table535141516[[#This Row],[Durable Goods]]-B291)/B291</f>
        <v/>
      </c>
    </row>
    <row r="293">
      <c r="A293" s="74" t="n">
        <v>42370</v>
      </c>
      <c r="B293" s="75">
        <f>VLOOKUP(A293,Database!A:M,MATCH($A$1,Database!$A$1:$M$1,),)</f>
        <v/>
      </c>
      <c r="C293" s="118">
        <f>(Table535141516[[#This Row],[Durable Goods]]-B292)/B292</f>
        <v/>
      </c>
    </row>
    <row r="294">
      <c r="A294" s="74" t="n">
        <v>42401</v>
      </c>
      <c r="B294" s="75">
        <f>VLOOKUP(A294,Database!A:M,MATCH($A$1,Database!$A$1:$M$1,),)</f>
        <v/>
      </c>
      <c r="C294" s="118">
        <f>(Table535141516[[#This Row],[Durable Goods]]-B293)/B293</f>
        <v/>
      </c>
    </row>
    <row r="295">
      <c r="A295" s="74" t="n">
        <v>42430</v>
      </c>
      <c r="B295" s="75">
        <f>VLOOKUP(A295,Database!A:M,MATCH($A$1,Database!$A$1:$M$1,),)</f>
        <v/>
      </c>
      <c r="C295" s="118">
        <f>(Table535141516[[#This Row],[Durable Goods]]-B294)/B294</f>
        <v/>
      </c>
    </row>
    <row r="296">
      <c r="A296" s="74" t="n">
        <v>42461</v>
      </c>
      <c r="B296" s="75">
        <f>VLOOKUP(A296,Database!A:M,MATCH($A$1,Database!$A$1:$M$1,),)</f>
        <v/>
      </c>
      <c r="C296" s="118">
        <f>(Table535141516[[#This Row],[Durable Goods]]-B295)/B295</f>
        <v/>
      </c>
    </row>
    <row r="297">
      <c r="A297" s="74" t="n">
        <v>42491</v>
      </c>
      <c r="B297" s="75">
        <f>VLOOKUP(A297,Database!A:M,MATCH($A$1,Database!$A$1:$M$1,),)</f>
        <v/>
      </c>
      <c r="C297" s="118">
        <f>(Table535141516[[#This Row],[Durable Goods]]-B296)/B296</f>
        <v/>
      </c>
    </row>
    <row r="298">
      <c r="A298" s="74" t="n">
        <v>42522</v>
      </c>
      <c r="B298" s="75">
        <f>VLOOKUP(A298,Database!A:M,MATCH($A$1,Database!$A$1:$M$1,),)</f>
        <v/>
      </c>
      <c r="C298" s="118">
        <f>(Table535141516[[#This Row],[Durable Goods]]-B297)/B297</f>
        <v/>
      </c>
    </row>
    <row r="299">
      <c r="A299" s="74" t="n">
        <v>42552</v>
      </c>
      <c r="B299" s="75">
        <f>VLOOKUP(A299,Database!A:M,MATCH($A$1,Database!$A$1:$M$1,),)</f>
        <v/>
      </c>
      <c r="C299" s="118">
        <f>(Table535141516[[#This Row],[Durable Goods]]-B298)/B298</f>
        <v/>
      </c>
    </row>
    <row r="300">
      <c r="A300" s="74" t="n">
        <v>42583</v>
      </c>
      <c r="B300" s="75">
        <f>VLOOKUP(A300,Database!A:M,MATCH($A$1,Database!$A$1:$M$1,),)</f>
        <v/>
      </c>
      <c r="C300" s="118">
        <f>(Table535141516[[#This Row],[Durable Goods]]-B299)/B299</f>
        <v/>
      </c>
    </row>
    <row r="301">
      <c r="A301" s="74" t="n">
        <v>42614</v>
      </c>
      <c r="B301" s="75">
        <f>VLOOKUP(A301,Database!A:M,MATCH($A$1,Database!$A$1:$M$1,),)</f>
        <v/>
      </c>
      <c r="C301" s="118">
        <f>(Table535141516[[#This Row],[Durable Goods]]-B300)/B300</f>
        <v/>
      </c>
    </row>
    <row r="302">
      <c r="A302" s="74" t="n">
        <v>42644</v>
      </c>
      <c r="B302" s="75">
        <f>VLOOKUP(A302,Database!A:M,MATCH($A$1,Database!$A$1:$M$1,),)</f>
        <v/>
      </c>
      <c r="C302" s="118">
        <f>(Table535141516[[#This Row],[Durable Goods]]-B301)/B301</f>
        <v/>
      </c>
    </row>
    <row r="303">
      <c r="A303" s="74" t="n">
        <v>42675</v>
      </c>
      <c r="B303" s="75">
        <f>VLOOKUP(A303,Database!A:M,MATCH($A$1,Database!$A$1:$M$1,),)</f>
        <v/>
      </c>
      <c r="C303" s="118">
        <f>(Table535141516[[#This Row],[Durable Goods]]-B302)/B302</f>
        <v/>
      </c>
    </row>
    <row r="304">
      <c r="A304" s="74" t="n">
        <v>42705</v>
      </c>
      <c r="B304" s="75">
        <f>VLOOKUP(A304,Database!A:M,MATCH($A$1,Database!$A$1:$M$1,),)</f>
        <v/>
      </c>
      <c r="C304" s="118">
        <f>(Table535141516[[#This Row],[Durable Goods]]-B303)/B303</f>
        <v/>
      </c>
    </row>
    <row r="305">
      <c r="A305" s="74" t="n">
        <v>42736</v>
      </c>
      <c r="B305" s="75">
        <f>VLOOKUP(A305,Database!A:M,MATCH($A$1,Database!$A$1:$M$1,),)</f>
        <v/>
      </c>
      <c r="C305" s="118">
        <f>(Table535141516[[#This Row],[Durable Goods]]-B304)/B304</f>
        <v/>
      </c>
    </row>
    <row r="306">
      <c r="A306" s="74" t="n">
        <v>42767</v>
      </c>
      <c r="B306" s="75">
        <f>VLOOKUP(A306,Database!A:M,MATCH($A$1,Database!$A$1:$M$1,),)</f>
        <v/>
      </c>
      <c r="C306" s="118">
        <f>(Table535141516[[#This Row],[Durable Goods]]-B305)/B305</f>
        <v/>
      </c>
    </row>
    <row r="307">
      <c r="A307" s="74" t="n">
        <v>42795</v>
      </c>
      <c r="B307" s="75">
        <f>VLOOKUP(A307,Database!A:M,MATCH($A$1,Database!$A$1:$M$1,),)</f>
        <v/>
      </c>
      <c r="C307" s="118">
        <f>(Table535141516[[#This Row],[Durable Goods]]-B306)/B306</f>
        <v/>
      </c>
    </row>
    <row r="308">
      <c r="A308" s="74" t="n">
        <v>42826</v>
      </c>
      <c r="B308" s="75">
        <f>VLOOKUP(A308,Database!A:M,MATCH($A$1,Database!$A$1:$M$1,),)</f>
        <v/>
      </c>
      <c r="C308" s="118">
        <f>(Table535141516[[#This Row],[Durable Goods]]-B307)/B307</f>
        <v/>
      </c>
    </row>
    <row r="309">
      <c r="A309" s="74" t="n">
        <v>42856</v>
      </c>
      <c r="B309" s="75">
        <f>VLOOKUP(A309,Database!A:M,MATCH($A$1,Database!$A$1:$M$1,),)</f>
        <v/>
      </c>
      <c r="C309" s="118">
        <f>(Table535141516[[#This Row],[Durable Goods]]-B308)/B308</f>
        <v/>
      </c>
    </row>
    <row r="310">
      <c r="A310" s="74" t="n">
        <v>42887</v>
      </c>
      <c r="B310" s="75">
        <f>VLOOKUP(A310,Database!A:M,MATCH($A$1,Database!$A$1:$M$1,),)</f>
        <v/>
      </c>
      <c r="C310" s="118">
        <f>(Table535141516[[#This Row],[Durable Goods]]-B309)/B309</f>
        <v/>
      </c>
    </row>
    <row r="311">
      <c r="A311" s="74" t="n">
        <v>42917</v>
      </c>
      <c r="B311" s="75">
        <f>VLOOKUP(A311,Database!A:M,MATCH($A$1,Database!$A$1:$M$1,),)</f>
        <v/>
      </c>
      <c r="C311" s="118">
        <f>(Table535141516[[#This Row],[Durable Goods]]-B310)/B310</f>
        <v/>
      </c>
    </row>
    <row r="312">
      <c r="A312" s="74" t="n">
        <v>42948</v>
      </c>
      <c r="B312" s="75">
        <f>VLOOKUP(A312,Database!A:M,MATCH($A$1,Database!$A$1:$M$1,),)</f>
        <v/>
      </c>
      <c r="C312" s="118">
        <f>(Table535141516[[#This Row],[Durable Goods]]-B311)/B311</f>
        <v/>
      </c>
    </row>
    <row r="313">
      <c r="A313" s="74" t="n">
        <v>42979</v>
      </c>
      <c r="B313" s="75">
        <f>VLOOKUP(A313,Database!A:M,MATCH($A$1,Database!$A$1:$M$1,),)</f>
        <v/>
      </c>
      <c r="C313" s="118">
        <f>(Table535141516[[#This Row],[Durable Goods]]-B312)/B312</f>
        <v/>
      </c>
    </row>
    <row r="314">
      <c r="A314" s="74" t="n">
        <v>43009</v>
      </c>
      <c r="B314" s="75">
        <f>VLOOKUP(A314,Database!A:M,MATCH($A$1,Database!$A$1:$M$1,),)</f>
        <v/>
      </c>
      <c r="C314" s="118">
        <f>(Table535141516[[#This Row],[Durable Goods]]-B313)/B313</f>
        <v/>
      </c>
    </row>
    <row r="315">
      <c r="A315" s="74" t="n">
        <v>43040</v>
      </c>
      <c r="B315" s="75">
        <f>VLOOKUP(A315,Database!A:M,MATCH($A$1,Database!$A$1:$M$1,),)</f>
        <v/>
      </c>
      <c r="C315" s="118">
        <f>(Table535141516[[#This Row],[Durable Goods]]-B314)/B314</f>
        <v/>
      </c>
    </row>
    <row r="316">
      <c r="A316" s="74" t="n">
        <v>43070</v>
      </c>
      <c r="B316" s="75">
        <f>VLOOKUP(A316,Database!A:M,MATCH($A$1,Database!$A$1:$M$1,),)</f>
        <v/>
      </c>
      <c r="C316" s="118">
        <f>(Table535141516[[#This Row],[Durable Goods]]-B315)/B315</f>
        <v/>
      </c>
    </row>
    <row r="317">
      <c r="A317" s="74" t="n">
        <v>43101</v>
      </c>
      <c r="B317" s="75">
        <f>VLOOKUP(A317,Database!A:M,MATCH($A$1,Database!$A$1:$M$1,),)</f>
        <v/>
      </c>
      <c r="C317" s="118">
        <f>(Table535141516[[#This Row],[Durable Goods]]-B316)/B316</f>
        <v/>
      </c>
    </row>
    <row r="318">
      <c r="A318" s="74" t="n">
        <v>43132</v>
      </c>
      <c r="B318" s="75">
        <f>VLOOKUP(A318,Database!A:M,MATCH($A$1,Database!$A$1:$M$1,),)</f>
        <v/>
      </c>
      <c r="C318" s="118">
        <f>(Table535141516[[#This Row],[Durable Goods]]-B317)/B317</f>
        <v/>
      </c>
    </row>
    <row r="319">
      <c r="A319" s="74" t="n">
        <v>43160</v>
      </c>
      <c r="B319" s="75">
        <f>VLOOKUP(A319,Database!A:M,MATCH($A$1,Database!$A$1:$M$1,),)</f>
        <v/>
      </c>
      <c r="C319" s="118">
        <f>(Table535141516[[#This Row],[Durable Goods]]-B318)/B318</f>
        <v/>
      </c>
    </row>
    <row r="320">
      <c r="A320" s="74" t="n">
        <v>43191</v>
      </c>
      <c r="B320" s="75">
        <f>VLOOKUP(A320,Database!A:M,MATCH($A$1,Database!$A$1:$M$1,),)</f>
        <v/>
      </c>
      <c r="C320" s="118">
        <f>(Table535141516[[#This Row],[Durable Goods]]-B319)/B319</f>
        <v/>
      </c>
    </row>
    <row r="321">
      <c r="A321" s="74" t="n">
        <v>43221</v>
      </c>
      <c r="B321" s="75">
        <f>VLOOKUP(A321,Database!A:M,MATCH($A$1,Database!$A$1:$M$1,),)</f>
        <v/>
      </c>
      <c r="C321" s="118">
        <f>(Table535141516[[#This Row],[Durable Goods]]-B320)/B320</f>
        <v/>
      </c>
    </row>
    <row r="322">
      <c r="A322" s="74" t="n">
        <v>43252</v>
      </c>
      <c r="B322" s="75">
        <f>VLOOKUP(A322,Database!A:M,MATCH($A$1,Database!$A$1:$M$1,),)</f>
        <v/>
      </c>
      <c r="C322" s="118">
        <f>(Table535141516[[#This Row],[Durable Goods]]-B321)/B321</f>
        <v/>
      </c>
    </row>
    <row r="323">
      <c r="A323" s="74" t="n">
        <v>43282</v>
      </c>
      <c r="B323" s="75">
        <f>VLOOKUP(A323,Database!A:M,MATCH($A$1,Database!$A$1:$M$1,),)</f>
        <v/>
      </c>
      <c r="C323" s="118">
        <f>(Table535141516[[#This Row],[Durable Goods]]-B322)/B322</f>
        <v/>
      </c>
    </row>
    <row r="324">
      <c r="A324" s="74" t="n">
        <v>43313</v>
      </c>
      <c r="B324" s="75">
        <f>VLOOKUP(A324,Database!A:M,MATCH($A$1,Database!$A$1:$M$1,),)</f>
        <v/>
      </c>
      <c r="C324" s="118">
        <f>(Table535141516[[#This Row],[Durable Goods]]-B323)/B323</f>
        <v/>
      </c>
    </row>
    <row r="325">
      <c r="A325" s="74" t="n">
        <v>43344</v>
      </c>
      <c r="B325" s="75">
        <f>VLOOKUP(A325,Database!A:M,MATCH($A$1,Database!$A$1:$M$1,),)</f>
        <v/>
      </c>
      <c r="C325" s="118">
        <f>(Table535141516[[#This Row],[Durable Goods]]-B324)/B324</f>
        <v/>
      </c>
    </row>
    <row r="326">
      <c r="A326" s="74" t="n">
        <v>43374</v>
      </c>
      <c r="B326" s="75">
        <f>VLOOKUP(A326,Database!A:M,MATCH($A$1,Database!$A$1:$M$1,),)</f>
        <v/>
      </c>
      <c r="C326" s="118">
        <f>(Table535141516[[#This Row],[Durable Goods]]-B325)/B325</f>
        <v/>
      </c>
    </row>
    <row r="327">
      <c r="A327" s="74" t="n">
        <v>43405</v>
      </c>
      <c r="B327" s="75">
        <f>VLOOKUP(A327,Database!A:M,MATCH($A$1,Database!$A$1:$M$1,),)</f>
        <v/>
      </c>
      <c r="C327" s="118">
        <f>(Table535141516[[#This Row],[Durable Goods]]-B326)/B326</f>
        <v/>
      </c>
    </row>
    <row r="328">
      <c r="A328" s="74" t="n">
        <v>43435</v>
      </c>
      <c r="B328" s="75">
        <f>VLOOKUP(A328,Database!A:M,MATCH($A$1,Database!$A$1:$M$1,),)</f>
        <v/>
      </c>
      <c r="C328" s="118">
        <f>(Table535141516[[#This Row],[Durable Goods]]-B327)/B327</f>
        <v/>
      </c>
    </row>
    <row r="329">
      <c r="A329" s="74" t="n">
        <v>43466</v>
      </c>
      <c r="B329" s="75">
        <f>VLOOKUP(A329,Database!A:M,MATCH($A$1,Database!$A$1:$M$1,),)</f>
        <v/>
      </c>
      <c r="C329" s="118">
        <f>(Table535141516[[#This Row],[Durable Goods]]-B328)/B328</f>
        <v/>
      </c>
    </row>
    <row r="330">
      <c r="A330" s="74" t="n">
        <v>43497</v>
      </c>
      <c r="B330" s="75">
        <f>VLOOKUP(A330,Database!A:M,MATCH($A$1,Database!$A$1:$M$1,),)</f>
        <v/>
      </c>
      <c r="C330" s="118">
        <f>(Table535141516[[#This Row],[Durable Goods]]-B329)/B329</f>
        <v/>
      </c>
    </row>
    <row r="331">
      <c r="A331" s="74" t="n">
        <v>43525</v>
      </c>
      <c r="B331" s="75">
        <f>VLOOKUP(A331,Database!A:M,MATCH($A$1,Database!$A$1:$M$1,),)</f>
        <v/>
      </c>
      <c r="C331" s="118">
        <f>(Table535141516[[#This Row],[Durable Goods]]-B330)/B330</f>
        <v/>
      </c>
    </row>
    <row r="332">
      <c r="A332" s="74" t="n">
        <v>43556</v>
      </c>
      <c r="B332" s="75">
        <f>VLOOKUP(A332,Database!A:M,MATCH($A$1,Database!$A$1:$M$1,),)</f>
        <v/>
      </c>
      <c r="C332" s="118">
        <f>(Table535141516[[#This Row],[Durable Goods]]-B331)/B331</f>
        <v/>
      </c>
    </row>
    <row r="333">
      <c r="A333" s="74" t="n">
        <v>43586</v>
      </c>
      <c r="B333" s="75">
        <f>VLOOKUP(A333,Database!A:M,MATCH($A$1,Database!$A$1:$M$1,),)</f>
        <v/>
      </c>
      <c r="C333" s="118">
        <f>(Table535141516[[#This Row],[Durable Goods]]-B332)/B332</f>
        <v/>
      </c>
    </row>
    <row r="334">
      <c r="A334" s="74" t="n">
        <v>43617</v>
      </c>
      <c r="B334" s="75">
        <f>VLOOKUP(A334,Database!A:M,MATCH($A$1,Database!$A$1:$M$1,),)</f>
        <v/>
      </c>
      <c r="C334" s="118">
        <f>(Table535141516[[#This Row],[Durable Goods]]-B333)/B333</f>
        <v/>
      </c>
    </row>
    <row r="335">
      <c r="A335" s="74" t="n">
        <v>43647</v>
      </c>
      <c r="B335" s="75">
        <f>VLOOKUP(A335,Database!A:M,MATCH($A$1,Database!$A$1:$M$1,),)</f>
        <v/>
      </c>
      <c r="C335" s="118">
        <f>(Table535141516[[#This Row],[Durable Goods]]-B334)/B334</f>
        <v/>
      </c>
    </row>
    <row r="336">
      <c r="A336" s="74" t="n">
        <v>43678</v>
      </c>
      <c r="B336" s="75">
        <f>VLOOKUP(A336,Database!A:M,MATCH($A$1,Database!$A$1:$M$1,),)</f>
        <v/>
      </c>
      <c r="C336" s="118">
        <f>(Table535141516[[#This Row],[Durable Goods]]-B335)/B335</f>
        <v/>
      </c>
    </row>
    <row r="337">
      <c r="A337" s="74" t="n">
        <v>43709</v>
      </c>
      <c r="B337" s="75">
        <f>VLOOKUP(A337,Database!A:M,MATCH($A$1,Database!$A$1:$M$1,),)</f>
        <v/>
      </c>
      <c r="C337" s="118">
        <f>(Table535141516[[#This Row],[Durable Goods]]-B336)/B336</f>
        <v/>
      </c>
    </row>
    <row r="338">
      <c r="A338" s="74" t="n">
        <v>43739</v>
      </c>
      <c r="B338" s="75">
        <f>VLOOKUP(A338,Database!A:M,MATCH($A$1,Database!$A$1:$M$1,),)</f>
        <v/>
      </c>
      <c r="C338" s="118">
        <f>(Table535141516[[#This Row],[Durable Goods]]-B337)/B337</f>
        <v/>
      </c>
    </row>
    <row r="339">
      <c r="A339" s="74" t="n">
        <v>43770</v>
      </c>
      <c r="B339" s="75">
        <f>VLOOKUP(A339,Database!A:M,MATCH($A$1,Database!$A$1:$M$1,),)</f>
        <v/>
      </c>
      <c r="C339" s="118">
        <f>(Table535141516[[#This Row],[Durable Goods]]-B338)/B338</f>
        <v/>
      </c>
    </row>
    <row r="340">
      <c r="A340" s="74" t="n">
        <v>43800</v>
      </c>
      <c r="B340" s="75">
        <f>VLOOKUP(A340,Database!A:M,MATCH($A$1,Database!$A$1:$M$1,),)</f>
        <v/>
      </c>
      <c r="C340" s="118">
        <f>(Table535141516[[#This Row],[Durable Goods]]-B339)/B339</f>
        <v/>
      </c>
    </row>
    <row r="341">
      <c r="A341" s="74" t="n">
        <v>43831</v>
      </c>
      <c r="B341" s="75">
        <f>VLOOKUP(A341,Database!A:M,MATCH($A$1,Database!$A$1:$M$1,),)</f>
        <v/>
      </c>
      <c r="C341" s="118">
        <f>(Table535141516[[#This Row],[Durable Goods]]-B340)/B340</f>
        <v/>
      </c>
    </row>
    <row r="342">
      <c r="A342" s="74" t="n">
        <v>43862</v>
      </c>
      <c r="B342" s="75">
        <f>VLOOKUP(A342,Database!A:M,MATCH($A$1,Database!$A$1:$M$1,),)</f>
        <v/>
      </c>
      <c r="C342" s="118">
        <f>(Table535141516[[#This Row],[Durable Goods]]-B341)/B341</f>
        <v/>
      </c>
    </row>
    <row r="343">
      <c r="A343" s="74" t="n">
        <v>43891</v>
      </c>
      <c r="B343" s="75">
        <f>VLOOKUP(A343,Database!A:M,MATCH($A$1,Database!$A$1:$M$1,),)</f>
        <v/>
      </c>
      <c r="C343" s="118">
        <f>(Table535141516[[#This Row],[Durable Goods]]-B342)/B342</f>
        <v/>
      </c>
    </row>
    <row r="344">
      <c r="A344" s="74" t="n">
        <v>43922</v>
      </c>
      <c r="B344" s="75">
        <f>VLOOKUP(A344,Database!A:M,MATCH($A$1,Database!$A$1:$M$1,),)</f>
        <v/>
      </c>
      <c r="C344" s="118">
        <f>(Table535141516[[#This Row],[Durable Goods]]-B343)/B343</f>
        <v/>
      </c>
    </row>
    <row r="345">
      <c r="A345" s="74" t="n">
        <v>43952</v>
      </c>
      <c r="B345" s="75">
        <f>VLOOKUP(A345,Database!A:M,MATCH($A$1,Database!$A$1:$M$1,),)</f>
        <v/>
      </c>
      <c r="C345" s="118">
        <f>(Table535141516[[#This Row],[Durable Goods]]-B344)/B344</f>
        <v/>
      </c>
    </row>
    <row r="346">
      <c r="A346" s="74" t="n">
        <v>43983</v>
      </c>
      <c r="B346" s="75">
        <f>VLOOKUP(A346,Database!A:M,MATCH($A$1,Database!$A$1:$M$1,),)</f>
        <v/>
      </c>
      <c r="C346" s="118">
        <f>(Table535141516[[#This Row],[Durable Goods]]-B345)/B345</f>
        <v/>
      </c>
    </row>
    <row r="347">
      <c r="A347" s="74" t="n">
        <v>44013</v>
      </c>
      <c r="B347" s="75">
        <f>VLOOKUP(A347,Database!A:M,MATCH($A$1,Database!$A$1:$M$1,),)</f>
        <v/>
      </c>
      <c r="C347" s="118">
        <f>(Table535141516[[#This Row],[Durable Goods]]-B346)/B346</f>
        <v/>
      </c>
    </row>
    <row r="348">
      <c r="A348" s="74" t="n">
        <v>44044</v>
      </c>
      <c r="B348" s="75">
        <f>VLOOKUP(A348,Database!A:M,MATCH($A$1,Database!$A$1:$M$1,),)</f>
        <v/>
      </c>
      <c r="C348" s="118">
        <f>(Table535141516[[#This Row],[Durable Goods]]-B347)/B347</f>
        <v/>
      </c>
    </row>
    <row r="349">
      <c r="A349" s="74" t="n">
        <v>44075</v>
      </c>
      <c r="B349" s="75">
        <f>VLOOKUP(A349,Database!A:M,MATCH($A$1,Database!$A$1:$M$1,),)</f>
        <v/>
      </c>
      <c r="C349" s="118">
        <f>(Table535141516[[#This Row],[Durable Goods]]-B348)/B348</f>
        <v/>
      </c>
    </row>
    <row r="350">
      <c r="A350" s="74" t="n">
        <v>44105</v>
      </c>
      <c r="B350" s="75">
        <f>VLOOKUP(A350,Database!A:M,MATCH($A$1,Database!$A$1:$M$1,),)</f>
        <v/>
      </c>
      <c r="C350" s="118">
        <f>(Table535141516[[#This Row],[Durable Goods]]-B349)/B349</f>
        <v/>
      </c>
    </row>
    <row r="351">
      <c r="A351" s="74" t="n">
        <v>44136</v>
      </c>
      <c r="B351" s="75">
        <f>VLOOKUP(A351,Database!A:M,MATCH($A$1,Database!$A$1:$M$1,),)</f>
        <v/>
      </c>
      <c r="C351" s="118">
        <f>(Table535141516[[#This Row],[Durable Goods]]-B350)/B350</f>
        <v/>
      </c>
    </row>
    <row r="352">
      <c r="A352" s="74" t="n">
        <v>44166</v>
      </c>
      <c r="B352" s="75">
        <f>VLOOKUP(A352,Database!A:M,MATCH($A$1,Database!$A$1:$M$1,),)</f>
        <v/>
      </c>
      <c r="C352" s="118">
        <f>(Table535141516[[#This Row],[Durable Goods]]-B351)/B351</f>
        <v/>
      </c>
    </row>
    <row r="353">
      <c r="A353" s="74" t="n">
        <v>44197</v>
      </c>
      <c r="B353" s="75">
        <f>VLOOKUP(A353,Database!A:M,MATCH($A$1,Database!$A$1:$M$1,),)</f>
        <v/>
      </c>
      <c r="C353" s="118">
        <f>(Table535141516[[#This Row],[Durable Goods]]-B352)/B352</f>
        <v/>
      </c>
    </row>
    <row r="354">
      <c r="A354" s="74" t="n">
        <v>44228</v>
      </c>
      <c r="B354" s="75">
        <f>VLOOKUP(A354,Database!A:M,MATCH($A$1,Database!$A$1:$M$1,),)</f>
        <v/>
      </c>
      <c r="C354" s="118">
        <f>(Table535141516[[#This Row],[Durable Goods]]-B353)/B353</f>
        <v/>
      </c>
    </row>
    <row r="355">
      <c r="A355" s="74" t="n">
        <v>44256</v>
      </c>
      <c r="B355" s="75">
        <f>VLOOKUP(A355,Database!A:M,MATCH($A$1,Database!$A$1:$M$1,),)</f>
        <v/>
      </c>
      <c r="C355" s="118">
        <f>(Table535141516[[#This Row],[Durable Goods]]-B354)/B354</f>
        <v/>
      </c>
    </row>
    <row r="356">
      <c r="A356" s="74" t="n">
        <v>44287</v>
      </c>
      <c r="B356" s="75">
        <f>VLOOKUP(A356,Database!A:M,MATCH($A$1,Database!$A$1:$M$1,),)</f>
        <v/>
      </c>
      <c r="C356" s="118">
        <f>(Table535141516[[#This Row],[Durable Goods]]-B355)/B355</f>
        <v/>
      </c>
    </row>
    <row r="357">
      <c r="A357" s="74" t="n">
        <v>44317</v>
      </c>
      <c r="B357" s="75">
        <f>VLOOKUP(A357,Database!A:M,MATCH($A$1,Database!$A$1:$M$1,),)</f>
        <v/>
      </c>
      <c r="C357" s="118">
        <f>(Table535141516[[#This Row],[Durable Goods]]-B356)/B356</f>
        <v/>
      </c>
    </row>
    <row r="358">
      <c r="A358" s="74" t="n">
        <v>44348</v>
      </c>
      <c r="B358" s="75">
        <f>VLOOKUP(A358,Database!A:M,MATCH($A$1,Database!$A$1:$M$1,),)</f>
        <v/>
      </c>
      <c r="C358" s="118">
        <f>(Table535141516[[#This Row],[Durable Goods]]-B357)/B357</f>
        <v/>
      </c>
    </row>
    <row r="359">
      <c r="A359" s="74" t="n">
        <v>44378</v>
      </c>
      <c r="B359" s="75">
        <f>VLOOKUP(A359,Database!A:M,MATCH($A$1,Database!$A$1:$M$1,),)</f>
        <v/>
      </c>
      <c r="C359" s="118">
        <f>(Table535141516[[#This Row],[Durable Goods]]-B358)/B358</f>
        <v/>
      </c>
    </row>
    <row r="360">
      <c r="A360" s="74" t="n">
        <v>44409</v>
      </c>
      <c r="B360" s="75">
        <f>VLOOKUP(A360,Database!A:M,MATCH($A$1,Database!$A$1:$M$1,),)</f>
        <v/>
      </c>
      <c r="C360" s="118">
        <f>(Table535141516[[#This Row],[Durable Goods]]-B359)/B359</f>
        <v/>
      </c>
    </row>
    <row r="361">
      <c r="A361" s="74" t="n">
        <v>44440</v>
      </c>
      <c r="B361" s="75">
        <f>VLOOKUP(A361,Database!A:M,MATCH($A$1,Database!$A$1:$M$1,),)</f>
        <v/>
      </c>
      <c r="C361" s="118">
        <f>(Table535141516[[#This Row],[Durable Goods]]-B360)/B360</f>
        <v/>
      </c>
    </row>
    <row r="362">
      <c r="A362" s="74" t="n">
        <v>44470</v>
      </c>
      <c r="B362" s="75">
        <f>VLOOKUP(A362,Database!A:M,MATCH($A$1,Database!$A$1:$M$1,),)</f>
        <v/>
      </c>
      <c r="C362" s="118">
        <f>(Table535141516[[#This Row],[Durable Goods]]-B361)/B361</f>
        <v/>
      </c>
    </row>
    <row r="363">
      <c r="A363" s="74" t="n">
        <v>44501</v>
      </c>
      <c r="B363" s="75">
        <f>VLOOKUP(A363,Database!A:M,MATCH($A$1,Database!$A$1:$M$1,),)</f>
        <v/>
      </c>
      <c r="C363" s="118">
        <f>(Table535141516[[#This Row],[Durable Goods]]-B362)/B362</f>
        <v/>
      </c>
    </row>
    <row r="364">
      <c r="A364" s="74" t="n">
        <v>44531</v>
      </c>
      <c r="B364" s="75">
        <f>VLOOKUP(A364,Database!A:M,MATCH($A$1,Database!$A$1:$M$1,),)</f>
        <v/>
      </c>
      <c r="C364" s="118">
        <f>(Table535141516[[#This Row],[Durable Goods]]-B363)/B363</f>
        <v/>
      </c>
    </row>
    <row r="365">
      <c r="A365" s="74" t="n">
        <v>44562</v>
      </c>
      <c r="B365" s="75">
        <f>VLOOKUP(A365,Database!A:M,MATCH($A$1,Database!$A$1:$M$1,),)</f>
        <v/>
      </c>
      <c r="C365" s="118">
        <f>(Table535141516[[#This Row],[Durable Goods]]-B364)/B364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2022-02-27T01:43:52Z</dcterms:modified>
  <cp:lastModifiedBy>Mark Mukherjee</cp:lastModifiedBy>
</cp:coreProperties>
</file>