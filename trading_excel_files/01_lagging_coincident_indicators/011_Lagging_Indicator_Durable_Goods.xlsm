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ex Aircraft" sheetId="5" state="visible" r:id="rId5"/>
    <sheet xmlns:r="http://schemas.openxmlformats.org/officeDocument/2006/relationships" name="New Orders"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1" fillId="3" borderId="30" applyAlignment="1" pivotButton="0" quotePrefix="0" xfId="0">
      <alignment wrapText="1"/>
    </xf>
    <xf numFmtId="0" fontId="0" fillId="0" borderId="27" pivotButton="0" quotePrefix="0" xfId="0"/>
    <xf numFmtId="0" fontId="1" fillId="3" borderId="29" applyAlignment="1" pivotButton="0" quotePrefix="0" xfId="0">
      <alignment wrapText="1"/>
    </xf>
    <xf numFmtId="0" fontId="0" fillId="0" borderId="16" pivotButton="0" quotePrefix="0" xfId="0"/>
    <xf numFmtId="0" fontId="1" fillId="3" borderId="31" applyAlignment="1" pivotButton="0" quotePrefix="0" xfId="0">
      <alignment wrapText="1"/>
    </xf>
    <xf numFmtId="0" fontId="0" fillId="0" borderId="26" pivotButton="0" quotePrefix="0" xfId="0"/>
    <xf numFmtId="0" fontId="20" fillId="3" borderId="0" pivotButton="0" quotePrefix="0" xfId="5"/>
    <xf numFmtId="0" fontId="0" fillId="3" borderId="0" pivotButton="0" quotePrefix="0" xfId="0"/>
    <xf numFmtId="0" fontId="23" fillId="3" borderId="0" applyAlignment="1" pivotButton="0" quotePrefix="0" xfId="0">
      <alignment wrapText="1"/>
    </xf>
    <xf numFmtId="0" fontId="25" fillId="3" borderId="29" applyAlignment="1" pivotButton="0" quotePrefix="0" xfId="0">
      <alignment wrapText="1"/>
    </xf>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1" fillId="6" borderId="1" applyAlignment="1" pivotButton="0" quotePrefix="0" xfId="0">
      <alignment horizontal="center"/>
    </xf>
    <xf numFmtId="0" fontId="0" fillId="0" borderId="15" pivotButton="0" quotePrefix="0" xfId="0"/>
    <xf numFmtId="0" fontId="0" fillId="3" borderId="0" applyAlignment="1" pivotButton="0" quotePrefix="0" xfId="0">
      <alignment vertical="center" wrapText="1"/>
    </xf>
    <xf numFmtId="0" fontId="0" fillId="3" borderId="0" applyAlignment="1" pivotButton="0" quotePrefix="0" xfId="0">
      <alignment wrapText="1"/>
    </xf>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Aircraft'!$A$209:$A$350</f>
              <numCache>
                <formatCode>m/d/yy</formatCode>
                <ptCount val="142"/>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numCache>
            </numRef>
          </cat>
          <val>
            <numRef>
              <f>'New Orders ex Aircraft'!$B$209:$B$350</f>
              <numCache>
                <formatCode>#,##0</formatCode>
                <ptCount val="142"/>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numCache>
            </numRef>
          </val>
          <smooth val="0"/>
        </ser>
        <dLbls>
          <showLegendKey val="0"/>
          <showVal val="0"/>
          <showCatName val="0"/>
          <showSerName val="0"/>
          <showPercent val="0"/>
          <showBubbleSize val="0"/>
        </dLbls>
        <smooth val="0"/>
        <axId val="504146408"/>
        <axId val="504146800"/>
      </lineChart>
      <dateAx>
        <axId val="504146408"/>
        <scaling>
          <orientation val="minMax"/>
          <max val="444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Aircraft'!$A$251:$A$360</f>
              <numCache>
                <formatCode>m/d/yy</formatCode>
                <ptCount val="11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numCache>
            </numRef>
          </cat>
          <val>
            <numRef>
              <f>'New Orders ex Aircraft'!$C$251:$C$360</f>
              <numCache>
                <formatCode>0.0%</formatCode>
                <ptCount val="110"/>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470"/>
          <min val="4255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Aircraft'!$B$6:$B$366</f>
              <numCache>
                <formatCode>#,##0</formatCode>
                <ptCount val="361"/>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67525</v>
                </pt>
                <pt idx="240">
                  <v>70075</v>
                </pt>
                <pt idx="241">
                  <v>69719</v>
                </pt>
                <pt idx="242">
                  <v>67645</v>
                </pt>
                <pt idx="243">
                  <v>69182</v>
                </pt>
                <pt idx="244">
                  <v>66971</v>
                </pt>
                <pt idx="245">
                  <v>65070</v>
                </pt>
                <pt idx="246">
                  <v>63645</v>
                </pt>
                <pt idx="247">
                  <v>63932</v>
                </pt>
                <pt idx="248">
                  <v>66051</v>
                </pt>
                <pt idx="249">
                  <v>66204</v>
                </pt>
                <pt idx="250">
                  <v>66840</v>
                </pt>
                <pt idx="251">
                  <v>69879</v>
                </pt>
                <pt idx="252">
                  <v>66361</v>
                </pt>
                <pt idx="253">
                  <v>66318</v>
                </pt>
                <pt idx="254">
                  <v>67762</v>
                </pt>
                <pt idx="255">
                  <v>69035</v>
                </pt>
                <pt idx="256">
                  <v>69343</v>
                </pt>
                <pt idx="257">
                  <v>66316</v>
                </pt>
                <pt idx="258">
                  <v>65933</v>
                </pt>
                <pt idx="259">
                  <v>66371</v>
                </pt>
                <pt idx="260">
                  <v>65016</v>
                </pt>
                <pt idx="261">
                  <v>68053</v>
                </pt>
                <pt idx="262">
                  <v>67775</v>
                </pt>
                <pt idx="263">
                  <v>68237</v>
                </pt>
                <pt idx="264">
                  <v>67386</v>
                </pt>
                <pt idx="265">
                  <v>68683</v>
                </pt>
                <pt idx="266">
                  <v>66486</v>
                </pt>
                <pt idx="267">
                  <v>65819</v>
                </pt>
                <pt idx="268">
                  <v>69618</v>
                </pt>
                <pt idx="269">
                  <v>67842</v>
                </pt>
                <pt idx="270">
                  <v>68514</v>
                </pt>
                <pt idx="271">
                  <v>69207</v>
                </pt>
                <pt idx="272">
                  <v>65557</v>
                </pt>
                <pt idx="273">
                  <v>63687</v>
                </pt>
                <pt idx="274">
                  <v>66300</v>
                </pt>
                <pt idx="275">
                  <v>64791</v>
                </pt>
                <pt idx="276">
                  <v>64232</v>
                </pt>
                <pt idx="277">
                  <v>64712</v>
                </pt>
                <pt idx="278">
                  <v>64365</v>
                </pt>
                <pt idx="279">
                  <v>62596</v>
                </pt>
                <pt idx="280">
                  <v>63739</v>
                </pt>
                <pt idx="281">
                  <v>63551</v>
                </pt>
                <pt idx="282">
                  <v>63525</v>
                </pt>
                <pt idx="283">
                  <v>63188</v>
                </pt>
                <pt idx="284">
                  <v>62996</v>
                </pt>
                <pt idx="285">
                  <v>61848</v>
                </pt>
                <pt idx="286">
                  <v>60613</v>
                </pt>
                <pt idx="287">
                  <v>61637</v>
                </pt>
                <pt idx="288">
                  <v>61150</v>
                </pt>
                <pt idx="289">
                  <v>60583</v>
                </pt>
                <pt idx="290">
                  <v>60924</v>
                </pt>
                <pt idx="291">
                  <v>59566</v>
                </pt>
                <pt idx="292">
                  <v>59608</v>
                </pt>
                <pt idx="293">
                  <v>59809</v>
                </pt>
                <pt idx="294">
                  <v>61691</v>
                </pt>
                <pt idx="295">
                  <v>59308</v>
                </pt>
                <pt idx="296">
                  <v>59351</v>
                </pt>
                <pt idx="297">
                  <v>59244</v>
                </pt>
                <pt idx="298">
                  <v>59539</v>
                </pt>
                <pt idx="299">
                  <v>60419</v>
                </pt>
                <pt idx="300">
                  <v>60740</v>
                </pt>
                <pt idx="301">
                  <v>61013</v>
                </pt>
                <pt idx="302">
                  <v>61308</v>
                </pt>
                <pt idx="303">
                  <v>61404</v>
                </pt>
                <pt idx="304">
                  <v>60378</v>
                </pt>
                <pt idx="305">
                  <v>61535</v>
                </pt>
                <pt idx="306">
                  <v>61552</v>
                </pt>
                <pt idx="307">
                  <v>64088</v>
                </pt>
                <pt idx="308">
                  <v>63703</v>
                </pt>
                <pt idx="309">
                  <v>63645</v>
                </pt>
                <pt idx="310">
                  <v>63795</v>
                </pt>
                <pt idx="311">
                  <v>63324</v>
                </pt>
                <pt idx="312">
                  <v>64087</v>
                </pt>
                <pt idx="313">
                  <v>63553</v>
                </pt>
                <pt idx="314">
                  <v>64909</v>
                </pt>
                <pt idx="315">
                  <v>66231</v>
                </pt>
                <pt idx="316">
                  <v>67247</v>
                </pt>
                <pt idx="317">
                  <v>68749</v>
                </pt>
                <pt idx="318">
                  <v>66798</v>
                </pt>
                <pt idx="319">
                  <v>66399</v>
                </pt>
                <pt idx="320">
                  <v>67104</v>
                </pt>
                <pt idx="321">
                  <v>64292</v>
                </pt>
                <pt idx="322">
                  <v>64894</v>
                </pt>
                <pt idx="323">
                  <v>65841</v>
                </pt>
                <pt idx="324">
                  <v>65221</v>
                </pt>
                <pt idx="325">
                  <v>66457</v>
                </pt>
                <pt idx="326">
                  <v>65737</v>
                </pt>
                <pt idx="327">
                  <v>65271</v>
                </pt>
                <pt idx="328">
                  <v>66139</v>
                </pt>
                <pt idx="329">
                  <v>65823</v>
                </pt>
                <pt idx="330">
                  <v>65593</v>
                </pt>
                <pt idx="331">
                  <v>65187</v>
                </pt>
                <pt idx="332">
                  <v>65642</v>
                </pt>
                <pt idx="333">
                  <v>65189</v>
                </pt>
                <pt idx="334">
                  <v>65045</v>
                </pt>
                <pt idx="335">
                  <v>65765</v>
                </pt>
                <pt idx="336">
                  <v>64885</v>
                </pt>
                <pt idx="337">
                  <v>64103</v>
                </pt>
                <pt idx="338">
                  <v>59872</v>
                </pt>
                <pt idx="339">
                  <v>61297</v>
                </pt>
                <pt idx="340">
                  <v>64300</v>
                </pt>
                <pt idx="341">
                  <v>66189</v>
                </pt>
                <pt idx="342">
                  <v>67791</v>
                </pt>
                <pt idx="343">
                  <v>68646</v>
                </pt>
                <pt idx="344">
                  <v>69626</v>
                </pt>
                <pt idx="345">
                  <v>70563</v>
                </pt>
                <pt idx="346">
                  <v>71619</v>
                </pt>
                <pt idx="347">
                  <v>72386</v>
                </pt>
                <pt idx="348">
                  <v>72150</v>
                </pt>
                <pt idx="349">
                  <v>73318</v>
                </pt>
                <pt idx="350">
                  <v>75315</v>
                </pt>
                <pt idx="351">
                  <v>75742</v>
                </pt>
                <pt idx="352">
                  <v>76530</v>
                </pt>
                <pt idx="353">
                  <v>76736</v>
                </pt>
                <pt idx="354">
                  <v>77206</v>
                </pt>
                <pt idx="355">
                  <v>78190</v>
                </pt>
                <pt idx="356">
                  <v>78819</v>
                </pt>
                <pt idx="357">
                  <v>78973</v>
                </pt>
                <pt idx="358">
                  <v>79183</v>
                </pt>
                <pt idx="359">
                  <v>79986</v>
                </pt>
                <pt idx="360">
                  <v>80093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Aircraft'!$A$209:$A$368</f>
              <numCache>
                <formatCode>m/d/yy</formatCode>
                <ptCount val="160"/>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numCache>
            </numRef>
          </cat>
          <val>
            <numRef>
              <f>'New Orders ex Aircraft'!$B$209:$B$368</f>
              <numCache>
                <formatCode>#,##0</formatCode>
                <ptCount val="160"/>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pt idx="142">
                  <v>70563</v>
                </pt>
                <pt idx="143">
                  <v>71619</v>
                </pt>
                <pt idx="144">
                  <v>72386</v>
                </pt>
                <pt idx="145">
                  <v>72150</v>
                </pt>
                <pt idx="146">
                  <v>73318</v>
                </pt>
                <pt idx="147">
                  <v>75315</v>
                </pt>
                <pt idx="148">
                  <v>75742</v>
                </pt>
                <pt idx="149">
                  <v>76530</v>
                </pt>
                <pt idx="150">
                  <v>76736</v>
                </pt>
                <pt idx="151">
                  <v>77206</v>
                </pt>
                <pt idx="152">
                  <v>78190</v>
                </pt>
                <pt idx="153">
                  <v>78819</v>
                </pt>
                <pt idx="154">
                  <v>78973</v>
                </pt>
                <pt idx="155">
                  <v>79183</v>
                </pt>
                <pt idx="156">
                  <v>79986</v>
                </pt>
                <pt idx="157">
                  <v>80093</v>
                </pt>
              </numCache>
            </numRef>
          </val>
          <smooth val="0"/>
        </ser>
        <dLbls>
          <showLegendKey val="0"/>
          <showVal val="0"/>
          <showCatName val="0"/>
          <showSerName val="0"/>
          <showPercent val="0"/>
          <showBubbleSize val="0"/>
        </dLbls>
        <smooth val="0"/>
        <axId val="504146408"/>
        <axId val="504146800"/>
      </lineChart>
      <dateAx>
        <axId val="504146408"/>
        <scaling>
          <orientation val="minMax"/>
          <max val="4456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Aircraft'!$C$6:$C$366</f>
              <numCache>
                <formatCode>0.0%</formatCode>
                <ptCount val="361"/>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-0.01968612534661227</v>
                </pt>
                <pt idx="240">
                  <v>0.03776379118844872</v>
                </pt>
                <pt idx="241">
                  <v>-0.005080271138066358</v>
                </pt>
                <pt idx="242">
                  <v>-0.02974798835324661</v>
                </pt>
                <pt idx="243">
                  <v>0.02272156109098973</v>
                </pt>
                <pt idx="244">
                  <v>-0.03195918013356075</v>
                </pt>
                <pt idx="245">
                  <v>-0.02838542055516567</v>
                </pt>
                <pt idx="246">
                  <v>-0.0218994928538497</v>
                </pt>
                <pt idx="247">
                  <v>0.004509388011626993</v>
                </pt>
                <pt idx="248">
                  <v>0.03314459112807358</v>
                </pt>
                <pt idx="249">
                  <v>0.002316391879002589</v>
                </pt>
                <pt idx="250">
                  <v>0.009606670291825267</v>
                </pt>
                <pt idx="251">
                  <v>0.04546678635547576</v>
                </pt>
                <pt idx="252">
                  <v>-0.05034416634468152</v>
                </pt>
                <pt idx="253">
                  <v>-0.0006479709467910369</v>
                </pt>
                <pt idx="254">
                  <v>0.02177387737869055</v>
                </pt>
                <pt idx="255">
                  <v>0.01878634042678787</v>
                </pt>
                <pt idx="256">
                  <v>0.004461505033678569</v>
                </pt>
                <pt idx="257">
                  <v>-0.04365256767085358</v>
                </pt>
                <pt idx="258">
                  <v>-0.005775378490861934</v>
                </pt>
                <pt idx="259">
                  <v>0.006643107396902916</v>
                </pt>
                <pt idx="260">
                  <v>-0.02041554293290744</v>
                </pt>
                <pt idx="261">
                  <v>0.04671157868832287</v>
                </pt>
                <pt idx="262">
                  <v>-0.004085051357030549</v>
                </pt>
                <pt idx="263">
                  <v>0.006816672814459609</v>
                </pt>
                <pt idx="264">
                  <v>-0.01247123994313935</v>
                </pt>
                <pt idx="265">
                  <v>0.01924732140207165</v>
                </pt>
                <pt idx="266">
                  <v>-0.03198753694509558</v>
                </pt>
                <pt idx="267">
                  <v>-0.01003218722738622</v>
                </pt>
                <pt idx="268">
                  <v>0.0577188957595831</v>
                </pt>
                <pt idx="269">
                  <v>-0.02551064379901749</v>
                </pt>
                <pt idx="270">
                  <v>0.009905368355885735</v>
                </pt>
                <pt idx="271">
                  <v>0.01011472107890358</v>
                </pt>
                <pt idx="272">
                  <v>-0.05274032973543138</v>
                </pt>
                <pt idx="273">
                  <v>-0.02852479521637659</v>
                </pt>
                <pt idx="274">
                  <v>0.04102878138395591</v>
                </pt>
                <pt idx="275">
                  <v>-0.02276018099547511</v>
                </pt>
                <pt idx="276">
                  <v>-0.008627741507308113</v>
                </pt>
                <pt idx="277">
                  <v>0.00747291069871715</v>
                </pt>
                <pt idx="278">
                  <v>-0.005362220299171714</v>
                </pt>
                <pt idx="279">
                  <v>-0.02748388099122194</v>
                </pt>
                <pt idx="280">
                  <v>0.0182599527126334</v>
                </pt>
                <pt idx="281">
                  <v>-0.002949528546102073</v>
                </pt>
                <pt idx="282">
                  <v>-0.0004091202341426571</v>
                </pt>
                <pt idx="283">
                  <v>-0.00530499803227076</v>
                </pt>
                <pt idx="284">
                  <v>-0.003038551623726024</v>
                </pt>
                <pt idx="285">
                  <v>-0.01822337926217538</v>
                </pt>
                <pt idx="286">
                  <v>-0.01996830940369939</v>
                </pt>
                <pt idx="287">
                  <v>0.01689406562948543</v>
                </pt>
                <pt idx="288">
                  <v>-0.007901098366241057</v>
                </pt>
                <pt idx="289">
                  <v>-0.009272281275551922</v>
                </pt>
                <pt idx="290">
                  <v>0.005628641698166152</v>
                </pt>
                <pt idx="291">
                  <v>-0.02229006631212658</v>
                </pt>
                <pt idx="292">
                  <v>0.000705100224960548</v>
                </pt>
                <pt idx="293">
                  <v>0.003372030599919474</v>
                </pt>
                <pt idx="294">
                  <v>0.03146683609490211</v>
                </pt>
                <pt idx="295">
                  <v>-0.03862800084291063</v>
                </pt>
                <pt idx="296">
                  <v>0.0007250286639239225</v>
                </pt>
                <pt idx="297">
                  <v>-0.001802833987632896</v>
                </pt>
                <pt idx="298">
                  <v>0.004979407197353319</v>
                </pt>
                <pt idx="299">
                  <v>0.01478022808579251</v>
                </pt>
                <pt idx="300">
                  <v>0.005312898260480974</v>
                </pt>
                <pt idx="301">
                  <v>0.004494567006914718</v>
                </pt>
                <pt idx="302">
                  <v>0.00483503515644207</v>
                </pt>
                <pt idx="303">
                  <v>0.001565864161284009</v>
                </pt>
                <pt idx="304">
                  <v>-0.01670900918506938</v>
                </pt>
                <pt idx="305">
                  <v>0.01916260889728047</v>
                </pt>
                <pt idx="306">
                  <v>0.0002762655399366214</v>
                </pt>
                <pt idx="307">
                  <v>0.04120093579412529</v>
                </pt>
                <pt idx="308">
                  <v>-0.006007364873299214</v>
                </pt>
                <pt idx="309">
                  <v>-0.0009104751738536646</v>
                </pt>
                <pt idx="310">
                  <v>0.002356823002592505</v>
                </pt>
                <pt idx="311">
                  <v>-0.007383023747942629</v>
                </pt>
                <pt idx="312">
                  <v>0.01204914408439138</v>
                </pt>
                <pt idx="313">
                  <v>-0.008332423112331674</v>
                </pt>
                <pt idx="314">
                  <v>0.02133652227274873</v>
                </pt>
                <pt idx="315">
                  <v>0.02036697530388698</v>
                </pt>
                <pt idx="316">
                  <v>0.01534024852410503</v>
                </pt>
                <pt idx="317">
                  <v>0.02233556887296088</v>
                </pt>
                <pt idx="318">
                  <v>-0.0283785945977396</v>
                </pt>
                <pt idx="319">
                  <v>-0.005973232731518908</v>
                </pt>
                <pt idx="320">
                  <v>0.01061762978358108</v>
                </pt>
                <pt idx="321">
                  <v>-0.04190510252742012</v>
                </pt>
                <pt idx="322">
                  <v>0.009363528899396503</v>
                </pt>
                <pt idx="323">
                  <v>0.01459302863130644</v>
                </pt>
                <pt idx="324">
                  <v>-0.009416624899378806</v>
                </pt>
                <pt idx="325">
                  <v>0.01895095138069027</v>
                </pt>
                <pt idx="326">
                  <v>-0.01083407316008848</v>
                </pt>
                <pt idx="327">
                  <v>-0.007088854070006237</v>
                </pt>
                <pt idx="328">
                  <v>0.01329840204685082</v>
                </pt>
                <pt idx="329">
                  <v>-0.00477781641694008</v>
                </pt>
                <pt idx="330">
                  <v>-0.00349421934582137</v>
                </pt>
                <pt idx="331">
                  <v>-0.006189684874910432</v>
                </pt>
                <pt idx="332">
                  <v>0.006979919309064691</v>
                </pt>
                <pt idx="333">
                  <v>-0.006901069437250541</v>
                </pt>
                <pt idx="334">
                  <v>-0.00220896163463161</v>
                </pt>
                <pt idx="335">
                  <v>0.01106925974325467</v>
                </pt>
                <pt idx="336">
                  <v>-0.01338097772371322</v>
                </pt>
                <pt idx="337">
                  <v>-0.01205209216305772</v>
                </pt>
                <pt idx="338">
                  <v>-0.06600315117857199</v>
                </pt>
                <pt idx="339">
                  <v>0.02380077498663816</v>
                </pt>
                <pt idx="340">
                  <v>0.04899097835130593</v>
                </pt>
                <pt idx="341">
                  <v>0.02937791601866252</v>
                </pt>
                <pt idx="342">
                  <v>0.02420341748628926</v>
                </pt>
                <pt idx="343">
                  <v>0.01261229366730097</v>
                </pt>
                <pt idx="344">
                  <v>0.01427614136293448</v>
                </pt>
                <pt idx="345">
                  <v>0.0134576164076638</v>
                </pt>
                <pt idx="346">
                  <v>0.01496535011266528</v>
                </pt>
                <pt idx="347">
                  <v>0.01070944861000572</v>
                </pt>
                <pt idx="348">
                  <v>-0.003260298952836184</v>
                </pt>
                <pt idx="349">
                  <v>0.01618849618849619</v>
                </pt>
                <pt idx="350">
                  <v>0.02723751329823508</v>
                </pt>
                <pt idx="351">
                  <v>0.005669521343689836</v>
                </pt>
                <pt idx="352">
                  <v>0.0104037390087402</v>
                </pt>
                <pt idx="353">
                  <v>0.002691754867372272</v>
                </pt>
                <pt idx="354">
                  <v>0.006124895746455379</v>
                </pt>
                <pt idx="355">
                  <v>0.01274512343600238</v>
                </pt>
                <pt idx="356">
                  <v>0.008044506970200793</v>
                </pt>
                <pt idx="357">
                  <v>0.001953843616386912</v>
                </pt>
                <pt idx="358">
                  <v>0.002659136666962126</v>
                </pt>
                <pt idx="359">
                  <v>0.01014106563277471</v>
                </pt>
                <pt idx="360">
                  <v>0.001337734103468107</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 ex Aircraft'!$C$251:$C$368</f>
              <numCache>
                <formatCode>0.0%</formatCode>
                <ptCount val="118"/>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pt idx="110">
                  <v>0.01274512343600238</v>
                </pt>
                <pt idx="111">
                  <v>0.008044506970200793</v>
                </pt>
                <pt idx="112">
                  <v>0.001953843616386912</v>
                </pt>
                <pt idx="113">
                  <v>0.002659136666962126</v>
                </pt>
                <pt idx="114">
                  <v>0.01014106563277471</v>
                </pt>
                <pt idx="115">
                  <v>0.001337734103468107</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56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Orders'!$B$6:$B$369</f>
              <numCache>
                <formatCode>#,##0</formatCode>
                <ptCount val="364"/>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pt idx="360">
                  <v>271512</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8.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Orders'!$C$6:$C$366</f>
              <numCache>
                <formatCode>0.0%</formatCode>
                <ptCount val="361"/>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0.003020081756651105</v>
                </pt>
                <pt idx="240">
                  <v>0.01745126074000828</v>
                </pt>
                <pt idx="241">
                  <v>-0.03808185475574467</v>
                </pt>
                <pt idx="242">
                  <v>-0.005015245983707277</v>
                </pt>
                <pt idx="243">
                  <v>0.01028230601752749</v>
                </pt>
                <pt idx="244">
                  <v>-0.02039605932740542</v>
                </pt>
                <pt idx="245">
                  <v>0.03560551090488097</v>
                </pt>
                <pt idx="246">
                  <v>-0.09381233961843133</v>
                </pt>
                <pt idx="247">
                  <v>0.06927221330286525</v>
                </pt>
                <pt idx="248">
                  <v>0.009156226971260133</v>
                </pt>
                <pt idx="249">
                  <v>-0.02320773317268196</v>
                </pt>
                <pt idx="250">
                  <v>0.08752330357017704</v>
                </pt>
                <pt idx="251">
                  <v>-0.04282185130287212</v>
                </pt>
                <pt idx="252">
                  <v>0.04263694633463203</v>
                </pt>
                <pt idx="253">
                  <v>-0.0646183385208815</v>
                </pt>
                <pt idx="254">
                  <v>0.04947601448841801</v>
                </pt>
                <pt idx="255">
                  <v>0.03222863959092564</v>
                </pt>
                <pt idx="256">
                  <v>0.05048942967847189</v>
                </pt>
                <pt idx="257">
                  <v>-0.0983701366982124</v>
                </pt>
                <pt idx="258">
                  <v>-0.002686857722136747</v>
                </pt>
                <pt idx="259">
                  <v>0.07462512031231729</v>
                </pt>
                <pt idx="260">
                  <v>-0.0202151257690537</v>
                </pt>
                <pt idx="261">
                  <v>0.03412217001281503</v>
                </pt>
                <pt idx="262">
                  <v>-0.02143848517894319</v>
                </pt>
                <pt idx="263">
                  <v>-0.04303117797533115</v>
                </pt>
                <pt idx="264">
                  <v>0.01666490225139389</v>
                </pt>
                <pt idx="265">
                  <v>0.02119905242057948</v>
                </pt>
                <pt idx="266">
                  <v>0.001512525067128922</v>
                </pt>
                <pt idx="267">
                  <v>-0.0254238007160917</v>
                </pt>
                <pt idx="268">
                  <v>0.04469139994167091</v>
                </pt>
                <pt idx="269">
                  <v>0.2675980633171943</v>
                </pt>
                <pt idx="270">
                  <v>-0.2271638052599919</v>
                </pt>
                <pt idx="271">
                  <v>0.02307826449409433</v>
                </pt>
                <pt idx="272">
                  <v>-0.03571977932892379</v>
                </pt>
                <pt idx="273">
                  <v>-0.007143873384868095</v>
                </pt>
                <pt idx="274">
                  <v>-0.02309262234573798</v>
                </pt>
                <pt idx="275">
                  <v>-0.02002915918425404</v>
                </pt>
                <pt idx="276">
                  <v>-0.01437863434724629</v>
                </pt>
                <pt idx="277">
                  <v>0.05101796627641558</v>
                </pt>
                <pt idx="278">
                  <v>-0.008157385433177747</v>
                </pt>
                <pt idx="279">
                  <v>-0.05499317938009615</v>
                </pt>
                <pt idx="280">
                  <v>0.09826592295690034</v>
                </pt>
                <pt idx="281">
                  <v>-0.02754182316235426</v>
                </pt>
                <pt idx="282">
                  <v>-0.01935509268574328</v>
                </pt>
                <pt idx="283">
                  <v>-0.02545083118864213</v>
                </pt>
                <pt idx="284">
                  <v>0.01938294941210393</v>
                </pt>
                <pt idx="285">
                  <v>0.02240420965670824</v>
                </pt>
                <pt idx="286">
                  <v>-0.03266349312301287</v>
                </pt>
                <pt idx="287">
                  <v>0.01760502637576154</v>
                </pt>
                <pt idx="288">
                  <v>-0.02518781562840165</v>
                </pt>
                <pt idx="289">
                  <v>-0.01062651594892682</v>
                </pt>
                <pt idx="290">
                  <v>0.04028900771550687</v>
                </pt>
                <pt idx="291">
                  <v>-0.01774137609049436</v>
                </pt>
                <pt idx="292">
                  <v>-0.03584297535625691</v>
                </pt>
                <pt idx="293">
                  <v>0.004272501056387623</v>
                </pt>
                <pt idx="294">
                  <v>0.04335670874240299</v>
                </pt>
                <pt idx="295">
                  <v>-0.04669450742470001</v>
                </pt>
                <pt idx="296">
                  <v>0.1203884316554878</v>
                </pt>
                <pt idx="297">
                  <v>-0.07785086799291846</v>
                </pt>
                <pt idx="298">
                  <v>-0.01550436970278742</v>
                </pt>
                <pt idx="299">
                  <v>0.005984260701198238</v>
                </pt>
                <pt idx="300">
                  <v>-0.01248989416433926</v>
                </pt>
                <pt idx="301">
                  <v>0.03180805388483419</v>
                </pt>
                <pt idx="302">
                  <v>0.006086152875143701</v>
                </pt>
                <pt idx="303">
                  <v>-0.01044966728653687</v>
                </pt>
                <pt idx="304">
                  <v>0.08207559558580466</v>
                </pt>
                <pt idx="305">
                  <v>-0.07325973602055591</v>
                </pt>
                <pt idx="306">
                  <v>0.006001300507559201</v>
                </pt>
                <pt idx="307">
                  <v>0.04823122259079544</v>
                </pt>
                <pt idx="308">
                  <v>-0.01645641170576296</v>
                </pt>
                <pt idx="309">
                  <v>0.03140850650679414</v>
                </pt>
                <pt idx="310">
                  <v>-0.007830407307817321</v>
                </pt>
                <pt idx="311">
                  <v>-0.04112881953012653</v>
                </pt>
                <pt idx="312">
                  <v>0.02214975041597338</v>
                </pt>
                <pt idx="313">
                  <v>0.03801759800665894</v>
                </pt>
                <pt idx="314">
                  <v>0.002952430737062206</v>
                </pt>
                <pt idx="315">
                  <v>0.005241190671764701</v>
                </pt>
                <pt idx="316">
                  <v>0.001202880276081763</v>
                </pt>
                <pt idx="317">
                  <v>-0.03144859929239616</v>
                </pt>
                <pt idx="318">
                  <v>0.06153892218130178</v>
                </pt>
                <pt idx="319">
                  <v>-0.01295462054848614</v>
                </pt>
                <pt idx="320">
                  <v>-0.0223465967774199</v>
                </pt>
                <pt idx="321">
                  <v>-0.04204856254045138</v>
                </pt>
                <pt idx="322">
                  <v>0.05647407536560382</v>
                </pt>
                <pt idx="323">
                  <v>0.04098675171534549</v>
                </pt>
                <pt idx="324">
                  <v>-0.03592477358752304</v>
                </pt>
                <pt idx="325">
                  <v>0.05214170308459511</v>
                </pt>
                <pt idx="326">
                  <v>-0.01270298995014145</v>
                </pt>
                <pt idx="327">
                  <v>-0.05077313365496115</v>
                </pt>
                <pt idx="328">
                  <v>0.02035906672670569</v>
                </pt>
                <pt idx="329">
                  <v>0.02051673906025898</v>
                </pt>
                <pt idx="330">
                  <v>-0.01655268510658744</v>
                </pt>
                <pt idx="331">
                  <v>-0.001209214458459208</v>
                </pt>
                <pt idx="332">
                  <v>0.02183297529319207</v>
                </pt>
                <pt idx="333">
                  <v>-0.06584674057437379</v>
                </pt>
                <pt idx="334">
                  <v>0.02637433968065526</v>
                </pt>
                <pt idx="335">
                  <v>-0.04770265828420216</v>
                </pt>
                <pt idx="336">
                  <v>0.008838769999737851</v>
                </pt>
                <pt idx="337">
                  <v>-0.2073789199700304</v>
                </pt>
                <pt idx="338">
                  <v>-0.1157488102198156</v>
                </pt>
                <pt idx="339">
                  <v>0.1058498575692226</v>
                </pt>
                <pt idx="340">
                  <v>0.1132245212697597</v>
                </pt>
                <pt idx="341">
                  <v>0.09798921827472318</v>
                </pt>
                <pt idx="342">
                  <v>0.01972132316638324</v>
                </pt>
                <pt idx="343">
                  <v>0.01614797679568909</v>
                </pt>
                <pt idx="344">
                  <v>0.009582465676066777</v>
                </pt>
                <pt idx="345">
                  <v>0.02185844884546138</v>
                </pt>
                <pt idx="346">
                  <v>0.01535250900195862</v>
                </pt>
                <pt idx="347">
                  <v>0.02414205569688495</v>
                </pt>
                <pt idx="348">
                  <v>0.0127529198881395</v>
                </pt>
                <pt idx="349">
                  <v>0.01301870779376353</v>
                </pt>
                <pt idx="350">
                  <v>-0.007307579760048423</v>
                </pt>
                <pt idx="351">
                  <v>0.03184006073234159</v>
                </pt>
                <pt idx="352">
                  <v>0.008351302591878025</v>
                </pt>
                <pt idx="353">
                  <v>0.004591268439783748</v>
                </pt>
                <pt idx="354">
                  <v>0.01827341353546124</v>
                </pt>
                <pt idx="355">
                  <v>-0.008434000060703554</v>
                </pt>
                <pt idx="356">
                  <v>0.001434841000485933</v>
                </pt>
                <pt idx="357">
                  <v>0.03175434038391001</v>
                </pt>
                <pt idx="358">
                  <v>-0.006854565451656983</v>
                </pt>
                <pt idx="359">
                  <v>0.03455411875251689</v>
                </pt>
                <pt idx="360">
                  <v>-0.02141968967940747</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Orders'!$A$251:$A$369</f>
              <numCache>
                <formatCode>m/d/yy</formatCode>
                <ptCount val="11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Orders'!$C$251:$C$369</f>
              <numCache>
                <formatCode>0.0%</formatCode>
                <ptCount val="119"/>
                <pt idx="0">
                  <v>0.03560551090488097</v>
                </pt>
                <pt idx="1">
                  <v>-0.09381233961843133</v>
                </pt>
                <pt idx="2">
                  <v>0.06927221330286525</v>
                </pt>
                <pt idx="3">
                  <v>0.009156226971260133</v>
                </pt>
                <pt idx="4">
                  <v>-0.02320773317268196</v>
                </pt>
                <pt idx="5">
                  <v>0.08752330357017704</v>
                </pt>
                <pt idx="6">
                  <v>-0.04282185130287212</v>
                </pt>
                <pt idx="7">
                  <v>0.04263694633463203</v>
                </pt>
                <pt idx="8">
                  <v>-0.0646183385208815</v>
                </pt>
                <pt idx="9">
                  <v>0.04947601448841801</v>
                </pt>
                <pt idx="10">
                  <v>0.03222863959092564</v>
                </pt>
                <pt idx="11">
                  <v>0.05048942967847189</v>
                </pt>
                <pt idx="12">
                  <v>-0.0983701366982124</v>
                </pt>
                <pt idx="13">
                  <v>-0.002686857722136747</v>
                </pt>
                <pt idx="14">
                  <v>0.07462512031231729</v>
                </pt>
                <pt idx="15">
                  <v>-0.0202151257690537</v>
                </pt>
                <pt idx="16">
                  <v>0.03412217001281503</v>
                </pt>
                <pt idx="17">
                  <v>-0.02143848517894319</v>
                </pt>
                <pt idx="18">
                  <v>-0.04303117797533115</v>
                </pt>
                <pt idx="19">
                  <v>0.01666490225139389</v>
                </pt>
                <pt idx="20">
                  <v>0.02119905242057948</v>
                </pt>
                <pt idx="21">
                  <v>0.001512525067128922</v>
                </pt>
                <pt idx="22">
                  <v>-0.0254238007160917</v>
                </pt>
                <pt idx="23">
                  <v>0.04469139994167091</v>
                </pt>
                <pt idx="24">
                  <v>0.2675980633171943</v>
                </pt>
                <pt idx="25">
                  <v>-0.2271638052599919</v>
                </pt>
                <pt idx="26">
                  <v>0.02307826449409433</v>
                </pt>
                <pt idx="27">
                  <v>-0.03571977932892379</v>
                </pt>
                <pt idx="28">
                  <v>-0.007143873384868095</v>
                </pt>
                <pt idx="29">
                  <v>-0.02309262234573798</v>
                </pt>
                <pt idx="30">
                  <v>-0.02002915918425404</v>
                </pt>
                <pt idx="31">
                  <v>-0.01437863434724629</v>
                </pt>
                <pt idx="32">
                  <v>0.05101796627641558</v>
                </pt>
                <pt idx="33">
                  <v>-0.008157385433177747</v>
                </pt>
                <pt idx="34">
                  <v>-0.05499317938009615</v>
                </pt>
                <pt idx="35">
                  <v>0.09826592295690034</v>
                </pt>
                <pt idx="36">
                  <v>-0.02754182316235426</v>
                </pt>
                <pt idx="37">
                  <v>-0.01935509268574328</v>
                </pt>
                <pt idx="38">
                  <v>-0.02545083118864213</v>
                </pt>
                <pt idx="39">
                  <v>0.01938294941210393</v>
                </pt>
                <pt idx="40">
                  <v>0.02240420965670824</v>
                </pt>
                <pt idx="41">
                  <v>-0.03266349312301287</v>
                </pt>
                <pt idx="42">
                  <v>0.01760502637576154</v>
                </pt>
                <pt idx="43">
                  <v>-0.02518781562840165</v>
                </pt>
                <pt idx="44">
                  <v>-0.01062651594892682</v>
                </pt>
                <pt idx="45">
                  <v>0.04028900771550687</v>
                </pt>
                <pt idx="46">
                  <v>-0.01774137609049436</v>
                </pt>
                <pt idx="47">
                  <v>-0.03584297535625691</v>
                </pt>
                <pt idx="48">
                  <v>0.004272501056387623</v>
                </pt>
                <pt idx="49">
                  <v>0.04335670874240299</v>
                </pt>
                <pt idx="50">
                  <v>-0.04669450742470001</v>
                </pt>
                <pt idx="51">
                  <v>0.1203884316554878</v>
                </pt>
                <pt idx="52">
                  <v>-0.07785086799291846</v>
                </pt>
                <pt idx="53">
                  <v>-0.01550436970278742</v>
                </pt>
                <pt idx="54">
                  <v>0.005984260701198238</v>
                </pt>
                <pt idx="55">
                  <v>-0.01248989416433926</v>
                </pt>
                <pt idx="56">
                  <v>0.03180805388483419</v>
                </pt>
                <pt idx="57">
                  <v>0.006086152875143701</v>
                </pt>
                <pt idx="58">
                  <v>-0.01044966728653687</v>
                </pt>
                <pt idx="59">
                  <v>0.08207559558580466</v>
                </pt>
                <pt idx="60">
                  <v>-0.07325973602055591</v>
                </pt>
                <pt idx="61">
                  <v>0.006001300507559201</v>
                </pt>
                <pt idx="62">
                  <v>0.04823122259079544</v>
                </pt>
                <pt idx="63">
                  <v>-0.01645641170576296</v>
                </pt>
                <pt idx="64">
                  <v>0.03140850650679414</v>
                </pt>
                <pt idx="65">
                  <v>-0.007830407307817321</v>
                </pt>
                <pt idx="66">
                  <v>-0.04112881953012653</v>
                </pt>
                <pt idx="67">
                  <v>0.02214975041597338</v>
                </pt>
                <pt idx="68">
                  <v>0.03801759800665894</v>
                </pt>
                <pt idx="69">
                  <v>0.002952430737062206</v>
                </pt>
                <pt idx="70">
                  <v>0.005241190671764701</v>
                </pt>
                <pt idx="71">
                  <v>0.001202880276081763</v>
                </pt>
                <pt idx="72">
                  <v>-0.03144859929239616</v>
                </pt>
                <pt idx="73">
                  <v>0.06153892218130178</v>
                </pt>
                <pt idx="74">
                  <v>-0.01295462054848614</v>
                </pt>
                <pt idx="75">
                  <v>-0.0223465967774199</v>
                </pt>
                <pt idx="76">
                  <v>-0.04204856254045138</v>
                </pt>
                <pt idx="77">
                  <v>0.05647407536560382</v>
                </pt>
                <pt idx="78">
                  <v>0.04098675171534549</v>
                </pt>
                <pt idx="79">
                  <v>-0.03592477358752304</v>
                </pt>
                <pt idx="80">
                  <v>0.05214170308459511</v>
                </pt>
                <pt idx="81">
                  <v>-0.01270298995014145</v>
                </pt>
                <pt idx="82">
                  <v>-0.05077313365496115</v>
                </pt>
                <pt idx="83">
                  <v>0.02035906672670569</v>
                </pt>
                <pt idx="84">
                  <v>0.02051673906025898</v>
                </pt>
                <pt idx="85">
                  <v>-0.01655268510658744</v>
                </pt>
                <pt idx="86">
                  <v>-0.001209214458459208</v>
                </pt>
                <pt idx="87">
                  <v>0.02183297529319207</v>
                </pt>
                <pt idx="88">
                  <v>-0.06584674057437379</v>
                </pt>
                <pt idx="89">
                  <v>0.02637433968065526</v>
                </pt>
                <pt idx="90">
                  <v>-0.04770265828420216</v>
                </pt>
                <pt idx="91">
                  <v>0.008838769999737851</v>
                </pt>
                <pt idx="92">
                  <v>-0.2073789199700304</v>
                </pt>
                <pt idx="93">
                  <v>-0.1157488102198156</v>
                </pt>
                <pt idx="94">
                  <v>0.1058498575692226</v>
                </pt>
                <pt idx="95">
                  <v>0.1132245212697597</v>
                </pt>
                <pt idx="96">
                  <v>0.09798921827472318</v>
                </pt>
                <pt idx="97">
                  <v>0.01972132316638324</v>
                </pt>
                <pt idx="98">
                  <v>0.01614797679568909</v>
                </pt>
                <pt idx="99">
                  <v>0.009582465676066777</v>
                </pt>
                <pt idx="100">
                  <v>0.02185844884546138</v>
                </pt>
                <pt idx="101">
                  <v>0.01535250900195862</v>
                </pt>
                <pt idx="102">
                  <v>0.02414205569688495</v>
                </pt>
                <pt idx="103">
                  <v>0.0127529198881395</v>
                </pt>
                <pt idx="104">
                  <v>0.01301870779376353</v>
                </pt>
                <pt idx="105">
                  <v>-0.007307579760048423</v>
                </pt>
                <pt idx="106">
                  <v>0.03184006073234159</v>
                </pt>
                <pt idx="107">
                  <v>0.008351302591878025</v>
                </pt>
                <pt idx="108">
                  <v>0.004591268439783748</v>
                </pt>
                <pt idx="109">
                  <v>0.01827341353546124</v>
                </pt>
                <pt idx="110">
                  <v>-0.008434000060703554</v>
                </pt>
                <pt idx="111">
                  <v>0.001434841000485933</v>
                </pt>
                <pt idx="112">
                  <v>0.03175434038391001</v>
                </pt>
                <pt idx="113">
                  <v>-0.006854565451656983</v>
                </pt>
                <pt idx="114">
                  <v>0.03455411875251689</v>
                </pt>
                <pt idx="115">
                  <v>-0.02141968967940747</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56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Orders'!$B$6:$B$366</f>
              <numCache>
                <formatCode>#,##0</formatCode>
                <ptCount val="361"/>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pt idx="360">
                  <v>271512</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1.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Transport'!$A$6:$A$367</f>
              <numCache>
                <formatCode>m/d/yy</formatCode>
                <ptCount val="36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Transport'!$B$6:$B$367</f>
              <numCache>
                <formatCode>#,##0</formatCode>
                <ptCount val="362"/>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pt idx="360">
                  <v>188940</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2.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Transport'!$C$6:$C$366</f>
              <numCache>
                <formatCode>0.0%</formatCode>
                <ptCount val="361"/>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-0.0199094321096117</v>
                </pt>
                <pt idx="240">
                  <v>0.01625373222865956</v>
                </pt>
                <pt idx="241">
                  <v>-0.003904400557771508</v>
                </pt>
                <pt idx="242">
                  <v>-0.01332829805382106</v>
                </pt>
                <pt idx="243">
                  <v>-0.004005648822721994</v>
                </pt>
                <pt idx="244">
                  <v>-0.02587309264621113</v>
                </pt>
                <pt idx="245">
                  <v>-0.006556752639024921</v>
                </pt>
                <pt idx="246">
                  <v>-0.021587019033274</v>
                </pt>
                <pt idx="247">
                  <v>0.01032839539000889</v>
                </pt>
                <pt idx="248">
                  <v>0.02069495716254684</v>
                </pt>
                <pt idx="249">
                  <v>-0.001499616613852115</v>
                </pt>
                <pt idx="250">
                  <v>-0.006265715256540945</v>
                </pt>
                <pt idx="251">
                  <v>0.03798862051043576</v>
                </pt>
                <pt idx="252">
                  <v>-0.0142110776569181</v>
                </pt>
                <pt idx="253">
                  <v>-0.02272332348655982</v>
                </pt>
                <pt idx="254">
                  <v>0.02277980660074132</v>
                </pt>
                <pt idx="255">
                  <v>0.007248072641200345</v>
                </pt>
                <pt idx="256">
                  <v>-0.0005443405181856201</v>
                </pt>
                <pt idx="257">
                  <v>-0.01528304518494411</v>
                </pt>
                <pt idx="258">
                  <v>-0.004276329101970889</v>
                </pt>
                <pt idx="259">
                  <v>0.004863707798189996</v>
                </pt>
                <pt idx="260">
                  <v>0.003680683825214707</v>
                </pt>
                <pt idx="261">
                  <v>0.01137767986674547</v>
                </pt>
                <pt idx="262">
                  <v>-0.01615730963860222</v>
                </pt>
                <pt idx="263">
                  <v>0.0208303802253137</v>
                </pt>
                <pt idx="264">
                  <v>0.0005554269844943301</v>
                </pt>
                <pt idx="265">
                  <v>0.01481638128721443</v>
                </pt>
                <pt idx="266">
                  <v>-0.01022395009149459</v>
                </pt>
                <pt idx="267">
                  <v>0.001835635004704226</v>
                </pt>
                <pt idx="268">
                  <v>0.027378997832797</v>
                </pt>
                <pt idx="269">
                  <v>-0.01947084806218398</v>
                </pt>
                <pt idx="270">
                  <v>0.01253642604290939</v>
                </pt>
                <pt idx="271">
                  <v>0.009844446161374231</v>
                </pt>
                <pt idx="272">
                  <v>-0.02665689056074469</v>
                </pt>
                <pt idx="273">
                  <v>-0.02410522454540691</v>
                </pt>
                <pt idx="274">
                  <v>0.009913816248724696</v>
                </pt>
                <pt idx="275">
                  <v>-0.01879556828679857</v>
                </pt>
                <pt idx="276">
                  <v>-0.007545738418917179</v>
                </pt>
                <pt idx="277">
                  <v>0.0044226346071158</v>
                </pt>
                <pt idx="278">
                  <v>-0.003207240753701577</v>
                </pt>
                <pt idx="279">
                  <v>-0.01154095231602986</v>
                </pt>
                <pt idx="280">
                  <v>0.017868719052151</v>
                </pt>
                <pt idx="281">
                  <v>-0.01105065958412662</v>
                </pt>
                <pt idx="282">
                  <v>0.002343075595017881</v>
                </pt>
                <pt idx="283">
                  <v>-0.002679352580927384</v>
                </pt>
                <pt idx="284">
                  <v>-0.01171939251055431</v>
                </pt>
                <pt idx="285">
                  <v>-0.004583847658146211</v>
                </pt>
                <pt idx="286">
                  <v>-0.00932137856082931</v>
                </pt>
                <pt idx="287">
                  <v>0.01407143309212886</v>
                </pt>
                <pt idx="288">
                  <v>-0.01099137333222379</v>
                </pt>
                <pt idx="289">
                  <v>-0.00874357554042589</v>
                </pt>
                <pt idx="290">
                  <v>0.006988654047477577</v>
                </pt>
                <pt idx="291">
                  <v>-0.005233211576285473</v>
                </pt>
                <pt idx="292">
                  <v>-0.00615753980863609</v>
                </pt>
                <pt idx="293">
                  <v>0.006749891646476202</v>
                </pt>
                <pt idx="294">
                  <v>0.001517365007445675</v>
                </pt>
                <pt idx="295">
                  <v>-0.00596160892972912</v>
                </pt>
                <pt idx="296">
                  <v>0.006557400292070153</v>
                </pt>
                <pt idx="297">
                  <v>0.002810116419108792</v>
                </pt>
                <pt idx="298">
                  <v>0.00164341999915722</v>
                </pt>
                <pt idx="299">
                  <v>0.01665264338802412</v>
                </pt>
                <pt idx="300">
                  <v>0.002234559812407324</v>
                </pt>
                <pt idx="301">
                  <v>0.01103090442406017</v>
                </pt>
                <pt idx="302">
                  <v>-0.005166006452403316</v>
                </pt>
                <pt idx="303">
                  <v>0.009338888774860943</v>
                </pt>
                <pt idx="304">
                  <v>-0.0096185130958191</v>
                </pt>
                <pt idx="305">
                  <v>0.01229903702030676</v>
                </pt>
                <pt idx="306">
                  <v>0.005192487120197964</v>
                </pt>
                <pt idx="307">
                  <v>0.01277291254691473</v>
                </pt>
                <pt idx="308">
                  <v>0.01473039655183864</v>
                </pt>
                <pt idx="309">
                  <v>0.004149459064997284</v>
                </pt>
                <pt idx="310">
                  <v>0.006081147140296562</v>
                </pt>
                <pt idx="311">
                  <v>-0.002397025097500615</v>
                </pt>
                <pt idx="312">
                  <v>0.01382575265605112</v>
                </pt>
                <pt idx="313">
                  <v>0.005226849093948769</v>
                </pt>
                <pt idx="314">
                  <v>0.01557989715356235</v>
                </pt>
                <pt idx="315">
                  <v>0.01126253309741621</v>
                </pt>
                <pt idx="316">
                  <v>0.004026729042705664</v>
                </pt>
                <pt idx="317">
                  <v>0.002144331425887704</v>
                </pt>
                <pt idx="318">
                  <v>-0.01151884762192528</v>
                </pt>
                <pt idx="319">
                  <v>-0.005770394445449498</v>
                </pt>
                <pt idx="320">
                  <v>0.01011444634072884</v>
                </pt>
                <pt idx="321">
                  <v>-0.02275946033244714</v>
                </pt>
                <pt idx="322">
                  <v>0.005186748366428517</v>
                </pt>
                <pt idx="323">
                  <v>-0.004224105223219932</v>
                </pt>
                <pt idx="324">
                  <v>-0.00312436496647023</v>
                </pt>
                <pt idx="325">
                  <v>-0.001356860746591922</v>
                </pt>
                <pt idx="326">
                  <v>0.006908341679052352</v>
                </pt>
                <pt idx="327">
                  <v>-0.00227431105479886</v>
                </pt>
                <pt idx="328">
                  <v>0.008571918395336876</v>
                </pt>
                <pt idx="329">
                  <v>-0.01194905597421321</v>
                </pt>
                <pt idx="330">
                  <v>0.0008346979476625271</v>
                </pt>
                <pt idx="331">
                  <v>-0.006124501827164267</v>
                </pt>
                <pt idx="332">
                  <v>-0.0006021318028082402</v>
                </pt>
                <pt idx="333">
                  <v>0.001557512594700612</v>
                </pt>
                <pt idx="334">
                  <v>-0.01180716877531822</v>
                </pt>
                <pt idx="335">
                  <v>0.003063154077297689</v>
                </pt>
                <pt idx="336">
                  <v>-0.005700856742570486</v>
                </pt>
                <pt idx="337">
                  <v>-0.02242769762217056</v>
                </pt>
                <pt idx="338">
                  <v>-0.08415032679738563</v>
                </pt>
                <pt idx="339">
                  <v>0.03719095174894657</v>
                </pt>
                <pt idx="340">
                  <v>0.05331058450049297</v>
                </pt>
                <pt idx="341">
                  <v>0.03495203637932751</v>
                </pt>
                <pt idx="342">
                  <v>0.01382296343810135</v>
                </pt>
                <pt idx="343">
                  <v>0.01302711081585524</v>
                </pt>
                <pt idx="344">
                  <v>0.01758746892838852</v>
                </pt>
                <pt idx="345">
                  <v>0.008040262689498558</v>
                </pt>
                <pt idx="346">
                  <v>0.02014734534827082</v>
                </pt>
                <pt idx="347">
                  <v>0.02060292809864577</v>
                </pt>
                <pt idx="348">
                  <v>-0.005397629253630095</v>
                </pt>
                <pt idx="349">
                  <v>0.03260856783358224</v>
                </pt>
                <pt idx="350">
                  <v>0.01726415524074158</v>
                </pt>
                <pt idx="351">
                  <v>0.005507791509940892</v>
                </pt>
                <pt idx="352">
                  <v>0.006089957693164106</v>
                </pt>
                <pt idx="353">
                  <v>0.008166698020295019</v>
                </pt>
                <pt idx="354">
                  <v>0.003397179079084573</v>
                </pt>
                <pt idx="355">
                  <v>0.006853398530867642</v>
                </pt>
                <pt idx="356">
                  <v>0.003281146445605763</v>
                </pt>
                <pt idx="357">
                  <v>0.01080753278537626</v>
                </pt>
                <pt idx="358">
                  <v>0.006428043410719834</v>
                </pt>
                <pt idx="359">
                  <v>0.01030433995805878</v>
                </pt>
                <pt idx="360">
                  <v>-0.00462548335774268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 ex Transport'!$C$251:$C$463</f>
              <numCache>
                <formatCode>0.0%</formatCode>
                <ptCount val="213"/>
                <pt idx="0">
                  <v>-0.006556752639024921</v>
                </pt>
                <pt idx="1">
                  <v>-0.021587019033274</v>
                </pt>
                <pt idx="2">
                  <v>0.01032839539000889</v>
                </pt>
                <pt idx="3">
                  <v>0.02069495716254684</v>
                </pt>
                <pt idx="4">
                  <v>-0.001499616613852115</v>
                </pt>
                <pt idx="5">
                  <v>-0.006265715256540945</v>
                </pt>
                <pt idx="6">
                  <v>0.03798862051043576</v>
                </pt>
                <pt idx="7">
                  <v>-0.0142110776569181</v>
                </pt>
                <pt idx="8">
                  <v>-0.02272332348655982</v>
                </pt>
                <pt idx="9">
                  <v>0.02277980660074132</v>
                </pt>
                <pt idx="10">
                  <v>0.007248072641200345</v>
                </pt>
                <pt idx="11">
                  <v>-0.0005443405181856201</v>
                </pt>
                <pt idx="12">
                  <v>-0.01528304518494411</v>
                </pt>
                <pt idx="13">
                  <v>-0.004276329101970889</v>
                </pt>
                <pt idx="14">
                  <v>0.004863707798189996</v>
                </pt>
                <pt idx="15">
                  <v>0.003680683825214707</v>
                </pt>
                <pt idx="16">
                  <v>0.01137767986674547</v>
                </pt>
                <pt idx="17">
                  <v>-0.01615730963860222</v>
                </pt>
                <pt idx="18">
                  <v>0.0208303802253137</v>
                </pt>
                <pt idx="19">
                  <v>0.0005554269844943301</v>
                </pt>
                <pt idx="20">
                  <v>0.01481638128721443</v>
                </pt>
                <pt idx="21">
                  <v>-0.01022395009149459</v>
                </pt>
                <pt idx="22">
                  <v>0.001835635004704226</v>
                </pt>
                <pt idx="23">
                  <v>0.027378997832797</v>
                </pt>
                <pt idx="24">
                  <v>-0.01947084806218398</v>
                </pt>
                <pt idx="25">
                  <v>0.01253642604290939</v>
                </pt>
                <pt idx="26">
                  <v>0.009844446161374231</v>
                </pt>
                <pt idx="27">
                  <v>-0.02665689056074469</v>
                </pt>
                <pt idx="28">
                  <v>-0.02410522454540691</v>
                </pt>
                <pt idx="29">
                  <v>0.009913816248724696</v>
                </pt>
                <pt idx="30">
                  <v>-0.01879556828679857</v>
                </pt>
                <pt idx="31">
                  <v>-0.007545738418917179</v>
                </pt>
                <pt idx="32">
                  <v>0.0044226346071158</v>
                </pt>
                <pt idx="33">
                  <v>-0.003207240753701577</v>
                </pt>
                <pt idx="34">
                  <v>-0.01154095231602986</v>
                </pt>
                <pt idx="35">
                  <v>0.017868719052151</v>
                </pt>
                <pt idx="36">
                  <v>-0.01105065958412662</v>
                </pt>
                <pt idx="37">
                  <v>0.002343075595017881</v>
                </pt>
                <pt idx="38">
                  <v>-0.002679352580927384</v>
                </pt>
                <pt idx="39">
                  <v>-0.01171939251055431</v>
                </pt>
                <pt idx="40">
                  <v>-0.004583847658146211</v>
                </pt>
                <pt idx="41">
                  <v>-0.00932137856082931</v>
                </pt>
                <pt idx="42">
                  <v>0.01407143309212886</v>
                </pt>
                <pt idx="43">
                  <v>-0.01099137333222379</v>
                </pt>
                <pt idx="44">
                  <v>-0.00874357554042589</v>
                </pt>
                <pt idx="45">
                  <v>0.006988654047477577</v>
                </pt>
                <pt idx="46">
                  <v>-0.005233211576285473</v>
                </pt>
                <pt idx="47">
                  <v>-0.00615753980863609</v>
                </pt>
                <pt idx="48">
                  <v>0.006749891646476202</v>
                </pt>
                <pt idx="49">
                  <v>0.001517365007445675</v>
                </pt>
                <pt idx="50">
                  <v>-0.00596160892972912</v>
                </pt>
                <pt idx="51">
                  <v>0.006557400292070153</v>
                </pt>
                <pt idx="52">
                  <v>0.002810116419108792</v>
                </pt>
                <pt idx="53">
                  <v>0.00164341999915722</v>
                </pt>
                <pt idx="54">
                  <v>0.01665264338802412</v>
                </pt>
                <pt idx="55">
                  <v>0.002234559812407324</v>
                </pt>
                <pt idx="56">
                  <v>0.01103090442406017</v>
                </pt>
                <pt idx="57">
                  <v>-0.005166006452403316</v>
                </pt>
                <pt idx="58">
                  <v>0.009338888774860943</v>
                </pt>
                <pt idx="59">
                  <v>-0.0096185130958191</v>
                </pt>
                <pt idx="60">
                  <v>0.01229903702030676</v>
                </pt>
                <pt idx="61">
                  <v>0.005192487120197964</v>
                </pt>
                <pt idx="62">
                  <v>0.01277291254691473</v>
                </pt>
                <pt idx="63">
                  <v>0.01473039655183864</v>
                </pt>
                <pt idx="64">
                  <v>0.004149459064997284</v>
                </pt>
                <pt idx="65">
                  <v>0.006081147140296562</v>
                </pt>
                <pt idx="66">
                  <v>-0.002397025097500615</v>
                </pt>
                <pt idx="67">
                  <v>0.01382575265605112</v>
                </pt>
                <pt idx="68">
                  <v>0.005226849093948769</v>
                </pt>
                <pt idx="69">
                  <v>0.01557989715356235</v>
                </pt>
                <pt idx="70">
                  <v>0.01126253309741621</v>
                </pt>
                <pt idx="71">
                  <v>0.004026729042705664</v>
                </pt>
                <pt idx="72">
                  <v>0.002144331425887704</v>
                </pt>
                <pt idx="73">
                  <v>-0.01151884762192528</v>
                </pt>
                <pt idx="74">
                  <v>-0.005770394445449498</v>
                </pt>
                <pt idx="75">
                  <v>0.01011444634072884</v>
                </pt>
                <pt idx="76">
                  <v>-0.02275946033244714</v>
                </pt>
                <pt idx="77">
                  <v>0.005186748366428517</v>
                </pt>
                <pt idx="78">
                  <v>-0.004224105223219932</v>
                </pt>
                <pt idx="79">
                  <v>-0.00312436496647023</v>
                </pt>
                <pt idx="80">
                  <v>-0.001356860746591922</v>
                </pt>
                <pt idx="81">
                  <v>0.006908341679052352</v>
                </pt>
                <pt idx="82">
                  <v>-0.00227431105479886</v>
                </pt>
                <pt idx="83">
                  <v>0.008571918395336876</v>
                </pt>
                <pt idx="84">
                  <v>-0.01194905597421321</v>
                </pt>
                <pt idx="85">
                  <v>0.0008346979476625271</v>
                </pt>
                <pt idx="86">
                  <v>-0.006124501827164267</v>
                </pt>
                <pt idx="87">
                  <v>-0.0006021318028082402</v>
                </pt>
                <pt idx="88">
                  <v>0.001557512594700612</v>
                </pt>
                <pt idx="89">
                  <v>-0.01180716877531822</v>
                </pt>
                <pt idx="90">
                  <v>0.003063154077297689</v>
                </pt>
                <pt idx="91">
                  <v>-0.005700856742570486</v>
                </pt>
                <pt idx="92">
                  <v>-0.02242769762217056</v>
                </pt>
                <pt idx="93">
                  <v>-0.08415032679738563</v>
                </pt>
                <pt idx="94">
                  <v>0.03719095174894657</v>
                </pt>
                <pt idx="95">
                  <v>0.05331058450049297</v>
                </pt>
                <pt idx="96">
                  <v>0.03495203637932751</v>
                </pt>
                <pt idx="97">
                  <v>0.01382296343810135</v>
                </pt>
                <pt idx="98">
                  <v>0.01302711081585524</v>
                </pt>
                <pt idx="99">
                  <v>0.01758746892838852</v>
                </pt>
                <pt idx="100">
                  <v>0.008040262689498558</v>
                </pt>
                <pt idx="101">
                  <v>0.02014734534827082</v>
                </pt>
                <pt idx="102">
                  <v>0.02060292809864577</v>
                </pt>
                <pt idx="103">
                  <v>-0.005397629253630095</v>
                </pt>
                <pt idx="104">
                  <v>0.03260856783358224</v>
                </pt>
                <pt idx="105">
                  <v>0.01726415524074158</v>
                </pt>
                <pt idx="106">
                  <v>0.005507791509940892</v>
                </pt>
                <pt idx="107">
                  <v>0.006089957693164106</v>
                </pt>
                <pt idx="108">
                  <v>0.008166698020295019</v>
                </pt>
                <pt idx="109">
                  <v>0.003397179079084573</v>
                </pt>
                <pt idx="110">
                  <v>0.006853398530867642</v>
                </pt>
                <pt idx="111">
                  <v>0.003281146445605763</v>
                </pt>
                <pt idx="112">
                  <v>0.01080753278537626</v>
                </pt>
                <pt idx="113">
                  <v>0.006428043410719834</v>
                </pt>
                <pt idx="114">
                  <v>0.01030433995805878</v>
                </pt>
                <pt idx="115">
                  <v>-0.00462548335774268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Transport'!$B$6:$B$366</f>
              <numCache>
                <formatCode>#,##0</formatCode>
                <ptCount val="361"/>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pt idx="360">
                  <v>188940</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5.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pt idx="360">
                  <v>196194</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6.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Other!$C$6:$C$366</f>
              <numCache>
                <formatCode>0.0%</formatCode>
                <ptCount val="361"/>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-0.003619065495113968</v>
                </pt>
                <pt idx="240">
                  <v>0.02219357269425263</v>
                </pt>
                <pt idx="241">
                  <v>-0.05259763071660169</v>
                </pt>
                <pt idx="242">
                  <v>-0.01780482170863069</v>
                </pt>
                <pt idx="243">
                  <v>0.01437085723834457</v>
                </pt>
                <pt idx="244">
                  <v>-0.0249726965997352</v>
                </pt>
                <pt idx="245">
                  <v>0.04585559991489681</v>
                </pt>
                <pt idx="246">
                  <v>-0.117594265679036</v>
                </pt>
                <pt idx="247">
                  <v>0.09555871982641714</v>
                </pt>
                <pt idx="248">
                  <v>0.01394416146262061</v>
                </pt>
                <pt idx="249">
                  <v>-0.04001196391293201</v>
                </pt>
                <pt idx="250">
                  <v>0.115507626962377</v>
                </pt>
                <pt idx="251">
                  <v>-0.06532259443560937</v>
                </pt>
                <pt idx="252">
                  <v>0.04823237405245857</v>
                </pt>
                <pt idx="253">
                  <v>-0.08137951898351233</v>
                </pt>
                <pt idx="254">
                  <v>0.06397167791865635</v>
                </pt>
                <pt idx="255">
                  <v>0.04261930130536491</v>
                </pt>
                <pt idx="256">
                  <v>0.06857769226816778</v>
                </pt>
                <pt idx="257">
                  <v>-0.1244423548519803</v>
                </pt>
                <pt idx="258">
                  <v>-0.01010501650608071</v>
                </pt>
                <pt idx="259">
                  <v>0.1023221121542568</v>
                </pt>
                <pt idx="260">
                  <v>-0.0317690217087383</v>
                </pt>
                <pt idx="261">
                  <v>0.02297549396156889</v>
                </pt>
                <pt idx="262">
                  <v>-0.01106036054855775</v>
                </pt>
                <pt idx="263">
                  <v>-0.04796757250513816</v>
                </pt>
                <pt idx="264">
                  <v>0.01339066191726934</v>
                </pt>
                <pt idx="265">
                  <v>0.02476463243604689</v>
                </pt>
                <pt idx="266">
                  <v>0.005479974130364484</v>
                </pt>
                <pt idx="267">
                  <v>-0.04434170854271357</v>
                </pt>
                <pt idx="268">
                  <v>0.06772072786711858</v>
                </pt>
                <pt idx="269">
                  <v>0.3472390290027185</v>
                </pt>
                <pt idx="270">
                  <v>-0.2872104876173925</v>
                </pt>
                <pt idx="271">
                  <v>0.03045381815624286</v>
                </pt>
                <pt idx="272">
                  <v>-0.05089440605181583</v>
                </pt>
                <pt idx="273">
                  <v>0.001312422468193232</v>
                </pt>
                <pt idx="274">
                  <v>-0.04482122978585878</v>
                </pt>
                <pt idx="275">
                  <v>-0.0133711786562404</v>
                </pt>
                <pt idx="276">
                  <v>-0.02009995999060097</v>
                </pt>
                <pt idx="277">
                  <v>0.05318280211020233</v>
                </pt>
                <pt idx="278">
                  <v>-0.004258356717373111</v>
                </pt>
                <pt idx="279">
                  <v>-0.07744172249276939</v>
                </pt>
                <pt idx="280">
                  <v>0.1320663714739317</v>
                </pt>
                <pt idx="281">
                  <v>-0.04459868872636039</v>
                </pt>
                <pt idx="282">
                  <v>-0.0207173338122991</v>
                </pt>
                <pt idx="283">
                  <v>-0.04195706895025109</v>
                </pt>
                <pt idx="284">
                  <v>0.03813704779508846</v>
                </pt>
                <pt idx="285">
                  <v>0.02579217459318186</v>
                </pt>
                <pt idx="286">
                  <v>-0.04300335372846577</v>
                </pt>
                <pt idx="287">
                  <v>0.02170026428978598</v>
                </pt>
                <pt idx="288">
                  <v>-0.03868100376602462</v>
                </pt>
                <pt idx="289">
                  <v>-0.006397361912613355</v>
                </pt>
                <pt idx="290">
                  <v>0.05564368922372308</v>
                </pt>
                <pt idx="291">
                  <v>-0.01444937687848187</v>
                </pt>
                <pt idx="292">
                  <v>-0.05605461273446472</v>
                </pt>
                <pt idx="293">
                  <v>0.01171310001757303</v>
                </pt>
                <pt idx="294">
                  <v>0.05972462538496997</v>
                </pt>
                <pt idx="295">
                  <v>-0.0650834977651976</v>
                </pt>
                <pt idx="296">
                  <v>0.17622704867737</v>
                </pt>
                <pt idx="297">
                  <v>-0.1054758710831356</v>
                </pt>
                <pt idx="298">
                  <v>-0.02797377578682253</v>
                </pt>
                <pt idx="299">
                  <v>0.008894075451296861</v>
                </pt>
                <pt idx="300">
                  <v>-0.01321369990132202</v>
                </pt>
                <pt idx="301">
                  <v>0.04545665260494964</v>
                </pt>
                <pt idx="302">
                  <v>0.01568428720742407</v>
                </pt>
                <pt idx="303">
                  <v>-0.02587610155855333</v>
                </pt>
                <pt idx="304">
                  <v>0.1198460868674452</v>
                </pt>
                <pt idx="305">
                  <v>-0.09181812464624867</v>
                </pt>
                <pt idx="306">
                  <v>-0.001661934769060314</v>
                </pt>
                <pt idx="307">
                  <v>0.06961478557511019</v>
                </pt>
                <pt idx="308">
                  <v>-0.03172254417044457</v>
                </pt>
                <pt idx="309">
                  <v>0.03829012578692936</v>
                </pt>
                <pt idx="310">
                  <v>-0.008315008649250886</v>
                </pt>
                <pt idx="311">
                  <v>-0.06156093118964977</v>
                </pt>
                <pt idx="312">
                  <v>0.02747218126598868</v>
                </pt>
                <pt idx="313">
                  <v>0.05464045233218452</v>
                </pt>
                <pt idx="314">
                  <v>-0.005681025259338513</v>
                </pt>
                <pt idx="315">
                  <v>0.0261521997204662</v>
                </pt>
                <pt idx="316">
                  <v>-0.0110787537541816</v>
                </pt>
                <pt idx="317">
                  <v>-0.05040714125179367</v>
                </pt>
                <pt idx="318">
                  <v>0.0916858842092487</v>
                </pt>
                <pt idx="319">
                  <v>-0.0181890954371609</v>
                </pt>
                <pt idx="320">
                  <v>-0.03713140372333197</v>
                </pt>
                <pt idx="321">
                  <v>-0.05421679662232885</v>
                </pt>
                <pt idx="322">
                  <v>0.07530558698814957</v>
                </pt>
                <pt idx="323">
                  <v>0.06219716681121711</v>
                </pt>
                <pt idx="324">
                  <v>-0.04971503535521238</v>
                </pt>
                <pt idx="325">
                  <v>0.07109878905220708</v>
                </pt>
                <pt idx="326">
                  <v>-0.00451905490250607</v>
                </pt>
                <pt idx="327">
                  <v>-0.072697578717209</v>
                </pt>
                <pt idx="328">
                  <v>0.01983674084201867</v>
                </pt>
                <pt idx="329">
                  <v>0.03323240528764493</v>
                </pt>
                <pt idx="330">
                  <v>-0.01961150849722074</v>
                </pt>
                <pt idx="331">
                  <v>0.001323493124565378</v>
                </pt>
                <pt idx="332">
                  <v>0.0344437474797258</v>
                </pt>
                <pt idx="333">
                  <v>-0.08892702840250782</v>
                </pt>
                <pt idx="334">
                  <v>0.04030853889717549</v>
                </pt>
                <pt idx="335">
                  <v>-0.06235576373814692</v>
                </pt>
                <pt idx="336">
                  <v>0.003624865971342236</v>
                </pt>
                <pt idx="337">
                  <v>-0.2405259228233751</v>
                </pt>
                <pt idx="338">
                  <v>-0.02492107261319586</v>
                </pt>
                <pt idx="339">
                  <v>0.1011664221251342</v>
                </pt>
                <pt idx="340">
                  <v>0.01170918348357513</v>
                </pt>
                <pt idx="341">
                  <v>0.07480575666607805</v>
                </pt>
                <pt idx="342">
                  <v>0.03961555048980346</v>
                </pt>
                <pt idx="343">
                  <v>0.01908919705529875</v>
                </pt>
                <pt idx="344">
                  <v>0.01469970600587988</v>
                </pt>
                <pt idx="345">
                  <v>0.02200713194090678</v>
                </pt>
                <pt idx="346">
                  <v>0.01328382015751171</v>
                </pt>
                <pt idx="347">
                  <v>0.03496937796689377</v>
                </pt>
                <pt idx="348">
                  <v>0.04600303003297389</v>
                </pt>
                <pt idx="349">
                  <v>0.006605777641459065</v>
                </pt>
                <pt idx="350">
                  <v>0.01059129561395094</v>
                </pt>
                <pt idx="351">
                  <v>0.0375325240929547</v>
                </pt>
                <pt idx="352">
                  <v>0.006344849854698095</v>
                </pt>
                <pt idx="353">
                  <v>-0.004171145300242247</v>
                </pt>
                <pt idx="354">
                  <v>0.03363244352080078</v>
                </pt>
                <pt idx="355">
                  <v>-0.007211063891688574</v>
                </pt>
                <pt idx="356">
                  <v>-0.009974148848210828</v>
                </pt>
                <pt idx="357">
                  <v>0.03704251855297376</v>
                </pt>
                <pt idx="358">
                  <v>-0.01940916226630512</v>
                </pt>
                <pt idx="359">
                  <v>0.05032018629020521</v>
                </pt>
                <pt idx="360">
                  <v>-0.02907422712043906</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Other!$C$251:$C$368</f>
              <numCache>
                <formatCode>0.0%</formatCode>
                <ptCount val="118"/>
                <pt idx="0">
                  <v>0.04585559991489681</v>
                </pt>
                <pt idx="1">
                  <v>-0.117594265679036</v>
                </pt>
                <pt idx="2">
                  <v>0.09555871982641714</v>
                </pt>
                <pt idx="3">
                  <v>0.01394416146262061</v>
                </pt>
                <pt idx="4">
                  <v>-0.04001196391293201</v>
                </pt>
                <pt idx="5">
                  <v>0.115507626962377</v>
                </pt>
                <pt idx="6">
                  <v>-0.06532259443560937</v>
                </pt>
                <pt idx="7">
                  <v>0.04823237405245857</v>
                </pt>
                <pt idx="8">
                  <v>-0.08137951898351233</v>
                </pt>
                <pt idx="9">
                  <v>0.06397167791865635</v>
                </pt>
                <pt idx="10">
                  <v>0.04261930130536491</v>
                </pt>
                <pt idx="11">
                  <v>0.06857769226816778</v>
                </pt>
                <pt idx="12">
                  <v>-0.1244423548519803</v>
                </pt>
                <pt idx="13">
                  <v>-0.01010501650608071</v>
                </pt>
                <pt idx="14">
                  <v>0.1023221121542568</v>
                </pt>
                <pt idx="15">
                  <v>-0.0317690217087383</v>
                </pt>
                <pt idx="16">
                  <v>0.02297549396156889</v>
                </pt>
                <pt idx="17">
                  <v>-0.01106036054855775</v>
                </pt>
                <pt idx="18">
                  <v>-0.04796757250513816</v>
                </pt>
                <pt idx="19">
                  <v>0.01339066191726934</v>
                </pt>
                <pt idx="20">
                  <v>0.02476463243604689</v>
                </pt>
                <pt idx="21">
                  <v>0.005479974130364484</v>
                </pt>
                <pt idx="22">
                  <v>-0.04434170854271357</v>
                </pt>
                <pt idx="23">
                  <v>0.06772072786711858</v>
                </pt>
                <pt idx="24">
                  <v>0.3472390290027185</v>
                </pt>
                <pt idx="25">
                  <v>-0.2872104876173925</v>
                </pt>
                <pt idx="26">
                  <v>0.03045381815624286</v>
                </pt>
                <pt idx="27">
                  <v>-0.05089440605181583</v>
                </pt>
                <pt idx="28">
                  <v>0.001312422468193232</v>
                </pt>
                <pt idx="29">
                  <v>-0.04482122978585878</v>
                </pt>
                <pt idx="30">
                  <v>-0.0133711786562404</v>
                </pt>
                <pt idx="31">
                  <v>-0.02009995999060097</v>
                </pt>
                <pt idx="32">
                  <v>0.05318280211020233</v>
                </pt>
                <pt idx="33">
                  <v>-0.004258356717373111</v>
                </pt>
                <pt idx="34">
                  <v>-0.07744172249276939</v>
                </pt>
                <pt idx="35">
                  <v>0.1320663714739317</v>
                </pt>
                <pt idx="36">
                  <v>-0.04459868872636039</v>
                </pt>
                <pt idx="37">
                  <v>-0.0207173338122991</v>
                </pt>
                <pt idx="38">
                  <v>-0.04195706895025109</v>
                </pt>
                <pt idx="39">
                  <v>0.03813704779508846</v>
                </pt>
                <pt idx="40">
                  <v>0.02579217459318186</v>
                </pt>
                <pt idx="41">
                  <v>-0.04300335372846577</v>
                </pt>
                <pt idx="42">
                  <v>0.02170026428978598</v>
                </pt>
                <pt idx="43">
                  <v>-0.03868100376602462</v>
                </pt>
                <pt idx="44">
                  <v>-0.006397361912613355</v>
                </pt>
                <pt idx="45">
                  <v>0.05564368922372308</v>
                </pt>
                <pt idx="46">
                  <v>-0.01444937687848187</v>
                </pt>
                <pt idx="47">
                  <v>-0.05605461273446472</v>
                </pt>
                <pt idx="48">
                  <v>0.01171310001757303</v>
                </pt>
                <pt idx="49">
                  <v>0.05972462538496997</v>
                </pt>
                <pt idx="50">
                  <v>-0.0650834977651976</v>
                </pt>
                <pt idx="51">
                  <v>0.17622704867737</v>
                </pt>
                <pt idx="52">
                  <v>-0.1054758710831356</v>
                </pt>
                <pt idx="53">
                  <v>-0.02797377578682253</v>
                </pt>
                <pt idx="54">
                  <v>0.008894075451296861</v>
                </pt>
                <pt idx="55">
                  <v>-0.01321369990132202</v>
                </pt>
                <pt idx="56">
                  <v>0.04545665260494964</v>
                </pt>
                <pt idx="57">
                  <v>0.01568428720742407</v>
                </pt>
                <pt idx="58">
                  <v>-0.02587610155855333</v>
                </pt>
                <pt idx="59">
                  <v>0.1198460868674452</v>
                </pt>
                <pt idx="60">
                  <v>-0.09181812464624867</v>
                </pt>
                <pt idx="61">
                  <v>-0.001661934769060314</v>
                </pt>
                <pt idx="62">
                  <v>0.06961478557511019</v>
                </pt>
                <pt idx="63">
                  <v>-0.03172254417044457</v>
                </pt>
                <pt idx="64">
                  <v>0.03829012578692936</v>
                </pt>
                <pt idx="65">
                  <v>-0.008315008649250886</v>
                </pt>
                <pt idx="66">
                  <v>-0.06156093118964977</v>
                </pt>
                <pt idx="67">
                  <v>0.02747218126598868</v>
                </pt>
                <pt idx="68">
                  <v>0.05464045233218452</v>
                </pt>
                <pt idx="69">
                  <v>-0.005681025259338513</v>
                </pt>
                <pt idx="70">
                  <v>0.0261521997204662</v>
                </pt>
                <pt idx="71">
                  <v>-0.0110787537541816</v>
                </pt>
                <pt idx="72">
                  <v>-0.05040714125179367</v>
                </pt>
                <pt idx="73">
                  <v>0.0916858842092487</v>
                </pt>
                <pt idx="74">
                  <v>-0.0181890954371609</v>
                </pt>
                <pt idx="75">
                  <v>-0.03713140372333197</v>
                </pt>
                <pt idx="76">
                  <v>-0.05421679662232885</v>
                </pt>
                <pt idx="77">
                  <v>0.07530558698814957</v>
                </pt>
                <pt idx="78">
                  <v>0.06219716681121711</v>
                </pt>
                <pt idx="79">
                  <v>-0.04971503535521238</v>
                </pt>
                <pt idx="80">
                  <v>0.07109878905220708</v>
                </pt>
                <pt idx="81">
                  <v>-0.00451905490250607</v>
                </pt>
                <pt idx="82">
                  <v>-0.072697578717209</v>
                </pt>
                <pt idx="83">
                  <v>0.01983674084201867</v>
                </pt>
                <pt idx="84">
                  <v>0.03323240528764493</v>
                </pt>
                <pt idx="85">
                  <v>-0.01961150849722074</v>
                </pt>
                <pt idx="86">
                  <v>0.001323493124565378</v>
                </pt>
                <pt idx="87">
                  <v>0.0344437474797258</v>
                </pt>
                <pt idx="88">
                  <v>-0.08892702840250782</v>
                </pt>
                <pt idx="89">
                  <v>0.04030853889717549</v>
                </pt>
                <pt idx="90">
                  <v>-0.06235576373814692</v>
                </pt>
                <pt idx="91">
                  <v>0.003624865971342236</v>
                </pt>
                <pt idx="92">
                  <v>-0.2405259228233751</v>
                </pt>
                <pt idx="93">
                  <v>-0.02492107261319586</v>
                </pt>
                <pt idx="94">
                  <v>0.1011664221251342</v>
                </pt>
                <pt idx="95">
                  <v>0.01170918348357513</v>
                </pt>
                <pt idx="96">
                  <v>0.07480575666607805</v>
                </pt>
                <pt idx="97">
                  <v>0.03961555048980346</v>
                </pt>
                <pt idx="98">
                  <v>0.01908919705529875</v>
                </pt>
                <pt idx="99">
                  <v>0.01469970600587988</v>
                </pt>
                <pt idx="100">
                  <v>0.02200713194090678</v>
                </pt>
                <pt idx="101">
                  <v>0.01328382015751171</v>
                </pt>
                <pt idx="102">
                  <v>0.03496937796689377</v>
                </pt>
                <pt idx="103">
                  <v>0.04600303003297389</v>
                </pt>
                <pt idx="104">
                  <v>0.006605777641459065</v>
                </pt>
                <pt idx="105">
                  <v>0.01059129561395094</v>
                </pt>
                <pt idx="106">
                  <v>0.0375325240929547</v>
                </pt>
                <pt idx="107">
                  <v>0.006344849854698095</v>
                </pt>
                <pt idx="108">
                  <v>-0.004171145300242247</v>
                </pt>
                <pt idx="109">
                  <v>0.03363244352080078</v>
                </pt>
                <pt idx="110">
                  <v>-0.007211063891688574</v>
                </pt>
                <pt idx="111">
                  <v>-0.009974148848210828</v>
                </pt>
                <pt idx="112">
                  <v>0.03704251855297376</v>
                </pt>
                <pt idx="113">
                  <v>-0.01940916226630512</v>
                </pt>
                <pt idx="114">
                  <v>0.05032018629020521</v>
                </pt>
                <pt idx="115">
                  <v>-0.02907422712043906</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pt idx="360">
                  <v>196194</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s>
</file>

<file path=xl/drawings/_rels/drawing4.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5.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drawing1.xml><?xml version="1.0" encoding="utf-8"?>
<wsDr xmlns="http://schemas.openxmlformats.org/drawingml/2006/spreadsheetDrawing">
  <twoCellAnchor>
    <from>
      <col>13</col>
      <colOff>19050</colOff>
      <row>2</row>
      <rowOff>19049</rowOff>
    </from>
    <to>
      <col>15</col>
      <colOff>247650</colOff>
      <row>7</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320279</colOff>
      <row>2</row>
      <rowOff>19050</rowOff>
    </from>
    <to>
      <col>19</col>
      <colOff>47625</colOff>
      <row>7</row>
      <rowOff>190500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3</col>
      <colOff>669925</colOff>
      <row>330</row>
      <rowOff>61912</rowOff>
    </from>
    <to>
      <col>11</col>
      <colOff>276225</colOff>
      <row>344</row>
      <rowOff>138112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542925</colOff>
      <row>345</row>
      <rowOff>80962</rowOff>
    </from>
    <to>
      <col>11</col>
      <colOff>238125</colOff>
      <row>359</row>
      <rowOff>157162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660400</colOff>
      <row>330</row>
      <rowOff>61912</rowOff>
    </from>
    <to>
      <col>19</col>
      <colOff>266700</colOff>
      <row>344</row>
      <rowOff>138112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660400</colOff>
      <row>346</row>
      <rowOff>38099</rowOff>
    </from>
    <to>
      <col>21</col>
      <colOff>476250</colOff>
      <row>366</row>
      <rowOff>142874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234950</colOff>
      <row>333</row>
      <rowOff>180975</rowOff>
    </from>
    <to>
      <col>10</col>
      <colOff>539750</colOff>
      <row>348</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26988</colOff>
      <row>333</row>
      <rowOff>180975</rowOff>
    </from>
    <to>
      <col>18</col>
      <colOff>331788</colOff>
      <row>348</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26988</colOff>
      <row>349</row>
      <rowOff>157162</rowOff>
    </from>
    <to>
      <col>20</col>
      <colOff>541338</colOff>
      <row>370</row>
      <rowOff>71437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225425</colOff>
      <row>349</row>
      <rowOff>157163</rowOff>
    </from>
    <to>
      <col>10</col>
      <colOff>530225</colOff>
      <row>364</row>
      <rowOff>42863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212725</colOff>
      <row>329</row>
      <rowOff>150812</rowOff>
    </from>
    <to>
      <col>10</col>
      <colOff>517525</colOff>
      <row>344</row>
      <rowOff>36512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203200</colOff>
      <row>329</row>
      <rowOff>150812</rowOff>
    </from>
    <to>
      <col>18</col>
      <colOff>508000</colOff>
      <row>344</row>
      <rowOff>36512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203200</colOff>
      <row>345</row>
      <rowOff>126999</rowOff>
    </from>
    <to>
      <col>21</col>
      <colOff>19050</colOff>
      <row>366</row>
      <rowOff>41274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203200</colOff>
      <row>345</row>
      <rowOff>127000</rowOff>
    </from>
    <to>
      <col>10</col>
      <colOff>508000</colOff>
      <row>360</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3</col>
      <colOff>492125</colOff>
      <row>329</row>
      <rowOff>23812</rowOff>
    </from>
    <to>
      <col>11</col>
      <colOff>98425</colOff>
      <row>343</row>
      <rowOff>100012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482600</colOff>
      <row>329</row>
      <rowOff>23812</rowOff>
    </from>
    <to>
      <col>19</col>
      <colOff>88900</colOff>
      <row>343</row>
      <rowOff>100012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482600</colOff>
      <row>344</row>
      <rowOff>190499</rowOff>
    </from>
    <to>
      <col>21</col>
      <colOff>298450</colOff>
      <row>365</row>
      <rowOff>104774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482600</colOff>
      <row>345</row>
      <rowOff>0</rowOff>
    </from>
    <to>
      <col>11</col>
      <colOff>88900</colOff>
      <row>359</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 displayName="Table535" ref="A5:C366" headerRowCount="1" totalsRowShown="0" headerRowDxfId="23" dataDxfId="21" headerRowBorderDxfId="22">
  <autoFilter ref="A5:C366"/>
  <tableColumns count="3">
    <tableColumn id="1" name="Date" dataDxfId="20"/>
    <tableColumn id="2" name="New Orders - Nondefense Capital Goods Excluding Aircraft"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14" displayName="Table53514" ref="A5:C366" headerRowCount="1" totalsRowShown="0" headerRowDxfId="17" dataDxfId="15" headerRowBorderDxfId="16">
  <autoFilter ref="A5:C366"/>
  <tableColumns count="3">
    <tableColumn id="1" name="Date" dataDxfId="14"/>
    <tableColumn id="2" name="Manufacturers' New Orders: Durable Goods"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66" headerRowCount="1" totalsRowShown="0" headerRowDxfId="11" dataDxfId="9" headerRowBorderDxfId="10">
  <autoFilter ref="A5:C366"/>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66" headerRowCount="1" totalsRowShown="0" headerRowDxfId="5" dataDxfId="3" headerRowBorderDxfId="4">
  <autoFilter ref="A5:C366"/>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 Type="http://schemas.openxmlformats.org/officeDocument/2006/relationships/drawing" Target="/xl/drawings/drawing1.xml" Id="rId12"/></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opLeftCell="H8" zoomScale="120" zoomScaleNormal="120" workbookViewId="0">
      <selection activeCell="P15" sqref="P15"/>
    </sheetView>
  </sheetViews>
  <sheetFormatPr baseColWidth="10" defaultColWidth="9.1640625" defaultRowHeight="15"/>
  <cols>
    <col width="9.1640625" customWidth="1" style="129" min="1" max="1"/>
    <col width="12.83203125" customWidth="1" style="129" min="2" max="10"/>
    <col width="3.5" customWidth="1" style="129" min="11" max="13"/>
    <col width="21.33203125" customWidth="1" style="129" min="14" max="14"/>
    <col width="15.6640625" customWidth="1" style="129" min="15" max="15"/>
    <col width="10.6640625" bestFit="1" customWidth="1" style="129" min="16" max="17"/>
    <col width="9.1640625" customWidth="1" style="129" min="18" max="18"/>
    <col width="11.5" customWidth="1" style="129" min="19" max="19"/>
    <col width="9.1640625" customWidth="1" style="129" min="20" max="22"/>
    <col width="9.1640625" customWidth="1" style="129" min="23" max="16384"/>
  </cols>
  <sheetData>
    <row r="1">
      <c r="B1" s="132" t="n"/>
    </row>
    <row r="2" ht="16" customHeight="1" s="142" thickBot="1">
      <c r="B2" s="133" t="n"/>
      <c r="C2" s="133" t="n"/>
      <c r="D2" s="133" t="n"/>
      <c r="E2" s="133" t="n"/>
      <c r="F2" s="133" t="n"/>
      <c r="G2" s="133" t="n"/>
      <c r="H2" s="133" t="n"/>
      <c r="I2" s="133" t="n"/>
      <c r="J2" s="133" t="n"/>
    </row>
    <row r="3" ht="16" customHeight="1" s="142" thickBot="1">
      <c r="B3" s="134" t="inlineStr">
        <is>
          <t>Durable Good Orders</t>
        </is>
      </c>
      <c r="C3" s="135" t="n"/>
      <c r="D3" s="135" t="n"/>
      <c r="E3" s="135" t="n"/>
      <c r="F3" s="135" t="n"/>
      <c r="G3" s="135" t="n"/>
      <c r="H3" s="135" t="n"/>
      <c r="I3" s="135" t="n"/>
      <c r="J3" s="136" t="n"/>
    </row>
    <row r="5">
      <c r="B5" s="137" t="inlineStr">
        <is>
          <t>Definition</t>
        </is>
      </c>
      <c r="C5" s="138" t="n"/>
      <c r="D5" s="138" t="n"/>
      <c r="E5" s="138" t="n"/>
      <c r="F5" s="138" t="n"/>
      <c r="G5" s="138" t="n"/>
      <c r="H5" s="138" t="n"/>
      <c r="I5" s="138" t="n"/>
      <c r="J5" s="125" t="n"/>
    </row>
    <row r="7" ht="129" customHeight="1" s="142">
      <c r="B7" s="139"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8" t="inlineStr">
        <is>
          <t>https://www.census.gov/manufacturing/m3/definitions/index.html</t>
        </is>
      </c>
    </row>
    <row r="9">
      <c r="B9" s="61" t="n"/>
      <c r="C9" s="61" t="n"/>
      <c r="D9" s="61" t="n"/>
      <c r="E9" s="61" t="n"/>
    </row>
    <row r="10">
      <c r="B10" s="137" t="inlineStr">
        <is>
          <t>Process / TO DO LIST</t>
        </is>
      </c>
      <c r="C10" s="138" t="n"/>
      <c r="D10" s="138" t="n"/>
      <c r="E10" s="138" t="n"/>
      <c r="F10" s="138" t="n"/>
      <c r="G10" s="138" t="n"/>
      <c r="H10" s="138" t="n"/>
      <c r="I10" s="138" t="n"/>
      <c r="J10" s="125" t="n"/>
      <c r="N10" s="137" t="inlineStr">
        <is>
          <t>Summary</t>
        </is>
      </c>
      <c r="O10" s="138" t="n"/>
      <c r="P10" s="138" t="n"/>
      <c r="Q10" s="138" t="n"/>
      <c r="R10" s="138" t="n"/>
      <c r="S10" s="125" t="n"/>
    </row>
    <row r="12">
      <c r="B12" s="137" t="inlineStr">
        <is>
          <t>TO DO LIST</t>
        </is>
      </c>
      <c r="C12" s="138" t="n"/>
      <c r="D12" s="138" t="n"/>
      <c r="E12" s="138" t="n"/>
      <c r="F12" s="125" t="n"/>
      <c r="G12" s="137" t="inlineStr">
        <is>
          <t>Comments</t>
        </is>
      </c>
      <c r="H12" s="138" t="n"/>
      <c r="I12" s="138" t="n"/>
      <c r="J12" s="125" t="n"/>
    </row>
    <row r="13" ht="16" customHeight="1" s="142" thickBot="1"/>
    <row r="14" ht="19.5" customHeight="1" s="142">
      <c r="B14" s="128" t="n"/>
      <c r="G14" s="129" t="n"/>
      <c r="P14" s="62" t="n">
        <v>44593</v>
      </c>
      <c r="Q14" s="83">
        <f>DATE(YEAR(P14),MONTH(P14)-1,DAY(P14))</f>
        <v/>
      </c>
      <c r="R14" s="63" t="n"/>
    </row>
    <row r="15" ht="18" customHeight="1" s="142" thickBot="1">
      <c r="B15" s="128" t="inlineStr">
        <is>
          <t>https://fred.stlouisfed.org/series/DGORDER</t>
        </is>
      </c>
      <c r="G15" s="140" t="inlineStr">
        <is>
          <t>Durable Goods New Orders</t>
        </is>
      </c>
      <c r="P15" s="76" t="inlineStr">
        <is>
          <t>Last</t>
        </is>
      </c>
      <c r="Q15" s="64" t="inlineStr">
        <is>
          <t>Last</t>
        </is>
      </c>
      <c r="R15" s="65" t="inlineStr">
        <is>
          <t>Var.</t>
        </is>
      </c>
    </row>
    <row r="16" ht="18" customHeight="1" s="142">
      <c r="B16" s="128" t="inlineStr">
        <is>
          <t>https://fred.stlouisfed.org/series/ADXTNO</t>
        </is>
      </c>
      <c r="G16" s="140" t="inlineStr">
        <is>
          <t>New Orders ex Transport</t>
        </is>
      </c>
      <c r="N16" s="126" t="inlineStr">
        <is>
          <t>Durable Goods New Orders</t>
        </is>
      </c>
      <c r="O16" s="127" t="n"/>
      <c r="P16" s="77">
        <f>VLOOKUP($P$14,Database!$A:$M,MATCH(Note!S16,Database!$A$1:$M$1,),)</f>
        <v/>
      </c>
      <c r="Q16" s="77">
        <f>VLOOKUP($Q$14,Database!$A:$M,MATCH(Note!S16,Database!$A$1:$M$1,),)</f>
        <v/>
      </c>
      <c r="R16" s="97">
        <f>(P16-Q16)/Q16</f>
        <v/>
      </c>
      <c r="S16" s="78" t="inlineStr">
        <is>
          <t>DGORDER</t>
        </is>
      </c>
      <c r="U16" s="78" t="inlineStr">
        <is>
          <t>DGORDER</t>
        </is>
      </c>
      <c r="V16" s="129" t="inlineStr">
        <is>
          <t>Durable Goods New Orders</t>
        </is>
      </c>
    </row>
    <row r="17" ht="18" customHeight="1" s="142">
      <c r="B17" s="128" t="inlineStr">
        <is>
          <t>https://fred.stlouisfed.org/series/NEWORDER</t>
        </is>
      </c>
      <c r="G17" s="130" t="inlineStr">
        <is>
          <t>New Orders Nondefense Ex Aircraft &amp; Parts= Core</t>
        </is>
      </c>
      <c r="N17" s="124" t="inlineStr">
        <is>
          <t>New Orders ex Transport</t>
        </is>
      </c>
      <c r="O17" s="125" t="n"/>
      <c r="P17" s="94">
        <f>VLOOKUP($P$14,Database!$A:$M,MATCH(Note!S17,Database!$A$1:$M$1,),)</f>
        <v/>
      </c>
      <c r="Q17" s="94">
        <f>VLOOKUP($Q$14,Database!$A:$M,MATCH(Note!S17,Database!$A$1:$M$1,),)</f>
        <v/>
      </c>
      <c r="R17" s="98">
        <f>(P17-Q17)/Q17</f>
        <v/>
      </c>
      <c r="S17" s="79" t="inlineStr">
        <is>
          <t>ADXTNO</t>
        </is>
      </c>
      <c r="U17" s="79" t="inlineStr">
        <is>
          <t>ADXTNO</t>
        </is>
      </c>
      <c r="V17" s="129" t="inlineStr">
        <is>
          <t>New Orders ex Transport</t>
        </is>
      </c>
    </row>
    <row r="18" ht="33.75" customHeight="1" s="142">
      <c r="B18" s="128" t="inlineStr">
        <is>
          <t>https://fred.stlouisfed.org/series/AMTUNO</t>
        </is>
      </c>
      <c r="G18" s="130" t="inlineStr">
        <is>
          <t>New Orders - Manufacturing</t>
        </is>
      </c>
      <c r="N18" s="131" t="inlineStr">
        <is>
          <t>New Orders Nondefense Ex Aircraft &amp; Parts = Core</t>
        </is>
      </c>
      <c r="O18" s="125" t="n"/>
      <c r="P18" s="94">
        <f>VLOOKUP($P$14,Database!$A:$M,MATCH(Note!S18,Database!$A$1:$M$1,),)</f>
        <v/>
      </c>
      <c r="Q18" s="94">
        <f>VLOOKUP($Q$14,Database!$A:$M,MATCH(Note!S18,Database!$A$1:$M$1,),)</f>
        <v/>
      </c>
      <c r="R18" s="98">
        <f>(P18-Q18)/Q18</f>
        <v/>
      </c>
      <c r="S18" s="80" t="inlineStr">
        <is>
          <t>NEWORDER</t>
        </is>
      </c>
      <c r="U18" s="80" t="inlineStr">
        <is>
          <t>NEWORDER</t>
        </is>
      </c>
      <c r="V18" s="129" t="inlineStr">
        <is>
          <t>New Orders Nondefense Ex Aircraft &amp; Parts = Core</t>
        </is>
      </c>
    </row>
    <row r="19" ht="18" customHeight="1" s="142">
      <c r="B19" s="128" t="inlineStr">
        <is>
          <t>https://fred.stlouisfed.org/series/A36SNO</t>
        </is>
      </c>
      <c r="G19" s="130" t="inlineStr">
        <is>
          <t>New Orders - Transportation Equipment</t>
        </is>
      </c>
      <c r="N19" s="124" t="inlineStr">
        <is>
          <t>New Orders - Manufacturing</t>
        </is>
      </c>
      <c r="O19" s="125" t="n"/>
      <c r="P19" s="94">
        <f>VLOOKUP($P$14,Database!$A:$M,MATCH(Note!S19,Database!$A$1:$M$1,),)</f>
        <v/>
      </c>
      <c r="Q19" s="94">
        <f>VLOOKUP($Q$14,Database!$A:$M,MATCH(Note!S19,Database!$A$1:$M$1,),)</f>
        <v/>
      </c>
      <c r="R19" s="98">
        <f>(P19-Q19)/Q19</f>
        <v/>
      </c>
      <c r="S19" s="79" t="inlineStr">
        <is>
          <t>AMTUNO</t>
        </is>
      </c>
      <c r="U19" s="79" t="inlineStr">
        <is>
          <t>AMTUNO</t>
        </is>
      </c>
      <c r="V19" s="129" t="inlineStr">
        <is>
          <t>New Orders - Manufacturing</t>
        </is>
      </c>
    </row>
    <row r="20" ht="18" customHeight="1" s="142">
      <c r="B20" s="128" t="inlineStr">
        <is>
          <t>https://fred.stlouisfed.org/series/A32SNO</t>
        </is>
      </c>
      <c r="G20" s="130" t="inlineStr">
        <is>
          <t>New Orders - Fabricated Metal Products</t>
        </is>
      </c>
      <c r="N20" s="124" t="inlineStr">
        <is>
          <t>New Orders - Transportation Equipment</t>
        </is>
      </c>
      <c r="O20" s="125" t="n"/>
      <c r="P20" s="94">
        <f>VLOOKUP($P$14,Database!$A:$M,MATCH(Note!S20,Database!$A$1:$M$1,),)</f>
        <v/>
      </c>
      <c r="Q20" s="94">
        <f>VLOOKUP($Q$14,Database!$A:$M,MATCH(Note!S20,Database!$A$1:$M$1,),)</f>
        <v/>
      </c>
      <c r="R20" s="98">
        <f>(P20-Q20)/Q20</f>
        <v/>
      </c>
      <c r="S20" s="80" t="inlineStr">
        <is>
          <t>A36SNO</t>
        </is>
      </c>
      <c r="U20" s="80" t="inlineStr">
        <is>
          <t>A36SNO</t>
        </is>
      </c>
      <c r="V20" s="129" t="inlineStr">
        <is>
          <t>New Orders - Transportation Equipment</t>
        </is>
      </c>
    </row>
    <row r="21" ht="18" customHeight="1" s="142">
      <c r="B21" s="128" t="inlineStr">
        <is>
          <t>https://fred.stlouisfed.org/series/A33SNO</t>
        </is>
      </c>
      <c r="G21" s="130" t="inlineStr">
        <is>
          <t>New Orders - Machinery</t>
        </is>
      </c>
      <c r="N21" s="124" t="inlineStr">
        <is>
          <t>New Orders - Fabricated Metal Products</t>
        </is>
      </c>
      <c r="O21" s="125" t="n"/>
      <c r="P21" s="94">
        <f>VLOOKUP($P$14,Database!$A:$M,MATCH(Note!S21,Database!$A$1:$M$1,),)</f>
        <v/>
      </c>
      <c r="Q21" s="94">
        <f>VLOOKUP($Q$14,Database!$A:$M,MATCH(Note!S21,Database!$A$1:$M$1,),)</f>
        <v/>
      </c>
      <c r="R21" s="98">
        <f>(P21-Q21)/Q21</f>
        <v/>
      </c>
      <c r="S21" s="80" t="inlineStr">
        <is>
          <t>A32SNO</t>
        </is>
      </c>
      <c r="U21" s="80" t="inlineStr">
        <is>
          <t>A32SNO</t>
        </is>
      </c>
      <c r="V21" s="129" t="inlineStr">
        <is>
          <t>New Orders - Fabricated Metal Products</t>
        </is>
      </c>
    </row>
    <row r="22" ht="18" customHeight="1" s="142">
      <c r="B22" s="128" t="inlineStr">
        <is>
          <t>https://fred.stlouisfed.org/series/A34SNO</t>
        </is>
      </c>
      <c r="G22" s="130" t="inlineStr">
        <is>
          <t>New Orders - Computers</t>
        </is>
      </c>
      <c r="N22" s="124" t="inlineStr">
        <is>
          <t>New Orders - Machinery</t>
        </is>
      </c>
      <c r="O22" s="125" t="n"/>
      <c r="P22" s="94">
        <f>VLOOKUP($P$14,Database!$A:$M,MATCH(Note!S22,Database!$A$1:$M$1,),)</f>
        <v/>
      </c>
      <c r="Q22" s="94">
        <f>VLOOKUP($Q$14,Database!$A:$M,MATCH(Note!S22,Database!$A$1:$M$1,),)</f>
        <v/>
      </c>
      <c r="R22" s="98">
        <f>(P22-Q22)/Q22</f>
        <v/>
      </c>
      <c r="S22" s="80" t="inlineStr">
        <is>
          <t>A33SNO</t>
        </is>
      </c>
      <c r="U22" s="80" t="inlineStr">
        <is>
          <t>A33SNO</t>
        </is>
      </c>
      <c r="V22" s="129" t="inlineStr">
        <is>
          <t>New Orders - Machinery</t>
        </is>
      </c>
    </row>
    <row r="23" ht="18" customHeight="1" s="142">
      <c r="B23" s="128" t="inlineStr">
        <is>
          <t>https://fred.stlouisfed.org/series/A31SNO</t>
        </is>
      </c>
      <c r="G23" s="130" t="inlineStr">
        <is>
          <t>New Orders - Primary Metals</t>
        </is>
      </c>
      <c r="N23" s="124" t="inlineStr">
        <is>
          <t>New Orders - Computers</t>
        </is>
      </c>
      <c r="O23" s="125" t="n"/>
      <c r="P23" s="94">
        <f>VLOOKUP($P$14,Database!$A:$M,MATCH(Note!S23,Database!$A$1:$M$1,),)</f>
        <v/>
      </c>
      <c r="Q23" s="94">
        <f>VLOOKUP($Q$14,Database!$A:$M,MATCH(Note!S23,Database!$A$1:$M$1,),)</f>
        <v/>
      </c>
      <c r="R23" s="98">
        <f>(P23-Q23)/Q23</f>
        <v/>
      </c>
      <c r="S23" s="80" t="inlineStr">
        <is>
          <t>A34SNO</t>
        </is>
      </c>
      <c r="U23" s="80" t="inlineStr">
        <is>
          <t>A34SNO</t>
        </is>
      </c>
      <c r="V23" s="129" t="inlineStr">
        <is>
          <t>New Orders - Computers</t>
        </is>
      </c>
    </row>
    <row r="24" ht="18" customHeight="1" s="142">
      <c r="B24" s="128" t="inlineStr">
        <is>
          <t>https://fred.stlouisfed.org/series/A35SNO</t>
        </is>
      </c>
      <c r="G24" s="130" t="inlineStr">
        <is>
          <t>New Orders - Electrical Equipment</t>
        </is>
      </c>
      <c r="N24" s="124" t="inlineStr">
        <is>
          <t>New Orders - Primary Metals</t>
        </is>
      </c>
      <c r="O24" s="125" t="n"/>
      <c r="P24" s="94">
        <f>VLOOKUP($P$14,Database!$A:$M,MATCH(Note!S24,Database!$A$1:$M$1,),)</f>
        <v/>
      </c>
      <c r="Q24" s="94">
        <f>VLOOKUP($Q$14,Database!$A:$M,MATCH(Note!S24,Database!$A$1:$M$1,),)</f>
        <v/>
      </c>
      <c r="R24" s="98">
        <f>(P24-Q24)/Q24</f>
        <v/>
      </c>
      <c r="S24" s="80" t="inlineStr">
        <is>
          <t>A31SNO</t>
        </is>
      </c>
      <c r="U24" s="80" t="inlineStr">
        <is>
          <t>A31SNO</t>
        </is>
      </c>
      <c r="V24" s="129" t="inlineStr">
        <is>
          <t>New Orders - Primary Metals</t>
        </is>
      </c>
    </row>
    <row r="25" ht="16" customHeight="1" s="142" thickBot="1">
      <c r="N25" s="122" t="inlineStr">
        <is>
          <t>New Orders - Electrical Equipment</t>
        </is>
      </c>
      <c r="O25" s="123" t="n"/>
      <c r="P25" s="81">
        <f>VLOOKUP($P$14,Database!$A:$M,MATCH(Note!S25,Database!$A$1:$M$1,),)</f>
        <v/>
      </c>
      <c r="Q25" s="81">
        <f>VLOOKUP($Q$14,Database!$A:$M,MATCH(Note!S25,Database!$A$1:$M$1,),)</f>
        <v/>
      </c>
      <c r="R25" s="99">
        <f>(P25-Q25)/Q25</f>
        <v/>
      </c>
      <c r="S25" s="82" t="inlineStr">
        <is>
          <t>A35SNO</t>
        </is>
      </c>
      <c r="U25" s="82" t="inlineStr">
        <is>
          <t>A35SNO</t>
        </is>
      </c>
      <c r="V25" s="129" t="inlineStr">
        <is>
          <t>New Orders - Electrical Equipment</t>
        </is>
      </c>
    </row>
    <row r="26">
      <c r="B26" s="66" t="n"/>
      <c r="G26" s="140" t="inlineStr">
        <is>
          <t>*Compare with ISM Manufacturing (Leading Indicator) for confirmation</t>
        </is>
      </c>
    </row>
    <row r="27">
      <c r="N27" s="84" t="inlineStr">
        <is>
          <t>* Month to modify after having downloaded data in Database</t>
        </is>
      </c>
    </row>
    <row r="28">
      <c r="B28" s="67" t="n"/>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drawing xmlns:r="http://schemas.openxmlformats.org/officeDocument/2006/relationships" r:id="rId12"/>
</worksheet>
</file>

<file path=xl/worksheets/sheet2.xml><?xml version="1.0" encoding="utf-8"?>
<worksheet xmlns="http://schemas.openxmlformats.org/spreadsheetml/2006/main">
  <sheetPr>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1"/>
  <sheetViews>
    <sheetView zoomScale="160" zoomScaleNormal="160" workbookViewId="0">
      <pane ySplit="1" topLeftCell="A767"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24032</v>
      </c>
      <c r="C649" t="n">
        <v>29025</v>
      </c>
      <c r="D649" t="n">
        <v>32827</v>
      </c>
      <c r="E649" t="n">
        <v>23025</v>
      </c>
      <c r="F649" t="n">
        <v>10608</v>
      </c>
      <c r="G649" t="n">
        <v>72792</v>
      </c>
      <c r="H649" t="n">
        <v>213798</v>
      </c>
      <c r="I649" t="n">
        <v>151719</v>
      </c>
      <c r="J649" t="n">
        <v>169869</v>
      </c>
      <c r="K649" t="n">
        <v>64937</v>
      </c>
      <c r="L649" t="n">
        <v>224511</v>
      </c>
      <c r="M649" t="n">
        <v>67525</v>
      </c>
    </row>
    <row r="650">
      <c r="A650" s="149" t="n">
        <v>40940</v>
      </c>
      <c r="B650" t="n">
        <v>23437</v>
      </c>
      <c r="C650" t="n">
        <v>29577</v>
      </c>
      <c r="D650" t="n">
        <v>34669</v>
      </c>
      <c r="E650" t="n">
        <v>23993</v>
      </c>
      <c r="F650" t="n">
        <v>10440</v>
      </c>
      <c r="G650" t="n">
        <v>74244</v>
      </c>
      <c r="H650" t="n">
        <v>215027</v>
      </c>
      <c r="I650" t="n">
        <v>154185</v>
      </c>
      <c r="J650" t="n">
        <v>173639</v>
      </c>
      <c r="K650" t="n">
        <v>66132</v>
      </c>
      <c r="L650" t="n">
        <v>228429</v>
      </c>
      <c r="M650" t="n">
        <v>70075</v>
      </c>
    </row>
    <row r="651">
      <c r="A651" s="149" t="n">
        <v>40969</v>
      </c>
      <c r="B651" t="n">
        <v>22871</v>
      </c>
      <c r="C651" t="n">
        <v>29980</v>
      </c>
      <c r="D651" t="n">
        <v>35027</v>
      </c>
      <c r="E651" t="n">
        <v>22863</v>
      </c>
      <c r="F651" t="n">
        <v>10562</v>
      </c>
      <c r="G651" t="n">
        <v>66147</v>
      </c>
      <c r="H651" t="n">
        <v>207437</v>
      </c>
      <c r="I651" t="n">
        <v>153583</v>
      </c>
      <c r="J651" t="n">
        <v>164506</v>
      </c>
      <c r="K651" t="n">
        <v>67944</v>
      </c>
      <c r="L651" t="n">
        <v>219730</v>
      </c>
      <c r="M651" t="n">
        <v>69719</v>
      </c>
    </row>
    <row r="652">
      <c r="A652" s="149" t="n">
        <v>41000</v>
      </c>
      <c r="B652" t="n">
        <v>23144</v>
      </c>
      <c r="C652" t="n">
        <v>29153</v>
      </c>
      <c r="D652" t="n">
        <v>33147</v>
      </c>
      <c r="E652" t="n">
        <v>23240</v>
      </c>
      <c r="F652" t="n">
        <v>10511</v>
      </c>
      <c r="G652" t="n">
        <v>67092</v>
      </c>
      <c r="H652" t="n">
        <v>208556</v>
      </c>
      <c r="I652" t="n">
        <v>151536</v>
      </c>
      <c r="J652" t="n">
        <v>161577</v>
      </c>
      <c r="K652" t="n">
        <v>66849</v>
      </c>
      <c r="L652" t="n">
        <v>218628</v>
      </c>
      <c r="M652" t="n">
        <v>67645</v>
      </c>
    </row>
    <row r="653">
      <c r="A653" s="149" t="n">
        <v>41030</v>
      </c>
      <c r="B653" t="n">
        <v>21478</v>
      </c>
      <c r="C653" t="n">
        <v>28374</v>
      </c>
      <c r="D653" t="n">
        <v>34221</v>
      </c>
      <c r="E653" t="n">
        <v>23413</v>
      </c>
      <c r="F653" t="n">
        <v>10787</v>
      </c>
      <c r="G653" t="n">
        <v>69947</v>
      </c>
      <c r="H653" t="n">
        <v>209652</v>
      </c>
      <c r="I653" t="n">
        <v>150929</v>
      </c>
      <c r="J653" t="n">
        <v>163899</v>
      </c>
      <c r="K653" t="n">
        <v>67240</v>
      </c>
      <c r="L653" t="n">
        <v>220876</v>
      </c>
      <c r="M653" t="n">
        <v>69182</v>
      </c>
    </row>
    <row r="654">
      <c r="A654" s="149" t="n">
        <v>41061</v>
      </c>
      <c r="B654" t="n">
        <v>20854</v>
      </c>
      <c r="C654" t="n">
        <v>28419</v>
      </c>
      <c r="D654" t="n">
        <v>33787</v>
      </c>
      <c r="E654" t="n">
        <v>21312</v>
      </c>
      <c r="F654" t="n">
        <v>10134</v>
      </c>
      <c r="G654" t="n">
        <v>69347</v>
      </c>
      <c r="H654" t="n">
        <v>201871</v>
      </c>
      <c r="I654" t="n">
        <v>147024</v>
      </c>
      <c r="J654" t="n">
        <v>159806</v>
      </c>
      <c r="K654" t="n">
        <v>67691</v>
      </c>
      <c r="L654" t="n">
        <v>216371</v>
      </c>
      <c r="M654" t="n">
        <v>66971</v>
      </c>
    </row>
    <row r="655">
      <c r="A655" s="149" t="n">
        <v>41091</v>
      </c>
      <c r="B655" t="n">
        <v>20895</v>
      </c>
      <c r="C655" t="n">
        <v>28407</v>
      </c>
      <c r="D655" t="n">
        <v>32376</v>
      </c>
      <c r="E655" t="n">
        <v>21477</v>
      </c>
      <c r="F655" t="n">
        <v>10294</v>
      </c>
      <c r="G655" t="n">
        <v>78015</v>
      </c>
      <c r="H655" t="n">
        <v>210138</v>
      </c>
      <c r="I655" t="n">
        <v>146060</v>
      </c>
      <c r="J655" t="n">
        <v>167134</v>
      </c>
      <c r="K655" t="n">
        <v>66900</v>
      </c>
      <c r="L655" t="n">
        <v>224075</v>
      </c>
      <c r="M655" t="n">
        <v>65070</v>
      </c>
    </row>
    <row r="656">
      <c r="A656" s="149" t="n">
        <v>41122</v>
      </c>
      <c r="B656" t="n">
        <v>20743</v>
      </c>
      <c r="C656" t="n">
        <v>28309</v>
      </c>
      <c r="D656" t="n">
        <v>29893</v>
      </c>
      <c r="E656" t="n">
        <v>20952</v>
      </c>
      <c r="F656" t="n">
        <v>10288</v>
      </c>
      <c r="G656" t="n">
        <v>60147</v>
      </c>
      <c r="H656" t="n">
        <v>192404</v>
      </c>
      <c r="I656" t="n">
        <v>142907</v>
      </c>
      <c r="J656" t="n">
        <v>147480</v>
      </c>
      <c r="K656" t="n">
        <v>65497</v>
      </c>
      <c r="L656" t="n">
        <v>203054</v>
      </c>
      <c r="M656" t="n">
        <v>63645</v>
      </c>
    </row>
    <row r="657">
      <c r="A657" s="149" t="n">
        <v>41153</v>
      </c>
      <c r="B657" t="n">
        <v>20965</v>
      </c>
      <c r="C657" t="n">
        <v>28251</v>
      </c>
      <c r="D657" t="n">
        <v>31358</v>
      </c>
      <c r="E657" t="n">
        <v>20827</v>
      </c>
      <c r="F657" t="n">
        <v>10019</v>
      </c>
      <c r="G657" t="n">
        <v>72737</v>
      </c>
      <c r="H657" t="n">
        <v>205808</v>
      </c>
      <c r="I657" t="n">
        <v>144383</v>
      </c>
      <c r="J657" t="n">
        <v>161573</v>
      </c>
      <c r="K657" t="n">
        <v>65411</v>
      </c>
      <c r="L657" t="n">
        <v>217120</v>
      </c>
      <c r="M657" t="n">
        <v>63932</v>
      </c>
    </row>
    <row r="658">
      <c r="A658" s="149" t="n">
        <v>41183</v>
      </c>
      <c r="B658" t="n">
        <v>21390</v>
      </c>
      <c r="C658" t="n">
        <v>28295</v>
      </c>
      <c r="D658" t="n">
        <v>32923</v>
      </c>
      <c r="E658" t="n">
        <v>21116</v>
      </c>
      <c r="F658" t="n">
        <v>10393</v>
      </c>
      <c r="G658" t="n">
        <v>71737</v>
      </c>
      <c r="H658" t="n">
        <v>206576</v>
      </c>
      <c r="I658" t="n">
        <v>147371</v>
      </c>
      <c r="J658" t="n">
        <v>163826</v>
      </c>
      <c r="K658" t="n">
        <v>65637</v>
      </c>
      <c r="L658" t="n">
        <v>219108</v>
      </c>
      <c r="M658" t="n">
        <v>66051</v>
      </c>
    </row>
    <row r="659">
      <c r="A659" s="149" t="n">
        <v>41214</v>
      </c>
      <c r="B659" t="n">
        <v>21281</v>
      </c>
      <c r="C659" t="n">
        <v>28503</v>
      </c>
      <c r="D659" t="n">
        <v>32312</v>
      </c>
      <c r="E659" t="n">
        <v>21197</v>
      </c>
      <c r="F659" t="n">
        <v>10751</v>
      </c>
      <c r="G659" t="n">
        <v>66873</v>
      </c>
      <c r="H659" t="n">
        <v>203305</v>
      </c>
      <c r="I659" t="n">
        <v>147150</v>
      </c>
      <c r="J659" t="n">
        <v>157271</v>
      </c>
      <c r="K659" t="n">
        <v>67449</v>
      </c>
      <c r="L659" t="n">
        <v>214023</v>
      </c>
      <c r="M659" t="n">
        <v>66204</v>
      </c>
    </row>
    <row r="660">
      <c r="A660" s="149" t="n">
        <v>41244</v>
      </c>
      <c r="B660" t="n">
        <v>21667</v>
      </c>
      <c r="C660" t="n">
        <v>27090</v>
      </c>
      <c r="D660" t="n">
        <v>31799</v>
      </c>
      <c r="E660" t="n">
        <v>22100</v>
      </c>
      <c r="F660" t="n">
        <v>10105</v>
      </c>
      <c r="G660" t="n">
        <v>86527</v>
      </c>
      <c r="H660" t="n">
        <v>211264</v>
      </c>
      <c r="I660" t="n">
        <v>146228</v>
      </c>
      <c r="J660" t="n">
        <v>175437</v>
      </c>
      <c r="K660" t="n">
        <v>67154</v>
      </c>
      <c r="L660" t="n">
        <v>232755</v>
      </c>
      <c r="M660" t="n">
        <v>66840</v>
      </c>
    </row>
    <row r="661">
      <c r="A661" s="149" t="n">
        <v>41275</v>
      </c>
      <c r="B661" t="n">
        <v>22089</v>
      </c>
      <c r="C661" t="n">
        <v>30141</v>
      </c>
      <c r="D661" t="n">
        <v>34235</v>
      </c>
      <c r="E661" t="n">
        <v>21125</v>
      </c>
      <c r="F661" t="n">
        <v>9998</v>
      </c>
      <c r="G661" t="n">
        <v>71005</v>
      </c>
      <c r="H661" t="n">
        <v>213298</v>
      </c>
      <c r="I661" t="n">
        <v>151783</v>
      </c>
      <c r="J661" t="n">
        <v>163977</v>
      </c>
      <c r="K661" t="n">
        <v>66841</v>
      </c>
      <c r="L661" t="n">
        <v>222788</v>
      </c>
      <c r="M661" t="n">
        <v>69879</v>
      </c>
    </row>
    <row r="662">
      <c r="A662" s="149" t="n">
        <v>41306</v>
      </c>
      <c r="B662" t="n">
        <v>22457</v>
      </c>
      <c r="C662" t="n">
        <v>29192</v>
      </c>
      <c r="D662" t="n">
        <v>32487</v>
      </c>
      <c r="E662" t="n">
        <v>20371</v>
      </c>
      <c r="F662" t="n">
        <v>10366</v>
      </c>
      <c r="G662" t="n">
        <v>82661</v>
      </c>
      <c r="H662" t="n">
        <v>220700</v>
      </c>
      <c r="I662" t="n">
        <v>149626</v>
      </c>
      <c r="J662" t="n">
        <v>171886</v>
      </c>
      <c r="K662" t="n">
        <v>67781</v>
      </c>
      <c r="L662" t="n">
        <v>232287</v>
      </c>
      <c r="M662" t="n">
        <v>66361</v>
      </c>
    </row>
    <row r="663">
      <c r="A663" s="149" t="n">
        <v>41334</v>
      </c>
      <c r="B663" t="n">
        <v>21178</v>
      </c>
      <c r="C663" t="n">
        <v>29733</v>
      </c>
      <c r="D663" t="n">
        <v>31326</v>
      </c>
      <c r="E663" t="n">
        <v>19580</v>
      </c>
      <c r="F663" t="n">
        <v>10080</v>
      </c>
      <c r="G663" t="n">
        <v>71051</v>
      </c>
      <c r="H663" t="n">
        <v>210080</v>
      </c>
      <c r="I663" t="n">
        <v>146226</v>
      </c>
      <c r="J663" t="n">
        <v>157898</v>
      </c>
      <c r="K663" t="n">
        <v>67952</v>
      </c>
      <c r="L663" t="n">
        <v>217277</v>
      </c>
      <c r="M663" t="n">
        <v>66318</v>
      </c>
    </row>
    <row r="664">
      <c r="A664" s="149" t="n">
        <v>41365</v>
      </c>
      <c r="B664" t="n">
        <v>21896</v>
      </c>
      <c r="C664" t="n">
        <v>29362</v>
      </c>
      <c r="D664" t="n">
        <v>31967</v>
      </c>
      <c r="E664" t="n">
        <v>21416</v>
      </c>
      <c r="F664" t="n">
        <v>10158</v>
      </c>
      <c r="G664" t="n">
        <v>78470</v>
      </c>
      <c r="H664" t="n">
        <v>216982</v>
      </c>
      <c r="I664" t="n">
        <v>149557</v>
      </c>
      <c r="J664" t="n">
        <v>167999</v>
      </c>
      <c r="K664" t="n">
        <v>66418</v>
      </c>
      <c r="L664" t="n">
        <v>228027</v>
      </c>
      <c r="M664" t="n">
        <v>67762</v>
      </c>
    </row>
    <row r="665">
      <c r="A665" s="149" t="n">
        <v>41395</v>
      </c>
      <c r="B665" t="n">
        <v>21814</v>
      </c>
      <c r="C665" t="n">
        <v>28920</v>
      </c>
      <c r="D665" t="n">
        <v>32205</v>
      </c>
      <c r="E665" t="n">
        <v>21805</v>
      </c>
      <c r="F665" t="n">
        <v>10781</v>
      </c>
      <c r="G665" t="n">
        <v>84735</v>
      </c>
      <c r="H665" t="n">
        <v>224465</v>
      </c>
      <c r="I665" t="n">
        <v>150641</v>
      </c>
      <c r="J665" t="n">
        <v>175159</v>
      </c>
      <c r="K665" t="n">
        <v>67597</v>
      </c>
      <c r="L665" t="n">
        <v>235376</v>
      </c>
      <c r="M665" t="n">
        <v>69035</v>
      </c>
    </row>
    <row r="666">
      <c r="A666" s="149" t="n">
        <v>41426</v>
      </c>
      <c r="B666" t="n">
        <v>22062</v>
      </c>
      <c r="C666" t="n">
        <v>28898</v>
      </c>
      <c r="D666" t="n">
        <v>32273</v>
      </c>
      <c r="E666" t="n">
        <v>21571</v>
      </c>
      <c r="F666" t="n">
        <v>10369</v>
      </c>
      <c r="G666" t="n">
        <v>96701</v>
      </c>
      <c r="H666" t="n">
        <v>235211</v>
      </c>
      <c r="I666" t="n">
        <v>150559</v>
      </c>
      <c r="J666" t="n">
        <v>187171</v>
      </c>
      <c r="K666" t="n">
        <v>66735</v>
      </c>
      <c r="L666" t="n">
        <v>247260</v>
      </c>
      <c r="M666" t="n">
        <v>69343</v>
      </c>
    </row>
    <row r="667">
      <c r="A667" s="149" t="n">
        <v>41456</v>
      </c>
      <c r="B667" t="n">
        <v>21296</v>
      </c>
      <c r="C667" t="n">
        <v>28683</v>
      </c>
      <c r="D667" t="n">
        <v>32321</v>
      </c>
      <c r="E667" t="n">
        <v>20922</v>
      </c>
      <c r="F667" t="n">
        <v>9934</v>
      </c>
      <c r="G667" t="n">
        <v>74679</v>
      </c>
      <c r="H667" t="n">
        <v>209913</v>
      </c>
      <c r="I667" t="n">
        <v>148258</v>
      </c>
      <c r="J667" t="n">
        <v>163879</v>
      </c>
      <c r="K667" t="n">
        <v>65819</v>
      </c>
      <c r="L667" t="n">
        <v>222937</v>
      </c>
      <c r="M667" t="n">
        <v>66316</v>
      </c>
    </row>
    <row r="668">
      <c r="A668" s="149" t="n">
        <v>41487</v>
      </c>
      <c r="B668" t="n">
        <v>21617</v>
      </c>
      <c r="C668" t="n">
        <v>29026</v>
      </c>
      <c r="D668" t="n">
        <v>30941</v>
      </c>
      <c r="E668" t="n">
        <v>20152</v>
      </c>
      <c r="F668" t="n">
        <v>10111</v>
      </c>
      <c r="G668" t="n">
        <v>74714</v>
      </c>
      <c r="H668" t="n">
        <v>211847</v>
      </c>
      <c r="I668" t="n">
        <v>147624</v>
      </c>
      <c r="J668" t="n">
        <v>162223</v>
      </c>
      <c r="K668" t="n">
        <v>66036</v>
      </c>
      <c r="L668" t="n">
        <v>222338</v>
      </c>
      <c r="M668" t="n">
        <v>65933</v>
      </c>
    </row>
    <row r="669">
      <c r="A669" s="149" t="n">
        <v>41518</v>
      </c>
      <c r="B669" t="n">
        <v>21829</v>
      </c>
      <c r="C669" t="n">
        <v>28911</v>
      </c>
      <c r="D669" t="n">
        <v>31443</v>
      </c>
      <c r="E669" t="n">
        <v>20799</v>
      </c>
      <c r="F669" t="n">
        <v>10234</v>
      </c>
      <c r="G669" t="n">
        <v>90588</v>
      </c>
      <c r="H669" t="n">
        <v>225775</v>
      </c>
      <c r="I669" t="n">
        <v>148342</v>
      </c>
      <c r="J669" t="n">
        <v>178822</v>
      </c>
      <c r="K669" t="n">
        <v>65417</v>
      </c>
      <c r="L669" t="n">
        <v>238930</v>
      </c>
      <c r="M669" t="n">
        <v>66371</v>
      </c>
    </row>
    <row r="670">
      <c r="A670" s="149" t="n">
        <v>41548</v>
      </c>
      <c r="B670" t="n">
        <v>22175</v>
      </c>
      <c r="C670" t="n">
        <v>28499</v>
      </c>
      <c r="D670" t="n">
        <v>31357</v>
      </c>
      <c r="E670" t="n">
        <v>21497</v>
      </c>
      <c r="F670" t="n">
        <v>10291</v>
      </c>
      <c r="G670" t="n">
        <v>85212</v>
      </c>
      <c r="H670" t="n">
        <v>223139</v>
      </c>
      <c r="I670" t="n">
        <v>148888</v>
      </c>
      <c r="J670" t="n">
        <v>173141</v>
      </c>
      <c r="K670" t="n">
        <v>65186</v>
      </c>
      <c r="L670" t="n">
        <v>234100</v>
      </c>
      <c r="M670" t="n">
        <v>65016</v>
      </c>
    </row>
    <row r="671">
      <c r="A671" s="149" t="n">
        <v>41579</v>
      </c>
      <c r="B671" t="n">
        <v>21827</v>
      </c>
      <c r="C671" t="n">
        <v>28815</v>
      </c>
      <c r="D671" t="n">
        <v>33105</v>
      </c>
      <c r="E671" t="n">
        <v>21702</v>
      </c>
      <c r="F671" t="n">
        <v>9442</v>
      </c>
      <c r="G671" t="n">
        <v>91506</v>
      </c>
      <c r="H671" t="n">
        <v>232225</v>
      </c>
      <c r="I671" t="n">
        <v>150582</v>
      </c>
      <c r="J671" t="n">
        <v>177119</v>
      </c>
      <c r="K671" t="n">
        <v>68009</v>
      </c>
      <c r="L671" t="n">
        <v>242088</v>
      </c>
      <c r="M671" t="n">
        <v>68053</v>
      </c>
    </row>
    <row r="672">
      <c r="A672" s="149" t="n">
        <v>41609</v>
      </c>
      <c r="B672" t="n">
        <v>20961</v>
      </c>
      <c r="C672" t="n">
        <v>26914</v>
      </c>
      <c r="D672" t="n">
        <v>34589</v>
      </c>
      <c r="E672" t="n">
        <v>20263</v>
      </c>
      <c r="F672" t="n">
        <v>10149</v>
      </c>
      <c r="G672" t="n">
        <v>88749</v>
      </c>
      <c r="H672" t="n">
        <v>227537</v>
      </c>
      <c r="I672" t="n">
        <v>148149</v>
      </c>
      <c r="J672" t="n">
        <v>175160</v>
      </c>
      <c r="K672" t="n">
        <v>67503</v>
      </c>
      <c r="L672" t="n">
        <v>236898</v>
      </c>
      <c r="M672" t="n">
        <v>67775</v>
      </c>
    </row>
    <row r="673">
      <c r="A673" s="149" t="n">
        <v>41640</v>
      </c>
      <c r="B673" t="n">
        <v>21604</v>
      </c>
      <c r="C673" t="n">
        <v>29180</v>
      </c>
      <c r="D673" t="n">
        <v>33963</v>
      </c>
      <c r="E673" t="n">
        <v>21545</v>
      </c>
      <c r="F673" t="n">
        <v>10399</v>
      </c>
      <c r="G673" t="n">
        <v>75469</v>
      </c>
      <c r="H673" t="n">
        <v>216655</v>
      </c>
      <c r="I673" t="n">
        <v>151235</v>
      </c>
      <c r="J673" t="n">
        <v>166758</v>
      </c>
      <c r="K673" t="n">
        <v>66205</v>
      </c>
      <c r="L673" t="n">
        <v>226704</v>
      </c>
      <c r="M673" t="n">
        <v>68237</v>
      </c>
    </row>
    <row r="674">
      <c r="A674" s="149" t="n">
        <v>41671</v>
      </c>
      <c r="B674" t="n">
        <v>21705</v>
      </c>
      <c r="C674" t="n">
        <v>29170</v>
      </c>
      <c r="D674" t="n">
        <v>34170</v>
      </c>
      <c r="E674" t="n">
        <v>21254</v>
      </c>
      <c r="F674" t="n">
        <v>10298</v>
      </c>
      <c r="G674" t="n">
        <v>79163</v>
      </c>
      <c r="H674" t="n">
        <v>219545</v>
      </c>
      <c r="I674" t="n">
        <v>151319</v>
      </c>
      <c r="J674" t="n">
        <v>168991</v>
      </c>
      <c r="K674" t="n">
        <v>67120</v>
      </c>
      <c r="L674" t="n">
        <v>230482</v>
      </c>
      <c r="M674" t="n">
        <v>67386</v>
      </c>
    </row>
    <row r="675">
      <c r="A675" s="149" t="n">
        <v>41699</v>
      </c>
      <c r="B675" t="n">
        <v>22141</v>
      </c>
      <c r="C675" t="n">
        <v>29465</v>
      </c>
      <c r="D675" t="n">
        <v>34421</v>
      </c>
      <c r="E675" t="n">
        <v>21560</v>
      </c>
      <c r="F675" t="n">
        <v>10677</v>
      </c>
      <c r="G675" t="n">
        <v>81807</v>
      </c>
      <c r="H675" t="n">
        <v>223009</v>
      </c>
      <c r="I675" t="n">
        <v>153561</v>
      </c>
      <c r="J675" t="n">
        <v>173176</v>
      </c>
      <c r="K675" t="n">
        <v>68135</v>
      </c>
      <c r="L675" t="n">
        <v>235368</v>
      </c>
      <c r="M675" t="n">
        <v>68683</v>
      </c>
    </row>
    <row r="676">
      <c r="A676" s="149" t="n">
        <v>41730</v>
      </c>
      <c r="B676" t="n">
        <v>21769</v>
      </c>
      <c r="C676" t="n">
        <v>29192</v>
      </c>
      <c r="D676" t="n">
        <v>32875</v>
      </c>
      <c r="E676" t="n">
        <v>21674</v>
      </c>
      <c r="F676" t="n">
        <v>10680</v>
      </c>
      <c r="G676" t="n">
        <v>83733</v>
      </c>
      <c r="H676" t="n">
        <v>216304</v>
      </c>
      <c r="I676" t="n">
        <v>151991</v>
      </c>
      <c r="J676" t="n">
        <v>174125</v>
      </c>
      <c r="K676" t="n">
        <v>66704</v>
      </c>
      <c r="L676" t="n">
        <v>235724</v>
      </c>
      <c r="M676" t="n">
        <v>66486</v>
      </c>
    </row>
    <row r="677">
      <c r="A677" s="149" t="n">
        <v>41760</v>
      </c>
      <c r="B677" t="n">
        <v>22149</v>
      </c>
      <c r="C677" t="n">
        <v>30136</v>
      </c>
      <c r="D677" t="n">
        <v>32732</v>
      </c>
      <c r="E677" t="n">
        <v>20805</v>
      </c>
      <c r="F677" t="n">
        <v>10499</v>
      </c>
      <c r="G677" t="n">
        <v>77461</v>
      </c>
      <c r="H677" t="n">
        <v>217466</v>
      </c>
      <c r="I677" t="n">
        <v>152270</v>
      </c>
      <c r="J677" t="n">
        <v>166404</v>
      </c>
      <c r="K677" t="n">
        <v>67233</v>
      </c>
      <c r="L677" t="n">
        <v>229731</v>
      </c>
      <c r="M677" t="n">
        <v>65819</v>
      </c>
    </row>
    <row r="678">
      <c r="A678" s="149" t="n">
        <v>41791</v>
      </c>
      <c r="B678" t="n">
        <v>22513</v>
      </c>
      <c r="C678" t="n">
        <v>29878</v>
      </c>
      <c r="D678" t="n">
        <v>35010</v>
      </c>
      <c r="E678" t="n">
        <v>21813</v>
      </c>
      <c r="F678" t="n">
        <v>10922</v>
      </c>
      <c r="G678" t="n">
        <v>83559</v>
      </c>
      <c r="H678" t="n">
        <v>226627</v>
      </c>
      <c r="I678" t="n">
        <v>156439</v>
      </c>
      <c r="J678" t="n">
        <v>177673</v>
      </c>
      <c r="K678" t="n">
        <v>67210</v>
      </c>
      <c r="L678" t="n">
        <v>239998</v>
      </c>
      <c r="M678" t="n">
        <v>69618</v>
      </c>
    </row>
    <row r="679">
      <c r="A679" s="149" t="n">
        <v>41821</v>
      </c>
      <c r="B679" t="n">
        <v>22669</v>
      </c>
      <c r="C679" t="n">
        <v>29922</v>
      </c>
      <c r="D679" t="n">
        <v>32864</v>
      </c>
      <c r="E679" t="n">
        <v>21178</v>
      </c>
      <c r="F679" t="n">
        <v>10698</v>
      </c>
      <c r="G679" t="n">
        <v>150828</v>
      </c>
      <c r="H679" t="n">
        <v>293790</v>
      </c>
      <c r="I679" t="n">
        <v>153393</v>
      </c>
      <c r="J679" t="n">
        <v>239368</v>
      </c>
      <c r="K679" t="n">
        <v>67196</v>
      </c>
      <c r="L679" t="n">
        <v>304221</v>
      </c>
      <c r="M679" t="n">
        <v>67842</v>
      </c>
    </row>
    <row r="680">
      <c r="A680" s="149" t="n">
        <v>41852</v>
      </c>
      <c r="B680" t="n">
        <v>22140</v>
      </c>
      <c r="C680" t="n">
        <v>30254</v>
      </c>
      <c r="D680" t="n">
        <v>34363</v>
      </c>
      <c r="E680" t="n">
        <v>21622</v>
      </c>
      <c r="F680" t="n">
        <v>10741</v>
      </c>
      <c r="G680" t="n">
        <v>79797</v>
      </c>
      <c r="H680" t="n">
        <v>224569</v>
      </c>
      <c r="I680" t="n">
        <v>155316</v>
      </c>
      <c r="J680" t="n">
        <v>170619</v>
      </c>
      <c r="K680" t="n">
        <v>69173</v>
      </c>
      <c r="L680" t="n">
        <v>235113</v>
      </c>
      <c r="M680" t="n">
        <v>68514</v>
      </c>
    </row>
    <row r="681">
      <c r="A681" s="149" t="n">
        <v>41883</v>
      </c>
      <c r="B681" t="n">
        <v>23030</v>
      </c>
      <c r="C681" t="n">
        <v>30247</v>
      </c>
      <c r="D681" t="n">
        <v>34622</v>
      </c>
      <c r="E681" t="n">
        <v>21161</v>
      </c>
      <c r="F681" t="n">
        <v>11076</v>
      </c>
      <c r="G681" t="n">
        <v>83694</v>
      </c>
      <c r="H681" t="n">
        <v>229338</v>
      </c>
      <c r="I681" t="n">
        <v>156845</v>
      </c>
      <c r="J681" t="n">
        <v>175815</v>
      </c>
      <c r="K681" t="n">
        <v>69236</v>
      </c>
      <c r="L681" t="n">
        <v>240539</v>
      </c>
      <c r="M681" t="n">
        <v>69207</v>
      </c>
    </row>
    <row r="682">
      <c r="A682" s="149" t="n">
        <v>41913</v>
      </c>
      <c r="B682" t="n">
        <v>22003</v>
      </c>
      <c r="C682" t="n">
        <v>30389</v>
      </c>
      <c r="D682" t="n">
        <v>32310</v>
      </c>
      <c r="E682" t="n">
        <v>20638</v>
      </c>
      <c r="F682" t="n">
        <v>10813</v>
      </c>
      <c r="G682" t="n">
        <v>79283</v>
      </c>
      <c r="H682" t="n">
        <v>219533</v>
      </c>
      <c r="I682" t="n">
        <v>152664</v>
      </c>
      <c r="J682" t="n">
        <v>166867</v>
      </c>
      <c r="K682" t="n">
        <v>66959</v>
      </c>
      <c r="L682" t="n">
        <v>231947</v>
      </c>
      <c r="M682" t="n">
        <v>65557</v>
      </c>
    </row>
    <row r="683">
      <c r="A683" s="149" t="n">
        <v>41944</v>
      </c>
      <c r="B683" t="n">
        <v>21119</v>
      </c>
      <c r="C683" t="n">
        <v>30027</v>
      </c>
      <c r="D683" t="n">
        <v>30906</v>
      </c>
      <c r="E683" t="n">
        <v>19832</v>
      </c>
      <c r="F683" t="n">
        <v>10825</v>
      </c>
      <c r="G683" t="n">
        <v>81306</v>
      </c>
      <c r="H683" t="n">
        <v>221162</v>
      </c>
      <c r="I683" t="n">
        <v>148984</v>
      </c>
      <c r="J683" t="n">
        <v>167086</v>
      </c>
      <c r="K683" t="n">
        <v>65797</v>
      </c>
      <c r="L683" t="n">
        <v>230290</v>
      </c>
      <c r="M683" t="n">
        <v>63687</v>
      </c>
    </row>
    <row r="684">
      <c r="A684" s="149" t="n">
        <v>41974</v>
      </c>
      <c r="B684" t="n">
        <v>21151</v>
      </c>
      <c r="C684" t="n">
        <v>30093</v>
      </c>
      <c r="D684" t="n">
        <v>31291</v>
      </c>
      <c r="E684" t="n">
        <v>19989</v>
      </c>
      <c r="F684" t="n">
        <v>11054</v>
      </c>
      <c r="G684" t="n">
        <v>74511</v>
      </c>
      <c r="H684" t="n">
        <v>213860</v>
      </c>
      <c r="I684" t="n">
        <v>150461</v>
      </c>
      <c r="J684" t="n">
        <v>159597</v>
      </c>
      <c r="K684" t="n">
        <v>67092</v>
      </c>
      <c r="L684" t="n">
        <v>224972</v>
      </c>
      <c r="M684" t="n">
        <v>66300</v>
      </c>
    </row>
    <row r="685">
      <c r="A685" s="149" t="n">
        <v>42005</v>
      </c>
      <c r="B685" t="n">
        <v>20665</v>
      </c>
      <c r="C685" t="n">
        <v>28218</v>
      </c>
      <c r="D685" t="n">
        <v>31752</v>
      </c>
      <c r="E685" t="n">
        <v>19683</v>
      </c>
      <c r="F685" t="n">
        <v>10481</v>
      </c>
      <c r="G685" t="n">
        <v>72833</v>
      </c>
      <c r="H685" t="n">
        <v>211466</v>
      </c>
      <c r="I685" t="n">
        <v>147633</v>
      </c>
      <c r="J685" t="n">
        <v>157463</v>
      </c>
      <c r="K685" t="n">
        <v>65491</v>
      </c>
      <c r="L685" t="n">
        <v>220466</v>
      </c>
      <c r="M685" t="n">
        <v>64791</v>
      </c>
    </row>
    <row r="686">
      <c r="A686" s="149" t="n">
        <v>42036</v>
      </c>
      <c r="B686" t="n">
        <v>20269</v>
      </c>
      <c r="C686" t="n">
        <v>28222</v>
      </c>
      <c r="D686" t="n">
        <v>31431</v>
      </c>
      <c r="E686" t="n">
        <v>19430</v>
      </c>
      <c r="F686" t="n">
        <v>10731</v>
      </c>
      <c r="G686" t="n">
        <v>70777</v>
      </c>
      <c r="H686" t="n">
        <v>209406</v>
      </c>
      <c r="I686" t="n">
        <v>146519</v>
      </c>
      <c r="J686" t="n">
        <v>154298</v>
      </c>
      <c r="K686" t="n">
        <v>65735</v>
      </c>
      <c r="L686" t="n">
        <v>217296</v>
      </c>
      <c r="M686" t="n">
        <v>64232</v>
      </c>
    </row>
    <row r="687">
      <c r="A687" s="149" t="n">
        <v>42064</v>
      </c>
      <c r="B687" t="n">
        <v>19109</v>
      </c>
      <c r="C687" t="n">
        <v>28278</v>
      </c>
      <c r="D687" t="n">
        <v>31230</v>
      </c>
      <c r="E687" t="n">
        <v>21180</v>
      </c>
      <c r="F687" t="n">
        <v>10866</v>
      </c>
      <c r="G687" t="n">
        <v>81215</v>
      </c>
      <c r="H687" t="n">
        <v>217526</v>
      </c>
      <c r="I687" t="n">
        <v>147167</v>
      </c>
      <c r="J687" t="n">
        <v>162504</v>
      </c>
      <c r="K687" t="n">
        <v>66307</v>
      </c>
      <c r="L687" t="n">
        <v>228382</v>
      </c>
      <c r="M687" t="n">
        <v>64712</v>
      </c>
    </row>
    <row r="688">
      <c r="A688" s="149" t="n">
        <v>42095</v>
      </c>
      <c r="B688" t="n">
        <v>19310</v>
      </c>
      <c r="C688" t="n">
        <v>28053</v>
      </c>
      <c r="D688" t="n">
        <v>31031</v>
      </c>
      <c r="E688" t="n">
        <v>20645</v>
      </c>
      <c r="F688" t="n">
        <v>10728</v>
      </c>
      <c r="G688" t="n">
        <v>79824</v>
      </c>
      <c r="H688" t="n">
        <v>215883</v>
      </c>
      <c r="I688" t="n">
        <v>146695</v>
      </c>
      <c r="J688" t="n">
        <v>161812</v>
      </c>
      <c r="K688" t="n">
        <v>65722</v>
      </c>
      <c r="L688" t="n">
        <v>226519</v>
      </c>
      <c r="M688" t="n">
        <v>64365</v>
      </c>
    </row>
    <row r="689">
      <c r="A689" s="149" t="n">
        <v>42125</v>
      </c>
      <c r="B689" t="n">
        <v>19320</v>
      </c>
      <c r="C689" t="n">
        <v>28090</v>
      </c>
      <c r="D689" t="n">
        <v>30704</v>
      </c>
      <c r="E689" t="n">
        <v>20134</v>
      </c>
      <c r="F689" t="n">
        <v>10395</v>
      </c>
      <c r="G689" t="n">
        <v>69060</v>
      </c>
      <c r="H689" t="n">
        <v>204127</v>
      </c>
      <c r="I689" t="n">
        <v>145002</v>
      </c>
      <c r="J689" t="n">
        <v>149281</v>
      </c>
      <c r="K689" t="n">
        <v>64884</v>
      </c>
      <c r="L689" t="n">
        <v>214062</v>
      </c>
      <c r="M689" t="n">
        <v>62596</v>
      </c>
    </row>
    <row r="690">
      <c r="A690" s="149" t="n">
        <v>42156</v>
      </c>
      <c r="B690" t="n">
        <v>19263</v>
      </c>
      <c r="C690" t="n">
        <v>28745</v>
      </c>
      <c r="D690" t="n">
        <v>31301</v>
      </c>
      <c r="E690" t="n">
        <v>20748</v>
      </c>
      <c r="F690" t="n">
        <v>10619</v>
      </c>
      <c r="G690" t="n">
        <v>87504</v>
      </c>
      <c r="H690" t="n">
        <v>222452</v>
      </c>
      <c r="I690" t="n">
        <v>147593</v>
      </c>
      <c r="J690" t="n">
        <v>168996</v>
      </c>
      <c r="K690" t="n">
        <v>65496</v>
      </c>
      <c r="L690" t="n">
        <v>235097</v>
      </c>
      <c r="M690" t="n">
        <v>63739</v>
      </c>
    </row>
    <row r="691">
      <c r="A691" s="149" t="n">
        <v>42186</v>
      </c>
      <c r="B691" t="n">
        <v>17917</v>
      </c>
      <c r="C691" t="n">
        <v>28647</v>
      </c>
      <c r="D691" t="n">
        <v>30851</v>
      </c>
      <c r="E691" t="n">
        <v>20748</v>
      </c>
      <c r="F691" t="n">
        <v>10561</v>
      </c>
      <c r="G691" t="n">
        <v>82660</v>
      </c>
      <c r="H691" t="n">
        <v>216416</v>
      </c>
      <c r="I691" t="n">
        <v>145962</v>
      </c>
      <c r="J691" t="n">
        <v>161459</v>
      </c>
      <c r="K691" t="n">
        <v>64938</v>
      </c>
      <c r="L691" t="n">
        <v>228622</v>
      </c>
      <c r="M691" t="n">
        <v>63551</v>
      </c>
    </row>
    <row r="692">
      <c r="A692" s="149" t="n">
        <v>42217</v>
      </c>
      <c r="B692" t="n">
        <v>18242</v>
      </c>
      <c r="C692" t="n">
        <v>27817</v>
      </c>
      <c r="D692" t="n">
        <v>31938</v>
      </c>
      <c r="E692" t="n">
        <v>20559</v>
      </c>
      <c r="F692" t="n">
        <v>10590</v>
      </c>
      <c r="G692" t="n">
        <v>77893</v>
      </c>
      <c r="H692" t="n">
        <v>215447</v>
      </c>
      <c r="I692" t="n">
        <v>146304</v>
      </c>
      <c r="J692" t="n">
        <v>158114</v>
      </c>
      <c r="K692" t="n">
        <v>64879</v>
      </c>
      <c r="L692" t="n">
        <v>224197</v>
      </c>
      <c r="M692" t="n">
        <v>63525</v>
      </c>
    </row>
    <row r="693">
      <c r="A693" s="149" t="n">
        <v>42248</v>
      </c>
      <c r="B693" t="n">
        <v>18165</v>
      </c>
      <c r="C693" t="n">
        <v>28445</v>
      </c>
      <c r="D693" t="n">
        <v>31145</v>
      </c>
      <c r="E693" t="n">
        <v>20381</v>
      </c>
      <c r="F693" t="n">
        <v>10448</v>
      </c>
      <c r="G693" t="n">
        <v>72579</v>
      </c>
      <c r="H693" t="n">
        <v>209174</v>
      </c>
      <c r="I693" t="n">
        <v>145912</v>
      </c>
      <c r="J693" t="n">
        <v>151480</v>
      </c>
      <c r="K693" t="n">
        <v>64821</v>
      </c>
      <c r="L693" t="n">
        <v>218491</v>
      </c>
      <c r="M693" t="n">
        <v>63188</v>
      </c>
    </row>
    <row r="694">
      <c r="A694" s="149" t="n">
        <v>42278</v>
      </c>
      <c r="B694" t="n">
        <v>17846</v>
      </c>
      <c r="C694" t="n">
        <v>27509</v>
      </c>
      <c r="D694" t="n">
        <v>31220</v>
      </c>
      <c r="E694" t="n">
        <v>20228</v>
      </c>
      <c r="F694" t="n">
        <v>10170</v>
      </c>
      <c r="G694" t="n">
        <v>78524</v>
      </c>
      <c r="H694" t="n">
        <v>210661</v>
      </c>
      <c r="I694" t="n">
        <v>144202</v>
      </c>
      <c r="J694" t="n">
        <v>157257</v>
      </c>
      <c r="K694" t="n">
        <v>64110</v>
      </c>
      <c r="L694" t="n">
        <v>222726</v>
      </c>
      <c r="M694" t="n">
        <v>62996</v>
      </c>
    </row>
    <row r="695">
      <c r="A695" s="149" t="n">
        <v>42309</v>
      </c>
      <c r="B695" t="n">
        <v>17524</v>
      </c>
      <c r="C695" t="n">
        <v>27755</v>
      </c>
      <c r="D695" t="n">
        <v>30404</v>
      </c>
      <c r="E695" t="n">
        <v>20056</v>
      </c>
      <c r="F695" t="n">
        <v>10386</v>
      </c>
      <c r="G695" t="n">
        <v>84175</v>
      </c>
      <c r="H695" t="n">
        <v>212466</v>
      </c>
      <c r="I695" t="n">
        <v>143541</v>
      </c>
      <c r="J695" t="n">
        <v>161313</v>
      </c>
      <c r="K695" t="n">
        <v>63224</v>
      </c>
      <c r="L695" t="n">
        <v>227716</v>
      </c>
      <c r="M695" t="n">
        <v>61848</v>
      </c>
    </row>
    <row r="696">
      <c r="A696" s="149" t="n">
        <v>42339</v>
      </c>
      <c r="B696" t="n">
        <v>17124</v>
      </c>
      <c r="C696" t="n">
        <v>27850</v>
      </c>
      <c r="D696" t="n">
        <v>28655</v>
      </c>
      <c r="E696" t="n">
        <v>20596</v>
      </c>
      <c r="F696" t="n">
        <v>10557</v>
      </c>
      <c r="G696" t="n">
        <v>78075</v>
      </c>
      <c r="H696" t="n">
        <v>209769</v>
      </c>
      <c r="I696" t="n">
        <v>142203</v>
      </c>
      <c r="J696" t="n">
        <v>154376</v>
      </c>
      <c r="K696" t="n">
        <v>63244</v>
      </c>
      <c r="L696" t="n">
        <v>220278</v>
      </c>
      <c r="M696" t="n">
        <v>60613</v>
      </c>
    </row>
    <row r="697">
      <c r="A697" s="149" t="n">
        <v>42370</v>
      </c>
      <c r="B697" t="n">
        <v>17074</v>
      </c>
      <c r="C697" t="n">
        <v>28420</v>
      </c>
      <c r="D697" t="n">
        <v>29897</v>
      </c>
      <c r="E697" t="n">
        <v>20960</v>
      </c>
      <c r="F697" t="n">
        <v>10594</v>
      </c>
      <c r="G697" t="n">
        <v>79952</v>
      </c>
      <c r="H697" t="n">
        <v>212421</v>
      </c>
      <c r="I697" t="n">
        <v>144204</v>
      </c>
      <c r="J697" t="n">
        <v>157726</v>
      </c>
      <c r="K697" t="n">
        <v>62116</v>
      </c>
      <c r="L697" t="n">
        <v>224156</v>
      </c>
      <c r="M697" t="n">
        <v>61637</v>
      </c>
    </row>
    <row r="698">
      <c r="A698" s="149" t="n">
        <v>42401</v>
      </c>
      <c r="B698" t="n">
        <v>16624</v>
      </c>
      <c r="C698" t="n">
        <v>28096</v>
      </c>
      <c r="D698" t="n">
        <v>29329</v>
      </c>
      <c r="E698" t="n">
        <v>21271</v>
      </c>
      <c r="F698" t="n">
        <v>10191</v>
      </c>
      <c r="G698" t="n">
        <v>75891</v>
      </c>
      <c r="H698" t="n">
        <v>208470</v>
      </c>
      <c r="I698" t="n">
        <v>142619</v>
      </c>
      <c r="J698" t="n">
        <v>151625</v>
      </c>
      <c r="K698" t="n">
        <v>61521</v>
      </c>
      <c r="L698" t="n">
        <v>218510</v>
      </c>
      <c r="M698" t="n">
        <v>61150</v>
      </c>
    </row>
    <row r="699">
      <c r="A699" s="149" t="n">
        <v>42430</v>
      </c>
      <c r="B699" t="n">
        <v>16547</v>
      </c>
      <c r="C699" t="n">
        <v>27216</v>
      </c>
      <c r="D699" t="n">
        <v>28993</v>
      </c>
      <c r="E699" t="n">
        <v>21033</v>
      </c>
      <c r="F699" t="n">
        <v>9848</v>
      </c>
      <c r="G699" t="n">
        <v>74816</v>
      </c>
      <c r="H699" t="n">
        <v>201996</v>
      </c>
      <c r="I699" t="n">
        <v>141372</v>
      </c>
      <c r="J699" t="n">
        <v>150655</v>
      </c>
      <c r="K699" t="n">
        <v>61133</v>
      </c>
      <c r="L699" t="n">
        <v>216188</v>
      </c>
      <c r="M699" t="n">
        <v>60583</v>
      </c>
    </row>
    <row r="700">
      <c r="A700" s="149" t="n">
        <v>42461</v>
      </c>
      <c r="B700" t="n">
        <v>16598</v>
      </c>
      <c r="C700" t="n">
        <v>28237</v>
      </c>
      <c r="D700" t="n">
        <v>28552</v>
      </c>
      <c r="E700" t="n">
        <v>21755</v>
      </c>
      <c r="F700" t="n">
        <v>9956</v>
      </c>
      <c r="G700" t="n">
        <v>82538</v>
      </c>
      <c r="H700" t="n">
        <v>211258</v>
      </c>
      <c r="I700" t="n">
        <v>142360</v>
      </c>
      <c r="J700" t="n">
        <v>159038</v>
      </c>
      <c r="K700" t="n">
        <v>61671</v>
      </c>
      <c r="L700" t="n">
        <v>224898</v>
      </c>
      <c r="M700" t="n">
        <v>60924</v>
      </c>
    </row>
    <row r="701">
      <c r="A701" s="149" t="n">
        <v>42491</v>
      </c>
      <c r="B701" t="n">
        <v>16633</v>
      </c>
      <c r="C701" t="n">
        <v>28019</v>
      </c>
      <c r="D701" t="n">
        <v>28204</v>
      </c>
      <c r="E701" t="n">
        <v>21603</v>
      </c>
      <c r="F701" t="n">
        <v>9939</v>
      </c>
      <c r="G701" t="n">
        <v>79293</v>
      </c>
      <c r="H701" t="n">
        <v>211188</v>
      </c>
      <c r="I701" t="n">
        <v>141615</v>
      </c>
      <c r="J701" t="n">
        <v>156740</v>
      </c>
      <c r="K701" t="n">
        <v>61126</v>
      </c>
      <c r="L701" t="n">
        <v>220908</v>
      </c>
      <c r="M701" t="n">
        <v>59566</v>
      </c>
    </row>
    <row r="702">
      <c r="A702" s="149" t="n">
        <v>42522</v>
      </c>
      <c r="B702" t="n">
        <v>16422</v>
      </c>
      <c r="C702" t="n">
        <v>27681</v>
      </c>
      <c r="D702" t="n">
        <v>28317</v>
      </c>
      <c r="E702" t="n">
        <v>21509</v>
      </c>
      <c r="F702" t="n">
        <v>9874</v>
      </c>
      <c r="G702" t="n">
        <v>72247</v>
      </c>
      <c r="H702" t="n">
        <v>202807</v>
      </c>
      <c r="I702" t="n">
        <v>140743</v>
      </c>
      <c r="J702" t="n">
        <v>147954</v>
      </c>
      <c r="K702" t="n">
        <v>60609</v>
      </c>
      <c r="L702" t="n">
        <v>212990</v>
      </c>
      <c r="M702" t="n">
        <v>59608</v>
      </c>
    </row>
    <row r="703">
      <c r="A703" s="149" t="n">
        <v>42552</v>
      </c>
      <c r="B703" t="n">
        <v>16721</v>
      </c>
      <c r="C703" t="n">
        <v>27783</v>
      </c>
      <c r="D703" t="n">
        <v>28850</v>
      </c>
      <c r="E703" t="n">
        <v>21512</v>
      </c>
      <c r="F703" t="n">
        <v>10246</v>
      </c>
      <c r="G703" t="n">
        <v>72207</v>
      </c>
      <c r="H703" t="n">
        <v>204914</v>
      </c>
      <c r="I703" t="n">
        <v>141693</v>
      </c>
      <c r="J703" t="n">
        <v>149687</v>
      </c>
      <c r="K703" t="n">
        <v>59441</v>
      </c>
      <c r="L703" t="n">
        <v>213900</v>
      </c>
      <c r="M703" t="n">
        <v>59809</v>
      </c>
    </row>
    <row r="704">
      <c r="A704" s="149" t="n">
        <v>42583</v>
      </c>
      <c r="B704" t="n">
        <v>16645</v>
      </c>
      <c r="C704" t="n">
        <v>27556</v>
      </c>
      <c r="D704" t="n">
        <v>29501</v>
      </c>
      <c r="E704" t="n">
        <v>21391</v>
      </c>
      <c r="F704" t="n">
        <v>10041</v>
      </c>
      <c r="G704" t="n">
        <v>81266</v>
      </c>
      <c r="H704" t="n">
        <v>209179</v>
      </c>
      <c r="I704" t="n">
        <v>141908</v>
      </c>
      <c r="J704" t="n">
        <v>158627</v>
      </c>
      <c r="K704" t="n">
        <v>59905</v>
      </c>
      <c r="L704" t="n">
        <v>223174</v>
      </c>
      <c r="M704" t="n">
        <v>61691</v>
      </c>
    </row>
    <row r="705">
      <c r="A705" s="149" t="n">
        <v>42614</v>
      </c>
      <c r="B705" t="n">
        <v>16761</v>
      </c>
      <c r="C705" t="n">
        <v>27298</v>
      </c>
      <c r="D705" t="n">
        <v>28886</v>
      </c>
      <c r="E705" t="n">
        <v>21205</v>
      </c>
      <c r="F705" t="n">
        <v>10123</v>
      </c>
      <c r="G705" t="n">
        <v>71691</v>
      </c>
      <c r="H705" t="n">
        <v>201229</v>
      </c>
      <c r="I705" t="n">
        <v>141062</v>
      </c>
      <c r="J705" t="n">
        <v>148303</v>
      </c>
      <c r="K705" t="n">
        <v>59991</v>
      </c>
      <c r="L705" t="n">
        <v>212753</v>
      </c>
      <c r="M705" t="n">
        <v>59308</v>
      </c>
    </row>
    <row r="706">
      <c r="A706" s="149" t="n">
        <v>42644</v>
      </c>
      <c r="B706" t="n">
        <v>16742</v>
      </c>
      <c r="C706" t="n">
        <v>28303</v>
      </c>
      <c r="D706" t="n">
        <v>29010</v>
      </c>
      <c r="E706" t="n">
        <v>20922</v>
      </c>
      <c r="F706" t="n">
        <v>10150</v>
      </c>
      <c r="G706" t="n">
        <v>96379</v>
      </c>
      <c r="H706" t="n">
        <v>225358</v>
      </c>
      <c r="I706" t="n">
        <v>141987</v>
      </c>
      <c r="J706" t="n">
        <v>174438</v>
      </c>
      <c r="K706" t="n">
        <v>59411</v>
      </c>
      <c r="L706" t="n">
        <v>238366</v>
      </c>
      <c r="M706" t="n">
        <v>59351</v>
      </c>
    </row>
    <row r="707">
      <c r="A707" s="149" t="n">
        <v>42675</v>
      </c>
      <c r="B707" t="n">
        <v>17295</v>
      </c>
      <c r="C707" t="n">
        <v>28256</v>
      </c>
      <c r="D707" t="n">
        <v>28794</v>
      </c>
      <c r="E707" t="n">
        <v>20849</v>
      </c>
      <c r="F707" t="n">
        <v>10265</v>
      </c>
      <c r="G707" t="n">
        <v>77423</v>
      </c>
      <c r="H707" t="n">
        <v>202565</v>
      </c>
      <c r="I707" t="n">
        <v>142386</v>
      </c>
      <c r="J707" t="n">
        <v>156039</v>
      </c>
      <c r="K707" t="n">
        <v>59487</v>
      </c>
      <c r="L707" t="n">
        <v>219809</v>
      </c>
      <c r="M707" t="n">
        <v>59244</v>
      </c>
    </row>
    <row r="708">
      <c r="A708" s="149" t="n">
        <v>42705</v>
      </c>
      <c r="B708" t="n">
        <v>17358</v>
      </c>
      <c r="C708" t="n">
        <v>27416</v>
      </c>
      <c r="D708" t="n">
        <v>29063</v>
      </c>
      <c r="E708" t="n">
        <v>21377</v>
      </c>
      <c r="F708" t="n">
        <v>10576</v>
      </c>
      <c r="G708" t="n">
        <v>73781</v>
      </c>
      <c r="H708" t="n">
        <v>201103</v>
      </c>
      <c r="I708" t="n">
        <v>142620</v>
      </c>
      <c r="J708" t="n">
        <v>151674</v>
      </c>
      <c r="K708" t="n">
        <v>60013</v>
      </c>
      <c r="L708" t="n">
        <v>216401</v>
      </c>
      <c r="M708" t="n">
        <v>59539</v>
      </c>
    </row>
    <row r="709">
      <c r="A709" s="149" t="n">
        <v>42736</v>
      </c>
      <c r="B709" t="n">
        <v>17767</v>
      </c>
      <c r="C709" t="n">
        <v>27949</v>
      </c>
      <c r="D709" t="n">
        <v>29553</v>
      </c>
      <c r="E709" t="n">
        <v>21416</v>
      </c>
      <c r="F709" t="n">
        <v>10576</v>
      </c>
      <c r="G709" t="n">
        <v>72701</v>
      </c>
      <c r="H709" t="n">
        <v>206243</v>
      </c>
      <c r="I709" t="n">
        <v>144995</v>
      </c>
      <c r="J709" t="n">
        <v>153023</v>
      </c>
      <c r="K709" t="n">
        <v>59778</v>
      </c>
      <c r="L709" t="n">
        <v>217696</v>
      </c>
      <c r="M709" t="n">
        <v>60419</v>
      </c>
    </row>
    <row r="710">
      <c r="A710" s="149" t="n">
        <v>42767</v>
      </c>
      <c r="B710" t="n">
        <v>18278</v>
      </c>
      <c r="C710" t="n">
        <v>27387</v>
      </c>
      <c r="D710" t="n">
        <v>29430</v>
      </c>
      <c r="E710" t="n">
        <v>21789</v>
      </c>
      <c r="F710" t="n">
        <v>10535</v>
      </c>
      <c r="G710" t="n">
        <v>69658</v>
      </c>
      <c r="H710" t="n">
        <v>210003</v>
      </c>
      <c r="I710" t="n">
        <v>145319</v>
      </c>
      <c r="J710" t="n">
        <v>151001</v>
      </c>
      <c r="K710" t="n">
        <v>59987</v>
      </c>
      <c r="L710" t="n">
        <v>214977</v>
      </c>
      <c r="M710" t="n">
        <v>60740</v>
      </c>
    </row>
    <row r="711">
      <c r="A711" s="149" t="n">
        <v>42795</v>
      </c>
      <c r="B711" t="n">
        <v>18435</v>
      </c>
      <c r="C711" t="n">
        <v>29026</v>
      </c>
      <c r="D711" t="n">
        <v>30188</v>
      </c>
      <c r="E711" t="n">
        <v>21068</v>
      </c>
      <c r="F711" t="n">
        <v>10579</v>
      </c>
      <c r="G711" t="n">
        <v>74893</v>
      </c>
      <c r="H711" t="n">
        <v>210478</v>
      </c>
      <c r="I711" t="n">
        <v>146922</v>
      </c>
      <c r="J711" t="n">
        <v>157865</v>
      </c>
      <c r="K711" t="n">
        <v>60681</v>
      </c>
      <c r="L711" t="n">
        <v>221815</v>
      </c>
      <c r="M711" t="n">
        <v>61013</v>
      </c>
    </row>
    <row r="712">
      <c r="A712" s="149" t="n">
        <v>42826</v>
      </c>
      <c r="B712" t="n">
        <v>18356</v>
      </c>
      <c r="C712" t="n">
        <v>28187</v>
      </c>
      <c r="D712" t="n">
        <v>30432</v>
      </c>
      <c r="E712" t="n">
        <v>21249</v>
      </c>
      <c r="F712" t="n">
        <v>10411</v>
      </c>
      <c r="G712" t="n">
        <v>77002</v>
      </c>
      <c r="H712" t="n">
        <v>211179</v>
      </c>
      <c r="I712" t="n">
        <v>146163</v>
      </c>
      <c r="J712" t="n">
        <v>160341</v>
      </c>
      <c r="K712" t="n">
        <v>60445</v>
      </c>
      <c r="L712" t="n">
        <v>223165</v>
      </c>
      <c r="M712" t="n">
        <v>61308</v>
      </c>
    </row>
    <row r="713">
      <c r="A713" s="149" t="n">
        <v>42856</v>
      </c>
      <c r="B713" t="n">
        <v>18545</v>
      </c>
      <c r="C713" t="n">
        <v>28757</v>
      </c>
      <c r="D713" t="n">
        <v>30820</v>
      </c>
      <c r="E713" t="n">
        <v>21310</v>
      </c>
      <c r="F713" t="n">
        <v>10517</v>
      </c>
      <c r="G713" t="n">
        <v>73305</v>
      </c>
      <c r="H713" t="n">
        <v>209836</v>
      </c>
      <c r="I713" t="n">
        <v>147528</v>
      </c>
      <c r="J713" t="n">
        <v>156192</v>
      </c>
      <c r="K713" t="n">
        <v>61109</v>
      </c>
      <c r="L713" t="n">
        <v>220833</v>
      </c>
      <c r="M713" t="n">
        <v>61404</v>
      </c>
    </row>
    <row r="714">
      <c r="A714" s="149" t="n">
        <v>42887</v>
      </c>
      <c r="B714" t="n">
        <v>18514</v>
      </c>
      <c r="C714" t="n">
        <v>28505</v>
      </c>
      <c r="D714" t="n">
        <v>30453</v>
      </c>
      <c r="E714" t="n">
        <v>21044</v>
      </c>
      <c r="F714" t="n">
        <v>10059</v>
      </c>
      <c r="G714" t="n">
        <v>92849</v>
      </c>
      <c r="H714" t="n">
        <v>226112</v>
      </c>
      <c r="I714" t="n">
        <v>146109</v>
      </c>
      <c r="J714" t="n">
        <v>174911</v>
      </c>
      <c r="K714" t="n">
        <v>60720</v>
      </c>
      <c r="L714" t="n">
        <v>238958</v>
      </c>
      <c r="M714" t="n">
        <v>60378</v>
      </c>
    </row>
    <row r="715">
      <c r="A715" s="149" t="n">
        <v>42917</v>
      </c>
      <c r="B715" t="n">
        <v>18695</v>
      </c>
      <c r="C715" t="n">
        <v>28879</v>
      </c>
      <c r="D715" t="n">
        <v>30687</v>
      </c>
      <c r="E715" t="n">
        <v>21851</v>
      </c>
      <c r="F715" t="n">
        <v>10022</v>
      </c>
      <c r="G715" t="n">
        <v>73546</v>
      </c>
      <c r="H715" t="n">
        <v>208934</v>
      </c>
      <c r="I715" t="n">
        <v>147906</v>
      </c>
      <c r="J715" t="n">
        <v>158851</v>
      </c>
      <c r="K715" t="n">
        <v>60854</v>
      </c>
      <c r="L715" t="n">
        <v>221452</v>
      </c>
      <c r="M715" t="n">
        <v>61535</v>
      </c>
    </row>
    <row r="716">
      <c r="A716" s="149" t="n">
        <v>42948</v>
      </c>
      <c r="B716" t="n">
        <v>19360</v>
      </c>
      <c r="C716" t="n">
        <v>29078</v>
      </c>
      <c r="D716" t="n">
        <v>30481</v>
      </c>
      <c r="E716" t="n">
        <v>21724</v>
      </c>
      <c r="F716" t="n">
        <v>10263</v>
      </c>
      <c r="G716" t="n">
        <v>74107</v>
      </c>
      <c r="H716" t="n">
        <v>211561</v>
      </c>
      <c r="I716" t="n">
        <v>148674</v>
      </c>
      <c r="J716" t="n">
        <v>158587</v>
      </c>
      <c r="K716" t="n">
        <v>61707</v>
      </c>
      <c r="L716" t="n">
        <v>222781</v>
      </c>
      <c r="M716" t="n">
        <v>61552</v>
      </c>
    </row>
    <row r="717">
      <c r="A717" s="149" t="n">
        <v>42979</v>
      </c>
      <c r="B717" t="n">
        <v>18811</v>
      </c>
      <c r="C717" t="n">
        <v>29780</v>
      </c>
      <c r="D717" t="n">
        <v>30880</v>
      </c>
      <c r="E717" t="n">
        <v>22353</v>
      </c>
      <c r="F717" t="n">
        <v>10613</v>
      </c>
      <c r="G717" t="n">
        <v>82953</v>
      </c>
      <c r="H717" t="n">
        <v>214530</v>
      </c>
      <c r="I717" t="n">
        <v>150573</v>
      </c>
      <c r="J717" t="n">
        <v>169627</v>
      </c>
      <c r="K717" t="n">
        <v>62405</v>
      </c>
      <c r="L717" t="n">
        <v>233526</v>
      </c>
      <c r="M717" t="n">
        <v>64088</v>
      </c>
    </row>
    <row r="718">
      <c r="A718" s="149" t="n">
        <v>43009</v>
      </c>
      <c r="B718" t="n">
        <v>19652</v>
      </c>
      <c r="C718" t="n">
        <v>29571</v>
      </c>
      <c r="D718" t="n">
        <v>32079</v>
      </c>
      <c r="E718" t="n">
        <v>22167</v>
      </c>
      <c r="F718" t="n">
        <v>10665</v>
      </c>
      <c r="G718" t="n">
        <v>76892</v>
      </c>
      <c r="H718" t="n">
        <v>218187</v>
      </c>
      <c r="I718" t="n">
        <v>152791</v>
      </c>
      <c r="J718" t="n">
        <v>164246</v>
      </c>
      <c r="K718" t="n">
        <v>62741</v>
      </c>
      <c r="L718" t="n">
        <v>229683</v>
      </c>
      <c r="M718" t="n">
        <v>63703</v>
      </c>
    </row>
    <row r="719">
      <c r="A719" s="149" t="n">
        <v>43040</v>
      </c>
      <c r="B719" t="n">
        <v>19619</v>
      </c>
      <c r="C719" t="n">
        <v>30077</v>
      </c>
      <c r="D719" t="n">
        <v>30927</v>
      </c>
      <c r="E719" t="n">
        <v>22833</v>
      </c>
      <c r="F719" t="n">
        <v>10645</v>
      </c>
      <c r="G719" t="n">
        <v>83472</v>
      </c>
      <c r="H719" t="n">
        <v>223365</v>
      </c>
      <c r="I719" t="n">
        <v>153425</v>
      </c>
      <c r="J719" t="n">
        <v>170535</v>
      </c>
      <c r="K719" t="n">
        <v>63498</v>
      </c>
      <c r="L719" t="n">
        <v>236897</v>
      </c>
      <c r="M719" t="n">
        <v>63645</v>
      </c>
    </row>
    <row r="720">
      <c r="A720" s="149" t="n">
        <v>43070</v>
      </c>
      <c r="B720" t="n">
        <v>19651</v>
      </c>
      <c r="C720" t="n">
        <v>30366</v>
      </c>
      <c r="D720" t="n">
        <v>31987</v>
      </c>
      <c r="E720" t="n">
        <v>21855</v>
      </c>
      <c r="F720" t="n">
        <v>10748</v>
      </c>
      <c r="G720" t="n">
        <v>80684</v>
      </c>
      <c r="H720" t="n">
        <v>226348</v>
      </c>
      <c r="I720" t="n">
        <v>154358</v>
      </c>
      <c r="J720" t="n">
        <v>169117</v>
      </c>
      <c r="K720" t="n">
        <v>63977</v>
      </c>
      <c r="L720" t="n">
        <v>235042</v>
      </c>
      <c r="M720" t="n">
        <v>63795</v>
      </c>
    </row>
    <row r="721">
      <c r="A721" s="149" t="n">
        <v>43101</v>
      </c>
      <c r="B721" t="n">
        <v>20045</v>
      </c>
      <c r="C721" t="n">
        <v>30658</v>
      </c>
      <c r="D721" t="n">
        <v>31674</v>
      </c>
      <c r="E721" t="n">
        <v>21694</v>
      </c>
      <c r="F721" t="n">
        <v>10502</v>
      </c>
      <c r="G721" t="n">
        <v>71387</v>
      </c>
      <c r="H721" t="n">
        <v>215201</v>
      </c>
      <c r="I721" t="n">
        <v>153988</v>
      </c>
      <c r="J721" t="n">
        <v>158706</v>
      </c>
      <c r="K721" t="n">
        <v>63556</v>
      </c>
      <c r="L721" t="n">
        <v>225375</v>
      </c>
      <c r="M721" t="n">
        <v>63324</v>
      </c>
    </row>
    <row r="722">
      <c r="A722" s="149" t="n">
        <v>43132</v>
      </c>
      <c r="B722" t="n">
        <v>20835</v>
      </c>
      <c r="C722" t="n">
        <v>30968</v>
      </c>
      <c r="D722" t="n">
        <v>32460</v>
      </c>
      <c r="E722" t="n">
        <v>21341</v>
      </c>
      <c r="F722" t="n">
        <v>10779</v>
      </c>
      <c r="G722" t="n">
        <v>74250</v>
      </c>
      <c r="H722" t="n">
        <v>216508</v>
      </c>
      <c r="I722" t="n">
        <v>156117</v>
      </c>
      <c r="J722" t="n">
        <v>163066</v>
      </c>
      <c r="K722" t="n">
        <v>64012</v>
      </c>
      <c r="L722" t="n">
        <v>230367</v>
      </c>
      <c r="M722" t="n">
        <v>64087</v>
      </c>
    </row>
    <row r="723">
      <c r="A723" s="149" t="n">
        <v>43160</v>
      </c>
      <c r="B723" t="n">
        <v>21181</v>
      </c>
      <c r="C723" t="n">
        <v>31923</v>
      </c>
      <c r="D723" t="n">
        <v>31836</v>
      </c>
      <c r="E723" t="n">
        <v>21408</v>
      </c>
      <c r="F723" t="n">
        <v>10876</v>
      </c>
      <c r="G723" t="n">
        <v>82192</v>
      </c>
      <c r="H723" t="n">
        <v>228341</v>
      </c>
      <c r="I723" t="n">
        <v>156933</v>
      </c>
      <c r="J723" t="n">
        <v>171976</v>
      </c>
      <c r="K723" t="n">
        <v>63867</v>
      </c>
      <c r="L723" t="n">
        <v>239125</v>
      </c>
      <c r="M723" t="n">
        <v>63553</v>
      </c>
    </row>
    <row r="724">
      <c r="A724" s="149" t="n">
        <v>43191</v>
      </c>
      <c r="B724" t="n">
        <v>21959</v>
      </c>
      <c r="C724" t="n">
        <v>32221</v>
      </c>
      <c r="D724" t="n">
        <v>32280</v>
      </c>
      <c r="E724" t="n">
        <v>21856</v>
      </c>
      <c r="F724" t="n">
        <v>11022</v>
      </c>
      <c r="G724" t="n">
        <v>80453</v>
      </c>
      <c r="H724" t="n">
        <v>228749</v>
      </c>
      <c r="I724" t="n">
        <v>159378</v>
      </c>
      <c r="J724" t="n">
        <v>170999</v>
      </c>
      <c r="K724" t="n">
        <v>65011</v>
      </c>
      <c r="L724" t="n">
        <v>239831</v>
      </c>
      <c r="M724" t="n">
        <v>64909</v>
      </c>
    </row>
    <row r="725">
      <c r="A725" s="149" t="n">
        <v>43221</v>
      </c>
      <c r="B725" t="n">
        <v>21989</v>
      </c>
      <c r="C725" t="n">
        <v>32337</v>
      </c>
      <c r="D725" t="n">
        <v>33533</v>
      </c>
      <c r="E725" t="n">
        <v>22150</v>
      </c>
      <c r="F725" t="n">
        <v>11016</v>
      </c>
      <c r="G725" t="n">
        <v>79915</v>
      </c>
      <c r="H725" t="n">
        <v>226554</v>
      </c>
      <c r="I725" t="n">
        <v>161173</v>
      </c>
      <c r="J725" t="n">
        <v>175471</v>
      </c>
      <c r="K725" t="n">
        <v>65092</v>
      </c>
      <c r="L725" t="n">
        <v>241088</v>
      </c>
      <c r="M725" t="n">
        <v>66231</v>
      </c>
    </row>
    <row r="726">
      <c r="A726" s="149" t="n">
        <v>43252</v>
      </c>
      <c r="B726" t="n">
        <v>21982</v>
      </c>
      <c r="C726" t="n">
        <v>32344</v>
      </c>
      <c r="D726" t="n">
        <v>33808</v>
      </c>
      <c r="E726" t="n">
        <v>22335</v>
      </c>
      <c r="F726" t="n">
        <v>11168</v>
      </c>
      <c r="G726" t="n">
        <v>79556</v>
      </c>
      <c r="H726" t="n">
        <v>226427</v>
      </c>
      <c r="I726" t="n">
        <v>161822</v>
      </c>
      <c r="J726" t="n">
        <v>173527</v>
      </c>
      <c r="K726" t="n">
        <v>65980</v>
      </c>
      <c r="L726" t="n">
        <v>241378</v>
      </c>
      <c r="M726" t="n">
        <v>67247</v>
      </c>
    </row>
    <row r="727">
      <c r="A727" s="149" t="n">
        <v>43282</v>
      </c>
      <c r="B727" t="n">
        <v>22084</v>
      </c>
      <c r="C727" t="n">
        <v>32251</v>
      </c>
      <c r="D727" t="n">
        <v>34160</v>
      </c>
      <c r="E727" t="n">
        <v>22478</v>
      </c>
      <c r="F727" t="n">
        <v>11106</v>
      </c>
      <c r="G727" t="n">
        <v>71618</v>
      </c>
      <c r="H727" t="n">
        <v>222741</v>
      </c>
      <c r="I727" t="n">
        <v>162169</v>
      </c>
      <c r="J727" t="n">
        <v>164780</v>
      </c>
      <c r="K727" t="n">
        <v>66517</v>
      </c>
      <c r="L727" t="n">
        <v>233787</v>
      </c>
      <c r="M727" t="n">
        <v>68749</v>
      </c>
    </row>
    <row r="728">
      <c r="A728" s="149" t="n">
        <v>43313</v>
      </c>
      <c r="B728" t="n">
        <v>21863</v>
      </c>
      <c r="C728" t="n">
        <v>31965</v>
      </c>
      <c r="D728" t="n">
        <v>33335</v>
      </c>
      <c r="E728" t="n">
        <v>22193</v>
      </c>
      <c r="F728" t="n">
        <v>11169</v>
      </c>
      <c r="G728" t="n">
        <v>87873</v>
      </c>
      <c r="H728" t="n">
        <v>230514</v>
      </c>
      <c r="I728" t="n">
        <v>160301</v>
      </c>
      <c r="J728" t="n">
        <v>179888</v>
      </c>
      <c r="K728" t="n">
        <v>66126</v>
      </c>
      <c r="L728" t="n">
        <v>248174</v>
      </c>
      <c r="M728" t="n">
        <v>66798</v>
      </c>
    </row>
    <row r="729">
      <c r="A729" s="149" t="n">
        <v>43344</v>
      </c>
      <c r="B729" t="n">
        <v>21740</v>
      </c>
      <c r="C729" t="n">
        <v>31305</v>
      </c>
      <c r="D729" t="n">
        <v>33662</v>
      </c>
      <c r="E729" t="n">
        <v>21724</v>
      </c>
      <c r="F729" t="n">
        <v>11103</v>
      </c>
      <c r="G729" t="n">
        <v>85583</v>
      </c>
      <c r="H729" t="n">
        <v>225632</v>
      </c>
      <c r="I729" t="n">
        <v>159376</v>
      </c>
      <c r="J729" t="n">
        <v>176616</v>
      </c>
      <c r="K729" t="n">
        <v>65978</v>
      </c>
      <c r="L729" t="n">
        <v>244959</v>
      </c>
      <c r="M729" t="n">
        <v>66399</v>
      </c>
    </row>
    <row r="730">
      <c r="A730" s="149" t="n">
        <v>43374</v>
      </c>
      <c r="B730" t="n">
        <v>21833</v>
      </c>
      <c r="C730" t="n">
        <v>31559</v>
      </c>
      <c r="D730" t="n">
        <v>34214</v>
      </c>
      <c r="E730" t="n">
        <v>22537</v>
      </c>
      <c r="F730" t="n">
        <v>11308</v>
      </c>
      <c r="G730" t="n">
        <v>78497</v>
      </c>
      <c r="H730" t="n">
        <v>224668</v>
      </c>
      <c r="I730" t="n">
        <v>160988</v>
      </c>
      <c r="J730" t="n">
        <v>170058</v>
      </c>
      <c r="K730" t="n">
        <v>66450</v>
      </c>
      <c r="L730" t="n">
        <v>239485</v>
      </c>
      <c r="M730" t="n">
        <v>67104</v>
      </c>
    </row>
    <row r="731">
      <c r="A731" s="149" t="n">
        <v>43405</v>
      </c>
      <c r="B731" t="n">
        <v>21438</v>
      </c>
      <c r="C731" t="n">
        <v>31962</v>
      </c>
      <c r="D731" t="n">
        <v>31364</v>
      </c>
      <c r="E731" t="n">
        <v>22597</v>
      </c>
      <c r="F731" t="n">
        <v>10903</v>
      </c>
      <c r="G731" t="n">
        <v>72091</v>
      </c>
      <c r="H731" t="n">
        <v>214673</v>
      </c>
      <c r="I731" t="n">
        <v>157324</v>
      </c>
      <c r="J731" t="n">
        <v>160838</v>
      </c>
      <c r="K731" t="n">
        <v>65739</v>
      </c>
      <c r="L731" t="n">
        <v>229415</v>
      </c>
      <c r="M731" t="n">
        <v>64292</v>
      </c>
    </row>
    <row r="732">
      <c r="A732" s="149" t="n">
        <v>43435</v>
      </c>
      <c r="B732" t="n">
        <v>21299</v>
      </c>
      <c r="C732" t="n">
        <v>31929</v>
      </c>
      <c r="D732" t="n">
        <v>32331</v>
      </c>
      <c r="E732" t="n">
        <v>22470</v>
      </c>
      <c r="F732" t="n">
        <v>10884</v>
      </c>
      <c r="G732" t="n">
        <v>84231</v>
      </c>
      <c r="H732" t="n">
        <v>230978</v>
      </c>
      <c r="I732" t="n">
        <v>158140</v>
      </c>
      <c r="J732" t="n">
        <v>172950</v>
      </c>
      <c r="K732" t="n">
        <v>66066</v>
      </c>
      <c r="L732" t="n">
        <v>242371</v>
      </c>
      <c r="M732" t="n">
        <v>64894</v>
      </c>
    </row>
    <row r="733">
      <c r="A733" s="149" t="n">
        <v>43466</v>
      </c>
      <c r="B733" t="n">
        <v>20097</v>
      </c>
      <c r="C733" t="n">
        <v>31899</v>
      </c>
      <c r="D733" t="n">
        <v>33372</v>
      </c>
      <c r="E733" t="n">
        <v>22092</v>
      </c>
      <c r="F733" t="n">
        <v>10918</v>
      </c>
      <c r="G733" t="n">
        <v>94833</v>
      </c>
      <c r="H733" t="n">
        <v>239654</v>
      </c>
      <c r="I733" t="n">
        <v>157472</v>
      </c>
      <c r="J733" t="n">
        <v>183707</v>
      </c>
      <c r="K733" t="n">
        <v>65825</v>
      </c>
      <c r="L733" t="n">
        <v>252305</v>
      </c>
      <c r="M733" t="n">
        <v>65841</v>
      </c>
    </row>
    <row r="734">
      <c r="A734" s="149" t="n">
        <v>43497</v>
      </c>
      <c r="B734" t="n">
        <v>20659</v>
      </c>
      <c r="C734" t="n">
        <v>31883</v>
      </c>
      <c r="D734" t="n">
        <v>32674</v>
      </c>
      <c r="E734" t="n">
        <v>21831</v>
      </c>
      <c r="F734" t="n">
        <v>10899</v>
      </c>
      <c r="G734" t="n">
        <v>86261</v>
      </c>
      <c r="H734" t="n">
        <v>230943</v>
      </c>
      <c r="I734" t="n">
        <v>156980</v>
      </c>
      <c r="J734" t="n">
        <v>174574</v>
      </c>
      <c r="K734" t="n">
        <v>65952</v>
      </c>
      <c r="L734" t="n">
        <v>243241</v>
      </c>
      <c r="M734" t="n">
        <v>65221</v>
      </c>
    </row>
    <row r="735">
      <c r="A735" s="149" t="n">
        <v>43525</v>
      </c>
      <c r="B735" t="n">
        <v>20480</v>
      </c>
      <c r="C735" t="n">
        <v>31435</v>
      </c>
      <c r="D735" t="n">
        <v>32516</v>
      </c>
      <c r="E735" t="n">
        <v>22183</v>
      </c>
      <c r="F735" t="n">
        <v>11181</v>
      </c>
      <c r="G735" t="n">
        <v>99157</v>
      </c>
      <c r="H735" t="n">
        <v>239381</v>
      </c>
      <c r="I735" t="n">
        <v>156767</v>
      </c>
      <c r="J735" t="n">
        <v>186986</v>
      </c>
      <c r="K735" t="n">
        <v>65892</v>
      </c>
      <c r="L735" t="n">
        <v>255924</v>
      </c>
      <c r="M735" t="n">
        <v>66457</v>
      </c>
    </row>
    <row r="736">
      <c r="A736" s="149" t="n">
        <v>43556</v>
      </c>
      <c r="B736" t="n">
        <v>20466</v>
      </c>
      <c r="C736" t="n">
        <v>32121</v>
      </c>
      <c r="D736" t="n">
        <v>32665</v>
      </c>
      <c r="E736" t="n">
        <v>22571</v>
      </c>
      <c r="F736" t="n">
        <v>11283</v>
      </c>
      <c r="G736" t="n">
        <v>94823</v>
      </c>
      <c r="H736" t="n">
        <v>237159</v>
      </c>
      <c r="I736" t="n">
        <v>157850</v>
      </c>
      <c r="J736" t="n">
        <v>186141</v>
      </c>
      <c r="K736" t="n">
        <v>66315</v>
      </c>
      <c r="L736" t="n">
        <v>252673</v>
      </c>
      <c r="M736" t="n">
        <v>65737</v>
      </c>
    </row>
    <row r="737">
      <c r="A737" s="149" t="n">
        <v>43586</v>
      </c>
      <c r="B737" t="n">
        <v>20044</v>
      </c>
      <c r="C737" t="n">
        <v>32035</v>
      </c>
      <c r="D737" t="n">
        <v>32752</v>
      </c>
      <c r="E737" t="n">
        <v>22247</v>
      </c>
      <c r="F737" t="n">
        <v>11236</v>
      </c>
      <c r="G737" t="n">
        <v>82353</v>
      </c>
      <c r="H737" t="n">
        <v>225087</v>
      </c>
      <c r="I737" t="n">
        <v>157491</v>
      </c>
      <c r="J737" t="n">
        <v>172609</v>
      </c>
      <c r="K737" t="n">
        <v>66597</v>
      </c>
      <c r="L737" t="n">
        <v>239844</v>
      </c>
      <c r="M737" t="n">
        <v>65271</v>
      </c>
    </row>
    <row r="738">
      <c r="A738" s="149" t="n">
        <v>43617</v>
      </c>
      <c r="B738" t="n">
        <v>20419</v>
      </c>
      <c r="C738" t="n">
        <v>32315</v>
      </c>
      <c r="D738" t="n">
        <v>33198</v>
      </c>
      <c r="E738" t="n">
        <v>22159</v>
      </c>
      <c r="F738" t="n">
        <v>11494</v>
      </c>
      <c r="G738" t="n">
        <v>85886</v>
      </c>
      <c r="H738" t="n">
        <v>236096</v>
      </c>
      <c r="I738" t="n">
        <v>158841</v>
      </c>
      <c r="J738" t="n">
        <v>176033</v>
      </c>
      <c r="K738" t="n">
        <v>66297</v>
      </c>
      <c r="L738" t="n">
        <v>244727</v>
      </c>
      <c r="M738" t="n">
        <v>66139</v>
      </c>
    </row>
    <row r="739">
      <c r="A739" s="149" t="n">
        <v>43647</v>
      </c>
      <c r="B739" t="n">
        <v>19853</v>
      </c>
      <c r="C739" t="n">
        <v>32216</v>
      </c>
      <c r="D739" t="n">
        <v>32224</v>
      </c>
      <c r="E739" t="n">
        <v>22156</v>
      </c>
      <c r="F739" t="n">
        <v>11456</v>
      </c>
      <c r="G739" t="n">
        <v>92805</v>
      </c>
      <c r="H739" t="n">
        <v>236007</v>
      </c>
      <c r="I739" t="n">
        <v>156943</v>
      </c>
      <c r="J739" t="n">
        <v>181883</v>
      </c>
      <c r="K739" t="n">
        <v>65881</v>
      </c>
      <c r="L739" t="n">
        <v>249748</v>
      </c>
      <c r="M739" t="n">
        <v>65823</v>
      </c>
    </row>
    <row r="740">
      <c r="A740" s="149" t="n">
        <v>43678</v>
      </c>
      <c r="B740" t="n">
        <v>19709</v>
      </c>
      <c r="C740" t="n">
        <v>32362</v>
      </c>
      <c r="D740" t="n">
        <v>32623</v>
      </c>
      <c r="E740" t="n">
        <v>22152</v>
      </c>
      <c r="F740" t="n">
        <v>11232</v>
      </c>
      <c r="G740" t="n">
        <v>88540</v>
      </c>
      <c r="H740" t="n">
        <v>230663</v>
      </c>
      <c r="I740" t="n">
        <v>157074</v>
      </c>
      <c r="J740" t="n">
        <v>178316</v>
      </c>
      <c r="K740" t="n">
        <v>65847</v>
      </c>
      <c r="L740" t="n">
        <v>245614</v>
      </c>
      <c r="M740" t="n">
        <v>65593</v>
      </c>
    </row>
    <row r="741">
      <c r="A741" s="149" t="n">
        <v>43709</v>
      </c>
      <c r="B741" t="n">
        <v>19471</v>
      </c>
      <c r="C741" t="n">
        <v>31504</v>
      </c>
      <c r="D741" t="n">
        <v>32814</v>
      </c>
      <c r="E741" t="n">
        <v>22039</v>
      </c>
      <c r="F741" t="n">
        <v>11294</v>
      </c>
      <c r="G741" t="n">
        <v>89205</v>
      </c>
      <c r="H741" t="n">
        <v>228583</v>
      </c>
      <c r="I741" t="n">
        <v>156112</v>
      </c>
      <c r="J741" t="n">
        <v>178552</v>
      </c>
      <c r="K741" t="n">
        <v>65250</v>
      </c>
      <c r="L741" t="n">
        <v>245317</v>
      </c>
      <c r="M741" t="n">
        <v>65187</v>
      </c>
    </row>
    <row r="742">
      <c r="A742" s="149" t="n">
        <v>43739</v>
      </c>
      <c r="B742" t="n">
        <v>19236</v>
      </c>
      <c r="C742" t="n">
        <v>31678</v>
      </c>
      <c r="D742" t="n">
        <v>32987</v>
      </c>
      <c r="E742" t="n">
        <v>21855</v>
      </c>
      <c r="F742" t="n">
        <v>11193</v>
      </c>
      <c r="G742" t="n">
        <v>94655</v>
      </c>
      <c r="H742" t="n">
        <v>231646</v>
      </c>
      <c r="I742" t="n">
        <v>156018</v>
      </c>
      <c r="J742" t="n">
        <v>184702</v>
      </c>
      <c r="K742" t="n">
        <v>65403</v>
      </c>
      <c r="L742" t="n">
        <v>250673</v>
      </c>
      <c r="M742" t="n">
        <v>65642</v>
      </c>
    </row>
    <row r="743">
      <c r="A743" s="149" t="n">
        <v>43770</v>
      </c>
      <c r="B743" t="n">
        <v>19840</v>
      </c>
      <c r="C743" t="n">
        <v>31947</v>
      </c>
      <c r="D743" t="n">
        <v>32206</v>
      </c>
      <c r="E743" t="n">
        <v>22041</v>
      </c>
      <c r="F743" t="n">
        <v>11253</v>
      </c>
      <c r="G743" t="n">
        <v>77906</v>
      </c>
      <c r="H743" t="n">
        <v>223422</v>
      </c>
      <c r="I743" t="n">
        <v>156261</v>
      </c>
      <c r="J743" t="n">
        <v>168277</v>
      </c>
      <c r="K743" t="n">
        <v>65034</v>
      </c>
      <c r="L743" t="n">
        <v>234167</v>
      </c>
      <c r="M743" t="n">
        <v>65189</v>
      </c>
    </row>
    <row r="744">
      <c r="A744" s="149" t="n">
        <v>43800</v>
      </c>
      <c r="B744" t="n">
        <v>19237</v>
      </c>
      <c r="C744" t="n">
        <v>31332</v>
      </c>
      <c r="D744" t="n">
        <v>31602</v>
      </c>
      <c r="E744" t="n">
        <v>21965</v>
      </c>
      <c r="F744" t="n">
        <v>11197</v>
      </c>
      <c r="G744" t="n">
        <v>85927</v>
      </c>
      <c r="H744" t="n">
        <v>220138</v>
      </c>
      <c r="I744" t="n">
        <v>154416</v>
      </c>
      <c r="J744" t="n">
        <v>175060</v>
      </c>
      <c r="K744" t="n">
        <v>65223</v>
      </c>
      <c r="L744" t="n">
        <v>240343</v>
      </c>
      <c r="M744" t="n">
        <v>65045</v>
      </c>
    </row>
    <row r="745">
      <c r="A745" s="149" t="n">
        <v>43831</v>
      </c>
      <c r="B745" t="n">
        <v>19217</v>
      </c>
      <c r="C745" t="n">
        <v>30820</v>
      </c>
      <c r="D745" t="n">
        <v>32031</v>
      </c>
      <c r="E745" t="n">
        <v>22629</v>
      </c>
      <c r="F745" t="n">
        <v>11017</v>
      </c>
      <c r="G745" t="n">
        <v>73989</v>
      </c>
      <c r="H745" t="n">
        <v>216266</v>
      </c>
      <c r="I745" t="n">
        <v>154889</v>
      </c>
      <c r="J745" t="n">
        <v>164144</v>
      </c>
      <c r="K745" t="n">
        <v>65297</v>
      </c>
      <c r="L745" t="n">
        <v>228878</v>
      </c>
      <c r="M745" t="n">
        <v>65765</v>
      </c>
    </row>
    <row r="746">
      <c r="A746" s="149" t="n">
        <v>43862</v>
      </c>
      <c r="B746" t="n">
        <v>19169</v>
      </c>
      <c r="C746" t="n">
        <v>30551</v>
      </c>
      <c r="D746" t="n">
        <v>31308</v>
      </c>
      <c r="E746" t="n">
        <v>22704</v>
      </c>
      <c r="F746" t="n">
        <v>11236</v>
      </c>
      <c r="G746" t="n">
        <v>76895</v>
      </c>
      <c r="H746" t="n">
        <v>214429</v>
      </c>
      <c r="I746" t="n">
        <v>154006</v>
      </c>
      <c r="J746" t="n">
        <v>164739</v>
      </c>
      <c r="K746" t="n">
        <v>64967</v>
      </c>
      <c r="L746" t="n">
        <v>230901</v>
      </c>
      <c r="M746" t="n">
        <v>64885</v>
      </c>
    </row>
    <row r="747">
      <c r="A747" s="149" t="n">
        <v>43891</v>
      </c>
      <c r="B747" t="n">
        <v>17935</v>
      </c>
      <c r="C747" t="n">
        <v>28792</v>
      </c>
      <c r="D747" t="n">
        <v>31101</v>
      </c>
      <c r="E747" t="n">
        <v>22617</v>
      </c>
      <c r="F747" t="n">
        <v>11446</v>
      </c>
      <c r="G747" t="n">
        <v>32465</v>
      </c>
      <c r="H747" t="n">
        <v>166862</v>
      </c>
      <c r="I747" t="n">
        <v>150552</v>
      </c>
      <c r="J747" t="n">
        <v>125115</v>
      </c>
      <c r="K747" t="n">
        <v>64064</v>
      </c>
      <c r="L747" t="n">
        <v>183017</v>
      </c>
      <c r="M747" t="n">
        <v>64103</v>
      </c>
    </row>
    <row r="748">
      <c r="A748" s="149" t="n">
        <v>43922</v>
      </c>
      <c r="B748" t="n">
        <v>15615</v>
      </c>
      <c r="C748" t="n">
        <v>24962</v>
      </c>
      <c r="D748" t="n">
        <v>28238</v>
      </c>
      <c r="E748" t="n">
        <v>22605</v>
      </c>
      <c r="F748" t="n">
        <v>10129</v>
      </c>
      <c r="G748" t="n">
        <v>23950</v>
      </c>
      <c r="H748" t="n">
        <v>149372</v>
      </c>
      <c r="I748" t="n">
        <v>137883</v>
      </c>
      <c r="J748" t="n">
        <v>121997</v>
      </c>
      <c r="K748" t="n">
        <v>59402</v>
      </c>
      <c r="L748" t="n">
        <v>161833</v>
      </c>
      <c r="M748" t="n">
        <v>59872</v>
      </c>
    </row>
    <row r="749">
      <c r="A749" s="149" t="n">
        <v>43952</v>
      </c>
      <c r="B749" t="n">
        <v>16103</v>
      </c>
      <c r="C749" t="n">
        <v>26975</v>
      </c>
      <c r="D749" t="n">
        <v>29246</v>
      </c>
      <c r="E749" t="n">
        <v>22699</v>
      </c>
      <c r="F749" t="n">
        <v>10288</v>
      </c>
      <c r="G749" t="n">
        <v>35952</v>
      </c>
      <c r="H749" t="n">
        <v>166186</v>
      </c>
      <c r="I749" t="n">
        <v>143011</v>
      </c>
      <c r="J749" t="n">
        <v>134339</v>
      </c>
      <c r="K749" t="n">
        <v>60874</v>
      </c>
      <c r="L749" t="n">
        <v>178963</v>
      </c>
      <c r="M749" t="n">
        <v>61297</v>
      </c>
    </row>
    <row r="750">
      <c r="A750" s="149" t="n">
        <v>43983</v>
      </c>
      <c r="B750" t="n">
        <v>17719</v>
      </c>
      <c r="C750" t="n">
        <v>29075</v>
      </c>
      <c r="D750" t="n">
        <v>30519</v>
      </c>
      <c r="E750" t="n">
        <v>22999</v>
      </c>
      <c r="F750" t="n">
        <v>10435</v>
      </c>
      <c r="G750" t="n">
        <v>48591</v>
      </c>
      <c r="H750" t="n">
        <v>187472</v>
      </c>
      <c r="I750" t="n">
        <v>150635</v>
      </c>
      <c r="J750" t="n">
        <v>135912</v>
      </c>
      <c r="K750" t="n">
        <v>63672</v>
      </c>
      <c r="L750" t="n">
        <v>199226</v>
      </c>
      <c r="M750" t="n">
        <v>64300</v>
      </c>
    </row>
    <row r="751">
      <c r="A751" s="149" t="n">
        <v>44013</v>
      </c>
      <c r="B751" t="n">
        <v>18203</v>
      </c>
      <c r="C751" t="n">
        <v>30303</v>
      </c>
      <c r="D751" t="n">
        <v>31520</v>
      </c>
      <c r="E751" t="n">
        <v>23302</v>
      </c>
      <c r="F751" t="n">
        <v>11154</v>
      </c>
      <c r="G751" t="n">
        <v>62848</v>
      </c>
      <c r="H751" t="n">
        <v>205339</v>
      </c>
      <c r="I751" t="n">
        <v>155900</v>
      </c>
      <c r="J751" t="n">
        <v>146079</v>
      </c>
      <c r="K751" t="n">
        <v>65681</v>
      </c>
      <c r="L751" t="n">
        <v>218748</v>
      </c>
      <c r="M751" t="n">
        <v>66189</v>
      </c>
    </row>
    <row r="752">
      <c r="A752" s="149" t="n">
        <v>44044</v>
      </c>
      <c r="B752" t="n">
        <v>18738</v>
      </c>
      <c r="C752" t="n">
        <v>30310</v>
      </c>
      <c r="D752" t="n">
        <v>32251</v>
      </c>
      <c r="E752" t="n">
        <v>23790</v>
      </c>
      <c r="F752" t="n">
        <v>11040</v>
      </c>
      <c r="G752" t="n">
        <v>65007</v>
      </c>
      <c r="H752" t="n">
        <v>210181</v>
      </c>
      <c r="I752" t="n">
        <v>158055</v>
      </c>
      <c r="J752" t="n">
        <v>151866</v>
      </c>
      <c r="K752" t="n">
        <v>67055</v>
      </c>
      <c r="L752" t="n">
        <v>223062</v>
      </c>
      <c r="M752" t="n">
        <v>67791</v>
      </c>
    </row>
    <row r="753">
      <c r="A753" s="149" t="n">
        <v>44075</v>
      </c>
      <c r="B753" t="n">
        <v>19293</v>
      </c>
      <c r="C753" t="n">
        <v>30998</v>
      </c>
      <c r="D753" t="n">
        <v>32547</v>
      </c>
      <c r="E753" t="n">
        <v>23658</v>
      </c>
      <c r="F753" t="n">
        <v>11198</v>
      </c>
      <c r="G753" t="n">
        <v>66550</v>
      </c>
      <c r="H753" t="n">
        <v>215572</v>
      </c>
      <c r="I753" t="n">
        <v>160114</v>
      </c>
      <c r="J753" t="n">
        <v>154765</v>
      </c>
      <c r="K753" t="n">
        <v>67319</v>
      </c>
      <c r="L753" t="n">
        <v>226664</v>
      </c>
      <c r="M753" t="n">
        <v>68646</v>
      </c>
    </row>
    <row r="754">
      <c r="A754" s="149" t="n">
        <v>44105</v>
      </c>
      <c r="B754" t="n">
        <v>19679</v>
      </c>
      <c r="C754" t="n">
        <v>31692</v>
      </c>
      <c r="D754" t="n">
        <v>32893</v>
      </c>
      <c r="E754" t="n">
        <v>24445</v>
      </c>
      <c r="F754" t="n">
        <v>11354</v>
      </c>
      <c r="G754" t="n">
        <v>65906</v>
      </c>
      <c r="H754" t="n">
        <v>215790</v>
      </c>
      <c r="I754" t="n">
        <v>162930</v>
      </c>
      <c r="J754" t="n">
        <v>157040</v>
      </c>
      <c r="K754" t="n">
        <v>68790</v>
      </c>
      <c r="L754" t="n">
        <v>228836</v>
      </c>
      <c r="M754" t="n">
        <v>69626</v>
      </c>
    </row>
    <row r="755">
      <c r="A755" s="149" t="n">
        <v>44136</v>
      </c>
      <c r="B755" t="n">
        <v>20065</v>
      </c>
      <c r="C755" t="n">
        <v>31623</v>
      </c>
      <c r="D755" t="n">
        <v>32966</v>
      </c>
      <c r="E755" t="n">
        <v>24559</v>
      </c>
      <c r="F755" t="n">
        <v>11421</v>
      </c>
      <c r="G755" t="n">
        <v>69598</v>
      </c>
      <c r="H755" t="n">
        <v>220355</v>
      </c>
      <c r="I755" t="n">
        <v>164240</v>
      </c>
      <c r="J755" t="n">
        <v>160496</v>
      </c>
      <c r="K755" t="n">
        <v>69601</v>
      </c>
      <c r="L755" t="n">
        <v>233838</v>
      </c>
      <c r="M755" t="n">
        <v>70563</v>
      </c>
    </row>
    <row r="756">
      <c r="A756" s="149" t="n">
        <v>44166</v>
      </c>
      <c r="B756" t="n">
        <v>20298</v>
      </c>
      <c r="C756" t="n">
        <v>32789</v>
      </c>
      <c r="D756" t="n">
        <v>34392</v>
      </c>
      <c r="E756" t="n">
        <v>24561</v>
      </c>
      <c r="F756" t="n">
        <v>11784</v>
      </c>
      <c r="G756" t="n">
        <v>69879</v>
      </c>
      <c r="H756" t="n">
        <v>226260</v>
      </c>
      <c r="I756" t="n">
        <v>167549</v>
      </c>
      <c r="J756" t="n">
        <v>162628</v>
      </c>
      <c r="K756" t="n">
        <v>70042</v>
      </c>
      <c r="L756" t="n">
        <v>237428</v>
      </c>
      <c r="M756" t="n">
        <v>71619</v>
      </c>
    </row>
    <row r="757">
      <c r="A757" s="149" t="n">
        <v>44197</v>
      </c>
      <c r="B757" t="n">
        <v>20852</v>
      </c>
      <c r="C757" t="n">
        <v>33731</v>
      </c>
      <c r="D757" t="n">
        <v>34411</v>
      </c>
      <c r="E757" t="n">
        <v>24715</v>
      </c>
      <c r="F757" t="n">
        <v>12338</v>
      </c>
      <c r="G757" t="n">
        <v>72159</v>
      </c>
      <c r="H757" t="n">
        <v>227501</v>
      </c>
      <c r="I757" t="n">
        <v>171001</v>
      </c>
      <c r="J757" t="n">
        <v>168315</v>
      </c>
      <c r="K757" t="n">
        <v>71414</v>
      </c>
      <c r="L757" t="n">
        <v>243160</v>
      </c>
      <c r="M757" t="n">
        <v>72386</v>
      </c>
    </row>
    <row r="758">
      <c r="A758" s="149" t="n">
        <v>44228</v>
      </c>
      <c r="B758" t="n">
        <v>20840</v>
      </c>
      <c r="C758" t="n">
        <v>33691</v>
      </c>
      <c r="D758" t="n">
        <v>34488</v>
      </c>
      <c r="E758" t="n">
        <v>24536</v>
      </c>
      <c r="F758" t="n">
        <v>12534</v>
      </c>
      <c r="G758" t="n">
        <v>76183</v>
      </c>
      <c r="H758" t="n">
        <v>230452</v>
      </c>
      <c r="I758" t="n">
        <v>170078</v>
      </c>
      <c r="J758" t="n">
        <v>176058</v>
      </c>
      <c r="K758" t="n">
        <v>70785</v>
      </c>
      <c r="L758" t="n">
        <v>246261</v>
      </c>
      <c r="M758" t="n">
        <v>72150</v>
      </c>
    </row>
    <row r="759">
      <c r="A759" s="149" t="n">
        <v>44256</v>
      </c>
      <c r="B759" t="n">
        <v>21959</v>
      </c>
      <c r="C759" t="n">
        <v>36034</v>
      </c>
      <c r="D759" t="n">
        <v>35598</v>
      </c>
      <c r="E759" t="n">
        <v>24675</v>
      </c>
      <c r="F759" t="n">
        <v>12521</v>
      </c>
      <c r="G759" t="n">
        <v>73843</v>
      </c>
      <c r="H759" t="n">
        <v>235711</v>
      </c>
      <c r="I759" t="n">
        <v>175624</v>
      </c>
      <c r="J759" t="n">
        <v>177221</v>
      </c>
      <c r="K759" t="n">
        <v>71883</v>
      </c>
      <c r="L759" t="n">
        <v>249467</v>
      </c>
      <c r="M759" t="n">
        <v>73318</v>
      </c>
    </row>
    <row r="760">
      <c r="A760" s="149" t="n">
        <v>44287</v>
      </c>
      <c r="B760" t="n">
        <v>23133</v>
      </c>
      <c r="C760" t="n">
        <v>36597</v>
      </c>
      <c r="D760" t="n">
        <v>36400</v>
      </c>
      <c r="E760" t="n">
        <v>24787</v>
      </c>
      <c r="F760" t="n">
        <v>12579</v>
      </c>
      <c r="G760" t="n">
        <v>68988</v>
      </c>
      <c r="H760" t="n">
        <v>236886</v>
      </c>
      <c r="I760" t="n">
        <v>178656</v>
      </c>
      <c r="J760" t="n">
        <v>179098</v>
      </c>
      <c r="K760" t="n">
        <v>72559</v>
      </c>
      <c r="L760" t="n">
        <v>247644</v>
      </c>
      <c r="M760" t="n">
        <v>75315</v>
      </c>
    </row>
    <row r="761">
      <c r="A761" s="149" t="n">
        <v>44317</v>
      </c>
      <c r="B761" t="n">
        <v>23829</v>
      </c>
      <c r="C761" t="n">
        <v>35863</v>
      </c>
      <c r="D761" t="n">
        <v>36616</v>
      </c>
      <c r="E761" t="n">
        <v>24777</v>
      </c>
      <c r="F761" t="n">
        <v>12959</v>
      </c>
      <c r="G761" t="n">
        <v>75889</v>
      </c>
      <c r="H761" t="n">
        <v>243568</v>
      </c>
      <c r="I761" t="n">
        <v>179640</v>
      </c>
      <c r="J761" t="n">
        <v>185820</v>
      </c>
      <c r="K761" t="n">
        <v>73260</v>
      </c>
      <c r="L761" t="n">
        <v>255529</v>
      </c>
      <c r="M761" t="n">
        <v>75742</v>
      </c>
    </row>
    <row r="762">
      <c r="A762" s="149" t="n">
        <v>44348</v>
      </c>
      <c r="B762" t="n">
        <v>24033</v>
      </c>
      <c r="C762" t="n">
        <v>35446</v>
      </c>
      <c r="D762" t="n">
        <v>37393</v>
      </c>
      <c r="E762" t="n">
        <v>24973</v>
      </c>
      <c r="F762" t="n">
        <v>12981</v>
      </c>
      <c r="G762" t="n">
        <v>76929</v>
      </c>
      <c r="H762" t="n">
        <v>245971</v>
      </c>
      <c r="I762" t="n">
        <v>180734</v>
      </c>
      <c r="J762" t="n">
        <v>186999</v>
      </c>
      <c r="K762" t="n">
        <v>73732</v>
      </c>
      <c r="L762" t="n">
        <v>257663</v>
      </c>
      <c r="M762" t="n">
        <v>76530</v>
      </c>
    </row>
    <row r="763">
      <c r="A763" s="149" t="n">
        <v>44378</v>
      </c>
      <c r="B763" t="n">
        <v>24442</v>
      </c>
      <c r="C763" t="n">
        <v>35720</v>
      </c>
      <c r="D763" t="n">
        <v>38524</v>
      </c>
      <c r="E763" t="n">
        <v>24950</v>
      </c>
      <c r="F763" t="n">
        <v>12859</v>
      </c>
      <c r="G763" t="n">
        <v>76636</v>
      </c>
      <c r="H763" t="n">
        <v>244787</v>
      </c>
      <c r="I763" t="n">
        <v>182210</v>
      </c>
      <c r="J763" t="n">
        <v>186219</v>
      </c>
      <c r="K763" t="n">
        <v>74393</v>
      </c>
      <c r="L763" t="n">
        <v>258846</v>
      </c>
      <c r="M763" t="n">
        <v>76736</v>
      </c>
    </row>
    <row r="764">
      <c r="A764" s="149" t="n">
        <v>44409</v>
      </c>
      <c r="B764" t="n">
        <v>24118</v>
      </c>
      <c r="C764" t="n">
        <v>36439</v>
      </c>
      <c r="D764" t="n">
        <v>38129</v>
      </c>
      <c r="E764" t="n">
        <v>25341</v>
      </c>
      <c r="F764" t="n">
        <v>13034</v>
      </c>
      <c r="G764" t="n">
        <v>80747</v>
      </c>
      <c r="H764" t="n">
        <v>250697</v>
      </c>
      <c r="I764" t="n">
        <v>182829</v>
      </c>
      <c r="J764" t="n">
        <v>192482</v>
      </c>
      <c r="K764" t="n">
        <v>74956</v>
      </c>
      <c r="L764" t="n">
        <v>263576</v>
      </c>
      <c r="M764" t="n">
        <v>77206</v>
      </c>
    </row>
    <row r="765">
      <c r="A765" s="149" t="n">
        <v>44440</v>
      </c>
      <c r="B765" t="n">
        <v>24207</v>
      </c>
      <c r="C765" t="n">
        <v>36735</v>
      </c>
      <c r="D765" t="n">
        <v>38757</v>
      </c>
      <c r="E765" t="n">
        <v>25211</v>
      </c>
      <c r="F765" t="n">
        <v>13248</v>
      </c>
      <c r="G765" t="n">
        <v>77271</v>
      </c>
      <c r="H765" t="n">
        <v/>
      </c>
      <c r="I765" t="n">
        <v>184082</v>
      </c>
      <c r="J765" t="n">
        <v>191094</v>
      </c>
      <c r="K765" t="n">
        <v/>
      </c>
      <c r="L765" t="n">
        <v>261353</v>
      </c>
      <c r="M765" t="n">
        <v>78190</v>
      </c>
    </row>
    <row r="766">
      <c r="A766" s="149" t="n">
        <v>44470</v>
      </c>
      <c r="B766" t="n">
        <v>24438</v>
      </c>
      <c r="C766" t="n">
        <v>36511</v>
      </c>
      <c r="D766" t="n">
        <v>38569</v>
      </c>
      <c r="E766" t="n">
        <v>25449</v>
      </c>
      <c r="F766" t="n">
        <v>13454</v>
      </c>
      <c r="G766" t="n">
        <v>77042</v>
      </c>
      <c r="H766" t="n">
        <v/>
      </c>
      <c r="I766" t="n">
        <v>184686</v>
      </c>
      <c r="J766" t="n">
        <v>189188</v>
      </c>
      <c r="K766" t="n">
        <v/>
      </c>
      <c r="L766" t="n">
        <v>261728</v>
      </c>
      <c r="M766" t="n">
        <v>78819</v>
      </c>
    </row>
    <row r="767">
      <c r="A767" s="149" t="n">
        <v>44501</v>
      </c>
      <c r="B767" t="n">
        <v>24424</v>
      </c>
      <c r="C767" t="n">
        <v>36998</v>
      </c>
      <c r="D767" t="n">
        <v>38231</v>
      </c>
      <c r="E767" t="n">
        <v>26508</v>
      </c>
      <c r="F767" t="n">
        <v>13433</v>
      </c>
      <c r="G767" t="n">
        <v>83357</v>
      </c>
      <c r="H767" t="n">
        <v/>
      </c>
      <c r="I767" t="n">
        <v>186682</v>
      </c>
      <c r="J767" t="n">
        <v>196196</v>
      </c>
      <c r="K767" t="n">
        <v/>
      </c>
      <c r="L767" t="n">
        <v>270039</v>
      </c>
      <c r="M767" t="n">
        <v>78973</v>
      </c>
    </row>
    <row r="768">
      <c r="A768" s="149" t="n">
        <v>44531</v>
      </c>
      <c r="B768" t="n">
        <v>24937</v>
      </c>
      <c r="C768" t="n">
        <v>37689</v>
      </c>
      <c r="D768" t="n">
        <v>38309</v>
      </c>
      <c r="E768" t="n">
        <v>25784</v>
      </c>
      <c r="F768" t="n">
        <v>13454</v>
      </c>
      <c r="G768" t="n">
        <v>80306</v>
      </c>
      <c r="H768" t="n">
        <v/>
      </c>
      <c r="I768" t="n">
        <v>187882</v>
      </c>
      <c r="J768" t="n">
        <v>192388</v>
      </c>
      <c r="K768" t="n">
        <v/>
      </c>
      <c r="L768" t="n">
        <v>268188</v>
      </c>
      <c r="M768" t="n">
        <v>79183</v>
      </c>
    </row>
    <row r="769">
      <c r="A769" s="149" t="n">
        <v>44562</v>
      </c>
      <c r="B769" t="n">
        <v>25292</v>
      </c>
      <c r="C769" t="n">
        <v>37524</v>
      </c>
      <c r="D769" t="n">
        <v>39614</v>
      </c>
      <c r="E769" t="n">
        <v>25791</v>
      </c>
      <c r="F769" t="n">
        <v>13338</v>
      </c>
      <c r="G769" t="n">
        <v>87637</v>
      </c>
      <c r="H769" t="n">
        <v/>
      </c>
      <c r="I769" t="n">
        <v>189818</v>
      </c>
      <c r="J769" t="n">
        <v>202069</v>
      </c>
      <c r="K769" t="n">
        <v/>
      </c>
      <c r="L769" t="n">
        <v>277455</v>
      </c>
      <c r="M769" t="n">
        <v>79986</v>
      </c>
    </row>
    <row r="770">
      <c r="A770" s="149" t="n">
        <v>44593</v>
      </c>
      <c r="B770" t="n">
        <v>24929</v>
      </c>
      <c r="C770" t="n">
        <v>37435</v>
      </c>
      <c r="D770" t="n">
        <v>38869</v>
      </c>
      <c r="E770" t="n">
        <v>25573</v>
      </c>
      <c r="F770" t="n">
        <v>13628</v>
      </c>
      <c r="G770" t="n">
        <v>82572</v>
      </c>
      <c r="H770" t="n">
        <v/>
      </c>
      <c r="I770" t="n">
        <v>188940</v>
      </c>
      <c r="J770" t="n">
        <v>196194</v>
      </c>
      <c r="K770" t="n">
        <v/>
      </c>
      <c r="L770" t="n">
        <v>271512</v>
      </c>
      <c r="M770" t="n">
        <v>80093</v>
      </c>
    </row>
    <row r="771">
      <c r="A771" s="149" t="n">
        <v>44621</v>
      </c>
      <c r="B771" t="n">
        <v>25551</v>
      </c>
      <c r="C771" t="n">
        <v>38117</v>
      </c>
      <c r="D771" t="n">
        <v>39015</v>
      </c>
      <c r="E771" t="n">
        <v>26274</v>
      </c>
      <c r="F771" t="n">
        <v>14137</v>
      </c>
      <c r="G771" t="n">
        <v>83694</v>
      </c>
      <c r="H771" t="n">
        <v/>
      </c>
      <c r="I771" t="n">
        <v>191319</v>
      </c>
      <c r="J771" t="n">
        <v>197357</v>
      </c>
      <c r="K771" t="n">
        <v/>
      </c>
      <c r="L771" t="n">
        <v>275013</v>
      </c>
      <c r="M771" t="n">
        <v>80783</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0"/>
  <sheetViews>
    <sheetView tabSelected="1" zoomScale="150" zoomScaleNormal="150" workbookViewId="0">
      <pane xSplit="2" ySplit="6" topLeftCell="C62" activePane="bottomRight" state="frozen"/>
      <selection pane="topRight" activeCell="C1" sqref="C1"/>
      <selection pane="bottomLeft" activeCell="A7" sqref="A7"/>
      <selection pane="bottomRight" activeCell="Y83" sqref="Y83"/>
    </sheetView>
  </sheetViews>
  <sheetFormatPr baseColWidth="10" defaultColWidth="9.1640625" defaultRowHeight="15"/>
  <cols>
    <col width="9.1640625" customWidth="1" style="129" min="1" max="1"/>
    <col width="10.6640625" bestFit="1" customWidth="1" style="129" min="2" max="2"/>
    <col width="9.1640625" customWidth="1" style="129" min="3" max="5"/>
    <col width="9.1640625" customWidth="1" style="129" min="6"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sheetData>
  <mergeCells count="10">
    <mergeCell ref="C4:D4"/>
    <mergeCell ref="E4:F4"/>
    <mergeCell ref="G4:H4"/>
    <mergeCell ref="I4:J4"/>
    <mergeCell ref="K4:L4"/>
    <mergeCell ref="M4:N4"/>
    <mergeCell ref="O4:P4"/>
    <mergeCell ref="Q4:R4"/>
    <mergeCell ref="S4:T4"/>
    <mergeCell ref="U4:V4"/>
  </mergeCells>
  <conditionalFormatting sqref="D8:D80">
    <cfRule type="colorScale" priority="11">
      <colorScale>
        <cfvo type="min"/>
        <cfvo type="percentile" val="50"/>
        <cfvo type="max"/>
        <color rgb="FFF8696B"/>
        <color rgb="FFFFEB84"/>
        <color rgb="FF63BE7B"/>
      </colorScale>
    </cfRule>
  </conditionalFormatting>
  <conditionalFormatting sqref="F8:F80">
    <cfRule type="colorScale" priority="12">
      <colorScale>
        <cfvo type="min"/>
        <cfvo type="percentile" val="50"/>
        <cfvo type="max"/>
        <color rgb="FFF8696B"/>
        <color rgb="FFFFEB84"/>
        <color rgb="FF63BE7B"/>
      </colorScale>
    </cfRule>
  </conditionalFormatting>
  <conditionalFormatting sqref="H8:H80">
    <cfRule type="colorScale" priority="13">
      <colorScale>
        <cfvo type="min"/>
        <cfvo type="percentile" val="50"/>
        <cfvo type="max"/>
        <color rgb="FFF8696B"/>
        <color rgb="FFFFEB84"/>
        <color rgb="FF63BE7B"/>
      </colorScale>
    </cfRule>
  </conditionalFormatting>
  <conditionalFormatting sqref="J8:J80">
    <cfRule type="colorScale" priority="14">
      <colorScale>
        <cfvo type="min"/>
        <cfvo type="percentile" val="50"/>
        <cfvo type="max"/>
        <color rgb="FFF8696B"/>
        <color rgb="FFFFEB84"/>
        <color rgb="FF63BE7B"/>
      </colorScale>
    </cfRule>
  </conditionalFormatting>
  <conditionalFormatting sqref="L8:L80">
    <cfRule type="colorScale" priority="15">
      <colorScale>
        <cfvo type="min"/>
        <cfvo type="percentile" val="50"/>
        <cfvo type="max"/>
        <color rgb="FFF8696B"/>
        <color rgb="FFFFEB84"/>
        <color rgb="FF63BE7B"/>
      </colorScale>
    </cfRule>
  </conditionalFormatting>
  <conditionalFormatting sqref="N8:N80">
    <cfRule type="colorScale" priority="16">
      <colorScale>
        <cfvo type="min"/>
        <cfvo type="percentile" val="50"/>
        <cfvo type="max"/>
        <color rgb="FFF8696B"/>
        <color rgb="FFFFEB84"/>
        <color rgb="FF63BE7B"/>
      </colorScale>
    </cfRule>
  </conditionalFormatting>
  <conditionalFormatting sqref="P8:P80">
    <cfRule type="colorScale" priority="17">
      <colorScale>
        <cfvo type="min"/>
        <cfvo type="percentile" val="50"/>
        <cfvo type="max"/>
        <color rgb="FFF8696B"/>
        <color rgb="FFFFEB84"/>
        <color rgb="FF63BE7B"/>
      </colorScale>
    </cfRule>
  </conditionalFormatting>
  <conditionalFormatting sqref="R8:R80">
    <cfRule type="colorScale" priority="18">
      <colorScale>
        <cfvo type="min"/>
        <cfvo type="percentile" val="50"/>
        <cfvo type="max"/>
        <color rgb="FFF8696B"/>
        <color rgb="FFFFEB84"/>
        <color rgb="FF63BE7B"/>
      </colorScale>
    </cfRule>
  </conditionalFormatting>
  <conditionalFormatting sqref="T8:T80">
    <cfRule type="colorScale" priority="19">
      <colorScale>
        <cfvo type="min"/>
        <cfvo type="percentile" val="50"/>
        <cfvo type="max"/>
        <color rgb="FFF8696B"/>
        <color rgb="FFFFEB84"/>
        <color rgb="FF63BE7B"/>
      </colorScale>
    </cfRule>
  </conditionalFormatting>
  <conditionalFormatting sqref="V8:V80">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tabColor rgb="FFFF0000"/>
    <outlinePr summaryBelow="1" summaryRight="1"/>
    <pageSetUpPr/>
  </sheetPr>
  <dimension ref="A1:C366"/>
  <sheetViews>
    <sheetView zoomScale="150" zoomScaleNormal="150" workbookViewId="0">
      <pane ySplit="5" topLeftCell="A352" activePane="bottomLeft" state="frozen"/>
      <selection pane="bottomLeft" activeCell="G367" sqref="G367"/>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C366"/>
  <sheetViews>
    <sheetView zoomScale="160" zoomScaleNormal="160" workbookViewId="0">
      <pane ySplit="5" topLeftCell="A357" activePane="bottomLeft" state="frozen"/>
      <selection pane="bottomLeft" activeCell="E371" sqref="E37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66"/>
  <sheetViews>
    <sheetView zoomScale="160" zoomScaleNormal="160" workbookViewId="0">
      <pane ySplit="5" topLeftCell="A352" activePane="bottomLeft" state="frozen"/>
      <selection pane="bottomLeft" activeCell="F366" sqref="F366"/>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ADXTNO</t>
        </is>
      </c>
      <c r="B1" s="140"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66"/>
  <sheetViews>
    <sheetView zoomScale="150" zoomScaleNormal="150" workbookViewId="0">
      <pane ySplit="5" topLeftCell="A360" activePane="bottomLeft" state="frozen"/>
      <selection activeCell="Q21" sqref="Q21"/>
      <selection pane="bottomLeft" activeCell="F371" sqref="F37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85" t="inlineStr">
        <is>
          <t>AMTUNO</t>
        </is>
      </c>
      <c r="B1" s="140">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2022-04-02T12:54:20Z</dcterms:modified>
  <cp:lastModifiedBy>Mark Mukherjee</cp:lastModifiedBy>
</cp:coreProperties>
</file>