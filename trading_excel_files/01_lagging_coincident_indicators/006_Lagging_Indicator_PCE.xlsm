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A1BF4CB-909F-46B3-84C7-6CBF65CEB737}" xr6:coauthVersionLast="47" xr6:coauthVersionMax="47" xr10:uidLastSave="{00000000-0000-0000-0000-000000000000}"/>
  <bookViews>
    <workbookView xWindow="-110" yWindow="-110" windowWidth="19420" windowHeight="11500" activeTab="3"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72" i="5" l="1"/>
  <c r="C772" i="5"/>
  <c r="B772" i="5"/>
  <c r="C771" i="5"/>
  <c r="C770" i="5"/>
  <c r="C769" i="5"/>
  <c r="B769" i="5"/>
  <c r="C768" i="5"/>
  <c r="C767" i="5"/>
  <c r="C766" i="5"/>
  <c r="E765" i="5"/>
  <c r="C765" i="5"/>
  <c r="C764" i="5"/>
  <c r="C763" i="5"/>
  <c r="C762" i="5"/>
  <c r="C761" i="5"/>
  <c r="C760" i="5"/>
  <c r="F772" i="5" s="1"/>
  <c r="C759" i="5"/>
  <c r="F771" i="5" s="1"/>
  <c r="C758" i="5"/>
  <c r="F770" i="5" s="1"/>
  <c r="C757" i="5"/>
  <c r="F769" i="5" s="1"/>
  <c r="C756" i="5"/>
  <c r="F768" i="5" s="1"/>
  <c r="C755" i="5"/>
  <c r="F767" i="5" s="1"/>
  <c r="C754" i="5"/>
  <c r="F766" i="5" s="1"/>
  <c r="C753" i="5"/>
  <c r="F765" i="5" s="1"/>
  <c r="C752" i="5"/>
  <c r="F764" i="5" s="1"/>
  <c r="E751" i="5"/>
  <c r="C751" i="5"/>
  <c r="F763" i="5" s="1"/>
  <c r="C750" i="5"/>
  <c r="F762" i="5" s="1"/>
  <c r="C749" i="5"/>
  <c r="C748" i="5"/>
  <c r="F760" i="5" s="1"/>
  <c r="C747" i="5"/>
  <c r="C746" i="5"/>
  <c r="F758" i="5" s="1"/>
  <c r="E745" i="5"/>
  <c r="C745" i="5"/>
  <c r="F757" i="5" s="1"/>
  <c r="C744" i="5"/>
  <c r="F756" i="5" s="1"/>
  <c r="C743" i="5"/>
  <c r="F755" i="5" s="1"/>
  <c r="C742" i="5"/>
  <c r="F754" i="5" s="1"/>
  <c r="C741" i="5"/>
  <c r="F753" i="5" s="1"/>
  <c r="C740" i="5"/>
  <c r="F752" i="5" s="1"/>
  <c r="E739" i="5"/>
  <c r="C739" i="5"/>
  <c r="F751" i="5" s="1"/>
  <c r="C738" i="5"/>
  <c r="F750" i="5" s="1"/>
  <c r="C737" i="5"/>
  <c r="F749" i="5" s="1"/>
  <c r="C736" i="5"/>
  <c r="F748" i="5" s="1"/>
  <c r="C735" i="5"/>
  <c r="F747" i="5" s="1"/>
  <c r="C734" i="5"/>
  <c r="F746" i="5" s="1"/>
  <c r="E733" i="5"/>
  <c r="C733" i="5"/>
  <c r="F745" i="5" s="1"/>
  <c r="C732" i="5"/>
  <c r="F744" i="5" s="1"/>
  <c r="C731" i="5"/>
  <c r="F743" i="5" s="1"/>
  <c r="C730" i="5"/>
  <c r="F742" i="5" s="1"/>
  <c r="C729" i="5"/>
  <c r="F741" i="5" s="1"/>
  <c r="C728" i="5"/>
  <c r="F740" i="5" s="1"/>
  <c r="E727" i="5"/>
  <c r="C727" i="5"/>
  <c r="F739" i="5" s="1"/>
  <c r="C726" i="5"/>
  <c r="F738" i="5" s="1"/>
  <c r="C725" i="5"/>
  <c r="F737" i="5" s="1"/>
  <c r="C724" i="5"/>
  <c r="F736" i="5" s="1"/>
  <c r="C723" i="5"/>
  <c r="F735" i="5" s="1"/>
  <c r="C722" i="5"/>
  <c r="F734" i="5" s="1"/>
  <c r="C721" i="5"/>
  <c r="F733" i="5" s="1"/>
  <c r="C720" i="5"/>
  <c r="F732" i="5" s="1"/>
  <c r="E719" i="5"/>
  <c r="C719" i="5"/>
  <c r="F731" i="5" s="1"/>
  <c r="C718" i="5"/>
  <c r="F730" i="5" s="1"/>
  <c r="C717" i="5"/>
  <c r="F729" i="5" s="1"/>
  <c r="C716" i="5"/>
  <c r="F728" i="5" s="1"/>
  <c r="C715" i="5"/>
  <c r="F727" i="5" s="1"/>
  <c r="C714" i="5"/>
  <c r="F726" i="5" s="1"/>
  <c r="E713" i="5"/>
  <c r="C713" i="5"/>
  <c r="F725" i="5" s="1"/>
  <c r="C712" i="5"/>
  <c r="F724" i="5" s="1"/>
  <c r="C711" i="5"/>
  <c r="F723" i="5" s="1"/>
  <c r="C710" i="5"/>
  <c r="F722" i="5" s="1"/>
  <c r="E709" i="5"/>
  <c r="C709" i="5"/>
  <c r="F721" i="5" s="1"/>
  <c r="C708" i="5"/>
  <c r="F720" i="5" s="1"/>
  <c r="C707" i="5"/>
  <c r="F719" i="5" s="1"/>
  <c r="C706" i="5"/>
  <c r="F718" i="5" s="1"/>
  <c r="C705" i="5"/>
  <c r="C704" i="5"/>
  <c r="F716" i="5" s="1"/>
  <c r="C703" i="5"/>
  <c r="F715" i="5" s="1"/>
  <c r="C702" i="5"/>
  <c r="F714" i="5" s="1"/>
  <c r="C701" i="5"/>
  <c r="F713" i="5" s="1"/>
  <c r="C700" i="5"/>
  <c r="F712" i="5" s="1"/>
  <c r="C699" i="5"/>
  <c r="F711" i="5" s="1"/>
  <c r="C698" i="5"/>
  <c r="F710" i="5" s="1"/>
  <c r="C697" i="5"/>
  <c r="F709" i="5" s="1"/>
  <c r="C696" i="5"/>
  <c r="F708" i="5" s="1"/>
  <c r="C695" i="5"/>
  <c r="F707" i="5" s="1"/>
  <c r="C694" i="5"/>
  <c r="F706" i="5" s="1"/>
  <c r="C693" i="5"/>
  <c r="F705" i="5" s="1"/>
  <c r="C692" i="5"/>
  <c r="F704" i="5" s="1"/>
  <c r="E691" i="5"/>
  <c r="C691" i="5"/>
  <c r="F703" i="5" s="1"/>
  <c r="C690" i="5"/>
  <c r="F702" i="5" s="1"/>
  <c r="C689" i="5"/>
  <c r="F701" i="5" s="1"/>
  <c r="C688" i="5"/>
  <c r="F700" i="5" s="1"/>
  <c r="C687" i="5"/>
  <c r="C686" i="5"/>
  <c r="F698" i="5" s="1"/>
  <c r="C685" i="5"/>
  <c r="C684" i="5"/>
  <c r="F696" i="5" s="1"/>
  <c r="C683" i="5"/>
  <c r="C682" i="5"/>
  <c r="F694" i="5" s="1"/>
  <c r="C681" i="5"/>
  <c r="F693" i="5" s="1"/>
  <c r="C680" i="5"/>
  <c r="F692" i="5" s="1"/>
  <c r="C679" i="5"/>
  <c r="F691" i="5" s="1"/>
  <c r="C678" i="5"/>
  <c r="F690" i="5" s="1"/>
  <c r="E677" i="5"/>
  <c r="C677" i="5"/>
  <c r="F689" i="5" s="1"/>
  <c r="C676" i="5"/>
  <c r="F688" i="5" s="1"/>
  <c r="C675" i="5"/>
  <c r="F687" i="5" s="1"/>
  <c r="C674" i="5"/>
  <c r="F686" i="5" s="1"/>
  <c r="C673" i="5"/>
  <c r="C672" i="5"/>
  <c r="F684" i="5" s="1"/>
  <c r="C671" i="5"/>
  <c r="C670" i="5"/>
  <c r="F682" i="5" s="1"/>
  <c r="C669" i="5"/>
  <c r="C668" i="5"/>
  <c r="F680" i="5" s="1"/>
  <c r="C667" i="5"/>
  <c r="C666" i="5"/>
  <c r="F678" i="5" s="1"/>
  <c r="E665" i="5"/>
  <c r="C665" i="5"/>
  <c r="C664" i="5"/>
  <c r="F676" i="5" s="1"/>
  <c r="C663" i="5"/>
  <c r="C662" i="5"/>
  <c r="F674" i="5" s="1"/>
  <c r="C661" i="5"/>
  <c r="C660" i="5"/>
  <c r="F672" i="5" s="1"/>
  <c r="C659" i="5"/>
  <c r="F671" i="5" s="1"/>
  <c r="C658" i="5"/>
  <c r="F670" i="5" s="1"/>
  <c r="C657" i="5"/>
  <c r="F669" i="5" s="1"/>
  <c r="C656" i="5"/>
  <c r="F668" i="5" s="1"/>
  <c r="C655" i="5"/>
  <c r="F667" i="5" s="1"/>
  <c r="C654" i="5"/>
  <c r="F666" i="5" s="1"/>
  <c r="E653" i="5"/>
  <c r="C653" i="5"/>
  <c r="C652" i="5"/>
  <c r="F664" i="5" s="1"/>
  <c r="C651" i="5"/>
  <c r="F663" i="5" s="1"/>
  <c r="C650" i="5"/>
  <c r="F662" i="5" s="1"/>
  <c r="C649" i="5"/>
  <c r="C648" i="5"/>
  <c r="F660" i="5" s="1"/>
  <c r="C647" i="5"/>
  <c r="F659" i="5" s="1"/>
  <c r="C646" i="5"/>
  <c r="F658" i="5" s="1"/>
  <c r="C645" i="5"/>
  <c r="C644" i="5"/>
  <c r="F656" i="5" s="1"/>
  <c r="C643" i="5"/>
  <c r="F655" i="5" s="1"/>
  <c r="C642" i="5"/>
  <c r="F654" i="5" s="1"/>
  <c r="C641" i="5"/>
  <c r="F653" i="5" s="1"/>
  <c r="C640" i="5"/>
  <c r="F652" i="5" s="1"/>
  <c r="C639" i="5"/>
  <c r="F651" i="5" s="1"/>
  <c r="C638" i="5"/>
  <c r="F650" i="5" s="1"/>
  <c r="C637" i="5"/>
  <c r="C636" i="5"/>
  <c r="F648" i="5" s="1"/>
  <c r="E635" i="5"/>
  <c r="C635" i="5"/>
  <c r="C634" i="5"/>
  <c r="F646" i="5" s="1"/>
  <c r="C633" i="5"/>
  <c r="C632" i="5"/>
  <c r="F644" i="5" s="1"/>
  <c r="C631" i="5"/>
  <c r="E630" i="5"/>
  <c r="C630" i="5"/>
  <c r="F642" i="5" s="1"/>
  <c r="C629" i="5"/>
  <c r="C628" i="5"/>
  <c r="F640" i="5" s="1"/>
  <c r="C627" i="5"/>
  <c r="F639" i="5" s="1"/>
  <c r="C626" i="5"/>
  <c r="F638" i="5" s="1"/>
  <c r="C625" i="5"/>
  <c r="C624" i="5"/>
  <c r="E623" i="5"/>
  <c r="C623" i="5"/>
  <c r="E622" i="5"/>
  <c r="C622" i="5"/>
  <c r="C621" i="5"/>
  <c r="C620" i="5"/>
  <c r="C619" i="5"/>
  <c r="E618" i="5"/>
  <c r="C618" i="5"/>
  <c r="C617" i="5"/>
  <c r="C616" i="5"/>
  <c r="C615" i="5"/>
  <c r="C614" i="5"/>
  <c r="C613" i="5"/>
  <c r="C612" i="5"/>
  <c r="E611" i="5"/>
  <c r="C611" i="5"/>
  <c r="C610" i="5"/>
  <c r="C609" i="5"/>
  <c r="C608" i="5"/>
  <c r="C607" i="5"/>
  <c r="E606" i="5"/>
  <c r="C606" i="5"/>
  <c r="C605" i="5"/>
  <c r="C604" i="5"/>
  <c r="C603" i="5"/>
  <c r="C602" i="5"/>
  <c r="C601" i="5"/>
  <c r="C600" i="5"/>
  <c r="C599" i="5"/>
  <c r="C598" i="5"/>
  <c r="E598" i="5" s="1"/>
  <c r="C597" i="5"/>
  <c r="C596" i="5"/>
  <c r="E595" i="5"/>
  <c r="C595" i="5"/>
  <c r="C594" i="5"/>
  <c r="C593" i="5"/>
  <c r="C592" i="5"/>
  <c r="C591" i="5"/>
  <c r="C590" i="5"/>
  <c r="C589" i="5"/>
  <c r="C588" i="5"/>
  <c r="E587" i="5"/>
  <c r="C587" i="5"/>
  <c r="C586" i="5"/>
  <c r="C585" i="5"/>
  <c r="C584" i="5"/>
  <c r="E583" i="5"/>
  <c r="C583" i="5"/>
  <c r="C582" i="5"/>
  <c r="C581" i="5"/>
  <c r="C580" i="5"/>
  <c r="E579" i="5"/>
  <c r="C579" i="5"/>
  <c r="C578" i="5"/>
  <c r="E577" i="5"/>
  <c r="C577" i="5"/>
  <c r="C576" i="5"/>
  <c r="C575" i="5"/>
  <c r="E574" i="5"/>
  <c r="C574" i="5"/>
  <c r="C573" i="5"/>
  <c r="C572" i="5"/>
  <c r="C571" i="5"/>
  <c r="E571" i="5" s="1"/>
  <c r="E570" i="5"/>
  <c r="C570" i="5"/>
  <c r="C569" i="5"/>
  <c r="C568" i="5"/>
  <c r="E567" i="5"/>
  <c r="C567" i="5"/>
  <c r="C566" i="5"/>
  <c r="E565" i="5"/>
  <c r="C565" i="5"/>
  <c r="C564" i="5"/>
  <c r="C563" i="5"/>
  <c r="E562" i="5"/>
  <c r="C562" i="5"/>
  <c r="C561" i="5"/>
  <c r="C560" i="5"/>
  <c r="C559" i="5"/>
  <c r="E559" i="5" s="1"/>
  <c r="E558" i="5"/>
  <c r="C558" i="5"/>
  <c r="C557" i="5"/>
  <c r="C556" i="5"/>
  <c r="E555" i="5"/>
  <c r="C555" i="5"/>
  <c r="C554" i="5"/>
  <c r="E553" i="5"/>
  <c r="C553" i="5"/>
  <c r="C552" i="5"/>
  <c r="C551" i="5"/>
  <c r="E550" i="5"/>
  <c r="C550" i="5"/>
  <c r="C549" i="5"/>
  <c r="C548" i="5"/>
  <c r="C547" i="5"/>
  <c r="E547" i="5" s="1"/>
  <c r="E546" i="5"/>
  <c r="C546" i="5"/>
  <c r="C545" i="5"/>
  <c r="C544" i="5"/>
  <c r="E543" i="5"/>
  <c r="C543" i="5"/>
  <c r="C542" i="5"/>
  <c r="E541" i="5"/>
  <c r="C541" i="5"/>
  <c r="C540" i="5"/>
  <c r="C539" i="5"/>
  <c r="E538" i="5"/>
  <c r="C538" i="5"/>
  <c r="C537" i="5"/>
  <c r="C536" i="5"/>
  <c r="C535" i="5"/>
  <c r="E535" i="5" s="1"/>
  <c r="E534" i="5"/>
  <c r="C534" i="5"/>
  <c r="C533" i="5"/>
  <c r="C532" i="5"/>
  <c r="E531" i="5"/>
  <c r="C531" i="5"/>
  <c r="C530" i="5"/>
  <c r="E529" i="5"/>
  <c r="C529" i="5"/>
  <c r="C528" i="5"/>
  <c r="C527" i="5"/>
  <c r="E526" i="5"/>
  <c r="C526" i="5"/>
  <c r="E525" i="5"/>
  <c r="C525" i="5"/>
  <c r="C524" i="5"/>
  <c r="C523" i="5"/>
  <c r="E523" i="5" s="1"/>
  <c r="E522" i="5"/>
  <c r="C522" i="5"/>
  <c r="C521" i="5"/>
  <c r="E520" i="5"/>
  <c r="C520" i="5"/>
  <c r="C519" i="5"/>
  <c r="E518" i="5"/>
  <c r="C518" i="5"/>
  <c r="E517" i="5"/>
  <c r="C517" i="5"/>
  <c r="C516" i="5"/>
  <c r="E515" i="5"/>
  <c r="C515" i="5"/>
  <c r="C514" i="5"/>
  <c r="C513" i="5"/>
  <c r="E513" i="5" s="1"/>
  <c r="C512" i="5"/>
  <c r="C511" i="5"/>
  <c r="C510" i="5"/>
  <c r="E510" i="5" s="1"/>
  <c r="C509" i="5"/>
  <c r="C508" i="5"/>
  <c r="E508" i="5" s="1"/>
  <c r="E507" i="5"/>
  <c r="C507" i="5"/>
  <c r="C506" i="5"/>
  <c r="C505" i="5"/>
  <c r="E505" i="5" s="1"/>
  <c r="E504" i="5"/>
  <c r="C504" i="5"/>
  <c r="C503" i="5"/>
  <c r="E503" i="5" s="1"/>
  <c r="E502" i="5"/>
  <c r="C502" i="5"/>
  <c r="E501" i="5"/>
  <c r="C501" i="5"/>
  <c r="E500" i="5"/>
  <c r="C500" i="5"/>
  <c r="C499" i="5"/>
  <c r="E499" i="5" s="1"/>
  <c r="C498" i="5"/>
  <c r="E497" i="5"/>
  <c r="C497" i="5"/>
  <c r="E496" i="5"/>
  <c r="C496" i="5"/>
  <c r="E703" i="5" s="1"/>
  <c r="E495" i="5"/>
  <c r="C495" i="5"/>
  <c r="E494" i="5"/>
  <c r="C494" i="5"/>
  <c r="C493" i="5"/>
  <c r="E493" i="5" s="1"/>
  <c r="E492" i="5"/>
  <c r="C492" i="5"/>
  <c r="C491" i="5"/>
  <c r="E490" i="5"/>
  <c r="C490" i="5"/>
  <c r="E489" i="5"/>
  <c r="C489" i="5"/>
  <c r="E488" i="5"/>
  <c r="C488" i="5"/>
  <c r="C487" i="5"/>
  <c r="E487" i="5" s="1"/>
  <c r="C486" i="5"/>
  <c r="E486" i="5" s="1"/>
  <c r="E485" i="5"/>
  <c r="C485" i="5"/>
  <c r="E484" i="5"/>
  <c r="C484" i="5"/>
  <c r="E483" i="5"/>
  <c r="C483" i="5"/>
  <c r="E482" i="5"/>
  <c r="C482" i="5"/>
  <c r="E481" i="5"/>
  <c r="C481" i="5"/>
  <c r="C480" i="5"/>
  <c r="E480" i="5" s="1"/>
  <c r="C479" i="5"/>
  <c r="E479" i="5" s="1"/>
  <c r="C478" i="5"/>
  <c r="E478" i="5" s="1"/>
  <c r="E477" i="5"/>
  <c r="C477" i="5"/>
  <c r="E476" i="5"/>
  <c r="C476" i="5"/>
  <c r="C475" i="5"/>
  <c r="E475" i="5" s="1"/>
  <c r="C474" i="5"/>
  <c r="E474" i="5" s="1"/>
  <c r="E473" i="5"/>
  <c r="C473" i="5"/>
  <c r="E472" i="5"/>
  <c r="C472" i="5"/>
  <c r="C471" i="5"/>
  <c r="E471" i="5" s="1"/>
  <c r="E470" i="5"/>
  <c r="C470" i="5"/>
  <c r="C469" i="5"/>
  <c r="E469" i="5" s="1"/>
  <c r="C468" i="5"/>
  <c r="E468" i="5" s="1"/>
  <c r="C467" i="5"/>
  <c r="E467" i="5" s="1"/>
  <c r="E466" i="5"/>
  <c r="C466" i="5"/>
  <c r="E465" i="5"/>
  <c r="C465" i="5"/>
  <c r="E464" i="5"/>
  <c r="C464" i="5"/>
  <c r="C463" i="5"/>
  <c r="E463" i="5" s="1"/>
  <c r="C462" i="5"/>
  <c r="E462" i="5" s="1"/>
  <c r="E461" i="5"/>
  <c r="C461" i="5"/>
  <c r="E460" i="5"/>
  <c r="C460" i="5"/>
  <c r="E459" i="5"/>
  <c r="C459" i="5"/>
  <c r="E458" i="5"/>
  <c r="C458" i="5"/>
  <c r="E457" i="5"/>
  <c r="C457" i="5"/>
  <c r="E456" i="5"/>
  <c r="C456" i="5"/>
  <c r="C455" i="5"/>
  <c r="E455" i="5" s="1"/>
  <c r="C454" i="5"/>
  <c r="E454" i="5" s="1"/>
  <c r="E453" i="5"/>
  <c r="C453" i="5"/>
  <c r="C452" i="5"/>
  <c r="E452" i="5" s="1"/>
  <c r="C451" i="5"/>
  <c r="E451" i="5" s="1"/>
  <c r="C450" i="5"/>
  <c r="E450" i="5" s="1"/>
  <c r="E449" i="5"/>
  <c r="C449" i="5"/>
  <c r="E448" i="5"/>
  <c r="C448" i="5"/>
  <c r="E447" i="5"/>
  <c r="C447" i="5"/>
  <c r="E446" i="5"/>
  <c r="C446" i="5"/>
  <c r="E445" i="5"/>
  <c r="C445" i="5"/>
  <c r="E444" i="5"/>
  <c r="C444" i="5"/>
  <c r="C443" i="5"/>
  <c r="E443" i="5" s="1"/>
  <c r="C442" i="5"/>
  <c r="E442" i="5" s="1"/>
  <c r="E441" i="5"/>
  <c r="C441" i="5"/>
  <c r="C440" i="5"/>
  <c r="E440" i="5" s="1"/>
  <c r="C439" i="5"/>
  <c r="E439" i="5" s="1"/>
  <c r="C438" i="5"/>
  <c r="E438" i="5" s="1"/>
  <c r="E437" i="5"/>
  <c r="C437" i="5"/>
  <c r="E436" i="5"/>
  <c r="C436" i="5"/>
  <c r="C435" i="5"/>
  <c r="E435" i="5" s="1"/>
  <c r="E434" i="5"/>
  <c r="C434" i="5"/>
  <c r="C433" i="5"/>
  <c r="E433" i="5" s="1"/>
  <c r="C432" i="5"/>
  <c r="E432" i="5" s="1"/>
  <c r="C431" i="5"/>
  <c r="E431" i="5" s="1"/>
  <c r="E430" i="5"/>
  <c r="C430" i="5"/>
  <c r="E429" i="5"/>
  <c r="C429" i="5"/>
  <c r="C428" i="5"/>
  <c r="E428" i="5" s="1"/>
  <c r="C427" i="5"/>
  <c r="E427" i="5" s="1"/>
  <c r="C426" i="5"/>
  <c r="E426" i="5" s="1"/>
  <c r="C425" i="5"/>
  <c r="E425" i="5" s="1"/>
  <c r="E424" i="5"/>
  <c r="C424" i="5"/>
  <c r="C423" i="5"/>
  <c r="E423" i="5" s="1"/>
  <c r="E422" i="5"/>
  <c r="C422" i="5"/>
  <c r="E421" i="5"/>
  <c r="C421" i="5"/>
  <c r="E420" i="5"/>
  <c r="C420" i="5"/>
  <c r="C419" i="5"/>
  <c r="E419" i="5" s="1"/>
  <c r="E418" i="5"/>
  <c r="C418" i="5"/>
  <c r="E417" i="5"/>
  <c r="C417" i="5"/>
  <c r="E416" i="5"/>
  <c r="C416" i="5"/>
  <c r="C415" i="5"/>
  <c r="E415" i="5" s="1"/>
  <c r="C414" i="5"/>
  <c r="E414" i="5" s="1"/>
  <c r="C413" i="5"/>
  <c r="E413" i="5" s="1"/>
  <c r="E412" i="5"/>
  <c r="C412" i="5"/>
  <c r="E411" i="5"/>
  <c r="C411" i="5"/>
  <c r="E410" i="5"/>
  <c r="C410" i="5"/>
  <c r="C409" i="5"/>
  <c r="E409" i="5" s="1"/>
  <c r="E408" i="5"/>
  <c r="C408" i="5"/>
  <c r="C407" i="5"/>
  <c r="E407" i="5" s="1"/>
  <c r="E406" i="5"/>
  <c r="C406" i="5"/>
  <c r="E405" i="5"/>
  <c r="C405" i="5"/>
  <c r="C404" i="5"/>
  <c r="E404" i="5" s="1"/>
  <c r="C403" i="5"/>
  <c r="E403" i="5" s="1"/>
  <c r="C402" i="5"/>
  <c r="E402" i="5" s="1"/>
  <c r="C401" i="5"/>
  <c r="E401" i="5" s="1"/>
  <c r="E400" i="5"/>
  <c r="C400" i="5"/>
  <c r="E399" i="5"/>
  <c r="C399" i="5"/>
  <c r="E398" i="5"/>
  <c r="C398" i="5"/>
  <c r="E397" i="5"/>
  <c r="C397" i="5"/>
  <c r="C396" i="5"/>
  <c r="E396" i="5" s="1"/>
  <c r="C395" i="5"/>
  <c r="E395" i="5" s="1"/>
  <c r="E394" i="5"/>
  <c r="C394" i="5"/>
  <c r="E393" i="5"/>
  <c r="C393" i="5"/>
  <c r="C392" i="5"/>
  <c r="E392" i="5" s="1"/>
  <c r="C391" i="5"/>
  <c r="E391" i="5" s="1"/>
  <c r="E390" i="5"/>
  <c r="C390" i="5"/>
  <c r="C389" i="5"/>
  <c r="E389" i="5" s="1"/>
  <c r="C388" i="5"/>
  <c r="E388" i="5" s="1"/>
  <c r="E387" i="5"/>
  <c r="C387" i="5"/>
  <c r="E386" i="5"/>
  <c r="C386" i="5"/>
  <c r="E385" i="5"/>
  <c r="C385" i="5"/>
  <c r="C384" i="5"/>
  <c r="E384" i="5" s="1"/>
  <c r="E383" i="5"/>
  <c r="C383" i="5"/>
  <c r="E382" i="5"/>
  <c r="C382" i="5"/>
  <c r="C381" i="5"/>
  <c r="E381" i="5" s="1"/>
  <c r="C380" i="5"/>
  <c r="E380" i="5" s="1"/>
  <c r="C379" i="5"/>
  <c r="E379" i="5" s="1"/>
  <c r="E378" i="5"/>
  <c r="C378" i="5"/>
  <c r="C377" i="5"/>
  <c r="E377" i="5" s="1"/>
  <c r="C376" i="5"/>
  <c r="E376" i="5" s="1"/>
  <c r="E375" i="5"/>
  <c r="C375" i="5"/>
  <c r="E374" i="5"/>
  <c r="C374" i="5"/>
  <c r="E373" i="5"/>
  <c r="C373" i="5"/>
  <c r="C372" i="5"/>
  <c r="E372" i="5" s="1"/>
  <c r="E371" i="5"/>
  <c r="C371" i="5"/>
  <c r="E370" i="5"/>
  <c r="C370" i="5"/>
  <c r="E369" i="5"/>
  <c r="C369" i="5"/>
  <c r="C368" i="5"/>
  <c r="E368" i="5" s="1"/>
  <c r="C367" i="5"/>
  <c r="E367" i="5" s="1"/>
  <c r="E366" i="5"/>
  <c r="C366" i="5"/>
  <c r="C365" i="5"/>
  <c r="E365" i="5" s="1"/>
  <c r="C364" i="5"/>
  <c r="E364" i="5" s="1"/>
  <c r="E363" i="5"/>
  <c r="C363" i="5"/>
  <c r="E362" i="5"/>
  <c r="C362" i="5"/>
  <c r="E361" i="5"/>
  <c r="C361" i="5"/>
  <c r="C360" i="5"/>
  <c r="E360" i="5" s="1"/>
  <c r="E359" i="5"/>
  <c r="C359" i="5"/>
  <c r="E358" i="5"/>
  <c r="C358" i="5"/>
  <c r="C357" i="5"/>
  <c r="E357" i="5" s="1"/>
  <c r="C356" i="5"/>
  <c r="E356" i="5" s="1"/>
  <c r="C355" i="5"/>
  <c r="E355" i="5" s="1"/>
  <c r="E354" i="5"/>
  <c r="C354" i="5"/>
  <c r="C353" i="5"/>
  <c r="E353" i="5" s="1"/>
  <c r="C352" i="5"/>
  <c r="E352" i="5" s="1"/>
  <c r="E351" i="5"/>
  <c r="C351" i="5"/>
  <c r="E350" i="5"/>
  <c r="C350" i="5"/>
  <c r="E349" i="5"/>
  <c r="C349" i="5"/>
  <c r="C348" i="5"/>
  <c r="E348" i="5" s="1"/>
  <c r="C347" i="5"/>
  <c r="E347" i="5" s="1"/>
  <c r="E346" i="5"/>
  <c r="C346" i="5"/>
  <c r="E345" i="5"/>
  <c r="C345" i="5"/>
  <c r="C344" i="5"/>
  <c r="E344" i="5" s="1"/>
  <c r="C343" i="5"/>
  <c r="E343" i="5" s="1"/>
  <c r="E342" i="5"/>
  <c r="C342" i="5"/>
  <c r="C341" i="5"/>
  <c r="E341" i="5" s="1"/>
  <c r="C340" i="5"/>
  <c r="E340" i="5" s="1"/>
  <c r="E339" i="5"/>
  <c r="C339" i="5"/>
  <c r="E338" i="5"/>
  <c r="C338" i="5"/>
  <c r="E337" i="5"/>
  <c r="C337" i="5"/>
  <c r="C336" i="5"/>
  <c r="E336" i="5" s="1"/>
  <c r="C335" i="5"/>
  <c r="E335" i="5" s="1"/>
  <c r="E334" i="5"/>
  <c r="C334" i="5"/>
  <c r="E333" i="5"/>
  <c r="C333" i="5"/>
  <c r="C332" i="5"/>
  <c r="E332" i="5" s="1"/>
  <c r="C331" i="5"/>
  <c r="E331" i="5" s="1"/>
  <c r="E330" i="5"/>
  <c r="C330" i="5"/>
  <c r="C329" i="5"/>
  <c r="E329" i="5" s="1"/>
  <c r="C328" i="5"/>
  <c r="E328" i="5" s="1"/>
  <c r="E327" i="5"/>
  <c r="C327" i="5"/>
  <c r="E326" i="5"/>
  <c r="C326" i="5"/>
  <c r="C325" i="5"/>
  <c r="E325" i="5" s="1"/>
  <c r="C324" i="5"/>
  <c r="E324" i="5" s="1"/>
  <c r="E323" i="5"/>
  <c r="C323" i="5"/>
  <c r="E322" i="5"/>
  <c r="C322" i="5"/>
  <c r="C321" i="5"/>
  <c r="E321" i="5" s="1"/>
  <c r="C320" i="5"/>
  <c r="E320" i="5" s="1"/>
  <c r="C319" i="5"/>
  <c r="E319" i="5" s="1"/>
  <c r="E318" i="5"/>
  <c r="C318" i="5"/>
  <c r="C317" i="5"/>
  <c r="E317" i="5" s="1"/>
  <c r="C316" i="5"/>
  <c r="E316" i="5" s="1"/>
  <c r="E315" i="5"/>
  <c r="C315" i="5"/>
  <c r="E314" i="5"/>
  <c r="C314" i="5"/>
  <c r="C313" i="5"/>
  <c r="E313" i="5" s="1"/>
  <c r="C312" i="5"/>
  <c r="E312" i="5" s="1"/>
  <c r="E311" i="5"/>
  <c r="C311" i="5"/>
  <c r="E310" i="5"/>
  <c r="C310" i="5"/>
  <c r="E309" i="5"/>
  <c r="C309" i="5"/>
  <c r="C308" i="5"/>
  <c r="E308" i="5" s="1"/>
  <c r="C307" i="5"/>
  <c r="E307" i="5" s="1"/>
  <c r="C306" i="5"/>
  <c r="E306" i="5" s="1"/>
  <c r="C305" i="5"/>
  <c r="E305" i="5" s="1"/>
  <c r="C304" i="5"/>
  <c r="E304" i="5" s="1"/>
  <c r="E303" i="5"/>
  <c r="C303" i="5"/>
  <c r="E302" i="5"/>
  <c r="C302" i="5"/>
  <c r="E301" i="5"/>
  <c r="C301" i="5"/>
  <c r="C300" i="5"/>
  <c r="E300" i="5" s="1"/>
  <c r="E299" i="5"/>
  <c r="C299" i="5"/>
  <c r="E298" i="5"/>
  <c r="C298" i="5"/>
  <c r="C297" i="5"/>
  <c r="E297" i="5" s="1"/>
  <c r="E296" i="5"/>
  <c r="C296" i="5"/>
  <c r="C295" i="5"/>
  <c r="E295" i="5" s="1"/>
  <c r="E294" i="5"/>
  <c r="C294" i="5"/>
  <c r="C293" i="5"/>
  <c r="E293" i="5" s="1"/>
  <c r="C292" i="5"/>
  <c r="E292" i="5" s="1"/>
  <c r="E291" i="5"/>
  <c r="C291" i="5"/>
  <c r="E290" i="5"/>
  <c r="C290" i="5"/>
  <c r="C289" i="5"/>
  <c r="E289" i="5" s="1"/>
  <c r="C288" i="5"/>
  <c r="E288" i="5" s="1"/>
  <c r="E287" i="5"/>
  <c r="C287" i="5"/>
  <c r="E286" i="5"/>
  <c r="C286" i="5"/>
  <c r="C285" i="5"/>
  <c r="E285" i="5" s="1"/>
  <c r="E284" i="5"/>
  <c r="C284" i="5"/>
  <c r="C283" i="5"/>
  <c r="E283" i="5" s="1"/>
  <c r="C282" i="5"/>
  <c r="E282" i="5" s="1"/>
  <c r="C281" i="5"/>
  <c r="E281" i="5" s="1"/>
  <c r="C280" i="5"/>
  <c r="E280" i="5" s="1"/>
  <c r="E279" i="5"/>
  <c r="C279" i="5"/>
  <c r="E278" i="5"/>
  <c r="C278" i="5"/>
  <c r="C277" i="5"/>
  <c r="E277" i="5" s="1"/>
  <c r="C276" i="5"/>
  <c r="E276" i="5" s="1"/>
  <c r="E275" i="5"/>
  <c r="C275" i="5"/>
  <c r="E274" i="5"/>
  <c r="C274" i="5"/>
  <c r="C273" i="5"/>
  <c r="E273" i="5" s="1"/>
  <c r="E272" i="5"/>
  <c r="C272" i="5"/>
  <c r="C271" i="5"/>
  <c r="E271" i="5" s="1"/>
  <c r="C270" i="5"/>
  <c r="E270" i="5" s="1"/>
  <c r="C269" i="5"/>
  <c r="E269" i="5" s="1"/>
  <c r="C268" i="5"/>
  <c r="E268" i="5" s="1"/>
  <c r="E267" i="5"/>
  <c r="C267" i="5"/>
  <c r="E266" i="5"/>
  <c r="C266" i="5"/>
  <c r="E265" i="5"/>
  <c r="C265" i="5"/>
  <c r="C264" i="5"/>
  <c r="E264" i="5" s="1"/>
  <c r="C263" i="5"/>
  <c r="E263" i="5" s="1"/>
  <c r="E262" i="5"/>
  <c r="C262" i="5"/>
  <c r="C261" i="5"/>
  <c r="E261" i="5" s="1"/>
  <c r="C260" i="5"/>
  <c r="E260" i="5" s="1"/>
  <c r="E259" i="5"/>
  <c r="C259" i="5"/>
  <c r="E258" i="5"/>
  <c r="C258" i="5"/>
  <c r="C257" i="5"/>
  <c r="E257" i="5" s="1"/>
  <c r="C256" i="5"/>
  <c r="E256" i="5" s="1"/>
  <c r="E255" i="5"/>
  <c r="C255" i="5"/>
  <c r="C254" i="5"/>
  <c r="E254" i="5" s="1"/>
  <c r="C253" i="5"/>
  <c r="E253" i="5" s="1"/>
  <c r="C252" i="5"/>
  <c r="E252" i="5" s="1"/>
  <c r="E251" i="5"/>
  <c r="C251" i="5"/>
  <c r="E250" i="5"/>
  <c r="C250" i="5"/>
  <c r="C249" i="5"/>
  <c r="E249" i="5" s="1"/>
  <c r="C248" i="5"/>
  <c r="E248" i="5" s="1"/>
  <c r="C247" i="5"/>
  <c r="E247" i="5" s="1"/>
  <c r="C246" i="5"/>
  <c r="E246" i="5" s="1"/>
  <c r="C245" i="5"/>
  <c r="E245" i="5" s="1"/>
  <c r="E244" i="5"/>
  <c r="C244" i="5"/>
  <c r="E243" i="5"/>
  <c r="C243" i="5"/>
  <c r="E242" i="5"/>
  <c r="C242" i="5"/>
  <c r="C241" i="5"/>
  <c r="E241" i="5" s="1"/>
  <c r="C240" i="5"/>
  <c r="E240" i="5" s="1"/>
  <c r="C239" i="5"/>
  <c r="E239" i="5" s="1"/>
  <c r="E238" i="5"/>
  <c r="C238" i="5"/>
  <c r="C237" i="5"/>
  <c r="E237" i="5" s="1"/>
  <c r="E236" i="5"/>
  <c r="C236" i="5"/>
  <c r="C235" i="5"/>
  <c r="E235" i="5" s="1"/>
  <c r="C234" i="5"/>
  <c r="E234" i="5" s="1"/>
  <c r="C233" i="5"/>
  <c r="E233" i="5" s="1"/>
  <c r="C232" i="5"/>
  <c r="E232" i="5" s="1"/>
  <c r="E231" i="5"/>
  <c r="C231" i="5"/>
  <c r="E230" i="5"/>
  <c r="C230" i="5"/>
  <c r="E229" i="5"/>
  <c r="C229" i="5"/>
  <c r="C228" i="5"/>
  <c r="E228" i="5" s="1"/>
  <c r="E227" i="5"/>
  <c r="C227" i="5"/>
  <c r="E226" i="5"/>
  <c r="C226" i="5"/>
  <c r="C225" i="5"/>
  <c r="E225" i="5" s="1"/>
  <c r="C224" i="5"/>
  <c r="E224" i="5" s="1"/>
  <c r="E223" i="5"/>
  <c r="C223" i="5"/>
  <c r="E222" i="5"/>
  <c r="C222" i="5"/>
  <c r="C221" i="5"/>
  <c r="E221" i="5" s="1"/>
  <c r="C220" i="5"/>
  <c r="E220" i="5" s="1"/>
  <c r="E219" i="5"/>
  <c r="C219" i="5"/>
  <c r="E218" i="5"/>
  <c r="C218" i="5"/>
  <c r="E217" i="5"/>
  <c r="C217" i="5"/>
  <c r="C216" i="5"/>
  <c r="E216" i="5" s="1"/>
  <c r="E215" i="5"/>
  <c r="C215" i="5"/>
  <c r="E214" i="5"/>
  <c r="C214" i="5"/>
  <c r="C213" i="5"/>
  <c r="E213" i="5" s="1"/>
  <c r="C212" i="5"/>
  <c r="E212" i="5" s="1"/>
  <c r="C211" i="5"/>
  <c r="E211" i="5" s="1"/>
  <c r="C210" i="5"/>
  <c r="E210" i="5" s="1"/>
  <c r="C209" i="5"/>
  <c r="E209" i="5" s="1"/>
  <c r="E208" i="5"/>
  <c r="C208" i="5"/>
  <c r="E207" i="5"/>
  <c r="C207" i="5"/>
  <c r="E206" i="5"/>
  <c r="C206" i="5"/>
  <c r="C205" i="5"/>
  <c r="E205" i="5" s="1"/>
  <c r="C204" i="5"/>
  <c r="E204" i="5" s="1"/>
  <c r="E203" i="5"/>
  <c r="C203" i="5"/>
  <c r="E202" i="5"/>
  <c r="C202" i="5"/>
  <c r="C201" i="5"/>
  <c r="E201" i="5" s="1"/>
  <c r="E200" i="5"/>
  <c r="C200" i="5"/>
  <c r="C199" i="5"/>
  <c r="E199" i="5" s="1"/>
  <c r="C198" i="5"/>
  <c r="E198" i="5" s="1"/>
  <c r="C197" i="5"/>
  <c r="E197" i="5" s="1"/>
  <c r="C196" i="5"/>
  <c r="E196" i="5" s="1"/>
  <c r="E195" i="5"/>
  <c r="C195" i="5"/>
  <c r="E194" i="5"/>
  <c r="C194" i="5"/>
  <c r="E193" i="5"/>
  <c r="C193" i="5"/>
  <c r="C192" i="5"/>
  <c r="E192" i="5" s="1"/>
  <c r="E191" i="5"/>
  <c r="C191" i="5"/>
  <c r="E190" i="5"/>
  <c r="C190" i="5"/>
  <c r="C189" i="5"/>
  <c r="E189" i="5" s="1"/>
  <c r="C188" i="5"/>
  <c r="E188" i="5" s="1"/>
  <c r="C187" i="5"/>
  <c r="E187" i="5" s="1"/>
  <c r="E186" i="5"/>
  <c r="C186" i="5"/>
  <c r="C185" i="5"/>
  <c r="E185" i="5" s="1"/>
  <c r="C184" i="5"/>
  <c r="E184" i="5" s="1"/>
  <c r="E183" i="5"/>
  <c r="C183" i="5"/>
  <c r="C182" i="5"/>
  <c r="E182" i="5" s="1"/>
  <c r="E181" i="5"/>
  <c r="C181" i="5"/>
  <c r="C180" i="5"/>
  <c r="E180" i="5" s="1"/>
  <c r="E179" i="5"/>
  <c r="C179" i="5"/>
  <c r="E178" i="5"/>
  <c r="C178" i="5"/>
  <c r="C177" i="5"/>
  <c r="E177" i="5" s="1"/>
  <c r="C176" i="5"/>
  <c r="E176" i="5" s="1"/>
  <c r="C175" i="5"/>
  <c r="E175" i="5" s="1"/>
  <c r="C174" i="5"/>
  <c r="E174" i="5" s="1"/>
  <c r="E173" i="5"/>
  <c r="C173" i="5"/>
  <c r="E172" i="5"/>
  <c r="C172" i="5"/>
  <c r="E171" i="5"/>
  <c r="C171" i="5"/>
  <c r="C170" i="5"/>
  <c r="E170" i="5" s="1"/>
  <c r="C169" i="5"/>
  <c r="E169" i="5" s="1"/>
  <c r="E168" i="5"/>
  <c r="C168" i="5"/>
  <c r="E167" i="5"/>
  <c r="C167" i="5"/>
  <c r="E166" i="5"/>
  <c r="C166" i="5"/>
  <c r="C165" i="5"/>
  <c r="E165" i="5" s="1"/>
  <c r="E164" i="5"/>
  <c r="C164" i="5"/>
  <c r="C163" i="5"/>
  <c r="E163" i="5" s="1"/>
  <c r="C162" i="5"/>
  <c r="E162" i="5" s="1"/>
  <c r="E161" i="5"/>
  <c r="C161" i="5"/>
  <c r="C160" i="5"/>
  <c r="E160" i="5" s="1"/>
  <c r="C159" i="5"/>
  <c r="E159" i="5" s="1"/>
  <c r="C158" i="5"/>
  <c r="E158" i="5" s="1"/>
  <c r="C157" i="5"/>
  <c r="E157" i="5" s="1"/>
  <c r="E156" i="5"/>
  <c r="C156" i="5"/>
  <c r="E155" i="5"/>
  <c r="C155" i="5"/>
  <c r="E154" i="5"/>
  <c r="C154" i="5"/>
  <c r="C153" i="5"/>
  <c r="E153" i="5" s="1"/>
  <c r="E152" i="5"/>
  <c r="C152" i="5"/>
  <c r="C151" i="5"/>
  <c r="E151" i="5" s="1"/>
  <c r="E150" i="5"/>
  <c r="C150" i="5"/>
  <c r="E149" i="5"/>
  <c r="C149" i="5"/>
  <c r="C148" i="5"/>
  <c r="E148" i="5" s="1"/>
  <c r="C147" i="5"/>
  <c r="E147" i="5" s="1"/>
  <c r="C146" i="5"/>
  <c r="E146" i="5" s="1"/>
  <c r="C145" i="5"/>
  <c r="E145" i="5" s="1"/>
  <c r="E144" i="5"/>
  <c r="C144" i="5"/>
  <c r="E143" i="5"/>
  <c r="C143" i="5"/>
  <c r="E142" i="5"/>
  <c r="C142" i="5"/>
  <c r="C141" i="5"/>
  <c r="E141" i="5" s="1"/>
  <c r="E140" i="5"/>
  <c r="C140" i="5"/>
  <c r="C139" i="5"/>
  <c r="E139" i="5" s="1"/>
  <c r="B139" i="5"/>
  <c r="E138" i="5"/>
  <c r="C138" i="5"/>
  <c r="E137" i="5"/>
  <c r="C137" i="5"/>
  <c r="C136" i="5"/>
  <c r="E136" i="5" s="1"/>
  <c r="E135" i="5"/>
  <c r="C135" i="5"/>
  <c r="C134" i="5"/>
  <c r="E134" i="5" s="1"/>
  <c r="E133" i="5"/>
  <c r="C133" i="5"/>
  <c r="E132" i="5"/>
  <c r="C132" i="5"/>
  <c r="C131" i="5"/>
  <c r="E131" i="5" s="1"/>
  <c r="C130" i="5"/>
  <c r="E130" i="5" s="1"/>
  <c r="C129" i="5"/>
  <c r="E129" i="5" s="1"/>
  <c r="E128" i="5"/>
  <c r="C128" i="5"/>
  <c r="C127" i="5"/>
  <c r="E127" i="5" s="1"/>
  <c r="E126" i="5"/>
  <c r="C126" i="5"/>
  <c r="E125" i="5"/>
  <c r="C125" i="5"/>
  <c r="C124" i="5"/>
  <c r="E124" i="5" s="1"/>
  <c r="C123" i="5"/>
  <c r="E123" i="5" s="1"/>
  <c r="E122" i="5"/>
  <c r="C122" i="5"/>
  <c r="E121" i="5"/>
  <c r="C121" i="5"/>
  <c r="C120" i="5"/>
  <c r="E120" i="5" s="1"/>
  <c r="E119" i="5"/>
  <c r="C119" i="5"/>
  <c r="E118" i="5"/>
  <c r="C118" i="5"/>
  <c r="C117" i="5"/>
  <c r="E117" i="5" s="1"/>
  <c r="C116" i="5"/>
  <c r="E116" i="5" s="1"/>
  <c r="C115" i="5"/>
  <c r="E115" i="5" s="1"/>
  <c r="C114" i="5"/>
  <c r="E114" i="5" s="1"/>
  <c r="E113" i="5"/>
  <c r="C113" i="5"/>
  <c r="C112" i="5"/>
  <c r="E112" i="5" s="1"/>
  <c r="C111" i="5"/>
  <c r="E111" i="5" s="1"/>
  <c r="C110" i="5"/>
  <c r="E110" i="5" s="1"/>
  <c r="C109" i="5"/>
  <c r="E109" i="5" s="1"/>
  <c r="C108" i="5"/>
  <c r="E108" i="5" s="1"/>
  <c r="E107" i="5"/>
  <c r="C107" i="5"/>
  <c r="E106" i="5"/>
  <c r="C106" i="5"/>
  <c r="C105" i="5"/>
  <c r="E105" i="5" s="1"/>
  <c r="E104" i="5"/>
  <c r="C104" i="5"/>
  <c r="C103" i="5"/>
  <c r="E103" i="5" s="1"/>
  <c r="E102" i="5"/>
  <c r="C102" i="5"/>
  <c r="E101" i="5"/>
  <c r="C101" i="5"/>
  <c r="E100" i="5"/>
  <c r="C100" i="5"/>
  <c r="E99" i="5"/>
  <c r="C99" i="5"/>
  <c r="C98" i="5"/>
  <c r="E98" i="5" s="1"/>
  <c r="C97" i="5"/>
  <c r="E97" i="5" s="1"/>
  <c r="E96" i="5"/>
  <c r="C96" i="5"/>
  <c r="C95" i="5"/>
  <c r="E95" i="5" s="1"/>
  <c r="C94" i="5"/>
  <c r="E94" i="5" s="1"/>
  <c r="C93" i="5"/>
  <c r="E93" i="5" s="1"/>
  <c r="E92" i="5"/>
  <c r="C92" i="5"/>
  <c r="C91" i="5"/>
  <c r="E91" i="5" s="1"/>
  <c r="E90" i="5"/>
  <c r="C90" i="5"/>
  <c r="E89" i="5"/>
  <c r="C89" i="5"/>
  <c r="E88" i="5"/>
  <c r="C88" i="5"/>
  <c r="C87" i="5"/>
  <c r="E87" i="5" s="1"/>
  <c r="E86" i="5"/>
  <c r="C86" i="5"/>
  <c r="E85" i="5"/>
  <c r="C85" i="5"/>
  <c r="E84" i="5"/>
  <c r="C84" i="5"/>
  <c r="C83" i="5"/>
  <c r="E83" i="5" s="1"/>
  <c r="E82" i="5"/>
  <c r="C82" i="5"/>
  <c r="C81" i="5"/>
  <c r="E81" i="5" s="1"/>
  <c r="C80" i="5"/>
  <c r="E80" i="5" s="1"/>
  <c r="C79" i="5"/>
  <c r="E79" i="5" s="1"/>
  <c r="E78" i="5"/>
  <c r="C78" i="5"/>
  <c r="E77" i="5"/>
  <c r="C77" i="5"/>
  <c r="C76" i="5"/>
  <c r="E76" i="5" s="1"/>
  <c r="E75" i="5"/>
  <c r="C75" i="5"/>
  <c r="E74" i="5"/>
  <c r="C74" i="5"/>
  <c r="C73" i="5"/>
  <c r="E73" i="5" s="1"/>
  <c r="C72" i="5"/>
  <c r="E72" i="5" s="1"/>
  <c r="E71" i="5"/>
  <c r="C71" i="5"/>
  <c r="C70" i="5"/>
  <c r="E70" i="5" s="1"/>
  <c r="C69" i="5"/>
  <c r="E69" i="5" s="1"/>
  <c r="C68" i="5"/>
  <c r="E68" i="5" s="1"/>
  <c r="E67" i="5"/>
  <c r="C67" i="5"/>
  <c r="E66" i="5"/>
  <c r="C66" i="5"/>
  <c r="C65" i="5"/>
  <c r="E65" i="5" s="1"/>
  <c r="E64" i="5"/>
  <c r="C64" i="5"/>
  <c r="C63" i="5"/>
  <c r="E63" i="5" s="1"/>
  <c r="C62" i="5"/>
  <c r="E62" i="5" s="1"/>
  <c r="C61" i="5"/>
  <c r="E61" i="5" s="1"/>
  <c r="E60" i="5"/>
  <c r="C60" i="5"/>
  <c r="E59" i="5"/>
  <c r="C59" i="5"/>
  <c r="C58" i="5"/>
  <c r="E58" i="5" s="1"/>
  <c r="C57" i="5"/>
  <c r="E57" i="5" s="1"/>
  <c r="B57" i="5"/>
  <c r="C56" i="5"/>
  <c r="E56" i="5" s="1"/>
  <c r="E55" i="5"/>
  <c r="C55" i="5"/>
  <c r="E54" i="5"/>
  <c r="C54" i="5"/>
  <c r="C53" i="5"/>
  <c r="E53" i="5" s="1"/>
  <c r="C52" i="5"/>
  <c r="E52" i="5" s="1"/>
  <c r="C51" i="5"/>
  <c r="E51" i="5" s="1"/>
  <c r="C50" i="5"/>
  <c r="E50" i="5" s="1"/>
  <c r="C49" i="5"/>
  <c r="E49" i="5" s="1"/>
  <c r="E48" i="5"/>
  <c r="C48" i="5"/>
  <c r="E47" i="5"/>
  <c r="C47" i="5"/>
  <c r="E46" i="5"/>
  <c r="C46" i="5"/>
  <c r="C45" i="5"/>
  <c r="E45" i="5" s="1"/>
  <c r="C44" i="5"/>
  <c r="E44" i="5" s="1"/>
  <c r="E43" i="5"/>
  <c r="C43" i="5"/>
  <c r="E42" i="5"/>
  <c r="C42" i="5"/>
  <c r="E41" i="5"/>
  <c r="C41" i="5"/>
  <c r="C40" i="5"/>
  <c r="E40" i="5" s="1"/>
  <c r="C39" i="5"/>
  <c r="E39" i="5" s="1"/>
  <c r="E38" i="5"/>
  <c r="C38" i="5"/>
  <c r="C37" i="5"/>
  <c r="E37" i="5" s="1"/>
  <c r="E36" i="5"/>
  <c r="C36" i="5"/>
  <c r="E35" i="5"/>
  <c r="C35" i="5"/>
  <c r="E34" i="5"/>
  <c r="C34" i="5"/>
  <c r="C33" i="5"/>
  <c r="E33" i="5" s="1"/>
  <c r="C32" i="5"/>
  <c r="E32" i="5" s="1"/>
  <c r="E31" i="5"/>
  <c r="C31" i="5"/>
  <c r="E30" i="5"/>
  <c r="C30" i="5"/>
  <c r="E29" i="5"/>
  <c r="C29" i="5"/>
  <c r="C28" i="5"/>
  <c r="E28" i="5" s="1"/>
  <c r="C27" i="5"/>
  <c r="E27" i="5" s="1"/>
  <c r="C26" i="5"/>
  <c r="E26" i="5" s="1"/>
  <c r="C25" i="5"/>
  <c r="E25" i="5" s="1"/>
  <c r="E24" i="5"/>
  <c r="C24" i="5"/>
  <c r="E23" i="5"/>
  <c r="C23" i="5"/>
  <c r="E22" i="5"/>
  <c r="C22" i="5"/>
  <c r="C21" i="5"/>
  <c r="E21" i="5" s="1"/>
  <c r="C20" i="5"/>
  <c r="E20" i="5" s="1"/>
  <c r="E19" i="5"/>
  <c r="C19" i="5"/>
  <c r="E18" i="5"/>
  <c r="C18" i="5"/>
  <c r="C17" i="5"/>
  <c r="E17" i="5" s="1"/>
  <c r="E16" i="5"/>
  <c r="C16" i="5"/>
  <c r="C15" i="5"/>
  <c r="E15" i="5" s="1"/>
  <c r="C14" i="5"/>
  <c r="E14" i="5" s="1"/>
  <c r="C13" i="5"/>
  <c r="E13" i="5" s="1"/>
  <c r="C12" i="5"/>
  <c r="E12" i="5" s="1"/>
  <c r="E11" i="5"/>
  <c r="C11" i="5"/>
  <c r="C10" i="5"/>
  <c r="E10" i="5" s="1"/>
  <c r="C9" i="5"/>
  <c r="E9" i="5" s="1"/>
  <c r="C8" i="5"/>
  <c r="E8" i="5" s="1"/>
  <c r="C7" i="5"/>
  <c r="E7" i="5" s="1"/>
  <c r="C6" i="5"/>
  <c r="E6" i="5" s="1"/>
  <c r="E5" i="5"/>
  <c r="C5" i="5"/>
  <c r="F771" i="4"/>
  <c r="B771" i="4"/>
  <c r="F770" i="4"/>
  <c r="B770" i="4"/>
  <c r="F769" i="4"/>
  <c r="C769" i="4"/>
  <c r="B769" i="4"/>
  <c r="F768" i="4"/>
  <c r="B768" i="4"/>
  <c r="B768" i="5" s="1"/>
  <c r="F767" i="4"/>
  <c r="B767" i="4"/>
  <c r="F766" i="4"/>
  <c r="C766" i="4"/>
  <c r="B766" i="4"/>
  <c r="B766" i="5" s="1"/>
  <c r="F765" i="4"/>
  <c r="B765" i="4"/>
  <c r="B765" i="5" s="1"/>
  <c r="F764" i="4"/>
  <c r="B764" i="4"/>
  <c r="F763" i="4"/>
  <c r="D763" i="4"/>
  <c r="G763" i="5" s="1"/>
  <c r="C763" i="4"/>
  <c r="B763" i="4"/>
  <c r="B763" i="5" s="1"/>
  <c r="F762" i="4"/>
  <c r="C762" i="4"/>
  <c r="B762" i="4"/>
  <c r="B762" i="5" s="1"/>
  <c r="F761" i="4"/>
  <c r="B761" i="4"/>
  <c r="F760" i="4"/>
  <c r="B760" i="4"/>
  <c r="F759" i="4"/>
  <c r="C759" i="4"/>
  <c r="B759" i="4"/>
  <c r="B759" i="5" s="1"/>
  <c r="F758" i="4"/>
  <c r="B758" i="4"/>
  <c r="F757" i="4"/>
  <c r="D757" i="4"/>
  <c r="G757" i="5" s="1"/>
  <c r="B757" i="4"/>
  <c r="B757" i="5" s="1"/>
  <c r="F756" i="4"/>
  <c r="D756" i="4"/>
  <c r="G756" i="5" s="1"/>
  <c r="C756" i="4"/>
  <c r="B756" i="4"/>
  <c r="B756" i="5" s="1"/>
  <c r="F755" i="4"/>
  <c r="B755" i="4"/>
  <c r="F754" i="4"/>
  <c r="B754" i="4"/>
  <c r="B754" i="5" s="1"/>
  <c r="F753" i="4"/>
  <c r="B753" i="4"/>
  <c r="F752" i="4"/>
  <c r="B752" i="4"/>
  <c r="F751" i="4"/>
  <c r="C751" i="4"/>
  <c r="B751" i="4"/>
  <c r="B751" i="5" s="1"/>
  <c r="F750" i="4"/>
  <c r="D750" i="4"/>
  <c r="G750" i="5" s="1"/>
  <c r="B750" i="4"/>
  <c r="B750" i="5" s="1"/>
  <c r="F749" i="4"/>
  <c r="B749" i="4"/>
  <c r="F748" i="4"/>
  <c r="C748" i="4"/>
  <c r="B748" i="4"/>
  <c r="B748" i="5" s="1"/>
  <c r="F747" i="4"/>
  <c r="B747" i="4"/>
  <c r="B747" i="5" s="1"/>
  <c r="F746" i="4"/>
  <c r="B746" i="4"/>
  <c r="F745" i="4"/>
  <c r="D745" i="4"/>
  <c r="G745" i="5" s="1"/>
  <c r="C745" i="4"/>
  <c r="B745" i="4"/>
  <c r="B745" i="5" s="1"/>
  <c r="F744" i="4"/>
  <c r="C744" i="4"/>
  <c r="B744" i="4"/>
  <c r="B744" i="5" s="1"/>
  <c r="F743" i="4"/>
  <c r="B743" i="4"/>
  <c r="F742" i="4"/>
  <c r="B742" i="4"/>
  <c r="F741" i="4"/>
  <c r="C741" i="4"/>
  <c r="B741" i="4"/>
  <c r="B741" i="5" s="1"/>
  <c r="F740" i="4"/>
  <c r="B740" i="4"/>
  <c r="F739" i="4"/>
  <c r="D739" i="4"/>
  <c r="G739" i="5" s="1"/>
  <c r="B739" i="4"/>
  <c r="B739" i="5" s="1"/>
  <c r="F738" i="4"/>
  <c r="D738" i="4"/>
  <c r="G738" i="5" s="1"/>
  <c r="C738" i="4"/>
  <c r="B738" i="4"/>
  <c r="B738" i="5" s="1"/>
  <c r="F737" i="4"/>
  <c r="B737" i="4"/>
  <c r="F736" i="4"/>
  <c r="B736" i="4"/>
  <c r="B736" i="5" s="1"/>
  <c r="F735" i="4"/>
  <c r="B735" i="4"/>
  <c r="F734" i="4"/>
  <c r="B734" i="4"/>
  <c r="F733" i="4"/>
  <c r="C733" i="4"/>
  <c r="B733" i="4"/>
  <c r="B733" i="5" s="1"/>
  <c r="F732" i="4"/>
  <c r="D732" i="4"/>
  <c r="G732" i="5" s="1"/>
  <c r="B732" i="4"/>
  <c r="B732" i="5" s="1"/>
  <c r="F731" i="4"/>
  <c r="B731" i="4"/>
  <c r="F730" i="4"/>
  <c r="C730" i="4"/>
  <c r="B730" i="4"/>
  <c r="B730" i="5" s="1"/>
  <c r="F729" i="4"/>
  <c r="B729" i="4"/>
  <c r="B729" i="5" s="1"/>
  <c r="F728" i="4"/>
  <c r="B728" i="4"/>
  <c r="F727" i="4"/>
  <c r="D727" i="4"/>
  <c r="G727" i="5" s="1"/>
  <c r="C727" i="4"/>
  <c r="B727" i="4"/>
  <c r="B727" i="5" s="1"/>
  <c r="F726" i="4"/>
  <c r="C726" i="4"/>
  <c r="B726" i="4"/>
  <c r="B726" i="5" s="1"/>
  <c r="F725" i="4"/>
  <c r="B725" i="4"/>
  <c r="F724" i="4"/>
  <c r="B724" i="4"/>
  <c r="F723" i="4"/>
  <c r="C723" i="4"/>
  <c r="B723" i="4"/>
  <c r="B723" i="5" s="1"/>
  <c r="F722" i="4"/>
  <c r="B722" i="4"/>
  <c r="F721" i="4"/>
  <c r="D721" i="4"/>
  <c r="G721" i="5" s="1"/>
  <c r="B721" i="4"/>
  <c r="B721" i="5" s="1"/>
  <c r="F720" i="4"/>
  <c r="D720" i="4"/>
  <c r="G720" i="5" s="1"/>
  <c r="C720" i="4"/>
  <c r="B720" i="4"/>
  <c r="B720" i="5" s="1"/>
  <c r="F719" i="4"/>
  <c r="B719" i="4"/>
  <c r="F718" i="4"/>
  <c r="B718" i="4"/>
  <c r="B718" i="5" s="1"/>
  <c r="F717" i="4"/>
  <c r="B717" i="4"/>
  <c r="F716" i="4"/>
  <c r="B716" i="4"/>
  <c r="F715" i="4"/>
  <c r="C715" i="4"/>
  <c r="B715" i="4"/>
  <c r="B715" i="5" s="1"/>
  <c r="F714" i="4"/>
  <c r="D714" i="4"/>
  <c r="G714" i="5" s="1"/>
  <c r="B714" i="4"/>
  <c r="B714" i="5" s="1"/>
  <c r="F713" i="4"/>
  <c r="B713" i="4"/>
  <c r="F712" i="4"/>
  <c r="C712" i="4"/>
  <c r="B712" i="4"/>
  <c r="B712" i="5" s="1"/>
  <c r="F711" i="4"/>
  <c r="B711" i="4"/>
  <c r="B711" i="5" s="1"/>
  <c r="F710" i="4"/>
  <c r="B710" i="4"/>
  <c r="F709" i="4"/>
  <c r="D709" i="4"/>
  <c r="G709" i="5" s="1"/>
  <c r="C709" i="4"/>
  <c r="B709" i="4"/>
  <c r="B709" i="5" s="1"/>
  <c r="F708" i="4"/>
  <c r="C708" i="4"/>
  <c r="B708" i="4"/>
  <c r="B708" i="5" s="1"/>
  <c r="F707" i="4"/>
  <c r="B707" i="4"/>
  <c r="F706" i="4"/>
  <c r="B706" i="4"/>
  <c r="F705" i="4"/>
  <c r="C705" i="4"/>
  <c r="B705" i="4"/>
  <c r="B705" i="5" s="1"/>
  <c r="F704" i="4"/>
  <c r="B704" i="4"/>
  <c r="F703" i="4"/>
  <c r="D703" i="4"/>
  <c r="G703" i="5" s="1"/>
  <c r="B703" i="4"/>
  <c r="B703" i="5" s="1"/>
  <c r="F702" i="4"/>
  <c r="D702" i="4"/>
  <c r="G702" i="5" s="1"/>
  <c r="C702" i="4"/>
  <c r="B702" i="4"/>
  <c r="B702" i="5" s="1"/>
  <c r="F701" i="4"/>
  <c r="B701" i="4"/>
  <c r="F700" i="4"/>
  <c r="B700" i="4"/>
  <c r="F699" i="4"/>
  <c r="B699" i="4"/>
  <c r="F698" i="4"/>
  <c r="B698" i="4"/>
  <c r="F697" i="4"/>
  <c r="C697" i="4"/>
  <c r="B697" i="4"/>
  <c r="B697" i="5" s="1"/>
  <c r="F696" i="4"/>
  <c r="B696" i="4"/>
  <c r="B696" i="5" s="1"/>
  <c r="F695" i="4"/>
  <c r="B695" i="4"/>
  <c r="F694" i="4"/>
  <c r="B694" i="4"/>
  <c r="B694" i="5" s="1"/>
  <c r="F693" i="4"/>
  <c r="B693" i="4"/>
  <c r="F692" i="4"/>
  <c r="B692" i="4"/>
  <c r="B692" i="5" s="1"/>
  <c r="F691" i="4"/>
  <c r="C691" i="4"/>
  <c r="B691" i="4"/>
  <c r="B691" i="5" s="1"/>
  <c r="F690" i="4"/>
  <c r="B690" i="4"/>
  <c r="B690" i="5" s="1"/>
  <c r="F689" i="4"/>
  <c r="B689" i="4"/>
  <c r="F688" i="4"/>
  <c r="B688" i="4"/>
  <c r="F687" i="4"/>
  <c r="C687" i="4"/>
  <c r="B687" i="4"/>
  <c r="B687" i="5" s="1"/>
  <c r="F686" i="4"/>
  <c r="B686" i="4"/>
  <c r="F685" i="4"/>
  <c r="B685" i="4"/>
  <c r="B685" i="5" s="1"/>
  <c r="F684" i="4"/>
  <c r="D684" i="4"/>
  <c r="G684" i="5" s="1"/>
  <c r="C684" i="4"/>
  <c r="B684" i="4"/>
  <c r="B684" i="5" s="1"/>
  <c r="F683" i="4"/>
  <c r="B683" i="4"/>
  <c r="F682" i="4"/>
  <c r="B682" i="4"/>
  <c r="F681" i="4"/>
  <c r="B681" i="4"/>
  <c r="F680" i="4"/>
  <c r="B680" i="4"/>
  <c r="F679" i="4"/>
  <c r="B679" i="4"/>
  <c r="F678" i="4"/>
  <c r="D678" i="4"/>
  <c r="G678" i="5" s="1"/>
  <c r="B678" i="4"/>
  <c r="B678" i="5" s="1"/>
  <c r="F677" i="4"/>
  <c r="B677" i="4"/>
  <c r="F676" i="4"/>
  <c r="D676" i="4"/>
  <c r="G676" i="5" s="1"/>
  <c r="B676" i="4"/>
  <c r="F675" i="4"/>
  <c r="B675" i="4"/>
  <c r="F674" i="4"/>
  <c r="B674" i="4"/>
  <c r="F673" i="4"/>
  <c r="B673" i="4"/>
  <c r="B673" i="5" s="1"/>
  <c r="F672" i="4"/>
  <c r="C672" i="4"/>
  <c r="B672" i="4"/>
  <c r="B672" i="5" s="1"/>
  <c r="F671" i="4"/>
  <c r="B671" i="4"/>
  <c r="F670" i="4"/>
  <c r="B670" i="4"/>
  <c r="F669" i="4"/>
  <c r="B669" i="4"/>
  <c r="F668" i="4"/>
  <c r="B668" i="4"/>
  <c r="F667" i="4"/>
  <c r="B667" i="4"/>
  <c r="F666" i="4"/>
  <c r="D666" i="4"/>
  <c r="G666" i="5" s="1"/>
  <c r="B666" i="4"/>
  <c r="B666" i="5" s="1"/>
  <c r="F665" i="4"/>
  <c r="B665" i="4"/>
  <c r="F664" i="4"/>
  <c r="B664" i="4"/>
  <c r="F663" i="4"/>
  <c r="B663" i="4"/>
  <c r="F662" i="4"/>
  <c r="B662" i="4"/>
  <c r="F661" i="4"/>
  <c r="B661" i="4"/>
  <c r="F660" i="4"/>
  <c r="B660" i="4"/>
  <c r="F659" i="4"/>
  <c r="B659" i="4"/>
  <c r="F658" i="4"/>
  <c r="B658" i="4"/>
  <c r="B658" i="5" s="1"/>
  <c r="F657" i="4"/>
  <c r="B657" i="4"/>
  <c r="F656" i="4"/>
  <c r="B656" i="4"/>
  <c r="F655" i="4"/>
  <c r="B655" i="4"/>
  <c r="F654" i="4"/>
  <c r="B654" i="4"/>
  <c r="B654" i="5" s="1"/>
  <c r="F653" i="4"/>
  <c r="B653" i="4"/>
  <c r="F652" i="4"/>
  <c r="B652" i="4"/>
  <c r="F651" i="4"/>
  <c r="C651" i="4"/>
  <c r="B651" i="4"/>
  <c r="B651" i="5" s="1"/>
  <c r="F650" i="4"/>
  <c r="B650" i="4"/>
  <c r="F649" i="4"/>
  <c r="B649" i="4"/>
  <c r="F648" i="4"/>
  <c r="B648" i="4"/>
  <c r="B648" i="5" s="1"/>
  <c r="F647" i="4"/>
  <c r="B647" i="4"/>
  <c r="F646" i="4"/>
  <c r="B646" i="4"/>
  <c r="F645" i="4"/>
  <c r="B645" i="4"/>
  <c r="F644" i="4"/>
  <c r="B644" i="4"/>
  <c r="F643" i="4"/>
  <c r="B643" i="4"/>
  <c r="F642" i="4"/>
  <c r="B642" i="4"/>
  <c r="F641" i="4"/>
  <c r="B641" i="4"/>
  <c r="F640" i="4"/>
  <c r="D640" i="4"/>
  <c r="G640" i="5" s="1"/>
  <c r="C640" i="4"/>
  <c r="B640" i="4"/>
  <c r="B640" i="5" s="1"/>
  <c r="F639" i="4"/>
  <c r="B639" i="4"/>
  <c r="F638" i="4"/>
  <c r="B638" i="4"/>
  <c r="F637" i="4"/>
  <c r="B637" i="4"/>
  <c r="F636" i="4"/>
  <c r="B636" i="4"/>
  <c r="D636" i="4" s="1"/>
  <c r="G636" i="5" s="1"/>
  <c r="F635" i="4"/>
  <c r="B635" i="4"/>
  <c r="F634" i="4"/>
  <c r="B634" i="4"/>
  <c r="F633" i="4"/>
  <c r="B633" i="4"/>
  <c r="F632" i="4"/>
  <c r="B632" i="4"/>
  <c r="F631" i="4"/>
  <c r="B631" i="4"/>
  <c r="F630" i="4"/>
  <c r="D630" i="4"/>
  <c r="G630" i="5" s="1"/>
  <c r="C630" i="4"/>
  <c r="B630" i="4"/>
  <c r="B630" i="5" s="1"/>
  <c r="F629" i="4"/>
  <c r="B629" i="4"/>
  <c r="F628" i="4"/>
  <c r="B628" i="4"/>
  <c r="F627" i="4"/>
  <c r="B627" i="4"/>
  <c r="F626" i="4"/>
  <c r="B626" i="4"/>
  <c r="F625" i="4"/>
  <c r="B625" i="4"/>
  <c r="F624" i="4"/>
  <c r="B624" i="4"/>
  <c r="F623" i="4"/>
  <c r="B623" i="4"/>
  <c r="F622" i="4"/>
  <c r="B622" i="4"/>
  <c r="F621" i="4"/>
  <c r="B621" i="4"/>
  <c r="F620" i="4"/>
  <c r="B620" i="4"/>
  <c r="F619" i="4"/>
  <c r="B619" i="4"/>
  <c r="F618" i="4"/>
  <c r="B618" i="4"/>
  <c r="B618" i="5" s="1"/>
  <c r="F617" i="4"/>
  <c r="B617" i="4"/>
  <c r="F616" i="4"/>
  <c r="B616" i="4"/>
  <c r="F615" i="4"/>
  <c r="C615" i="4"/>
  <c r="B615" i="4"/>
  <c r="B615" i="5" s="1"/>
  <c r="F614" i="4"/>
  <c r="B614" i="4"/>
  <c r="F613" i="4"/>
  <c r="B613" i="4"/>
  <c r="F612" i="4"/>
  <c r="B612" i="4"/>
  <c r="F611" i="4"/>
  <c r="B611" i="4"/>
  <c r="F610" i="4"/>
  <c r="B610" i="4"/>
  <c r="F609" i="4"/>
  <c r="B609" i="4"/>
  <c r="F608" i="4"/>
  <c r="B608" i="4"/>
  <c r="F607" i="4"/>
  <c r="B607" i="4"/>
  <c r="F606" i="4"/>
  <c r="B606" i="4"/>
  <c r="F605" i="4"/>
  <c r="B605" i="4"/>
  <c r="D604" i="4"/>
  <c r="G604" i="5" s="1"/>
  <c r="C604" i="4"/>
  <c r="B604" i="4"/>
  <c r="B604" i="5" s="1"/>
  <c r="C603" i="4"/>
  <c r="B603" i="4"/>
  <c r="B603" i="5" s="1"/>
  <c r="C602" i="4"/>
  <c r="B602" i="4"/>
  <c r="B601" i="4"/>
  <c r="C601" i="4" s="1"/>
  <c r="C600" i="4"/>
  <c r="B600" i="4"/>
  <c r="B600" i="5" s="1"/>
  <c r="B599" i="4"/>
  <c r="D598" i="4"/>
  <c r="G598" i="5" s="1"/>
  <c r="C598" i="4"/>
  <c r="B598" i="4"/>
  <c r="B598" i="5" s="1"/>
  <c r="B597" i="4"/>
  <c r="C596" i="4"/>
  <c r="B596" i="4"/>
  <c r="D595" i="4"/>
  <c r="G595" i="5" s="1"/>
  <c r="C595" i="4"/>
  <c r="B595" i="4"/>
  <c r="B595" i="5" s="1"/>
  <c r="C594" i="4"/>
  <c r="B594" i="4"/>
  <c r="B593" i="4"/>
  <c r="C592" i="4"/>
  <c r="B592" i="4"/>
  <c r="B592" i="5" s="1"/>
  <c r="B591" i="4"/>
  <c r="C590" i="4"/>
  <c r="B590" i="4"/>
  <c r="B589" i="4"/>
  <c r="B588" i="4"/>
  <c r="B588" i="5" s="1"/>
  <c r="B587" i="4"/>
  <c r="C586" i="4"/>
  <c r="B586" i="4"/>
  <c r="B586" i="5" s="1"/>
  <c r="B585" i="4"/>
  <c r="C584" i="4"/>
  <c r="B584" i="4"/>
  <c r="B583" i="4"/>
  <c r="B582" i="4"/>
  <c r="B582" i="5" s="1"/>
  <c r="B581" i="4"/>
  <c r="D580" i="4"/>
  <c r="G580" i="5" s="1"/>
  <c r="C580" i="4"/>
  <c r="B580" i="4"/>
  <c r="B579" i="4"/>
  <c r="C578" i="4"/>
  <c r="B578" i="4"/>
  <c r="B578" i="5" s="1"/>
  <c r="B577" i="4"/>
  <c r="B576" i="4"/>
  <c r="C575" i="4"/>
  <c r="B575" i="4"/>
  <c r="C574" i="4"/>
  <c r="B574" i="4"/>
  <c r="B574" i="5" s="1"/>
  <c r="B573" i="4"/>
  <c r="C572" i="4"/>
  <c r="B572" i="4"/>
  <c r="B572" i="5" s="1"/>
  <c r="B571" i="4"/>
  <c r="D570" i="4"/>
  <c r="G570" i="5" s="1"/>
  <c r="C570" i="4"/>
  <c r="B570" i="4"/>
  <c r="B569" i="4"/>
  <c r="C568" i="4"/>
  <c r="B568" i="4"/>
  <c r="B568" i="5" s="1"/>
  <c r="D567" i="4"/>
  <c r="G567" i="5" s="1"/>
  <c r="B567" i="4"/>
  <c r="B566" i="4"/>
  <c r="B565" i="4"/>
  <c r="B564" i="4"/>
  <c r="B564" i="5" s="1"/>
  <c r="B563" i="4"/>
  <c r="D575" i="4" s="1"/>
  <c r="G575" i="5" s="1"/>
  <c r="B562" i="4"/>
  <c r="B561" i="4"/>
  <c r="B560" i="4"/>
  <c r="B559" i="4"/>
  <c r="C558" i="4"/>
  <c r="B558" i="4"/>
  <c r="B558" i="5" s="1"/>
  <c r="B557" i="4"/>
  <c r="D556" i="4"/>
  <c r="G556" i="5" s="1"/>
  <c r="B556" i="4"/>
  <c r="D555" i="4"/>
  <c r="G555" i="5" s="1"/>
  <c r="B555" i="4"/>
  <c r="B555" i="5" s="1"/>
  <c r="B554" i="4"/>
  <c r="B554" i="5" s="1"/>
  <c r="B553" i="4"/>
  <c r="C552" i="4"/>
  <c r="B552" i="4"/>
  <c r="D551" i="4"/>
  <c r="G551" i="5" s="1"/>
  <c r="C551" i="4"/>
  <c r="B551" i="4"/>
  <c r="B551" i="5" s="1"/>
  <c r="D550" i="4"/>
  <c r="G550" i="5" s="1"/>
  <c r="C550" i="4"/>
  <c r="B550" i="4"/>
  <c r="B550" i="5" s="1"/>
  <c r="B549" i="4"/>
  <c r="B548" i="4"/>
  <c r="B548" i="5" s="1"/>
  <c r="D547" i="4"/>
  <c r="G547" i="5" s="1"/>
  <c r="B547" i="4"/>
  <c r="C546" i="4"/>
  <c r="B546" i="4"/>
  <c r="D546" i="4" s="1"/>
  <c r="G546" i="5" s="1"/>
  <c r="B545" i="4"/>
  <c r="B544" i="4"/>
  <c r="B543" i="4"/>
  <c r="B543" i="5" s="1"/>
  <c r="B542" i="4"/>
  <c r="B541" i="4"/>
  <c r="C540" i="4"/>
  <c r="B540" i="4"/>
  <c r="B540" i="5" s="1"/>
  <c r="D539" i="4"/>
  <c r="G539" i="5" s="1"/>
  <c r="B539" i="4"/>
  <c r="B538" i="4"/>
  <c r="B538" i="5" s="1"/>
  <c r="B537" i="4"/>
  <c r="B536" i="4"/>
  <c r="C535" i="4"/>
  <c r="B535" i="4"/>
  <c r="B535" i="5" s="1"/>
  <c r="D534" i="4"/>
  <c r="G534" i="5" s="1"/>
  <c r="C534" i="4"/>
  <c r="B534" i="4"/>
  <c r="B534" i="5" s="1"/>
  <c r="B533" i="4"/>
  <c r="C532" i="4"/>
  <c r="B532" i="4"/>
  <c r="B532" i="5" s="1"/>
  <c r="D531" i="4"/>
  <c r="G531" i="5" s="1"/>
  <c r="B531" i="4"/>
  <c r="C530" i="4"/>
  <c r="B530" i="4"/>
  <c r="B529" i="4"/>
  <c r="B528" i="4"/>
  <c r="C527" i="4"/>
  <c r="B527" i="4"/>
  <c r="B527" i="5" s="1"/>
  <c r="D526" i="4"/>
  <c r="G526" i="5" s="1"/>
  <c r="B526" i="4"/>
  <c r="B525" i="4"/>
  <c r="B524" i="4"/>
  <c r="B523" i="4"/>
  <c r="C522" i="4"/>
  <c r="B522" i="4"/>
  <c r="B522" i="5" s="1"/>
  <c r="B521" i="4"/>
  <c r="B520" i="4"/>
  <c r="C519" i="4"/>
  <c r="B519" i="4"/>
  <c r="B519" i="5" s="1"/>
  <c r="B518" i="4"/>
  <c r="B517" i="4"/>
  <c r="D516" i="4"/>
  <c r="G516" i="5" s="1"/>
  <c r="B516" i="4"/>
  <c r="B515" i="4"/>
  <c r="C514" i="4"/>
  <c r="B514" i="4"/>
  <c r="B514" i="5" s="1"/>
  <c r="B513" i="4"/>
  <c r="B512" i="4"/>
  <c r="C511" i="4"/>
  <c r="B511" i="4"/>
  <c r="B510" i="4"/>
  <c r="B509" i="4"/>
  <c r="C508" i="4"/>
  <c r="B508" i="4"/>
  <c r="B508" i="5" s="1"/>
  <c r="B507" i="4"/>
  <c r="D519" i="4" s="1"/>
  <c r="G519" i="5" s="1"/>
  <c r="C506" i="4"/>
  <c r="B506" i="4"/>
  <c r="B506" i="5" s="1"/>
  <c r="B505" i="4"/>
  <c r="B504" i="4"/>
  <c r="C503" i="4"/>
  <c r="B503" i="4"/>
  <c r="B503" i="5" s="1"/>
  <c r="C502" i="4"/>
  <c r="B502" i="4"/>
  <c r="B501" i="4"/>
  <c r="B500" i="4"/>
  <c r="B500" i="5" s="1"/>
  <c r="B499" i="4"/>
  <c r="C498" i="4"/>
  <c r="B498" i="4"/>
  <c r="B498" i="5" s="1"/>
  <c r="B497" i="4"/>
  <c r="D509" i="4" s="1"/>
  <c r="G509" i="5" s="1"/>
  <c r="D496" i="4"/>
  <c r="G496" i="5" s="1"/>
  <c r="B496" i="4"/>
  <c r="B495" i="4"/>
  <c r="B494" i="4"/>
  <c r="B493" i="4"/>
  <c r="B492" i="4"/>
  <c r="B492" i="5" s="1"/>
  <c r="B491" i="4"/>
  <c r="C490" i="4"/>
  <c r="B490" i="4"/>
  <c r="B489" i="4"/>
  <c r="B488" i="4"/>
  <c r="B487" i="4"/>
  <c r="B487" i="5" s="1"/>
  <c r="C486" i="4"/>
  <c r="B486" i="4"/>
  <c r="D485" i="4"/>
  <c r="G485" i="5" s="1"/>
  <c r="B485" i="4"/>
  <c r="B484" i="4"/>
  <c r="B484" i="5" s="1"/>
  <c r="D483" i="4"/>
  <c r="G483" i="5" s="1"/>
  <c r="B483" i="4"/>
  <c r="B482" i="4"/>
  <c r="B482" i="5" s="1"/>
  <c r="B481" i="4"/>
  <c r="B480" i="4"/>
  <c r="B479" i="4"/>
  <c r="B479" i="5" s="1"/>
  <c r="B478" i="4"/>
  <c r="D477" i="4"/>
  <c r="G477" i="5" s="1"/>
  <c r="B477" i="4"/>
  <c r="B476" i="4"/>
  <c r="D475" i="4"/>
  <c r="G475" i="5" s="1"/>
  <c r="B475" i="4"/>
  <c r="B474" i="4"/>
  <c r="B474" i="5" s="1"/>
  <c r="B473" i="4"/>
  <c r="C472" i="4"/>
  <c r="B472" i="4"/>
  <c r="B472" i="5" s="1"/>
  <c r="B471" i="4"/>
  <c r="B471" i="5" s="1"/>
  <c r="D470" i="4"/>
  <c r="G470" i="5" s="1"/>
  <c r="B470" i="4"/>
  <c r="B469" i="4"/>
  <c r="B468" i="4"/>
  <c r="D480" i="4" s="1"/>
  <c r="G480" i="5" s="1"/>
  <c r="B467" i="4"/>
  <c r="C466" i="4"/>
  <c r="B466" i="4"/>
  <c r="B466" i="5" s="1"/>
  <c r="D465" i="4"/>
  <c r="G465" i="5" s="1"/>
  <c r="B465" i="4"/>
  <c r="D464" i="4"/>
  <c r="G464" i="5" s="1"/>
  <c r="C464" i="4"/>
  <c r="B464" i="4"/>
  <c r="B464" i="5" s="1"/>
  <c r="C463" i="4"/>
  <c r="B463" i="4"/>
  <c r="B463" i="5" s="1"/>
  <c r="D462" i="4"/>
  <c r="G462" i="5" s="1"/>
  <c r="B462" i="4"/>
  <c r="D461" i="4"/>
  <c r="G461" i="5" s="1"/>
  <c r="B461" i="4"/>
  <c r="B460" i="4"/>
  <c r="D472" i="4" s="1"/>
  <c r="G472" i="5" s="1"/>
  <c r="D459" i="4"/>
  <c r="G459" i="5" s="1"/>
  <c r="B459" i="4"/>
  <c r="C458" i="4"/>
  <c r="B458" i="4"/>
  <c r="B458" i="5" s="1"/>
  <c r="B457" i="4"/>
  <c r="C456" i="4"/>
  <c r="B456" i="4"/>
  <c r="D455" i="4"/>
  <c r="G455" i="5" s="1"/>
  <c r="C455" i="4"/>
  <c r="B455" i="4"/>
  <c r="B455" i="5" s="1"/>
  <c r="D454" i="4"/>
  <c r="G454" i="5" s="1"/>
  <c r="C454" i="4"/>
  <c r="B454" i="4"/>
  <c r="B453" i="4"/>
  <c r="B453" i="5" s="1"/>
  <c r="B452" i="4"/>
  <c r="B452" i="5" s="1"/>
  <c r="C451" i="4"/>
  <c r="B451" i="4"/>
  <c r="C450" i="4"/>
  <c r="B450" i="4"/>
  <c r="B450" i="5" s="1"/>
  <c r="D449" i="4"/>
  <c r="G449" i="5" s="1"/>
  <c r="C449" i="4"/>
  <c r="B449" i="4"/>
  <c r="B449" i="5" s="1"/>
  <c r="B448" i="4"/>
  <c r="B447" i="4"/>
  <c r="B447" i="5" s="1"/>
  <c r="B446" i="4"/>
  <c r="D445" i="4"/>
  <c r="G445" i="5" s="1"/>
  <c r="C445" i="4"/>
  <c r="B445" i="4"/>
  <c r="B444" i="4"/>
  <c r="D443" i="4"/>
  <c r="G443" i="5" s="1"/>
  <c r="C443" i="4"/>
  <c r="B443" i="4"/>
  <c r="B443" i="5" s="1"/>
  <c r="B442" i="4"/>
  <c r="B442" i="5" s="1"/>
  <c r="B441" i="4"/>
  <c r="C440" i="4"/>
  <c r="B440" i="4"/>
  <c r="C439" i="4"/>
  <c r="B439" i="4"/>
  <c r="B438" i="4"/>
  <c r="B437" i="4"/>
  <c r="B437" i="5" s="1"/>
  <c r="B436" i="4"/>
  <c r="B435" i="4"/>
  <c r="D434" i="4"/>
  <c r="G434" i="5" s="1"/>
  <c r="B434" i="4"/>
  <c r="B433" i="4"/>
  <c r="B432" i="4"/>
  <c r="B431" i="4"/>
  <c r="B431" i="5" s="1"/>
  <c r="D430" i="4"/>
  <c r="G430" i="5" s="1"/>
  <c r="C430" i="4"/>
  <c r="B430" i="4"/>
  <c r="D429" i="4"/>
  <c r="G429" i="5" s="1"/>
  <c r="C429" i="4"/>
  <c r="B429" i="4"/>
  <c r="B429" i="5" s="1"/>
  <c r="C428" i="4"/>
  <c r="B428" i="4"/>
  <c r="B427" i="4"/>
  <c r="B427" i="5" s="1"/>
  <c r="B426" i="4"/>
  <c r="D425" i="4"/>
  <c r="G425" i="5" s="1"/>
  <c r="C425" i="4"/>
  <c r="B425" i="4"/>
  <c r="B424" i="4"/>
  <c r="B423" i="4"/>
  <c r="B422" i="4"/>
  <c r="B421" i="4"/>
  <c r="C420" i="4"/>
  <c r="B420" i="4"/>
  <c r="D419" i="4"/>
  <c r="G419" i="5" s="1"/>
  <c r="B419" i="4"/>
  <c r="B418" i="4"/>
  <c r="B418" i="5" s="1"/>
  <c r="B417" i="4"/>
  <c r="B417" i="5" s="1"/>
  <c r="B416" i="4"/>
  <c r="D415" i="4"/>
  <c r="G415" i="5" s="1"/>
  <c r="C415" i="4"/>
  <c r="B415" i="4"/>
  <c r="D414" i="4"/>
  <c r="G414" i="5" s="1"/>
  <c r="C414" i="4"/>
  <c r="B414" i="4"/>
  <c r="B414" i="5" s="1"/>
  <c r="B413" i="4"/>
  <c r="B412" i="4"/>
  <c r="B411" i="4"/>
  <c r="D410" i="4"/>
  <c r="G410" i="5" s="1"/>
  <c r="C410" i="4"/>
  <c r="B410" i="4"/>
  <c r="B409" i="4"/>
  <c r="C408" i="4"/>
  <c r="B408" i="4"/>
  <c r="B407" i="4"/>
  <c r="B407" i="5" s="1"/>
  <c r="C406" i="4"/>
  <c r="B406" i="4"/>
  <c r="D405" i="4"/>
  <c r="G405" i="5" s="1"/>
  <c r="B405" i="4"/>
  <c r="B405" i="5" s="1"/>
  <c r="B404" i="4"/>
  <c r="C403" i="4"/>
  <c r="B403" i="4"/>
  <c r="B403" i="5" s="1"/>
  <c r="D402" i="4"/>
  <c r="G402" i="5" s="1"/>
  <c r="C402" i="4"/>
  <c r="B402" i="4"/>
  <c r="B402" i="5" s="1"/>
  <c r="D401" i="4"/>
  <c r="G401" i="5" s="1"/>
  <c r="C401" i="4"/>
  <c r="B401" i="4"/>
  <c r="B401" i="5" s="1"/>
  <c r="C400" i="4"/>
  <c r="B400" i="4"/>
  <c r="C399" i="4"/>
  <c r="B399" i="4"/>
  <c r="B399" i="5" s="1"/>
  <c r="B398" i="4"/>
  <c r="B398" i="5" s="1"/>
  <c r="C397" i="4"/>
  <c r="B397" i="4"/>
  <c r="B396" i="4"/>
  <c r="B395" i="4"/>
  <c r="C394" i="4"/>
  <c r="B394" i="4"/>
  <c r="B394" i="5" s="1"/>
  <c r="C393" i="4"/>
  <c r="B393" i="4"/>
  <c r="B393" i="5" s="1"/>
  <c r="C392" i="4"/>
  <c r="B392" i="4"/>
  <c r="D391" i="4"/>
  <c r="G391" i="5" s="1"/>
  <c r="C391" i="4"/>
  <c r="B391" i="4"/>
  <c r="B391" i="5" s="1"/>
  <c r="C390" i="4"/>
  <c r="B390" i="4"/>
  <c r="B390" i="5" s="1"/>
  <c r="B389" i="4"/>
  <c r="B389" i="5" s="1"/>
  <c r="B388" i="4"/>
  <c r="B387" i="4"/>
  <c r="B387" i="5" s="1"/>
  <c r="B386" i="4"/>
  <c r="B385" i="4"/>
  <c r="B385" i="5" s="1"/>
  <c r="B384" i="4"/>
  <c r="B383" i="4"/>
  <c r="D382" i="4"/>
  <c r="G382" i="5" s="1"/>
  <c r="C382" i="4"/>
  <c r="B382" i="4"/>
  <c r="C381" i="4"/>
  <c r="B381" i="4"/>
  <c r="B381" i="5" s="1"/>
  <c r="C380" i="4"/>
  <c r="B380" i="4"/>
  <c r="B379" i="4"/>
  <c r="B379" i="5" s="1"/>
  <c r="B378" i="4"/>
  <c r="D377" i="4"/>
  <c r="G377" i="5" s="1"/>
  <c r="B377" i="4"/>
  <c r="C376" i="4"/>
  <c r="B376" i="4"/>
  <c r="B375" i="4"/>
  <c r="B374" i="4"/>
  <c r="B373" i="4"/>
  <c r="B372" i="4"/>
  <c r="B371" i="4"/>
  <c r="B371" i="5" s="1"/>
  <c r="B370" i="4"/>
  <c r="C369" i="4"/>
  <c r="B369" i="4"/>
  <c r="C368" i="4"/>
  <c r="B368" i="4"/>
  <c r="C367" i="4"/>
  <c r="B367" i="4"/>
  <c r="B367" i="5" s="1"/>
  <c r="B366" i="4"/>
  <c r="B366" i="5" s="1"/>
  <c r="B365" i="4"/>
  <c r="B364" i="4"/>
  <c r="D363" i="4"/>
  <c r="G363" i="5" s="1"/>
  <c r="B363" i="4"/>
  <c r="B362" i="4"/>
  <c r="B361" i="4"/>
  <c r="B361" i="5" s="1"/>
  <c r="B360" i="4"/>
  <c r="D359" i="4"/>
  <c r="G359" i="5" s="1"/>
  <c r="C359" i="4"/>
  <c r="B359" i="4"/>
  <c r="C358" i="4"/>
  <c r="B358" i="4"/>
  <c r="B358" i="5" s="1"/>
  <c r="B357" i="4"/>
  <c r="B356" i="4"/>
  <c r="C355" i="4"/>
  <c r="B355" i="4"/>
  <c r="C354" i="4"/>
  <c r="B354" i="4"/>
  <c r="B354" i="5" s="1"/>
  <c r="C353" i="4"/>
  <c r="B353" i="4"/>
  <c r="B353" i="5" s="1"/>
  <c r="B352" i="4"/>
  <c r="B351" i="4"/>
  <c r="B350" i="4"/>
  <c r="C349" i="4"/>
  <c r="B349" i="4"/>
  <c r="B348" i="4"/>
  <c r="B347" i="4"/>
  <c r="B347" i="5" s="1"/>
  <c r="B346" i="4"/>
  <c r="D345" i="4"/>
  <c r="G345" i="5" s="1"/>
  <c r="C345" i="4"/>
  <c r="B345" i="4"/>
  <c r="B345" i="5" s="1"/>
  <c r="C344" i="4"/>
  <c r="B344" i="4"/>
  <c r="B343" i="4"/>
  <c r="B343" i="5" s="1"/>
  <c r="B342" i="4"/>
  <c r="D341" i="4"/>
  <c r="G341" i="5" s="1"/>
  <c r="B341" i="4"/>
  <c r="B341" i="5" s="1"/>
  <c r="B340" i="4"/>
  <c r="C339" i="4"/>
  <c r="B339" i="4"/>
  <c r="B339" i="5" s="1"/>
  <c r="B338" i="4"/>
  <c r="B338" i="5" s="1"/>
  <c r="B337" i="4"/>
  <c r="C336" i="4"/>
  <c r="B336" i="4"/>
  <c r="B335" i="4"/>
  <c r="C334" i="4"/>
  <c r="B334" i="4"/>
  <c r="B334" i="5" s="1"/>
  <c r="B333" i="4"/>
  <c r="B333" i="5" s="1"/>
  <c r="B332" i="4"/>
  <c r="D331" i="4"/>
  <c r="G331" i="5" s="1"/>
  <c r="C331" i="4"/>
  <c r="B331" i="4"/>
  <c r="B331" i="5" s="1"/>
  <c r="D330" i="4"/>
  <c r="G330" i="5" s="1"/>
  <c r="C330" i="4"/>
  <c r="B330" i="4"/>
  <c r="B330" i="5" s="1"/>
  <c r="B329" i="4"/>
  <c r="B329" i="5" s="1"/>
  <c r="B328" i="4"/>
  <c r="B327" i="4"/>
  <c r="B326" i="4"/>
  <c r="B325" i="4"/>
  <c r="B325" i="5" s="1"/>
  <c r="B324" i="4"/>
  <c r="B323" i="4"/>
  <c r="B322" i="4"/>
  <c r="C321" i="4"/>
  <c r="B321" i="4"/>
  <c r="B321" i="5" s="1"/>
  <c r="C320" i="4"/>
  <c r="B320" i="4"/>
  <c r="C319" i="4"/>
  <c r="B319" i="4"/>
  <c r="B319" i="5" s="1"/>
  <c r="D318" i="4"/>
  <c r="G318" i="5" s="1"/>
  <c r="B318" i="4"/>
  <c r="B318" i="5" s="1"/>
  <c r="B317" i="4"/>
  <c r="C316" i="4"/>
  <c r="B316" i="4"/>
  <c r="B315" i="4"/>
  <c r="B315" i="5" s="1"/>
  <c r="B314" i="4"/>
  <c r="B313" i="4"/>
  <c r="B312" i="4"/>
  <c r="C311" i="4"/>
  <c r="B311" i="4"/>
  <c r="B311" i="5" s="1"/>
  <c r="B310" i="4"/>
  <c r="B310" i="5" s="1"/>
  <c r="D309" i="4"/>
  <c r="G309" i="5" s="1"/>
  <c r="B309" i="4"/>
  <c r="C308" i="4"/>
  <c r="B308" i="4"/>
  <c r="C307" i="4"/>
  <c r="B307" i="4"/>
  <c r="B307" i="5" s="1"/>
  <c r="B306" i="4"/>
  <c r="B306" i="5" s="1"/>
  <c r="D305" i="4"/>
  <c r="G305" i="5" s="1"/>
  <c r="B305" i="4"/>
  <c r="B305" i="5" s="1"/>
  <c r="B304" i="4"/>
  <c r="B303" i="4"/>
  <c r="C302" i="4"/>
  <c r="B302" i="4"/>
  <c r="B302" i="5" s="1"/>
  <c r="B301" i="4"/>
  <c r="B300" i="4"/>
  <c r="B299" i="4"/>
  <c r="C298" i="4"/>
  <c r="B298" i="4"/>
  <c r="B298" i="5" s="1"/>
  <c r="B297" i="4"/>
  <c r="B297" i="5" s="1"/>
  <c r="B296" i="4"/>
  <c r="D295" i="4"/>
  <c r="G295" i="5" s="1"/>
  <c r="C295" i="4"/>
  <c r="B295" i="4"/>
  <c r="D294" i="4"/>
  <c r="G294" i="5" s="1"/>
  <c r="B294" i="4"/>
  <c r="B293" i="4"/>
  <c r="B293" i="5" s="1"/>
  <c r="B292" i="4"/>
  <c r="B291" i="4"/>
  <c r="D290" i="4"/>
  <c r="G290" i="5" s="1"/>
  <c r="C290" i="4"/>
  <c r="B290" i="4"/>
  <c r="C289" i="4"/>
  <c r="B289" i="4"/>
  <c r="B289" i="5" s="1"/>
  <c r="B288" i="4"/>
  <c r="B287" i="4"/>
  <c r="C286" i="4"/>
  <c r="B286" i="4"/>
  <c r="D285" i="4"/>
  <c r="G285" i="5" s="1"/>
  <c r="C285" i="4"/>
  <c r="B285" i="4"/>
  <c r="B285" i="5" s="1"/>
  <c r="C284" i="4"/>
  <c r="B284" i="4"/>
  <c r="B283" i="4"/>
  <c r="B283" i="5" s="1"/>
  <c r="B282" i="4"/>
  <c r="D281" i="4"/>
  <c r="G281" i="5" s="1"/>
  <c r="C281" i="4"/>
  <c r="B281" i="4"/>
  <c r="B280" i="4"/>
  <c r="B279" i="4"/>
  <c r="B278" i="4"/>
  <c r="B278" i="5" s="1"/>
  <c r="B277" i="4"/>
  <c r="B276" i="4"/>
  <c r="C275" i="4"/>
  <c r="B275" i="4"/>
  <c r="B275" i="5" s="1"/>
  <c r="B274" i="4"/>
  <c r="D286" i="4" s="1"/>
  <c r="G286" i="5" s="1"/>
  <c r="B273" i="4"/>
  <c r="B273" i="5" s="1"/>
  <c r="B272" i="4"/>
  <c r="D271" i="4"/>
  <c r="G271" i="5" s="1"/>
  <c r="C271" i="4"/>
  <c r="B271" i="4"/>
  <c r="B271" i="5" s="1"/>
  <c r="C270" i="4"/>
  <c r="B270" i="4"/>
  <c r="B270" i="5" s="1"/>
  <c r="B269" i="4"/>
  <c r="B269" i="5" s="1"/>
  <c r="B268" i="4"/>
  <c r="B267" i="4"/>
  <c r="C266" i="4"/>
  <c r="B266" i="4"/>
  <c r="B265" i="4"/>
  <c r="B265" i="5" s="1"/>
  <c r="B264" i="4"/>
  <c r="C263" i="4"/>
  <c r="B263" i="4"/>
  <c r="D262" i="4"/>
  <c r="G262" i="5" s="1"/>
  <c r="C262" i="4"/>
  <c r="B262" i="4"/>
  <c r="B262" i="5" s="1"/>
  <c r="B261" i="4"/>
  <c r="D273" i="4" s="1"/>
  <c r="G273" i="5" s="1"/>
  <c r="B260" i="4"/>
  <c r="D259" i="4"/>
  <c r="G259" i="5" s="1"/>
  <c r="B259" i="4"/>
  <c r="B259" i="5" s="1"/>
  <c r="B258" i="4"/>
  <c r="C257" i="4"/>
  <c r="B257" i="4"/>
  <c r="B257" i="5" s="1"/>
  <c r="C256" i="4"/>
  <c r="B256" i="4"/>
  <c r="B255" i="4"/>
  <c r="B255" i="5" s="1"/>
  <c r="B254" i="4"/>
  <c r="D253" i="4"/>
  <c r="G253" i="5" s="1"/>
  <c r="B253" i="4"/>
  <c r="B252" i="4"/>
  <c r="B251" i="4"/>
  <c r="B251" i="5" s="1"/>
  <c r="B250" i="4"/>
  <c r="B250" i="5" s="1"/>
  <c r="B249" i="4"/>
  <c r="C248" i="4"/>
  <c r="B248" i="4"/>
  <c r="D247" i="4"/>
  <c r="G247" i="5" s="1"/>
  <c r="C247" i="4"/>
  <c r="B247" i="4"/>
  <c r="B247" i="5" s="1"/>
  <c r="B246" i="4"/>
  <c r="B246" i="5" s="1"/>
  <c r="C245" i="4"/>
  <c r="B245" i="4"/>
  <c r="B245" i="5" s="1"/>
  <c r="B244" i="4"/>
  <c r="B243" i="4"/>
  <c r="B242" i="4"/>
  <c r="B242" i="5" s="1"/>
  <c r="B241" i="4"/>
  <c r="B241" i="5" s="1"/>
  <c r="B240" i="4"/>
  <c r="B239" i="4"/>
  <c r="C238" i="4"/>
  <c r="B238" i="4"/>
  <c r="B238" i="5" s="1"/>
  <c r="B237" i="4"/>
  <c r="B237" i="5" s="1"/>
  <c r="C236" i="4"/>
  <c r="B236" i="4"/>
  <c r="D235" i="4"/>
  <c r="G235" i="5" s="1"/>
  <c r="C235" i="4"/>
  <c r="B235" i="4"/>
  <c r="B235" i="5" s="1"/>
  <c r="D234" i="4"/>
  <c r="G234" i="5" s="1"/>
  <c r="B234" i="4"/>
  <c r="B233" i="4"/>
  <c r="B233" i="5" s="1"/>
  <c r="B232" i="4"/>
  <c r="B231" i="4"/>
  <c r="B230" i="4"/>
  <c r="C229" i="4"/>
  <c r="B229" i="4"/>
  <c r="B229" i="5" s="1"/>
  <c r="B228" i="4"/>
  <c r="B227" i="4"/>
  <c r="B227" i="5" s="1"/>
  <c r="D226" i="4"/>
  <c r="G226" i="5" s="1"/>
  <c r="B226" i="4"/>
  <c r="D225" i="4"/>
  <c r="G225" i="5" s="1"/>
  <c r="C225" i="4"/>
  <c r="B225" i="4"/>
  <c r="B225" i="5" s="1"/>
  <c r="C224" i="4"/>
  <c r="B224" i="4"/>
  <c r="B223" i="4"/>
  <c r="B223" i="5" s="1"/>
  <c r="D222" i="4"/>
  <c r="G222" i="5" s="1"/>
  <c r="B222" i="4"/>
  <c r="B222" i="5" s="1"/>
  <c r="D221" i="4"/>
  <c r="G221" i="5" s="1"/>
  <c r="C221" i="4"/>
  <c r="B221" i="4"/>
  <c r="B220" i="4"/>
  <c r="B219" i="4"/>
  <c r="B219" i="5" s="1"/>
  <c r="B218" i="4"/>
  <c r="B217" i="4"/>
  <c r="B216" i="4"/>
  <c r="C215" i="4"/>
  <c r="B215" i="4"/>
  <c r="B215" i="5" s="1"/>
  <c r="B214" i="4"/>
  <c r="B214" i="5" s="1"/>
  <c r="D213" i="4"/>
  <c r="G213" i="5" s="1"/>
  <c r="B213" i="4"/>
  <c r="C212" i="4"/>
  <c r="B212" i="4"/>
  <c r="C211" i="4"/>
  <c r="B211" i="4"/>
  <c r="B211" i="5" s="1"/>
  <c r="C210" i="4"/>
  <c r="B210" i="4"/>
  <c r="B210" i="5" s="1"/>
  <c r="B209" i="4"/>
  <c r="B209" i="5" s="1"/>
  <c r="B208" i="4"/>
  <c r="B207" i="4"/>
  <c r="C206" i="4"/>
  <c r="B206" i="4"/>
  <c r="B206" i="5" s="1"/>
  <c r="B205" i="4"/>
  <c r="B204" i="4"/>
  <c r="B203" i="4"/>
  <c r="D202" i="4"/>
  <c r="G202" i="5" s="1"/>
  <c r="C202" i="4"/>
  <c r="B202" i="4"/>
  <c r="B202" i="5" s="1"/>
  <c r="C201" i="4"/>
  <c r="B201" i="4"/>
  <c r="B201" i="5" s="1"/>
  <c r="B200" i="4"/>
  <c r="B199" i="4"/>
  <c r="D198" i="4"/>
  <c r="G198" i="5" s="1"/>
  <c r="C198" i="4"/>
  <c r="B198" i="4"/>
  <c r="B198" i="5" s="1"/>
  <c r="C197" i="4"/>
  <c r="B197" i="4"/>
  <c r="B197" i="5" s="1"/>
  <c r="B196" i="4"/>
  <c r="B195" i="4"/>
  <c r="B195" i="5" s="1"/>
  <c r="B194" i="4"/>
  <c r="D193" i="4"/>
  <c r="G193" i="5" s="1"/>
  <c r="C193" i="4"/>
  <c r="B193" i="4"/>
  <c r="B193" i="5" s="1"/>
  <c r="C192" i="4"/>
  <c r="B192" i="4"/>
  <c r="B191" i="4"/>
  <c r="B190" i="4"/>
  <c r="B190" i="5" s="1"/>
  <c r="B189" i="4"/>
  <c r="C188" i="4"/>
  <c r="B188" i="4"/>
  <c r="D187" i="4"/>
  <c r="G187" i="5" s="1"/>
  <c r="C187" i="4"/>
  <c r="B187" i="4"/>
  <c r="B187" i="5" s="1"/>
  <c r="B186" i="4"/>
  <c r="B186" i="5" s="1"/>
  <c r="C185" i="4"/>
  <c r="B185" i="4"/>
  <c r="C184" i="4"/>
  <c r="B184" i="4"/>
  <c r="C183" i="4"/>
  <c r="B183" i="4"/>
  <c r="B182" i="4"/>
  <c r="B182" i="5" s="1"/>
  <c r="B181" i="4"/>
  <c r="B181" i="5" s="1"/>
  <c r="C180" i="4"/>
  <c r="B180" i="4"/>
  <c r="D179" i="4"/>
  <c r="G179" i="5" s="1"/>
  <c r="C179" i="4"/>
  <c r="B179" i="4"/>
  <c r="B179" i="5" s="1"/>
  <c r="B178" i="4"/>
  <c r="D190" i="4" s="1"/>
  <c r="G190" i="5" s="1"/>
  <c r="B177" i="4"/>
  <c r="B177" i="5" s="1"/>
  <c r="B176" i="4"/>
  <c r="D175" i="4"/>
  <c r="G175" i="5" s="1"/>
  <c r="C175" i="4"/>
  <c r="B175" i="4"/>
  <c r="C174" i="4"/>
  <c r="B174" i="4"/>
  <c r="B174" i="5" s="1"/>
  <c r="D173" i="4"/>
  <c r="G173" i="5" s="1"/>
  <c r="B173" i="4"/>
  <c r="B173" i="5" s="1"/>
  <c r="B172" i="4"/>
  <c r="C171" i="4"/>
  <c r="B171" i="4"/>
  <c r="D170" i="4"/>
  <c r="G170" i="5" s="1"/>
  <c r="C170" i="4"/>
  <c r="B170" i="4"/>
  <c r="C169" i="4"/>
  <c r="B169" i="4"/>
  <c r="B169" i="5" s="1"/>
  <c r="B168" i="4"/>
  <c r="B167" i="4"/>
  <c r="B167" i="5" s="1"/>
  <c r="D166" i="4"/>
  <c r="G166" i="5" s="1"/>
  <c r="C166" i="4"/>
  <c r="B166" i="4"/>
  <c r="B165" i="4"/>
  <c r="C164" i="4"/>
  <c r="B164" i="4"/>
  <c r="B163" i="4"/>
  <c r="B163" i="5" s="1"/>
  <c r="B162" i="4"/>
  <c r="D161" i="4"/>
  <c r="G161" i="5" s="1"/>
  <c r="C161" i="4"/>
  <c r="B161" i="4"/>
  <c r="B161" i="5" s="1"/>
  <c r="B160" i="4"/>
  <c r="B159" i="4"/>
  <c r="B159" i="5" s="1"/>
  <c r="B158" i="4"/>
  <c r="B158" i="5" s="1"/>
  <c r="B157" i="4"/>
  <c r="B156" i="4"/>
  <c r="C155" i="4"/>
  <c r="B155" i="4"/>
  <c r="B155" i="5" s="1"/>
  <c r="B154" i="4"/>
  <c r="B154" i="5" s="1"/>
  <c r="B153" i="4"/>
  <c r="C152" i="4"/>
  <c r="B152" i="4"/>
  <c r="D151" i="4"/>
  <c r="G151" i="5" s="1"/>
  <c r="B151" i="4"/>
  <c r="B150" i="4"/>
  <c r="B150" i="5" s="1"/>
  <c r="B149" i="4"/>
  <c r="B149" i="5" s="1"/>
  <c r="B148" i="4"/>
  <c r="C147" i="4"/>
  <c r="B147" i="4"/>
  <c r="C146" i="4"/>
  <c r="B146" i="4"/>
  <c r="B146" i="5" s="1"/>
  <c r="B145" i="4"/>
  <c r="B145" i="5" s="1"/>
  <c r="B144" i="4"/>
  <c r="D143" i="4"/>
  <c r="G143" i="5" s="1"/>
  <c r="B143" i="4"/>
  <c r="D142" i="4"/>
  <c r="G142" i="5" s="1"/>
  <c r="C142" i="4"/>
  <c r="B142" i="4"/>
  <c r="B142" i="5" s="1"/>
  <c r="C141" i="4"/>
  <c r="B141" i="4"/>
  <c r="B141" i="5" s="1"/>
  <c r="B140" i="4"/>
  <c r="D139" i="4"/>
  <c r="G139" i="5" s="1"/>
  <c r="B139" i="4"/>
  <c r="D138" i="4"/>
  <c r="G138" i="5" s="1"/>
  <c r="C138" i="4"/>
  <c r="B138" i="4"/>
  <c r="C137" i="4"/>
  <c r="B137" i="4"/>
  <c r="B137" i="5" s="1"/>
  <c r="B136" i="4"/>
  <c r="B135" i="4"/>
  <c r="C134" i="4"/>
  <c r="B134" i="4"/>
  <c r="D133" i="4"/>
  <c r="G133" i="5" s="1"/>
  <c r="C133" i="4"/>
  <c r="B133" i="4"/>
  <c r="B133" i="5" s="1"/>
  <c r="C132" i="4"/>
  <c r="B132" i="4"/>
  <c r="B131" i="4"/>
  <c r="B131" i="5" s="1"/>
  <c r="D130" i="4"/>
  <c r="G130" i="5" s="1"/>
  <c r="B130" i="4"/>
  <c r="C129" i="4"/>
  <c r="B129" i="4"/>
  <c r="C128" i="4"/>
  <c r="B128" i="4"/>
  <c r="C127" i="4"/>
  <c r="B127" i="4"/>
  <c r="B127" i="5" s="1"/>
  <c r="B126" i="4"/>
  <c r="B126" i="5" s="1"/>
  <c r="B125" i="4"/>
  <c r="B124" i="4"/>
  <c r="C123" i="4"/>
  <c r="B123" i="4"/>
  <c r="B123" i="5" s="1"/>
  <c r="B122" i="4"/>
  <c r="B121" i="4"/>
  <c r="B121" i="5" s="1"/>
  <c r="B120" i="4"/>
  <c r="D119" i="4"/>
  <c r="G119" i="5" s="1"/>
  <c r="C119" i="4"/>
  <c r="B119" i="4"/>
  <c r="B119" i="5" s="1"/>
  <c r="C118" i="4"/>
  <c r="B118" i="4"/>
  <c r="B118" i="5" s="1"/>
  <c r="B117" i="4"/>
  <c r="B116" i="4"/>
  <c r="D115" i="4"/>
  <c r="G115" i="5" s="1"/>
  <c r="C115" i="4"/>
  <c r="B115" i="4"/>
  <c r="D114" i="4"/>
  <c r="G114" i="5" s="1"/>
  <c r="B114" i="4"/>
  <c r="B113" i="4"/>
  <c r="B113" i="5" s="1"/>
  <c r="B112" i="4"/>
  <c r="C111" i="4"/>
  <c r="B111" i="4"/>
  <c r="D110" i="4"/>
  <c r="G110" i="5" s="1"/>
  <c r="C110" i="4"/>
  <c r="B110" i="4"/>
  <c r="B110" i="5" s="1"/>
  <c r="D109" i="4"/>
  <c r="G109" i="5" s="1"/>
  <c r="C109" i="4"/>
  <c r="B109" i="4"/>
  <c r="B108" i="4"/>
  <c r="B107" i="4"/>
  <c r="B107" i="5" s="1"/>
  <c r="D106" i="4"/>
  <c r="G106" i="5" s="1"/>
  <c r="B106" i="4"/>
  <c r="B105" i="4"/>
  <c r="C104" i="4"/>
  <c r="B104" i="4"/>
  <c r="B103" i="4"/>
  <c r="B103" i="5" s="1"/>
  <c r="C102" i="4"/>
  <c r="B102" i="4"/>
  <c r="D101" i="4"/>
  <c r="G101" i="5" s="1"/>
  <c r="C101" i="4"/>
  <c r="B101" i="4"/>
  <c r="B101" i="5" s="1"/>
  <c r="C100" i="4"/>
  <c r="B100" i="4"/>
  <c r="D112" i="4" s="1"/>
  <c r="G112" i="5" s="1"/>
  <c r="B99" i="4"/>
  <c r="B99" i="5" s="1"/>
  <c r="B98" i="4"/>
  <c r="B98" i="5" s="1"/>
  <c r="D97" i="4"/>
  <c r="G97" i="5" s="1"/>
  <c r="C97" i="4"/>
  <c r="B97" i="4"/>
  <c r="C96" i="4"/>
  <c r="B96" i="4"/>
  <c r="D95" i="4"/>
  <c r="G95" i="5" s="1"/>
  <c r="B95" i="4"/>
  <c r="D107" i="4" s="1"/>
  <c r="G107" i="5" s="1"/>
  <c r="B94" i="4"/>
  <c r="B94" i="5" s="1"/>
  <c r="B93" i="4"/>
  <c r="D105" i="4" s="1"/>
  <c r="G105" i="5" s="1"/>
  <c r="C92" i="4"/>
  <c r="B92" i="4"/>
  <c r="C91" i="4"/>
  <c r="B91" i="4"/>
  <c r="B91" i="5" s="1"/>
  <c r="D90" i="4"/>
  <c r="G90" i="5" s="1"/>
  <c r="B90" i="4"/>
  <c r="B90" i="5" s="1"/>
  <c r="B89" i="4"/>
  <c r="B89" i="5" s="1"/>
  <c r="C88" i="4"/>
  <c r="B88" i="4"/>
  <c r="D87" i="4"/>
  <c r="G87" i="5" s="1"/>
  <c r="B87" i="4"/>
  <c r="C86" i="4"/>
  <c r="B86" i="4"/>
  <c r="B86" i="5" s="1"/>
  <c r="B85" i="4"/>
  <c r="B85" i="5" s="1"/>
  <c r="B84" i="4"/>
  <c r="D83" i="4"/>
  <c r="G83" i="5" s="1"/>
  <c r="C83" i="4"/>
  <c r="B83" i="4"/>
  <c r="D82" i="4"/>
  <c r="G82" i="5" s="1"/>
  <c r="B82" i="4"/>
  <c r="D81" i="4"/>
  <c r="G81" i="5" s="1"/>
  <c r="C81" i="4"/>
  <c r="B81" i="4"/>
  <c r="B81" i="5" s="1"/>
  <c r="B80" i="4"/>
  <c r="B79" i="4"/>
  <c r="D78" i="4"/>
  <c r="G78" i="5" s="1"/>
  <c r="C78" i="4"/>
  <c r="B78" i="4"/>
  <c r="B78" i="5" s="1"/>
  <c r="D77" i="4"/>
  <c r="G77" i="5" s="1"/>
  <c r="C77" i="4"/>
  <c r="B77" i="4"/>
  <c r="B77" i="5" s="1"/>
  <c r="B76" i="4"/>
  <c r="B75" i="4"/>
  <c r="B75" i="5" s="1"/>
  <c r="D74" i="4"/>
  <c r="G74" i="5" s="1"/>
  <c r="B74" i="4"/>
  <c r="B73" i="4"/>
  <c r="C72" i="4"/>
  <c r="B72" i="4"/>
  <c r="B71" i="4"/>
  <c r="B71" i="5" s="1"/>
  <c r="B70" i="4"/>
  <c r="D69" i="4"/>
  <c r="G69" i="5" s="1"/>
  <c r="B69" i="4"/>
  <c r="C68" i="4"/>
  <c r="B68" i="4"/>
  <c r="C67" i="4"/>
  <c r="B67" i="4"/>
  <c r="B67" i="5" s="1"/>
  <c r="C66" i="4"/>
  <c r="B66" i="4"/>
  <c r="B66" i="5" s="1"/>
  <c r="C65" i="4"/>
  <c r="B65" i="4"/>
  <c r="B65" i="5" s="1"/>
  <c r="B64" i="4"/>
  <c r="C63" i="4"/>
  <c r="B63" i="4"/>
  <c r="B62" i="4"/>
  <c r="B62" i="5" s="1"/>
  <c r="B61" i="4"/>
  <c r="B60" i="4"/>
  <c r="B59" i="4"/>
  <c r="D58" i="4"/>
  <c r="G58" i="5" s="1"/>
  <c r="C58" i="4"/>
  <c r="B58" i="4"/>
  <c r="B58" i="5" s="1"/>
  <c r="C57" i="4"/>
  <c r="B57" i="4"/>
  <c r="B56" i="4"/>
  <c r="B56" i="5" s="1"/>
  <c r="B55" i="4"/>
  <c r="B54" i="4"/>
  <c r="B53" i="4"/>
  <c r="B53" i="5" s="1"/>
  <c r="B52" i="4"/>
  <c r="C51" i="4"/>
  <c r="B51" i="4"/>
  <c r="D50" i="4"/>
  <c r="G50" i="5" s="1"/>
  <c r="B50" i="4"/>
  <c r="C49" i="4"/>
  <c r="B49" i="4"/>
  <c r="B49" i="5" s="1"/>
  <c r="B48" i="4"/>
  <c r="D47" i="4"/>
  <c r="G47" i="5" s="1"/>
  <c r="B47" i="4"/>
  <c r="C46" i="4"/>
  <c r="B46" i="4"/>
  <c r="B46" i="5" s="1"/>
  <c r="D45" i="4"/>
  <c r="G45" i="5" s="1"/>
  <c r="B45" i="4"/>
  <c r="C44" i="4"/>
  <c r="B44" i="4"/>
  <c r="B43" i="4"/>
  <c r="B43" i="5" s="1"/>
  <c r="B42" i="4"/>
  <c r="B41" i="4"/>
  <c r="B40" i="4"/>
  <c r="B39" i="4"/>
  <c r="B38" i="4"/>
  <c r="B38" i="5" s="1"/>
  <c r="B37" i="4"/>
  <c r="C36" i="4"/>
  <c r="B36" i="4"/>
  <c r="D35" i="4"/>
  <c r="G35" i="5" s="1"/>
  <c r="C35" i="4"/>
  <c r="B35" i="4"/>
  <c r="B35" i="5" s="1"/>
  <c r="B34" i="4"/>
  <c r="B33" i="4"/>
  <c r="B32" i="4"/>
  <c r="B31" i="4"/>
  <c r="B30" i="4"/>
  <c r="B30" i="5" s="1"/>
  <c r="D29" i="4"/>
  <c r="G29" i="5" s="1"/>
  <c r="B29" i="4"/>
  <c r="B29" i="5" s="1"/>
  <c r="C28" i="4"/>
  <c r="B28" i="4"/>
  <c r="D27" i="4"/>
  <c r="G27" i="5" s="1"/>
  <c r="B27" i="4"/>
  <c r="D26" i="4"/>
  <c r="G26" i="5" s="1"/>
  <c r="C26" i="4"/>
  <c r="B26" i="4"/>
  <c r="B25" i="4"/>
  <c r="B25" i="5" s="1"/>
  <c r="B24" i="4"/>
  <c r="B23" i="4"/>
  <c r="D22" i="4"/>
  <c r="G22" i="5" s="1"/>
  <c r="C22" i="4"/>
  <c r="B22" i="4"/>
  <c r="D21" i="4"/>
  <c r="G21" i="5" s="1"/>
  <c r="B21" i="4"/>
  <c r="B21" i="5" s="1"/>
  <c r="B20" i="4"/>
  <c r="B19" i="4"/>
  <c r="C18" i="4"/>
  <c r="B18" i="4"/>
  <c r="B18" i="5" s="1"/>
  <c r="D17" i="4"/>
  <c r="G17" i="5" s="1"/>
  <c r="C17" i="4"/>
  <c r="B17" i="4"/>
  <c r="B17" i="5" s="1"/>
  <c r="B16" i="4"/>
  <c r="B15" i="4"/>
  <c r="B15" i="5" s="1"/>
  <c r="B14" i="4"/>
  <c r="B14" i="5" s="1"/>
  <c r="B13" i="4"/>
  <c r="B12" i="4"/>
  <c r="B11" i="4"/>
  <c r="B11" i="5" s="1"/>
  <c r="B10" i="4"/>
  <c r="B9" i="4"/>
  <c r="B9" i="5" s="1"/>
  <c r="B8" i="4"/>
  <c r="B7" i="4"/>
  <c r="B6" i="4"/>
  <c r="B6" i="5" s="1"/>
  <c r="B5" i="4"/>
  <c r="B5" i="5" s="1"/>
  <c r="B771" i="3"/>
  <c r="B770" i="3"/>
  <c r="C770" i="3" s="1"/>
  <c r="B769" i="3"/>
  <c r="B768" i="3"/>
  <c r="B767" i="3"/>
  <c r="B766" i="3"/>
  <c r="B765" i="3"/>
  <c r="B764" i="3"/>
  <c r="C765" i="3" s="1"/>
  <c r="B763" i="3"/>
  <c r="B762" i="3"/>
  <c r="B761" i="3"/>
  <c r="B760" i="3"/>
  <c r="B759" i="3"/>
  <c r="B758" i="3"/>
  <c r="B757" i="3"/>
  <c r="B756" i="3"/>
  <c r="C756" i="3" s="1"/>
  <c r="B755" i="3"/>
  <c r="B754" i="3"/>
  <c r="B753" i="3"/>
  <c r="B752" i="3"/>
  <c r="B751" i="3"/>
  <c r="B750" i="3"/>
  <c r="B749" i="3"/>
  <c r="C749" i="3" s="1"/>
  <c r="B748" i="3"/>
  <c r="B747" i="3"/>
  <c r="B746" i="3"/>
  <c r="B745" i="3"/>
  <c r="C745" i="3" s="1"/>
  <c r="B744" i="3"/>
  <c r="B743" i="3"/>
  <c r="B742" i="3"/>
  <c r="B741" i="3"/>
  <c r="B740" i="3"/>
  <c r="B739" i="3"/>
  <c r="B738" i="3"/>
  <c r="B737" i="3"/>
  <c r="C737" i="3" s="1"/>
  <c r="B736" i="3"/>
  <c r="B735" i="3"/>
  <c r="B734" i="3"/>
  <c r="D746" i="3" s="1"/>
  <c r="B733" i="3"/>
  <c r="B732" i="3"/>
  <c r="D732" i="3" s="1"/>
  <c r="B731" i="3"/>
  <c r="B730" i="3"/>
  <c r="B729" i="3"/>
  <c r="B728" i="3"/>
  <c r="B727" i="3"/>
  <c r="B726" i="3"/>
  <c r="B725" i="3"/>
  <c r="B724" i="3"/>
  <c r="B723" i="3"/>
  <c r="D723" i="3" s="1"/>
  <c r="B722" i="3"/>
  <c r="B721" i="3"/>
  <c r="C722" i="3" s="1"/>
  <c r="B720" i="3"/>
  <c r="C720" i="3" s="1"/>
  <c r="B719" i="3"/>
  <c r="B718" i="3"/>
  <c r="B717" i="3"/>
  <c r="D717" i="3" s="1"/>
  <c r="B716" i="3"/>
  <c r="B715" i="3"/>
  <c r="B714" i="3"/>
  <c r="B713" i="3"/>
  <c r="B712" i="3"/>
  <c r="B711" i="3"/>
  <c r="B710" i="3"/>
  <c r="B709" i="3"/>
  <c r="B708" i="3"/>
  <c r="B707" i="3"/>
  <c r="B706" i="3"/>
  <c r="B705" i="3"/>
  <c r="B704" i="3"/>
  <c r="B703" i="3"/>
  <c r="B702" i="3"/>
  <c r="B701" i="3"/>
  <c r="D701" i="3" s="1"/>
  <c r="B700" i="3"/>
  <c r="B699" i="3"/>
  <c r="D711" i="3" s="1"/>
  <c r="B698" i="3"/>
  <c r="B697" i="3"/>
  <c r="C696" i="3"/>
  <c r="B696" i="3"/>
  <c r="B695" i="3"/>
  <c r="B694" i="3"/>
  <c r="B693" i="3"/>
  <c r="B692" i="3"/>
  <c r="B691" i="3"/>
  <c r="D691" i="3" s="1"/>
  <c r="B690" i="3"/>
  <c r="D689" i="3"/>
  <c r="B689" i="3"/>
  <c r="C689" i="3" s="1"/>
  <c r="B688" i="3"/>
  <c r="B687" i="3"/>
  <c r="B686" i="3"/>
  <c r="B685" i="3"/>
  <c r="B684" i="3"/>
  <c r="D696" i="3" s="1"/>
  <c r="B683" i="3"/>
  <c r="B682" i="3"/>
  <c r="D682" i="3" s="1"/>
  <c r="B681" i="3"/>
  <c r="B680" i="3"/>
  <c r="B679" i="3"/>
  <c r="B678" i="3"/>
  <c r="B677" i="3"/>
  <c r="B676" i="3"/>
  <c r="D676" i="3" s="1"/>
  <c r="B675" i="3"/>
  <c r="B674" i="3"/>
  <c r="B673" i="3"/>
  <c r="B672" i="3"/>
  <c r="B671" i="3"/>
  <c r="B670" i="3"/>
  <c r="B669" i="3"/>
  <c r="B668" i="3"/>
  <c r="B667" i="3"/>
  <c r="B666" i="3"/>
  <c r="D666" i="3" s="1"/>
  <c r="B665" i="3"/>
  <c r="B664" i="3"/>
  <c r="B663" i="3"/>
  <c r="B662" i="3"/>
  <c r="B661" i="3"/>
  <c r="B660" i="3"/>
  <c r="B659" i="3"/>
  <c r="B658" i="3"/>
  <c r="B657" i="3"/>
  <c r="B656" i="3"/>
  <c r="B655" i="3"/>
  <c r="B654" i="3"/>
  <c r="B653" i="3"/>
  <c r="B652" i="3"/>
  <c r="B651" i="3"/>
  <c r="B650" i="3"/>
  <c r="B649" i="3"/>
  <c r="B648" i="3"/>
  <c r="B647" i="3"/>
  <c r="B646" i="3"/>
  <c r="B645" i="3"/>
  <c r="D645" i="3" s="1"/>
  <c r="B644" i="3"/>
  <c r="B643" i="3"/>
  <c r="B642" i="3"/>
  <c r="B641" i="3"/>
  <c r="B640" i="3"/>
  <c r="B639" i="3"/>
  <c r="B638" i="3"/>
  <c r="B637" i="3"/>
  <c r="B636" i="3"/>
  <c r="B635" i="3"/>
  <c r="B634" i="3"/>
  <c r="B633" i="3"/>
  <c r="B632" i="3"/>
  <c r="B631" i="3"/>
  <c r="B630" i="3"/>
  <c r="B629" i="3"/>
  <c r="B628" i="3"/>
  <c r="B627" i="3"/>
  <c r="B626" i="3"/>
  <c r="B625" i="3"/>
  <c r="C625" i="3" s="1"/>
  <c r="B624" i="3"/>
  <c r="C624" i="3" s="1"/>
  <c r="B623" i="3"/>
  <c r="B622" i="3"/>
  <c r="B621" i="3"/>
  <c r="B620" i="3"/>
  <c r="B619" i="3"/>
  <c r="B618" i="3"/>
  <c r="C618" i="3" s="1"/>
  <c r="B617" i="3"/>
  <c r="B616" i="3"/>
  <c r="B615" i="3"/>
  <c r="B614" i="3"/>
  <c r="C614" i="3" s="1"/>
  <c r="B613" i="3"/>
  <c r="B612" i="3"/>
  <c r="B611" i="3"/>
  <c r="B610" i="3"/>
  <c r="B609" i="3"/>
  <c r="B608" i="3"/>
  <c r="B607" i="3"/>
  <c r="B606" i="3"/>
  <c r="B605" i="3"/>
  <c r="B604" i="3"/>
  <c r="B603" i="3"/>
  <c r="B602" i="3"/>
  <c r="D602" i="3" s="1"/>
  <c r="B601" i="3"/>
  <c r="B600" i="3"/>
  <c r="D612" i="3" s="1"/>
  <c r="B599" i="3"/>
  <c r="D599" i="3" s="1"/>
  <c r="B598" i="3"/>
  <c r="B597" i="3"/>
  <c r="B596" i="3"/>
  <c r="B595" i="3"/>
  <c r="B594" i="3"/>
  <c r="B593" i="3"/>
  <c r="B592" i="3"/>
  <c r="B591" i="3"/>
  <c r="C591" i="3" s="1"/>
  <c r="B590" i="3"/>
  <c r="C590" i="3" s="1"/>
  <c r="B589" i="3"/>
  <c r="B588" i="3"/>
  <c r="B587" i="3"/>
  <c r="B586" i="3"/>
  <c r="B585" i="3"/>
  <c r="B584" i="3"/>
  <c r="B583" i="3"/>
  <c r="B582" i="3"/>
  <c r="D582" i="3" s="1"/>
  <c r="B581" i="3"/>
  <c r="B580" i="3"/>
  <c r="B579" i="3"/>
  <c r="B578" i="3"/>
  <c r="B577" i="3"/>
  <c r="B576" i="3"/>
  <c r="B575" i="3"/>
  <c r="B574" i="3"/>
  <c r="B573" i="3"/>
  <c r="B572" i="3"/>
  <c r="D572" i="3" s="1"/>
  <c r="B571" i="3"/>
  <c r="B570" i="3"/>
  <c r="B569" i="3"/>
  <c r="B568" i="3"/>
  <c r="D568" i="3" s="1"/>
  <c r="B567" i="3"/>
  <c r="B566" i="3"/>
  <c r="B565" i="3"/>
  <c r="B564"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D549" i="3" s="1"/>
  <c r="B536" i="3"/>
  <c r="C536" i="3" s="1"/>
  <c r="D535" i="3"/>
  <c r="B535" i="3"/>
  <c r="B534" i="3"/>
  <c r="B533" i="3"/>
  <c r="B532" i="3"/>
  <c r="B531" i="3"/>
  <c r="B530" i="3"/>
  <c r="C530" i="3" s="1"/>
  <c r="B529" i="3"/>
  <c r="B528" i="3"/>
  <c r="B527" i="3"/>
  <c r="B526" i="3"/>
  <c r="B525" i="3"/>
  <c r="B524" i="3"/>
  <c r="B523" i="3"/>
  <c r="B522" i="3"/>
  <c r="D521" i="3"/>
  <c r="B521" i="3"/>
  <c r="B520" i="3"/>
  <c r="B519" i="3"/>
  <c r="B518" i="3"/>
  <c r="D530" i="3" s="1"/>
  <c r="B517" i="3"/>
  <c r="B516" i="3"/>
  <c r="B515" i="3"/>
  <c r="B514" i="3"/>
  <c r="B513" i="3"/>
  <c r="B512" i="3"/>
  <c r="D524" i="3" s="1"/>
  <c r="B511" i="3"/>
  <c r="B510" i="3"/>
  <c r="C510" i="3" s="1"/>
  <c r="B509" i="3"/>
  <c r="B508" i="3"/>
  <c r="B507" i="3"/>
  <c r="B506" i="3"/>
  <c r="B505" i="3"/>
  <c r="B504" i="3"/>
  <c r="B503" i="3"/>
  <c r="B502" i="3"/>
  <c r="B501" i="3"/>
  <c r="B500" i="3"/>
  <c r="B499" i="3"/>
  <c r="B498" i="3"/>
  <c r="B497" i="3"/>
  <c r="B496" i="3"/>
  <c r="D496" i="3" s="1"/>
  <c r="B495" i="3"/>
  <c r="B494" i="3"/>
  <c r="B493" i="3"/>
  <c r="B492" i="3"/>
  <c r="B491" i="3"/>
  <c r="B490" i="3"/>
  <c r="B489" i="3"/>
  <c r="D501" i="3" s="1"/>
  <c r="B488" i="3"/>
  <c r="C488" i="3" s="1"/>
  <c r="B487" i="3"/>
  <c r="B486" i="3"/>
  <c r="B485" i="3"/>
  <c r="B484" i="3"/>
  <c r="B483" i="3"/>
  <c r="B482" i="3"/>
  <c r="B481" i="3"/>
  <c r="B480" i="3"/>
  <c r="B479" i="3"/>
  <c r="B478" i="3"/>
  <c r="B477" i="3"/>
  <c r="C477" i="3" s="1"/>
  <c r="D476" i="3"/>
  <c r="B476" i="3"/>
  <c r="B475" i="3"/>
  <c r="B474" i="3"/>
  <c r="B473" i="3"/>
  <c r="D485" i="3" s="1"/>
  <c r="B472" i="3"/>
  <c r="B471" i="3"/>
  <c r="B470" i="3"/>
  <c r="B469" i="3"/>
  <c r="B468" i="3"/>
  <c r="B467" i="3"/>
  <c r="B466" i="3"/>
  <c r="D478" i="3" s="1"/>
  <c r="B465" i="3"/>
  <c r="B464" i="3"/>
  <c r="B463" i="3"/>
  <c r="B462" i="3"/>
  <c r="D462" i="3" s="1"/>
  <c r="B461" i="3"/>
  <c r="B460" i="3"/>
  <c r="B459" i="3"/>
  <c r="B458" i="3"/>
  <c r="B457" i="3"/>
  <c r="B456" i="3"/>
  <c r="B455" i="3"/>
  <c r="B454" i="3"/>
  <c r="B453" i="3"/>
  <c r="B452" i="3"/>
  <c r="B451" i="3"/>
  <c r="B450" i="3"/>
  <c r="B449" i="3"/>
  <c r="B448" i="3"/>
  <c r="D460" i="3" s="1"/>
  <c r="B447" i="3"/>
  <c r="B446" i="3"/>
  <c r="B445" i="3"/>
  <c r="B444" i="3"/>
  <c r="B443" i="3"/>
  <c r="B442" i="3"/>
  <c r="B441" i="3"/>
  <c r="C442" i="3" s="1"/>
  <c r="B440" i="3"/>
  <c r="B439" i="3"/>
  <c r="D451" i="3" s="1"/>
  <c r="B438" i="3"/>
  <c r="D438" i="3" s="1"/>
  <c r="B437" i="3"/>
  <c r="B436" i="3"/>
  <c r="B435" i="3"/>
  <c r="B434" i="3"/>
  <c r="B433" i="3"/>
  <c r="B432" i="3"/>
  <c r="B431" i="3"/>
  <c r="B430" i="3"/>
  <c r="B429" i="3"/>
  <c r="B428" i="3"/>
  <c r="B427" i="3"/>
  <c r="B426" i="3"/>
  <c r="B425" i="3"/>
  <c r="D437" i="3" s="1"/>
  <c r="B424" i="3"/>
  <c r="C424" i="3" s="1"/>
  <c r="B423" i="3"/>
  <c r="B422" i="3"/>
  <c r="B421" i="3"/>
  <c r="B420" i="3"/>
  <c r="B419" i="3"/>
  <c r="D419" i="3" s="1"/>
  <c r="B418" i="3"/>
  <c r="B417" i="3"/>
  <c r="B416" i="3"/>
  <c r="D428" i="3" s="1"/>
  <c r="B415" i="3"/>
  <c r="D415" i="3" s="1"/>
  <c r="B414" i="3"/>
  <c r="B413" i="3"/>
  <c r="B412" i="3"/>
  <c r="B411" i="3"/>
  <c r="B410" i="3"/>
  <c r="D410" i="3" s="1"/>
  <c r="B409" i="3"/>
  <c r="B408" i="3"/>
  <c r="B407" i="3"/>
  <c r="D407" i="3" s="1"/>
  <c r="B406" i="3"/>
  <c r="B405" i="3"/>
  <c r="B404" i="3"/>
  <c r="B403" i="3"/>
  <c r="D403" i="3" s="1"/>
  <c r="B402" i="3"/>
  <c r="B401" i="3"/>
  <c r="B400" i="3"/>
  <c r="B399" i="3"/>
  <c r="B398" i="3"/>
  <c r="C398" i="3" s="1"/>
  <c r="B397" i="3"/>
  <c r="B396" i="3"/>
  <c r="B395" i="3"/>
  <c r="B394" i="3"/>
  <c r="B393" i="3"/>
  <c r="C393" i="3" s="1"/>
  <c r="B392" i="3"/>
  <c r="B391" i="3"/>
  <c r="B390" i="3"/>
  <c r="B389" i="3"/>
  <c r="C389" i="3" s="1"/>
  <c r="B388" i="3"/>
  <c r="B387" i="3"/>
  <c r="B386" i="3"/>
  <c r="B385" i="3"/>
  <c r="B384" i="3"/>
  <c r="B383" i="3"/>
  <c r="B382" i="3"/>
  <c r="B381" i="3"/>
  <c r="B380" i="3"/>
  <c r="D392" i="3" s="1"/>
  <c r="B379" i="3"/>
  <c r="B378" i="3"/>
  <c r="B377" i="3"/>
  <c r="B376" i="3"/>
  <c r="B375" i="3"/>
  <c r="B374" i="3"/>
  <c r="D386" i="3" s="1"/>
  <c r="B373" i="3"/>
  <c r="B372" i="3"/>
  <c r="D372" i="3" s="1"/>
  <c r="B371" i="3"/>
  <c r="B370" i="3"/>
  <c r="B369" i="3"/>
  <c r="B368" i="3"/>
  <c r="B367" i="3"/>
  <c r="B366" i="3"/>
  <c r="B365" i="3"/>
  <c r="B364" i="3"/>
  <c r="B363" i="3"/>
  <c r="D363" i="3" s="1"/>
  <c r="B362" i="3"/>
  <c r="D362" i="3" s="1"/>
  <c r="B361" i="3"/>
  <c r="B360" i="3"/>
  <c r="B359" i="3"/>
  <c r="B358" i="3"/>
  <c r="B357" i="3"/>
  <c r="B356" i="3"/>
  <c r="B355" i="3"/>
  <c r="B354" i="3"/>
  <c r="B353" i="3"/>
  <c r="B352" i="3"/>
  <c r="B351" i="3"/>
  <c r="B350" i="3"/>
  <c r="B349" i="3"/>
  <c r="B348" i="3"/>
  <c r="D360" i="3" s="1"/>
  <c r="B347" i="3"/>
  <c r="B346" i="3"/>
  <c r="D358" i="3" s="1"/>
  <c r="B345" i="3"/>
  <c r="D345" i="3" s="1"/>
  <c r="B344" i="3"/>
  <c r="B343" i="3"/>
  <c r="B342" i="3"/>
  <c r="B341" i="3"/>
  <c r="B340" i="3"/>
  <c r="D352" i="3" s="1"/>
  <c r="B339" i="3"/>
  <c r="B338" i="3"/>
  <c r="B337" i="3"/>
  <c r="B336" i="3"/>
  <c r="B335" i="3"/>
  <c r="B334" i="3"/>
  <c r="B333" i="3"/>
  <c r="B332" i="3"/>
  <c r="D344" i="3" s="1"/>
  <c r="B331" i="3"/>
  <c r="B330" i="3"/>
  <c r="B329" i="3"/>
  <c r="B328" i="3"/>
  <c r="B327" i="3"/>
  <c r="D326" i="3"/>
  <c r="C326" i="3"/>
  <c r="B326" i="3"/>
  <c r="B325" i="3"/>
  <c r="B324" i="3"/>
  <c r="B323" i="3"/>
  <c r="B322" i="3"/>
  <c r="B321" i="3"/>
  <c r="B320" i="3"/>
  <c r="D332" i="3" s="1"/>
  <c r="B319" i="3"/>
  <c r="B318" i="3"/>
  <c r="C318" i="3" s="1"/>
  <c r="B317" i="3"/>
  <c r="B316" i="3"/>
  <c r="B315" i="3"/>
  <c r="B314" i="3"/>
  <c r="B313" i="3"/>
  <c r="B312" i="3"/>
  <c r="C312" i="3" s="1"/>
  <c r="B311" i="3"/>
  <c r="B310" i="3"/>
  <c r="C310" i="3" s="1"/>
  <c r="B309" i="3"/>
  <c r="B308" i="3"/>
  <c r="B307" i="3"/>
  <c r="B306" i="3"/>
  <c r="B305" i="3"/>
  <c r="C305" i="3" s="1"/>
  <c r="B304" i="3"/>
  <c r="B303" i="3"/>
  <c r="B302" i="3"/>
  <c r="D314" i="3" s="1"/>
  <c r="B301" i="3"/>
  <c r="B300" i="3"/>
  <c r="B299" i="3"/>
  <c r="B298" i="3"/>
  <c r="B297" i="3"/>
  <c r="C297" i="3" s="1"/>
  <c r="B296" i="3"/>
  <c r="D296" i="3" s="1"/>
  <c r="B295" i="3"/>
  <c r="B294" i="3"/>
  <c r="B293" i="3"/>
  <c r="B292" i="3"/>
  <c r="B291" i="3"/>
  <c r="B290" i="3"/>
  <c r="B289" i="3"/>
  <c r="B288" i="3"/>
  <c r="B287" i="3"/>
  <c r="B286" i="3"/>
  <c r="B285" i="3"/>
  <c r="B284" i="3"/>
  <c r="B283" i="3"/>
  <c r="B282" i="3"/>
  <c r="D282" i="3" s="1"/>
  <c r="B281" i="3"/>
  <c r="B280" i="3"/>
  <c r="B279" i="3"/>
  <c r="B278" i="3"/>
  <c r="D290" i="3" s="1"/>
  <c r="B277" i="3"/>
  <c r="B276" i="3"/>
  <c r="C276" i="3" s="1"/>
  <c r="B275" i="3"/>
  <c r="B274" i="3"/>
  <c r="B273" i="3"/>
  <c r="D273" i="3" s="1"/>
  <c r="B272" i="3"/>
  <c r="D284" i="3" s="1"/>
  <c r="B271" i="3"/>
  <c r="C271" i="3" s="1"/>
  <c r="B270" i="3"/>
  <c r="B269" i="3"/>
  <c r="B268" i="3"/>
  <c r="B267" i="3"/>
  <c r="B266" i="3"/>
  <c r="B265" i="3"/>
  <c r="D277" i="3" s="1"/>
  <c r="B264" i="3"/>
  <c r="B263" i="3"/>
  <c r="B262" i="3"/>
  <c r="B261" i="3"/>
  <c r="B260" i="3"/>
  <c r="B259" i="3"/>
  <c r="B258" i="3"/>
  <c r="D270" i="3" s="1"/>
  <c r="B257" i="3"/>
  <c r="D257" i="3" s="1"/>
  <c r="B256" i="3"/>
  <c r="C256" i="3" s="1"/>
  <c r="B255" i="3"/>
  <c r="B254" i="3"/>
  <c r="B253" i="3"/>
  <c r="D265" i="3" s="1"/>
  <c r="B252" i="3"/>
  <c r="D264" i="3" s="1"/>
  <c r="B251" i="3"/>
  <c r="B250" i="3"/>
  <c r="B249" i="3"/>
  <c r="D261" i="3" s="1"/>
  <c r="B248" i="3"/>
  <c r="B247" i="3"/>
  <c r="B246" i="3"/>
  <c r="B245" i="3"/>
  <c r="C246" i="3" s="1"/>
  <c r="B244" i="3"/>
  <c r="C244" i="3" s="1"/>
  <c r="B243" i="3"/>
  <c r="B242" i="3"/>
  <c r="B241" i="3"/>
  <c r="B240" i="3"/>
  <c r="B239" i="3"/>
  <c r="B238" i="3"/>
  <c r="B237" i="3"/>
  <c r="D249" i="3" s="1"/>
  <c r="B236" i="3"/>
  <c r="B235" i="3"/>
  <c r="B234" i="3"/>
  <c r="B233" i="3"/>
  <c r="D233" i="3" s="1"/>
  <c r="B232" i="3"/>
  <c r="B231" i="3"/>
  <c r="B230" i="3"/>
  <c r="B229" i="3"/>
  <c r="D241" i="3" s="1"/>
  <c r="B228" i="3"/>
  <c r="C229" i="3" s="1"/>
  <c r="B227" i="3"/>
  <c r="B226" i="3"/>
  <c r="D238" i="3" s="1"/>
  <c r="B225" i="3"/>
  <c r="B224" i="3"/>
  <c r="B223" i="3"/>
  <c r="B222" i="3"/>
  <c r="B221" i="3"/>
  <c r="B220" i="3"/>
  <c r="B219" i="3"/>
  <c r="D231" i="3" s="1"/>
  <c r="B218" i="3"/>
  <c r="D230" i="3" s="1"/>
  <c r="B217" i="3"/>
  <c r="C217" i="3" s="1"/>
  <c r="B216" i="3"/>
  <c r="B215" i="3"/>
  <c r="B214" i="3"/>
  <c r="B213" i="3"/>
  <c r="B212" i="3"/>
  <c r="B211" i="3"/>
  <c r="B210" i="3"/>
  <c r="D222" i="3" s="1"/>
  <c r="B209" i="3"/>
  <c r="B208" i="3"/>
  <c r="B207" i="3"/>
  <c r="B206" i="3"/>
  <c r="B205" i="3"/>
  <c r="B204" i="3"/>
  <c r="D216" i="3" s="1"/>
  <c r="B203" i="3"/>
  <c r="B202" i="3"/>
  <c r="B201" i="3"/>
  <c r="B200" i="3"/>
  <c r="B199" i="3"/>
  <c r="C199" i="3" s="1"/>
  <c r="B198" i="3"/>
  <c r="B197" i="3"/>
  <c r="C198" i="3" s="1"/>
  <c r="B196" i="3"/>
  <c r="B195" i="3"/>
  <c r="B194" i="3"/>
  <c r="B193" i="3"/>
  <c r="C194" i="3" s="1"/>
  <c r="B192" i="3"/>
  <c r="B191" i="3"/>
  <c r="B190" i="3"/>
  <c r="B189" i="3"/>
  <c r="B188" i="3"/>
  <c r="B187" i="3"/>
  <c r="B186" i="3"/>
  <c r="B185" i="3"/>
  <c r="B184" i="3"/>
  <c r="B183" i="3"/>
  <c r="B182" i="3"/>
  <c r="D194" i="3" s="1"/>
  <c r="B181" i="3"/>
  <c r="B180" i="3"/>
  <c r="C181" i="3" s="1"/>
  <c r="B179" i="3"/>
  <c r="B178" i="3"/>
  <c r="B177" i="3"/>
  <c r="B176" i="3"/>
  <c r="B175" i="3"/>
  <c r="B174" i="3"/>
  <c r="B173" i="3"/>
  <c r="B172" i="3"/>
  <c r="B171" i="3"/>
  <c r="B170" i="3"/>
  <c r="B169" i="3"/>
  <c r="D181" i="3" s="1"/>
  <c r="B168" i="3"/>
  <c r="D180" i="3" s="1"/>
  <c r="B167" i="3"/>
  <c r="B166" i="3"/>
  <c r="C166" i="3" s="1"/>
  <c r="B165" i="3"/>
  <c r="B164" i="3"/>
  <c r="B163" i="3"/>
  <c r="B162" i="3"/>
  <c r="B161" i="3"/>
  <c r="B160" i="3"/>
  <c r="B159" i="3"/>
  <c r="B158" i="3"/>
  <c r="B157" i="3"/>
  <c r="B156" i="3"/>
  <c r="B155" i="3"/>
  <c r="B154" i="3"/>
  <c r="B153" i="3"/>
  <c r="B152" i="3"/>
  <c r="B151" i="3"/>
  <c r="B150" i="3"/>
  <c r="B149" i="3"/>
  <c r="B148" i="3"/>
  <c r="B147" i="3"/>
  <c r="D159" i="3" s="1"/>
  <c r="B146" i="3"/>
  <c r="D158" i="3" s="1"/>
  <c r="B145" i="3"/>
  <c r="B144" i="3"/>
  <c r="B143" i="3"/>
  <c r="B142" i="3"/>
  <c r="B141" i="3"/>
  <c r="B140" i="3"/>
  <c r="B139" i="3"/>
  <c r="D151" i="3" s="1"/>
  <c r="B138" i="3"/>
  <c r="C138" i="3" s="1"/>
  <c r="B137" i="3"/>
  <c r="B136" i="3"/>
  <c r="B135" i="3"/>
  <c r="B134" i="3"/>
  <c r="B133" i="3"/>
  <c r="B132" i="3"/>
  <c r="B131" i="3"/>
  <c r="B130" i="3"/>
  <c r="D142" i="3" s="1"/>
  <c r="B129" i="3"/>
  <c r="C129" i="3" s="1"/>
  <c r="B128" i="3"/>
  <c r="B127" i="3"/>
  <c r="C127" i="3" s="1"/>
  <c r="B126" i="3"/>
  <c r="B125" i="3"/>
  <c r="B124" i="3"/>
  <c r="B123" i="3"/>
  <c r="D135" i="3" s="1"/>
  <c r="B122" i="3"/>
  <c r="C122" i="3" s="1"/>
  <c r="B121" i="3"/>
  <c r="B120" i="3"/>
  <c r="D132" i="3" s="1"/>
  <c r="B119" i="3"/>
  <c r="C119" i="3" s="1"/>
  <c r="B118" i="3"/>
  <c r="B117" i="3"/>
  <c r="D129" i="3" s="1"/>
  <c r="B116" i="3"/>
  <c r="B115" i="3"/>
  <c r="D127" i="3" s="1"/>
  <c r="B114" i="3"/>
  <c r="B113" i="3"/>
  <c r="C113" i="3" s="1"/>
  <c r="B112" i="3"/>
  <c r="B111" i="3"/>
  <c r="B110" i="3"/>
  <c r="B109" i="3"/>
  <c r="D121" i="3" s="1"/>
  <c r="B108" i="3"/>
  <c r="B107" i="3"/>
  <c r="B106" i="3"/>
  <c r="B105" i="3"/>
  <c r="B104" i="3"/>
  <c r="D116" i="3" s="1"/>
  <c r="B103" i="3"/>
  <c r="B102" i="3"/>
  <c r="B101" i="3"/>
  <c r="D113" i="3" s="1"/>
  <c r="B100" i="3"/>
  <c r="B99" i="3"/>
  <c r="B98" i="3"/>
  <c r="B97" i="3"/>
  <c r="B96" i="3"/>
  <c r="B95" i="3"/>
  <c r="B94" i="3"/>
  <c r="B93" i="3"/>
  <c r="D105" i="3" s="1"/>
  <c r="D92" i="3"/>
  <c r="B92" i="3"/>
  <c r="B91" i="3"/>
  <c r="B90" i="3"/>
  <c r="C90" i="3" s="1"/>
  <c r="B89" i="3"/>
  <c r="B88" i="3"/>
  <c r="B87" i="3"/>
  <c r="D99" i="3" s="1"/>
  <c r="B86" i="3"/>
  <c r="B85" i="3"/>
  <c r="D97" i="3" s="1"/>
  <c r="B84" i="3"/>
  <c r="B83" i="3"/>
  <c r="D95" i="3" s="1"/>
  <c r="B82" i="3"/>
  <c r="B81" i="3"/>
  <c r="B80" i="3"/>
  <c r="B79" i="3"/>
  <c r="D91" i="3" s="1"/>
  <c r="B78" i="3"/>
  <c r="B77" i="3"/>
  <c r="D89" i="3" s="1"/>
  <c r="B76" i="3"/>
  <c r="D88" i="3" s="1"/>
  <c r="B75" i="3"/>
  <c r="B74" i="3"/>
  <c r="B73" i="3"/>
  <c r="B72" i="3"/>
  <c r="B71" i="3"/>
  <c r="B70" i="3"/>
  <c r="B69" i="3"/>
  <c r="D81" i="3" s="1"/>
  <c r="B68" i="3"/>
  <c r="D80" i="3" s="1"/>
  <c r="B67" i="3"/>
  <c r="D79" i="3" s="1"/>
  <c r="B66" i="3"/>
  <c r="D78" i="3" s="1"/>
  <c r="B65" i="3"/>
  <c r="B64" i="3"/>
  <c r="B63" i="3"/>
  <c r="B62" i="3"/>
  <c r="B61" i="3"/>
  <c r="D73" i="3" s="1"/>
  <c r="B60" i="3"/>
  <c r="D72" i="3" s="1"/>
  <c r="B59" i="3"/>
  <c r="B58" i="3"/>
  <c r="C58" i="3" s="1"/>
  <c r="B57" i="3"/>
  <c r="B56" i="3"/>
  <c r="B55" i="3"/>
  <c r="B54" i="3"/>
  <c r="B53" i="3"/>
  <c r="B52" i="3"/>
  <c r="B51" i="3"/>
  <c r="D63" i="3" s="1"/>
  <c r="B50" i="3"/>
  <c r="D62" i="3" s="1"/>
  <c r="B49" i="3"/>
  <c r="B48" i="3"/>
  <c r="B47" i="3"/>
  <c r="B46" i="3"/>
  <c r="B45" i="3"/>
  <c r="B44" i="3"/>
  <c r="D56" i="3" s="1"/>
  <c r="B43" i="3"/>
  <c r="B42" i="3"/>
  <c r="B41" i="3"/>
  <c r="D53" i="3" s="1"/>
  <c r="B40" i="3"/>
  <c r="D52" i="3" s="1"/>
  <c r="B39" i="3"/>
  <c r="B38" i="3"/>
  <c r="C38" i="3" s="1"/>
  <c r="B37" i="3"/>
  <c r="B36" i="3"/>
  <c r="B35" i="3"/>
  <c r="B34" i="3"/>
  <c r="B33" i="3"/>
  <c r="B32" i="3"/>
  <c r="B31" i="3"/>
  <c r="B30" i="3"/>
  <c r="B29" i="3"/>
  <c r="B28" i="3"/>
  <c r="B27" i="3"/>
  <c r="C28" i="3" s="1"/>
  <c r="B26" i="3"/>
  <c r="D38" i="3" s="1"/>
  <c r="B25" i="3"/>
  <c r="D37" i="3" s="1"/>
  <c r="B24" i="3"/>
  <c r="D36" i="3" s="1"/>
  <c r="B23" i="3"/>
  <c r="B22" i="3"/>
  <c r="B21" i="3"/>
  <c r="B20" i="3"/>
  <c r="D20" i="3" s="1"/>
  <c r="B19" i="3"/>
  <c r="B18" i="3"/>
  <c r="B17" i="3"/>
  <c r="D29" i="3" s="1"/>
  <c r="B16" i="3"/>
  <c r="D28" i="3" s="1"/>
  <c r="B15" i="3"/>
  <c r="B14" i="3"/>
  <c r="C14" i="3" s="1"/>
  <c r="B13" i="3"/>
  <c r="B12" i="3"/>
  <c r="B11" i="3"/>
  <c r="B10" i="3"/>
  <c r="D22" i="3" s="1"/>
  <c r="B9" i="3"/>
  <c r="C9" i="3" s="1"/>
  <c r="B8" i="3"/>
  <c r="B7" i="3"/>
  <c r="C8" i="3" s="1"/>
  <c r="B6" i="3"/>
  <c r="B5" i="3"/>
  <c r="N31" i="1"/>
  <c r="Q22" i="1" s="1"/>
  <c r="N30" i="1"/>
  <c r="Q23" i="1"/>
  <c r="P23" i="1"/>
  <c r="P22" i="1"/>
  <c r="C504" i="3" l="1"/>
  <c r="C49" i="3"/>
  <c r="C748" i="3"/>
  <c r="C360" i="3"/>
  <c r="D481" i="3"/>
  <c r="C106" i="3"/>
  <c r="D447" i="3"/>
  <c r="C724" i="3"/>
  <c r="D150" i="3"/>
  <c r="C262" i="3"/>
  <c r="C460" i="3"/>
  <c r="D528" i="3"/>
  <c r="D583" i="3"/>
  <c r="C74" i="3"/>
  <c r="C151" i="3"/>
  <c r="C183" i="3"/>
  <c r="C373" i="3"/>
  <c r="D461" i="3"/>
  <c r="D574" i="3"/>
  <c r="C6" i="3"/>
  <c r="C39" i="3"/>
  <c r="C75" i="3"/>
  <c r="C162" i="3"/>
  <c r="D330" i="3"/>
  <c r="D651" i="3"/>
  <c r="D749" i="3"/>
  <c r="D163" i="3"/>
  <c r="D174" i="3"/>
  <c r="D185" i="3"/>
  <c r="C209" i="3"/>
  <c r="D242" i="3"/>
  <c r="D321" i="3"/>
  <c r="C353" i="3"/>
  <c r="C364" i="3"/>
  <c r="D375" i="3"/>
  <c r="C408" i="3"/>
  <c r="C430" i="3"/>
  <c r="D508" i="3"/>
  <c r="C641" i="3"/>
  <c r="D685" i="3"/>
  <c r="D706" i="3"/>
  <c r="D718" i="3"/>
  <c r="D739" i="3"/>
  <c r="C750" i="3"/>
  <c r="D762" i="3"/>
  <c r="C65" i="3"/>
  <c r="D123" i="3"/>
  <c r="D143" i="3"/>
  <c r="C186" i="3"/>
  <c r="D198" i="3"/>
  <c r="D209" i="3"/>
  <c r="D220" i="3"/>
  <c r="C266" i="3"/>
  <c r="C277" i="3"/>
  <c r="D289" i="3"/>
  <c r="D311" i="3"/>
  <c r="D334" i="3"/>
  <c r="C344" i="3"/>
  <c r="D365" i="3"/>
  <c r="D409" i="3"/>
  <c r="D430" i="3"/>
  <c r="C464" i="3"/>
  <c r="C476" i="3"/>
  <c r="C497" i="3"/>
  <c r="C598" i="3"/>
  <c r="D707" i="3"/>
  <c r="C729" i="3"/>
  <c r="D248" i="3"/>
  <c r="C446" i="3"/>
  <c r="C48" i="3"/>
  <c r="D742" i="3"/>
  <c r="C59" i="3"/>
  <c r="C160" i="3"/>
  <c r="C582" i="3"/>
  <c r="D636" i="3"/>
  <c r="C361" i="3"/>
  <c r="D405" i="3"/>
  <c r="D527" i="3"/>
  <c r="D128" i="3"/>
  <c r="C182" i="3"/>
  <c r="C494" i="3"/>
  <c r="C550" i="3"/>
  <c r="D594" i="3"/>
  <c r="D172" i="3"/>
  <c r="C438" i="3"/>
  <c r="D563" i="3"/>
  <c r="C704" i="3"/>
  <c r="D276" i="3"/>
  <c r="C352" i="3"/>
  <c r="D450" i="3"/>
  <c r="D761" i="3"/>
  <c r="C64" i="3"/>
  <c r="D567" i="3"/>
  <c r="C43" i="3"/>
  <c r="D168" i="3"/>
  <c r="D268" i="3"/>
  <c r="C345" i="3"/>
  <c r="C400" i="3"/>
  <c r="D522" i="3"/>
  <c r="C556" i="3"/>
  <c r="C666" i="3"/>
  <c r="C33" i="3"/>
  <c r="C91" i="3"/>
  <c r="C145" i="3"/>
  <c r="C223" i="3"/>
  <c r="C234" i="3"/>
  <c r="D269" i="3"/>
  <c r="D379" i="3"/>
  <c r="C401" i="3"/>
  <c r="D445" i="3"/>
  <c r="D455" i="3"/>
  <c r="D500" i="3"/>
  <c r="C557" i="3"/>
  <c r="C633" i="3"/>
  <c r="D678" i="3"/>
  <c r="D659" i="3"/>
  <c r="D769" i="3"/>
  <c r="D160" i="3"/>
  <c r="D426" i="3"/>
  <c r="C161" i="3"/>
  <c r="D505" i="3"/>
  <c r="D573" i="3"/>
  <c r="D161" i="3"/>
  <c r="C319" i="3"/>
  <c r="D449" i="3"/>
  <c r="C484" i="3"/>
  <c r="D617" i="3"/>
  <c r="D650" i="3"/>
  <c r="D716" i="3"/>
  <c r="C97" i="3"/>
  <c r="D540" i="3"/>
  <c r="D694" i="3"/>
  <c r="C29" i="3"/>
  <c r="D112" i="3"/>
  <c r="D200" i="3"/>
  <c r="C257" i="3"/>
  <c r="D454" i="3"/>
  <c r="D488" i="3"/>
  <c r="C544" i="3"/>
  <c r="D178" i="3"/>
  <c r="C34" i="3"/>
  <c r="C81" i="3"/>
  <c r="D115" i="3"/>
  <c r="D126" i="3"/>
  <c r="D137" i="3"/>
  <c r="C135" i="3"/>
  <c r="C167" i="3"/>
  <c r="C304" i="3"/>
  <c r="D348" i="3"/>
  <c r="D414" i="3"/>
  <c r="D480" i="3"/>
  <c r="D546" i="3"/>
  <c r="C667" i="3"/>
  <c r="C169" i="3"/>
  <c r="C288" i="3"/>
  <c r="C461" i="3"/>
  <c r="C481" i="3"/>
  <c r="D700" i="3"/>
  <c r="D712" i="3"/>
  <c r="D394" i="3"/>
  <c r="C454" i="3"/>
  <c r="D493" i="3"/>
  <c r="C512" i="3"/>
  <c r="C522" i="3"/>
  <c r="D632" i="3"/>
  <c r="C620" i="3"/>
  <c r="C700" i="3"/>
  <c r="D107" i="3"/>
  <c r="C95" i="3"/>
  <c r="D162" i="3"/>
  <c r="C384" i="3"/>
  <c r="D384" i="3"/>
  <c r="C394" i="3"/>
  <c r="D730" i="3"/>
  <c r="C76" i="3"/>
  <c r="D210" i="3"/>
  <c r="C365" i="3"/>
  <c r="C462" i="3"/>
  <c r="D474" i="3"/>
  <c r="C514" i="3"/>
  <c r="D593" i="3"/>
  <c r="D605" i="3"/>
  <c r="C762" i="3"/>
  <c r="D136" i="3"/>
  <c r="D124" i="3"/>
  <c r="C124" i="3"/>
  <c r="C470" i="3"/>
  <c r="D470" i="3"/>
  <c r="C154" i="3"/>
  <c r="C410" i="3"/>
  <c r="C531" i="3"/>
  <c r="D531" i="3"/>
  <c r="C19" i="3"/>
  <c r="C710" i="3"/>
  <c r="D119" i="3"/>
  <c r="C107" i="3"/>
  <c r="C210" i="3"/>
  <c r="D219" i="3"/>
  <c r="D278" i="3"/>
  <c r="C290" i="3"/>
  <c r="C600" i="3"/>
  <c r="D48" i="3"/>
  <c r="C146" i="3"/>
  <c r="C156" i="3"/>
  <c r="C258" i="3"/>
  <c r="D385" i="3"/>
  <c r="C601" i="3"/>
  <c r="C701" i="3"/>
  <c r="D76" i="3"/>
  <c r="D169" i="3"/>
  <c r="D157" i="3"/>
  <c r="C157" i="3"/>
  <c r="D204" i="3"/>
  <c r="C192" i="3"/>
  <c r="D211" i="3"/>
  <c r="D336" i="3"/>
  <c r="D374" i="3"/>
  <c r="D439" i="3"/>
  <c r="C593" i="3"/>
  <c r="C613" i="3"/>
  <c r="D623" i="3"/>
  <c r="C656" i="3"/>
  <c r="C685" i="3"/>
  <c r="C693" i="3"/>
  <c r="D147" i="3"/>
  <c r="D165" i="3"/>
  <c r="C387" i="3"/>
  <c r="C440" i="3"/>
  <c r="C456" i="3"/>
  <c r="C486" i="3"/>
  <c r="D506" i="3"/>
  <c r="D556" i="3"/>
  <c r="C763" i="3"/>
  <c r="D763" i="3"/>
  <c r="C139" i="3"/>
  <c r="C148" i="3"/>
  <c r="C174" i="3"/>
  <c r="C185" i="3"/>
  <c r="D184" i="3"/>
  <c r="C204" i="3"/>
  <c r="C252" i="3"/>
  <c r="C329" i="3"/>
  <c r="C346" i="3"/>
  <c r="D440" i="3"/>
  <c r="D465" i="3"/>
  <c r="D589" i="3"/>
  <c r="D577" i="3"/>
  <c r="C686" i="3"/>
  <c r="D754" i="3"/>
  <c r="D24" i="3"/>
  <c r="C60" i="3"/>
  <c r="C111" i="3"/>
  <c r="D140" i="3"/>
  <c r="C140" i="3"/>
  <c r="C184" i="3"/>
  <c r="D234" i="3"/>
  <c r="D283" i="3"/>
  <c r="C339" i="3"/>
  <c r="D351" i="3"/>
  <c r="C425" i="3"/>
  <c r="D446" i="3"/>
  <c r="C449" i="3"/>
  <c r="C568" i="3"/>
  <c r="C577" i="3"/>
  <c r="D615" i="3"/>
  <c r="C678" i="3"/>
  <c r="D19" i="3"/>
  <c r="D27" i="3"/>
  <c r="D60" i="3"/>
  <c r="C175" i="3"/>
  <c r="D196" i="3"/>
  <c r="C225" i="3"/>
  <c r="C235" i="3"/>
  <c r="C253" i="3"/>
  <c r="D263" i="3"/>
  <c r="C322" i="3"/>
  <c r="C330" i="3"/>
  <c r="D402" i="3"/>
  <c r="D425" i="3"/>
  <c r="C434" i="3"/>
  <c r="D441" i="3"/>
  <c r="D498" i="3"/>
  <c r="C498" i="3"/>
  <c r="D509" i="3"/>
  <c r="C548" i="3"/>
  <c r="D638" i="3"/>
  <c r="C669" i="3"/>
  <c r="D734" i="3"/>
  <c r="C7" i="3"/>
  <c r="C15" i="3"/>
  <c r="C25" i="3"/>
  <c r="D47" i="3"/>
  <c r="D35" i="3"/>
  <c r="D104" i="3"/>
  <c r="C132" i="3"/>
  <c r="C196" i="3"/>
  <c r="D207" i="3"/>
  <c r="D235" i="3"/>
  <c r="C245" i="3"/>
  <c r="C314" i="3"/>
  <c r="D322" i="3"/>
  <c r="D340" i="3"/>
  <c r="C349" i="3"/>
  <c r="C435" i="3"/>
  <c r="C569" i="3"/>
  <c r="C660" i="3"/>
  <c r="D709" i="3"/>
  <c r="C706" i="3"/>
  <c r="C35" i="3"/>
  <c r="D94" i="3"/>
  <c r="C92" i="3"/>
  <c r="C123" i="3"/>
  <c r="C168" i="3"/>
  <c r="D186" i="3"/>
  <c r="C208" i="3"/>
  <c r="D208" i="3"/>
  <c r="D229" i="3"/>
  <c r="C236" i="3"/>
  <c r="D245" i="3"/>
  <c r="D309" i="3"/>
  <c r="D297" i="3"/>
  <c r="D318" i="3"/>
  <c r="C306" i="3"/>
  <c r="C392" i="3"/>
  <c r="C426" i="3"/>
  <c r="D502" i="3"/>
  <c r="D490" i="3"/>
  <c r="C560" i="3"/>
  <c r="D560" i="3"/>
  <c r="D640" i="3"/>
  <c r="C628" i="3"/>
  <c r="D738" i="3"/>
  <c r="C726" i="3"/>
  <c r="D736" i="3"/>
  <c r="C747" i="3"/>
  <c r="D217" i="3"/>
  <c r="C280" i="3"/>
  <c r="D353" i="3"/>
  <c r="D400" i="3"/>
  <c r="D448" i="3"/>
  <c r="D750" i="3"/>
  <c r="D23" i="3"/>
  <c r="D120" i="3"/>
  <c r="D145" i="3"/>
  <c r="C205" i="3"/>
  <c r="C272" i="3"/>
  <c r="C388" i="3"/>
  <c r="C427" i="3"/>
  <c r="D436" i="3"/>
  <c r="D544" i="3"/>
  <c r="C532" i="3"/>
  <c r="D532" i="3"/>
  <c r="C561" i="3"/>
  <c r="C578" i="3"/>
  <c r="D110" i="3"/>
  <c r="C108" i="3"/>
  <c r="D153" i="3"/>
  <c r="C180" i="3"/>
  <c r="D197" i="3"/>
  <c r="D225" i="3"/>
  <c r="C221" i="3"/>
  <c r="D221" i="3"/>
  <c r="D317" i="3"/>
  <c r="D396" i="3"/>
  <c r="C515" i="3"/>
  <c r="C680" i="3"/>
  <c r="D111" i="3"/>
  <c r="D108" i="3"/>
  <c r="C173" i="3"/>
  <c r="D213" i="3"/>
  <c r="C222" i="3"/>
  <c r="D232" i="3"/>
  <c r="C242" i="3"/>
  <c r="C282" i="3"/>
  <c r="C291" i="3"/>
  <c r="C508" i="3"/>
  <c r="D534" i="3"/>
  <c r="C571" i="3"/>
  <c r="D580" i="3"/>
  <c r="C634" i="3"/>
  <c r="D680" i="3"/>
  <c r="C688" i="3"/>
  <c r="C740" i="3"/>
  <c r="D65" i="3"/>
  <c r="D83" i="3"/>
  <c r="C187" i="3"/>
  <c r="C230" i="3"/>
  <c r="D246" i="3"/>
  <c r="D255" i="3"/>
  <c r="C315" i="3"/>
  <c r="C350" i="3"/>
  <c r="D350" i="3"/>
  <c r="C420" i="3"/>
  <c r="C586" i="3"/>
  <c r="C604" i="3"/>
  <c r="D604" i="3"/>
  <c r="D760" i="3"/>
  <c r="D32" i="3"/>
  <c r="C36" i="3"/>
  <c r="D44" i="3"/>
  <c r="D187" i="3"/>
  <c r="C212" i="3"/>
  <c r="C281" i="3"/>
  <c r="D420" i="3"/>
  <c r="D494" i="3"/>
  <c r="C523" i="3"/>
  <c r="D146" i="3"/>
  <c r="C150" i="3"/>
  <c r="D149" i="3"/>
  <c r="D218" i="3"/>
  <c r="D260" i="3"/>
  <c r="D256" i="3"/>
  <c r="D382" i="3"/>
  <c r="D401" i="3"/>
  <c r="C404" i="3"/>
  <c r="D433" i="3"/>
  <c r="C421" i="3"/>
  <c r="C437" i="3"/>
  <c r="D588" i="3"/>
  <c r="C605" i="3"/>
  <c r="D624" i="3"/>
  <c r="C687" i="3"/>
  <c r="D748" i="3"/>
  <c r="C766" i="3"/>
  <c r="C13" i="3"/>
  <c r="D31" i="3"/>
  <c r="D64" i="3"/>
  <c r="D131" i="3"/>
  <c r="D139" i="3"/>
  <c r="C143" i="3"/>
  <c r="D173" i="3"/>
  <c r="C190" i="3"/>
  <c r="C214" i="3"/>
  <c r="C241" i="3"/>
  <c r="C265" i="3"/>
  <c r="D304" i="3"/>
  <c r="D292" i="3"/>
  <c r="D301" i="3"/>
  <c r="C363" i="3"/>
  <c r="D389" i="3"/>
  <c r="D398" i="3"/>
  <c r="C466" i="3"/>
  <c r="D606" i="3"/>
  <c r="C616" i="3"/>
  <c r="D634" i="3"/>
  <c r="C664" i="3"/>
  <c r="D681" i="3"/>
  <c r="C742" i="3"/>
  <c r="D148" i="3"/>
  <c r="D182" i="3"/>
  <c r="C238" i="3"/>
  <c r="C261" i="3"/>
  <c r="D312" i="3"/>
  <c r="C359" i="3"/>
  <c r="C428" i="3"/>
  <c r="C443" i="3"/>
  <c r="D507" i="3"/>
  <c r="D570" i="3"/>
  <c r="D714" i="3"/>
  <c r="D33" i="3"/>
  <c r="D42" i="3"/>
  <c r="D57" i="3"/>
  <c r="D67" i="3"/>
  <c r="D75" i="3"/>
  <c r="D84" i="3"/>
  <c r="C79" i="3"/>
  <c r="C96" i="3"/>
  <c r="D156" i="3"/>
  <c r="D170" i="3"/>
  <c r="D183" i="3"/>
  <c r="C239" i="3"/>
  <c r="D305" i="3"/>
  <c r="C333" i="3"/>
  <c r="C399" i="3"/>
  <c r="D418" i="3"/>
  <c r="C414" i="3"/>
  <c r="D456" i="3"/>
  <c r="C463" i="3"/>
  <c r="D495" i="3"/>
  <c r="C509" i="3"/>
  <c r="D529" i="3"/>
  <c r="D537" i="3"/>
  <c r="D541" i="3"/>
  <c r="C558" i="3"/>
  <c r="C573" i="3"/>
  <c r="D629" i="3"/>
  <c r="C638" i="3"/>
  <c r="D686" i="3"/>
  <c r="C702" i="3"/>
  <c r="D724" i="3"/>
  <c r="D764" i="3"/>
  <c r="C761" i="3"/>
  <c r="D100" i="3"/>
  <c r="C112" i="3"/>
  <c r="C128" i="3"/>
  <c r="C177" i="3"/>
  <c r="D226" i="3"/>
  <c r="D266" i="3"/>
  <c r="D324" i="3"/>
  <c r="D378" i="3"/>
  <c r="C450" i="3"/>
  <c r="D513" i="3"/>
  <c r="C524" i="3"/>
  <c r="D561" i="3"/>
  <c r="D668" i="3"/>
  <c r="C711" i="3"/>
  <c r="D34" i="3"/>
  <c r="C30" i="3"/>
  <c r="D58" i="3"/>
  <c r="D68" i="3"/>
  <c r="C63" i="3"/>
  <c r="C80" i="3"/>
  <c r="D96" i="3"/>
  <c r="D144" i="3"/>
  <c r="D171" i="3"/>
  <c r="C202" i="3"/>
  <c r="D227" i="3"/>
  <c r="C233" i="3"/>
  <c r="D252" i="3"/>
  <c r="C270" i="3"/>
  <c r="C285" i="3"/>
  <c r="C293" i="3"/>
  <c r="D338" i="3"/>
  <c r="D388" i="3"/>
  <c r="D399" i="3"/>
  <c r="D458" i="3"/>
  <c r="D463" i="3"/>
  <c r="C517" i="3"/>
  <c r="C541" i="3"/>
  <c r="D558" i="3"/>
  <c r="D626" i="3"/>
  <c r="C648" i="3"/>
  <c r="C712" i="3"/>
  <c r="C728" i="3"/>
  <c r="C752" i="3"/>
  <c r="C411" i="3"/>
  <c r="D423" i="3"/>
  <c r="C40" i="3"/>
  <c r="C16" i="3"/>
  <c r="C26" i="3"/>
  <c r="C45" i="3"/>
  <c r="C98" i="3"/>
  <c r="D288" i="3"/>
  <c r="C155" i="3"/>
  <c r="D167" i="3"/>
  <c r="C191" i="3"/>
  <c r="D203" i="3"/>
  <c r="D215" i="3"/>
  <c r="C227" i="3"/>
  <c r="D239" i="3"/>
  <c r="C298" i="3"/>
  <c r="D310" i="3"/>
  <c r="C327" i="3"/>
  <c r="D339" i="3"/>
  <c r="C328" i="3"/>
  <c r="C341" i="3"/>
  <c r="C356" i="3"/>
  <c r="D368" i="3"/>
  <c r="C370" i="3"/>
  <c r="C416" i="3"/>
  <c r="C467" i="3"/>
  <c r="D479" i="3"/>
  <c r="C468" i="3"/>
  <c r="D467" i="3"/>
  <c r="C526" i="3"/>
  <c r="D538" i="3"/>
  <c r="D526" i="3"/>
  <c r="C534" i="3"/>
  <c r="D533" i="3"/>
  <c r="C608" i="3"/>
  <c r="D620" i="3"/>
  <c r="C675" i="3"/>
  <c r="D675" i="3"/>
  <c r="B23" i="5"/>
  <c r="C24" i="4"/>
  <c r="C23" i="4"/>
  <c r="B64" i="5"/>
  <c r="D76" i="4"/>
  <c r="G76" i="5" s="1"/>
  <c r="C64" i="4"/>
  <c r="B326" i="5"/>
  <c r="D338" i="4"/>
  <c r="G338" i="5" s="1"/>
  <c r="C326" i="4"/>
  <c r="C327" i="4"/>
  <c r="B342" i="5"/>
  <c r="D342" i="4"/>
  <c r="G342" i="5" s="1"/>
  <c r="C342" i="4"/>
  <c r="D354" i="4"/>
  <c r="G354" i="5" s="1"/>
  <c r="B350" i="5"/>
  <c r="D362" i="4"/>
  <c r="G362" i="5" s="1"/>
  <c r="D350" i="4"/>
  <c r="G350" i="5" s="1"/>
  <c r="D411" i="3"/>
  <c r="C643" i="3"/>
  <c r="D655" i="3"/>
  <c r="D643" i="3"/>
  <c r="C50" i="3"/>
  <c r="D164" i="3"/>
  <c r="C152" i="3"/>
  <c r="C452" i="3"/>
  <c r="C453" i="3"/>
  <c r="D464" i="3"/>
  <c r="D26" i="3"/>
  <c r="C24" i="3"/>
  <c r="D41" i="3"/>
  <c r="D46" i="3"/>
  <c r="D51" i="3"/>
  <c r="D43" i="3"/>
  <c r="C53" i="3"/>
  <c r="D71" i="3"/>
  <c r="C69" i="3"/>
  <c r="D87" i="3"/>
  <c r="C85" i="3"/>
  <c r="D103" i="3"/>
  <c r="C101" i="3"/>
  <c r="C117" i="3"/>
  <c r="C133" i="3"/>
  <c r="C144" i="3"/>
  <c r="C149" i="3"/>
  <c r="D166" i="3"/>
  <c r="C179" i="3"/>
  <c r="D191" i="3"/>
  <c r="C197" i="3"/>
  <c r="D214" i="3"/>
  <c r="C240" i="3"/>
  <c r="C278" i="3"/>
  <c r="C292" i="3"/>
  <c r="D325" i="3"/>
  <c r="C313" i="3"/>
  <c r="C321" i="3"/>
  <c r="D333" i="3"/>
  <c r="D327" i="3"/>
  <c r="D341" i="3"/>
  <c r="D356" i="3"/>
  <c r="D370" i="3"/>
  <c r="C376" i="3"/>
  <c r="C390" i="3"/>
  <c r="D416" i="3"/>
  <c r="C482" i="3"/>
  <c r="D517" i="3"/>
  <c r="C505" i="3"/>
  <c r="C518" i="3"/>
  <c r="C527" i="3"/>
  <c r="D539" i="3"/>
  <c r="C528" i="3"/>
  <c r="C533" i="3"/>
  <c r="C609" i="3"/>
  <c r="D621" i="3"/>
  <c r="D609" i="3"/>
  <c r="D688" i="3"/>
  <c r="C676" i="3"/>
  <c r="C677" i="3"/>
  <c r="D740" i="3"/>
  <c r="C135" i="4"/>
  <c r="B134" i="5"/>
  <c r="D146" i="4"/>
  <c r="G146" i="5" s="1"/>
  <c r="B147" i="5"/>
  <c r="D159" i="4"/>
  <c r="G159" i="5" s="1"/>
  <c r="B199" i="5"/>
  <c r="C200" i="4"/>
  <c r="D199" i="4"/>
  <c r="G199" i="5" s="1"/>
  <c r="C199" i="4"/>
  <c r="B207" i="5"/>
  <c r="D219" i="4"/>
  <c r="G219" i="5" s="1"/>
  <c r="D207" i="4"/>
  <c r="G207" i="5" s="1"/>
  <c r="C207" i="4"/>
  <c r="C350" i="4"/>
  <c r="D98" i="3"/>
  <c r="D114" i="3"/>
  <c r="C215" i="3"/>
  <c r="C216" i="3"/>
  <c r="D240" i="3"/>
  <c r="C342" i="3"/>
  <c r="D342" i="3"/>
  <c r="C371" i="3"/>
  <c r="D383" i="3"/>
  <c r="C372" i="3"/>
  <c r="B280" i="5"/>
  <c r="D292" i="4"/>
  <c r="G292" i="5" s="1"/>
  <c r="C280" i="4"/>
  <c r="B328" i="5"/>
  <c r="D340" i="4"/>
  <c r="G340" i="5" s="1"/>
  <c r="C329" i="4"/>
  <c r="C328" i="4"/>
  <c r="B335" i="5"/>
  <c r="C335" i="4"/>
  <c r="D347" i="4"/>
  <c r="G347" i="5" s="1"/>
  <c r="C55" i="3"/>
  <c r="C71" i="3"/>
  <c r="C103" i="3"/>
  <c r="D66" i="3"/>
  <c r="D82" i="3"/>
  <c r="D130" i="3"/>
  <c r="D179" i="3"/>
  <c r="C287" i="3"/>
  <c r="D299" i="3"/>
  <c r="D357" i="3"/>
  <c r="C357" i="3"/>
  <c r="D369" i="3"/>
  <c r="D397" i="3"/>
  <c r="C386" i="3"/>
  <c r="C417" i="3"/>
  <c r="D429" i="3"/>
  <c r="C431" i="3"/>
  <c r="D443" i="3"/>
  <c r="C511" i="3"/>
  <c r="D523" i="3"/>
  <c r="D622" i="3"/>
  <c r="D610" i="3"/>
  <c r="C610" i="3"/>
  <c r="B7" i="5"/>
  <c r="C8" i="4"/>
  <c r="D19" i="4"/>
  <c r="G19" i="5" s="1"/>
  <c r="C7" i="4"/>
  <c r="B156" i="5"/>
  <c r="D168" i="4"/>
  <c r="G168" i="5" s="1"/>
  <c r="C156" i="4"/>
  <c r="D21" i="3"/>
  <c r="C20" i="3"/>
  <c r="D39" i="3"/>
  <c r="C44" i="3"/>
  <c r="D61" i="3"/>
  <c r="C54" i="3"/>
  <c r="D77" i="3"/>
  <c r="C70" i="3"/>
  <c r="D93" i="3"/>
  <c r="C86" i="3"/>
  <c r="D109" i="3"/>
  <c r="C102" i="3"/>
  <c r="D125" i="3"/>
  <c r="C118" i="3"/>
  <c r="D141" i="3"/>
  <c r="C134" i="3"/>
  <c r="D192" i="3"/>
  <c r="D228" i="3"/>
  <c r="C228" i="3"/>
  <c r="D253" i="3"/>
  <c r="D258" i="3"/>
  <c r="C273" i="3"/>
  <c r="D285" i="3"/>
  <c r="D287" i="3"/>
  <c r="D313" i="3"/>
  <c r="D306" i="3"/>
  <c r="C336" i="3"/>
  <c r="C358" i="3"/>
  <c r="D371" i="3"/>
  <c r="C385" i="3"/>
  <c r="C405" i="3"/>
  <c r="D417" i="3"/>
  <c r="D431" i="3"/>
  <c r="C506" i="3"/>
  <c r="D518" i="3"/>
  <c r="C580" i="3"/>
  <c r="C581" i="3"/>
  <c r="D592" i="3"/>
  <c r="D600" i="3"/>
  <c r="C588" i="3"/>
  <c r="C595" i="3"/>
  <c r="D607" i="3"/>
  <c r="D595" i="3"/>
  <c r="C651" i="3"/>
  <c r="D663" i="3"/>
  <c r="C734" i="3"/>
  <c r="C757" i="3"/>
  <c r="B73" i="5"/>
  <c r="D85" i="4"/>
  <c r="G85" i="5" s="1"/>
  <c r="C74" i="4"/>
  <c r="C73" i="4"/>
  <c r="B120" i="5"/>
  <c r="D132" i="4"/>
  <c r="G132" i="5" s="1"/>
  <c r="C121" i="4"/>
  <c r="C120" i="4"/>
  <c r="B129" i="5"/>
  <c r="D129" i="4"/>
  <c r="G129" i="5" s="1"/>
  <c r="D141" i="4"/>
  <c r="G141" i="5" s="1"/>
  <c r="B148" i="5"/>
  <c r="D160" i="4"/>
  <c r="G160" i="5" s="1"/>
  <c r="C149" i="4"/>
  <c r="C148" i="4"/>
  <c r="B281" i="5"/>
  <c r="D293" i="4"/>
  <c r="G293" i="5" s="1"/>
  <c r="B295" i="5"/>
  <c r="C296" i="4"/>
  <c r="D307" i="4"/>
  <c r="G307" i="5" s="1"/>
  <c r="B303" i="5"/>
  <c r="D315" i="4"/>
  <c r="G315" i="5" s="1"/>
  <c r="C303" i="4"/>
  <c r="C304" i="4"/>
  <c r="B336" i="5"/>
  <c r="D348" i="4"/>
  <c r="G348" i="5" s="1"/>
  <c r="C307" i="3"/>
  <c r="D319" i="3"/>
  <c r="C432" i="3"/>
  <c r="D444" i="3"/>
  <c r="C433" i="3"/>
  <c r="D457" i="3"/>
  <c r="D489" i="3"/>
  <c r="D477" i="3"/>
  <c r="D193" i="3"/>
  <c r="C254" i="3"/>
  <c r="C338" i="3"/>
  <c r="D337" i="3"/>
  <c r="D349" i="3"/>
  <c r="D432" i="3"/>
  <c r="D673" i="3"/>
  <c r="C662" i="3"/>
  <c r="C31" i="3"/>
  <c r="C130" i="3"/>
  <c r="D206" i="3"/>
  <c r="C406" i="3"/>
  <c r="C471" i="3"/>
  <c r="D483" i="3"/>
  <c r="C493" i="3"/>
  <c r="C552" i="3"/>
  <c r="D564" i="3"/>
  <c r="C644" i="3"/>
  <c r="D656" i="3"/>
  <c r="C661" i="3"/>
  <c r="D721" i="3"/>
  <c r="B59" i="5"/>
  <c r="D71" i="4"/>
  <c r="G71" i="5" s="1"/>
  <c r="D59" i="4"/>
  <c r="G59" i="5" s="1"/>
  <c r="C59" i="4"/>
  <c r="C250" i="4"/>
  <c r="B249" i="5"/>
  <c r="D249" i="4"/>
  <c r="G249" i="5" s="1"/>
  <c r="C249" i="4"/>
  <c r="D261" i="4"/>
  <c r="G261" i="5" s="1"/>
  <c r="B517" i="5"/>
  <c r="C517" i="4"/>
  <c r="D529" i="4"/>
  <c r="G529" i="5" s="1"/>
  <c r="B649" i="5"/>
  <c r="C649" i="4"/>
  <c r="D661" i="4"/>
  <c r="G661" i="5" s="1"/>
  <c r="C72" i="3"/>
  <c r="C77" i="3"/>
  <c r="C104" i="3"/>
  <c r="C109" i="3"/>
  <c r="C120" i="3"/>
  <c r="C136" i="3"/>
  <c r="C206" i="3"/>
  <c r="C231" i="3"/>
  <c r="D243" i="3"/>
  <c r="C249" i="3"/>
  <c r="D308" i="3"/>
  <c r="C331" i="3"/>
  <c r="D343" i="3"/>
  <c r="C366" i="3"/>
  <c r="D406" i="3"/>
  <c r="D484" i="3"/>
  <c r="C473" i="3"/>
  <c r="D472" i="3"/>
  <c r="D565" i="3"/>
  <c r="C553" i="3"/>
  <c r="C621" i="3"/>
  <c r="D633" i="3"/>
  <c r="C654" i="3"/>
  <c r="D654" i="3"/>
  <c r="C491" i="4"/>
  <c r="B491" i="5"/>
  <c r="C492" i="4"/>
  <c r="D491" i="4"/>
  <c r="G491" i="5" s="1"/>
  <c r="D503" i="4"/>
  <c r="G503" i="5" s="1"/>
  <c r="B542" i="5"/>
  <c r="D554" i="4"/>
  <c r="G554" i="5" s="1"/>
  <c r="C543" i="4"/>
  <c r="C542" i="4"/>
  <c r="B610" i="5"/>
  <c r="C610" i="4"/>
  <c r="D622" i="4"/>
  <c r="G622" i="5" s="1"/>
  <c r="D610" i="4"/>
  <c r="G610" i="5" s="1"/>
  <c r="B655" i="5"/>
  <c r="D667" i="4"/>
  <c r="G667" i="5" s="1"/>
  <c r="C655" i="4"/>
  <c r="D17" i="3"/>
  <c r="C11" i="3"/>
  <c r="C17" i="3"/>
  <c r="C22" i="3"/>
  <c r="C27" i="3"/>
  <c r="C41" i="3"/>
  <c r="C46" i="3"/>
  <c r="C51" i="3"/>
  <c r="D74" i="3"/>
  <c r="C67" i="3"/>
  <c r="D90" i="3"/>
  <c r="C83" i="3"/>
  <c r="D106" i="3"/>
  <c r="C99" i="3"/>
  <c r="D122" i="3"/>
  <c r="C115" i="3"/>
  <c r="D138" i="3"/>
  <c r="C131" i="3"/>
  <c r="D154" i="3"/>
  <c r="C164" i="3"/>
  <c r="D176" i="3"/>
  <c r="C170" i="3"/>
  <c r="D175" i="3"/>
  <c r="C188" i="3"/>
  <c r="D195" i="3"/>
  <c r="C224" i="3"/>
  <c r="D236" i="3"/>
  <c r="D331" i="3"/>
  <c r="D380" i="3"/>
  <c r="C447" i="3"/>
  <c r="C448" i="3"/>
  <c r="D459" i="3"/>
  <c r="C472" i="3"/>
  <c r="D486" i="3"/>
  <c r="D545" i="3"/>
  <c r="D553" i="3"/>
  <c r="C637" i="3"/>
  <c r="D705" i="3"/>
  <c r="C694" i="3"/>
  <c r="D720" i="3"/>
  <c r="C709" i="3"/>
  <c r="D708" i="3"/>
  <c r="D728" i="3"/>
  <c r="C716" i="3"/>
  <c r="C717" i="3"/>
  <c r="D48" i="4"/>
  <c r="G48" i="5" s="1"/>
  <c r="B36" i="5"/>
  <c r="D211" i="4"/>
  <c r="G211" i="5" s="1"/>
  <c r="D232" i="4"/>
  <c r="G232" i="5" s="1"/>
  <c r="B220" i="5"/>
  <c r="C220" i="4"/>
  <c r="B226" i="5"/>
  <c r="C226" i="4"/>
  <c r="C227" i="4"/>
  <c r="D238" i="4"/>
  <c r="G238" i="5" s="1"/>
  <c r="B267" i="5"/>
  <c r="D279" i="4"/>
  <c r="G279" i="5" s="1"/>
  <c r="D267" i="4"/>
  <c r="G267" i="5" s="1"/>
  <c r="C267" i="4"/>
  <c r="B510" i="5"/>
  <c r="C510" i="4"/>
  <c r="D522" i="4"/>
  <c r="G522" i="5" s="1"/>
  <c r="D510" i="4"/>
  <c r="G510" i="5" s="1"/>
  <c r="B644" i="5"/>
  <c r="D656" i="4"/>
  <c r="G656" i="5" s="1"/>
  <c r="C644" i="4"/>
  <c r="B667" i="5"/>
  <c r="C667" i="4"/>
  <c r="D679" i="4"/>
  <c r="G679" i="5" s="1"/>
  <c r="D300" i="3"/>
  <c r="C289" i="3"/>
  <c r="C316" i="3"/>
  <c r="D328" i="3"/>
  <c r="D469" i="3"/>
  <c r="C458" i="3"/>
  <c r="C491" i="3"/>
  <c r="D503" i="3"/>
  <c r="D770" i="3"/>
  <c r="D758" i="3"/>
  <c r="C758" i="3"/>
  <c r="B272" i="5"/>
  <c r="D284" i="4"/>
  <c r="G284" i="5" s="1"/>
  <c r="C273" i="4"/>
  <c r="B620" i="5"/>
  <c r="D632" i="4"/>
  <c r="G632" i="5" s="1"/>
  <c r="C620" i="4"/>
  <c r="C87" i="3"/>
  <c r="D205" i="3"/>
  <c r="C308" i="3"/>
  <c r="D320" i="3"/>
  <c r="C309" i="3"/>
  <c r="D316" i="3"/>
  <c r="D504" i="3"/>
  <c r="C492" i="3"/>
  <c r="C653" i="3"/>
  <c r="D652" i="3"/>
  <c r="C652" i="3"/>
  <c r="D664" i="3"/>
  <c r="C721" i="3"/>
  <c r="D733" i="3"/>
  <c r="C743" i="3"/>
  <c r="D755" i="3"/>
  <c r="C272" i="4"/>
  <c r="C10" i="3"/>
  <c r="D40" i="3"/>
  <c r="C114" i="3"/>
  <c r="D212" i="3"/>
  <c r="C200" i="3"/>
  <c r="C413" i="3"/>
  <c r="D412" i="3"/>
  <c r="C412" i="3"/>
  <c r="D424" i="3"/>
  <c r="C499" i="3"/>
  <c r="D511" i="3"/>
  <c r="D499" i="3"/>
  <c r="C574" i="3"/>
  <c r="D586" i="3"/>
  <c r="D648" i="3"/>
  <c r="C636" i="3"/>
  <c r="C707" i="3"/>
  <c r="D719" i="3"/>
  <c r="C730" i="3"/>
  <c r="D741" i="3"/>
  <c r="B258" i="5"/>
  <c r="C259" i="4"/>
  <c r="D258" i="4"/>
  <c r="G258" i="5" s="1"/>
  <c r="C258" i="4"/>
  <c r="D270" i="4"/>
  <c r="G270" i="5" s="1"/>
  <c r="B541" i="5"/>
  <c r="D553" i="4"/>
  <c r="G553" i="5" s="1"/>
  <c r="C541" i="4"/>
  <c r="C125" i="3"/>
  <c r="C141" i="3"/>
  <c r="D152" i="3"/>
  <c r="C158" i="3"/>
  <c r="D223" i="3"/>
  <c r="C268" i="3"/>
  <c r="D280" i="3"/>
  <c r="C269" i="3"/>
  <c r="D302" i="3"/>
  <c r="C317" i="3"/>
  <c r="D373" i="3"/>
  <c r="C362" i="3"/>
  <c r="C380" i="3"/>
  <c r="D452" i="3"/>
  <c r="D557" i="3"/>
  <c r="C545" i="3"/>
  <c r="D641" i="3"/>
  <c r="C629" i="3"/>
  <c r="D30" i="3"/>
  <c r="D18" i="3"/>
  <c r="C32" i="3"/>
  <c r="D49" i="3"/>
  <c r="D54" i="3"/>
  <c r="D59" i="3"/>
  <c r="D69" i="3"/>
  <c r="C62" i="3"/>
  <c r="D85" i="3"/>
  <c r="C78" i="3"/>
  <c r="D101" i="3"/>
  <c r="C94" i="3"/>
  <c r="D117" i="3"/>
  <c r="C110" i="3"/>
  <c r="D133" i="3"/>
  <c r="C126" i="3"/>
  <c r="C142" i="3"/>
  <c r="C153" i="3"/>
  <c r="D177" i="3"/>
  <c r="C165" i="3"/>
  <c r="C176" i="3"/>
  <c r="D188" i="3"/>
  <c r="C201" i="3"/>
  <c r="C219" i="3"/>
  <c r="C220" i="3"/>
  <c r="C237" i="3"/>
  <c r="D244" i="3"/>
  <c r="C250" i="3"/>
  <c r="D262" i="3"/>
  <c r="C283" i="3"/>
  <c r="D295" i="3"/>
  <c r="C284" i="3"/>
  <c r="C311" i="3"/>
  <c r="D323" i="3"/>
  <c r="D366" i="3"/>
  <c r="D361" i="3"/>
  <c r="C381" i="3"/>
  <c r="D393" i="3"/>
  <c r="D413" i="3"/>
  <c r="C402" i="3"/>
  <c r="C538" i="3"/>
  <c r="D550" i="3"/>
  <c r="C554" i="3"/>
  <c r="D566" i="3"/>
  <c r="C615" i="3"/>
  <c r="D627" i="3"/>
  <c r="D630" i="3"/>
  <c r="D642" i="3"/>
  <c r="D658" i="3"/>
  <c r="D646" i="3"/>
  <c r="C646" i="3"/>
  <c r="C708" i="3"/>
  <c r="B221" i="5"/>
  <c r="D233" i="4"/>
  <c r="G233" i="5" s="1"/>
  <c r="C222" i="4"/>
  <c r="B252" i="5"/>
  <c r="D264" i="4"/>
  <c r="G264" i="5" s="1"/>
  <c r="C252" i="4"/>
  <c r="C253" i="4"/>
  <c r="B409" i="5"/>
  <c r="C409" i="4"/>
  <c r="D421" i="4"/>
  <c r="G421" i="5" s="1"/>
  <c r="B425" i="5"/>
  <c r="D437" i="4"/>
  <c r="G437" i="5" s="1"/>
  <c r="B511" i="5"/>
  <c r="D523" i="4"/>
  <c r="G523" i="5" s="1"/>
  <c r="C512" i="4"/>
  <c r="D274" i="3"/>
  <c r="C274" i="3"/>
  <c r="D286" i="3"/>
  <c r="C457" i="3"/>
  <c r="C56" i="3"/>
  <c r="C61" i="3"/>
  <c r="C88" i="3"/>
  <c r="C218" i="3"/>
  <c r="C12" i="3"/>
  <c r="C18" i="3"/>
  <c r="C23" i="3"/>
  <c r="C37" i="3"/>
  <c r="C42" i="3"/>
  <c r="C47" i="3"/>
  <c r="C52" i="3"/>
  <c r="C57" i="3"/>
  <c r="C68" i="3"/>
  <c r="C73" i="3"/>
  <c r="C84" i="3"/>
  <c r="C89" i="3"/>
  <c r="C100" i="3"/>
  <c r="C105" i="3"/>
  <c r="C116" i="3"/>
  <c r="C121" i="3"/>
  <c r="C137" i="3"/>
  <c r="D155" i="3"/>
  <c r="C171" i="3"/>
  <c r="C172" i="3"/>
  <c r="C189" i="3"/>
  <c r="D201" i="3"/>
  <c r="C232" i="3"/>
  <c r="C263" i="3"/>
  <c r="D275" i="3"/>
  <c r="C264" i="3"/>
  <c r="C332" i="3"/>
  <c r="C347" i="3"/>
  <c r="C348" i="3"/>
  <c r="D359" i="3"/>
  <c r="D354" i="3"/>
  <c r="C375" i="3"/>
  <c r="D387" i="3"/>
  <c r="D434" i="3"/>
  <c r="D422" i="3"/>
  <c r="C441" i="3"/>
  <c r="D453" i="3"/>
  <c r="C546" i="3"/>
  <c r="C562" i="3"/>
  <c r="D562" i="3"/>
  <c r="C630" i="3"/>
  <c r="D687" i="3"/>
  <c r="B37" i="5"/>
  <c r="C38" i="4"/>
  <c r="D49" i="4"/>
  <c r="G49" i="5" s="1"/>
  <c r="D37" i="4"/>
  <c r="G37" i="5" s="1"/>
  <c r="C37" i="4"/>
  <c r="B397" i="5"/>
  <c r="D409" i="4"/>
  <c r="G409" i="5" s="1"/>
  <c r="C398" i="4"/>
  <c r="B416" i="5"/>
  <c r="D428" i="4"/>
  <c r="G428" i="5" s="1"/>
  <c r="C417" i="4"/>
  <c r="C416" i="4"/>
  <c r="B559" i="5"/>
  <c r="C559" i="4"/>
  <c r="D571" i="4"/>
  <c r="G571" i="5" s="1"/>
  <c r="C193" i="3"/>
  <c r="C267" i="3"/>
  <c r="D279" i="3"/>
  <c r="C714" i="3"/>
  <c r="D713" i="3"/>
  <c r="C713" i="3"/>
  <c r="D725" i="3"/>
  <c r="C21" i="3"/>
  <c r="C66" i="3"/>
  <c r="C82" i="3"/>
  <c r="D267" i="3"/>
  <c r="C302" i="3"/>
  <c r="C337" i="3"/>
  <c r="C93" i="3"/>
  <c r="D25" i="3"/>
  <c r="D45" i="3"/>
  <c r="D50" i="3"/>
  <c r="D55" i="3"/>
  <c r="D70" i="3"/>
  <c r="D86" i="3"/>
  <c r="D102" i="3"/>
  <c r="D118" i="3"/>
  <c r="D134" i="3"/>
  <c r="D190" i="3"/>
  <c r="C178" i="3"/>
  <c r="C355" i="3"/>
  <c r="D367" i="3"/>
  <c r="D408" i="3"/>
  <c r="C396" i="3"/>
  <c r="C397" i="3"/>
  <c r="C422" i="3"/>
  <c r="C436" i="3"/>
  <c r="C525" i="3"/>
  <c r="D525" i="3"/>
  <c r="D613" i="3"/>
  <c r="C602" i="3"/>
  <c r="D601" i="3"/>
  <c r="C617" i="3"/>
  <c r="D616" i="3"/>
  <c r="D628" i="3"/>
  <c r="C771" i="3"/>
  <c r="D771" i="3"/>
  <c r="B467" i="5"/>
  <c r="D479" i="4"/>
  <c r="G479" i="5" s="1"/>
  <c r="D467" i="4"/>
  <c r="G467" i="5" s="1"/>
  <c r="C467" i="4"/>
  <c r="C286" i="3"/>
  <c r="D298" i="3"/>
  <c r="C335" i="3"/>
  <c r="D347" i="3"/>
  <c r="C369" i="3"/>
  <c r="D381" i="3"/>
  <c r="C469" i="3"/>
  <c r="C475" i="3"/>
  <c r="D487" i="3"/>
  <c r="D492" i="3"/>
  <c r="D497" i="3"/>
  <c r="C485" i="3"/>
  <c r="C490" i="3"/>
  <c r="C579" i="3"/>
  <c r="D591" i="3"/>
  <c r="C585" i="3"/>
  <c r="D597" i="3"/>
  <c r="D677" i="3"/>
  <c r="C665" i="3"/>
  <c r="C673" i="3"/>
  <c r="C672" i="3"/>
  <c r="D684" i="3"/>
  <c r="C692" i="3"/>
  <c r="D704" i="3"/>
  <c r="D698" i="3"/>
  <c r="C698" i="3"/>
  <c r="D710" i="3"/>
  <c r="C12" i="4"/>
  <c r="B42" i="5"/>
  <c r="C43" i="4"/>
  <c r="D42" i="4"/>
  <c r="G42" i="5" s="1"/>
  <c r="B162" i="5"/>
  <c r="D162" i="4"/>
  <c r="G162" i="5" s="1"/>
  <c r="C162" i="4"/>
  <c r="B189" i="5"/>
  <c r="C190" i="4"/>
  <c r="D189" i="4"/>
  <c r="G189" i="5" s="1"/>
  <c r="C189" i="4"/>
  <c r="B217" i="5"/>
  <c r="C218" i="4"/>
  <c r="D229" i="4"/>
  <c r="G229" i="5" s="1"/>
  <c r="C217" i="4"/>
  <c r="B240" i="5"/>
  <c r="D252" i="4"/>
  <c r="G252" i="5" s="1"/>
  <c r="C241" i="4"/>
  <c r="B277" i="5"/>
  <c r="D289" i="4"/>
  <c r="G289" i="5" s="1"/>
  <c r="C277" i="4"/>
  <c r="B317" i="5"/>
  <c r="D329" i="4"/>
  <c r="G329" i="5" s="1"/>
  <c r="C317" i="4"/>
  <c r="C318" i="4"/>
  <c r="D317" i="4"/>
  <c r="G317" i="5" s="1"/>
  <c r="B332" i="5"/>
  <c r="D344" i="4"/>
  <c r="G344" i="5" s="1"/>
  <c r="C333" i="4"/>
  <c r="C332" i="4"/>
  <c r="B372" i="5"/>
  <c r="D384" i="4"/>
  <c r="G384" i="5" s="1"/>
  <c r="C372" i="4"/>
  <c r="B499" i="5"/>
  <c r="D499" i="4"/>
  <c r="G499" i="5" s="1"/>
  <c r="C500" i="4"/>
  <c r="C499" i="4"/>
  <c r="D511" i="4"/>
  <c r="G511" i="5" s="1"/>
  <c r="C213" i="3"/>
  <c r="C226" i="3"/>
  <c r="C248" i="3"/>
  <c r="D271" i="3"/>
  <c r="D281" i="3"/>
  <c r="D291" i="3"/>
  <c r="C296" i="3"/>
  <c r="C301" i="3"/>
  <c r="D315" i="3"/>
  <c r="C320" i="3"/>
  <c r="C325" i="3"/>
  <c r="D335" i="3"/>
  <c r="C340" i="3"/>
  <c r="C354" i="3"/>
  <c r="D364" i="3"/>
  <c r="C374" i="3"/>
  <c r="C379" i="3"/>
  <c r="D391" i="3"/>
  <c r="C415" i="3"/>
  <c r="D427" i="3"/>
  <c r="D435" i="3"/>
  <c r="C445" i="3"/>
  <c r="D475" i="3"/>
  <c r="C480" i="3"/>
  <c r="D516" i="3"/>
  <c r="C537" i="3"/>
  <c r="C551" i="3"/>
  <c r="D551" i="3"/>
  <c r="D579" i="3"/>
  <c r="D585" i="3"/>
  <c r="D665" i="3"/>
  <c r="D672" i="3"/>
  <c r="D692" i="3"/>
  <c r="C42" i="4"/>
  <c r="B234" i="5"/>
  <c r="D246" i="4"/>
  <c r="G246" i="5" s="1"/>
  <c r="C234" i="4"/>
  <c r="C240" i="4"/>
  <c r="B309" i="5"/>
  <c r="C309" i="4"/>
  <c r="C310" i="4"/>
  <c r="D321" i="4"/>
  <c r="G321" i="5" s="1"/>
  <c r="B364" i="5"/>
  <c r="D376" i="4"/>
  <c r="G376" i="5" s="1"/>
  <c r="C364" i="4"/>
  <c r="B424" i="5"/>
  <c r="D436" i="4"/>
  <c r="G436" i="5" s="1"/>
  <c r="C424" i="4"/>
  <c r="B446" i="5"/>
  <c r="C446" i="4"/>
  <c r="D458" i="4"/>
  <c r="G458" i="5" s="1"/>
  <c r="C447" i="4"/>
  <c r="D446" i="4"/>
  <c r="G446" i="5" s="1"/>
  <c r="C163" i="3"/>
  <c r="C211" i="3"/>
  <c r="D254" i="3"/>
  <c r="C259" i="3"/>
  <c r="C279" i="3"/>
  <c r="D293" i="3"/>
  <c r="D303" i="3"/>
  <c r="C323" i="3"/>
  <c r="D376" i="3"/>
  <c r="D404" i="3"/>
  <c r="C407" i="3"/>
  <c r="D442" i="3"/>
  <c r="C500" i="3"/>
  <c r="D512" i="3"/>
  <c r="C520" i="3"/>
  <c r="C521" i="3"/>
  <c r="D520" i="3"/>
  <c r="C563" i="3"/>
  <c r="D575" i="3"/>
  <c r="D581" i="3"/>
  <c r="C570" i="3"/>
  <c r="D569" i="3"/>
  <c r="C655" i="3"/>
  <c r="D667" i="3"/>
  <c r="D674" i="3"/>
  <c r="D662" i="3"/>
  <c r="C683" i="3"/>
  <c r="D695" i="3"/>
  <c r="D729" i="3"/>
  <c r="D756" i="3"/>
  <c r="C744" i="3"/>
  <c r="D23" i="4"/>
  <c r="G23" i="5" s="1"/>
  <c r="B313" i="5"/>
  <c r="D325" i="4"/>
  <c r="G325" i="5" s="1"/>
  <c r="C313" i="4"/>
  <c r="B383" i="5"/>
  <c r="C383" i="4"/>
  <c r="C384" i="4"/>
  <c r="D395" i="4"/>
  <c r="G395" i="5" s="1"/>
  <c r="B486" i="5"/>
  <c r="D486" i="4"/>
  <c r="G486" i="5" s="1"/>
  <c r="C487" i="4"/>
  <c r="D498" i="4"/>
  <c r="G498" i="5" s="1"/>
  <c r="B656" i="5"/>
  <c r="D668" i="4"/>
  <c r="G668" i="5" s="1"/>
  <c r="C656" i="4"/>
  <c r="C159" i="3"/>
  <c r="D189" i="3"/>
  <c r="D202" i="3"/>
  <c r="C207" i="3"/>
  <c r="D224" i="3"/>
  <c r="D237" i="3"/>
  <c r="D250" i="3"/>
  <c r="C260" i="3"/>
  <c r="D272" i="3"/>
  <c r="C294" i="3"/>
  <c r="C299" i="3"/>
  <c r="D355" i="3"/>
  <c r="C367" i="3"/>
  <c r="C377" i="3"/>
  <c r="C382" i="3"/>
  <c r="C418" i="3"/>
  <c r="C474" i="3"/>
  <c r="D473" i="3"/>
  <c r="C495" i="3"/>
  <c r="C547" i="3"/>
  <c r="D547" i="3"/>
  <c r="D559" i="3"/>
  <c r="C596" i="3"/>
  <c r="C597" i="3"/>
  <c r="D608" i="3"/>
  <c r="D637" i="3"/>
  <c r="C626" i="3"/>
  <c r="C639" i="3"/>
  <c r="D639" i="3"/>
  <c r="D757" i="3"/>
  <c r="C746" i="3"/>
  <c r="D745" i="3"/>
  <c r="D30" i="4"/>
  <c r="G30" i="5" s="1"/>
  <c r="B54" i="5"/>
  <c r="D66" i="4"/>
  <c r="G66" i="5" s="1"/>
  <c r="B194" i="5"/>
  <c r="D206" i="4"/>
  <c r="G206" i="5" s="1"/>
  <c r="B254" i="5"/>
  <c r="D266" i="4"/>
  <c r="G266" i="5" s="1"/>
  <c r="B378" i="5"/>
  <c r="C379" i="4"/>
  <c r="D390" i="4"/>
  <c r="G390" i="5" s="1"/>
  <c r="B478" i="5"/>
  <c r="C478" i="4"/>
  <c r="D490" i="4"/>
  <c r="G490" i="5" s="1"/>
  <c r="D478" i="4"/>
  <c r="G478" i="5" s="1"/>
  <c r="B606" i="5"/>
  <c r="C606" i="4"/>
  <c r="D618" i="4"/>
  <c r="G618" i="5" s="1"/>
  <c r="B612" i="5"/>
  <c r="D624" i="4"/>
  <c r="G624" i="5" s="1"/>
  <c r="D612" i="4"/>
  <c r="G612" i="5" s="1"/>
  <c r="C203" i="3"/>
  <c r="C251" i="3"/>
  <c r="C275" i="3"/>
  <c r="D294" i="3"/>
  <c r="D377" i="3"/>
  <c r="D554" i="3"/>
  <c r="D576" i="3"/>
  <c r="C565" i="3"/>
  <c r="C611" i="3"/>
  <c r="D611" i="3"/>
  <c r="C670" i="3"/>
  <c r="D670" i="3"/>
  <c r="C690" i="3"/>
  <c r="D690" i="3"/>
  <c r="D702" i="3"/>
  <c r="C731" i="3"/>
  <c r="D743" i="3"/>
  <c r="C767" i="3"/>
  <c r="D767" i="3"/>
  <c r="B31" i="5"/>
  <c r="D43" i="4"/>
  <c r="G43" i="5" s="1"/>
  <c r="C31" i="4"/>
  <c r="B40" i="5"/>
  <c r="D52" i="4"/>
  <c r="G52" i="5" s="1"/>
  <c r="C40" i="4"/>
  <c r="C54" i="4"/>
  <c r="C194" i="4"/>
  <c r="D201" i="4"/>
  <c r="G201" i="5" s="1"/>
  <c r="B208" i="5"/>
  <c r="D220" i="4"/>
  <c r="G220" i="5" s="1"/>
  <c r="C209" i="4"/>
  <c r="C208" i="4"/>
  <c r="C254" i="4"/>
  <c r="B322" i="5"/>
  <c r="C322" i="4"/>
  <c r="D334" i="4"/>
  <c r="G334" i="5" s="1"/>
  <c r="B346" i="5"/>
  <c r="C347" i="4"/>
  <c r="D358" i="4"/>
  <c r="G358" i="5" s="1"/>
  <c r="C346" i="4"/>
  <c r="C378" i="4"/>
  <c r="B436" i="5"/>
  <c r="D448" i="4"/>
  <c r="G448" i="5" s="1"/>
  <c r="C437" i="4"/>
  <c r="C436" i="4"/>
  <c r="B451" i="5"/>
  <c r="D463" i="4"/>
  <c r="G463" i="5" s="1"/>
  <c r="C452" i="4"/>
  <c r="D559" i="4"/>
  <c r="G559" i="5" s="1"/>
  <c r="C612" i="4"/>
  <c r="C247" i="3"/>
  <c r="D259" i="3"/>
  <c r="D251" i="3"/>
  <c r="D307" i="3"/>
  <c r="C300" i="3"/>
  <c r="C324" i="3"/>
  <c r="C334" i="3"/>
  <c r="D346" i="3"/>
  <c r="D390" i="3"/>
  <c r="C383" i="3"/>
  <c r="D395" i="3"/>
  <c r="C444" i="3"/>
  <c r="D466" i="3"/>
  <c r="D468" i="3"/>
  <c r="C489" i="3"/>
  <c r="C501" i="3"/>
  <c r="C542" i="3"/>
  <c r="C564" i="3"/>
  <c r="D596" i="3"/>
  <c r="D590" i="3"/>
  <c r="C619" i="3"/>
  <c r="D631" i="3"/>
  <c r="D619" i="3"/>
  <c r="D625" i="3"/>
  <c r="C640" i="3"/>
  <c r="C671" i="3"/>
  <c r="D683" i="3"/>
  <c r="C697" i="3"/>
  <c r="C738" i="3"/>
  <c r="D752" i="3"/>
  <c r="C769" i="3"/>
  <c r="C768" i="3"/>
  <c r="C11" i="4"/>
  <c r="D18" i="4"/>
  <c r="G18" i="5" s="1"/>
  <c r="B41" i="5"/>
  <c r="D53" i="4"/>
  <c r="G53" i="5" s="1"/>
  <c r="C41" i="4"/>
  <c r="D54" i="4"/>
  <c r="G54" i="5" s="1"/>
  <c r="D174" i="4"/>
  <c r="G174" i="5" s="1"/>
  <c r="B231" i="5"/>
  <c r="D243" i="4"/>
  <c r="G243" i="5" s="1"/>
  <c r="C231" i="4"/>
  <c r="D322" i="4"/>
  <c r="G322" i="5" s="1"/>
  <c r="D378" i="4"/>
  <c r="G378" i="5" s="1"/>
  <c r="B386" i="5"/>
  <c r="D398" i="4"/>
  <c r="G398" i="5" s="1"/>
  <c r="C386" i="4"/>
  <c r="C387" i="4"/>
  <c r="D386" i="4"/>
  <c r="G386" i="5" s="1"/>
  <c r="C479" i="4"/>
  <c r="B579" i="5"/>
  <c r="C579" i="4"/>
  <c r="D591" i="4"/>
  <c r="G591" i="5" s="1"/>
  <c r="B587" i="5"/>
  <c r="C587" i="4"/>
  <c r="D599" i="4"/>
  <c r="G599" i="5" s="1"/>
  <c r="C588" i="4"/>
  <c r="B607" i="5"/>
  <c r="C607" i="4"/>
  <c r="D607" i="4"/>
  <c r="G607" i="5" s="1"/>
  <c r="D619" i="4"/>
  <c r="G619" i="5" s="1"/>
  <c r="C147" i="3"/>
  <c r="C195" i="3"/>
  <c r="D199" i="3"/>
  <c r="C243" i="3"/>
  <c r="D247" i="3"/>
  <c r="D329" i="3"/>
  <c r="C368" i="3"/>
  <c r="C378" i="3"/>
  <c r="C403" i="3"/>
  <c r="D421" i="3"/>
  <c r="C409" i="3"/>
  <c r="C429" i="3"/>
  <c r="C459" i="3"/>
  <c r="D471" i="3"/>
  <c r="C496" i="3"/>
  <c r="C502" i="3"/>
  <c r="D514" i="3"/>
  <c r="D542" i="3"/>
  <c r="D584" i="3"/>
  <c r="C572" i="3"/>
  <c r="C584" i="3"/>
  <c r="D653" i="3"/>
  <c r="C642" i="3"/>
  <c r="D661" i="3"/>
  <c r="C649" i="3"/>
  <c r="C650" i="3"/>
  <c r="C657" i="3"/>
  <c r="D657" i="3"/>
  <c r="D669" i="3"/>
  <c r="D671" i="3"/>
  <c r="D697" i="3"/>
  <c r="C739" i="3"/>
  <c r="D751" i="3"/>
  <c r="B12" i="5"/>
  <c r="D24" i="4"/>
  <c r="G24" i="5" s="1"/>
  <c r="B19" i="5"/>
  <c r="C19" i="4"/>
  <c r="D31" i="4"/>
  <c r="G31" i="5" s="1"/>
  <c r="B33" i="5"/>
  <c r="D33" i="4"/>
  <c r="G33" i="5" s="1"/>
  <c r="C33" i="4"/>
  <c r="D41" i="4"/>
  <c r="G41" i="5" s="1"/>
  <c r="B97" i="5"/>
  <c r="C98" i="4"/>
  <c r="B175" i="5"/>
  <c r="C176" i="4"/>
  <c r="B291" i="5"/>
  <c r="C292" i="4"/>
  <c r="C291" i="4"/>
  <c r="D303" i="4"/>
  <c r="G303" i="5" s="1"/>
  <c r="B299" i="5"/>
  <c r="D311" i="4"/>
  <c r="G311" i="5" s="1"/>
  <c r="D299" i="4"/>
  <c r="G299" i="5" s="1"/>
  <c r="C299" i="4"/>
  <c r="B308" i="5"/>
  <c r="D320" i="4"/>
  <c r="G320" i="5" s="1"/>
  <c r="B355" i="5"/>
  <c r="C356" i="4"/>
  <c r="D367" i="4"/>
  <c r="G367" i="5" s="1"/>
  <c r="B363" i="5"/>
  <c r="D375" i="4"/>
  <c r="G375" i="5" s="1"/>
  <c r="C363" i="4"/>
  <c r="D451" i="4"/>
  <c r="G451" i="5" s="1"/>
  <c r="D587" i="4"/>
  <c r="G587" i="5" s="1"/>
  <c r="B631" i="5"/>
  <c r="C631" i="4"/>
  <c r="D643" i="4"/>
  <c r="G643" i="5" s="1"/>
  <c r="D548" i="3"/>
  <c r="D598" i="3"/>
  <c r="D603" i="3"/>
  <c r="D618" i="3"/>
  <c r="D649" i="3"/>
  <c r="D744" i="3"/>
  <c r="C733" i="3"/>
  <c r="C732" i="3"/>
  <c r="D768" i="3"/>
  <c r="B28" i="5"/>
  <c r="D40" i="4"/>
  <c r="G40" i="5" s="1"/>
  <c r="C29" i="4"/>
  <c r="B51" i="5"/>
  <c r="C52" i="4"/>
  <c r="D63" i="4"/>
  <c r="G63" i="5" s="1"/>
  <c r="C69" i="4"/>
  <c r="B69" i="5"/>
  <c r="B82" i="5"/>
  <c r="C82" i="4"/>
  <c r="D94" i="4"/>
  <c r="G94" i="5" s="1"/>
  <c r="B88" i="5"/>
  <c r="D100" i="4"/>
  <c r="G100" i="5" s="1"/>
  <c r="C89" i="4"/>
  <c r="B114" i="5"/>
  <c r="D126" i="4"/>
  <c r="G126" i="5" s="1"/>
  <c r="C114" i="4"/>
  <c r="B160" i="5"/>
  <c r="D172" i="4"/>
  <c r="G172" i="5" s="1"/>
  <c r="C160" i="4"/>
  <c r="B327" i="5"/>
  <c r="D339" i="4"/>
  <c r="G339" i="5" s="1"/>
  <c r="B340" i="5"/>
  <c r="D352" i="4"/>
  <c r="G352" i="5" s="1"/>
  <c r="C340" i="4"/>
  <c r="D353" i="4"/>
  <c r="G353" i="5" s="1"/>
  <c r="B368" i="5"/>
  <c r="D380" i="4"/>
  <c r="G380" i="5" s="1"/>
  <c r="B382" i="5"/>
  <c r="D394" i="4"/>
  <c r="G394" i="5" s="1"/>
  <c r="B395" i="5"/>
  <c r="D407" i="4"/>
  <c r="G407" i="5" s="1"/>
  <c r="C395" i="4"/>
  <c r="B421" i="5"/>
  <c r="D433" i="4"/>
  <c r="G433" i="5" s="1"/>
  <c r="C421" i="4"/>
  <c r="B515" i="5"/>
  <c r="D527" i="4"/>
  <c r="G527" i="5" s="1"/>
  <c r="C515" i="4"/>
  <c r="D515" i="4"/>
  <c r="G515" i="5" s="1"/>
  <c r="B552" i="5"/>
  <c r="D564" i="4"/>
  <c r="G564" i="5" s="1"/>
  <c r="D677" i="4"/>
  <c r="G677" i="5" s="1"/>
  <c r="C665" i="4"/>
  <c r="C666" i="4"/>
  <c r="B665" i="5"/>
  <c r="B676" i="5"/>
  <c r="D688" i="4"/>
  <c r="G688" i="5" s="1"/>
  <c r="C676" i="4"/>
  <c r="B239" i="5"/>
  <c r="C239" i="4"/>
  <c r="D251" i="4"/>
  <c r="G251" i="5" s="1"/>
  <c r="B314" i="5"/>
  <c r="D326" i="4"/>
  <c r="G326" i="5" s="1"/>
  <c r="B360" i="5"/>
  <c r="D372" i="4"/>
  <c r="G372" i="5" s="1"/>
  <c r="C361" i="4"/>
  <c r="C360" i="4"/>
  <c r="B516" i="5"/>
  <c r="D528" i="4"/>
  <c r="G528" i="5" s="1"/>
  <c r="B524" i="5"/>
  <c r="D524" i="4"/>
  <c r="G524" i="5" s="1"/>
  <c r="D536" i="4"/>
  <c r="G536" i="5" s="1"/>
  <c r="C524" i="4"/>
  <c r="B547" i="5"/>
  <c r="C548" i="4"/>
  <c r="B560" i="5"/>
  <c r="D572" i="4"/>
  <c r="G572" i="5" s="1"/>
  <c r="D560" i="4"/>
  <c r="G560" i="5" s="1"/>
  <c r="C560" i="4"/>
  <c r="B611" i="5"/>
  <c r="D623" i="4"/>
  <c r="G623" i="5" s="1"/>
  <c r="C611" i="4"/>
  <c r="B616" i="5"/>
  <c r="C616" i="4"/>
  <c r="D628" i="4"/>
  <c r="G628" i="5" s="1"/>
  <c r="B621" i="5"/>
  <c r="C621" i="4"/>
  <c r="D633" i="4"/>
  <c r="G633" i="5" s="1"/>
  <c r="B627" i="5"/>
  <c r="C627" i="4"/>
  <c r="D639" i="4"/>
  <c r="G639" i="5" s="1"/>
  <c r="D627" i="4"/>
  <c r="G627" i="5" s="1"/>
  <c r="B671" i="5"/>
  <c r="D683" i="4"/>
  <c r="G683" i="5" s="1"/>
  <c r="C671" i="4"/>
  <c r="C516" i="3"/>
  <c r="D536" i="3"/>
  <c r="C589" i="3"/>
  <c r="C594" i="3"/>
  <c r="D614" i="3"/>
  <c r="C645" i="3"/>
  <c r="D660" i="3"/>
  <c r="C682" i="3"/>
  <c r="C681" i="3"/>
  <c r="D726" i="3"/>
  <c r="D46" i="4"/>
  <c r="G46" i="5" s="1"/>
  <c r="B70" i="5"/>
  <c r="D70" i="4"/>
  <c r="G70" i="5" s="1"/>
  <c r="C70" i="4"/>
  <c r="B83" i="5"/>
  <c r="C84" i="4"/>
  <c r="B96" i="5"/>
  <c r="D108" i="4"/>
  <c r="G108" i="5" s="1"/>
  <c r="B102" i="5"/>
  <c r="C103" i="4"/>
  <c r="B115" i="5"/>
  <c r="C116" i="4"/>
  <c r="D127" i="4"/>
  <c r="G127" i="5" s="1"/>
  <c r="B153" i="5"/>
  <c r="D153" i="4"/>
  <c r="G153" i="5" s="1"/>
  <c r="C153" i="4"/>
  <c r="B180" i="5"/>
  <c r="D192" i="4"/>
  <c r="G192" i="5" s="1"/>
  <c r="C181" i="4"/>
  <c r="B212" i="5"/>
  <c r="D224" i="4"/>
  <c r="G224" i="5" s="1"/>
  <c r="D239" i="4"/>
  <c r="G239" i="5" s="1"/>
  <c r="B286" i="5"/>
  <c r="D298" i="4"/>
  <c r="G298" i="5" s="1"/>
  <c r="B294" i="5"/>
  <c r="D306" i="4"/>
  <c r="G306" i="5" s="1"/>
  <c r="C294" i="4"/>
  <c r="B300" i="5"/>
  <c r="D312" i="4"/>
  <c r="G312" i="5" s="1"/>
  <c r="C300" i="4"/>
  <c r="C301" i="4"/>
  <c r="C314" i="4"/>
  <c r="D327" i="4"/>
  <c r="G327" i="5" s="1"/>
  <c r="C341" i="4"/>
  <c r="B369" i="5"/>
  <c r="D381" i="4"/>
  <c r="G381" i="5" s="1"/>
  <c r="B377" i="5"/>
  <c r="D389" i="4"/>
  <c r="G389" i="5" s="1"/>
  <c r="C377" i="4"/>
  <c r="B396" i="5"/>
  <c r="D408" i="4"/>
  <c r="G408" i="5" s="1"/>
  <c r="C396" i="4"/>
  <c r="B415" i="5"/>
  <c r="D427" i="4"/>
  <c r="G427" i="5" s="1"/>
  <c r="B430" i="5"/>
  <c r="D442" i="4"/>
  <c r="G442" i="5" s="1"/>
  <c r="B456" i="5"/>
  <c r="D468" i="4"/>
  <c r="G468" i="5" s="1"/>
  <c r="C485" i="4"/>
  <c r="B485" i="5"/>
  <c r="D497" i="4"/>
  <c r="G497" i="5" s="1"/>
  <c r="B493" i="5"/>
  <c r="C493" i="4"/>
  <c r="C494" i="4"/>
  <c r="D505" i="4"/>
  <c r="G505" i="5" s="1"/>
  <c r="C516" i="4"/>
  <c r="C547" i="4"/>
  <c r="B553" i="5"/>
  <c r="D565" i="4"/>
  <c r="G565" i="5" s="1"/>
  <c r="C553" i="4"/>
  <c r="C554" i="4"/>
  <c r="B561" i="5"/>
  <c r="D573" i="4"/>
  <c r="G573" i="5" s="1"/>
  <c r="C561" i="4"/>
  <c r="B593" i="5"/>
  <c r="D605" i="4"/>
  <c r="G605" i="5" s="1"/>
  <c r="C593" i="4"/>
  <c r="B599" i="5"/>
  <c r="D611" i="4"/>
  <c r="G611" i="5" s="1"/>
  <c r="C599" i="4"/>
  <c r="D616" i="4"/>
  <c r="G616" i="5" s="1"/>
  <c r="B660" i="5"/>
  <c r="C660" i="4"/>
  <c r="D672" i="4"/>
  <c r="G672" i="5" s="1"/>
  <c r="D660" i="4"/>
  <c r="G660" i="5" s="1"/>
  <c r="D543" i="3"/>
  <c r="C559" i="3"/>
  <c r="D571" i="3"/>
  <c r="C575" i="3"/>
  <c r="D587" i="3"/>
  <c r="D644" i="3"/>
  <c r="C647" i="3"/>
  <c r="D693" i="3"/>
  <c r="C703" i="3"/>
  <c r="C735" i="3"/>
  <c r="C736" i="3"/>
  <c r="D747" i="3"/>
  <c r="C753" i="3"/>
  <c r="B13" i="5"/>
  <c r="D25" i="4"/>
  <c r="G25" i="5" s="1"/>
  <c r="C14" i="4"/>
  <c r="B55" i="5"/>
  <c r="C56" i="4"/>
  <c r="D72" i="4"/>
  <c r="G72" i="5" s="1"/>
  <c r="B60" i="5"/>
  <c r="C60" i="4"/>
  <c r="B79" i="5"/>
  <c r="D79" i="4"/>
  <c r="G79" i="5" s="1"/>
  <c r="C79" i="4"/>
  <c r="D91" i="4"/>
  <c r="G91" i="5" s="1"/>
  <c r="B105" i="5"/>
  <c r="D117" i="4"/>
  <c r="G117" i="5" s="1"/>
  <c r="C105" i="4"/>
  <c r="B124" i="5"/>
  <c r="D136" i="4"/>
  <c r="G136" i="5" s="1"/>
  <c r="B157" i="5"/>
  <c r="D169" i="4"/>
  <c r="G169" i="5" s="1"/>
  <c r="C158" i="4"/>
  <c r="B243" i="5"/>
  <c r="D255" i="4"/>
  <c r="G255" i="5" s="1"/>
  <c r="C243" i="4"/>
  <c r="B268" i="5"/>
  <c r="D280" i="4"/>
  <c r="G280" i="5" s="1"/>
  <c r="C268" i="4"/>
  <c r="B282" i="5"/>
  <c r="C283" i="4"/>
  <c r="D282" i="4"/>
  <c r="G282" i="5" s="1"/>
  <c r="C282" i="4"/>
  <c r="B323" i="5"/>
  <c r="D335" i="4"/>
  <c r="G335" i="5" s="1"/>
  <c r="B337" i="5"/>
  <c r="C338" i="4"/>
  <c r="D349" i="4"/>
  <c r="G349" i="5" s="1"/>
  <c r="D369" i="4"/>
  <c r="G369" i="5" s="1"/>
  <c r="B373" i="5"/>
  <c r="D385" i="4"/>
  <c r="G385" i="5" s="1"/>
  <c r="D416" i="4"/>
  <c r="G416" i="5" s="1"/>
  <c r="B404" i="5"/>
  <c r="C404" i="4"/>
  <c r="B411" i="5"/>
  <c r="D423" i="4"/>
  <c r="G423" i="5" s="1"/>
  <c r="C412" i="4"/>
  <c r="B426" i="5"/>
  <c r="D426" i="4"/>
  <c r="G426" i="5" s="1"/>
  <c r="D438" i="4"/>
  <c r="G438" i="5" s="1"/>
  <c r="C427" i="4"/>
  <c r="C426" i="4"/>
  <c r="B441" i="5"/>
  <c r="D453" i="4"/>
  <c r="G453" i="5" s="1"/>
  <c r="C442" i="4"/>
  <c r="B480" i="5"/>
  <c r="D492" i="4"/>
  <c r="G492" i="5" s="1"/>
  <c r="B504" i="5"/>
  <c r="C504" i="4"/>
  <c r="B566" i="5"/>
  <c r="D578" i="4"/>
  <c r="G578" i="5" s="1"/>
  <c r="D566" i="4"/>
  <c r="G566" i="5" s="1"/>
  <c r="C566" i="4"/>
  <c r="B645" i="5"/>
  <c r="C645" i="4"/>
  <c r="D657" i="4"/>
  <c r="G657" i="5" s="1"/>
  <c r="C255" i="3"/>
  <c r="C303" i="3"/>
  <c r="C351" i="3"/>
  <c r="C395" i="3"/>
  <c r="C423" i="3"/>
  <c r="C455" i="3"/>
  <c r="C478" i="3"/>
  <c r="C483" i="3"/>
  <c r="C513" i="3"/>
  <c r="C529" i="3"/>
  <c r="C549" i="3"/>
  <c r="C576" i="3"/>
  <c r="C606" i="3"/>
  <c r="C612" i="3"/>
  <c r="C632" i="3"/>
  <c r="D647" i="3"/>
  <c r="C658" i="3"/>
  <c r="C668" i="3"/>
  <c r="C684" i="3"/>
  <c r="D703" i="3"/>
  <c r="D735" i="3"/>
  <c r="D753" i="3"/>
  <c r="C759" i="3"/>
  <c r="C760" i="3"/>
  <c r="D759" i="3"/>
  <c r="D765" i="3"/>
  <c r="C13" i="4"/>
  <c r="C55" i="4"/>
  <c r="B61" i="5"/>
  <c r="D73" i="4"/>
  <c r="G73" i="5" s="1"/>
  <c r="D61" i="4"/>
  <c r="G61" i="5" s="1"/>
  <c r="C61" i="4"/>
  <c r="B74" i="5"/>
  <c r="D86" i="4"/>
  <c r="G86" i="5" s="1"/>
  <c r="C75" i="4"/>
  <c r="B92" i="5"/>
  <c r="D104" i="4"/>
  <c r="G104" i="5" s="1"/>
  <c r="B111" i="5"/>
  <c r="C112" i="4"/>
  <c r="D123" i="4"/>
  <c r="G123" i="5" s="1"/>
  <c r="C124" i="4"/>
  <c r="C157" i="4"/>
  <c r="B171" i="5"/>
  <c r="D183" i="4"/>
  <c r="G183" i="5" s="1"/>
  <c r="B184" i="5"/>
  <c r="D196" i="4"/>
  <c r="G196" i="5" s="1"/>
  <c r="B244" i="5"/>
  <c r="D256" i="4"/>
  <c r="G256" i="5" s="1"/>
  <c r="B290" i="5"/>
  <c r="D302" i="4"/>
  <c r="G302" i="5" s="1"/>
  <c r="B304" i="5"/>
  <c r="D316" i="4"/>
  <c r="G316" i="5" s="1"/>
  <c r="C305" i="4"/>
  <c r="C323" i="4"/>
  <c r="C337" i="4"/>
  <c r="B351" i="5"/>
  <c r="D351" i="4"/>
  <c r="G351" i="5" s="1"/>
  <c r="C351" i="4"/>
  <c r="B365" i="5"/>
  <c r="C366" i="4"/>
  <c r="D365" i="4"/>
  <c r="G365" i="5" s="1"/>
  <c r="C365" i="4"/>
  <c r="C373" i="4"/>
  <c r="D399" i="4"/>
  <c r="G399" i="5" s="1"/>
  <c r="C411" i="4"/>
  <c r="B419" i="5"/>
  <c r="D431" i="4"/>
  <c r="G431" i="5" s="1"/>
  <c r="C419" i="4"/>
  <c r="B434" i="5"/>
  <c r="C434" i="4"/>
  <c r="C441" i="4"/>
  <c r="C480" i="4"/>
  <c r="D504" i="4"/>
  <c r="G504" i="5" s="1"/>
  <c r="B529" i="5"/>
  <c r="C529" i="4"/>
  <c r="D541" i="4"/>
  <c r="G541" i="5" s="1"/>
  <c r="B581" i="5"/>
  <c r="D593" i="4"/>
  <c r="G593" i="5" s="1"/>
  <c r="C581" i="4"/>
  <c r="C582" i="4"/>
  <c r="C503" i="3"/>
  <c r="D515" i="3"/>
  <c r="C519" i="3"/>
  <c r="D552" i="3"/>
  <c r="C555" i="3"/>
  <c r="C699" i="3"/>
  <c r="C715" i="3"/>
  <c r="D727" i="3"/>
  <c r="D737" i="3"/>
  <c r="B27" i="5"/>
  <c r="D39" i="4"/>
  <c r="G39" i="5" s="1"/>
  <c r="D44" i="4"/>
  <c r="G44" i="5" s="1"/>
  <c r="B32" i="5"/>
  <c r="B45" i="5"/>
  <c r="D57" i="4"/>
  <c r="G57" i="5" s="1"/>
  <c r="B50" i="5"/>
  <c r="D62" i="4"/>
  <c r="G62" i="5" s="1"/>
  <c r="D55" i="4"/>
  <c r="G55" i="5" s="1"/>
  <c r="D67" i="4"/>
  <c r="G67" i="5" s="1"/>
  <c r="B87" i="5"/>
  <c r="D99" i="4"/>
  <c r="G99" i="5" s="1"/>
  <c r="B106" i="5"/>
  <c r="C107" i="4"/>
  <c r="D118" i="4"/>
  <c r="G118" i="5" s="1"/>
  <c r="B125" i="5"/>
  <c r="C126" i="4"/>
  <c r="D125" i="4"/>
  <c r="G125" i="5" s="1"/>
  <c r="D137" i="4"/>
  <c r="G137" i="5" s="1"/>
  <c r="D157" i="4"/>
  <c r="G157" i="5" s="1"/>
  <c r="D165" i="4"/>
  <c r="G165" i="5" s="1"/>
  <c r="B203" i="5"/>
  <c r="D215" i="4"/>
  <c r="G215" i="5" s="1"/>
  <c r="B216" i="5"/>
  <c r="D228" i="4"/>
  <c r="G228" i="5" s="1"/>
  <c r="B230" i="5"/>
  <c r="D242" i="4"/>
  <c r="G242" i="5" s="1"/>
  <c r="C244" i="4"/>
  <c r="B276" i="5"/>
  <c r="D288" i="4"/>
  <c r="G288" i="5" s="1"/>
  <c r="D373" i="4"/>
  <c r="G373" i="5" s="1"/>
  <c r="D441" i="4"/>
  <c r="G441" i="5" s="1"/>
  <c r="B460" i="5"/>
  <c r="C460" i="4"/>
  <c r="B473" i="5"/>
  <c r="C473" i="4"/>
  <c r="C474" i="4"/>
  <c r="D493" i="4"/>
  <c r="G493" i="5" s="1"/>
  <c r="C521" i="4"/>
  <c r="B521" i="5"/>
  <c r="D533" i="4"/>
  <c r="G533" i="5" s="1"/>
  <c r="B636" i="5"/>
  <c r="D648" i="4"/>
  <c r="G648" i="5" s="1"/>
  <c r="B646" i="5"/>
  <c r="C646" i="4"/>
  <c r="D658" i="4"/>
  <c r="G658" i="5" s="1"/>
  <c r="C295" i="3"/>
  <c r="C343" i="3"/>
  <c r="C419" i="3"/>
  <c r="C451" i="3"/>
  <c r="C465" i="3"/>
  <c r="D482" i="3"/>
  <c r="C479" i="3"/>
  <c r="D491" i="3"/>
  <c r="D510" i="3"/>
  <c r="D519" i="3"/>
  <c r="C540" i="3"/>
  <c r="D555" i="3"/>
  <c r="D578" i="3"/>
  <c r="C566" i="3"/>
  <c r="C587" i="3"/>
  <c r="C592" i="3"/>
  <c r="C607" i="3"/>
  <c r="C623" i="3"/>
  <c r="D635" i="3"/>
  <c r="C674" i="3"/>
  <c r="D679" i="3"/>
  <c r="D699" i="3"/>
  <c r="D715" i="3"/>
  <c r="C725" i="3"/>
  <c r="C754" i="3"/>
  <c r="D766" i="3"/>
  <c r="C6" i="4"/>
  <c r="B22" i="5"/>
  <c r="D34" i="4"/>
  <c r="G34" i="5" s="1"/>
  <c r="C27" i="4"/>
  <c r="C32" i="4"/>
  <c r="C45" i="4"/>
  <c r="C50" i="4"/>
  <c r="D75" i="4"/>
  <c r="G75" i="5" s="1"/>
  <c r="B63" i="5"/>
  <c r="B68" i="5"/>
  <c r="D80" i="4"/>
  <c r="G80" i="5" s="1"/>
  <c r="C87" i="4"/>
  <c r="B93" i="5"/>
  <c r="D93" i="4"/>
  <c r="G93" i="5" s="1"/>
  <c r="C93" i="4"/>
  <c r="C106" i="4"/>
  <c r="C125" i="4"/>
  <c r="B138" i="5"/>
  <c r="D150" i="4"/>
  <c r="G150" i="5" s="1"/>
  <c r="C139" i="4"/>
  <c r="B143" i="5"/>
  <c r="C143" i="4"/>
  <c r="C144" i="4"/>
  <c r="D155" i="4"/>
  <c r="G155" i="5" s="1"/>
  <c r="B151" i="5"/>
  <c r="D163" i="4"/>
  <c r="G163" i="5" s="1"/>
  <c r="C151" i="4"/>
  <c r="B166" i="5"/>
  <c r="C167" i="4"/>
  <c r="D178" i="4"/>
  <c r="G178" i="5" s="1"/>
  <c r="B185" i="5"/>
  <c r="D197" i="4"/>
  <c r="G197" i="5" s="1"/>
  <c r="D203" i="4"/>
  <c r="G203" i="5" s="1"/>
  <c r="C203" i="4"/>
  <c r="D210" i="4"/>
  <c r="G210" i="5" s="1"/>
  <c r="C216" i="4"/>
  <c r="C230" i="4"/>
  <c r="D257" i="4"/>
  <c r="G257" i="5" s="1"/>
  <c r="B263" i="5"/>
  <c r="D275" i="4"/>
  <c r="G275" i="5" s="1"/>
  <c r="C276" i="4"/>
  <c r="B312" i="5"/>
  <c r="D324" i="4"/>
  <c r="G324" i="5" s="1"/>
  <c r="C312" i="4"/>
  <c r="B359" i="5"/>
  <c r="D371" i="4"/>
  <c r="G371" i="5" s="1"/>
  <c r="B374" i="5"/>
  <c r="C375" i="4"/>
  <c r="C374" i="4"/>
  <c r="B388" i="5"/>
  <c r="D400" i="4"/>
  <c r="G400" i="5" s="1"/>
  <c r="C389" i="4"/>
  <c r="C388" i="4"/>
  <c r="B406" i="5"/>
  <c r="D418" i="4"/>
  <c r="G418" i="5" s="1"/>
  <c r="C407" i="4"/>
  <c r="B420" i="5"/>
  <c r="D432" i="4"/>
  <c r="G432" i="5" s="1"/>
  <c r="B435" i="5"/>
  <c r="C435" i="4"/>
  <c r="D447" i="4"/>
  <c r="G447" i="5" s="1"/>
  <c r="B461" i="5"/>
  <c r="C461" i="4"/>
  <c r="D473" i="4"/>
  <c r="G473" i="5" s="1"/>
  <c r="B530" i="5"/>
  <c r="D542" i="4"/>
  <c r="G542" i="5" s="1"/>
  <c r="B575" i="5"/>
  <c r="C576" i="4"/>
  <c r="C636" i="4"/>
  <c r="B675" i="5"/>
  <c r="C675" i="4"/>
  <c r="D687" i="4"/>
  <c r="G687" i="5" s="1"/>
  <c r="D140" i="4"/>
  <c r="G140" i="5" s="1"/>
  <c r="B128" i="5"/>
  <c r="C165" i="4"/>
  <c r="B165" i="5"/>
  <c r="B170" i="5"/>
  <c r="D182" i="4"/>
  <c r="G182" i="5" s="1"/>
  <c r="B188" i="5"/>
  <c r="D200" i="4"/>
  <c r="G200" i="5" s="1"/>
  <c r="B253" i="5"/>
  <c r="D265" i="4"/>
  <c r="G265" i="5" s="1"/>
  <c r="B400" i="5"/>
  <c r="D412" i="4"/>
  <c r="G412" i="5" s="1"/>
  <c r="B410" i="5"/>
  <c r="D422" i="4"/>
  <c r="G422" i="5" s="1"/>
  <c r="B445" i="5"/>
  <c r="D457" i="4"/>
  <c r="G457" i="5" s="1"/>
  <c r="D484" i="4"/>
  <c r="G484" i="5" s="1"/>
  <c r="B509" i="5"/>
  <c r="C509" i="4"/>
  <c r="D521" i="4"/>
  <c r="G521" i="5" s="1"/>
  <c r="B528" i="5"/>
  <c r="D540" i="4"/>
  <c r="G540" i="5" s="1"/>
  <c r="C528" i="4"/>
  <c r="B567" i="5"/>
  <c r="C567" i="4"/>
  <c r="B573" i="5"/>
  <c r="D585" i="4"/>
  <c r="G585" i="5" s="1"/>
  <c r="C573" i="4"/>
  <c r="D579" i="4"/>
  <c r="G579" i="5" s="1"/>
  <c r="D606" i="4"/>
  <c r="G606" i="5" s="1"/>
  <c r="B594" i="5"/>
  <c r="D594" i="4"/>
  <c r="G594" i="5" s="1"/>
  <c r="B625" i="5"/>
  <c r="D637" i="4"/>
  <c r="G637" i="5" s="1"/>
  <c r="C625" i="4"/>
  <c r="B635" i="5"/>
  <c r="D647" i="4"/>
  <c r="G647" i="5" s="1"/>
  <c r="C635" i="4"/>
  <c r="B680" i="5"/>
  <c r="D692" i="4"/>
  <c r="G692" i="5" s="1"/>
  <c r="C680" i="4"/>
  <c r="B661" i="5"/>
  <c r="D673" i="4"/>
  <c r="G673" i="5" s="1"/>
  <c r="C661" i="4"/>
  <c r="B706" i="5"/>
  <c r="D718" i="4"/>
  <c r="G718" i="5" s="1"/>
  <c r="C706" i="4"/>
  <c r="D36" i="4"/>
  <c r="G36" i="5" s="1"/>
  <c r="B24" i="5"/>
  <c r="B47" i="5"/>
  <c r="C47" i="4"/>
  <c r="B52" i="5"/>
  <c r="D64" i="4"/>
  <c r="G64" i="5" s="1"/>
  <c r="D65" i="4"/>
  <c r="G65" i="5" s="1"/>
  <c r="B84" i="5"/>
  <c r="D96" i="4"/>
  <c r="G96" i="5" s="1"/>
  <c r="D102" i="4"/>
  <c r="G102" i="5" s="1"/>
  <c r="D111" i="4"/>
  <c r="G111" i="5" s="1"/>
  <c r="B116" i="5"/>
  <c r="D128" i="4"/>
  <c r="G128" i="5" s="1"/>
  <c r="B130" i="5"/>
  <c r="C130" i="4"/>
  <c r="B135" i="5"/>
  <c r="D147" i="4"/>
  <c r="G147" i="5" s="1"/>
  <c r="B144" i="5"/>
  <c r="D156" i="4"/>
  <c r="G156" i="5" s="1"/>
  <c r="D171" i="4"/>
  <c r="G171" i="5" s="1"/>
  <c r="D188" i="4"/>
  <c r="G188" i="5" s="1"/>
  <c r="B176" i="5"/>
  <c r="D185" i="4"/>
  <c r="G185" i="5" s="1"/>
  <c r="D194" i="4"/>
  <c r="G194" i="5" s="1"/>
  <c r="B213" i="5"/>
  <c r="C213" i="4"/>
  <c r="B218" i="5"/>
  <c r="D230" i="4"/>
  <c r="G230" i="5" s="1"/>
  <c r="D231" i="4"/>
  <c r="G231" i="5" s="1"/>
  <c r="B236" i="5"/>
  <c r="D248" i="4"/>
  <c r="G248" i="5" s="1"/>
  <c r="D245" i="4"/>
  <c r="G245" i="5" s="1"/>
  <c r="D254" i="4"/>
  <c r="G254" i="5" s="1"/>
  <c r="D263" i="4"/>
  <c r="G263" i="5" s="1"/>
  <c r="D277" i="4"/>
  <c r="G277" i="5" s="1"/>
  <c r="B301" i="5"/>
  <c r="D313" i="4"/>
  <c r="G313" i="5" s="1"/>
  <c r="D314" i="4"/>
  <c r="G314" i="5" s="1"/>
  <c r="D323" i="4"/>
  <c r="G323" i="5" s="1"/>
  <c r="D337" i="4"/>
  <c r="G337" i="5" s="1"/>
  <c r="D346" i="4"/>
  <c r="G346" i="5" s="1"/>
  <c r="D355" i="4"/>
  <c r="G355" i="5" s="1"/>
  <c r="D383" i="4"/>
  <c r="G383" i="5" s="1"/>
  <c r="D397" i="4"/>
  <c r="G397" i="5" s="1"/>
  <c r="D406" i="4"/>
  <c r="G406" i="5" s="1"/>
  <c r="D411" i="4"/>
  <c r="G411" i="5" s="1"/>
  <c r="B457" i="5"/>
  <c r="D469" i="4"/>
  <c r="G469" i="5" s="1"/>
  <c r="C457" i="4"/>
  <c r="B512" i="5"/>
  <c r="D512" i="4"/>
  <c r="G512" i="5" s="1"/>
  <c r="B562" i="5"/>
  <c r="C562" i="4"/>
  <c r="D574" i="4"/>
  <c r="G574" i="5" s="1"/>
  <c r="B570" i="5"/>
  <c r="D582" i="4"/>
  <c r="G582" i="5" s="1"/>
  <c r="B617" i="5"/>
  <c r="D629" i="4"/>
  <c r="G629" i="5" s="1"/>
  <c r="C617" i="4"/>
  <c r="B622" i="5"/>
  <c r="D634" i="4"/>
  <c r="G634" i="5" s="1"/>
  <c r="C622" i="4"/>
  <c r="B632" i="5"/>
  <c r="D644" i="4"/>
  <c r="G644" i="5" s="1"/>
  <c r="C632" i="4"/>
  <c r="B647" i="5"/>
  <c r="D659" i="4"/>
  <c r="G659" i="5" s="1"/>
  <c r="C647" i="4"/>
  <c r="B657" i="5"/>
  <c r="C657" i="4"/>
  <c r="D669" i="4"/>
  <c r="G669" i="5" s="1"/>
  <c r="C543" i="3"/>
  <c r="C603" i="3"/>
  <c r="C635" i="3"/>
  <c r="C663" i="3"/>
  <c r="C695" i="3"/>
  <c r="C718" i="3"/>
  <c r="C723" i="3"/>
  <c r="C741" i="3"/>
  <c r="C755" i="3"/>
  <c r="C764" i="3"/>
  <c r="B8" i="5"/>
  <c r="D20" i="4"/>
  <c r="G20" i="5" s="1"/>
  <c r="B112" i="5"/>
  <c r="D124" i="4"/>
  <c r="G124" i="5" s="1"/>
  <c r="B172" i="5"/>
  <c r="D184" i="4"/>
  <c r="G184" i="5" s="1"/>
  <c r="B204" i="5"/>
  <c r="D216" i="4"/>
  <c r="G216" i="5" s="1"/>
  <c r="C204" i="4"/>
  <c r="B232" i="5"/>
  <c r="D244" i="4"/>
  <c r="G244" i="5" s="1"/>
  <c r="B264" i="5"/>
  <c r="D276" i="4"/>
  <c r="G276" i="5" s="1"/>
  <c r="B287" i="5"/>
  <c r="C287" i="4"/>
  <c r="B292" i="5"/>
  <c r="D304" i="4"/>
  <c r="G304" i="5" s="1"/>
  <c r="B324" i="5"/>
  <c r="D336" i="4"/>
  <c r="G336" i="5" s="1"/>
  <c r="B356" i="5"/>
  <c r="D368" i="4"/>
  <c r="G368" i="5" s="1"/>
  <c r="B370" i="5"/>
  <c r="C370" i="4"/>
  <c r="B375" i="5"/>
  <c r="D387" i="4"/>
  <c r="G387" i="5" s="1"/>
  <c r="B384" i="5"/>
  <c r="D396" i="4"/>
  <c r="G396" i="5" s="1"/>
  <c r="B412" i="5"/>
  <c r="D424" i="4"/>
  <c r="G424" i="5" s="1"/>
  <c r="B468" i="5"/>
  <c r="C468" i="4"/>
  <c r="B475" i="5"/>
  <c r="C475" i="4"/>
  <c r="D487" i="4"/>
  <c r="G487" i="5" s="1"/>
  <c r="B481" i="5"/>
  <c r="C481" i="4"/>
  <c r="B494" i="5"/>
  <c r="D494" i="4"/>
  <c r="G494" i="5" s="1"/>
  <c r="B537" i="5"/>
  <c r="D549" i="4"/>
  <c r="G549" i="5" s="1"/>
  <c r="C537" i="4"/>
  <c r="B563" i="5"/>
  <c r="C563" i="4"/>
  <c r="D563" i="4"/>
  <c r="G563" i="5" s="1"/>
  <c r="B576" i="5"/>
  <c r="D588" i="4"/>
  <c r="G588" i="5" s="1"/>
  <c r="B590" i="5"/>
  <c r="D602" i="4"/>
  <c r="G602" i="5" s="1"/>
  <c r="D590" i="4"/>
  <c r="G590" i="5" s="1"/>
  <c r="B628" i="5"/>
  <c r="C628" i="4"/>
  <c r="B637" i="5"/>
  <c r="D649" i="4"/>
  <c r="G649" i="5" s="1"/>
  <c r="C637" i="4"/>
  <c r="B642" i="5"/>
  <c r="C642" i="4"/>
  <c r="D654" i="4"/>
  <c r="G654" i="5" s="1"/>
  <c r="D642" i="4"/>
  <c r="G642" i="5" s="1"/>
  <c r="B652" i="5"/>
  <c r="C652" i="4"/>
  <c r="B663" i="5"/>
  <c r="C663" i="4"/>
  <c r="D675" i="4"/>
  <c r="G675" i="5" s="1"/>
  <c r="D663" i="4"/>
  <c r="G663" i="5" s="1"/>
  <c r="B668" i="5"/>
  <c r="D680" i="4"/>
  <c r="G680" i="5" s="1"/>
  <c r="C668" i="4"/>
  <c r="B717" i="5"/>
  <c r="D729" i="4"/>
  <c r="G729" i="5" s="1"/>
  <c r="C717" i="4"/>
  <c r="B731" i="5"/>
  <c r="D743" i="4"/>
  <c r="G743" i="5" s="1"/>
  <c r="C731" i="4"/>
  <c r="D32" i="4"/>
  <c r="G32" i="5" s="1"/>
  <c r="B20" i="5"/>
  <c r="B34" i="5"/>
  <c r="C34" i="4"/>
  <c r="B39" i="5"/>
  <c r="D51" i="4"/>
  <c r="G51" i="5" s="1"/>
  <c r="D60" i="4"/>
  <c r="G60" i="5" s="1"/>
  <c r="B48" i="5"/>
  <c r="B80" i="5"/>
  <c r="D92" i="4"/>
  <c r="G92" i="5" s="1"/>
  <c r="D89" i="4"/>
  <c r="G89" i="5" s="1"/>
  <c r="D98" i="4"/>
  <c r="G98" i="5" s="1"/>
  <c r="B117" i="5"/>
  <c r="C117" i="4"/>
  <c r="B122" i="5"/>
  <c r="D134" i="4"/>
  <c r="G134" i="5" s="1"/>
  <c r="D135" i="4"/>
  <c r="G135" i="5" s="1"/>
  <c r="B140" i="5"/>
  <c r="D152" i="4"/>
  <c r="G152" i="5" s="1"/>
  <c r="D149" i="4"/>
  <c r="G149" i="5" s="1"/>
  <c r="D158" i="4"/>
  <c r="G158" i="5" s="1"/>
  <c r="D167" i="4"/>
  <c r="G167" i="5" s="1"/>
  <c r="C172" i="4"/>
  <c r="D181" i="4"/>
  <c r="G181" i="5" s="1"/>
  <c r="C186" i="4"/>
  <c r="C195" i="4"/>
  <c r="B205" i="5"/>
  <c r="D217" i="4"/>
  <c r="G217" i="5" s="1"/>
  <c r="D218" i="4"/>
  <c r="G218" i="5" s="1"/>
  <c r="D227" i="4"/>
  <c r="G227" i="5" s="1"/>
  <c r="C232" i="4"/>
  <c r="D241" i="4"/>
  <c r="G241" i="5" s="1"/>
  <c r="C246" i="4"/>
  <c r="D250" i="4"/>
  <c r="G250" i="5" s="1"/>
  <c r="C255" i="4"/>
  <c r="C264" i="4"/>
  <c r="C269" i="4"/>
  <c r="C278" i="4"/>
  <c r="D287" i="4"/>
  <c r="G287" i="5" s="1"/>
  <c r="D301" i="4"/>
  <c r="G301" i="5" s="1"/>
  <c r="D310" i="4"/>
  <c r="G310" i="5" s="1"/>
  <c r="C315" i="4"/>
  <c r="D319" i="4"/>
  <c r="G319" i="5" s="1"/>
  <c r="C324" i="4"/>
  <c r="D333" i="4"/>
  <c r="G333" i="5" s="1"/>
  <c r="B352" i="5"/>
  <c r="D364" i="4"/>
  <c r="G364" i="5" s="1"/>
  <c r="D370" i="4"/>
  <c r="G370" i="5" s="1"/>
  <c r="D379" i="4"/>
  <c r="G379" i="5" s="1"/>
  <c r="D393" i="4"/>
  <c r="G393" i="5" s="1"/>
  <c r="B422" i="5"/>
  <c r="C422" i="4"/>
  <c r="B432" i="5"/>
  <c r="D444" i="4"/>
  <c r="G444" i="5" s="1"/>
  <c r="B438" i="5"/>
  <c r="D450" i="4"/>
  <c r="G450" i="5" s="1"/>
  <c r="B488" i="5"/>
  <c r="C488" i="4"/>
  <c r="D500" i="4"/>
  <c r="G500" i="5" s="1"/>
  <c r="B525" i="5"/>
  <c r="C525" i="4"/>
  <c r="D525" i="4"/>
  <c r="G525" i="5" s="1"/>
  <c r="D537" i="4"/>
  <c r="G537" i="5" s="1"/>
  <c r="B608" i="5"/>
  <c r="D620" i="4"/>
  <c r="G620" i="5" s="1"/>
  <c r="C608" i="4"/>
  <c r="B613" i="5"/>
  <c r="C613" i="4"/>
  <c r="D625" i="4"/>
  <c r="G625" i="5" s="1"/>
  <c r="B633" i="5"/>
  <c r="D645" i="4"/>
  <c r="G645" i="5" s="1"/>
  <c r="D652" i="4"/>
  <c r="G652" i="5" s="1"/>
  <c r="B693" i="5"/>
  <c r="C693" i="4"/>
  <c r="D705" i="4"/>
  <c r="G705" i="5" s="1"/>
  <c r="C694" i="4"/>
  <c r="C507" i="3"/>
  <c r="C539" i="3"/>
  <c r="C567" i="3"/>
  <c r="C599" i="3"/>
  <c r="C622" i="3"/>
  <c r="C627" i="3"/>
  <c r="C659" i="3"/>
  <c r="C691" i="3"/>
  <c r="C705" i="3"/>
  <c r="D722" i="3"/>
  <c r="C719" i="3"/>
  <c r="D731" i="3"/>
  <c r="C751" i="3"/>
  <c r="C15" i="4"/>
  <c r="C20" i="4"/>
  <c r="C25" i="4"/>
  <c r="C39" i="4"/>
  <c r="C48" i="4"/>
  <c r="C53" i="4"/>
  <c r="C62" i="4"/>
  <c r="C71" i="4"/>
  <c r="B76" i="5"/>
  <c r="D88" i="4"/>
  <c r="G88" i="5" s="1"/>
  <c r="C80" i="4"/>
  <c r="C85" i="4"/>
  <c r="C94" i="4"/>
  <c r="D103" i="4"/>
  <c r="G103" i="5" s="1"/>
  <c r="B108" i="5"/>
  <c r="D120" i="4"/>
  <c r="G120" i="5" s="1"/>
  <c r="C108" i="4"/>
  <c r="C122" i="4"/>
  <c r="C131" i="4"/>
  <c r="B136" i="5"/>
  <c r="D148" i="4"/>
  <c r="G148" i="5" s="1"/>
  <c r="C140" i="4"/>
  <c r="C145" i="4"/>
  <c r="C154" i="4"/>
  <c r="C163" i="4"/>
  <c r="B168" i="5"/>
  <c r="D180" i="4"/>
  <c r="G180" i="5" s="1"/>
  <c r="C177" i="4"/>
  <c r="D186" i="4"/>
  <c r="G186" i="5" s="1"/>
  <c r="B191" i="5"/>
  <c r="C191" i="4"/>
  <c r="B196" i="5"/>
  <c r="D208" i="4"/>
  <c r="G208" i="5" s="1"/>
  <c r="C205" i="4"/>
  <c r="D209" i="4"/>
  <c r="G209" i="5" s="1"/>
  <c r="C214" i="4"/>
  <c r="C223" i="4"/>
  <c r="B228" i="5"/>
  <c r="D240" i="4"/>
  <c r="G240" i="5" s="1"/>
  <c r="C237" i="4"/>
  <c r="B260" i="5"/>
  <c r="D272" i="4"/>
  <c r="G272" i="5" s="1"/>
  <c r="D269" i="4"/>
  <c r="G269" i="5" s="1"/>
  <c r="B274" i="5"/>
  <c r="C274" i="4"/>
  <c r="B279" i="5"/>
  <c r="D291" i="4"/>
  <c r="G291" i="5" s="1"/>
  <c r="B288" i="5"/>
  <c r="D300" i="4"/>
  <c r="G300" i="5" s="1"/>
  <c r="C297" i="4"/>
  <c r="C306" i="4"/>
  <c r="B320" i="5"/>
  <c r="D332" i="4"/>
  <c r="G332" i="5" s="1"/>
  <c r="C343" i="4"/>
  <c r="C352" i="4"/>
  <c r="B357" i="5"/>
  <c r="C357" i="4"/>
  <c r="B362" i="5"/>
  <c r="D374" i="4"/>
  <c r="G374" i="5" s="1"/>
  <c r="B380" i="5"/>
  <c r="D392" i="4"/>
  <c r="G392" i="5" s="1"/>
  <c r="B413" i="5"/>
  <c r="D413" i="4"/>
  <c r="G413" i="5" s="1"/>
  <c r="D417" i="4"/>
  <c r="G417" i="5" s="1"/>
  <c r="B423" i="5"/>
  <c r="D435" i="4"/>
  <c r="G435" i="5" s="1"/>
  <c r="C432" i="4"/>
  <c r="C438" i="4"/>
  <c r="B448" i="5"/>
  <c r="D460" i="4"/>
  <c r="G460" i="5" s="1"/>
  <c r="C448" i="4"/>
  <c r="B469" i="5"/>
  <c r="C469" i="4"/>
  <c r="D481" i="4"/>
  <c r="G481" i="5" s="1"/>
  <c r="B476" i="5"/>
  <c r="C476" i="4"/>
  <c r="C482" i="4"/>
  <c r="D488" i="4"/>
  <c r="G488" i="5" s="1"/>
  <c r="B495" i="5"/>
  <c r="D507" i="4"/>
  <c r="G507" i="5" s="1"/>
  <c r="B501" i="5"/>
  <c r="C501" i="4"/>
  <c r="D506" i="4"/>
  <c r="G506" i="5" s="1"/>
  <c r="D513" i="4"/>
  <c r="G513" i="5" s="1"/>
  <c r="B526" i="5"/>
  <c r="C526" i="4"/>
  <c r="D538" i="4"/>
  <c r="G538" i="5" s="1"/>
  <c r="B556" i="5"/>
  <c r="D568" i="4"/>
  <c r="G568" i="5" s="1"/>
  <c r="C556" i="4"/>
  <c r="C564" i="4"/>
  <c r="B571" i="5"/>
  <c r="D583" i="4"/>
  <c r="G583" i="5" s="1"/>
  <c r="B584" i="5"/>
  <c r="D596" i="4"/>
  <c r="G596" i="5" s="1"/>
  <c r="D584" i="4"/>
  <c r="G584" i="5" s="1"/>
  <c r="B591" i="5"/>
  <c r="C591" i="4"/>
  <c r="D603" i="4"/>
  <c r="G603" i="5" s="1"/>
  <c r="C618" i="4"/>
  <c r="C633" i="4"/>
  <c r="B643" i="5"/>
  <c r="D655" i="4"/>
  <c r="G655" i="5" s="1"/>
  <c r="C643" i="4"/>
  <c r="C648" i="4"/>
  <c r="B664" i="5"/>
  <c r="C664" i="4"/>
  <c r="B669" i="5"/>
  <c r="D681" i="4"/>
  <c r="G681" i="5" s="1"/>
  <c r="B100" i="5"/>
  <c r="C9" i="4"/>
  <c r="B16" i="5"/>
  <c r="D28" i="4"/>
  <c r="G28" i="5" s="1"/>
  <c r="C16" i="4"/>
  <c r="C21" i="4"/>
  <c r="B26" i="5"/>
  <c r="D38" i="4"/>
  <c r="G38" i="5" s="1"/>
  <c r="C30" i="4"/>
  <c r="D56" i="4"/>
  <c r="G56" i="5" s="1"/>
  <c r="B44" i="5"/>
  <c r="C76" i="4"/>
  <c r="C90" i="4"/>
  <c r="C99" i="4"/>
  <c r="B109" i="5"/>
  <c r="D121" i="4"/>
  <c r="G121" i="5" s="1"/>
  <c r="C113" i="4"/>
  <c r="D122" i="4"/>
  <c r="G122" i="5" s="1"/>
  <c r="D131" i="4"/>
  <c r="G131" i="5" s="1"/>
  <c r="C136" i="4"/>
  <c r="D145" i="4"/>
  <c r="G145" i="5" s="1"/>
  <c r="C150" i="4"/>
  <c r="D154" i="4"/>
  <c r="G154" i="5" s="1"/>
  <c r="C159" i="4"/>
  <c r="C168" i="4"/>
  <c r="C173" i="4"/>
  <c r="D177" i="4"/>
  <c r="G177" i="5" s="1"/>
  <c r="C182" i="4"/>
  <c r="D191" i="4"/>
  <c r="G191" i="5" s="1"/>
  <c r="C196" i="4"/>
  <c r="D205" i="4"/>
  <c r="G205" i="5" s="1"/>
  <c r="D214" i="4"/>
  <c r="G214" i="5" s="1"/>
  <c r="C219" i="4"/>
  <c r="D223" i="4"/>
  <c r="G223" i="5" s="1"/>
  <c r="C228" i="4"/>
  <c r="C233" i="4"/>
  <c r="D237" i="4"/>
  <c r="G237" i="5" s="1"/>
  <c r="C242" i="4"/>
  <c r="C251" i="4"/>
  <c r="B256" i="5"/>
  <c r="D268" i="4"/>
  <c r="G268" i="5" s="1"/>
  <c r="C260" i="4"/>
  <c r="C265" i="4"/>
  <c r="D274" i="4"/>
  <c r="G274" i="5" s="1"/>
  <c r="C279" i="4"/>
  <c r="D283" i="4"/>
  <c r="G283" i="5" s="1"/>
  <c r="C288" i="4"/>
  <c r="C293" i="4"/>
  <c r="D297" i="4"/>
  <c r="G297" i="5" s="1"/>
  <c r="D328" i="4"/>
  <c r="G328" i="5" s="1"/>
  <c r="B316" i="5"/>
  <c r="C325" i="4"/>
  <c r="D343" i="4"/>
  <c r="G343" i="5" s="1"/>
  <c r="B348" i="5"/>
  <c r="D360" i="4"/>
  <c r="G360" i="5" s="1"/>
  <c r="C348" i="4"/>
  <c r="D357" i="4"/>
  <c r="G357" i="5" s="1"/>
  <c r="C362" i="4"/>
  <c r="D366" i="4"/>
  <c r="G366" i="5" s="1"/>
  <c r="C371" i="4"/>
  <c r="D388" i="4"/>
  <c r="G388" i="5" s="1"/>
  <c r="B376" i="5"/>
  <c r="C385" i="4"/>
  <c r="B408" i="5"/>
  <c r="D420" i="4"/>
  <c r="G420" i="5" s="1"/>
  <c r="C413" i="4"/>
  <c r="C423" i="4"/>
  <c r="B428" i="5"/>
  <c r="D440" i="4"/>
  <c r="G440" i="5" s="1"/>
  <c r="B433" i="5"/>
  <c r="C433" i="4"/>
  <c r="B454" i="5"/>
  <c r="D466" i="4"/>
  <c r="G466" i="5" s="1"/>
  <c r="B459" i="5"/>
  <c r="D471" i="4"/>
  <c r="G471" i="5" s="1"/>
  <c r="C459" i="4"/>
  <c r="B470" i="5"/>
  <c r="C470" i="4"/>
  <c r="D482" i="4"/>
  <c r="G482" i="5" s="1"/>
  <c r="C471" i="4"/>
  <c r="B477" i="5"/>
  <c r="C477" i="4"/>
  <c r="D489" i="4"/>
  <c r="G489" i="5" s="1"/>
  <c r="B483" i="5"/>
  <c r="C483" i="4"/>
  <c r="D495" i="4"/>
  <c r="G495" i="5" s="1"/>
  <c r="C484" i="4"/>
  <c r="B489" i="5"/>
  <c r="C489" i="4"/>
  <c r="D501" i="4"/>
  <c r="G501" i="5" s="1"/>
  <c r="C495" i="4"/>
  <c r="B502" i="5"/>
  <c r="D514" i="4"/>
  <c r="G514" i="5" s="1"/>
  <c r="B507" i="5"/>
  <c r="C507" i="4"/>
  <c r="B520" i="5"/>
  <c r="C520" i="4"/>
  <c r="D532" i="4"/>
  <c r="G532" i="5" s="1"/>
  <c r="C538" i="4"/>
  <c r="C571" i="4"/>
  <c r="B609" i="5"/>
  <c r="C609" i="4"/>
  <c r="D621" i="4"/>
  <c r="G621" i="5" s="1"/>
  <c r="B614" i="5"/>
  <c r="D626" i="4"/>
  <c r="G626" i="5" s="1"/>
  <c r="C614" i="4"/>
  <c r="B624" i="5"/>
  <c r="C624" i="4"/>
  <c r="B629" i="5"/>
  <c r="D641" i="4"/>
  <c r="G641" i="5" s="1"/>
  <c r="C629" i="4"/>
  <c r="B653" i="5"/>
  <c r="D665" i="4"/>
  <c r="G665" i="5" s="1"/>
  <c r="C653" i="4"/>
  <c r="C654" i="4"/>
  <c r="D664" i="4"/>
  <c r="G664" i="5" s="1"/>
  <c r="C669" i="4"/>
  <c r="B72" i="5"/>
  <c r="D84" i="4"/>
  <c r="G84" i="5" s="1"/>
  <c r="B95" i="5"/>
  <c r="C95" i="4"/>
  <c r="D113" i="4"/>
  <c r="G113" i="5" s="1"/>
  <c r="B132" i="5"/>
  <c r="D144" i="4"/>
  <c r="G144" i="5" s="1"/>
  <c r="B164" i="5"/>
  <c r="D176" i="4"/>
  <c r="G176" i="5" s="1"/>
  <c r="B178" i="5"/>
  <c r="C178" i="4"/>
  <c r="B183" i="5"/>
  <c r="D195" i="4"/>
  <c r="G195" i="5" s="1"/>
  <c r="B192" i="5"/>
  <c r="D204" i="4"/>
  <c r="G204" i="5" s="1"/>
  <c r="B224" i="5"/>
  <c r="D236" i="4"/>
  <c r="G236" i="5" s="1"/>
  <c r="B261" i="5"/>
  <c r="C261" i="4"/>
  <c r="B266" i="5"/>
  <c r="D278" i="4"/>
  <c r="G278" i="5" s="1"/>
  <c r="B284" i="5"/>
  <c r="D296" i="4"/>
  <c r="G296" i="5" s="1"/>
  <c r="B349" i="5"/>
  <c r="D361" i="4"/>
  <c r="G361" i="5" s="1"/>
  <c r="D403" i="4"/>
  <c r="G403" i="5" s="1"/>
  <c r="B439" i="5"/>
  <c r="D439" i="4"/>
  <c r="G439" i="5" s="1"/>
  <c r="B490" i="5"/>
  <c r="D502" i="4"/>
  <c r="G502" i="5" s="1"/>
  <c r="B496" i="5"/>
  <c r="C496" i="4"/>
  <c r="D508" i="4"/>
  <c r="G508" i="5" s="1"/>
  <c r="D520" i="4"/>
  <c r="G520" i="5" s="1"/>
  <c r="B533" i="5"/>
  <c r="C533" i="4"/>
  <c r="D545" i="4"/>
  <c r="G545" i="5" s="1"/>
  <c r="B565" i="5"/>
  <c r="D577" i="4"/>
  <c r="G577" i="5" s="1"/>
  <c r="C565" i="4"/>
  <c r="B585" i="5"/>
  <c r="D597" i="4"/>
  <c r="G597" i="5" s="1"/>
  <c r="C585" i="4"/>
  <c r="B619" i="5"/>
  <c r="D631" i="4"/>
  <c r="G631" i="5" s="1"/>
  <c r="C619" i="4"/>
  <c r="B634" i="5"/>
  <c r="C634" i="4"/>
  <c r="D646" i="4"/>
  <c r="G646" i="5" s="1"/>
  <c r="B639" i="5"/>
  <c r="C639" i="4"/>
  <c r="D651" i="4"/>
  <c r="G651" i="5" s="1"/>
  <c r="B679" i="5"/>
  <c r="D691" i="4"/>
  <c r="G691" i="5" s="1"/>
  <c r="C679" i="4"/>
  <c r="B689" i="5"/>
  <c r="D701" i="4"/>
  <c r="G701" i="5" s="1"/>
  <c r="C689" i="4"/>
  <c r="C690" i="4"/>
  <c r="D517" i="4"/>
  <c r="G517" i="5" s="1"/>
  <c r="B531" i="5"/>
  <c r="C531" i="4"/>
  <c r="D543" i="4"/>
  <c r="G543" i="5" s="1"/>
  <c r="B536" i="5"/>
  <c r="C536" i="4"/>
  <c r="D548" i="4"/>
  <c r="G548" i="5" s="1"/>
  <c r="B557" i="5"/>
  <c r="D569" i="4"/>
  <c r="G569" i="5" s="1"/>
  <c r="C557" i="4"/>
  <c r="B569" i="5"/>
  <c r="D581" i="4"/>
  <c r="G581" i="5" s="1"/>
  <c r="C569" i="4"/>
  <c r="B580" i="5"/>
  <c r="D592" i="4"/>
  <c r="G592" i="5" s="1"/>
  <c r="B597" i="5"/>
  <c r="C597" i="4"/>
  <c r="D615" i="4"/>
  <c r="G615" i="5" s="1"/>
  <c r="B623" i="5"/>
  <c r="D635" i="4"/>
  <c r="G635" i="5" s="1"/>
  <c r="C623" i="4"/>
  <c r="B659" i="5"/>
  <c r="D671" i="4"/>
  <c r="G671" i="5" s="1"/>
  <c r="C659" i="4"/>
  <c r="B688" i="5"/>
  <c r="D700" i="4"/>
  <c r="G700" i="5" s="1"/>
  <c r="C688" i="4"/>
  <c r="B707" i="5"/>
  <c r="D719" i="4"/>
  <c r="G719" i="5" s="1"/>
  <c r="C707" i="4"/>
  <c r="B735" i="5"/>
  <c r="D747" i="4"/>
  <c r="G747" i="5" s="1"/>
  <c r="C735" i="4"/>
  <c r="B749" i="5"/>
  <c r="D761" i="4"/>
  <c r="G761" i="5" s="1"/>
  <c r="C749" i="4"/>
  <c r="C750" i="4"/>
  <c r="B681" i="5"/>
  <c r="D693" i="4"/>
  <c r="G693" i="5" s="1"/>
  <c r="C681" i="4"/>
  <c r="D685" i="4"/>
  <c r="G685" i="5" s="1"/>
  <c r="B699" i="5"/>
  <c r="D711" i="4"/>
  <c r="G711" i="5" s="1"/>
  <c r="C699" i="4"/>
  <c r="B713" i="5"/>
  <c r="D725" i="4"/>
  <c r="G725" i="5" s="1"/>
  <c r="C713" i="4"/>
  <c r="B760" i="5"/>
  <c r="C760" i="4"/>
  <c r="B601" i="5"/>
  <c r="B444" i="5"/>
  <c r="D456" i="4"/>
  <c r="G456" i="5" s="1"/>
  <c r="B462" i="5"/>
  <c r="D474" i="4"/>
  <c r="G474" i="5" s="1"/>
  <c r="B518" i="5"/>
  <c r="C518" i="4"/>
  <c r="D530" i="4"/>
  <c r="G530" i="5" s="1"/>
  <c r="B523" i="5"/>
  <c r="C523" i="4"/>
  <c r="D535" i="4"/>
  <c r="G535" i="5" s="1"/>
  <c r="B544" i="5"/>
  <c r="C544" i="4"/>
  <c r="B549" i="5"/>
  <c r="D561" i="4"/>
  <c r="G561" i="5" s="1"/>
  <c r="C549" i="4"/>
  <c r="B577" i="5"/>
  <c r="D589" i="4"/>
  <c r="G589" i="5" s="1"/>
  <c r="C577" i="4"/>
  <c r="B583" i="5"/>
  <c r="C583" i="4"/>
  <c r="B605" i="5"/>
  <c r="D617" i="4"/>
  <c r="G617" i="5" s="1"/>
  <c r="C605" i="4"/>
  <c r="D609" i="4"/>
  <c r="G609" i="5" s="1"/>
  <c r="D613" i="4"/>
  <c r="G613" i="5" s="1"/>
  <c r="B641" i="5"/>
  <c r="D653" i="4"/>
  <c r="G653" i="5" s="1"/>
  <c r="C641" i="4"/>
  <c r="C673" i="4"/>
  <c r="B677" i="5"/>
  <c r="D689" i="4"/>
  <c r="G689" i="5" s="1"/>
  <c r="C677" i="4"/>
  <c r="C391" i="3"/>
  <c r="C439" i="3"/>
  <c r="C487" i="3"/>
  <c r="C535" i="3"/>
  <c r="C583" i="3"/>
  <c r="C631" i="3"/>
  <c r="C679" i="3"/>
  <c r="C727" i="3"/>
  <c r="C10" i="4"/>
  <c r="B10" i="5"/>
  <c r="D68" i="4"/>
  <c r="G68" i="5" s="1"/>
  <c r="B104" i="5"/>
  <c r="D116" i="4"/>
  <c r="G116" i="5" s="1"/>
  <c r="B152" i="5"/>
  <c r="D164" i="4"/>
  <c r="G164" i="5" s="1"/>
  <c r="B200" i="5"/>
  <c r="D212" i="4"/>
  <c r="G212" i="5" s="1"/>
  <c r="B248" i="5"/>
  <c r="D260" i="4"/>
  <c r="G260" i="5" s="1"/>
  <c r="B296" i="5"/>
  <c r="D308" i="4"/>
  <c r="G308" i="5" s="1"/>
  <c r="B344" i="5"/>
  <c r="D356" i="4"/>
  <c r="G356" i="5" s="1"/>
  <c r="B392" i="5"/>
  <c r="D404" i="4"/>
  <c r="G404" i="5" s="1"/>
  <c r="C405" i="4"/>
  <c r="C418" i="4"/>
  <c r="C431" i="4"/>
  <c r="B440" i="5"/>
  <c r="D452" i="4"/>
  <c r="G452" i="5" s="1"/>
  <c r="C444" i="4"/>
  <c r="C453" i="4"/>
  <c r="C462" i="4"/>
  <c r="D476" i="4"/>
  <c r="G476" i="5" s="1"/>
  <c r="D518" i="4"/>
  <c r="G518" i="5" s="1"/>
  <c r="B539" i="5"/>
  <c r="C539" i="4"/>
  <c r="D544" i="4"/>
  <c r="G544" i="5" s="1"/>
  <c r="C555" i="4"/>
  <c r="B589" i="5"/>
  <c r="D601" i="4"/>
  <c r="G601" i="5" s="1"/>
  <c r="C589" i="4"/>
  <c r="B682" i="5"/>
  <c r="C682" i="4"/>
  <c r="D694" i="4"/>
  <c r="G694" i="5" s="1"/>
  <c r="B686" i="5"/>
  <c r="D698" i="4"/>
  <c r="G698" i="5" s="1"/>
  <c r="C686" i="4"/>
  <c r="B695" i="5"/>
  <c r="D707" i="4"/>
  <c r="G707" i="5" s="1"/>
  <c r="C695" i="4"/>
  <c r="B700" i="5"/>
  <c r="C700" i="4"/>
  <c r="D712" i="4"/>
  <c r="G712" i="5" s="1"/>
  <c r="B742" i="5"/>
  <c r="D754" i="4"/>
  <c r="G754" i="5" s="1"/>
  <c r="C742" i="4"/>
  <c r="B650" i="5"/>
  <c r="D662" i="4"/>
  <c r="G662" i="5" s="1"/>
  <c r="C650" i="4"/>
  <c r="B670" i="5"/>
  <c r="C670" i="4"/>
  <c r="D682" i="4"/>
  <c r="G682" i="5" s="1"/>
  <c r="B771" i="5"/>
  <c r="C771" i="4"/>
  <c r="B626" i="5"/>
  <c r="D638" i="4"/>
  <c r="G638" i="5" s="1"/>
  <c r="C626" i="4"/>
  <c r="B638" i="5"/>
  <c r="D650" i="4"/>
  <c r="G650" i="5" s="1"/>
  <c r="C638" i="4"/>
  <c r="C658" i="4"/>
  <c r="B662" i="5"/>
  <c r="D674" i="4"/>
  <c r="G674" i="5" s="1"/>
  <c r="C662" i="4"/>
  <c r="D670" i="4"/>
  <c r="G670" i="5" s="1"/>
  <c r="B674" i="5"/>
  <c r="D686" i="4"/>
  <c r="G686" i="5" s="1"/>
  <c r="C674" i="4"/>
  <c r="B724" i="5"/>
  <c r="D736" i="4"/>
  <c r="G736" i="5" s="1"/>
  <c r="C724" i="4"/>
  <c r="B546" i="5"/>
  <c r="D558" i="4"/>
  <c r="G558" i="5" s="1"/>
  <c r="D696" i="4"/>
  <c r="G696" i="5" s="1"/>
  <c r="B753" i="5"/>
  <c r="D765" i="4"/>
  <c r="G765" i="5" s="1"/>
  <c r="C753" i="4"/>
  <c r="B767" i="5"/>
  <c r="C767" i="4"/>
  <c r="C768" i="4"/>
  <c r="B683" i="5"/>
  <c r="D695" i="4"/>
  <c r="G695" i="5" s="1"/>
  <c r="C683" i="4"/>
  <c r="D690" i="4"/>
  <c r="G690" i="5" s="1"/>
  <c r="D697" i="4"/>
  <c r="G697" i="5" s="1"/>
  <c r="B701" i="5"/>
  <c r="D713" i="4"/>
  <c r="G713" i="5" s="1"/>
  <c r="C701" i="4"/>
  <c r="D708" i="4"/>
  <c r="G708" i="5" s="1"/>
  <c r="D715" i="4"/>
  <c r="G715" i="5" s="1"/>
  <c r="B719" i="5"/>
  <c r="D731" i="4"/>
  <c r="G731" i="5" s="1"/>
  <c r="C719" i="4"/>
  <c r="D726" i="4"/>
  <c r="G726" i="5" s="1"/>
  <c r="D733" i="4"/>
  <c r="G733" i="5" s="1"/>
  <c r="B737" i="5"/>
  <c r="D749" i="4"/>
  <c r="G749" i="5" s="1"/>
  <c r="C737" i="4"/>
  <c r="D744" i="4"/>
  <c r="G744" i="5" s="1"/>
  <c r="D751" i="4"/>
  <c r="G751" i="5" s="1"/>
  <c r="B755" i="5"/>
  <c r="D767" i="4"/>
  <c r="G767" i="5" s="1"/>
  <c r="C755" i="4"/>
  <c r="D762" i="4"/>
  <c r="G762" i="5" s="1"/>
  <c r="D769" i="4"/>
  <c r="G769" i="5" s="1"/>
  <c r="B698" i="5"/>
  <c r="D710" i="4"/>
  <c r="G710" i="5" s="1"/>
  <c r="C698" i="4"/>
  <c r="B716" i="5"/>
  <c r="D728" i="4"/>
  <c r="G728" i="5" s="1"/>
  <c r="C716" i="4"/>
  <c r="D723" i="4"/>
  <c r="G723" i="5" s="1"/>
  <c r="D730" i="4"/>
  <c r="G730" i="5" s="1"/>
  <c r="B734" i="5"/>
  <c r="D746" i="4"/>
  <c r="G746" i="5" s="1"/>
  <c r="C734" i="4"/>
  <c r="D741" i="4"/>
  <c r="G741" i="5" s="1"/>
  <c r="D748" i="4"/>
  <c r="G748" i="5" s="1"/>
  <c r="B752" i="5"/>
  <c r="D764" i="4"/>
  <c r="G764" i="5" s="1"/>
  <c r="C752" i="4"/>
  <c r="D759" i="4"/>
  <c r="G759" i="5" s="1"/>
  <c r="D766" i="4"/>
  <c r="G766" i="5" s="1"/>
  <c r="B770" i="5"/>
  <c r="C770" i="4"/>
  <c r="F685" i="5"/>
  <c r="E673" i="5"/>
  <c r="B465" i="5"/>
  <c r="C465" i="4"/>
  <c r="B513" i="5"/>
  <c r="C513" i="4"/>
  <c r="D552" i="4"/>
  <c r="G552" i="5" s="1"/>
  <c r="D562" i="4"/>
  <c r="G562" i="5" s="1"/>
  <c r="D576" i="4"/>
  <c r="G576" i="5" s="1"/>
  <c r="D586" i="4"/>
  <c r="G586" i="5" s="1"/>
  <c r="B596" i="5"/>
  <c r="D608" i="4"/>
  <c r="G608" i="5" s="1"/>
  <c r="D600" i="4"/>
  <c r="G600" i="5" s="1"/>
  <c r="D704" i="4"/>
  <c r="G704" i="5" s="1"/>
  <c r="C692" i="4"/>
  <c r="D699" i="4"/>
  <c r="G699" i="5" s="1"/>
  <c r="D706" i="4"/>
  <c r="G706" i="5" s="1"/>
  <c r="B710" i="5"/>
  <c r="D722" i="4"/>
  <c r="G722" i="5" s="1"/>
  <c r="C710" i="4"/>
  <c r="D717" i="4"/>
  <c r="G717" i="5" s="1"/>
  <c r="D724" i="4"/>
  <c r="G724" i="5" s="1"/>
  <c r="B728" i="5"/>
  <c r="D740" i="4"/>
  <c r="G740" i="5" s="1"/>
  <c r="C728" i="4"/>
  <c r="D735" i="4"/>
  <c r="G735" i="5" s="1"/>
  <c r="D742" i="4"/>
  <c r="G742" i="5" s="1"/>
  <c r="B746" i="5"/>
  <c r="D758" i="4"/>
  <c r="G758" i="5" s="1"/>
  <c r="C746" i="4"/>
  <c r="D753" i="4"/>
  <c r="G753" i="5" s="1"/>
  <c r="D760" i="4"/>
  <c r="G760" i="5" s="1"/>
  <c r="B764" i="5"/>
  <c r="C764" i="4"/>
  <c r="D771" i="4"/>
  <c r="G771" i="5" s="1"/>
  <c r="B505" i="5"/>
  <c r="C505" i="4"/>
  <c r="B602" i="5"/>
  <c r="D614" i="4"/>
  <c r="G614" i="5" s="1"/>
  <c r="C678" i="4"/>
  <c r="C685" i="4"/>
  <c r="C696" i="4"/>
  <c r="C703" i="4"/>
  <c r="C714" i="4"/>
  <c r="C721" i="4"/>
  <c r="C732" i="4"/>
  <c r="C739" i="4"/>
  <c r="C757" i="4"/>
  <c r="B725" i="5"/>
  <c r="D737" i="4"/>
  <c r="G737" i="5" s="1"/>
  <c r="C725" i="4"/>
  <c r="B743" i="5"/>
  <c r="D755" i="4"/>
  <c r="G755" i="5" s="1"/>
  <c r="C743" i="4"/>
  <c r="B761" i="5"/>
  <c r="C761" i="4"/>
  <c r="D768" i="4"/>
  <c r="G768" i="5" s="1"/>
  <c r="B497" i="5"/>
  <c r="C497" i="4"/>
  <c r="B545" i="5"/>
  <c r="D557" i="4"/>
  <c r="G557" i="5" s="1"/>
  <c r="C545" i="4"/>
  <c r="C711" i="4"/>
  <c r="C718" i="4"/>
  <c r="C729" i="4"/>
  <c r="C736" i="4"/>
  <c r="C747" i="4"/>
  <c r="C754" i="4"/>
  <c r="C765" i="4"/>
  <c r="B704" i="5"/>
  <c r="D716" i="4"/>
  <c r="G716" i="5" s="1"/>
  <c r="C704" i="4"/>
  <c r="B722" i="5"/>
  <c r="D734" i="4"/>
  <c r="G734" i="5" s="1"/>
  <c r="C722" i="4"/>
  <c r="B740" i="5"/>
  <c r="D752" i="4"/>
  <c r="G752" i="5" s="1"/>
  <c r="C740" i="4"/>
  <c r="B758" i="5"/>
  <c r="D770" i="4"/>
  <c r="G770" i="5" s="1"/>
  <c r="C758" i="4"/>
  <c r="F697" i="5"/>
  <c r="E685" i="5"/>
  <c r="F673" i="5"/>
  <c r="E647" i="5"/>
  <c r="F643" i="5"/>
  <c r="E643" i="5"/>
  <c r="F681" i="5"/>
  <c r="E597" i="5"/>
  <c r="E605" i="5"/>
  <c r="E661" i="5"/>
  <c r="F677" i="5"/>
  <c r="E695" i="5"/>
  <c r="E631" i="5"/>
  <c r="E619" i="5"/>
  <c r="E607" i="5"/>
  <c r="E772"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02" i="5"/>
  <c r="E633" i="5"/>
  <c r="E621" i="5"/>
  <c r="E609" i="5"/>
  <c r="E637" i="5"/>
  <c r="E625" i="5"/>
  <c r="E613" i="5"/>
  <c r="E601" i="5"/>
  <c r="E589" i="5"/>
  <c r="E627" i="5"/>
  <c r="E604" i="5"/>
  <c r="E584" i="5"/>
  <c r="E767" i="5"/>
  <c r="E757" i="5"/>
  <c r="E771" i="5"/>
  <c r="E753" i="5"/>
  <c r="E747" i="5"/>
  <c r="E741" i="5"/>
  <c r="E735" i="5"/>
  <c r="E729" i="5"/>
  <c r="E723" i="5"/>
  <c r="E717" i="5"/>
  <c r="E711" i="5"/>
  <c r="E705" i="5"/>
  <c r="E699" i="5"/>
  <c r="E693" i="5"/>
  <c r="E687" i="5"/>
  <c r="E681" i="5"/>
  <c r="E675" i="5"/>
  <c r="E669" i="5"/>
  <c r="E663" i="5"/>
  <c r="E657" i="5"/>
  <c r="E651" i="5"/>
  <c r="E645" i="5"/>
  <c r="E639" i="5"/>
  <c r="E636" i="5"/>
  <c r="E610" i="5"/>
  <c r="E600" i="5"/>
  <c r="E594" i="5"/>
  <c r="E591" i="5"/>
  <c r="E586" i="5"/>
  <c r="E581" i="5"/>
  <c r="E569" i="5"/>
  <c r="E557" i="5"/>
  <c r="E545" i="5"/>
  <c r="E533" i="5"/>
  <c r="E521" i="5"/>
  <c r="E509" i="5"/>
  <c r="E761" i="5"/>
  <c r="E616" i="5"/>
  <c r="E603" i="5"/>
  <c r="E576" i="5"/>
  <c r="E564" i="5"/>
  <c r="E552" i="5"/>
  <c r="E540" i="5"/>
  <c r="E769" i="5"/>
  <c r="E755" i="5"/>
  <c r="E628" i="5"/>
  <c r="E615" i="5"/>
  <c r="E590" i="5"/>
  <c r="E585" i="5"/>
  <c r="E580" i="5"/>
  <c r="E568" i="5"/>
  <c r="E556" i="5"/>
  <c r="E544" i="5"/>
  <c r="E532" i="5"/>
  <c r="E759" i="5"/>
  <c r="E498" i="5"/>
  <c r="E516" i="5"/>
  <c r="E524" i="5"/>
  <c r="E632" i="5"/>
  <c r="E655" i="5"/>
  <c r="E689" i="5"/>
  <c r="F717" i="5"/>
  <c r="E491" i="5"/>
  <c r="E506" i="5"/>
  <c r="E511" i="5"/>
  <c r="E527" i="5"/>
  <c r="E536" i="5"/>
  <c r="E548" i="5"/>
  <c r="E560" i="5"/>
  <c r="E572" i="5"/>
  <c r="E592" i="5"/>
  <c r="E624" i="5"/>
  <c r="E659" i="5"/>
  <c r="F675" i="5"/>
  <c r="F679" i="5"/>
  <c r="E697" i="5"/>
  <c r="E701" i="5"/>
  <c r="E725" i="5"/>
  <c r="E514" i="5"/>
  <c r="E519" i="5"/>
  <c r="E530" i="5"/>
  <c r="E539" i="5"/>
  <c r="E542" i="5"/>
  <c r="E551" i="5"/>
  <c r="E554" i="5"/>
  <c r="E563" i="5"/>
  <c r="E566" i="5"/>
  <c r="E575" i="5"/>
  <c r="E578" i="5"/>
  <c r="E588" i="5"/>
  <c r="E599" i="5"/>
  <c r="E612" i="5"/>
  <c r="E620" i="5"/>
  <c r="F641" i="5"/>
  <c r="E667" i="5"/>
  <c r="F683" i="5"/>
  <c r="E715" i="5"/>
  <c r="E763" i="5"/>
  <c r="E608" i="5"/>
  <c r="E671" i="5"/>
  <c r="E731" i="5"/>
  <c r="E593" i="5"/>
  <c r="E596" i="5"/>
  <c r="E629" i="5"/>
  <c r="E634" i="5"/>
  <c r="E641" i="5"/>
  <c r="F657" i="5"/>
  <c r="F661" i="5"/>
  <c r="E679" i="5"/>
  <c r="F695" i="5"/>
  <c r="E721" i="5"/>
  <c r="E737" i="5"/>
  <c r="E743" i="5"/>
  <c r="E749" i="5"/>
  <c r="E512" i="5"/>
  <c r="E528" i="5"/>
  <c r="E537" i="5"/>
  <c r="E549" i="5"/>
  <c r="E561" i="5"/>
  <c r="E573" i="5"/>
  <c r="E582" i="5"/>
  <c r="E617" i="5"/>
  <c r="E649" i="5"/>
  <c r="F665" i="5"/>
  <c r="E683" i="5"/>
  <c r="F699" i="5"/>
  <c r="E707" i="5"/>
  <c r="F761" i="5"/>
  <c r="F647" i="5"/>
  <c r="F759" i="5"/>
  <c r="F645" i="5"/>
  <c r="F649" i="5"/>
  <c r="D636" i="5" l="1"/>
  <c r="D624" i="5"/>
  <c r="D612" i="5"/>
  <c r="D600" i="5"/>
  <c r="D631" i="5"/>
  <c r="D619" i="5"/>
  <c r="D607" i="5"/>
  <c r="D595" i="5"/>
  <c r="D772" i="5"/>
  <c r="D770" i="5"/>
  <c r="D768" i="5"/>
  <c r="D766" i="5"/>
  <c r="D764" i="5"/>
  <c r="D762" i="5"/>
  <c r="D760" i="5"/>
  <c r="D758" i="5"/>
  <c r="D756" i="5"/>
  <c r="D754" i="5"/>
  <c r="D752" i="5"/>
  <c r="D750" i="5"/>
  <c r="D748" i="5"/>
  <c r="D746" i="5"/>
  <c r="D744" i="5"/>
  <c r="D742" i="5"/>
  <c r="D740" i="5"/>
  <c r="D738" i="5"/>
  <c r="D736" i="5"/>
  <c r="D734" i="5"/>
  <c r="D732" i="5"/>
  <c r="D730" i="5"/>
  <c r="D728" i="5"/>
  <c r="D726" i="5"/>
  <c r="D724" i="5"/>
  <c r="D722" i="5"/>
  <c r="D720" i="5"/>
  <c r="D718" i="5"/>
  <c r="D716" i="5"/>
  <c r="D714" i="5"/>
  <c r="D712" i="5"/>
  <c r="D710" i="5"/>
  <c r="D708" i="5"/>
  <c r="D706" i="5"/>
  <c r="D704" i="5"/>
  <c r="D702" i="5"/>
  <c r="D700" i="5"/>
  <c r="D698" i="5"/>
  <c r="D696" i="5"/>
  <c r="D694" i="5"/>
  <c r="D692" i="5"/>
  <c r="D690" i="5"/>
  <c r="D688" i="5"/>
  <c r="D686" i="5"/>
  <c r="D684" i="5"/>
  <c r="D682" i="5"/>
  <c r="D680" i="5"/>
  <c r="D678" i="5"/>
  <c r="D676" i="5"/>
  <c r="D674" i="5"/>
  <c r="D672" i="5"/>
  <c r="D670" i="5"/>
  <c r="D668" i="5"/>
  <c r="D666" i="5"/>
  <c r="D664" i="5"/>
  <c r="D662" i="5"/>
  <c r="D660" i="5"/>
  <c r="D658" i="5"/>
  <c r="D656" i="5"/>
  <c r="D654" i="5"/>
  <c r="D652" i="5"/>
  <c r="D650" i="5"/>
  <c r="D648" i="5"/>
  <c r="D646" i="5"/>
  <c r="D644" i="5"/>
  <c r="D642" i="5"/>
  <c r="D640" i="5"/>
  <c r="D638" i="5"/>
  <c r="D626" i="5"/>
  <c r="D614" i="5"/>
  <c r="D602" i="5"/>
  <c r="D630" i="5"/>
  <c r="D618" i="5"/>
  <c r="D606" i="5"/>
  <c r="D594" i="5"/>
  <c r="D763" i="5"/>
  <c r="D751" i="5"/>
  <c r="D745" i="5"/>
  <c r="D739" i="5"/>
  <c r="D733" i="5"/>
  <c r="D727" i="5"/>
  <c r="D721" i="5"/>
  <c r="D715" i="5"/>
  <c r="D709" i="5"/>
  <c r="D703" i="5"/>
  <c r="D697" i="5"/>
  <c r="D691" i="5"/>
  <c r="D685" i="5"/>
  <c r="D679" i="5"/>
  <c r="D673" i="5"/>
  <c r="D667" i="5"/>
  <c r="D661" i="5"/>
  <c r="D655" i="5"/>
  <c r="D649" i="5"/>
  <c r="D643" i="5"/>
  <c r="D634" i="5"/>
  <c r="D598" i="5"/>
  <c r="D592" i="5"/>
  <c r="D767" i="5"/>
  <c r="D757" i="5"/>
  <c r="D623" i="5"/>
  <c r="D613" i="5"/>
  <c r="D597" i="5"/>
  <c r="D574" i="5"/>
  <c r="D562" i="5"/>
  <c r="D550" i="5"/>
  <c r="D538" i="5"/>
  <c r="D526" i="5"/>
  <c r="D514" i="5"/>
  <c r="D502" i="5"/>
  <c r="D771" i="5"/>
  <c r="D753" i="5"/>
  <c r="D747" i="5"/>
  <c r="D741" i="5"/>
  <c r="D735" i="5"/>
  <c r="D729" i="5"/>
  <c r="D723" i="5"/>
  <c r="D717" i="5"/>
  <c r="D711" i="5"/>
  <c r="D705" i="5"/>
  <c r="D699" i="5"/>
  <c r="D693" i="5"/>
  <c r="D687" i="5"/>
  <c r="D681" i="5"/>
  <c r="D675" i="5"/>
  <c r="D669" i="5"/>
  <c r="D663" i="5"/>
  <c r="D657" i="5"/>
  <c r="D651" i="5"/>
  <c r="D645" i="5"/>
  <c r="D639" i="5"/>
  <c r="D610" i="5"/>
  <c r="D591" i="5"/>
  <c r="D586" i="5"/>
  <c r="D581" i="5"/>
  <c r="D569" i="5"/>
  <c r="D557" i="5"/>
  <c r="D545" i="5"/>
  <c r="D533" i="5"/>
  <c r="D761" i="5"/>
  <c r="D749" i="5"/>
  <c r="D743" i="5"/>
  <c r="D737" i="5"/>
  <c r="D731" i="5"/>
  <c r="D725" i="5"/>
  <c r="D719" i="5"/>
  <c r="D713" i="5"/>
  <c r="D707" i="5"/>
  <c r="D701" i="5"/>
  <c r="D695" i="5"/>
  <c r="D689" i="5"/>
  <c r="D683" i="5"/>
  <c r="D677" i="5"/>
  <c r="D671" i="5"/>
  <c r="D665" i="5"/>
  <c r="D659" i="5"/>
  <c r="D653" i="5"/>
  <c r="D647" i="5"/>
  <c r="D641" i="5"/>
  <c r="D622" i="5"/>
  <c r="D593" i="5"/>
  <c r="D573" i="5"/>
  <c r="D561" i="5"/>
  <c r="D549" i="5"/>
  <c r="D537" i="5"/>
  <c r="D525" i="5"/>
  <c r="D769" i="5"/>
  <c r="D755" i="5"/>
  <c r="D759" i="5"/>
  <c r="D765" i="5"/>
  <c r="D625" i="5"/>
  <c r="D609" i="5"/>
  <c r="D579" i="5"/>
  <c r="D576" i="5"/>
  <c r="D570" i="5"/>
  <c r="D567" i="5"/>
  <c r="D564" i="5"/>
  <c r="D558" i="5"/>
  <c r="D555" i="5"/>
  <c r="D552" i="5"/>
  <c r="D546" i="5"/>
  <c r="D543" i="5"/>
  <c r="D540" i="5"/>
  <c r="D534" i="5"/>
  <c r="D531" i="5"/>
  <c r="D507" i="5"/>
  <c r="D492" i="5"/>
  <c r="D480" i="5"/>
  <c r="D468" i="5"/>
  <c r="D456" i="5"/>
  <c r="D444" i="5"/>
  <c r="D432" i="5"/>
  <c r="D621" i="5"/>
  <c r="D617" i="5"/>
  <c r="D604" i="5"/>
  <c r="D589" i="5"/>
  <c r="D582" i="5"/>
  <c r="D528" i="5"/>
  <c r="D512" i="5"/>
  <c r="D499" i="5"/>
  <c r="D637" i="5"/>
  <c r="D629" i="5"/>
  <c r="D596" i="5"/>
  <c r="D522" i="5"/>
  <c r="D517" i="5"/>
  <c r="D509" i="5"/>
  <c r="D504" i="5"/>
  <c r="D494" i="5"/>
  <c r="D482" i="5"/>
  <c r="D633" i="5"/>
  <c r="D616" i="5"/>
  <c r="D608" i="5"/>
  <c r="D603" i="5"/>
  <c r="D585" i="5"/>
  <c r="D489" i="5"/>
  <c r="D477" i="5"/>
  <c r="D465" i="5"/>
  <c r="D453" i="5"/>
  <c r="D441" i="5"/>
  <c r="D429" i="5"/>
  <c r="D628" i="5"/>
  <c r="D620" i="5"/>
  <c r="D599" i="5"/>
  <c r="D588" i="5"/>
  <c r="D578" i="5"/>
  <c r="D575" i="5"/>
  <c r="D566" i="5"/>
  <c r="D563" i="5"/>
  <c r="D554" i="5"/>
  <c r="D551" i="5"/>
  <c r="D542" i="5"/>
  <c r="D539" i="5"/>
  <c r="D530" i="5"/>
  <c r="D519" i="5"/>
  <c r="D501" i="5"/>
  <c r="D496" i="5"/>
  <c r="D484" i="5"/>
  <c r="D472" i="5"/>
  <c r="D460" i="5"/>
  <c r="D448" i="5"/>
  <c r="D436" i="5"/>
  <c r="D424" i="5"/>
  <c r="D412" i="5"/>
  <c r="D400" i="5"/>
  <c r="D572" i="5"/>
  <c r="D560" i="5"/>
  <c r="D548" i="5"/>
  <c r="D536" i="5"/>
  <c r="D527" i="5"/>
  <c r="D511" i="5"/>
  <c r="D506" i="5"/>
  <c r="D491" i="5"/>
  <c r="D479" i="5"/>
  <c r="D467" i="5"/>
  <c r="D455" i="5"/>
  <c r="D443" i="5"/>
  <c r="D431" i="5"/>
  <c r="D419" i="5"/>
  <c r="D407" i="5"/>
  <c r="D590" i="5"/>
  <c r="D523" i="5"/>
  <c r="D510" i="5"/>
  <c r="D505" i="5"/>
  <c r="D490" i="5"/>
  <c r="D611" i="5"/>
  <c r="D580" i="5"/>
  <c r="D565" i="5"/>
  <c r="D529" i="5"/>
  <c r="D524" i="5"/>
  <c r="D520" i="5"/>
  <c r="D486" i="5"/>
  <c r="D466" i="5"/>
  <c r="D447" i="5"/>
  <c r="D437" i="5"/>
  <c r="D416" i="5"/>
  <c r="D405" i="5"/>
  <c r="D402" i="5"/>
  <c r="D397" i="5"/>
  <c r="D385" i="5"/>
  <c r="D373" i="5"/>
  <c r="D361" i="5"/>
  <c r="D349" i="5"/>
  <c r="D337" i="5"/>
  <c r="D325" i="5"/>
  <c r="D313" i="5"/>
  <c r="D559" i="5"/>
  <c r="D483" i="5"/>
  <c r="D469" i="5"/>
  <c r="D462" i="5"/>
  <c r="D440" i="5"/>
  <c r="D434" i="5"/>
  <c r="D413" i="5"/>
  <c r="D392" i="5"/>
  <c r="D380" i="5"/>
  <c r="D368" i="5"/>
  <c r="D356" i="5"/>
  <c r="D584" i="5"/>
  <c r="D427" i="5"/>
  <c r="D421" i="5"/>
  <c r="D399" i="5"/>
  <c r="D387" i="5"/>
  <c r="D375" i="5"/>
  <c r="D363" i="5"/>
  <c r="D351" i="5"/>
  <c r="D339" i="5"/>
  <c r="D568" i="5"/>
  <c r="D532" i="5"/>
  <c r="D475" i="5"/>
  <c r="D459" i="5"/>
  <c r="D449" i="5"/>
  <c r="D430" i="5"/>
  <c r="D418" i="5"/>
  <c r="D410" i="5"/>
  <c r="D394" i="5"/>
  <c r="D382" i="5"/>
  <c r="D370" i="5"/>
  <c r="D358" i="5"/>
  <c r="D346" i="5"/>
  <c r="D334" i="5"/>
  <c r="D322" i="5"/>
  <c r="D310" i="5"/>
  <c r="D298" i="5"/>
  <c r="D286" i="5"/>
  <c r="D274" i="5"/>
  <c r="D262" i="5"/>
  <c r="D250" i="5"/>
  <c r="D238" i="5"/>
  <c r="D226" i="5"/>
  <c r="D214" i="5"/>
  <c r="D202" i="5"/>
  <c r="D190" i="5"/>
  <c r="D635" i="5"/>
  <c r="D615" i="5"/>
  <c r="D553" i="5"/>
  <c r="D515" i="5"/>
  <c r="D497" i="5"/>
  <c r="D478" i="5"/>
  <c r="D452" i="5"/>
  <c r="D446" i="5"/>
  <c r="D433" i="5"/>
  <c r="D426" i="5"/>
  <c r="D404" i="5"/>
  <c r="D389" i="5"/>
  <c r="D377" i="5"/>
  <c r="D365" i="5"/>
  <c r="D353" i="5"/>
  <c r="D341" i="5"/>
  <c r="D329" i="5"/>
  <c r="D317" i="5"/>
  <c r="D305" i="5"/>
  <c r="D293" i="5"/>
  <c r="D281" i="5"/>
  <c r="D269" i="5"/>
  <c r="D257" i="5"/>
  <c r="D245" i="5"/>
  <c r="D233" i="5"/>
  <c r="D221" i="5"/>
  <c r="D209" i="5"/>
  <c r="D197" i="5"/>
  <c r="D185" i="5"/>
  <c r="D601" i="5"/>
  <c r="D583" i="5"/>
  <c r="D547" i="5"/>
  <c r="D493" i="5"/>
  <c r="D485" i="5"/>
  <c r="D474" i="5"/>
  <c r="D439" i="5"/>
  <c r="D415" i="5"/>
  <c r="D401" i="5"/>
  <c r="D396" i="5"/>
  <c r="D384" i="5"/>
  <c r="D372" i="5"/>
  <c r="D360" i="5"/>
  <c r="D348" i="5"/>
  <c r="D336" i="5"/>
  <c r="D324" i="5"/>
  <c r="D312" i="5"/>
  <c r="D300" i="5"/>
  <c r="D288" i="5"/>
  <c r="D276" i="5"/>
  <c r="D577" i="5"/>
  <c r="D541" i="5"/>
  <c r="D508" i="5"/>
  <c r="D451" i="5"/>
  <c r="D417" i="5"/>
  <c r="D414" i="5"/>
  <c r="D393" i="5"/>
  <c r="D381" i="5"/>
  <c r="D369" i="5"/>
  <c r="D357" i="5"/>
  <c r="D345" i="5"/>
  <c r="D333" i="5"/>
  <c r="D321" i="5"/>
  <c r="D309" i="5"/>
  <c r="D297" i="5"/>
  <c r="D285" i="5"/>
  <c r="D605" i="5"/>
  <c r="D487" i="5"/>
  <c r="D473" i="5"/>
  <c r="D470" i="5"/>
  <c r="D457" i="5"/>
  <c r="D450" i="5"/>
  <c r="D428" i="5"/>
  <c r="D411" i="5"/>
  <c r="D395" i="5"/>
  <c r="D383" i="5"/>
  <c r="D371" i="5"/>
  <c r="D359" i="5"/>
  <c r="D347" i="5"/>
  <c r="D335" i="5"/>
  <c r="D503" i="5"/>
  <c r="D498" i="5"/>
  <c r="D378" i="5"/>
  <c r="D364" i="5"/>
  <c r="D318" i="5"/>
  <c r="D311" i="5"/>
  <c r="D304" i="5"/>
  <c r="D261" i="5"/>
  <c r="D247" i="5"/>
  <c r="D225" i="5"/>
  <c r="D464" i="5"/>
  <c r="D454" i="5"/>
  <c r="D422" i="5"/>
  <c r="D406" i="5"/>
  <c r="D391" i="5"/>
  <c r="D350" i="5"/>
  <c r="D544" i="5"/>
  <c r="D476" i="5"/>
  <c r="D354" i="5"/>
  <c r="D332" i="5"/>
  <c r="D314" i="5"/>
  <c r="D272" i="5"/>
  <c r="D266" i="5"/>
  <c r="D255" i="5"/>
  <c r="D252" i="5"/>
  <c r="D230" i="5"/>
  <c r="D219" i="5"/>
  <c r="D216" i="5"/>
  <c r="D194" i="5"/>
  <c r="D183" i="5"/>
  <c r="D180" i="5"/>
  <c r="D168" i="5"/>
  <c r="D156" i="5"/>
  <c r="D144" i="5"/>
  <c r="D132" i="5"/>
  <c r="D120" i="5"/>
  <c r="D108" i="5"/>
  <c r="D96" i="5"/>
  <c r="D84" i="5"/>
  <c r="D72" i="5"/>
  <c r="D516" i="5"/>
  <c r="D481" i="5"/>
  <c r="D367" i="5"/>
  <c r="D328" i="5"/>
  <c r="D287" i="5"/>
  <c r="D284" i="5"/>
  <c r="D263" i="5"/>
  <c r="D241" i="5"/>
  <c r="D227" i="5"/>
  <c r="D205" i="5"/>
  <c r="D191" i="5"/>
  <c r="D175" i="5"/>
  <c r="D163" i="5"/>
  <c r="D151" i="5"/>
  <c r="D587" i="5"/>
  <c r="D535" i="5"/>
  <c r="D521" i="5"/>
  <c r="D463" i="5"/>
  <c r="D458" i="5"/>
  <c r="D442" i="5"/>
  <c r="D425" i="5"/>
  <c r="D386" i="5"/>
  <c r="D344" i="5"/>
  <c r="D340" i="5"/>
  <c r="D331" i="5"/>
  <c r="D290" i="5"/>
  <c r="D271" i="5"/>
  <c r="D249" i="5"/>
  <c r="D235" i="5"/>
  <c r="D213" i="5"/>
  <c r="D199" i="5"/>
  <c r="D170" i="5"/>
  <c r="D158" i="5"/>
  <c r="D146" i="5"/>
  <c r="D134" i="5"/>
  <c r="D122" i="5"/>
  <c r="D110" i="5"/>
  <c r="D98" i="5"/>
  <c r="D86" i="5"/>
  <c r="D74" i="5"/>
  <c r="D500" i="5"/>
  <c r="D495" i="5"/>
  <c r="D461" i="5"/>
  <c r="D435" i="5"/>
  <c r="D379" i="5"/>
  <c r="D330" i="5"/>
  <c r="D323" i="5"/>
  <c r="D319" i="5"/>
  <c r="D302" i="5"/>
  <c r="D292" i="5"/>
  <c r="D259" i="5"/>
  <c r="D237" i="5"/>
  <c r="D223" i="5"/>
  <c r="D201" i="5"/>
  <c r="D187" i="5"/>
  <c r="D174" i="5"/>
  <c r="D513" i="5"/>
  <c r="D445" i="5"/>
  <c r="D388" i="5"/>
  <c r="D355" i="5"/>
  <c r="D342" i="5"/>
  <c r="D338" i="5"/>
  <c r="D326" i="5"/>
  <c r="D279" i="5"/>
  <c r="D267" i="5"/>
  <c r="D264" i="5"/>
  <c r="D242" i="5"/>
  <c r="D231" i="5"/>
  <c r="D228" i="5"/>
  <c r="D488" i="5"/>
  <c r="D296" i="5"/>
  <c r="D283" i="5"/>
  <c r="D260" i="5"/>
  <c r="D243" i="5"/>
  <c r="D206" i="5"/>
  <c r="D195" i="5"/>
  <c r="D181" i="5"/>
  <c r="D171" i="5"/>
  <c r="D138" i="5"/>
  <c r="D102" i="5"/>
  <c r="D556" i="5"/>
  <c r="D320" i="5"/>
  <c r="D315" i="5"/>
  <c r="D278" i="5"/>
  <c r="D188" i="5"/>
  <c r="D184" i="5"/>
  <c r="D177" i="5"/>
  <c r="D124" i="5"/>
  <c r="D113" i="5"/>
  <c r="D88" i="5"/>
  <c r="D627" i="5"/>
  <c r="D571" i="5"/>
  <c r="D438" i="5"/>
  <c r="D295" i="5"/>
  <c r="D291" i="5"/>
  <c r="D273" i="5"/>
  <c r="D268" i="5"/>
  <c r="D251" i="5"/>
  <c r="D234" i="5"/>
  <c r="D217" i="5"/>
  <c r="D167" i="5"/>
  <c r="D164" i="5"/>
  <c r="D155" i="5"/>
  <c r="D152" i="5"/>
  <c r="D143" i="5"/>
  <c r="D135" i="5"/>
  <c r="D129" i="5"/>
  <c r="D423" i="5"/>
  <c r="D374" i="5"/>
  <c r="D362" i="5"/>
  <c r="D343" i="5"/>
  <c r="D299" i="5"/>
  <c r="D282" i="5"/>
  <c r="D246" i="5"/>
  <c r="D229" i="5"/>
  <c r="D198" i="5"/>
  <c r="D161" i="5"/>
  <c r="D149" i="5"/>
  <c r="D140" i="5"/>
  <c r="D118" i="5"/>
  <c r="D115" i="5"/>
  <c r="D104" i="5"/>
  <c r="D82" i="5"/>
  <c r="D79" i="5"/>
  <c r="D66" i="5"/>
  <c r="D54" i="5"/>
  <c r="D42" i="5"/>
  <c r="D30" i="5"/>
  <c r="D18" i="5"/>
  <c r="D303" i="5"/>
  <c r="D277" i="5"/>
  <c r="D220" i="5"/>
  <c r="D126" i="5"/>
  <c r="D90" i="5"/>
  <c r="D61" i="5"/>
  <c r="D49" i="5"/>
  <c r="D37" i="5"/>
  <c r="D25" i="5"/>
  <c r="D15" i="5"/>
  <c r="D12" i="5"/>
  <c r="D9" i="5"/>
  <c r="D6" i="5"/>
  <c r="D308" i="5"/>
  <c r="D254" i="5"/>
  <c r="D224" i="5"/>
  <c r="D176" i="5"/>
  <c r="D173" i="5"/>
  <c r="D137" i="5"/>
  <c r="D112" i="5"/>
  <c r="D101" i="5"/>
  <c r="D76" i="5"/>
  <c r="D68" i="5"/>
  <c r="D56" i="5"/>
  <c r="D44" i="5"/>
  <c r="D32" i="5"/>
  <c r="D20" i="5"/>
  <c r="D289" i="5"/>
  <c r="D253" i="5"/>
  <c r="D215" i="5"/>
  <c r="D196" i="5"/>
  <c r="D186" i="5"/>
  <c r="D182" i="5"/>
  <c r="D172" i="5"/>
  <c r="D114" i="5"/>
  <c r="D78" i="5"/>
  <c r="D408" i="5"/>
  <c r="D352" i="5"/>
  <c r="D327" i="5"/>
  <c r="D301" i="5"/>
  <c r="D270" i="5"/>
  <c r="D239" i="5"/>
  <c r="D218" i="5"/>
  <c r="D203" i="5"/>
  <c r="D200" i="5"/>
  <c r="D192" i="5"/>
  <c r="D162" i="5"/>
  <c r="D150" i="5"/>
  <c r="D141" i="5"/>
  <c r="D133" i="5"/>
  <c r="D119" i="5"/>
  <c r="D111" i="5"/>
  <c r="D105" i="5"/>
  <c r="D97" i="5"/>
  <c r="D83" i="5"/>
  <c r="D75" i="5"/>
  <c r="D67" i="5"/>
  <c r="D366" i="5"/>
  <c r="D248" i="5"/>
  <c r="D236" i="5"/>
  <c r="D179" i="5"/>
  <c r="D136" i="5"/>
  <c r="D106" i="5"/>
  <c r="D89" i="5"/>
  <c r="D85" i="5"/>
  <c r="D55" i="5"/>
  <c r="D46" i="5"/>
  <c r="D43" i="5"/>
  <c r="D34" i="5"/>
  <c r="D31" i="5"/>
  <c r="D22" i="5"/>
  <c r="D19" i="5"/>
  <c r="D16" i="5"/>
  <c r="D5" i="5"/>
  <c r="D306" i="5"/>
  <c r="D210" i="5"/>
  <c r="D204" i="5"/>
  <c r="D145" i="5"/>
  <c r="D116" i="5"/>
  <c r="D92" i="5"/>
  <c r="D80" i="5"/>
  <c r="D58" i="5"/>
  <c r="D52" i="5"/>
  <c r="D40" i="5"/>
  <c r="D28" i="5"/>
  <c r="D420" i="5"/>
  <c r="D222" i="5"/>
  <c r="D130" i="5"/>
  <c r="D121" i="5"/>
  <c r="D71" i="5"/>
  <c r="D8" i="5"/>
  <c r="D518" i="5"/>
  <c r="D240" i="5"/>
  <c r="D166" i="5"/>
  <c r="D64" i="5"/>
  <c r="D51" i="5"/>
  <c r="D39" i="5"/>
  <c r="D27" i="5"/>
  <c r="D265" i="5"/>
  <c r="D178" i="5"/>
  <c r="D160" i="5"/>
  <c r="D139" i="5"/>
  <c r="D125" i="5"/>
  <c r="D109" i="5"/>
  <c r="D91" i="5"/>
  <c r="D48" i="5"/>
  <c r="D36" i="5"/>
  <c r="D24" i="5"/>
  <c r="D11" i="5"/>
  <c r="D376" i="5"/>
  <c r="D258" i="5"/>
  <c r="D232" i="5"/>
  <c r="D208" i="5"/>
  <c r="D165" i="5"/>
  <c r="D100" i="5"/>
  <c r="D95" i="5"/>
  <c r="D87" i="5"/>
  <c r="D70" i="5"/>
  <c r="D63" i="5"/>
  <c r="D60" i="5"/>
  <c r="D57" i="5"/>
  <c r="D45" i="5"/>
  <c r="D33" i="5"/>
  <c r="D21" i="5"/>
  <c r="D403" i="5"/>
  <c r="D207" i="5"/>
  <c r="D153" i="5"/>
  <c r="D123" i="5"/>
  <c r="D94" i="5"/>
  <c r="D73" i="5"/>
  <c r="D53" i="5"/>
  <c r="D50" i="5"/>
  <c r="D41" i="5"/>
  <c r="D38" i="5"/>
  <c r="D29" i="5"/>
  <c r="D26" i="5"/>
  <c r="D17" i="5"/>
  <c r="D10" i="5"/>
  <c r="D294" i="5"/>
  <c r="D275" i="5"/>
  <c r="D157" i="5"/>
  <c r="D147" i="5"/>
  <c r="D117" i="5"/>
  <c r="D93" i="5"/>
  <c r="D81" i="5"/>
  <c r="D59" i="5"/>
  <c r="D13" i="5"/>
  <c r="D307" i="5"/>
  <c r="D169" i="5"/>
  <c r="D131" i="5"/>
  <c r="D244" i="5"/>
  <c r="D142" i="5"/>
  <c r="D632" i="5"/>
  <c r="D398" i="5"/>
  <c r="D148" i="5"/>
  <c r="D107" i="5"/>
  <c r="D65" i="5"/>
  <c r="D23" i="5"/>
  <c r="D390" i="5"/>
  <c r="D212" i="5"/>
  <c r="D77" i="5"/>
  <c r="D280" i="5"/>
  <c r="D154" i="5"/>
  <c r="D128" i="5"/>
  <c r="D69" i="5"/>
  <c r="D211" i="5"/>
  <c r="D189" i="5"/>
  <c r="D193" i="5"/>
  <c r="D99" i="5"/>
  <c r="D103" i="5"/>
  <c r="D35" i="5"/>
  <c r="D62" i="5"/>
  <c r="D47" i="5"/>
  <c r="D471" i="5"/>
  <c r="D409" i="5"/>
  <c r="D256" i="5"/>
  <c r="D159" i="5"/>
  <c r="D7" i="5"/>
  <c r="D127" i="5"/>
  <c r="D14" i="5"/>
  <c r="D316"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<sst xmlns="http://schemas.openxmlformats.org/spreadsheetml/2006/main" count="54" uniqueCount="40">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</sst>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Core'!$C$5:$C$772</c:f>
              <c:numCache>
                <c:formatCode>0.00%</c:formatCode>
                <c:ptCount val="768"/>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2.6162254126975821E-3</c:v>
                </c:pt>
                <c:pt idx="766">
                  <c:v>1.680900962916073E-3</c:v>
                </c:pt>
              </c:numCache>
            </c:numRef>
          </c:val>
          <c:smooth val="0"/>
          <c:extLst>
            <c:ext xmlns:c16="http://schemas.microsoft.com/office/drawing/2014/chart" uri="{C3380CC4-5D6E-409C-BE32-E72D297353CC}">
              <c16:uniqueId val="{00000000-3757-4CCB-875E-7E084553F741}"/>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6.0759795367682778E-2</c:v>
                </c:pt>
                <c:pt idx="274">
                  <c:v>5.5389170896785085E-2</c:v>
                </c:pt>
              </c:numCache>
            </c:numRef>
          </c:val>
          <c:smooth val="0"/>
          <c:extLst>
            <c:ext xmlns:c16="http://schemas.microsoft.com/office/drawing/2014/chart" uri="{C3380CC4-5D6E-409C-BE32-E72D297353CC}">
              <c16:uniqueId val="{00000000-9453-429F-9424-0D8B8E6DA257}"/>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Core'!$D$497:$D$789</c:f>
              <c:numCache>
                <c:formatCode>0.00%</c:formatCode>
                <c:ptCount val="29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5.0483902160112379E-2</c:v>
                </c:pt>
                <c:pt idx="274">
                  <c:v>4.6845068301782575E-2</c:v>
                </c:pt>
              </c:numCache>
            </c:numRef>
          </c:val>
          <c:smooth val="0"/>
          <c:extLst>
            <c:ext xmlns:c16="http://schemas.microsoft.com/office/drawing/2014/chart" uri="{C3380CC4-5D6E-409C-BE32-E72D297353CC}">
              <c16:uniqueId val="{00000000-1F3B-48DF-9408-F9D717A95ACA}"/>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Core'!$E$497:$E$772</c:f>
              <c:numCache>
                <c:formatCode>0%</c:formatCode>
                <c:ptCount val="27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numCache>
            </c:numRef>
          </c:val>
          <c:smooth val="0"/>
          <c:extLst>
            <c:ext xmlns:c16="http://schemas.microsoft.com/office/drawing/2014/chart" uri="{C3380CC4-5D6E-409C-BE32-E72D297353CC}">
              <c16:uniqueId val="{00000001-1F3B-48DF-9408-F9D717A95ACA}"/>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Core'!$D$149:$D$787</c:f>
              <c:numCache>
                <c:formatCode>0.00%</c:formatCode>
                <c:ptCount val="639"/>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5.0483902160112379E-2</c:v>
                </c:pt>
                <c:pt idx="622">
                  <c:v>4.6845068301782575E-2</c:v>
                </c:pt>
              </c:numCache>
            </c:numRef>
          </c:val>
          <c:smooth val="0"/>
          <c:extLst>
            <c:ext xmlns:c16="http://schemas.microsoft.com/office/drawing/2014/chart" uri="{C3380CC4-5D6E-409C-BE32-E72D297353CC}">
              <c16:uniqueId val="{00000000-285C-42AA-B706-376C3F345021}"/>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Core'!$F$149:$F$787</c:f>
              <c:numCache>
                <c:formatCode>General</c:formatCode>
                <c:ptCount val="639"/>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numCache>
            </c:numRef>
          </c:val>
          <c:smooth val="0"/>
          <c:extLst>
            <c:ext xmlns:c16="http://schemas.microsoft.com/office/drawing/2014/chart" uri="{C3380CC4-5D6E-409C-BE32-E72D297353CC}">
              <c16:uniqueId val="{00000001-285C-42AA-B706-376C3F345021}"/>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CPI'!$B$5:$B$772</c:f>
              <c:numCache>
                <c:formatCode>0.00</c:formatCode>
                <c:ptCount val="768"/>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124.93300000000001</c:v>
                </c:pt>
                <c:pt idx="766">
                  <c:v>125.143</c:v>
                </c:pt>
                <c:pt idx="767">
                  <c:v>#N/A</c:v>
                </c:pt>
              </c:numCache>
            </c:numRef>
          </c:val>
          <c:smooth val="0"/>
          <c:extLst>
            <c:ext xmlns:c16="http://schemas.microsoft.com/office/drawing/2014/chart" uri="{C3380CC4-5D6E-409C-BE32-E72D297353CC}">
              <c16:uniqueId val="{00000000-A531-47C5-9588-F1C8FF5FE30D}"/>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pt idx="766">
                  <c:v>300.06599999999997</c:v>
                </c:pt>
                <c:pt idx="767">
                  <c:v>300.97399999999999</c:v>
                </c:pt>
              </c:numCache>
            </c:numRef>
          </c:val>
          <c:smooth val="0"/>
          <c:extLst>
            <c:ext xmlns:c16="http://schemas.microsoft.com/office/drawing/2014/chart" uri="{C3380CC4-5D6E-409C-BE32-E72D297353CC}">
              <c16:uniqueId val="{00000001-A531-47C5-9588-F1C8FF5FE30D}"/>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2-A531-47C5-9588-F1C8FF5FE30D}"/>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3-A531-47C5-9588-F1C8FF5FE30D}"/>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0-6A5B-46A8-A583-1AE85C6C50C4}"/>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1-6A5B-46A8-A583-1AE85C6C50C4}"/>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1" totalsRowShown="0" headerRowDxfId="27" dataDxfId="25" headerRowBorderDxfId="26">
  <autoFilter ref="A4:D771" xr:uid="{00000000-0009-0000-0100-000001000000}"/>
  <tableColumns count="4">
    <tableColumn id="1" xr3:uid="{00000000-0010-0000-0000-000001000000}" name="Date" dataDxfId="24"/>
    <tableColumn id="2" xr3:uid="{00000000-0010-0000-0000-000002000000}" name="Value" dataDxfId="23">
      <calculatedColumnFormula>VLOOKUP(Table5345679103[[#This Row],[Date]],Database!A:E,MATCH($A$1,Database!$A$1:$E$1,),)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1" totalsRowShown="0" headerRowDxfId="20" dataDxfId="18" headerRowBorderDxfId="19">
  <autoFilter ref="A4:F771" xr:uid="{00000000-0009-0000-0100-000002000000}"/>
  <tableColumns count="6">
    <tableColumn id="1" xr3:uid="{00000000-0010-0000-0100-000001000000}" name="Date" dataDxfId="17"/>
    <tableColumn id="2" xr3:uid="{00000000-0010-0000-0100-000002000000}" name="Value" dataDxfId="16">
      <calculatedColumnFormula>VLOOKUP(Table534567910[[#This Row],[Date]],Database!A:E,MATCH($A$1,Database!$A$1:$E$1,),)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2" totalsRowShown="0" headerRowDxfId="11" dataDxfId="9" headerRowBorderDxfId="10" tableBorderDxfId="8" totalsRowBorderDxfId="7">
  <autoFilter ref="A4:G772" xr:uid="{00000000-0009-0000-0100-000003000000}"/>
  <tableColumns count="7">
    <tableColumn id="1" xr3:uid="{00000000-0010-0000-0200-000001000000}" name="Date" dataDxfId="6"/>
    <tableColumn id="2" xr3:uid="{00000000-0010-0000-0200-000002000000}" name="Core PCE" dataDxfId="5">
      <calculatedColumnFormula>VLOOKUP(Table3[[#This Row],[Date]],'PCE Core'!$A:$E,2,)</calculatedColumnFormula>
    </tableColumn>
    <tableColumn id="3" xr3:uid="{00000000-0010-0000-0200-000003000000}" name="Core CPI" dataDxfId="4">
      <calculatedColumnFormula>VLOOKUP(Table3[[#This Row],[Date]],Database!$A:$E,5)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zoomScale="150" zoomScaleNormal="150" workbookViewId="0">
      <selection activeCell="H29" sqref="H29"/>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1" width="9.1796875" style="63" customWidth="1"/>
    <col min="42" max="16384" width="9.1796875" style="63"/>
  </cols>
  <sheetData>
    <row r="1" spans="2:19" x14ac:dyDescent="0.35">
      <c r="B1" s="66"/>
      <c r="C1" s="67"/>
      <c r="D1" s="67"/>
      <c r="E1" s="67"/>
      <c r="F1" s="67"/>
      <c r="G1" s="67"/>
      <c r="H1" s="67"/>
      <c r="I1" s="67"/>
      <c r="J1" s="67"/>
    </row>
    <row r="2" spans="2:19" ht="16" customHeight="1" thickBot="1" x14ac:dyDescent="0.4">
      <c r="B2" s="68"/>
      <c r="C2" s="68"/>
      <c r="D2" s="68"/>
      <c r="E2" s="68"/>
      <c r="F2" s="68"/>
      <c r="G2" s="68"/>
      <c r="H2" s="68"/>
      <c r="I2" s="68"/>
      <c r="J2" s="68"/>
    </row>
    <row r="3" spans="2:19" ht="16" customHeight="1" thickBot="1" x14ac:dyDescent="0.4">
      <c r="B3" s="69" t="s">
        <v>0</v>
      </c>
      <c r="C3" s="70"/>
      <c r="D3" s="70"/>
      <c r="E3" s="70"/>
      <c r="F3" s="70"/>
      <c r="G3" s="70"/>
      <c r="H3" s="70"/>
      <c r="I3" s="70"/>
      <c r="J3" s="71"/>
    </row>
    <row r="5" spans="2:19" x14ac:dyDescent="0.35">
      <c r="B5" s="72" t="s">
        <v>1</v>
      </c>
      <c r="C5" s="73"/>
      <c r="D5" s="73"/>
      <c r="E5" s="73"/>
      <c r="F5" s="73"/>
      <c r="G5" s="73"/>
      <c r="H5" s="73"/>
      <c r="I5" s="73"/>
      <c r="J5" s="74"/>
    </row>
    <row r="7" spans="2:19" x14ac:dyDescent="0.35">
      <c r="B7" s="75" t="s">
        <v>2</v>
      </c>
      <c r="C7" s="67"/>
      <c r="D7" s="67"/>
      <c r="E7" s="67"/>
      <c r="F7" s="67"/>
      <c r="G7" s="67"/>
      <c r="H7" s="67"/>
      <c r="I7" s="67"/>
      <c r="J7" s="67"/>
    </row>
    <row r="8" spans="2:19" x14ac:dyDescent="0.35">
      <c r="B8" s="80"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44866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76" t="s">
        <v>14</v>
      </c>
      <c r="O22" s="77"/>
      <c r="P22" s="46">
        <f>(VLOOKUP($P$20,Database!A:C,MATCH(Note!S22,Database!A1:C1,),)-VLOOKUP($N$30,Database!A:C,MATCH(Note!S22,Database!A1:C1,),))/VLOOKUP($N$30,Database!A:C,MATCH(Note!S22,Database!A1:C1,),)</f>
        <v>1.0431963536274781E-3</v>
      </c>
      <c r="Q22" s="47">
        <f>(VLOOKUP($P$20,Database!A:C,MATCH(Note!S22,Database!A1:C1,),)-VLOOKUP($N$31,Database!A:C,MATCH(Note!S22,Database!A1:C1,),))/VLOOKUP($N$31,Database!A:C,MATCH(Note!S22,Database!A1:C1,),)</f>
        <v>5.5389170896785085E-2</v>
      </c>
      <c r="S22" s="39" t="s">
        <v>15</v>
      </c>
    </row>
    <row r="23" spans="2:19" ht="16" customHeight="1" thickBot="1" x14ac:dyDescent="0.4">
      <c r="B23" s="40" t="s">
        <v>15</v>
      </c>
      <c r="G23" s="81" t="s">
        <v>16</v>
      </c>
      <c r="H23" s="67"/>
      <c r="I23" s="67"/>
      <c r="J23" s="67"/>
      <c r="N23" s="78" t="s">
        <v>17</v>
      </c>
      <c r="O23" s="79"/>
      <c r="P23" s="48">
        <f>(VLOOKUP($P$20,Database!A:C,MATCH(Note!S23,Database!A1:C1,),)-VLOOKUP($N$30,Database!A:C,MATCH(Note!S23,Database!A1:C1,),))/VLOOKUP($N$30,Database!A:C,MATCH(Note!S23,Database!A1:C1,),)</f>
        <v>1.680900962916073E-3</v>
      </c>
      <c r="Q23" s="49">
        <f>(VLOOKUP($P$20,Database!A:C,MATCH(Note!S23,Database!A1:C1,),)-VLOOKUP($N$31,Database!A:C,MATCH(Note!S23,Database!A1:C1,),))/VLOOKUP($N$31,Database!A:C,MATCH(Note!S23,Database!A1:C1,),)</f>
        <v>4.6845068301782575E-2</v>
      </c>
      <c r="S23" s="41" t="s">
        <v>18</v>
      </c>
    </row>
    <row r="24" spans="2:19" x14ac:dyDescent="0.35">
      <c r="B24" s="40" t="s">
        <v>18</v>
      </c>
      <c r="G24" s="81"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82"/>
      <c r="C30" s="67"/>
      <c r="D30" s="67"/>
      <c r="E30" s="67"/>
      <c r="F30" s="67"/>
      <c r="G30" s="67"/>
      <c r="H30" s="67"/>
      <c r="I30" s="67"/>
      <c r="J30" s="67"/>
      <c r="N30" s="37">
        <f>DATE(YEAR($P$20),MONTH($P$20)-1,DAY($P$20))</f>
        <v>44835</v>
      </c>
    </row>
    <row r="31" spans="2:19" ht="16" customHeight="1" thickBot="1" x14ac:dyDescent="0.4">
      <c r="B31" s="43"/>
      <c r="N31" s="44">
        <f>DATE(YEAR($P$20)-1,MONTH($P$20),DAY($P$20))</f>
        <v>44501</v>
      </c>
      <c r="P31" s="45"/>
      <c r="Q31" s="45"/>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35" priority="7" operator="lessThan">
      <formula>0</formula>
    </cfRule>
    <cfRule type="cellIs" dxfId="34" priority="8" operator="greaterThan">
      <formula>0</formula>
    </cfRule>
  </conditionalFormatting>
  <conditionalFormatting sqref="Q22">
    <cfRule type="cellIs" dxfId="33" priority="5" operator="lessThan">
      <formula>0</formula>
    </cfRule>
    <cfRule type="cellIs" dxfId="32" priority="6" operator="greaterThan">
      <formula>0</formula>
    </cfRule>
  </conditionalFormatting>
  <conditionalFormatting sqref="P23">
    <cfRule type="cellIs" dxfId="31" priority="3" operator="lessThan">
      <formula>0</formula>
    </cfRule>
    <cfRule type="cellIs" dxfId="30" priority="4" operator="greaterThan">
      <formula>0</formula>
    </cfRule>
  </conditionalFormatting>
  <conditionalFormatting sqref="Q23">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3"/>
  <sheetViews>
    <sheetView zoomScale="170" zoomScaleNormal="170" workbookViewId="0">
      <pane ySplit="1" topLeftCell="A786" activePane="bottomLeft" state="frozen"/>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255.072</v>
      </c>
    </row>
    <row r="735" spans="1:5" x14ac:dyDescent="0.35">
      <c r="A735" s="65">
        <v>43132</v>
      </c>
      <c r="B735">
        <v>107.625</v>
      </c>
      <c r="C735">
        <v>109.31100000000001</v>
      </c>
      <c r="D735">
        <v>1.5</v>
      </c>
      <c r="E735">
        <v>255.56800000000001</v>
      </c>
    </row>
    <row r="736" spans="1:5" x14ac:dyDescent="0.35">
      <c r="A736" s="65">
        <v>43160</v>
      </c>
      <c r="B736">
        <v>107.777</v>
      </c>
      <c r="C736">
        <v>109.562</v>
      </c>
      <c r="D736">
        <v>1.5</v>
      </c>
      <c r="E736">
        <v>256.12799999999999</v>
      </c>
    </row>
    <row r="737" spans="1:5" x14ac:dyDescent="0.35">
      <c r="A737" s="65">
        <v>43191</v>
      </c>
      <c r="B737">
        <v>107.988</v>
      </c>
      <c r="C737">
        <v>109.75</v>
      </c>
      <c r="D737">
        <v>1.75</v>
      </c>
      <c r="E737">
        <v>256.60300000000001</v>
      </c>
    </row>
    <row r="738" spans="1:5" x14ac:dyDescent="0.35">
      <c r="A738" s="65">
        <v>43221</v>
      </c>
      <c r="B738">
        <v>108.193</v>
      </c>
      <c r="C738">
        <v>109.956</v>
      </c>
      <c r="D738">
        <v>1.75</v>
      </c>
      <c r="E738">
        <v>257.15100000000001</v>
      </c>
    </row>
    <row r="739" spans="1:5" x14ac:dyDescent="0.35">
      <c r="A739" s="65">
        <v>43252</v>
      </c>
      <c r="B739">
        <v>108.31699999999999</v>
      </c>
      <c r="C739">
        <v>110.07299999999999</v>
      </c>
      <c r="D739">
        <v>1.75</v>
      </c>
      <c r="E739">
        <v>257.44900000000001</v>
      </c>
    </row>
    <row r="740" spans="1:5" x14ac:dyDescent="0.35">
      <c r="A740" s="65">
        <v>43282</v>
      </c>
      <c r="B740">
        <v>108.417</v>
      </c>
      <c r="C740">
        <v>110.21899999999999</v>
      </c>
      <c r="D740">
        <v>2</v>
      </c>
      <c r="E740">
        <v>257.84800000000001</v>
      </c>
    </row>
    <row r="741" spans="1:5" x14ac:dyDescent="0.35">
      <c r="A741" s="65">
        <v>43313</v>
      </c>
      <c r="B741">
        <v>108.502</v>
      </c>
      <c r="C741">
        <v>110.246</v>
      </c>
      <c r="D741">
        <v>2</v>
      </c>
      <c r="E741">
        <v>258.02800000000002</v>
      </c>
    </row>
    <row r="742" spans="1:5" x14ac:dyDescent="0.35">
      <c r="A742" s="65">
        <v>43344</v>
      </c>
      <c r="B742">
        <v>108.738</v>
      </c>
      <c r="C742">
        <v>110.476</v>
      </c>
      <c r="D742">
        <v>2</v>
      </c>
      <c r="E742">
        <v>258.505</v>
      </c>
    </row>
    <row r="743" spans="1:5" x14ac:dyDescent="0.35">
      <c r="A743" s="65">
        <v>43374</v>
      </c>
      <c r="B743">
        <v>108.92400000000001</v>
      </c>
      <c r="C743">
        <v>110.626</v>
      </c>
      <c r="D743">
        <v>2.25</v>
      </c>
      <c r="E743">
        <v>258.99700000000001</v>
      </c>
    </row>
    <row r="744" spans="1:5" x14ac:dyDescent="0.35">
      <c r="A744" s="65">
        <v>43405</v>
      </c>
      <c r="B744">
        <v>108.96899999999999</v>
      </c>
      <c r="C744">
        <v>110.831</v>
      </c>
      <c r="D744">
        <v>2.25</v>
      </c>
      <c r="E744">
        <v>259.45499999999998</v>
      </c>
    </row>
    <row r="745" spans="1:5" x14ac:dyDescent="0.35">
      <c r="A745" s="65">
        <v>43435</v>
      </c>
      <c r="B745">
        <v>108.991</v>
      </c>
      <c r="C745">
        <v>111.009</v>
      </c>
      <c r="D745">
        <v>2.25</v>
      </c>
      <c r="E745">
        <v>259.93400000000003</v>
      </c>
    </row>
    <row r="746" spans="1:5" x14ac:dyDescent="0.35">
      <c r="A746" s="65">
        <v>43466</v>
      </c>
      <c r="B746">
        <v>108.977</v>
      </c>
      <c r="C746">
        <v>111.134</v>
      </c>
      <c r="D746">
        <v>2.5</v>
      </c>
      <c r="E746">
        <v>260.53399999999999</v>
      </c>
    </row>
    <row r="747" spans="1:5" x14ac:dyDescent="0.35">
      <c r="A747" s="65">
        <v>43497</v>
      </c>
      <c r="B747">
        <v>109.146</v>
      </c>
      <c r="C747">
        <v>111.20699999999999</v>
      </c>
      <c r="D747">
        <v>2.5</v>
      </c>
      <c r="E747">
        <v>260.88499999999999</v>
      </c>
    </row>
    <row r="748" spans="1:5" x14ac:dyDescent="0.35">
      <c r="A748" s="65">
        <v>43525</v>
      </c>
      <c r="B748">
        <v>109.443</v>
      </c>
      <c r="C748">
        <v>111.35</v>
      </c>
      <c r="D748">
        <v>2.5</v>
      </c>
      <c r="E748">
        <v>261.38200000000001</v>
      </c>
    </row>
    <row r="749" spans="1:5" x14ac:dyDescent="0.35">
      <c r="A749" s="65">
        <v>43556</v>
      </c>
      <c r="B749">
        <v>109.78</v>
      </c>
      <c r="C749">
        <v>111.65</v>
      </c>
      <c r="D749">
        <v>2.5</v>
      </c>
      <c r="E749">
        <v>261.95800000000003</v>
      </c>
    </row>
    <row r="750" spans="1:5" x14ac:dyDescent="0.35">
      <c r="A750" s="65">
        <v>43586</v>
      </c>
      <c r="B750">
        <v>109.85599999999999</v>
      </c>
      <c r="C750">
        <v>111.773</v>
      </c>
      <c r="D750">
        <v>2.5</v>
      </c>
      <c r="E750">
        <v>262.32100000000003</v>
      </c>
    </row>
    <row r="751" spans="1:5" x14ac:dyDescent="0.35">
      <c r="A751" s="65">
        <v>43617</v>
      </c>
      <c r="B751">
        <v>109.935</v>
      </c>
      <c r="C751">
        <v>112</v>
      </c>
      <c r="D751">
        <v>2.5</v>
      </c>
      <c r="E751">
        <v>262.94499999999999</v>
      </c>
    </row>
    <row r="752" spans="1:5" x14ac:dyDescent="0.35">
      <c r="A752" s="65">
        <v>43647</v>
      </c>
      <c r="B752">
        <v>110.09399999999999</v>
      </c>
      <c r="C752">
        <v>112.157</v>
      </c>
      <c r="D752">
        <v>2.5</v>
      </c>
      <c r="E752">
        <v>263.49099999999999</v>
      </c>
    </row>
    <row r="753" spans="1:5" x14ac:dyDescent="0.35">
      <c r="A753" s="65">
        <v>43678</v>
      </c>
      <c r="B753">
        <v>110.13200000000001</v>
      </c>
      <c r="C753">
        <v>112.27</v>
      </c>
      <c r="D753">
        <v>2.25</v>
      </c>
      <c r="E753">
        <v>264.13499999999999</v>
      </c>
    </row>
    <row r="754" spans="1:5" x14ac:dyDescent="0.35">
      <c r="A754" s="65">
        <v>43709</v>
      </c>
      <c r="B754">
        <v>110.20699999999999</v>
      </c>
      <c r="C754">
        <v>112.339</v>
      </c>
      <c r="D754">
        <v>2.25</v>
      </c>
      <c r="E754">
        <v>264.58800000000002</v>
      </c>
    </row>
    <row r="755" spans="1:5" x14ac:dyDescent="0.35">
      <c r="A755" s="65">
        <v>43739</v>
      </c>
      <c r="B755">
        <v>110.423</v>
      </c>
      <c r="C755">
        <v>112.496</v>
      </c>
      <c r="D755">
        <v>2</v>
      </c>
      <c r="E755">
        <v>265.01900000000001</v>
      </c>
    </row>
    <row r="756" spans="1:5" x14ac:dyDescent="0.35">
      <c r="A756" s="65">
        <v>43770</v>
      </c>
      <c r="B756">
        <v>110.46899999999999</v>
      </c>
      <c r="C756">
        <v>112.524</v>
      </c>
      <c r="D756">
        <v>1.75</v>
      </c>
      <c r="E756">
        <v>265.46100000000001</v>
      </c>
    </row>
    <row r="757" spans="1:5" x14ac:dyDescent="0.35">
      <c r="A757" s="65">
        <v>43800</v>
      </c>
      <c r="B757">
        <v>110.736</v>
      </c>
      <c r="C757">
        <v>112.77200000000001</v>
      </c>
      <c r="D757">
        <v>1.75</v>
      </c>
      <c r="E757">
        <v>265.74200000000002</v>
      </c>
    </row>
    <row r="758" spans="1:5" x14ac:dyDescent="0.35">
      <c r="A758" s="65">
        <v>43831</v>
      </c>
      <c r="B758">
        <v>110.944</v>
      </c>
      <c r="C758">
        <v>113.008</v>
      </c>
      <c r="D758">
        <v>1.75</v>
      </c>
      <c r="E758">
        <v>266.41800000000001</v>
      </c>
    </row>
    <row r="759" spans="1:5" x14ac:dyDescent="0.35">
      <c r="A759" s="65">
        <v>43862</v>
      </c>
      <c r="B759">
        <v>111.07</v>
      </c>
      <c r="C759">
        <v>113.206</v>
      </c>
      <c r="D759">
        <v>1.75</v>
      </c>
      <c r="E759">
        <v>267.08300000000003</v>
      </c>
    </row>
    <row r="760" spans="1:5" x14ac:dyDescent="0.35">
      <c r="A760" s="65">
        <v>43891</v>
      </c>
      <c r="B760">
        <v>110.824</v>
      </c>
      <c r="C760">
        <v>113.143</v>
      </c>
      <c r="D760">
        <v>1.75</v>
      </c>
      <c r="E760">
        <v>266.916</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265.60599999999999</v>
      </c>
    </row>
    <row r="763" spans="1:5" x14ac:dyDescent="0.35">
      <c r="A763" s="65">
        <v>43983</v>
      </c>
      <c r="B763">
        <v>110.746</v>
      </c>
      <c r="C763">
        <v>113.051</v>
      </c>
      <c r="D763">
        <v>0.25</v>
      </c>
      <c r="E763">
        <v>266.08800000000002</v>
      </c>
    </row>
    <row r="764" spans="1:5" x14ac:dyDescent="0.35">
      <c r="A764" s="65">
        <v>44013</v>
      </c>
      <c r="B764">
        <v>111.072</v>
      </c>
      <c r="C764">
        <v>113.425</v>
      </c>
      <c r="D764">
        <v>0.25</v>
      </c>
      <c r="E764">
        <v>267.55200000000002</v>
      </c>
    </row>
    <row r="765" spans="1:5" x14ac:dyDescent="0.35">
      <c r="A765" s="65">
        <v>44044</v>
      </c>
      <c r="B765">
        <v>111.411</v>
      </c>
      <c r="C765">
        <v>113.782</v>
      </c>
      <c r="D765">
        <v>0.25</v>
      </c>
      <c r="E765">
        <v>268.66199999999998</v>
      </c>
    </row>
    <row r="766" spans="1:5" x14ac:dyDescent="0.35">
      <c r="A766" s="65">
        <v>44075</v>
      </c>
      <c r="B766">
        <v>111.613</v>
      </c>
      <c r="C766">
        <v>113.979</v>
      </c>
      <c r="D766">
        <v>0.25</v>
      </c>
      <c r="E766">
        <v>269.15199999999999</v>
      </c>
    </row>
    <row r="767" spans="1:5" x14ac:dyDescent="0.35">
      <c r="A767" s="65">
        <v>44105</v>
      </c>
      <c r="B767">
        <v>111.648</v>
      </c>
      <c r="C767">
        <v>114.017</v>
      </c>
      <c r="D767">
        <v>0.25</v>
      </c>
      <c r="E767">
        <v>269.33199999999999</v>
      </c>
    </row>
    <row r="768" spans="1:5" x14ac:dyDescent="0.35">
      <c r="A768" s="65">
        <v>44136</v>
      </c>
      <c r="B768">
        <v>111.666</v>
      </c>
      <c r="C768">
        <v>114.048</v>
      </c>
      <c r="D768">
        <v>0.25</v>
      </c>
      <c r="E768">
        <v>269.81599999999997</v>
      </c>
    </row>
    <row r="769" spans="1:5" x14ac:dyDescent="0.35">
      <c r="A769" s="65">
        <v>44166</v>
      </c>
      <c r="B769">
        <v>112.15</v>
      </c>
      <c r="C769">
        <v>114.422</v>
      </c>
      <c r="D769">
        <v>0.25</v>
      </c>
      <c r="E769">
        <v>269.98399999999998</v>
      </c>
    </row>
    <row r="770" spans="1:5" x14ac:dyDescent="0.35">
      <c r="A770" s="65">
        <v>44197</v>
      </c>
      <c r="B770">
        <v>112.583</v>
      </c>
      <c r="C770">
        <v>114.782</v>
      </c>
      <c r="D770">
        <v>0.25</v>
      </c>
      <c r="E770">
        <v>270.11399999999998</v>
      </c>
    </row>
    <row r="771" spans="1:5" x14ac:dyDescent="0.35">
      <c r="A771" s="65">
        <v>44228</v>
      </c>
      <c r="B771">
        <v>112.961</v>
      </c>
      <c r="C771">
        <v>114.97499999999999</v>
      </c>
      <c r="D771">
        <v>0.25</v>
      </c>
      <c r="E771">
        <v>270.52199999999999</v>
      </c>
    </row>
    <row r="772" spans="1:5" x14ac:dyDescent="0.35">
      <c r="A772" s="65">
        <v>44256</v>
      </c>
      <c r="B772">
        <v>113.63200000000001</v>
      </c>
      <c r="C772">
        <v>115.45699999999999</v>
      </c>
      <c r="D772">
        <v>0.25</v>
      </c>
      <c r="E772">
        <v>271.34699999999998</v>
      </c>
    </row>
    <row r="773" spans="1:5" x14ac:dyDescent="0.35">
      <c r="A773" s="65">
        <v>44287</v>
      </c>
      <c r="B773">
        <v>114.238</v>
      </c>
      <c r="C773">
        <v>116.18600000000001</v>
      </c>
      <c r="D773">
        <v>0.25</v>
      </c>
      <c r="E773">
        <v>273.66899999999998</v>
      </c>
    </row>
    <row r="774" spans="1:5" x14ac:dyDescent="0.35">
      <c r="A774" s="65">
        <v>44317</v>
      </c>
      <c r="B774">
        <v>114.819</v>
      </c>
      <c r="C774">
        <v>116.78700000000001</v>
      </c>
      <c r="D774">
        <v>0.25</v>
      </c>
      <c r="E774">
        <v>275.71499999999997</v>
      </c>
    </row>
    <row r="775" spans="1:5" x14ac:dyDescent="0.35">
      <c r="A775" s="65">
        <v>44348</v>
      </c>
      <c r="B775">
        <v>115.458</v>
      </c>
      <c r="C775">
        <v>117.349</v>
      </c>
      <c r="D775">
        <v>0.25</v>
      </c>
      <c r="E775">
        <v>277.92200000000003</v>
      </c>
    </row>
    <row r="776" spans="1:5" x14ac:dyDescent="0.35">
      <c r="A776" s="65">
        <v>44378</v>
      </c>
      <c r="B776">
        <v>115.986</v>
      </c>
      <c r="C776">
        <v>117.81100000000001</v>
      </c>
      <c r="D776">
        <v>0.25</v>
      </c>
      <c r="E776">
        <v>278.79399999999998</v>
      </c>
    </row>
    <row r="777" spans="1:5" x14ac:dyDescent="0.35">
      <c r="A777" s="65">
        <v>44409</v>
      </c>
      <c r="B777">
        <v>116.444</v>
      </c>
      <c r="C777">
        <v>118.199</v>
      </c>
      <c r="D777">
        <v>0.25</v>
      </c>
      <c r="E777">
        <v>279.30599999999998</v>
      </c>
    </row>
    <row r="778" spans="1:5" x14ac:dyDescent="0.35">
      <c r="A778" s="65">
        <v>44440</v>
      </c>
      <c r="B778">
        <v>116.80800000000001</v>
      </c>
      <c r="C778">
        <v>118.446</v>
      </c>
      <c r="D778">
        <v>0.25</v>
      </c>
      <c r="E778">
        <v>280.017</v>
      </c>
    </row>
    <row r="779" spans="1:5" x14ac:dyDescent="0.35">
      <c r="A779" s="65">
        <v>44470</v>
      </c>
      <c r="B779">
        <v>117.479</v>
      </c>
      <c r="C779">
        <v>118.929</v>
      </c>
      <c r="D779">
        <v>0.25</v>
      </c>
      <c r="E779">
        <v>281.70499999999998</v>
      </c>
    </row>
    <row r="780" spans="1:5" x14ac:dyDescent="0.35">
      <c r="A780" s="65">
        <v>44501</v>
      </c>
      <c r="B780">
        <v>118.2</v>
      </c>
      <c r="C780">
        <v>119.54300000000001</v>
      </c>
      <c r="D780">
        <v>0.25</v>
      </c>
      <c r="E780">
        <v>283.17899999999997</v>
      </c>
    </row>
    <row r="781" spans="1:5" x14ac:dyDescent="0.35">
      <c r="A781" s="65">
        <v>44531</v>
      </c>
      <c r="B781">
        <v>118.84099999999999</v>
      </c>
      <c r="C781">
        <v>120.193</v>
      </c>
      <c r="D781">
        <v>0.25</v>
      </c>
      <c r="E781">
        <v>284.77</v>
      </c>
    </row>
    <row r="782" spans="1:5" x14ac:dyDescent="0.35">
      <c r="A782" s="65">
        <v>44562</v>
      </c>
      <c r="B782">
        <v>119.46899999999999</v>
      </c>
      <c r="C782">
        <v>120.761</v>
      </c>
      <c r="D782">
        <v>0.25</v>
      </c>
      <c r="E782">
        <v>286.43099999999998</v>
      </c>
    </row>
    <row r="783" spans="1:5" x14ac:dyDescent="0.35">
      <c r="A783" s="65">
        <v>44593</v>
      </c>
      <c r="B783">
        <v>120.178</v>
      </c>
      <c r="C783">
        <v>121.205</v>
      </c>
      <c r="D783">
        <v>0.25</v>
      </c>
      <c r="E783">
        <v>287.87799999999999</v>
      </c>
    </row>
    <row r="784" spans="1:5" x14ac:dyDescent="0.35">
      <c r="A784" s="65">
        <v>44621</v>
      </c>
      <c r="B784">
        <v>121.321</v>
      </c>
      <c r="C784">
        <v>121.651</v>
      </c>
      <c r="D784">
        <v>0.25</v>
      </c>
      <c r="E784">
        <v>288.81099999999998</v>
      </c>
    </row>
    <row r="785" spans="1:5" x14ac:dyDescent="0.35">
      <c r="A785" s="65">
        <v>44652</v>
      </c>
      <c r="B785">
        <v>121.563</v>
      </c>
      <c r="C785">
        <v>122.03</v>
      </c>
      <c r="D785">
        <v>0.5</v>
      </c>
      <c r="E785">
        <v>290.45499999999998</v>
      </c>
    </row>
    <row r="786" spans="1:5" x14ac:dyDescent="0.35">
      <c r="A786" s="65">
        <v>44682</v>
      </c>
      <c r="B786">
        <v>122.3</v>
      </c>
      <c r="C786">
        <v>122.488</v>
      </c>
      <c r="D786">
        <v>0.5</v>
      </c>
      <c r="E786">
        <v>292.28899999999999</v>
      </c>
    </row>
    <row r="787" spans="1:5" x14ac:dyDescent="0.35">
      <c r="A787" s="65">
        <v>44713</v>
      </c>
      <c r="B787">
        <v>123.512</v>
      </c>
      <c r="C787">
        <v>123.258</v>
      </c>
      <c r="D787">
        <v>1</v>
      </c>
      <c r="E787">
        <v>294.35399999999998</v>
      </c>
    </row>
    <row r="788" spans="1:5" x14ac:dyDescent="0.35">
      <c r="A788" s="65">
        <v>44743</v>
      </c>
      <c r="B788">
        <v>123.39700000000001</v>
      </c>
      <c r="C788">
        <v>123.352</v>
      </c>
      <c r="D788">
        <v>1.75</v>
      </c>
      <c r="E788">
        <v>295.27499999999998</v>
      </c>
    </row>
    <row r="789" spans="1:5" x14ac:dyDescent="0.35">
      <c r="A789" s="65">
        <v>44774</v>
      </c>
      <c r="B789">
        <v>123.72799999999999</v>
      </c>
      <c r="C789">
        <v>124.03100000000001</v>
      </c>
      <c r="D789">
        <v>2.5</v>
      </c>
      <c r="E789">
        <v>296.95</v>
      </c>
    </row>
    <row r="790" spans="1:5" x14ac:dyDescent="0.35">
      <c r="A790" s="65">
        <v>44805</v>
      </c>
      <c r="B790">
        <v>124.154</v>
      </c>
      <c r="C790">
        <v>124.607</v>
      </c>
      <c r="D790">
        <v>2.5</v>
      </c>
      <c r="E790">
        <v>298.66000000000003</v>
      </c>
    </row>
    <row r="791" spans="1:5" x14ac:dyDescent="0.35">
      <c r="A791" s="65">
        <v>44835</v>
      </c>
      <c r="B791">
        <v>124.617</v>
      </c>
      <c r="C791">
        <v>124.93300000000001</v>
      </c>
      <c r="D791">
        <v>3.25</v>
      </c>
      <c r="E791">
        <v>299.471</v>
      </c>
    </row>
    <row r="792" spans="1:5" x14ac:dyDescent="0.35">
      <c r="A792" s="65">
        <v>44866</v>
      </c>
      <c r="B792">
        <v>124.747</v>
      </c>
      <c r="C792">
        <v>125.143</v>
      </c>
      <c r="D792">
        <v>3.25</v>
      </c>
      <c r="E792">
        <v>300.06599999999997</v>
      </c>
    </row>
    <row r="793" spans="1:5" x14ac:dyDescent="0.35">
      <c r="A793" s="65">
        <v>44896</v>
      </c>
      <c r="D793">
        <v>4</v>
      </c>
      <c r="E79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90" zoomScaleNormal="90" workbookViewId="0">
      <pane ySplit="4" topLeftCell="A755" activePane="bottomLeft" state="frozen"/>
      <selection pane="bottomLeft" activeCell="E775" sqref="E775"/>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124.617</v>
      </c>
      <c r="C770" s="9">
        <f t="shared" si="11"/>
        <v>3.7292394928879302E-3</v>
      </c>
      <c r="D770" s="7">
        <f>(Table5345679103[[#This Row],[Value]]-B758)/B758</f>
        <v>6.0759795367682778E-2</v>
      </c>
    </row>
    <row r="771" spans="1:4" s="63" customFormat="1" x14ac:dyDescent="0.35">
      <c r="A771" s="56">
        <v>44866</v>
      </c>
      <c r="B771" s="57">
        <f>VLOOKUP(Table5345679103[[#This Row],[Date]],Database!A:E,MATCH($A$1,Database!$A$1:$E$1,),)</f>
        <v>124.747</v>
      </c>
      <c r="C771" s="9">
        <f t="shared" si="11"/>
        <v>1.0431963536274781E-3</v>
      </c>
      <c r="D771" s="7">
        <f>(Table5345679103[[#This Row],[Value]]-B759)/B759</f>
        <v>5.5389170896785085E-2</v>
      </c>
    </row>
    <row r="772" spans="1:4" s="63" customFormat="1" x14ac:dyDescent="0.35">
      <c r="A772" s="6"/>
      <c r="B772" s="52"/>
      <c r="C772" s="4"/>
      <c r="D772" s="5"/>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6"/>
  <sheetViews>
    <sheetView tabSelected="1" zoomScale="90" zoomScaleNormal="90" workbookViewId="0">
      <pane ySplit="4" topLeftCell="A756" activePane="bottomLeft" state="frozen"/>
      <selection activeCell="H29" sqref="H29"/>
      <selection pane="bottomLeft" activeCell="AC739" sqref="AC739"/>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3"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124.93300000000001</v>
      </c>
      <c r="C770" s="9">
        <f t="shared" si="11"/>
        <v>2.6162254126975821E-3</v>
      </c>
      <c r="D770" s="7">
        <f>(Table534567910[[#This Row],[Value]]-B758)/B758</f>
        <v>5.0483902160112379E-2</v>
      </c>
      <c r="E770" s="16">
        <v>0.02</v>
      </c>
      <c r="F770" s="15">
        <f>VLOOKUP(Table534567910[[#This Row],[Date]],Database!A:E,4)</f>
        <v>3.25</v>
      </c>
    </row>
    <row r="771" spans="1:6" s="63" customFormat="1" x14ac:dyDescent="0.35">
      <c r="A771" s="59">
        <v>44866</v>
      </c>
      <c r="B771" s="57">
        <f>VLOOKUP(Table534567910[[#This Row],[Date]],Database!A:E,MATCH($A$1,Database!$A$1:$E$1,),)</f>
        <v>125.143</v>
      </c>
      <c r="C771" s="9">
        <f t="shared" si="11"/>
        <v>1.680900962916073E-3</v>
      </c>
      <c r="D771" s="7">
        <f>(Table534567910[[#This Row],[Value]]-B759)/B759</f>
        <v>4.6845068301782575E-2</v>
      </c>
      <c r="E771" s="16">
        <v>0.02</v>
      </c>
      <c r="F771" s="15">
        <f>VLOOKUP(Table534567910[[#This Row],[Date]],Database!A:E,4)</f>
        <v>3.25</v>
      </c>
    </row>
    <row r="772" spans="1:6" s="63" customFormat="1" x14ac:dyDescent="0.35">
      <c r="A772" s="6"/>
      <c r="B772" s="52"/>
      <c r="C772" s="4"/>
      <c r="D772" s="5"/>
      <c r="E772" s="12"/>
      <c r="F772" s="12"/>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90" zoomScaleNormal="90" workbookViewId="0">
      <pane ySplit="4" topLeftCell="A729" activePane="bottomLeft" state="frozen"/>
      <selection activeCell="H29" sqref="H29"/>
      <selection pane="bottomLeft" activeCell="A760" sqref="A760:G772"/>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59">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2">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59">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2">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59">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2">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59">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2">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59">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2">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59">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2">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59">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59">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2">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59">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3" customFormat="1" x14ac:dyDescent="0.35">
      <c r="A731" s="62">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3" customFormat="1" x14ac:dyDescent="0.35">
      <c r="A732" s="59">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3" customFormat="1" x14ac:dyDescent="0.35">
      <c r="A733" s="62">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3" customFormat="1" x14ac:dyDescent="0.35">
      <c r="A734" s="59">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3" customFormat="1" x14ac:dyDescent="0.35">
      <c r="A735" s="62">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3" customFormat="1" x14ac:dyDescent="0.35">
      <c r="A737" s="62">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3" customFormat="1" x14ac:dyDescent="0.35">
      <c r="A738" s="59">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3" customFormat="1" x14ac:dyDescent="0.35">
      <c r="A739" s="62">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3" customFormat="1" x14ac:dyDescent="0.35">
      <c r="A741" s="62">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3" customFormat="1" x14ac:dyDescent="0.35">
      <c r="A742" s="59">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3" customFormat="1" x14ac:dyDescent="0.35">
      <c r="A743" s="62">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3" customFormat="1" x14ac:dyDescent="0.35">
      <c r="A744" s="59">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3" customFormat="1" x14ac:dyDescent="0.35">
      <c r="A745" s="62">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3" customFormat="1" x14ac:dyDescent="0.35">
      <c r="A746" s="59">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3" customFormat="1" x14ac:dyDescent="0.35">
      <c r="A747" s="62">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3" customFormat="1" x14ac:dyDescent="0.35">
      <c r="A748" s="59">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3" customFormat="1" x14ac:dyDescent="0.35">
      <c r="A749" s="62">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3" customFormat="1" x14ac:dyDescent="0.35">
      <c r="A754" s="59">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3" customFormat="1" x14ac:dyDescent="0.35">
      <c r="A756" s="62">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3" customFormat="1" x14ac:dyDescent="0.35">
      <c r="A757" s="59">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3" customFormat="1" x14ac:dyDescent="0.35">
      <c r="A758" s="62">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3" customFormat="1" x14ac:dyDescent="0.35">
      <c r="A760" s="62">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3" customFormat="1" x14ac:dyDescent="0.35">
      <c r="A761" s="59">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3" customFormat="1" x14ac:dyDescent="0.35">
      <c r="A762" s="62">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3" customFormat="1" x14ac:dyDescent="0.35">
      <c r="A763" s="62">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3" customFormat="1" x14ac:dyDescent="0.35">
      <c r="A764" s="59">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3" customFormat="1" x14ac:dyDescent="0.35">
      <c r="A765" s="62">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3" customFormat="1" x14ac:dyDescent="0.35">
      <c r="A766" s="62">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3" customFormat="1" x14ac:dyDescent="0.35">
      <c r="A767" s="59">
        <v>44743</v>
      </c>
      <c r="B767" s="28">
        <f>VLOOKUP(Table3[[#This Row],[Date]],'PCE Core'!$A:$E,2,)</f>
        <v>123.352</v>
      </c>
      <c r="C767" s="28">
        <f>VLOOKUP(Table3[[#This Row],[Date]],Database!$A:$E,5)</f>
        <v>295.27499999999998</v>
      </c>
      <c r="D767" s="26">
        <f>(((Table3[[#This Row],[Core PCE]]-$B$496)/$B$496)*100)+100</f>
        <v>154.58418968369341</v>
      </c>
      <c r="E767" s="26">
        <f>(((Table3[[#This Row],[Core CPI]]-$C$496)/$C$496)*100)+100</f>
        <v>165.23503077783994</v>
      </c>
      <c r="F767" s="27">
        <f>(Table3[[#This Row],[Core CPI]]-C755)/C755</f>
        <v>5.9115332467700149E-2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296.95</v>
      </c>
      <c r="D768" s="26">
        <f>(((Table3[[#This Row],[Core PCE]]-$B$496)/$B$496)*100)+100</f>
        <v>155.43510952929972</v>
      </c>
      <c r="E768" s="26">
        <f>(((Table3[[#This Row],[Core CPI]]-$C$496)/$C$496)*100)+100</f>
        <v>166.17235590374929</v>
      </c>
      <c r="F768" s="27">
        <f>(Table3[[#This Row],[Core CPI]]-C756)/C756</f>
        <v>6.3170859201019697E-2</v>
      </c>
      <c r="G768" s="27">
        <f>VLOOKUP(Table3[[#This Row],[Date]],'PCE Core'!A:D,4,)</f>
        <v>4.9340518955321176E-2</v>
      </c>
    </row>
    <row r="769" spans="1:7" s="63" customFormat="1" x14ac:dyDescent="0.35">
      <c r="A769" s="59">
        <v>44805</v>
      </c>
      <c r="B769" s="28">
        <f>VLOOKUP(Table3[[#This Row],[Date]],'PCE Core'!$A:$E,2,)</f>
        <v>124.607</v>
      </c>
      <c r="C769" s="26">
        <f>VLOOKUP(Table3[[#This Row],[Date]],Database!$A:$E,5)</f>
        <v>298.66000000000003</v>
      </c>
      <c r="D769" s="26">
        <f>(((Table3[[#This Row],[Core PCE]]-$B$496)/$B$496)*100)+100</f>
        <v>156.1569502230688</v>
      </c>
      <c r="E769" s="26">
        <f>(((Table3[[#This Row],[Core CPI]]-$C$496)/$C$496)*100)+100</f>
        <v>167.12926692781201</v>
      </c>
      <c r="F769" s="27">
        <f>(Table3[[#This Row],[Core CPI]]-C757)/C757</f>
        <v>6.6578100615319893E-2</v>
      </c>
      <c r="G769" s="27">
        <f>VLOOKUP(Table3[[#This Row],[Date]],'PCE Core'!A:D,4,)</f>
        <v>5.2015264339867966E-2</v>
      </c>
    </row>
    <row r="770" spans="1:7" s="63" customFormat="1" x14ac:dyDescent="0.35">
      <c r="A770" s="59">
        <v>44835</v>
      </c>
      <c r="B770" s="28">
        <f>VLOOKUP(Table3[[#This Row],[Date]],'PCE Core'!$A:$E,2,)</f>
        <v>124.93300000000001</v>
      </c>
      <c r="C770" s="28">
        <f>VLOOKUP(Table3[[#This Row],[Date]],Database!$A:$E,5)</f>
        <v>299.471</v>
      </c>
      <c r="D770" s="26">
        <f>(((Table3[[#This Row],[Core PCE]]-$B$496)/$B$496)*100)+100</f>
        <v>156.56549200461174</v>
      </c>
      <c r="E770" s="26">
        <f>(((Table3[[#This Row],[Core CPI]]-$C$496)/$C$496)*100)+100</f>
        <v>167.58310016787914</v>
      </c>
      <c r="F770" s="27">
        <f>(Table3[[#This Row],[Core CPI]]-C758)/C758</f>
        <v>6.3065973269910092E-2</v>
      </c>
      <c r="G770" s="27">
        <f>VLOOKUP(Table3[[#This Row],[Date]],'PCE Core'!A:D,4,)</f>
        <v>5.0483902160112379E-2</v>
      </c>
    </row>
    <row r="771" spans="1:7" s="63" customFormat="1" x14ac:dyDescent="0.35">
      <c r="A771" s="59">
        <v>44866</v>
      </c>
      <c r="B771" s="28">
        <f>VLOOKUP(Table3[[#This Row],[Date]],'PCE Core'!$A:$E,2,)</f>
        <v>125.143</v>
      </c>
      <c r="C771" s="28">
        <f>VLOOKUP(Table3[[#This Row],[Date]],Database!$A:$E,5)</f>
        <v>300.06599999999997</v>
      </c>
      <c r="D771" s="26">
        <f>(((Table3[[#This Row],[Core PCE]]-$B$496)/$B$496)*100)+100</f>
        <v>156.82866309088175</v>
      </c>
      <c r="E771" s="26">
        <f>(((Table3[[#This Row],[Core CPI]]-$C$496)/$C$496)*100)+100</f>
        <v>167.91606043648574</v>
      </c>
      <c r="F771" s="27">
        <f>(Table3[[#This Row],[Core CPI]]-C759)/C759</f>
        <v>5.9633659275581882E-2</v>
      </c>
      <c r="G771" s="27">
        <f>VLOOKUP(Table3[[#This Row],[Date]],'PCE Core'!A:D,4,)</f>
        <v>4.6845068301782575E-2</v>
      </c>
    </row>
    <row r="772" spans="1:7" s="63" customFormat="1" x14ac:dyDescent="0.35">
      <c r="A772" s="62">
        <v>44896</v>
      </c>
      <c r="B772" s="28" t="e">
        <f>VLOOKUP(Table3[[#This Row],[Date]],'PCE Core'!$A:$E,2,)</f>
        <v>#N/A</v>
      </c>
      <c r="C772" s="28">
        <f>VLOOKUP(Table3[[#This Row],[Date]],Database!$A:$E,5)</f>
        <v>300.97399999999999</v>
      </c>
      <c r="D772" s="26" t="e">
        <f>(((Table3[[#This Row],[Core PCE]]-$B$496)/$B$496)*100)+100</f>
        <v>#N/A</v>
      </c>
      <c r="E772" s="26">
        <f>(((Table3[[#This Row],[Core CPI]]-$C$496)/$C$496)*100)+100</f>
        <v>168.42417459429214</v>
      </c>
      <c r="F772" s="27">
        <f>(Table3[[#This Row],[Core CPI]]-C760)/C760</f>
        <v>5.6902061312638301E-2</v>
      </c>
      <c r="G772" s="27" t="e">
        <f>VLOOKUP(Table3[[#This Row],[Date]],'PCE Core'!A:D,4,)</f>
        <v>#N/A</v>
      </c>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2023-01-19T03:32:19Z</dcterms:modified>
</cp:coreProperties>
</file>