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0.06362836894107905</v>
                </pt>
                <pt idx="271">
                  <v>0.06222733674556005</v>
                </pt>
                <pt idx="272">
                  <v>0.06244435312649815</v>
                </pt>
              </numCache>
            </numRef>
          </val>
          <smooth val="0"/>
        </ser>
        <dLbls>
          <showLegendKey val="0"/>
          <showVal val="0"/>
          <showCatName val="0"/>
          <showSerName val="0"/>
          <showPercent val="0"/>
          <showBubbleSize val="0"/>
        </dLbls>
        <smooth val="0"/>
        <axId val="502336976"/>
        <axId val="502336584"/>
      </lineChart>
      <dateAx>
        <axId val="502336976"/>
        <scaling>
          <orientation val="minMax"/>
          <max val="4480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Core'!$A$497:$A$787</f>
              <numCache>
                <formatCode>yyyy\-mm\-dd</formatCode>
                <ptCount val="29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Core'!$D$497:$D$787</f>
              <numCache>
                <formatCode>0.00%</formatCode>
                <ptCount val="291"/>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0.04672738538846113</v>
                </pt>
                <pt idx="271">
                  <v>0.04893442414910453</v>
                </pt>
                <pt idx="272">
                  <v>0.05146649105921689</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Core'!$A$497:$A$787</f>
              <numCache>
                <formatCode>yyyy\-mm\-dd</formatCode>
                <ptCount val="29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Core'!$E$497:$E$770</f>
              <numCache>
                <formatCode>0%</formatCode>
                <ptCount val="274"/>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Core'!$A$149:$A$785</f>
              <numCache>
                <formatCode>yyyy\-mm\-dd</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'PCE Core'!$D$149:$D$785</f>
              <numCache>
                <formatCode>0.00%</formatCode>
                <ptCount val="637"/>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0.04672738538846113</v>
                </pt>
                <pt idx="619">
                  <v>0.04893442414910453</v>
                </pt>
                <pt idx="620">
                  <v>0.05146649105921689</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Core'!$A$149:$A$785</f>
              <numCache>
                <formatCode>yyyy\-mm\-dd</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'PCE Core'!$F$149:$F$785</f>
              <numCache>
                <formatCode>General</formatCode>
                <ptCount val="637"/>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123.316</v>
                </pt>
                <pt idx="763">
                  <v>123.983</v>
                </pt>
                <pt idx="764">
                  <v>124.542</v>
                </pt>
                <pt idx="765">
                  <v>#N/A</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154.5390746403328</v>
                </pt>
                <pt idx="763">
                  <v>155.3749561381523</v>
                </pt>
                <pt idx="764">
                  <v>156.07549250589</v>
                </pt>
                <pt idx="765">
                  <v>#N/A</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CPI'!$A$5:$A$770</f>
              <numCache>
                <formatCode>yyyy\-mm\-dd</formatCode>
                <ptCount val="76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CPI'!$D$5:$D$770</f>
              <numCache>
                <formatCode>0.00</formatCode>
                <ptCount val="766"/>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154.5390746403328</v>
                </pt>
                <pt idx="763">
                  <v>155.3749561381523</v>
                </pt>
                <pt idx="764">
                  <v>156.07549250589</v>
                </pt>
                <pt idx="765">
                  <v>#N/A</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CPI'!$A$5:$A$770</f>
              <numCache>
                <formatCode>yyyy\-mm\-dd</formatCode>
                <ptCount val="76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CPI'!$E$5:$E$770</f>
              <numCache>
                <formatCode>0.00</formatCode>
                <ptCount val="766"/>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smooth val="0"/>
        <axId val="716622040"/>
        <axId val="716620400"/>
      </lineChart>
      <dateAx>
        <axId val="716622040"/>
        <scaling>
          <orientation val="minMax"/>
          <max val="44805"/>
          <min val="40909"/>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9" headerRowCount="1" totalsRowShown="0" headerRowDxfId="35" dataDxfId="33" headerRowBorderDxfId="34">
  <autoFilter ref="A4:D769"/>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9" headerRowCount="1" totalsRowShown="0" headerRowDxfId="28" dataDxfId="26" headerRowBorderDxfId="27">
  <autoFilter ref="A4:F769"/>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0" headerRowCount="1" totalsRowShown="0" headerRowDxfId="19" dataDxfId="17" headerRowBorderDxfId="18" tableBorderDxfId="16" totalsRowBorderDxfId="15">
  <autoFilter ref="A4:G770"/>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37"/>
    <col width="9.1640625" customWidth="1" style="68" min="38"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1"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44805</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82" t="inlineStr">
        <is>
          <t>Personal Consumption Expenditures: Chain-type Price Index (PCEPI)</t>
        </is>
      </c>
      <c r="N23" s="79" t="inlineStr">
        <is>
          <t>PCE Core</t>
        </is>
      </c>
      <c r="O23" s="80"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82"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1"/>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255.072</v>
      </c>
    </row>
    <row r="735">
      <c r="A735" s="84" t="n">
        <v>43132</v>
      </c>
      <c r="B735" t="n">
        <v>107.625</v>
      </c>
      <c r="C735" t="n">
        <v>109.311</v>
      </c>
      <c r="D735" t="n">
        <v>1.5</v>
      </c>
      <c r="E735" t="n">
        <v>255.568</v>
      </c>
    </row>
    <row r="736">
      <c r="A736" s="84" t="n">
        <v>43160</v>
      </c>
      <c r="B736" t="n">
        <v>107.777</v>
      </c>
      <c r="C736" t="n">
        <v>109.562</v>
      </c>
      <c r="D736" t="n">
        <v>1.5</v>
      </c>
      <c r="E736" t="n">
        <v>256.128</v>
      </c>
    </row>
    <row r="737">
      <c r="A737" s="84" t="n">
        <v>43191</v>
      </c>
      <c r="B737" t="n">
        <v>107.988</v>
      </c>
      <c r="C737" t="n">
        <v>109.75</v>
      </c>
      <c r="D737" t="n">
        <v>1.75</v>
      </c>
      <c r="E737" t="n">
        <v>256.603</v>
      </c>
    </row>
    <row r="738">
      <c r="A738" s="84" t="n">
        <v>43221</v>
      </c>
      <c r="B738" t="n">
        <v>108.193</v>
      </c>
      <c r="C738" t="n">
        <v>109.956</v>
      </c>
      <c r="D738" t="n">
        <v>1.75</v>
      </c>
      <c r="E738" t="n">
        <v>257.151</v>
      </c>
    </row>
    <row r="739">
      <c r="A739" s="84" t="n">
        <v>43252</v>
      </c>
      <c r="B739" t="n">
        <v>108.317</v>
      </c>
      <c r="C739" t="n">
        <v>110.073</v>
      </c>
      <c r="D739" t="n">
        <v>1.75</v>
      </c>
      <c r="E739" t="n">
        <v>257.449</v>
      </c>
    </row>
    <row r="740">
      <c r="A740" s="84" t="n">
        <v>43282</v>
      </c>
      <c r="B740" t="n">
        <v>108.417</v>
      </c>
      <c r="C740" t="n">
        <v>110.219</v>
      </c>
      <c r="D740" t="n">
        <v>2</v>
      </c>
      <c r="E740" t="n">
        <v>257.848</v>
      </c>
    </row>
    <row r="741">
      <c r="A741" s="84" t="n">
        <v>43313</v>
      </c>
      <c r="B741" t="n">
        <v>108.502</v>
      </c>
      <c r="C741" t="n">
        <v>110.246</v>
      </c>
      <c r="D741" t="n">
        <v>2</v>
      </c>
      <c r="E741" t="n">
        <v>258.028</v>
      </c>
    </row>
    <row r="742">
      <c r="A742" s="84" t="n">
        <v>43344</v>
      </c>
      <c r="B742" t="n">
        <v>108.738</v>
      </c>
      <c r="C742" t="n">
        <v>110.476</v>
      </c>
      <c r="D742" t="n">
        <v>2</v>
      </c>
      <c r="E742" t="n">
        <v>258.505</v>
      </c>
    </row>
    <row r="743">
      <c r="A743" s="84" t="n">
        <v>43374</v>
      </c>
      <c r="B743" t="n">
        <v>108.924</v>
      </c>
      <c r="C743" t="n">
        <v>110.626</v>
      </c>
      <c r="D743" t="n">
        <v>2.25</v>
      </c>
      <c r="E743" t="n">
        <v>258.997</v>
      </c>
    </row>
    <row r="744">
      <c r="A744" s="84" t="n">
        <v>43405</v>
      </c>
      <c r="B744" t="n">
        <v>108.969</v>
      </c>
      <c r="C744" t="n">
        <v>110.831</v>
      </c>
      <c r="D744" t="n">
        <v>2.25</v>
      </c>
      <c r="E744" t="n">
        <v>259.455</v>
      </c>
    </row>
    <row r="745">
      <c r="A745" s="84" t="n">
        <v>43435</v>
      </c>
      <c r="B745" t="n">
        <v>108.991</v>
      </c>
      <c r="C745" t="n">
        <v>111.009</v>
      </c>
      <c r="D745" t="n">
        <v>2.25</v>
      </c>
      <c r="E745" t="n">
        <v>259.934</v>
      </c>
    </row>
    <row r="746">
      <c r="A746" s="84" t="n">
        <v>43466</v>
      </c>
      <c r="B746" t="n">
        <v>108.977</v>
      </c>
      <c r="C746" t="n">
        <v>111.134</v>
      </c>
      <c r="D746" t="n">
        <v>2.5</v>
      </c>
      <c r="E746" t="n">
        <v>260.534</v>
      </c>
    </row>
    <row r="747">
      <c r="A747" s="84" t="n">
        <v>43497</v>
      </c>
      <c r="B747" t="n">
        <v>109.146</v>
      </c>
      <c r="C747" t="n">
        <v>111.207</v>
      </c>
      <c r="D747" t="n">
        <v>2.5</v>
      </c>
      <c r="E747" t="n">
        <v>260.885</v>
      </c>
    </row>
    <row r="748">
      <c r="A748" s="84" t="n">
        <v>43525</v>
      </c>
      <c r="B748" t="n">
        <v>109.443</v>
      </c>
      <c r="C748" t="n">
        <v>111.35</v>
      </c>
      <c r="D748" t="n">
        <v>2.5</v>
      </c>
      <c r="E748" t="n">
        <v>261.382</v>
      </c>
    </row>
    <row r="749">
      <c r="A749" s="84" t="n">
        <v>43556</v>
      </c>
      <c r="B749" t="n">
        <v>109.78</v>
      </c>
      <c r="C749" t="n">
        <v>111.65</v>
      </c>
      <c r="D749" t="n">
        <v>2.5</v>
      </c>
      <c r="E749" t="n">
        <v>261.958</v>
      </c>
    </row>
    <row r="750">
      <c r="A750" s="84" t="n">
        <v>43586</v>
      </c>
      <c r="B750" t="n">
        <v>109.856</v>
      </c>
      <c r="C750" t="n">
        <v>111.773</v>
      </c>
      <c r="D750" t="n">
        <v>2.5</v>
      </c>
      <c r="E750" t="n">
        <v>262.321</v>
      </c>
    </row>
    <row r="751">
      <c r="A751" s="84" t="n">
        <v>43617</v>
      </c>
      <c r="B751" t="n">
        <v>109.935</v>
      </c>
      <c r="C751" t="n">
        <v>112</v>
      </c>
      <c r="D751" t="n">
        <v>2.5</v>
      </c>
      <c r="E751" t="n">
        <v>262.945</v>
      </c>
    </row>
    <row r="752">
      <c r="A752" s="84" t="n">
        <v>43647</v>
      </c>
      <c r="B752" t="n">
        <v>110.094</v>
      </c>
      <c r="C752" t="n">
        <v>112.157</v>
      </c>
      <c r="D752" t="n">
        <v>2.5</v>
      </c>
      <c r="E752" t="n">
        <v>263.491</v>
      </c>
    </row>
    <row r="753">
      <c r="A753" s="84" t="n">
        <v>43678</v>
      </c>
      <c r="B753" t="n">
        <v>110.132</v>
      </c>
      <c r="C753" t="n">
        <v>112.27</v>
      </c>
      <c r="D753" t="n">
        <v>2.25</v>
      </c>
      <c r="E753" t="n">
        <v>264.135</v>
      </c>
    </row>
    <row r="754">
      <c r="A754" s="84" t="n">
        <v>43709</v>
      </c>
      <c r="B754" t="n">
        <v>110.207</v>
      </c>
      <c r="C754" t="n">
        <v>112.339</v>
      </c>
      <c r="D754" t="n">
        <v>2.25</v>
      </c>
      <c r="E754" t="n">
        <v>264.588</v>
      </c>
    </row>
    <row r="755">
      <c r="A755" s="84" t="n">
        <v>43739</v>
      </c>
      <c r="B755" t="n">
        <v>110.423</v>
      </c>
      <c r="C755" t="n">
        <v>112.496</v>
      </c>
      <c r="D755" t="n">
        <v>2</v>
      </c>
      <c r="E755" t="n">
        <v>265.019</v>
      </c>
    </row>
    <row r="756">
      <c r="A756" s="84" t="n">
        <v>43770</v>
      </c>
      <c r="B756" t="n">
        <v>110.469</v>
      </c>
      <c r="C756" t="n">
        <v>112.524</v>
      </c>
      <c r="D756" t="n">
        <v>1.75</v>
      </c>
      <c r="E756" t="n">
        <v>265.461</v>
      </c>
    </row>
    <row r="757">
      <c r="A757" s="84" t="n">
        <v>43800</v>
      </c>
      <c r="B757" t="n">
        <v>110.736</v>
      </c>
      <c r="C757" t="n">
        <v>112.772</v>
      </c>
      <c r="D757" t="n">
        <v>1.75</v>
      </c>
      <c r="E757" t="n">
        <v>265.742</v>
      </c>
    </row>
    <row r="758">
      <c r="A758" s="84" t="n">
        <v>43831</v>
      </c>
      <c r="B758" t="n">
        <v>110.944</v>
      </c>
      <c r="C758" t="n">
        <v>113.008</v>
      </c>
      <c r="D758" t="n">
        <v>1.75</v>
      </c>
      <c r="E758" t="n">
        <v>266.418</v>
      </c>
    </row>
    <row r="759">
      <c r="A759" s="84" t="n">
        <v>43862</v>
      </c>
      <c r="B759" t="n">
        <v>111.07</v>
      </c>
      <c r="C759" t="n">
        <v>113.206</v>
      </c>
      <c r="D759" t="n">
        <v>1.75</v>
      </c>
      <c r="E759" t="n">
        <v>267.083</v>
      </c>
    </row>
    <row r="760">
      <c r="A760" s="84" t="n">
        <v>43891</v>
      </c>
      <c r="B760" t="n">
        <v>110.824</v>
      </c>
      <c r="C760" t="n">
        <v>113.143</v>
      </c>
      <c r="D760" t="n">
        <v>1.75</v>
      </c>
      <c r="E760" t="n">
        <v>266.916</v>
      </c>
    </row>
    <row r="761">
      <c r="A761" s="84" t="n">
        <v>43922</v>
      </c>
      <c r="B761" t="n">
        <v>110.237</v>
      </c>
      <c r="C761" t="n">
        <v>112.668</v>
      </c>
      <c r="D761" t="n">
        <v>0.25</v>
      </c>
      <c r="E761" t="n">
        <v>265.771</v>
      </c>
    </row>
    <row r="762">
      <c r="A762" s="84" t="n">
        <v>43952</v>
      </c>
      <c r="B762" t="n">
        <v>110.353</v>
      </c>
      <c r="C762" t="n">
        <v>112.819</v>
      </c>
      <c r="D762" t="n">
        <v>0.25</v>
      </c>
      <c r="E762" t="n">
        <v>265.606</v>
      </c>
    </row>
    <row r="763">
      <c r="A763" s="84" t="n">
        <v>43983</v>
      </c>
      <c r="B763" t="n">
        <v>110.746</v>
      </c>
      <c r="C763" t="n">
        <v>113.051</v>
      </c>
      <c r="D763" t="n">
        <v>0.25</v>
      </c>
      <c r="E763" t="n">
        <v>266.088</v>
      </c>
    </row>
    <row r="764">
      <c r="A764" s="84" t="n">
        <v>44013</v>
      </c>
      <c r="B764" t="n">
        <v>111.072</v>
      </c>
      <c r="C764" t="n">
        <v>113.425</v>
      </c>
      <c r="D764" t="n">
        <v>0.25</v>
      </c>
      <c r="E764" t="n">
        <v>267.552</v>
      </c>
    </row>
    <row r="765">
      <c r="A765" s="84" t="n">
        <v>44044</v>
      </c>
      <c r="B765" t="n">
        <v>111.411</v>
      </c>
      <c r="C765" t="n">
        <v>113.782</v>
      </c>
      <c r="D765" t="n">
        <v>0.25</v>
      </c>
      <c r="E765" t="n">
        <v>268.662</v>
      </c>
    </row>
    <row r="766">
      <c r="A766" s="84" t="n">
        <v>44075</v>
      </c>
      <c r="B766" t="n">
        <v>111.613</v>
      </c>
      <c r="C766" t="n">
        <v>113.979</v>
      </c>
      <c r="D766" t="n">
        <v>0.25</v>
      </c>
      <c r="E766" t="n">
        <v>269.152</v>
      </c>
    </row>
    <row r="767">
      <c r="A767" s="84" t="n">
        <v>44105</v>
      </c>
      <c r="B767" t="n">
        <v>111.648</v>
      </c>
      <c r="C767" t="n">
        <v>114.017</v>
      </c>
      <c r="D767" t="n">
        <v>0.25</v>
      </c>
      <c r="E767" t="n">
        <v>269.332</v>
      </c>
    </row>
    <row r="768">
      <c r="A768" s="84" t="n">
        <v>44136</v>
      </c>
      <c r="B768" t="n">
        <v>111.666</v>
      </c>
      <c r="C768" t="n">
        <v>114.048</v>
      </c>
      <c r="D768" t="n">
        <v>0.25</v>
      </c>
      <c r="E768" t="n">
        <v>269.816</v>
      </c>
    </row>
    <row r="769">
      <c r="A769" s="84" t="n">
        <v>44166</v>
      </c>
      <c r="B769" t="n">
        <v>112.15</v>
      </c>
      <c r="C769" t="n">
        <v>114.422</v>
      </c>
      <c r="D769" t="n">
        <v>0.25</v>
      </c>
      <c r="E769" t="n">
        <v>269.984</v>
      </c>
    </row>
    <row r="770">
      <c r="A770" s="84" t="n">
        <v>44197</v>
      </c>
      <c r="B770" t="n">
        <v>112.583</v>
      </c>
      <c r="C770" t="n">
        <v>114.782</v>
      </c>
      <c r="D770" t="n">
        <v>0.25</v>
      </c>
      <c r="E770" t="n">
        <v>270.114</v>
      </c>
    </row>
    <row r="771">
      <c r="A771" s="84" t="n">
        <v>44228</v>
      </c>
      <c r="B771" t="n">
        <v>112.961</v>
      </c>
      <c r="C771" t="n">
        <v>114.975</v>
      </c>
      <c r="D771" t="n">
        <v>0.25</v>
      </c>
      <c r="E771" t="n">
        <v>270.522</v>
      </c>
    </row>
    <row r="772">
      <c r="A772" s="84" t="n">
        <v>44256</v>
      </c>
      <c r="B772" t="n">
        <v>113.632</v>
      </c>
      <c r="C772" t="n">
        <v>115.457</v>
      </c>
      <c r="D772" t="n">
        <v>0.25</v>
      </c>
      <c r="E772" t="n">
        <v>271.347</v>
      </c>
    </row>
    <row r="773">
      <c r="A773" s="84" t="n">
        <v>44287</v>
      </c>
      <c r="B773" t="n">
        <v>114.238</v>
      </c>
      <c r="C773" t="n">
        <v>116.186</v>
      </c>
      <c r="D773" t="n">
        <v>0.25</v>
      </c>
      <c r="E773" t="n">
        <v>273.669</v>
      </c>
    </row>
    <row r="774">
      <c r="A774" s="84" t="n">
        <v>44317</v>
      </c>
      <c r="B774" t="n">
        <v>114.819</v>
      </c>
      <c r="C774" t="n">
        <v>116.787</v>
      </c>
      <c r="D774" t="n">
        <v>0.25</v>
      </c>
      <c r="E774" t="n">
        <v>275.715</v>
      </c>
    </row>
    <row r="775">
      <c r="A775" s="84" t="n">
        <v>44348</v>
      </c>
      <c r="B775" t="n">
        <v>115.458</v>
      </c>
      <c r="C775" t="n">
        <v>117.349</v>
      </c>
      <c r="D775" t="n">
        <v>0.25</v>
      </c>
      <c r="E775" t="n">
        <v>277.922</v>
      </c>
    </row>
    <row r="776">
      <c r="A776" s="84" t="n">
        <v>44378</v>
      </c>
      <c r="B776" t="n">
        <v>115.986</v>
      </c>
      <c r="C776" t="n">
        <v>117.811</v>
      </c>
      <c r="D776" t="n">
        <v>0.25</v>
      </c>
      <c r="E776" t="n">
        <v>278.794</v>
      </c>
    </row>
    <row r="777">
      <c r="A777" s="84" t="n">
        <v>44409</v>
      </c>
      <c r="B777" t="n">
        <v>116.444</v>
      </c>
      <c r="C777" t="n">
        <v>118.199</v>
      </c>
      <c r="D777" t="n">
        <v>0.25</v>
      </c>
      <c r="E777" t="n">
        <v>279.306</v>
      </c>
    </row>
    <row r="778">
      <c r="A778" s="84" t="n">
        <v>44440</v>
      </c>
      <c r="B778" t="n">
        <v>116.808</v>
      </c>
      <c r="C778" t="n">
        <v>118.446</v>
      </c>
      <c r="D778" t="n">
        <v>0.25</v>
      </c>
      <c r="E778" t="n">
        <v>280.017</v>
      </c>
    </row>
    <row r="779">
      <c r="A779" s="84" t="n">
        <v>44470</v>
      </c>
      <c r="B779" t="n">
        <v>117.479</v>
      </c>
      <c r="C779" t="n">
        <v>118.929</v>
      </c>
      <c r="D779" t="n">
        <v>0.25</v>
      </c>
      <c r="E779" t="n">
        <v>281.705</v>
      </c>
    </row>
    <row r="780">
      <c r="A780" s="84" t="n">
        <v>44501</v>
      </c>
      <c r="B780" t="n">
        <v>118.2</v>
      </c>
      <c r="C780" t="n">
        <v>119.543</v>
      </c>
      <c r="D780" t="n">
        <v>0.25</v>
      </c>
      <c r="E780" t="n">
        <v>283.179</v>
      </c>
    </row>
    <row r="781">
      <c r="A781" s="84" t="n">
        <v>44531</v>
      </c>
      <c r="B781" t="n">
        <v>118.841</v>
      </c>
      <c r="C781" t="n">
        <v>120.193</v>
      </c>
      <c r="D781" t="n">
        <v>0.25</v>
      </c>
      <c r="E781" t="n">
        <v>284.77</v>
      </c>
    </row>
    <row r="782">
      <c r="A782" s="84" t="n">
        <v>44562</v>
      </c>
      <c r="B782" t="n">
        <v>119.469</v>
      </c>
      <c r="C782" t="n">
        <v>120.761</v>
      </c>
      <c r="D782" t="n">
        <v>0.25</v>
      </c>
      <c r="E782" t="n">
        <v>286.431</v>
      </c>
    </row>
    <row r="783">
      <c r="A783" s="84" t="n">
        <v>44593</v>
      </c>
      <c r="B783" t="n">
        <v>120.178</v>
      </c>
      <c r="C783" t="n">
        <v>121.205</v>
      </c>
      <c r="D783" t="n">
        <v>0.25</v>
      </c>
      <c r="E783" t="n">
        <v>287.878</v>
      </c>
    </row>
    <row r="784">
      <c r="A784" s="84" t="n">
        <v>44621</v>
      </c>
      <c r="B784" t="n">
        <v>121.321</v>
      </c>
      <c r="C784" t="n">
        <v>121.651</v>
      </c>
      <c r="D784" t="n">
        <v>0.25</v>
      </c>
      <c r="E784" t="n">
        <v>288.811</v>
      </c>
    </row>
    <row r="785">
      <c r="A785" s="84" t="n">
        <v>44652</v>
      </c>
      <c r="B785" t="n">
        <v>121.563</v>
      </c>
      <c r="C785" t="n">
        <v>122.03</v>
      </c>
      <c r="D785" t="n">
        <v>0.5</v>
      </c>
      <c r="E785" t="n">
        <v>290.455</v>
      </c>
    </row>
    <row r="786">
      <c r="A786" s="84" t="n">
        <v>44682</v>
      </c>
      <c r="B786" t="n">
        <v>122.3</v>
      </c>
      <c r="C786" t="n">
        <v>122.488</v>
      </c>
      <c r="D786" t="n">
        <v>0.5</v>
      </c>
      <c r="E786" t="n">
        <v>292.289</v>
      </c>
    </row>
    <row r="787">
      <c r="A787" s="84" t="n">
        <v>44713</v>
      </c>
      <c r="B787" t="n">
        <v>123.512</v>
      </c>
      <c r="C787" t="n">
        <v>123.258</v>
      </c>
      <c r="D787" t="n">
        <v>1</v>
      </c>
      <c r="E787" t="n">
        <v>294.354</v>
      </c>
    </row>
    <row r="788">
      <c r="A788" s="84" t="n">
        <v>44743</v>
      </c>
      <c r="B788" t="n">
        <v>123.366</v>
      </c>
      <c r="C788" t="n">
        <v>123.316</v>
      </c>
      <c r="D788" t="n">
        <v>1.75</v>
      </c>
      <c r="E788" t="n">
        <v>295.275</v>
      </c>
    </row>
    <row r="789">
      <c r="A789" s="84" t="n">
        <v>44774</v>
      </c>
      <c r="B789" t="n">
        <v>123.69</v>
      </c>
      <c r="C789" t="n">
        <v>123.983</v>
      </c>
      <c r="D789" t="n">
        <v>2.5</v>
      </c>
      <c r="E789" t="n">
        <v>296.95</v>
      </c>
    </row>
    <row r="790">
      <c r="A790" s="84" t="n">
        <v>44805</v>
      </c>
      <c r="B790" t="n">
        <v>124.102</v>
      </c>
      <c r="C790" t="n">
        <v>124.542</v>
      </c>
      <c r="D790" t="n">
        <v>2.5</v>
      </c>
      <c r="E790" t="n">
        <v>298.66</v>
      </c>
    </row>
    <row r="791">
      <c r="A791" s="84" t="n">
        <v>44835</v>
      </c>
      <c r="B791" t="n">
        <v/>
      </c>
      <c r="C791" t="n">
        <v/>
      </c>
      <c r="D791" t="n">
        <v>3.25</v>
      </c>
      <c r="E791" t="n">
        <v>299.471</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46" activePane="bottomLeft" state="frozen"/>
      <selection pane="bottomLeft" activeCell="I772" sqref="I772"/>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57" t="n">
        <v>44774</v>
      </c>
      <c r="B768" s="58">
        <f>VLOOKUP(Table5345679103[[#This Row],[Date]],Database!A:E,MATCH($A$1,Database!$A$1:$E$1,),)</f>
        <v/>
      </c>
      <c r="C768" s="9">
        <f>(B768-B767)/B767</f>
        <v/>
      </c>
      <c r="D768" s="7">
        <f>(Table5345679103[[#This Row],[Value]]-B756)/B756</f>
        <v/>
      </c>
    </row>
    <row r="769" customFormat="1" s="68">
      <c r="A769" s="57" t="n">
        <v>44805</v>
      </c>
      <c r="B769" s="58">
        <f>VLOOKUP(Table5345679103[[#This Row],[Date]],Database!A:E,MATCH($A$1,Database!$A$1:$E$1,),)</f>
        <v/>
      </c>
      <c r="C769" s="9">
        <f>(B769-B768)/B768</f>
        <v/>
      </c>
      <c r="D769" s="7">
        <f>(Table5345679103[[#This Row],[Value]]-B757)/B757</f>
        <v/>
      </c>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9">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4"/>
  <sheetViews>
    <sheetView zoomScale="160" zoomScaleNormal="160" workbookViewId="0">
      <pane ySplit="4" topLeftCell="A757" activePane="bottomLeft" state="frozen"/>
      <selection activeCell="H29" sqref="H29"/>
      <selection pane="bottomLeft" activeCell="E772" sqref="E772"/>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81"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0" t="n">
        <v>44774</v>
      </c>
      <c r="B768" s="58">
        <f>VLOOKUP(Table534567910[[#This Row],[Date]],Database!A:E,MATCH($A$1,Database!$A$1:$E$1,),)</f>
        <v/>
      </c>
      <c r="C768" s="9">
        <f>(B768-B767)/B767</f>
        <v/>
      </c>
      <c r="D768" s="7">
        <f>(Table534567910[[#This Row],[Value]]-B756)/B756</f>
        <v/>
      </c>
      <c r="E768" s="16" t="n">
        <v>0.02</v>
      </c>
      <c r="F768" s="15">
        <f>VLOOKUP(Table534567910[[#This Row],[Date]],Database!A:E,4)</f>
        <v/>
      </c>
    </row>
    <row r="769" customFormat="1" s="68">
      <c r="A769" s="60" t="n">
        <v>44805</v>
      </c>
      <c r="B769" s="58">
        <f>VLOOKUP(Table534567910[[#This Row],[Date]],Database!A:E,MATCH($A$1,Database!$A$1:$E$1,),)</f>
        <v/>
      </c>
      <c r="C769" s="9">
        <f>(B769-B768)/B768</f>
        <v/>
      </c>
      <c r="D769" s="7">
        <f>(Table534567910[[#This Row],[Value]]-B757)/B757</f>
        <v/>
      </c>
      <c r="E769" s="16" t="n">
        <v>0.02</v>
      </c>
      <c r="F769" s="15">
        <f>VLOOKUP(Table534567910[[#This Row],[Date]],Database!A:E,4)</f>
        <v/>
      </c>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row r="1093">
      <c r="A1093" s="6" t="n"/>
      <c r="B1093" s="53" t="n"/>
      <c r="C1093" s="4" t="n"/>
      <c r="D1093" s="5" t="n"/>
      <c r="E1093" s="12" t="n"/>
      <c r="F1093" s="12" t="n"/>
    </row>
    <row r="1094">
      <c r="A1094" s="6" t="n"/>
      <c r="B1094" s="53" t="n"/>
      <c r="C1094" s="4" t="n"/>
      <c r="D1094" s="5" t="n"/>
      <c r="E1094" s="12" t="n"/>
      <c r="F1094" s="12" t="n"/>
    </row>
  </sheetData>
  <conditionalFormatting sqref="D692:D769">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55" activePane="bottomLeft" state="frozen"/>
      <selection activeCell="H29" sqref="H29"/>
      <selection pane="bottomLeft" activeCell="F772" sqref="F772"/>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60"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8">
      <c r="A769" s="60"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8">
      <c r="A770" s="60"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70">
    <cfRule type="colorScale" priority="13">
      <colorScale>
        <cfvo type="min"/>
        <cfvo type="percentile" val="50"/>
        <cfvo type="max"/>
        <color rgb="FFF8696B"/>
        <color rgb="FFFFEB84"/>
        <color rgb="FF63BE7B"/>
      </colorScale>
    </cfRule>
  </conditionalFormatting>
  <conditionalFormatting sqref="G617:G77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2022-11-23T15:11:24Z</dcterms:modified>
  <cp:lastModifiedBy>Mark Mukherjee</cp:lastModifiedBy>
</cp:coreProperties>
</file>