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yyyy-mm-dd h:mm:ss"/>
    <numFmt numFmtId="171" formatCode="dd-mm-YYYY"/>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1"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max val="4471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0.050583762021919</v>
                </pt>
                <pt idx="262">
                  <v>0.05649879237856685</v>
                </pt>
                <pt idx="263">
                  <v>0.05782391730529321</v>
                </pt>
                <pt idx="264">
                  <v>0.05997157324331532</v>
                </pt>
                <pt idx="265">
                  <v>0.06274030369071026</v>
                </pt>
                <pt idx="266">
                  <v>0.06638594760302333</v>
                </pt>
                <pt idx="267">
                  <v>0.06269216282268021</v>
                </pt>
                <pt idx="268">
                  <v>0.06324988890534736</v>
                </pt>
                <pt idx="269">
                  <v>0.06758935071237904</v>
                </pt>
              </numCache>
            </numRef>
          </val>
          <smooth val="0"/>
        </ser>
        <dLbls>
          <showLegendKey val="0"/>
          <showVal val="0"/>
          <showCatName val="0"/>
          <showSerName val="0"/>
          <showPercent val="0"/>
          <showBubbleSize val="0"/>
        </dLbls>
        <smooth val="0"/>
        <axId val="502336976"/>
        <axId val="502336584"/>
      </lineChart>
      <dateAx>
        <axId val="502336976"/>
        <scaling>
          <orientation val="minMax"/>
          <max val="4468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Core'!$A$497:$A$784</f>
              <numCache>
                <formatCode>yyyy\-mm\-dd</formatCode>
                <ptCount val="28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'PCE Core'!$D$497:$D$784</f>
              <numCache>
                <formatCode>0.00%</formatCode>
                <ptCount val="288"/>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0.04186197289222606</v>
                </pt>
                <pt idx="262">
                  <v>0.04686596456796401</v>
                </pt>
                <pt idx="263">
                  <v>0.04889339179345642</v>
                </pt>
                <pt idx="264">
                  <v>0.05133076534258275</v>
                </pt>
                <pt idx="265">
                  <v>0.05311621511066236</v>
                </pt>
                <pt idx="266">
                  <v>0.05221739771023466</v>
                </pt>
                <pt idx="267">
                  <v>0.04906115417743336</v>
                </pt>
                <pt idx="268">
                  <v>0.0467173663566449</v>
                </pt>
                <pt idx="269">
                  <v>0.04790883598830615</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Core'!$A$497:$A$784</f>
              <numCache>
                <formatCode>yyyy\-mm\-dd</formatCode>
                <ptCount val="28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'PCE Core'!$E$497:$E$767</f>
              <numCache>
                <formatCode>0%</formatCode>
                <ptCount val="27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Core'!$A$149:$A$782</f>
              <numCache>
                <formatCode>yyyy\-mm\-dd</formatCode>
                <ptCount val="63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'PCE Core'!$D$149:$D$782</f>
              <numCache>
                <formatCode>0.00%</formatCode>
                <ptCount val="634"/>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0.04186197289222606</v>
                </pt>
                <pt idx="610">
                  <v>0.04686596456796401</v>
                </pt>
                <pt idx="611">
                  <v>0.04889339179345642</v>
                </pt>
                <pt idx="612">
                  <v>0.05133076534258275</v>
                </pt>
                <pt idx="613">
                  <v>0.05311621511066236</v>
                </pt>
                <pt idx="614">
                  <v>0.05221739771023466</v>
                </pt>
                <pt idx="615">
                  <v>0.04906115417743336</v>
                </pt>
                <pt idx="616">
                  <v>0.0467173663566449</v>
                </pt>
                <pt idx="617">
                  <v>0.04790883598830615</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Core'!$A$149:$A$782</f>
              <numCache>
                <formatCode>yyyy\-mm\-dd</formatCode>
                <ptCount val="63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'PCE Core'!$F$149:$F$782</f>
              <numCache>
                <formatCode>General</formatCode>
                <ptCount val="634"/>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118.915</v>
                </pt>
                <pt idx="754">
                  <v>119.483</v>
                </pt>
                <pt idx="755">
                  <v>120.092</v>
                </pt>
                <pt idx="756">
                  <v>120.636</v>
                </pt>
                <pt idx="757">
                  <v>121.002</v>
                </pt>
                <pt idx="758">
                  <v>121.408</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149.0237605895032</v>
                </pt>
                <pt idx="754">
                  <v>149.7355757180811</v>
                </pt>
                <pt idx="755">
                  <v>150.498771868264</v>
                </pt>
                <pt idx="756">
                  <v>151.1805103012682</v>
                </pt>
                <pt idx="757">
                  <v>151.6391799087673</v>
                </pt>
                <pt idx="758">
                  <v>152.1479773422226</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149.0237605895032</v>
                </pt>
                <pt idx="754">
                  <v>149.7355757180811</v>
                </pt>
                <pt idx="755">
                  <v>150.498771868264</v>
                </pt>
                <pt idx="756">
                  <v>151.1805103012682</v>
                </pt>
                <pt idx="757">
                  <v>151.6391799087673</v>
                </pt>
                <pt idx="758">
                  <v>152.1479773422226</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6" headerRowCount="1" totalsRowShown="0" headerRowDxfId="27" dataDxfId="25" headerRowBorderDxfId="26">
  <autoFilter ref="A4:D766"/>
  <tableColumns count="4">
    <tableColumn id="1" name="Date" dataDxfId="24"/>
    <tableColumn id="2" name="Value" dataDxfId="23">
      <calculatedColumnFormula>VLOOKUP(Table5345679103[[#This Row],[Date]],Database!A:E,MATCH($A$1,Database!$A$1:$E$1,),)</calculatedColumnFormula>
    </tableColumn>
    <tableColumn id="5" name="PCE Core MoM" dataDxfId="22">
      <calculatedColumnFormula>(B5-B4)/B4</calculatedColumnFormula>
    </tableColumn>
    <tableColumn id="3" name="PCE Core YoY" dataDxfId="21"/>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6" headerRowCount="1" totalsRowShown="0" headerRowDxfId="20" dataDxfId="18" headerRowBorderDxfId="19">
  <autoFilter ref="A4:F766"/>
  <tableColumns count="6">
    <tableColumn id="1" name="Date" dataDxfId="17"/>
    <tableColumn id="2" name="Value" dataDxfId="16">
      <calculatedColumnFormula>VLOOKUP(Table534567910[[#This Row],[Date]],Database!A:E,MATCH($A$1,Database!$A$1:$E$1,),)</calculatedColumnFormula>
    </tableColumn>
    <tableColumn id="5" name="PCE Core MoM" dataDxfId="15">
      <calculatedColumnFormula>(B5-B4)/B4</calculatedColumnFormula>
    </tableColumn>
    <tableColumn id="3" name="PCE Core YoY" dataDxfId="14"/>
    <tableColumn id="4" name="Fed Target" dataDxfId="13"/>
    <tableColumn id="6" name="Fed Fund Target" dataDxfId="12"/>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6" headerRowCount="1" totalsRowShown="0" headerRowDxfId="11" dataDxfId="9" headerRowBorderDxfId="10" tableBorderDxfId="8" totalsRowBorderDxfId="7">
  <autoFilter ref="A4:G766"/>
  <tableColumns count="7">
    <tableColumn id="1" name="Date" dataDxfId="6"/>
    <tableColumn id="2" name="Core PCE" dataDxfId="5">
      <calculatedColumnFormula>VLOOKUP(Table3[[#This Row],[Date]],'PCE Core'!$A:$E,2,)</calculatedColumnFormula>
    </tableColumn>
    <tableColumn id="3" name="Core CPI" dataDxfId="4">
      <calculatedColumnFormula>VLOOKUP(Table3[[#This Row],[Date]],Database!$A:$E,5)</calculatedColumnFormula>
    </tableColumn>
    <tableColumn id="4" name="Core PCE base 2000" dataDxfId="3">
      <calculatedColumnFormula>(((Table3[[#This Row],[Core PCE]]-$B$496)/$B$496)*100)+100</calculatedColumnFormula>
    </tableColumn>
    <tableColumn id="5" name="Core CPI base 2000" dataDxfId="2">
      <calculatedColumnFormula>(((Table3[[#This Row],[Core CPI]]-$C$496)/$C$496)*100)+100</calculatedColumnFormula>
    </tableColumn>
    <tableColumn id="6" name="Core CPI yoy" dataDxfId="1"/>
    <tableColumn id="7" name="Core PCE yoy" dataDxfId="0">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9"/>
    <col width="9.1640625" customWidth="1" style="68" min="30"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44682</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29">
      <formula>0</formula>
    </cfRule>
    <cfRule type="cellIs" priority="8" operator="greaterThan" dxfId="28">
      <formula>0</formula>
    </cfRule>
  </conditionalFormatting>
  <conditionalFormatting sqref="Q22">
    <cfRule type="cellIs" priority="5" operator="lessThan" dxfId="29">
      <formula>0</formula>
    </cfRule>
    <cfRule type="cellIs" priority="6" operator="greaterThan" dxfId="28">
      <formula>0</formula>
    </cfRule>
  </conditionalFormatting>
  <conditionalFormatting sqref="P23">
    <cfRule type="cellIs" priority="3" operator="lessThan" dxfId="29">
      <formula>0</formula>
    </cfRule>
    <cfRule type="cellIs" priority="4" operator="greaterThan" dxfId="28">
      <formula>0</formula>
    </cfRule>
  </conditionalFormatting>
  <conditionalFormatting sqref="Q23">
    <cfRule type="cellIs" priority="1" operator="lessThan" dxfId="29">
      <formula>0</formula>
    </cfRule>
    <cfRule type="cellIs" priority="2" operator="greaterThan" dxfId="28">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8"/>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105.41</v>
      </c>
      <c r="C722" t="n">
        <v>107.204</v>
      </c>
      <c r="D722" t="n">
        <v>0.75</v>
      </c>
      <c r="E722" t="n">
        <v>250.467</v>
      </c>
    </row>
    <row r="723">
      <c r="A723" s="84" t="n">
        <v>42767</v>
      </c>
      <c r="B723" t="n">
        <v>105.502</v>
      </c>
      <c r="C723" t="n">
        <v>107.357</v>
      </c>
      <c r="D723" t="n">
        <v>0.75</v>
      </c>
      <c r="E723" t="n">
        <v>250.998</v>
      </c>
    </row>
    <row r="724">
      <c r="A724" s="84" t="n">
        <v>42795</v>
      </c>
      <c r="B724" t="n">
        <v>105.448</v>
      </c>
      <c r="C724" t="n">
        <v>107.307</v>
      </c>
      <c r="D724" t="n">
        <v>0.75</v>
      </c>
      <c r="E724" t="n">
        <v>250.944</v>
      </c>
    </row>
    <row r="725">
      <c r="A725" s="84" t="n">
        <v>42826</v>
      </c>
      <c r="B725" t="n">
        <v>105.732</v>
      </c>
      <c r="C725" t="n">
        <v>107.587</v>
      </c>
      <c r="D725" t="n">
        <v>1</v>
      </c>
      <c r="E725" t="n">
        <v>251.227</v>
      </c>
    </row>
    <row r="726">
      <c r="A726" s="84" t="n">
        <v>42856</v>
      </c>
      <c r="B726" t="n">
        <v>105.703</v>
      </c>
      <c r="C726" t="n">
        <v>107.699</v>
      </c>
      <c r="D726" t="n">
        <v>1</v>
      </c>
      <c r="E726" t="n">
        <v>251.43</v>
      </c>
    </row>
    <row r="727">
      <c r="A727" s="84" t="n">
        <v>42887</v>
      </c>
      <c r="B727" t="n">
        <v>105.818</v>
      </c>
      <c r="C727" t="n">
        <v>107.876</v>
      </c>
      <c r="D727" t="n">
        <v>1</v>
      </c>
      <c r="E727" t="n">
        <v>251.746</v>
      </c>
    </row>
    <row r="728">
      <c r="A728" s="84" t="n">
        <v>42917</v>
      </c>
      <c r="B728" t="n">
        <v>105.844</v>
      </c>
      <c r="C728" t="n">
        <v>107.944</v>
      </c>
      <c r="D728" t="n">
        <v>1.25</v>
      </c>
      <c r="E728" t="n">
        <v>251.985</v>
      </c>
    </row>
    <row r="729">
      <c r="A729" s="84" t="n">
        <v>42948</v>
      </c>
      <c r="B729" t="n">
        <v>106.074</v>
      </c>
      <c r="C729" t="n">
        <v>108.058</v>
      </c>
      <c r="D729" t="n">
        <v>1.25</v>
      </c>
      <c r="E729" t="n">
        <v>252.535</v>
      </c>
    </row>
    <row r="730">
      <c r="A730" s="84" t="n">
        <v>42979</v>
      </c>
      <c r="B730" t="n">
        <v>106.52</v>
      </c>
      <c r="C730" t="n">
        <v>108.267</v>
      </c>
      <c r="D730" t="n">
        <v>1.25</v>
      </c>
      <c r="E730" t="n">
        <v>252.812</v>
      </c>
    </row>
    <row r="731">
      <c r="A731" s="84" t="n">
        <v>43009</v>
      </c>
      <c r="B731" t="n">
        <v>106.692</v>
      </c>
      <c r="C731" t="n">
        <v>108.546</v>
      </c>
      <c r="D731" t="n">
        <v>1.25</v>
      </c>
      <c r="E731" t="n">
        <v>253.526</v>
      </c>
    </row>
    <row r="732">
      <c r="A732" s="84" t="n">
        <v>43040</v>
      </c>
      <c r="B732" t="n">
        <v>106.88</v>
      </c>
      <c r="C732" t="n">
        <v>108.601</v>
      </c>
      <c r="D732" t="n">
        <v>1.25</v>
      </c>
      <c r="E732" t="n">
        <v>253.816</v>
      </c>
    </row>
    <row r="733">
      <c r="A733" s="84" t="n">
        <v>43070</v>
      </c>
      <c r="B733" t="n">
        <v>106.995</v>
      </c>
      <c r="C733" t="n">
        <v>108.769</v>
      </c>
      <c r="D733" t="n">
        <v>1.25</v>
      </c>
      <c r="E733" t="n">
        <v>254.344</v>
      </c>
    </row>
    <row r="734">
      <c r="A734" s="84" t="n">
        <v>43101</v>
      </c>
      <c r="B734" t="n">
        <v>107.354</v>
      </c>
      <c r="C734" t="n">
        <v>109.06</v>
      </c>
      <c r="D734" t="n">
        <v>1.5</v>
      </c>
      <c r="E734" t="n">
        <v>255.072</v>
      </c>
    </row>
    <row r="735">
      <c r="A735" s="84" t="n">
        <v>43132</v>
      </c>
      <c r="B735" t="n">
        <v>107.574</v>
      </c>
      <c r="C735" t="n">
        <v>109.273</v>
      </c>
      <c r="D735" t="n">
        <v>1.5</v>
      </c>
      <c r="E735" t="n">
        <v>255.568</v>
      </c>
    </row>
    <row r="736">
      <c r="A736" s="84" t="n">
        <v>43160</v>
      </c>
      <c r="B736" t="n">
        <v>107.744</v>
      </c>
      <c r="C736" t="n">
        <v>109.542</v>
      </c>
      <c r="D736" t="n">
        <v>1.5</v>
      </c>
      <c r="E736" t="n">
        <v>256.128</v>
      </c>
    </row>
    <row r="737">
      <c r="A737" s="84" t="n">
        <v>43191</v>
      </c>
      <c r="B737" t="n">
        <v>108.008</v>
      </c>
      <c r="C737" t="n">
        <v>109.752</v>
      </c>
      <c r="D737" t="n">
        <v>1.75</v>
      </c>
      <c r="E737" t="n">
        <v>256.603</v>
      </c>
    </row>
    <row r="738">
      <c r="A738" s="84" t="n">
        <v>43221</v>
      </c>
      <c r="B738" t="n">
        <v>108.203</v>
      </c>
      <c r="C738" t="n">
        <v>109.969</v>
      </c>
      <c r="D738" t="n">
        <v>1.75</v>
      </c>
      <c r="E738" t="n">
        <v>257.151</v>
      </c>
    </row>
    <row r="739">
      <c r="A739" s="84" t="n">
        <v>43252</v>
      </c>
      <c r="B739" t="n">
        <v>108.341</v>
      </c>
      <c r="C739" t="n">
        <v>110.106</v>
      </c>
      <c r="D739" t="n">
        <v>1.75</v>
      </c>
      <c r="E739" t="n">
        <v>257.449</v>
      </c>
    </row>
    <row r="740">
      <c r="A740" s="84" t="n">
        <v>43282</v>
      </c>
      <c r="B740" t="n">
        <v>108.427</v>
      </c>
      <c r="C740" t="n">
        <v>110.238</v>
      </c>
      <c r="D740" t="n">
        <v>2</v>
      </c>
      <c r="E740" t="n">
        <v>257.848</v>
      </c>
    </row>
    <row r="741">
      <c r="A741" s="84" t="n">
        <v>43313</v>
      </c>
      <c r="B741" t="n">
        <v>108.491</v>
      </c>
      <c r="C741" t="n">
        <v>110.247</v>
      </c>
      <c r="D741" t="n">
        <v>2</v>
      </c>
      <c r="E741" t="n">
        <v>258.028</v>
      </c>
    </row>
    <row r="742">
      <c r="A742" s="84" t="n">
        <v>43344</v>
      </c>
      <c r="B742" t="n">
        <v>108.72</v>
      </c>
      <c r="C742" t="n">
        <v>110.475</v>
      </c>
      <c r="D742" t="n">
        <v>2</v>
      </c>
      <c r="E742" t="n">
        <v>258.505</v>
      </c>
    </row>
    <row r="743">
      <c r="A743" s="84" t="n">
        <v>43374</v>
      </c>
      <c r="B743" t="n">
        <v>108.947</v>
      </c>
      <c r="C743" t="n">
        <v>110.641</v>
      </c>
      <c r="D743" t="n">
        <v>2.25</v>
      </c>
      <c r="E743" t="n">
        <v>258.997</v>
      </c>
    </row>
    <row r="744">
      <c r="A744" s="84" t="n">
        <v>43405</v>
      </c>
      <c r="B744" t="n">
        <v>109.023</v>
      </c>
      <c r="C744" t="n">
        <v>110.838</v>
      </c>
      <c r="D744" t="n">
        <v>2.25</v>
      </c>
      <c r="E744" t="n">
        <v>259.455</v>
      </c>
    </row>
    <row r="745">
      <c r="A745" s="84" t="n">
        <v>43435</v>
      </c>
      <c r="B745" t="n">
        <v>108.99</v>
      </c>
      <c r="C745" t="n">
        <v>111.006</v>
      </c>
      <c r="D745" t="n">
        <v>2.25</v>
      </c>
      <c r="E745" t="n">
        <v>259.934</v>
      </c>
    </row>
    <row r="746">
      <c r="A746" s="84" t="n">
        <v>43466</v>
      </c>
      <c r="B746" t="n">
        <v>108.93</v>
      </c>
      <c r="C746" t="n">
        <v>111.06</v>
      </c>
      <c r="D746" t="n">
        <v>2.5</v>
      </c>
      <c r="E746" t="n">
        <v>260.534</v>
      </c>
    </row>
    <row r="747">
      <c r="A747" s="84" t="n">
        <v>43497</v>
      </c>
      <c r="B747" t="n">
        <v>109.036</v>
      </c>
      <c r="C747" t="n">
        <v>111.096</v>
      </c>
      <c r="D747" t="n">
        <v>2.5</v>
      </c>
      <c r="E747" t="n">
        <v>260.885</v>
      </c>
    </row>
    <row r="748">
      <c r="A748" s="84" t="n">
        <v>43525</v>
      </c>
      <c r="B748" t="n">
        <v>109.333</v>
      </c>
      <c r="C748" t="n">
        <v>111.254</v>
      </c>
      <c r="D748" t="n">
        <v>2.5</v>
      </c>
      <c r="E748" t="n">
        <v>261.382</v>
      </c>
    </row>
    <row r="749">
      <c r="A749" s="84" t="n">
        <v>43556</v>
      </c>
      <c r="B749" t="n">
        <v>109.759</v>
      </c>
      <c r="C749" t="n">
        <v>111.607</v>
      </c>
      <c r="D749" t="n">
        <v>2.5</v>
      </c>
      <c r="E749" t="n">
        <v>261.958</v>
      </c>
    </row>
    <row r="750">
      <c r="A750" s="84" t="n">
        <v>43586</v>
      </c>
      <c r="B750" t="n">
        <v>109.827</v>
      </c>
      <c r="C750" t="n">
        <v>111.744</v>
      </c>
      <c r="D750" t="n">
        <v>2.5</v>
      </c>
      <c r="E750" t="n">
        <v>262.321</v>
      </c>
    </row>
    <row r="751">
      <c r="A751" s="84" t="n">
        <v>43617</v>
      </c>
      <c r="B751" t="n">
        <v>109.92</v>
      </c>
      <c r="C751" t="n">
        <v>111.997</v>
      </c>
      <c r="D751" t="n">
        <v>2.5</v>
      </c>
      <c r="E751" t="n">
        <v>262.945</v>
      </c>
    </row>
    <row r="752">
      <c r="A752" s="84" t="n">
        <v>43647</v>
      </c>
      <c r="B752" t="n">
        <v>110.074</v>
      </c>
      <c r="C752" t="n">
        <v>112.15</v>
      </c>
      <c r="D752" t="n">
        <v>2.5</v>
      </c>
      <c r="E752" t="n">
        <v>263.491</v>
      </c>
    </row>
    <row r="753">
      <c r="A753" s="84" t="n">
        <v>43678</v>
      </c>
      <c r="B753" t="n">
        <v>110.133</v>
      </c>
      <c r="C753" t="n">
        <v>112.289</v>
      </c>
      <c r="D753" t="n">
        <v>2.25</v>
      </c>
      <c r="E753" t="n">
        <v>264.135</v>
      </c>
    </row>
    <row r="754">
      <c r="A754" s="84" t="n">
        <v>43709</v>
      </c>
      <c r="B754" t="n">
        <v>110.215</v>
      </c>
      <c r="C754" t="n">
        <v>112.367</v>
      </c>
      <c r="D754" t="n">
        <v>2.25</v>
      </c>
      <c r="E754" t="n">
        <v>264.588</v>
      </c>
    </row>
    <row r="755">
      <c r="A755" s="84" t="n">
        <v>43739</v>
      </c>
      <c r="B755" t="n">
        <v>110.479</v>
      </c>
      <c r="C755" t="n">
        <v>112.54</v>
      </c>
      <c r="D755" t="n">
        <v>2</v>
      </c>
      <c r="E755" t="n">
        <v>265.019</v>
      </c>
    </row>
    <row r="756">
      <c r="A756" s="84" t="n">
        <v>43770</v>
      </c>
      <c r="B756" t="n">
        <v>110.568</v>
      </c>
      <c r="C756" t="n">
        <v>112.576</v>
      </c>
      <c r="D756" t="n">
        <v>1.75</v>
      </c>
      <c r="E756" t="n">
        <v>265.461</v>
      </c>
    </row>
    <row r="757">
      <c r="A757" s="84" t="n">
        <v>43800</v>
      </c>
      <c r="B757" t="n">
        <v>110.789</v>
      </c>
      <c r="C757" t="n">
        <v>112.824</v>
      </c>
      <c r="D757" t="n">
        <v>1.75</v>
      </c>
      <c r="E757" t="n">
        <v>265.742</v>
      </c>
    </row>
    <row r="758">
      <c r="A758" s="84" t="n">
        <v>43831</v>
      </c>
      <c r="B758" t="n">
        <v>111.002</v>
      </c>
      <c r="C758" t="n">
        <v>113.04</v>
      </c>
      <c r="D758" t="n">
        <v>1.75</v>
      </c>
      <c r="E758" t="n">
        <v>266.418</v>
      </c>
    </row>
    <row r="759">
      <c r="A759" s="84" t="n">
        <v>43862</v>
      </c>
      <c r="B759" t="n">
        <v>111.071</v>
      </c>
      <c r="C759" t="n">
        <v>113.215</v>
      </c>
      <c r="D759" t="n">
        <v>1.75</v>
      </c>
      <c r="E759" t="n">
        <v>267.083</v>
      </c>
    </row>
    <row r="760">
      <c r="A760" s="84" t="n">
        <v>43891</v>
      </c>
      <c r="B760" t="n">
        <v>110.802</v>
      </c>
      <c r="C760" t="n">
        <v>113.15</v>
      </c>
      <c r="D760" t="n">
        <v>1.75</v>
      </c>
      <c r="E760" t="n">
        <v>266.916</v>
      </c>
    </row>
    <row r="761">
      <c r="A761" s="84" t="n">
        <v>43922</v>
      </c>
      <c r="B761" t="n">
        <v>110.213</v>
      </c>
      <c r="C761" t="n">
        <v>112.628</v>
      </c>
      <c r="D761" t="n">
        <v>0.25</v>
      </c>
      <c r="E761" t="n">
        <v>265.771</v>
      </c>
    </row>
    <row r="762">
      <c r="A762" s="84" t="n">
        <v>43952</v>
      </c>
      <c r="B762" t="n">
        <v>110.385</v>
      </c>
      <c r="C762" t="n">
        <v>112.864</v>
      </c>
      <c r="D762" t="n">
        <v>0.25</v>
      </c>
      <c r="E762" t="n">
        <v>265.606</v>
      </c>
    </row>
    <row r="763">
      <c r="A763" s="84" t="n">
        <v>43983</v>
      </c>
      <c r="B763" t="n">
        <v>110.918</v>
      </c>
      <c r="C763" t="n">
        <v>113.265</v>
      </c>
      <c r="D763" t="n">
        <v>0.25</v>
      </c>
      <c r="E763" t="n">
        <v>266.088</v>
      </c>
    </row>
    <row r="764">
      <c r="A764" s="84" t="n">
        <v>44013</v>
      </c>
      <c r="B764" t="n">
        <v>111.221</v>
      </c>
      <c r="C764" t="n">
        <v>113.61</v>
      </c>
      <c r="D764" t="n">
        <v>0.25</v>
      </c>
      <c r="E764" t="n">
        <v>267.552</v>
      </c>
    </row>
    <row r="765">
      <c r="A765" s="84" t="n">
        <v>44044</v>
      </c>
      <c r="B765" t="n">
        <v>111.563</v>
      </c>
      <c r="C765" t="n">
        <v>113.971</v>
      </c>
      <c r="D765" t="n">
        <v>0.25</v>
      </c>
      <c r="E765" t="n">
        <v>268.662</v>
      </c>
    </row>
    <row r="766">
      <c r="A766" s="84" t="n">
        <v>44075</v>
      </c>
      <c r="B766" t="n">
        <v>111.736</v>
      </c>
      <c r="C766" t="n">
        <v>114.131</v>
      </c>
      <c r="D766" t="n">
        <v>0.25</v>
      </c>
      <c r="E766" t="n">
        <v>269.152</v>
      </c>
    </row>
    <row r="767">
      <c r="A767" s="84" t="n">
        <v>44105</v>
      </c>
      <c r="B767" t="n">
        <v>111.775</v>
      </c>
      <c r="C767" t="n">
        <v>114.137</v>
      </c>
      <c r="D767" t="n">
        <v>0.25</v>
      </c>
      <c r="E767" t="n">
        <v>269.332</v>
      </c>
    </row>
    <row r="768">
      <c r="A768" s="84" t="n">
        <v>44136</v>
      </c>
      <c r="B768" t="n">
        <v>111.79</v>
      </c>
      <c r="C768" t="n">
        <v>114.134</v>
      </c>
      <c r="D768" t="n">
        <v>0.25</v>
      </c>
      <c r="E768" t="n">
        <v>269.816</v>
      </c>
    </row>
    <row r="769">
      <c r="A769" s="84" t="n">
        <v>44166</v>
      </c>
      <c r="B769" t="n">
        <v>112.22</v>
      </c>
      <c r="C769" t="n">
        <v>114.494</v>
      </c>
      <c r="D769" t="n">
        <v>0.25</v>
      </c>
      <c r="E769" t="n">
        <v>269.984</v>
      </c>
    </row>
    <row r="770">
      <c r="A770" s="84" t="n">
        <v>44197</v>
      </c>
      <c r="B770" t="n">
        <v>112.57</v>
      </c>
      <c r="C770" t="n">
        <v>114.746</v>
      </c>
      <c r="D770" t="n">
        <v>0.25</v>
      </c>
      <c r="E770" t="n">
        <v>270.114</v>
      </c>
    </row>
    <row r="771">
      <c r="A771" s="84" t="n">
        <v>44228</v>
      </c>
      <c r="B771" t="n">
        <v>112.878</v>
      </c>
      <c r="C771" t="n">
        <v>114.899</v>
      </c>
      <c r="D771" t="n">
        <v>0.25</v>
      </c>
      <c r="E771" t="n">
        <v>270.522</v>
      </c>
    </row>
    <row r="772">
      <c r="A772" s="84" t="n">
        <v>44256</v>
      </c>
      <c r="B772" t="n">
        <v>113.518</v>
      </c>
      <c r="C772" t="n">
        <v>115.383</v>
      </c>
      <c r="D772" t="n">
        <v>0.25</v>
      </c>
      <c r="E772" t="n">
        <v>271.347</v>
      </c>
    </row>
    <row r="773">
      <c r="A773" s="84" t="n">
        <v>44287</v>
      </c>
      <c r="B773" t="n">
        <v>114.161</v>
      </c>
      <c r="C773" t="n">
        <v>116.1</v>
      </c>
      <c r="D773" t="n">
        <v>0.25</v>
      </c>
      <c r="E773" t="n">
        <v>273.669</v>
      </c>
    </row>
    <row r="774">
      <c r="A774" s="84" t="n">
        <v>44317</v>
      </c>
      <c r="B774" t="n">
        <v>114.767</v>
      </c>
      <c r="C774" t="n">
        <v>116.766</v>
      </c>
      <c r="D774" t="n">
        <v>0.25</v>
      </c>
      <c r="E774" t="n">
        <v>275.715</v>
      </c>
    </row>
    <row r="775">
      <c r="A775" s="84" t="n">
        <v>44348</v>
      </c>
      <c r="B775" t="n">
        <v>115.388</v>
      </c>
      <c r="C775" t="n">
        <v>117.327</v>
      </c>
      <c r="D775" t="n">
        <v>0.25</v>
      </c>
      <c r="E775" t="n">
        <v>277.922</v>
      </c>
    </row>
    <row r="776">
      <c r="A776" s="84" t="n">
        <v>44378</v>
      </c>
      <c r="B776" t="n">
        <v>115.847</v>
      </c>
      <c r="C776" t="n">
        <v>117.704</v>
      </c>
      <c r="D776" t="n">
        <v>0.25</v>
      </c>
      <c r="E776" t="n">
        <v>278.794</v>
      </c>
    </row>
    <row r="777">
      <c r="A777" s="84" t="n">
        <v>44409</v>
      </c>
      <c r="B777" t="n">
        <v>116.29</v>
      </c>
      <c r="C777" t="n">
        <v>118.073</v>
      </c>
      <c r="D777" t="n">
        <v>0.25</v>
      </c>
      <c r="E777" t="n">
        <v>279.306</v>
      </c>
    </row>
    <row r="778">
      <c r="A778" s="84" t="n">
        <v>44440</v>
      </c>
      <c r="B778" t="n">
        <v>116.693</v>
      </c>
      <c r="C778" t="n">
        <v>118.357</v>
      </c>
      <c r="D778" t="n">
        <v>0.25</v>
      </c>
      <c r="E778" t="n">
        <v>280.017</v>
      </c>
    </row>
    <row r="779">
      <c r="A779" s="84" t="n">
        <v>44470</v>
      </c>
      <c r="B779" t="n">
        <v>117.429</v>
      </c>
      <c r="C779" t="n">
        <v>118.915</v>
      </c>
      <c r="D779" t="n">
        <v>0.25</v>
      </c>
      <c r="E779" t="n">
        <v>281.705</v>
      </c>
    </row>
    <row r="780">
      <c r="A780" s="84" t="n">
        <v>44501</v>
      </c>
      <c r="B780" t="n">
        <v>118.106</v>
      </c>
      <c r="C780" t="n">
        <v>119.483</v>
      </c>
      <c r="D780" t="n">
        <v>0.25</v>
      </c>
      <c r="E780" t="n">
        <v>283.179</v>
      </c>
    </row>
    <row r="781">
      <c r="A781" s="84" t="n">
        <v>44531</v>
      </c>
      <c r="B781" t="n">
        <v>118.709</v>
      </c>
      <c r="C781" t="n">
        <v>120.092</v>
      </c>
      <c r="D781" t="n">
        <v>0.25</v>
      </c>
      <c r="E781" t="n">
        <v>284.77</v>
      </c>
    </row>
    <row r="782">
      <c r="A782" s="84" t="n">
        <v>44562</v>
      </c>
      <c r="B782" t="n">
        <v>119.321</v>
      </c>
      <c r="C782" t="n">
        <v>120.636</v>
      </c>
      <c r="D782" t="n">
        <v>0.25</v>
      </c>
      <c r="E782" t="n">
        <v>286.431</v>
      </c>
    </row>
    <row r="783">
      <c r="A783" s="84" t="n">
        <v>44593</v>
      </c>
      <c r="B783" t="n">
        <v>119.96</v>
      </c>
      <c r="C783" t="n">
        <v>121.002</v>
      </c>
      <c r="D783" t="n">
        <v>0.25</v>
      </c>
      <c r="E783" t="n">
        <v>287.878</v>
      </c>
    </row>
    <row r="784">
      <c r="A784" s="84" t="n">
        <v>44621</v>
      </c>
      <c r="B784" t="n">
        <v>121.054</v>
      </c>
      <c r="C784" t="n">
        <v>121.408</v>
      </c>
      <c r="D784" t="n">
        <v>0.25</v>
      </c>
      <c r="E784" t="n">
        <v>288.811</v>
      </c>
    </row>
    <row r="785">
      <c r="A785" s="84" t="n">
        <v>44652</v>
      </c>
      <c r="B785" t="n">
        <v>121.318</v>
      </c>
      <c r="C785" t="n">
        <v>121.796</v>
      </c>
      <c r="D785" t="n">
        <v>0.5</v>
      </c>
      <c r="E785" t="n">
        <v>290.455</v>
      </c>
    </row>
    <row r="786">
      <c r="A786" s="84" t="n">
        <v>44682</v>
      </c>
      <c r="B786" t="n">
        <v>122.026</v>
      </c>
      <c r="C786" t="n">
        <v>122.221</v>
      </c>
      <c r="D786" t="n">
        <v>0.5</v>
      </c>
      <c r="E786" t="n">
        <v>292.289</v>
      </c>
    </row>
    <row r="787">
      <c r="A787" s="84" t="n">
        <v>44713</v>
      </c>
      <c r="B787" t="n">
        <v>123.187</v>
      </c>
      <c r="C787" t="n">
        <v>122.948</v>
      </c>
      <c r="D787" t="n">
        <v>1</v>
      </c>
      <c r="E787" t="n">
        <v>294.354</v>
      </c>
    </row>
    <row r="788">
      <c r="A788" s="84" t="n">
        <v>44743</v>
      </c>
      <c r="B788" t="n">
        <v/>
      </c>
      <c r="C788" t="n">
        <v/>
      </c>
      <c r="D788" t="n">
        <v>1.75</v>
      </c>
      <c r="E788" t="n">
        <v>295.275</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60" zoomScaleNormal="160" workbookViewId="0">
      <pane ySplit="4" topLeftCell="A744" activePane="bottomLeft" state="frozen"/>
      <selection pane="bottomLeft" activeCell="Q753" sqref="Q753"/>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6" t="n"/>
      <c r="B767" s="53" t="n"/>
      <c r="C767" s="4" t="n"/>
      <c r="D767" s="5" t="n"/>
    </row>
    <row r="768" customFormat="1" s="68">
      <c r="A768" s="6" t="n"/>
      <c r="B768" s="53" t="n"/>
      <c r="C768" s="4" t="n"/>
      <c r="D768" s="5" t="n"/>
    </row>
    <row r="769" customFormat="1" s="68">
      <c r="A769" s="6" t="n"/>
      <c r="B769" s="53" t="n"/>
      <c r="C769" s="4" t="n"/>
      <c r="D769" s="5" t="n"/>
    </row>
    <row r="770" customFormat="1" s="68">
      <c r="A770" s="6" t="n"/>
      <c r="B770" s="53" t="n"/>
      <c r="C770" s="4" t="n"/>
      <c r="D770" s="5" t="n"/>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66">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1"/>
  <sheetViews>
    <sheetView zoomScale="170" zoomScaleNormal="170" workbookViewId="0">
      <pane ySplit="4" topLeftCell="A750" activePane="bottomLeft" state="frozen"/>
      <selection activeCell="I12" sqref="I12"/>
      <selection pane="bottomLeft" activeCell="Q753" sqref="Q753"/>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72"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 t="n"/>
      <c r="B767" s="53" t="n"/>
      <c r="C767" s="4" t="n"/>
      <c r="D767" s="5" t="n"/>
      <c r="E767" s="12" t="n"/>
      <c r="F767" s="12" t="n"/>
    </row>
    <row r="768" customFormat="1" s="68">
      <c r="A768" s="6" t="n"/>
      <c r="B768" s="53" t="n"/>
      <c r="C768" s="4" t="n"/>
      <c r="D768" s="5" t="n"/>
      <c r="E768" s="12" t="n"/>
      <c r="F768" s="12" t="n"/>
    </row>
    <row r="769" customFormat="1" s="68">
      <c r="A769" s="6" t="n"/>
      <c r="B769" s="53" t="n"/>
      <c r="C769" s="4" t="n"/>
      <c r="D769" s="5" t="n"/>
      <c r="E769" s="12" t="n"/>
      <c r="F769" s="12" t="n"/>
    </row>
    <row r="770" customFormat="1" s="68">
      <c r="A770" s="6" t="n"/>
      <c r="B770" s="53" t="n"/>
      <c r="C770" s="4" t="n"/>
      <c r="D770" s="5" t="n"/>
      <c r="E770" s="12" t="n"/>
      <c r="F770" s="12" t="n"/>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sheetData>
  <conditionalFormatting sqref="D692:D766">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49" activePane="bottomLeft" state="frozen"/>
      <selection activeCell="H29" sqref="H29"/>
      <selection pane="bottomLeft" activeCell="I767" sqref="I767"/>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6">
    <cfRule type="colorScale" priority="13">
      <colorScale>
        <cfvo type="min"/>
        <cfvo type="percentile" val="50"/>
        <cfvo type="max"/>
        <color rgb="FFF8696B"/>
        <color rgb="FFFFEB84"/>
        <color rgb="FF63BE7B"/>
      </colorScale>
    </cfRule>
  </conditionalFormatting>
  <conditionalFormatting sqref="G617:G766">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2022-08-09T12:34:42Z</dcterms:modified>
  <cp:lastModifiedBy>Mark Mukherjee</cp:lastModifiedBy>
</cp:coreProperties>
</file>