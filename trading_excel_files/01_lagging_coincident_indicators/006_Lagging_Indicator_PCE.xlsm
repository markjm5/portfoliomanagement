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numCache>
            </numRef>
          </val>
          <smooth val="0"/>
        </ser>
        <dLbls>
          <showLegendKey val="0"/>
          <showVal val="0"/>
          <showCatName val="0"/>
          <showSerName val="0"/>
          <showPercent val="0"/>
          <showBubbleSize val="0"/>
        </dLbls>
        <smooth val="0"/>
        <axId val="615699024"/>
        <axId val="495403552"/>
      </lineChart>
      <dateAx>
        <axId val="615699024"/>
        <scaling>
          <orientation val="minMax"/>
          <max val="44805"/>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0.06379218181504664</v>
                </pt>
                <pt idx="271">
                  <v>0.06239909312630956</v>
                </pt>
                <pt idx="272">
                  <v>0.06271830696527629</v>
                </pt>
                <pt idx="273">
                  <v>0.06018948067314157</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Core'!$A$497:$A$788</f>
              <numCache>
                <formatCode>yyyy\-mm\-dd</formatCode>
                <ptCount val="29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'PCE Core'!$D$497:$D$788</f>
              <numCache>
                <formatCode>0.00%</formatCode>
                <ptCount val="292"/>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0.04691412516658026</v>
                </pt>
                <pt idx="271">
                  <v>0.0491628524776014</v>
                </pt>
                <pt idx="272">
                  <v>0.05182108302517607</v>
                </pt>
                <pt idx="273">
                  <v>0.04984486542390836</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Core'!$A$497:$A$788</f>
              <numCache>
                <formatCode>yyyy\-mm\-dd</formatCode>
                <ptCount val="29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'PCE Core'!$E$497:$E$771</f>
              <numCache>
                <formatCode>0%</formatCode>
                <ptCount val="275"/>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pt idx="273">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Core'!$A$149:$A$786</f>
              <numCache>
                <formatCode>yyyy\-mm\-dd</formatCode>
                <ptCount val="63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'PCE Core'!$D$149:$D$786</f>
              <numCache>
                <formatCode>0.00%</formatCode>
                <ptCount val="638"/>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0.04691412516658026</v>
                </pt>
                <pt idx="619">
                  <v>0.0491628524776014</v>
                </pt>
                <pt idx="620">
                  <v>0.05182108302517607</v>
                </pt>
                <pt idx="621">
                  <v>0.04984486542390836</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Core'!$A$149:$A$786</f>
              <numCache>
                <formatCode>yyyy\-mm\-dd</formatCode>
                <ptCount val="63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'PCE Core'!$F$149:$F$786</f>
              <numCache>
                <formatCode>General</formatCode>
                <ptCount val="638"/>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pt idx="621">
                  <v>3.25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123.338</v>
                </pt>
                <pt idx="763">
                  <v>124.01</v>
                </pt>
                <pt idx="764">
                  <v>124.584</v>
                </pt>
                <pt idx="765">
                  <v>124.857</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pt idx="765">
                  <v>299.471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154.5666449446087</v>
                </pt>
                <pt idx="763">
                  <v>155.4087924206727</v>
                </pt>
                <pt idx="764">
                  <v>156.128126723144</v>
                </pt>
                <pt idx="765">
                  <v>156.470249135295</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CPI'!$D$5:$D$771</f>
              <numCache>
                <formatCode>0.00</formatCode>
                <ptCount val="767"/>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154.5666449446087</v>
                </pt>
                <pt idx="763">
                  <v>155.4087924206727</v>
                </pt>
                <pt idx="764">
                  <v>156.128126723144</v>
                </pt>
                <pt idx="765">
                  <v>156.470249135295</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CPI'!$E$5:$E$771</f>
              <numCache>
                <formatCode>0.00</formatCode>
                <ptCount val="767"/>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smooth val="0"/>
        <axId val="716622040"/>
        <axId val="716620400"/>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70" headerRowCount="1" totalsRowShown="0" headerRowDxfId="35" dataDxfId="33" headerRowBorderDxfId="34">
  <autoFilter ref="A4:D770"/>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70" headerRowCount="1" totalsRowShown="0" headerRowDxfId="28" dataDxfId="26" headerRowBorderDxfId="27">
  <autoFilter ref="A4:F770"/>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0" headerRowCount="1" totalsRowShown="0" headerRowDxfId="19" dataDxfId="17" headerRowBorderDxfId="18" tableBorderDxfId="16" totalsRowBorderDxfId="15">
  <autoFilter ref="A4:G770"/>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8" defaultColWidth="9.1796875" defaultRowHeight="14.5"/>
  <cols>
    <col width="9.1796875" customWidth="1" style="68" min="1" max="1"/>
    <col width="12.81640625" customWidth="1" style="68" min="2" max="10"/>
    <col width="2.81640625" customWidth="1" style="68" min="11" max="13"/>
    <col width="19" customWidth="1" style="68" min="14" max="14"/>
    <col width="9.1796875" customWidth="1" style="68" min="15" max="15"/>
    <col width="12.36328125" customWidth="1" style="68" min="16" max="19"/>
    <col width="9.1796875" customWidth="1" style="68" min="20" max="38"/>
    <col width="9.1796875" customWidth="1" style="68" min="39"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44805</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2"/>
  <sheetViews>
    <sheetView zoomScale="170" zoomScaleNormal="170" workbookViewId="0">
      <pane ySplit="1" topLeftCell="A780" activePane="bottomLeft" state="frozen"/>
      <selection pane="bottomLeft" activeCell="H29" sqref="H29"/>
    </sheetView>
  </sheetViews>
  <sheetFormatPr baseColWidth="8" defaultColWidth="10.90625" defaultRowHeight="14.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105.408</v>
      </c>
      <c r="C722" t="n">
        <v>107.205</v>
      </c>
      <c r="D722" t="n">
        <v>0.75</v>
      </c>
      <c r="E722" t="n">
        <v>250.467</v>
      </c>
    </row>
    <row r="723">
      <c r="A723" s="85" t="n">
        <v>42767</v>
      </c>
      <c r="B723" t="n">
        <v>105.57</v>
      </c>
      <c r="C723" t="n">
        <v>107.414</v>
      </c>
      <c r="D723" t="n">
        <v>0.75</v>
      </c>
      <c r="E723" t="n">
        <v>250.998</v>
      </c>
    </row>
    <row r="724">
      <c r="A724" s="85" t="n">
        <v>42795</v>
      </c>
      <c r="B724" t="n">
        <v>105.512</v>
      </c>
      <c r="C724" t="n">
        <v>107.364</v>
      </c>
      <c r="D724" t="n">
        <v>0.75</v>
      </c>
      <c r="E724" t="n">
        <v>250.944</v>
      </c>
    </row>
    <row r="725">
      <c r="A725" s="85" t="n">
        <v>42826</v>
      </c>
      <c r="B725" t="n">
        <v>105.744</v>
      </c>
      <c r="C725" t="n">
        <v>107.62</v>
      </c>
      <c r="D725" t="n">
        <v>1</v>
      </c>
      <c r="E725" t="n">
        <v>251.227</v>
      </c>
    </row>
    <row r="726">
      <c r="A726" s="85" t="n">
        <v>42856</v>
      </c>
      <c r="B726" t="n">
        <v>105.714</v>
      </c>
      <c r="C726" t="n">
        <v>107.719</v>
      </c>
      <c r="D726" t="n">
        <v>1</v>
      </c>
      <c r="E726" t="n">
        <v>251.43</v>
      </c>
    </row>
    <row r="727">
      <c r="A727" s="85" t="n">
        <v>42887</v>
      </c>
      <c r="B727" t="n">
        <v>105.815</v>
      </c>
      <c r="C727" t="n">
        <v>107.876</v>
      </c>
      <c r="D727" t="n">
        <v>1</v>
      </c>
      <c r="E727" t="n">
        <v>251.746</v>
      </c>
    </row>
    <row r="728">
      <c r="A728" s="85" t="n">
        <v>42917</v>
      </c>
      <c r="B728" t="n">
        <v>105.842</v>
      </c>
      <c r="C728" t="n">
        <v>107.941</v>
      </c>
      <c r="D728" t="n">
        <v>1.25</v>
      </c>
      <c r="E728" t="n">
        <v>251.985</v>
      </c>
    </row>
    <row r="729">
      <c r="A729" s="85" t="n">
        <v>42948</v>
      </c>
      <c r="B729" t="n">
        <v>106.093</v>
      </c>
      <c r="C729" t="n">
        <v>108.074</v>
      </c>
      <c r="D729" t="n">
        <v>1.25</v>
      </c>
      <c r="E729" t="n">
        <v>252.535</v>
      </c>
    </row>
    <row r="730">
      <c r="A730" s="85" t="n">
        <v>42979</v>
      </c>
      <c r="B730" t="n">
        <v>106.491</v>
      </c>
      <c r="C730" t="n">
        <v>108.215</v>
      </c>
      <c r="D730" t="n">
        <v>1.25</v>
      </c>
      <c r="E730" t="n">
        <v>252.812</v>
      </c>
    </row>
    <row r="731">
      <c r="A731" s="85" t="n">
        <v>43009</v>
      </c>
      <c r="B731" t="n">
        <v>106.648</v>
      </c>
      <c r="C731" t="n">
        <v>108.499</v>
      </c>
      <c r="D731" t="n">
        <v>1.25</v>
      </c>
      <c r="E731" t="n">
        <v>253.526</v>
      </c>
    </row>
    <row r="732">
      <c r="A732" s="85" t="n">
        <v>43040</v>
      </c>
      <c r="B732" t="n">
        <v>106.825</v>
      </c>
      <c r="C732" t="n">
        <v>108.582</v>
      </c>
      <c r="D732" t="n">
        <v>1.25</v>
      </c>
      <c r="E732" t="n">
        <v>253.816</v>
      </c>
    </row>
    <row r="733">
      <c r="A733" s="85" t="n">
        <v>43070</v>
      </c>
      <c r="B733" t="n">
        <v>106.98</v>
      </c>
      <c r="C733" t="n">
        <v>108.742</v>
      </c>
      <c r="D733" t="n">
        <v>1.25</v>
      </c>
      <c r="E733" t="n">
        <v>254.344</v>
      </c>
    </row>
    <row r="734">
      <c r="A734" s="85" t="n">
        <v>43101</v>
      </c>
      <c r="B734" t="n">
        <v>107.362</v>
      </c>
      <c r="C734" t="n">
        <v>109.08</v>
      </c>
      <c r="D734" t="n">
        <v>1.5</v>
      </c>
      <c r="E734" t="n">
        <v>255.072</v>
      </c>
    </row>
    <row r="735">
      <c r="A735" s="85" t="n">
        <v>43132</v>
      </c>
      <c r="B735" t="n">
        <v>107.625</v>
      </c>
      <c r="C735" t="n">
        <v>109.311</v>
      </c>
      <c r="D735" t="n">
        <v>1.5</v>
      </c>
      <c r="E735" t="n">
        <v>255.568</v>
      </c>
    </row>
    <row r="736">
      <c r="A736" s="85" t="n">
        <v>43160</v>
      </c>
      <c r="B736" t="n">
        <v>107.777</v>
      </c>
      <c r="C736" t="n">
        <v>109.562</v>
      </c>
      <c r="D736" t="n">
        <v>1.5</v>
      </c>
      <c r="E736" t="n">
        <v>256.128</v>
      </c>
    </row>
    <row r="737">
      <c r="A737" s="85" t="n">
        <v>43191</v>
      </c>
      <c r="B737" t="n">
        <v>107.988</v>
      </c>
      <c r="C737" t="n">
        <v>109.75</v>
      </c>
      <c r="D737" t="n">
        <v>1.75</v>
      </c>
      <c r="E737" t="n">
        <v>256.603</v>
      </c>
    </row>
    <row r="738">
      <c r="A738" s="85" t="n">
        <v>43221</v>
      </c>
      <c r="B738" t="n">
        <v>108.193</v>
      </c>
      <c r="C738" t="n">
        <v>109.956</v>
      </c>
      <c r="D738" t="n">
        <v>1.75</v>
      </c>
      <c r="E738" t="n">
        <v>257.151</v>
      </c>
    </row>
    <row r="739">
      <c r="A739" s="85" t="n">
        <v>43252</v>
      </c>
      <c r="B739" t="n">
        <v>108.317</v>
      </c>
      <c r="C739" t="n">
        <v>110.073</v>
      </c>
      <c r="D739" t="n">
        <v>1.75</v>
      </c>
      <c r="E739" t="n">
        <v>257.449</v>
      </c>
    </row>
    <row r="740">
      <c r="A740" s="85" t="n">
        <v>43282</v>
      </c>
      <c r="B740" t="n">
        <v>108.417</v>
      </c>
      <c r="C740" t="n">
        <v>110.219</v>
      </c>
      <c r="D740" t="n">
        <v>2</v>
      </c>
      <c r="E740" t="n">
        <v>257.848</v>
      </c>
    </row>
    <row r="741">
      <c r="A741" s="85" t="n">
        <v>43313</v>
      </c>
      <c r="B741" t="n">
        <v>108.502</v>
      </c>
      <c r="C741" t="n">
        <v>110.246</v>
      </c>
      <c r="D741" t="n">
        <v>2</v>
      </c>
      <c r="E741" t="n">
        <v>258.028</v>
      </c>
    </row>
    <row r="742">
      <c r="A742" s="85" t="n">
        <v>43344</v>
      </c>
      <c r="B742" t="n">
        <v>108.738</v>
      </c>
      <c r="C742" t="n">
        <v>110.476</v>
      </c>
      <c r="D742" t="n">
        <v>2</v>
      </c>
      <c r="E742" t="n">
        <v>258.505</v>
      </c>
    </row>
    <row r="743">
      <c r="A743" s="85" t="n">
        <v>43374</v>
      </c>
      <c r="B743" t="n">
        <v>108.924</v>
      </c>
      <c r="C743" t="n">
        <v>110.626</v>
      </c>
      <c r="D743" t="n">
        <v>2.25</v>
      </c>
      <c r="E743" t="n">
        <v>258.997</v>
      </c>
    </row>
    <row r="744">
      <c r="A744" s="85" t="n">
        <v>43405</v>
      </c>
      <c r="B744" t="n">
        <v>108.969</v>
      </c>
      <c r="C744" t="n">
        <v>110.831</v>
      </c>
      <c r="D744" t="n">
        <v>2.25</v>
      </c>
      <c r="E744" t="n">
        <v>259.455</v>
      </c>
    </row>
    <row r="745">
      <c r="A745" s="85" t="n">
        <v>43435</v>
      </c>
      <c r="B745" t="n">
        <v>108.991</v>
      </c>
      <c r="C745" t="n">
        <v>111.009</v>
      </c>
      <c r="D745" t="n">
        <v>2.25</v>
      </c>
      <c r="E745" t="n">
        <v>259.934</v>
      </c>
    </row>
    <row r="746">
      <c r="A746" s="85" t="n">
        <v>43466</v>
      </c>
      <c r="B746" t="n">
        <v>108.977</v>
      </c>
      <c r="C746" t="n">
        <v>111.134</v>
      </c>
      <c r="D746" t="n">
        <v>2.5</v>
      </c>
      <c r="E746" t="n">
        <v>260.534</v>
      </c>
    </row>
    <row r="747">
      <c r="A747" s="85" t="n">
        <v>43497</v>
      </c>
      <c r="B747" t="n">
        <v>109.146</v>
      </c>
      <c r="C747" t="n">
        <v>111.207</v>
      </c>
      <c r="D747" t="n">
        <v>2.5</v>
      </c>
      <c r="E747" t="n">
        <v>260.885</v>
      </c>
    </row>
    <row r="748">
      <c r="A748" s="85" t="n">
        <v>43525</v>
      </c>
      <c r="B748" t="n">
        <v>109.443</v>
      </c>
      <c r="C748" t="n">
        <v>111.35</v>
      </c>
      <c r="D748" t="n">
        <v>2.5</v>
      </c>
      <c r="E748" t="n">
        <v>261.382</v>
      </c>
    </row>
    <row r="749">
      <c r="A749" s="85" t="n">
        <v>43556</v>
      </c>
      <c r="B749" t="n">
        <v>109.78</v>
      </c>
      <c r="C749" t="n">
        <v>111.65</v>
      </c>
      <c r="D749" t="n">
        <v>2.5</v>
      </c>
      <c r="E749" t="n">
        <v>261.958</v>
      </c>
    </row>
    <row r="750">
      <c r="A750" s="85" t="n">
        <v>43586</v>
      </c>
      <c r="B750" t="n">
        <v>109.856</v>
      </c>
      <c r="C750" t="n">
        <v>111.773</v>
      </c>
      <c r="D750" t="n">
        <v>2.5</v>
      </c>
      <c r="E750" t="n">
        <v>262.321</v>
      </c>
    </row>
    <row r="751">
      <c r="A751" s="85" t="n">
        <v>43617</v>
      </c>
      <c r="B751" t="n">
        <v>109.935</v>
      </c>
      <c r="C751" t="n">
        <v>112</v>
      </c>
      <c r="D751" t="n">
        <v>2.5</v>
      </c>
      <c r="E751" t="n">
        <v>262.945</v>
      </c>
    </row>
    <row r="752">
      <c r="A752" s="85" t="n">
        <v>43647</v>
      </c>
      <c r="B752" t="n">
        <v>110.094</v>
      </c>
      <c r="C752" t="n">
        <v>112.157</v>
      </c>
      <c r="D752" t="n">
        <v>2.5</v>
      </c>
      <c r="E752" t="n">
        <v>263.491</v>
      </c>
    </row>
    <row r="753">
      <c r="A753" s="85" t="n">
        <v>43678</v>
      </c>
      <c r="B753" t="n">
        <v>110.132</v>
      </c>
      <c r="C753" t="n">
        <v>112.27</v>
      </c>
      <c r="D753" t="n">
        <v>2.25</v>
      </c>
      <c r="E753" t="n">
        <v>264.135</v>
      </c>
    </row>
    <row r="754">
      <c r="A754" s="85" t="n">
        <v>43709</v>
      </c>
      <c r="B754" t="n">
        <v>110.207</v>
      </c>
      <c r="C754" t="n">
        <v>112.339</v>
      </c>
      <c r="D754" t="n">
        <v>2.25</v>
      </c>
      <c r="E754" t="n">
        <v>264.588</v>
      </c>
    </row>
    <row r="755">
      <c r="A755" s="85" t="n">
        <v>43739</v>
      </c>
      <c r="B755" t="n">
        <v>110.423</v>
      </c>
      <c r="C755" t="n">
        <v>112.496</v>
      </c>
      <c r="D755" t="n">
        <v>2</v>
      </c>
      <c r="E755" t="n">
        <v>265.019</v>
      </c>
    </row>
    <row r="756">
      <c r="A756" s="85" t="n">
        <v>43770</v>
      </c>
      <c r="B756" t="n">
        <v>110.469</v>
      </c>
      <c r="C756" t="n">
        <v>112.524</v>
      </c>
      <c r="D756" t="n">
        <v>1.75</v>
      </c>
      <c r="E756" t="n">
        <v>265.461</v>
      </c>
    </row>
    <row r="757">
      <c r="A757" s="85" t="n">
        <v>43800</v>
      </c>
      <c r="B757" t="n">
        <v>110.736</v>
      </c>
      <c r="C757" t="n">
        <v>112.772</v>
      </c>
      <c r="D757" t="n">
        <v>1.75</v>
      </c>
      <c r="E757" t="n">
        <v>265.742</v>
      </c>
    </row>
    <row r="758">
      <c r="A758" s="85" t="n">
        <v>43831</v>
      </c>
      <c r="B758" t="n">
        <v>110.944</v>
      </c>
      <c r="C758" t="n">
        <v>113.008</v>
      </c>
      <c r="D758" t="n">
        <v>1.75</v>
      </c>
      <c r="E758" t="n">
        <v>266.418</v>
      </c>
    </row>
    <row r="759">
      <c r="A759" s="85" t="n">
        <v>43862</v>
      </c>
      <c r="B759" t="n">
        <v>111.07</v>
      </c>
      <c r="C759" t="n">
        <v>113.206</v>
      </c>
      <c r="D759" t="n">
        <v>1.75</v>
      </c>
      <c r="E759" t="n">
        <v>267.083</v>
      </c>
    </row>
    <row r="760">
      <c r="A760" s="85" t="n">
        <v>43891</v>
      </c>
      <c r="B760" t="n">
        <v>110.824</v>
      </c>
      <c r="C760" t="n">
        <v>113.143</v>
      </c>
      <c r="D760" t="n">
        <v>1.75</v>
      </c>
      <c r="E760" t="n">
        <v>266.916</v>
      </c>
    </row>
    <row r="761">
      <c r="A761" s="85" t="n">
        <v>43922</v>
      </c>
      <c r="B761" t="n">
        <v>110.237</v>
      </c>
      <c r="C761" t="n">
        <v>112.668</v>
      </c>
      <c r="D761" t="n">
        <v>0.25</v>
      </c>
      <c r="E761" t="n">
        <v>265.771</v>
      </c>
    </row>
    <row r="762">
      <c r="A762" s="85" t="n">
        <v>43952</v>
      </c>
      <c r="B762" t="n">
        <v>110.353</v>
      </c>
      <c r="C762" t="n">
        <v>112.819</v>
      </c>
      <c r="D762" t="n">
        <v>0.25</v>
      </c>
      <c r="E762" t="n">
        <v>265.606</v>
      </c>
    </row>
    <row r="763">
      <c r="A763" s="85" t="n">
        <v>43983</v>
      </c>
      <c r="B763" t="n">
        <v>110.746</v>
      </c>
      <c r="C763" t="n">
        <v>113.051</v>
      </c>
      <c r="D763" t="n">
        <v>0.25</v>
      </c>
      <c r="E763" t="n">
        <v>266.088</v>
      </c>
    </row>
    <row r="764">
      <c r="A764" s="85" t="n">
        <v>44013</v>
      </c>
      <c r="B764" t="n">
        <v>111.072</v>
      </c>
      <c r="C764" t="n">
        <v>113.425</v>
      </c>
      <c r="D764" t="n">
        <v>0.25</v>
      </c>
      <c r="E764" t="n">
        <v>267.552</v>
      </c>
    </row>
    <row r="765">
      <c r="A765" s="85" t="n">
        <v>44044</v>
      </c>
      <c r="B765" t="n">
        <v>111.411</v>
      </c>
      <c r="C765" t="n">
        <v>113.782</v>
      </c>
      <c r="D765" t="n">
        <v>0.25</v>
      </c>
      <c r="E765" t="n">
        <v>268.662</v>
      </c>
    </row>
    <row r="766">
      <c r="A766" s="85" t="n">
        <v>44075</v>
      </c>
      <c r="B766" t="n">
        <v>111.613</v>
      </c>
      <c r="C766" t="n">
        <v>113.979</v>
      </c>
      <c r="D766" t="n">
        <v>0.25</v>
      </c>
      <c r="E766" t="n">
        <v>269.152</v>
      </c>
    </row>
    <row r="767">
      <c r="A767" s="85" t="n">
        <v>44105</v>
      </c>
      <c r="B767" t="n">
        <v>111.648</v>
      </c>
      <c r="C767" t="n">
        <v>114.017</v>
      </c>
      <c r="D767" t="n">
        <v>0.25</v>
      </c>
      <c r="E767" t="n">
        <v>269.332</v>
      </c>
    </row>
    <row r="768">
      <c r="A768" s="85" t="n">
        <v>44136</v>
      </c>
      <c r="B768" t="n">
        <v>111.666</v>
      </c>
      <c r="C768" t="n">
        <v>114.048</v>
      </c>
      <c r="D768" t="n">
        <v>0.25</v>
      </c>
      <c r="E768" t="n">
        <v>269.816</v>
      </c>
    </row>
    <row r="769">
      <c r="A769" s="85" t="n">
        <v>44166</v>
      </c>
      <c r="B769" t="n">
        <v>112.15</v>
      </c>
      <c r="C769" t="n">
        <v>114.422</v>
      </c>
      <c r="D769" t="n">
        <v>0.25</v>
      </c>
      <c r="E769" t="n">
        <v>269.984</v>
      </c>
    </row>
    <row r="770">
      <c r="A770" s="85" t="n">
        <v>44197</v>
      </c>
      <c r="B770" t="n">
        <v>112.583</v>
      </c>
      <c r="C770" t="n">
        <v>114.782</v>
      </c>
      <c r="D770" t="n">
        <v>0.25</v>
      </c>
      <c r="E770" t="n">
        <v>270.114</v>
      </c>
    </row>
    <row r="771">
      <c r="A771" s="85" t="n">
        <v>44228</v>
      </c>
      <c r="B771" t="n">
        <v>112.961</v>
      </c>
      <c r="C771" t="n">
        <v>114.975</v>
      </c>
      <c r="D771" t="n">
        <v>0.25</v>
      </c>
      <c r="E771" t="n">
        <v>270.522</v>
      </c>
    </row>
    <row r="772">
      <c r="A772" s="85" t="n">
        <v>44256</v>
      </c>
      <c r="B772" t="n">
        <v>113.632</v>
      </c>
      <c r="C772" t="n">
        <v>115.457</v>
      </c>
      <c r="D772" t="n">
        <v>0.25</v>
      </c>
      <c r="E772" t="n">
        <v>271.347</v>
      </c>
    </row>
    <row r="773">
      <c r="A773" s="85" t="n">
        <v>44287</v>
      </c>
      <c r="B773" t="n">
        <v>114.238</v>
      </c>
      <c r="C773" t="n">
        <v>116.186</v>
      </c>
      <c r="D773" t="n">
        <v>0.25</v>
      </c>
      <c r="E773" t="n">
        <v>273.669</v>
      </c>
    </row>
    <row r="774">
      <c r="A774" s="85" t="n">
        <v>44317</v>
      </c>
      <c r="B774" t="n">
        <v>114.819</v>
      </c>
      <c r="C774" t="n">
        <v>116.787</v>
      </c>
      <c r="D774" t="n">
        <v>0.25</v>
      </c>
      <c r="E774" t="n">
        <v>275.715</v>
      </c>
    </row>
    <row r="775">
      <c r="A775" s="85" t="n">
        <v>44348</v>
      </c>
      <c r="B775" t="n">
        <v>115.458</v>
      </c>
      <c r="C775" t="n">
        <v>117.349</v>
      </c>
      <c r="D775" t="n">
        <v>0.25</v>
      </c>
      <c r="E775" t="n">
        <v>277.922</v>
      </c>
    </row>
    <row r="776">
      <c r="A776" s="85" t="n">
        <v>44378</v>
      </c>
      <c r="B776" t="n">
        <v>115.986</v>
      </c>
      <c r="C776" t="n">
        <v>117.811</v>
      </c>
      <c r="D776" t="n">
        <v>0.25</v>
      </c>
      <c r="E776" t="n">
        <v>278.794</v>
      </c>
    </row>
    <row r="777">
      <c r="A777" s="85" t="n">
        <v>44409</v>
      </c>
      <c r="B777" t="n">
        <v>116.444</v>
      </c>
      <c r="C777" t="n">
        <v>118.199</v>
      </c>
      <c r="D777" t="n">
        <v>0.25</v>
      </c>
      <c r="E777" t="n">
        <v>279.306</v>
      </c>
    </row>
    <row r="778">
      <c r="A778" s="85" t="n">
        <v>44440</v>
      </c>
      <c r="B778" t="n">
        <v>116.808</v>
      </c>
      <c r="C778" t="n">
        <v>118.446</v>
      </c>
      <c r="D778" t="n">
        <v>0.25</v>
      </c>
      <c r="E778" t="n">
        <v>280.017</v>
      </c>
    </row>
    <row r="779">
      <c r="A779" s="85" t="n">
        <v>44470</v>
      </c>
      <c r="B779" t="n">
        <v>117.479</v>
      </c>
      <c r="C779" t="n">
        <v>118.929</v>
      </c>
      <c r="D779" t="n">
        <v>0.25</v>
      </c>
      <c r="E779" t="n">
        <v>281.705</v>
      </c>
    </row>
    <row r="780">
      <c r="A780" s="85" t="n">
        <v>44501</v>
      </c>
      <c r="B780" t="n">
        <v>118.2</v>
      </c>
      <c r="C780" t="n">
        <v>119.543</v>
      </c>
      <c r="D780" t="n">
        <v>0.25</v>
      </c>
      <c r="E780" t="n">
        <v>283.179</v>
      </c>
    </row>
    <row r="781">
      <c r="A781" s="85" t="n">
        <v>44531</v>
      </c>
      <c r="B781" t="n">
        <v>118.841</v>
      </c>
      <c r="C781" t="n">
        <v>120.193</v>
      </c>
      <c r="D781" t="n">
        <v>0.25</v>
      </c>
      <c r="E781" t="n">
        <v>284.77</v>
      </c>
    </row>
    <row r="782">
      <c r="A782" s="85" t="n">
        <v>44562</v>
      </c>
      <c r="B782" t="n">
        <v>119.469</v>
      </c>
      <c r="C782" t="n">
        <v>120.761</v>
      </c>
      <c r="D782" t="n">
        <v>0.25</v>
      </c>
      <c r="E782" t="n">
        <v>286.431</v>
      </c>
    </row>
    <row r="783">
      <c r="A783" s="85" t="n">
        <v>44593</v>
      </c>
      <c r="B783" t="n">
        <v>120.178</v>
      </c>
      <c r="C783" t="n">
        <v>121.205</v>
      </c>
      <c r="D783" t="n">
        <v>0.25</v>
      </c>
      <c r="E783" t="n">
        <v>287.878</v>
      </c>
    </row>
    <row r="784">
      <c r="A784" s="85" t="n">
        <v>44621</v>
      </c>
      <c r="B784" t="n">
        <v>121.321</v>
      </c>
      <c r="C784" t="n">
        <v>121.651</v>
      </c>
      <c r="D784" t="n">
        <v>0.25</v>
      </c>
      <c r="E784" t="n">
        <v>288.811</v>
      </c>
    </row>
    <row r="785">
      <c r="A785" s="85" t="n">
        <v>44652</v>
      </c>
      <c r="B785" t="n">
        <v>121.563</v>
      </c>
      <c r="C785" t="n">
        <v>122.03</v>
      </c>
      <c r="D785" t="n">
        <v>0.5</v>
      </c>
      <c r="E785" t="n">
        <v>290.455</v>
      </c>
    </row>
    <row r="786">
      <c r="A786" s="85" t="n">
        <v>44682</v>
      </c>
      <c r="B786" t="n">
        <v>122.3</v>
      </c>
      <c r="C786" t="n">
        <v>122.488</v>
      </c>
      <c r="D786" t="n">
        <v>0.5</v>
      </c>
      <c r="E786" t="n">
        <v>292.289</v>
      </c>
    </row>
    <row r="787">
      <c r="A787" s="85" t="n">
        <v>44713</v>
      </c>
      <c r="B787" t="n">
        <v>123.512</v>
      </c>
      <c r="C787" t="n">
        <v>123.258</v>
      </c>
      <c r="D787" t="n">
        <v>1</v>
      </c>
      <c r="E787" t="n">
        <v>294.354</v>
      </c>
    </row>
    <row r="788">
      <c r="A788" s="85" t="n">
        <v>44743</v>
      </c>
      <c r="B788" t="n">
        <v>123.385</v>
      </c>
      <c r="C788" t="n">
        <v>123.338</v>
      </c>
      <c r="D788" t="n">
        <v>1.75</v>
      </c>
      <c r="E788" t="n">
        <v>295.275</v>
      </c>
    </row>
    <row r="789">
      <c r="A789" s="85" t="n">
        <v>44774</v>
      </c>
      <c r="B789" t="n">
        <v>123.71</v>
      </c>
      <c r="C789" t="n">
        <v>124.01</v>
      </c>
      <c r="D789" t="n">
        <v>2.5</v>
      </c>
      <c r="E789" t="n">
        <v>296.95</v>
      </c>
    </row>
    <row r="790">
      <c r="A790" s="85" t="n">
        <v>44805</v>
      </c>
      <c r="B790" t="n">
        <v>124.134</v>
      </c>
      <c r="C790" t="n">
        <v>124.584</v>
      </c>
      <c r="D790" t="n">
        <v>2.5</v>
      </c>
      <c r="E790" t="n">
        <v>298.66</v>
      </c>
    </row>
    <row r="791">
      <c r="A791" s="85" t="n">
        <v>44835</v>
      </c>
      <c r="B791" t="n">
        <v>124.55</v>
      </c>
      <c r="C791" t="n">
        <v>124.857</v>
      </c>
      <c r="D791" t="n">
        <v>3.25</v>
      </c>
      <c r="E791" t="n">
        <v>299.471</v>
      </c>
    </row>
    <row r="792">
      <c r="A792" s="85" t="n">
        <v>44866</v>
      </c>
      <c r="B792" t="n">
        <v/>
      </c>
      <c r="C792" t="n">
        <v/>
      </c>
      <c r="D792" t="n">
        <v>3.25</v>
      </c>
      <c r="E792" t="n">
        <v>300.066</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90" zoomScaleNormal="90" workbookViewId="0">
      <pane ySplit="4" topLeftCell="A736" activePane="bottomLeft" state="frozen"/>
      <selection pane="bottomLeft" activeCell="Q750" sqref="Q750"/>
    </sheetView>
  </sheetViews>
  <sheetFormatPr baseColWidth="8" defaultColWidth="8.81640625" defaultRowHeight="14.5"/>
  <cols>
    <col width="10.81640625" customWidth="1" style="3" min="1" max="1"/>
    <col width="18.1796875" customWidth="1" style="51" min="2" max="2"/>
    <col width="15" customWidth="1" style="1" min="3" max="3"/>
    <col width="13" customWidth="1" style="2" min="4" max="4"/>
    <col width="9.1796875" customWidth="1" style="68" min="5" max="66"/>
    <col width="10.81640625" customWidth="1" style="34" min="253" max="253"/>
    <col width="18.1796875" customWidth="1" style="34" min="254" max="254"/>
    <col width="15" customWidth="1" style="34" min="255" max="255"/>
    <col width="13" customWidth="1" style="34" min="256" max="259"/>
    <col width="17.6328125" customWidth="1" style="34" min="260" max="260"/>
    <col width="10.81640625" customWidth="1" style="34" min="509" max="509"/>
    <col width="18.1796875" customWidth="1" style="34" min="510" max="510"/>
    <col width="15" customWidth="1" style="34" min="511" max="511"/>
    <col width="13" customWidth="1" style="34" min="512" max="515"/>
    <col width="17.6328125" customWidth="1" style="34" min="516" max="516"/>
    <col width="10.81640625" customWidth="1" style="34" min="765" max="765"/>
    <col width="18.1796875" customWidth="1" style="34" min="766" max="766"/>
    <col width="15" customWidth="1" style="34" min="767" max="767"/>
    <col width="13" customWidth="1" style="34" min="768" max="771"/>
    <col width="17.6328125" customWidth="1" style="34" min="772" max="772"/>
    <col width="10.81640625" customWidth="1" style="34" min="1021" max="1021"/>
    <col width="18.1796875" customWidth="1" style="34" min="1022" max="1022"/>
    <col width="15" customWidth="1" style="34" min="1023" max="1023"/>
    <col width="13" customWidth="1" style="34" min="1024" max="1027"/>
    <col width="17.6328125" customWidth="1" style="34" min="1028" max="1028"/>
    <col width="10.81640625" customWidth="1" style="34" min="1277" max="1277"/>
    <col width="18.1796875" customWidth="1" style="34" min="1278" max="1278"/>
    <col width="15" customWidth="1" style="34" min="1279" max="1279"/>
    <col width="13" customWidth="1" style="34" min="1280" max="1283"/>
    <col width="17.6328125" customWidth="1" style="34" min="1284" max="1284"/>
    <col width="10.81640625" customWidth="1" style="34" min="1533" max="1533"/>
    <col width="18.1796875" customWidth="1" style="34" min="1534" max="1534"/>
    <col width="15" customWidth="1" style="34" min="1535" max="1535"/>
    <col width="13" customWidth="1" style="34" min="1536" max="1539"/>
    <col width="17.6328125" customWidth="1" style="34" min="1540" max="1540"/>
    <col width="10.81640625" customWidth="1" style="34" min="1789" max="1789"/>
    <col width="18.1796875" customWidth="1" style="34" min="1790" max="1790"/>
    <col width="15" customWidth="1" style="34" min="1791" max="1791"/>
    <col width="13" customWidth="1" style="34" min="1792" max="1795"/>
    <col width="17.6328125" customWidth="1" style="34" min="1796" max="1796"/>
    <col width="10.81640625" customWidth="1" style="34" min="2045" max="2045"/>
    <col width="18.1796875" customWidth="1" style="34" min="2046" max="2046"/>
    <col width="15" customWidth="1" style="34" min="2047" max="2047"/>
    <col width="13" customWidth="1" style="34" min="2048" max="2051"/>
    <col width="17.6328125" customWidth="1" style="34" min="2052" max="2052"/>
    <col width="10.81640625" customWidth="1" style="34" min="2301" max="2301"/>
    <col width="18.1796875" customWidth="1" style="34" min="2302" max="2302"/>
    <col width="15" customWidth="1" style="34" min="2303" max="2303"/>
    <col width="13" customWidth="1" style="34" min="2304" max="2307"/>
    <col width="17.6328125" customWidth="1" style="34" min="2308" max="2308"/>
    <col width="10.81640625" customWidth="1" style="34" min="2557" max="2557"/>
    <col width="18.1796875" customWidth="1" style="34" min="2558" max="2558"/>
    <col width="15" customWidth="1" style="34" min="2559" max="2559"/>
    <col width="13" customWidth="1" style="34" min="2560" max="2563"/>
    <col width="17.6328125" customWidth="1" style="34" min="2564" max="2564"/>
    <col width="10.81640625" customWidth="1" style="34" min="2813" max="2813"/>
    <col width="18.1796875" customWidth="1" style="34" min="2814" max="2814"/>
    <col width="15" customWidth="1" style="34" min="2815" max="2815"/>
    <col width="13" customWidth="1" style="34" min="2816" max="2819"/>
    <col width="17.6328125" customWidth="1" style="34" min="2820" max="2820"/>
    <col width="10.81640625" customWidth="1" style="34" min="3069" max="3069"/>
    <col width="18.1796875" customWidth="1" style="34" min="3070" max="3070"/>
    <col width="15" customWidth="1" style="34" min="3071" max="3071"/>
    <col width="13" customWidth="1" style="34" min="3072" max="3075"/>
    <col width="17.6328125" customWidth="1" style="34" min="3076" max="3076"/>
    <col width="10.81640625" customWidth="1" style="34" min="3325" max="3325"/>
    <col width="18.1796875" customWidth="1" style="34" min="3326" max="3326"/>
    <col width="15" customWidth="1" style="34" min="3327" max="3327"/>
    <col width="13" customWidth="1" style="34" min="3328" max="3331"/>
    <col width="17.6328125" customWidth="1" style="34" min="3332" max="3332"/>
    <col width="10.81640625" customWidth="1" style="34" min="3581" max="3581"/>
    <col width="18.1796875" customWidth="1" style="34" min="3582" max="3582"/>
    <col width="15" customWidth="1" style="34" min="3583" max="3583"/>
    <col width="13" customWidth="1" style="34" min="3584" max="3587"/>
    <col width="17.6328125" customWidth="1" style="34" min="3588" max="3588"/>
    <col width="10.81640625" customWidth="1" style="34" min="3837" max="3837"/>
    <col width="18.1796875" customWidth="1" style="34" min="3838" max="3838"/>
    <col width="15" customWidth="1" style="34" min="3839" max="3839"/>
    <col width="13" customWidth="1" style="34" min="3840" max="3843"/>
    <col width="17.6328125" customWidth="1" style="34" min="3844" max="3844"/>
    <col width="10.81640625" customWidth="1" style="34" min="4093" max="4093"/>
    <col width="18.1796875" customWidth="1" style="34" min="4094" max="4094"/>
    <col width="15" customWidth="1" style="34" min="4095" max="4095"/>
    <col width="13" customWidth="1" style="34" min="4096" max="4099"/>
    <col width="17.6328125" customWidth="1" style="34" min="4100" max="4100"/>
    <col width="10.81640625" customWidth="1" style="34" min="4349" max="4349"/>
    <col width="18.1796875" customWidth="1" style="34" min="4350" max="4350"/>
    <col width="15" customWidth="1" style="34" min="4351" max="4351"/>
    <col width="13" customWidth="1" style="34" min="4352" max="4355"/>
    <col width="17.6328125" customWidth="1" style="34" min="4356" max="4356"/>
    <col width="10.81640625" customWidth="1" style="34" min="4605" max="4605"/>
    <col width="18.1796875" customWidth="1" style="34" min="4606" max="4606"/>
    <col width="15" customWidth="1" style="34" min="4607" max="4607"/>
    <col width="13" customWidth="1" style="34" min="4608" max="4611"/>
    <col width="17.6328125" customWidth="1" style="34" min="4612" max="4612"/>
    <col width="10.81640625" customWidth="1" style="34" min="4861" max="4861"/>
    <col width="18.1796875" customWidth="1" style="34" min="4862" max="4862"/>
    <col width="15" customWidth="1" style="34" min="4863" max="4863"/>
    <col width="13" customWidth="1" style="34" min="4864" max="4867"/>
    <col width="17.6328125" customWidth="1" style="34" min="4868" max="4868"/>
    <col width="10.81640625" customWidth="1" style="34" min="5117" max="5117"/>
    <col width="18.1796875" customWidth="1" style="34" min="5118" max="5118"/>
    <col width="15" customWidth="1" style="34" min="5119" max="5119"/>
    <col width="13" customWidth="1" style="34" min="5120" max="5123"/>
    <col width="17.6328125" customWidth="1" style="34" min="5124" max="5124"/>
    <col width="10.81640625" customWidth="1" style="34" min="5373" max="5373"/>
    <col width="18.1796875" customWidth="1" style="34" min="5374" max="5374"/>
    <col width="15" customWidth="1" style="34" min="5375" max="5375"/>
    <col width="13" customWidth="1" style="34" min="5376" max="5379"/>
    <col width="17.6328125" customWidth="1" style="34" min="5380" max="5380"/>
    <col width="10.81640625" customWidth="1" style="34" min="5629" max="5629"/>
    <col width="18.1796875" customWidth="1" style="34" min="5630" max="5630"/>
    <col width="15" customWidth="1" style="34" min="5631" max="5631"/>
    <col width="13" customWidth="1" style="34" min="5632" max="5635"/>
    <col width="17.6328125" customWidth="1" style="34" min="5636" max="5636"/>
    <col width="10.81640625" customWidth="1" style="34" min="5885" max="5885"/>
    <col width="18.1796875" customWidth="1" style="34" min="5886" max="5886"/>
    <col width="15" customWidth="1" style="34" min="5887" max="5887"/>
    <col width="13" customWidth="1" style="34" min="5888" max="5891"/>
    <col width="17.6328125" customWidth="1" style="34" min="5892" max="5892"/>
    <col width="10.81640625" customWidth="1" style="34" min="6141" max="6141"/>
    <col width="18.1796875" customWidth="1" style="34" min="6142" max="6142"/>
    <col width="15" customWidth="1" style="34" min="6143" max="6143"/>
    <col width="13" customWidth="1" style="34" min="6144" max="6147"/>
    <col width="17.6328125" customWidth="1" style="34" min="6148" max="6148"/>
    <col width="10.81640625" customWidth="1" style="34" min="6397" max="6397"/>
    <col width="18.1796875" customWidth="1" style="34" min="6398" max="6398"/>
    <col width="15" customWidth="1" style="34" min="6399" max="6399"/>
    <col width="13" customWidth="1" style="34" min="6400" max="6403"/>
    <col width="17.6328125" customWidth="1" style="34" min="6404" max="6404"/>
    <col width="10.81640625" customWidth="1" style="34" min="6653" max="6653"/>
    <col width="18.1796875" customWidth="1" style="34" min="6654" max="6654"/>
    <col width="15" customWidth="1" style="34" min="6655" max="6655"/>
    <col width="13" customWidth="1" style="34" min="6656" max="6659"/>
    <col width="17.6328125" customWidth="1" style="34" min="6660" max="6660"/>
    <col width="10.81640625" customWidth="1" style="34" min="6909" max="6909"/>
    <col width="18.1796875" customWidth="1" style="34" min="6910" max="6910"/>
    <col width="15" customWidth="1" style="34" min="6911" max="6911"/>
    <col width="13" customWidth="1" style="34" min="6912" max="6915"/>
    <col width="17.6328125" customWidth="1" style="34" min="6916" max="6916"/>
    <col width="10.81640625" customWidth="1" style="34" min="7165" max="7165"/>
    <col width="18.1796875" customWidth="1" style="34" min="7166" max="7166"/>
    <col width="15" customWidth="1" style="34" min="7167" max="7167"/>
    <col width="13" customWidth="1" style="34" min="7168" max="7171"/>
    <col width="17.6328125" customWidth="1" style="34" min="7172" max="7172"/>
    <col width="10.81640625" customWidth="1" style="34" min="7421" max="7421"/>
    <col width="18.1796875" customWidth="1" style="34" min="7422" max="7422"/>
    <col width="15" customWidth="1" style="34" min="7423" max="7423"/>
    <col width="13" customWidth="1" style="34" min="7424" max="7427"/>
    <col width="17.6328125" customWidth="1" style="34" min="7428" max="7428"/>
    <col width="10.81640625" customWidth="1" style="34" min="7677" max="7677"/>
    <col width="18.1796875" customWidth="1" style="34" min="7678" max="7678"/>
    <col width="15" customWidth="1" style="34" min="7679" max="7679"/>
    <col width="13" customWidth="1" style="34" min="7680" max="7683"/>
    <col width="17.6328125" customWidth="1" style="34" min="7684" max="7684"/>
    <col width="10.81640625" customWidth="1" style="34" min="7933" max="7933"/>
    <col width="18.1796875" customWidth="1" style="34" min="7934" max="7934"/>
    <col width="15" customWidth="1" style="34" min="7935" max="7935"/>
    <col width="13" customWidth="1" style="34" min="7936" max="7939"/>
    <col width="17.6328125" customWidth="1" style="34" min="7940" max="7940"/>
    <col width="10.81640625" customWidth="1" style="34" min="8189" max="8189"/>
    <col width="18.1796875" customWidth="1" style="34" min="8190" max="8190"/>
    <col width="15" customWidth="1" style="34" min="8191" max="8191"/>
    <col width="13" customWidth="1" style="34" min="8192" max="8195"/>
    <col width="17.6328125" customWidth="1" style="34" min="8196" max="8196"/>
    <col width="10.81640625" customWidth="1" style="34" min="8445" max="8445"/>
    <col width="18.1796875" customWidth="1" style="34" min="8446" max="8446"/>
    <col width="15" customWidth="1" style="34" min="8447" max="8447"/>
    <col width="13" customWidth="1" style="34" min="8448" max="8451"/>
    <col width="17.6328125" customWidth="1" style="34" min="8452" max="8452"/>
    <col width="10.81640625" customWidth="1" style="34" min="8701" max="8701"/>
    <col width="18.1796875" customWidth="1" style="34" min="8702" max="8702"/>
    <col width="15" customWidth="1" style="34" min="8703" max="8703"/>
    <col width="13" customWidth="1" style="34" min="8704" max="8707"/>
    <col width="17.6328125" customWidth="1" style="34" min="8708" max="8708"/>
    <col width="10.81640625" customWidth="1" style="34" min="8957" max="8957"/>
    <col width="18.1796875" customWidth="1" style="34" min="8958" max="8958"/>
    <col width="15" customWidth="1" style="34" min="8959" max="8959"/>
    <col width="13" customWidth="1" style="34" min="8960" max="8963"/>
    <col width="17.6328125" customWidth="1" style="34" min="8964" max="8964"/>
    <col width="10.81640625" customWidth="1" style="34" min="9213" max="9213"/>
    <col width="18.1796875" customWidth="1" style="34" min="9214" max="9214"/>
    <col width="15" customWidth="1" style="34" min="9215" max="9215"/>
    <col width="13" customWidth="1" style="34" min="9216" max="9219"/>
    <col width="17.6328125" customWidth="1" style="34" min="9220" max="9220"/>
    <col width="10.81640625" customWidth="1" style="34" min="9469" max="9469"/>
    <col width="18.1796875" customWidth="1" style="34" min="9470" max="9470"/>
    <col width="15" customWidth="1" style="34" min="9471" max="9471"/>
    <col width="13" customWidth="1" style="34" min="9472" max="9475"/>
    <col width="17.6328125" customWidth="1" style="34" min="9476" max="9476"/>
    <col width="10.81640625" customWidth="1" style="34" min="9725" max="9725"/>
    <col width="18.1796875" customWidth="1" style="34" min="9726" max="9726"/>
    <col width="15" customWidth="1" style="34" min="9727" max="9727"/>
    <col width="13" customWidth="1" style="34" min="9728" max="9731"/>
    <col width="17.6328125" customWidth="1" style="34" min="9732" max="9732"/>
    <col width="10.81640625" customWidth="1" style="34" min="9981" max="9981"/>
    <col width="18.1796875" customWidth="1" style="34" min="9982" max="9982"/>
    <col width="15" customWidth="1" style="34" min="9983" max="9983"/>
    <col width="13" customWidth="1" style="34" min="9984" max="9987"/>
    <col width="17.6328125" customWidth="1" style="34" min="9988" max="9988"/>
    <col width="10.81640625" customWidth="1" style="34" min="10237" max="10237"/>
    <col width="18.1796875" customWidth="1" style="34" min="10238" max="10238"/>
    <col width="15" customWidth="1" style="34" min="10239" max="10239"/>
    <col width="13" customWidth="1" style="34" min="10240" max="10243"/>
    <col width="17.6328125" customWidth="1" style="34" min="10244" max="10244"/>
    <col width="10.81640625" customWidth="1" style="34" min="10493" max="10493"/>
    <col width="18.1796875" customWidth="1" style="34" min="10494" max="10494"/>
    <col width="15" customWidth="1" style="34" min="10495" max="10495"/>
    <col width="13" customWidth="1" style="34" min="10496" max="10499"/>
    <col width="17.6328125" customWidth="1" style="34" min="10500" max="10500"/>
    <col width="10.81640625" customWidth="1" style="34" min="10749" max="10749"/>
    <col width="18.1796875" customWidth="1" style="34" min="10750" max="10750"/>
    <col width="15" customWidth="1" style="34" min="10751" max="10751"/>
    <col width="13" customWidth="1" style="34" min="10752" max="10755"/>
    <col width="17.6328125" customWidth="1" style="34" min="10756" max="10756"/>
    <col width="10.81640625" customWidth="1" style="34" min="11005" max="11005"/>
    <col width="18.1796875" customWidth="1" style="34" min="11006" max="11006"/>
    <col width="15" customWidth="1" style="34" min="11007" max="11007"/>
    <col width="13" customWidth="1" style="34" min="11008" max="11011"/>
    <col width="17.6328125" customWidth="1" style="34" min="11012" max="11012"/>
    <col width="10.81640625" customWidth="1" style="34" min="11261" max="11261"/>
    <col width="18.1796875" customWidth="1" style="34" min="11262" max="11262"/>
    <col width="15" customWidth="1" style="34" min="11263" max="11263"/>
    <col width="13" customWidth="1" style="34" min="11264" max="11267"/>
    <col width="17.6328125" customWidth="1" style="34" min="11268" max="11268"/>
    <col width="10.81640625" customWidth="1" style="34" min="11517" max="11517"/>
    <col width="18.1796875" customWidth="1" style="34" min="11518" max="11518"/>
    <col width="15" customWidth="1" style="34" min="11519" max="11519"/>
    <col width="13" customWidth="1" style="34" min="11520" max="11523"/>
    <col width="17.6328125" customWidth="1" style="34" min="11524" max="11524"/>
    <col width="10.81640625" customWidth="1" style="34" min="11773" max="11773"/>
    <col width="18.1796875" customWidth="1" style="34" min="11774" max="11774"/>
    <col width="15" customWidth="1" style="34" min="11775" max="11775"/>
    <col width="13" customWidth="1" style="34" min="11776" max="11779"/>
    <col width="17.6328125" customWidth="1" style="34" min="11780" max="11780"/>
    <col width="10.81640625" customWidth="1" style="34" min="12029" max="12029"/>
    <col width="18.1796875" customWidth="1" style="34" min="12030" max="12030"/>
    <col width="15" customWidth="1" style="34" min="12031" max="12031"/>
    <col width="13" customWidth="1" style="34" min="12032" max="12035"/>
    <col width="17.6328125" customWidth="1" style="34" min="12036" max="12036"/>
    <col width="10.81640625" customWidth="1" style="34" min="12285" max="12285"/>
    <col width="18.1796875" customWidth="1" style="34" min="12286" max="12286"/>
    <col width="15" customWidth="1" style="34" min="12287" max="12287"/>
    <col width="13" customWidth="1" style="34" min="12288" max="12291"/>
    <col width="17.6328125" customWidth="1" style="34" min="12292" max="12292"/>
    <col width="10.81640625" customWidth="1" style="34" min="12541" max="12541"/>
    <col width="18.1796875" customWidth="1" style="34" min="12542" max="12542"/>
    <col width="15" customWidth="1" style="34" min="12543" max="12543"/>
    <col width="13" customWidth="1" style="34" min="12544" max="12547"/>
    <col width="17.6328125" customWidth="1" style="34" min="12548" max="12548"/>
    <col width="10.81640625" customWidth="1" style="34" min="12797" max="12797"/>
    <col width="18.1796875" customWidth="1" style="34" min="12798" max="12798"/>
    <col width="15" customWidth="1" style="34" min="12799" max="12799"/>
    <col width="13" customWidth="1" style="34" min="12800" max="12803"/>
    <col width="17.6328125" customWidth="1" style="34" min="12804" max="12804"/>
    <col width="10.81640625" customWidth="1" style="34" min="13053" max="13053"/>
    <col width="18.1796875" customWidth="1" style="34" min="13054" max="13054"/>
    <col width="15" customWidth="1" style="34" min="13055" max="13055"/>
    <col width="13" customWidth="1" style="34" min="13056" max="13059"/>
    <col width="17.6328125" customWidth="1" style="34" min="13060" max="13060"/>
    <col width="10.81640625" customWidth="1" style="34" min="13309" max="13309"/>
    <col width="18.1796875" customWidth="1" style="34" min="13310" max="13310"/>
    <col width="15" customWidth="1" style="34" min="13311" max="13311"/>
    <col width="13" customWidth="1" style="34" min="13312" max="13315"/>
    <col width="17.6328125" customWidth="1" style="34" min="13316" max="13316"/>
    <col width="10.81640625" customWidth="1" style="34" min="13565" max="13565"/>
    <col width="18.1796875" customWidth="1" style="34" min="13566" max="13566"/>
    <col width="15" customWidth="1" style="34" min="13567" max="13567"/>
    <col width="13" customWidth="1" style="34" min="13568" max="13571"/>
    <col width="17.6328125" customWidth="1" style="34" min="13572" max="13572"/>
    <col width="10.81640625" customWidth="1" style="34" min="13821" max="13821"/>
    <col width="18.1796875" customWidth="1" style="34" min="13822" max="13822"/>
    <col width="15" customWidth="1" style="34" min="13823" max="13823"/>
    <col width="13" customWidth="1" style="34" min="13824" max="13827"/>
    <col width="17.6328125" customWidth="1" style="34" min="13828" max="13828"/>
    <col width="10.81640625" customWidth="1" style="34" min="14077" max="14077"/>
    <col width="18.1796875" customWidth="1" style="34" min="14078" max="14078"/>
    <col width="15" customWidth="1" style="34" min="14079" max="14079"/>
    <col width="13" customWidth="1" style="34" min="14080" max="14083"/>
    <col width="17.6328125" customWidth="1" style="34" min="14084" max="14084"/>
    <col width="10.81640625" customWidth="1" style="34" min="14333" max="14333"/>
    <col width="18.1796875" customWidth="1" style="34" min="14334" max="14334"/>
    <col width="15" customWidth="1" style="34" min="14335" max="14335"/>
    <col width="13" customWidth="1" style="34" min="14336" max="14339"/>
    <col width="17.6328125" customWidth="1" style="34" min="14340" max="14340"/>
    <col width="10.81640625" customWidth="1" style="34" min="14589" max="14589"/>
    <col width="18.1796875" customWidth="1" style="34" min="14590" max="14590"/>
    <col width="15" customWidth="1" style="34" min="14591" max="14591"/>
    <col width="13" customWidth="1" style="34" min="14592" max="14595"/>
    <col width="17.6328125" customWidth="1" style="34" min="14596" max="14596"/>
    <col width="10.81640625" customWidth="1" style="34" min="14845" max="14845"/>
    <col width="18.1796875" customWidth="1" style="34" min="14846" max="14846"/>
    <col width="15" customWidth="1" style="34" min="14847" max="14847"/>
    <col width="13" customWidth="1" style="34" min="14848" max="14851"/>
    <col width="17.6328125" customWidth="1" style="34" min="14852" max="14852"/>
    <col width="10.81640625" customWidth="1" style="34" min="15101" max="15101"/>
    <col width="18.1796875" customWidth="1" style="34" min="15102" max="15102"/>
    <col width="15" customWidth="1" style="34" min="15103" max="15103"/>
    <col width="13" customWidth="1" style="34" min="15104" max="15107"/>
    <col width="17.6328125" customWidth="1" style="34" min="15108" max="15108"/>
    <col width="10.81640625" customWidth="1" style="34" min="15357" max="15357"/>
    <col width="18.1796875" customWidth="1" style="34" min="15358" max="15358"/>
    <col width="15" customWidth="1" style="34" min="15359" max="15359"/>
    <col width="13" customWidth="1" style="34" min="15360" max="15363"/>
    <col width="17.6328125" customWidth="1" style="34" min="15364" max="15364"/>
    <col width="10.81640625" customWidth="1" style="34" min="15613" max="15613"/>
    <col width="18.1796875" customWidth="1" style="34" min="15614" max="15614"/>
    <col width="15" customWidth="1" style="34" min="15615" max="15615"/>
    <col width="13" customWidth="1" style="34" min="15616" max="15619"/>
    <col width="17.6328125" customWidth="1" style="34" min="15620" max="15620"/>
    <col width="10.81640625" customWidth="1" style="34" min="15869" max="15869"/>
    <col width="18.1796875" customWidth="1" style="34" min="15870" max="15870"/>
    <col width="15" customWidth="1" style="34" min="15871" max="15871"/>
    <col width="13" customWidth="1" style="34" min="15872" max="15875"/>
    <col width="17.6328125" customWidth="1" style="34" min="15876" max="15876"/>
    <col width="10.81640625" customWidth="1" style="34" min="16125" max="16125"/>
    <col width="18.1796875" customWidth="1" style="34" min="16126" max="16126"/>
    <col width="15" customWidth="1" style="34" min="16127" max="16127"/>
    <col width="13" customWidth="1" style="34" min="16128" max="16131"/>
    <col width="17.63281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57" t="n">
        <v>44743</v>
      </c>
      <c r="B767" s="58">
        <f>VLOOKUP(Table5345679103[[#This Row],[Date]],Database!A:E,MATCH($A$1,Database!$A$1:$E$1,),)</f>
        <v/>
      </c>
      <c r="C767" s="9">
        <f>(B767-B766)/B766</f>
        <v/>
      </c>
      <c r="D767" s="7">
        <f>(Table5345679103[[#This Row],[Value]]-B755)/B755</f>
        <v/>
      </c>
    </row>
    <row r="768" customFormat="1" s="68">
      <c r="A768" s="57" t="n">
        <v>44774</v>
      </c>
      <c r="B768" s="58">
        <f>VLOOKUP(Table5345679103[[#This Row],[Date]],Database!A:E,MATCH($A$1,Database!$A$1:$E$1,),)</f>
        <v/>
      </c>
      <c r="C768" s="9">
        <f>(B768-B767)/B767</f>
        <v/>
      </c>
      <c r="D768" s="7">
        <f>(Table5345679103[[#This Row],[Value]]-B756)/B756</f>
        <v/>
      </c>
    </row>
    <row r="769" customFormat="1" s="68">
      <c r="A769" s="57" t="n">
        <v>44805</v>
      </c>
      <c r="B769" s="58">
        <f>VLOOKUP(Table5345679103[[#This Row],[Date]],Database!A:E,MATCH($A$1,Database!$A$1:$E$1,),)</f>
        <v/>
      </c>
      <c r="C769" s="9">
        <f>(B769-B768)/B768</f>
        <v/>
      </c>
      <c r="D769" s="7">
        <f>(Table5345679103[[#This Row],[Value]]-B757)/B757</f>
        <v/>
      </c>
    </row>
    <row r="770" customFormat="1" s="68">
      <c r="A770" s="57" t="n">
        <v>44835</v>
      </c>
      <c r="B770" s="58">
        <f>VLOOKUP(Table5345679103[[#This Row],[Date]],Database!A:E,MATCH($A$1,Database!$A$1:$E$1,),)</f>
        <v/>
      </c>
      <c r="C770" s="9">
        <f>(B770-B769)/B769</f>
        <v/>
      </c>
      <c r="D770" s="7">
        <f>(Table5345679103[[#This Row],[Value]]-B758)/B758</f>
        <v/>
      </c>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70">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5"/>
  <sheetViews>
    <sheetView zoomScale="90" zoomScaleNormal="90" workbookViewId="0">
      <pane ySplit="4" topLeftCell="A752" activePane="bottomLeft" state="frozen"/>
      <selection activeCell="H29" sqref="H29"/>
      <selection pane="bottomLeft" activeCell="J770" sqref="J770"/>
    </sheetView>
  </sheetViews>
  <sheetFormatPr baseColWidth="8" defaultColWidth="8.81640625" defaultRowHeight="14.5"/>
  <cols>
    <col width="10.81640625" customWidth="1" style="3" min="1" max="1"/>
    <col width="18.1796875" customWidth="1" style="51" min="2" max="2"/>
    <col width="15" customWidth="1" style="1" min="3" max="3"/>
    <col width="13" customWidth="1" style="2" min="4" max="4"/>
    <col width="9.1796875" customWidth="1" style="13" min="5" max="6"/>
    <col width="9.1796875" customWidth="1" style="68" min="7" max="122"/>
    <col width="10.81640625" customWidth="1" style="34" min="253" max="253"/>
    <col width="18.1796875" customWidth="1" style="34" min="254" max="254"/>
    <col width="15" customWidth="1" style="34" min="255" max="255"/>
    <col width="13" customWidth="1" style="34" min="256" max="259"/>
    <col width="17.6328125" customWidth="1" style="34" min="260" max="260"/>
    <col width="10.81640625" customWidth="1" style="34" min="509" max="509"/>
    <col width="18.1796875" customWidth="1" style="34" min="510" max="510"/>
    <col width="15" customWidth="1" style="34" min="511" max="511"/>
    <col width="13" customWidth="1" style="34" min="512" max="515"/>
    <col width="17.6328125" customWidth="1" style="34" min="516" max="516"/>
    <col width="10.81640625" customWidth="1" style="34" min="765" max="765"/>
    <col width="18.1796875" customWidth="1" style="34" min="766" max="766"/>
    <col width="15" customWidth="1" style="34" min="767" max="767"/>
    <col width="13" customWidth="1" style="34" min="768" max="771"/>
    <col width="17.6328125" customWidth="1" style="34" min="772" max="772"/>
    <col width="10.81640625" customWidth="1" style="34" min="1021" max="1021"/>
    <col width="18.1796875" customWidth="1" style="34" min="1022" max="1022"/>
    <col width="15" customWidth="1" style="34" min="1023" max="1023"/>
    <col width="13" customWidth="1" style="34" min="1024" max="1027"/>
    <col width="17.6328125" customWidth="1" style="34" min="1028" max="1028"/>
    <col width="10.81640625" customWidth="1" style="34" min="1277" max="1277"/>
    <col width="18.1796875" customWidth="1" style="34" min="1278" max="1278"/>
    <col width="15" customWidth="1" style="34" min="1279" max="1279"/>
    <col width="13" customWidth="1" style="34" min="1280" max="1283"/>
    <col width="17.6328125" customWidth="1" style="34" min="1284" max="1284"/>
    <col width="10.81640625" customWidth="1" style="34" min="1533" max="1533"/>
    <col width="18.1796875" customWidth="1" style="34" min="1534" max="1534"/>
    <col width="15" customWidth="1" style="34" min="1535" max="1535"/>
    <col width="13" customWidth="1" style="34" min="1536" max="1539"/>
    <col width="17.6328125" customWidth="1" style="34" min="1540" max="1540"/>
    <col width="10.81640625" customWidth="1" style="34" min="1789" max="1789"/>
    <col width="18.1796875" customWidth="1" style="34" min="1790" max="1790"/>
    <col width="15" customWidth="1" style="34" min="1791" max="1791"/>
    <col width="13" customWidth="1" style="34" min="1792" max="1795"/>
    <col width="17.6328125" customWidth="1" style="34" min="1796" max="1796"/>
    <col width="10.81640625" customWidth="1" style="34" min="2045" max="2045"/>
    <col width="18.1796875" customWidth="1" style="34" min="2046" max="2046"/>
    <col width="15" customWidth="1" style="34" min="2047" max="2047"/>
    <col width="13" customWidth="1" style="34" min="2048" max="2051"/>
    <col width="17.6328125" customWidth="1" style="34" min="2052" max="2052"/>
    <col width="10.81640625" customWidth="1" style="34" min="2301" max="2301"/>
    <col width="18.1796875" customWidth="1" style="34" min="2302" max="2302"/>
    <col width="15" customWidth="1" style="34" min="2303" max="2303"/>
    <col width="13" customWidth="1" style="34" min="2304" max="2307"/>
    <col width="17.6328125" customWidth="1" style="34" min="2308" max="2308"/>
    <col width="10.81640625" customWidth="1" style="34" min="2557" max="2557"/>
    <col width="18.1796875" customWidth="1" style="34" min="2558" max="2558"/>
    <col width="15" customWidth="1" style="34" min="2559" max="2559"/>
    <col width="13" customWidth="1" style="34" min="2560" max="2563"/>
    <col width="17.6328125" customWidth="1" style="34" min="2564" max="2564"/>
    <col width="10.81640625" customWidth="1" style="34" min="2813" max="2813"/>
    <col width="18.1796875" customWidth="1" style="34" min="2814" max="2814"/>
    <col width="15" customWidth="1" style="34" min="2815" max="2815"/>
    <col width="13" customWidth="1" style="34" min="2816" max="2819"/>
    <col width="17.6328125" customWidth="1" style="34" min="2820" max="2820"/>
    <col width="10.81640625" customWidth="1" style="34" min="3069" max="3069"/>
    <col width="18.1796875" customWidth="1" style="34" min="3070" max="3070"/>
    <col width="15" customWidth="1" style="34" min="3071" max="3071"/>
    <col width="13" customWidth="1" style="34" min="3072" max="3075"/>
    <col width="17.6328125" customWidth="1" style="34" min="3076" max="3076"/>
    <col width="10.81640625" customWidth="1" style="34" min="3325" max="3325"/>
    <col width="18.1796875" customWidth="1" style="34" min="3326" max="3326"/>
    <col width="15" customWidth="1" style="34" min="3327" max="3327"/>
    <col width="13" customWidth="1" style="34" min="3328" max="3331"/>
    <col width="17.6328125" customWidth="1" style="34" min="3332" max="3332"/>
    <col width="10.81640625" customWidth="1" style="34" min="3581" max="3581"/>
    <col width="18.1796875" customWidth="1" style="34" min="3582" max="3582"/>
    <col width="15" customWidth="1" style="34" min="3583" max="3583"/>
    <col width="13" customWidth="1" style="34" min="3584" max="3587"/>
    <col width="17.6328125" customWidth="1" style="34" min="3588" max="3588"/>
    <col width="10.81640625" customWidth="1" style="34" min="3837" max="3837"/>
    <col width="18.1796875" customWidth="1" style="34" min="3838" max="3838"/>
    <col width="15" customWidth="1" style="34" min="3839" max="3839"/>
    <col width="13" customWidth="1" style="34" min="3840" max="3843"/>
    <col width="17.6328125" customWidth="1" style="34" min="3844" max="3844"/>
    <col width="10.81640625" customWidth="1" style="34" min="4093" max="4093"/>
    <col width="18.1796875" customWidth="1" style="34" min="4094" max="4094"/>
    <col width="15" customWidth="1" style="34" min="4095" max="4095"/>
    <col width="13" customWidth="1" style="34" min="4096" max="4099"/>
    <col width="17.6328125" customWidth="1" style="34" min="4100" max="4100"/>
    <col width="10.81640625" customWidth="1" style="34" min="4349" max="4349"/>
    <col width="18.1796875" customWidth="1" style="34" min="4350" max="4350"/>
    <col width="15" customWidth="1" style="34" min="4351" max="4351"/>
    <col width="13" customWidth="1" style="34" min="4352" max="4355"/>
    <col width="17.6328125" customWidth="1" style="34" min="4356" max="4356"/>
    <col width="10.81640625" customWidth="1" style="34" min="4605" max="4605"/>
    <col width="18.1796875" customWidth="1" style="34" min="4606" max="4606"/>
    <col width="15" customWidth="1" style="34" min="4607" max="4607"/>
    <col width="13" customWidth="1" style="34" min="4608" max="4611"/>
    <col width="17.6328125" customWidth="1" style="34" min="4612" max="4612"/>
    <col width="10.81640625" customWidth="1" style="34" min="4861" max="4861"/>
    <col width="18.1796875" customWidth="1" style="34" min="4862" max="4862"/>
    <col width="15" customWidth="1" style="34" min="4863" max="4863"/>
    <col width="13" customWidth="1" style="34" min="4864" max="4867"/>
    <col width="17.6328125" customWidth="1" style="34" min="4868" max="4868"/>
    <col width="10.81640625" customWidth="1" style="34" min="5117" max="5117"/>
    <col width="18.1796875" customWidth="1" style="34" min="5118" max="5118"/>
    <col width="15" customWidth="1" style="34" min="5119" max="5119"/>
    <col width="13" customWidth="1" style="34" min="5120" max="5123"/>
    <col width="17.6328125" customWidth="1" style="34" min="5124" max="5124"/>
    <col width="10.81640625" customWidth="1" style="34" min="5373" max="5373"/>
    <col width="18.1796875" customWidth="1" style="34" min="5374" max="5374"/>
    <col width="15" customWidth="1" style="34" min="5375" max="5375"/>
    <col width="13" customWidth="1" style="34" min="5376" max="5379"/>
    <col width="17.6328125" customWidth="1" style="34" min="5380" max="5380"/>
    <col width="10.81640625" customWidth="1" style="34" min="5629" max="5629"/>
    <col width="18.1796875" customWidth="1" style="34" min="5630" max="5630"/>
    <col width="15" customWidth="1" style="34" min="5631" max="5631"/>
    <col width="13" customWidth="1" style="34" min="5632" max="5635"/>
    <col width="17.6328125" customWidth="1" style="34" min="5636" max="5636"/>
    <col width="10.81640625" customWidth="1" style="34" min="5885" max="5885"/>
    <col width="18.1796875" customWidth="1" style="34" min="5886" max="5886"/>
    <col width="15" customWidth="1" style="34" min="5887" max="5887"/>
    <col width="13" customWidth="1" style="34" min="5888" max="5891"/>
    <col width="17.6328125" customWidth="1" style="34" min="5892" max="5892"/>
    <col width="10.81640625" customWidth="1" style="34" min="6141" max="6141"/>
    <col width="18.1796875" customWidth="1" style="34" min="6142" max="6142"/>
    <col width="15" customWidth="1" style="34" min="6143" max="6143"/>
    <col width="13" customWidth="1" style="34" min="6144" max="6147"/>
    <col width="17.6328125" customWidth="1" style="34" min="6148" max="6148"/>
    <col width="10.81640625" customWidth="1" style="34" min="6397" max="6397"/>
    <col width="18.1796875" customWidth="1" style="34" min="6398" max="6398"/>
    <col width="15" customWidth="1" style="34" min="6399" max="6399"/>
    <col width="13" customWidth="1" style="34" min="6400" max="6403"/>
    <col width="17.6328125" customWidth="1" style="34" min="6404" max="6404"/>
    <col width="10.81640625" customWidth="1" style="34" min="6653" max="6653"/>
    <col width="18.1796875" customWidth="1" style="34" min="6654" max="6654"/>
    <col width="15" customWidth="1" style="34" min="6655" max="6655"/>
    <col width="13" customWidth="1" style="34" min="6656" max="6659"/>
    <col width="17.6328125" customWidth="1" style="34" min="6660" max="6660"/>
    <col width="10.81640625" customWidth="1" style="34" min="6909" max="6909"/>
    <col width="18.1796875" customWidth="1" style="34" min="6910" max="6910"/>
    <col width="15" customWidth="1" style="34" min="6911" max="6911"/>
    <col width="13" customWidth="1" style="34" min="6912" max="6915"/>
    <col width="17.6328125" customWidth="1" style="34" min="6916" max="6916"/>
    <col width="10.81640625" customWidth="1" style="34" min="7165" max="7165"/>
    <col width="18.1796875" customWidth="1" style="34" min="7166" max="7166"/>
    <col width="15" customWidth="1" style="34" min="7167" max="7167"/>
    <col width="13" customWidth="1" style="34" min="7168" max="7171"/>
    <col width="17.6328125" customWidth="1" style="34" min="7172" max="7172"/>
    <col width="10.81640625" customWidth="1" style="34" min="7421" max="7421"/>
    <col width="18.1796875" customWidth="1" style="34" min="7422" max="7422"/>
    <col width="15" customWidth="1" style="34" min="7423" max="7423"/>
    <col width="13" customWidth="1" style="34" min="7424" max="7427"/>
    <col width="17.6328125" customWidth="1" style="34" min="7428" max="7428"/>
    <col width="10.81640625" customWidth="1" style="34" min="7677" max="7677"/>
    <col width="18.1796875" customWidth="1" style="34" min="7678" max="7678"/>
    <col width="15" customWidth="1" style="34" min="7679" max="7679"/>
    <col width="13" customWidth="1" style="34" min="7680" max="7683"/>
    <col width="17.6328125" customWidth="1" style="34" min="7684" max="7684"/>
    <col width="10.81640625" customWidth="1" style="34" min="7933" max="7933"/>
    <col width="18.1796875" customWidth="1" style="34" min="7934" max="7934"/>
    <col width="15" customWidth="1" style="34" min="7935" max="7935"/>
    <col width="13" customWidth="1" style="34" min="7936" max="7939"/>
    <col width="17.6328125" customWidth="1" style="34" min="7940" max="7940"/>
    <col width="10.81640625" customWidth="1" style="34" min="8189" max="8189"/>
    <col width="18.1796875" customWidth="1" style="34" min="8190" max="8190"/>
    <col width="15" customWidth="1" style="34" min="8191" max="8191"/>
    <col width="13" customWidth="1" style="34" min="8192" max="8195"/>
    <col width="17.6328125" customWidth="1" style="34" min="8196" max="8196"/>
    <col width="10.81640625" customWidth="1" style="34" min="8445" max="8445"/>
    <col width="18.1796875" customWidth="1" style="34" min="8446" max="8446"/>
    <col width="15" customWidth="1" style="34" min="8447" max="8447"/>
    <col width="13" customWidth="1" style="34" min="8448" max="8451"/>
    <col width="17.6328125" customWidth="1" style="34" min="8452" max="8452"/>
    <col width="10.81640625" customWidth="1" style="34" min="8701" max="8701"/>
    <col width="18.1796875" customWidth="1" style="34" min="8702" max="8702"/>
    <col width="15" customWidth="1" style="34" min="8703" max="8703"/>
    <col width="13" customWidth="1" style="34" min="8704" max="8707"/>
    <col width="17.6328125" customWidth="1" style="34" min="8708" max="8708"/>
    <col width="10.81640625" customWidth="1" style="34" min="8957" max="8957"/>
    <col width="18.1796875" customWidth="1" style="34" min="8958" max="8958"/>
    <col width="15" customWidth="1" style="34" min="8959" max="8959"/>
    <col width="13" customWidth="1" style="34" min="8960" max="8963"/>
    <col width="17.6328125" customWidth="1" style="34" min="8964" max="8964"/>
    <col width="10.81640625" customWidth="1" style="34" min="9213" max="9213"/>
    <col width="18.1796875" customWidth="1" style="34" min="9214" max="9214"/>
    <col width="15" customWidth="1" style="34" min="9215" max="9215"/>
    <col width="13" customWidth="1" style="34" min="9216" max="9219"/>
    <col width="17.6328125" customWidth="1" style="34" min="9220" max="9220"/>
    <col width="10.81640625" customWidth="1" style="34" min="9469" max="9469"/>
    <col width="18.1796875" customWidth="1" style="34" min="9470" max="9470"/>
    <col width="15" customWidth="1" style="34" min="9471" max="9471"/>
    <col width="13" customWidth="1" style="34" min="9472" max="9475"/>
    <col width="17.6328125" customWidth="1" style="34" min="9476" max="9476"/>
    <col width="10.81640625" customWidth="1" style="34" min="9725" max="9725"/>
    <col width="18.1796875" customWidth="1" style="34" min="9726" max="9726"/>
    <col width="15" customWidth="1" style="34" min="9727" max="9727"/>
    <col width="13" customWidth="1" style="34" min="9728" max="9731"/>
    <col width="17.6328125" customWidth="1" style="34" min="9732" max="9732"/>
    <col width="10.81640625" customWidth="1" style="34" min="9981" max="9981"/>
    <col width="18.1796875" customWidth="1" style="34" min="9982" max="9982"/>
    <col width="15" customWidth="1" style="34" min="9983" max="9983"/>
    <col width="13" customWidth="1" style="34" min="9984" max="9987"/>
    <col width="17.6328125" customWidth="1" style="34" min="9988" max="9988"/>
    <col width="10.81640625" customWidth="1" style="34" min="10237" max="10237"/>
    <col width="18.1796875" customWidth="1" style="34" min="10238" max="10238"/>
    <col width="15" customWidth="1" style="34" min="10239" max="10239"/>
    <col width="13" customWidth="1" style="34" min="10240" max="10243"/>
    <col width="17.6328125" customWidth="1" style="34" min="10244" max="10244"/>
    <col width="10.81640625" customWidth="1" style="34" min="10493" max="10493"/>
    <col width="18.1796875" customWidth="1" style="34" min="10494" max="10494"/>
    <col width="15" customWidth="1" style="34" min="10495" max="10495"/>
    <col width="13" customWidth="1" style="34" min="10496" max="10499"/>
    <col width="17.6328125" customWidth="1" style="34" min="10500" max="10500"/>
    <col width="10.81640625" customWidth="1" style="34" min="10749" max="10749"/>
    <col width="18.1796875" customWidth="1" style="34" min="10750" max="10750"/>
    <col width="15" customWidth="1" style="34" min="10751" max="10751"/>
    <col width="13" customWidth="1" style="34" min="10752" max="10755"/>
    <col width="17.6328125" customWidth="1" style="34" min="10756" max="10756"/>
    <col width="10.81640625" customWidth="1" style="34" min="11005" max="11005"/>
    <col width="18.1796875" customWidth="1" style="34" min="11006" max="11006"/>
    <col width="15" customWidth="1" style="34" min="11007" max="11007"/>
    <col width="13" customWidth="1" style="34" min="11008" max="11011"/>
    <col width="17.6328125" customWidth="1" style="34" min="11012" max="11012"/>
    <col width="10.81640625" customWidth="1" style="34" min="11261" max="11261"/>
    <col width="18.1796875" customWidth="1" style="34" min="11262" max="11262"/>
    <col width="15" customWidth="1" style="34" min="11263" max="11263"/>
    <col width="13" customWidth="1" style="34" min="11264" max="11267"/>
    <col width="17.6328125" customWidth="1" style="34" min="11268" max="11268"/>
    <col width="10.81640625" customWidth="1" style="34" min="11517" max="11517"/>
    <col width="18.1796875" customWidth="1" style="34" min="11518" max="11518"/>
    <col width="15" customWidth="1" style="34" min="11519" max="11519"/>
    <col width="13" customWidth="1" style="34" min="11520" max="11523"/>
    <col width="17.6328125" customWidth="1" style="34" min="11524" max="11524"/>
    <col width="10.81640625" customWidth="1" style="34" min="11773" max="11773"/>
    <col width="18.1796875" customWidth="1" style="34" min="11774" max="11774"/>
    <col width="15" customWidth="1" style="34" min="11775" max="11775"/>
    <col width="13" customWidth="1" style="34" min="11776" max="11779"/>
    <col width="17.6328125" customWidth="1" style="34" min="11780" max="11780"/>
    <col width="10.81640625" customWidth="1" style="34" min="12029" max="12029"/>
    <col width="18.1796875" customWidth="1" style="34" min="12030" max="12030"/>
    <col width="15" customWidth="1" style="34" min="12031" max="12031"/>
    <col width="13" customWidth="1" style="34" min="12032" max="12035"/>
    <col width="17.6328125" customWidth="1" style="34" min="12036" max="12036"/>
    <col width="10.81640625" customWidth="1" style="34" min="12285" max="12285"/>
    <col width="18.1796875" customWidth="1" style="34" min="12286" max="12286"/>
    <col width="15" customWidth="1" style="34" min="12287" max="12287"/>
    <col width="13" customWidth="1" style="34" min="12288" max="12291"/>
    <col width="17.6328125" customWidth="1" style="34" min="12292" max="12292"/>
    <col width="10.81640625" customWidth="1" style="34" min="12541" max="12541"/>
    <col width="18.1796875" customWidth="1" style="34" min="12542" max="12542"/>
    <col width="15" customWidth="1" style="34" min="12543" max="12543"/>
    <col width="13" customWidth="1" style="34" min="12544" max="12547"/>
    <col width="17.6328125" customWidth="1" style="34" min="12548" max="12548"/>
    <col width="10.81640625" customWidth="1" style="34" min="12797" max="12797"/>
    <col width="18.1796875" customWidth="1" style="34" min="12798" max="12798"/>
    <col width="15" customWidth="1" style="34" min="12799" max="12799"/>
    <col width="13" customWidth="1" style="34" min="12800" max="12803"/>
    <col width="17.6328125" customWidth="1" style="34" min="12804" max="12804"/>
    <col width="10.81640625" customWidth="1" style="34" min="13053" max="13053"/>
    <col width="18.1796875" customWidth="1" style="34" min="13054" max="13054"/>
    <col width="15" customWidth="1" style="34" min="13055" max="13055"/>
    <col width="13" customWidth="1" style="34" min="13056" max="13059"/>
    <col width="17.6328125" customWidth="1" style="34" min="13060" max="13060"/>
    <col width="10.81640625" customWidth="1" style="34" min="13309" max="13309"/>
    <col width="18.1796875" customWidth="1" style="34" min="13310" max="13310"/>
    <col width="15" customWidth="1" style="34" min="13311" max="13311"/>
    <col width="13" customWidth="1" style="34" min="13312" max="13315"/>
    <col width="17.6328125" customWidth="1" style="34" min="13316" max="13316"/>
    <col width="10.81640625" customWidth="1" style="34" min="13565" max="13565"/>
    <col width="18.1796875" customWidth="1" style="34" min="13566" max="13566"/>
    <col width="15" customWidth="1" style="34" min="13567" max="13567"/>
    <col width="13" customWidth="1" style="34" min="13568" max="13571"/>
    <col width="17.6328125" customWidth="1" style="34" min="13572" max="13572"/>
    <col width="10.81640625" customWidth="1" style="34" min="13821" max="13821"/>
    <col width="18.1796875" customWidth="1" style="34" min="13822" max="13822"/>
    <col width="15" customWidth="1" style="34" min="13823" max="13823"/>
    <col width="13" customWidth="1" style="34" min="13824" max="13827"/>
    <col width="17.6328125" customWidth="1" style="34" min="13828" max="13828"/>
    <col width="10.81640625" customWidth="1" style="34" min="14077" max="14077"/>
    <col width="18.1796875" customWidth="1" style="34" min="14078" max="14078"/>
    <col width="15" customWidth="1" style="34" min="14079" max="14079"/>
    <col width="13" customWidth="1" style="34" min="14080" max="14083"/>
    <col width="17.6328125" customWidth="1" style="34" min="14084" max="14084"/>
    <col width="10.81640625" customWidth="1" style="34" min="14333" max="14333"/>
    <col width="18.1796875" customWidth="1" style="34" min="14334" max="14334"/>
    <col width="15" customWidth="1" style="34" min="14335" max="14335"/>
    <col width="13" customWidth="1" style="34" min="14336" max="14339"/>
    <col width="17.6328125" customWidth="1" style="34" min="14340" max="14340"/>
    <col width="10.81640625" customWidth="1" style="34" min="14589" max="14589"/>
    <col width="18.1796875" customWidth="1" style="34" min="14590" max="14590"/>
    <col width="15" customWidth="1" style="34" min="14591" max="14591"/>
    <col width="13" customWidth="1" style="34" min="14592" max="14595"/>
    <col width="17.6328125" customWidth="1" style="34" min="14596" max="14596"/>
    <col width="10.81640625" customWidth="1" style="34" min="14845" max="14845"/>
    <col width="18.1796875" customWidth="1" style="34" min="14846" max="14846"/>
    <col width="15" customWidth="1" style="34" min="14847" max="14847"/>
    <col width="13" customWidth="1" style="34" min="14848" max="14851"/>
    <col width="17.6328125" customWidth="1" style="34" min="14852" max="14852"/>
    <col width="10.81640625" customWidth="1" style="34" min="15101" max="15101"/>
    <col width="18.1796875" customWidth="1" style="34" min="15102" max="15102"/>
    <col width="15" customWidth="1" style="34" min="15103" max="15103"/>
    <col width="13" customWidth="1" style="34" min="15104" max="15107"/>
    <col width="17.6328125" customWidth="1" style="34" min="15108" max="15108"/>
    <col width="10.81640625" customWidth="1" style="34" min="15357" max="15357"/>
    <col width="18.1796875" customWidth="1" style="34" min="15358" max="15358"/>
    <col width="15" customWidth="1" style="34" min="15359" max="15359"/>
    <col width="13" customWidth="1" style="34" min="15360" max="15363"/>
    <col width="17.6328125" customWidth="1" style="34" min="15364" max="15364"/>
    <col width="10.81640625" customWidth="1" style="34" min="15613" max="15613"/>
    <col width="18.1796875" customWidth="1" style="34" min="15614" max="15614"/>
    <col width="15" customWidth="1" style="34" min="15615" max="15615"/>
    <col width="13" customWidth="1" style="34" min="15616" max="15619"/>
    <col width="17.6328125" customWidth="1" style="34" min="15620" max="15620"/>
    <col width="10.81640625" customWidth="1" style="34" min="15869" max="15869"/>
    <col width="18.1796875" customWidth="1" style="34" min="15870" max="15870"/>
    <col width="15" customWidth="1" style="34" min="15871" max="15871"/>
    <col width="13" customWidth="1" style="34" min="15872" max="15875"/>
    <col width="17.6328125" customWidth="1" style="34" min="15876" max="15876"/>
    <col width="10.81640625" customWidth="1" style="34" min="16125" max="16125"/>
    <col width="18.1796875" customWidth="1" style="34" min="16126" max="16126"/>
    <col width="15" customWidth="1" style="34" min="16127" max="16127"/>
    <col width="13" customWidth="1" style="34" min="16128" max="16131"/>
    <col width="17.63281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72"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0" t="n">
        <v>44743</v>
      </c>
      <c r="B767" s="58">
        <f>VLOOKUP(Table534567910[[#This Row],[Date]],Database!A:E,MATCH($A$1,Database!$A$1:$E$1,),)</f>
        <v/>
      </c>
      <c r="C767" s="9">
        <f>(B767-B766)/B766</f>
        <v/>
      </c>
      <c r="D767" s="7">
        <f>(Table534567910[[#This Row],[Value]]-B755)/B755</f>
        <v/>
      </c>
      <c r="E767" s="16" t="n">
        <v>0.02</v>
      </c>
      <c r="F767" s="15">
        <f>VLOOKUP(Table534567910[[#This Row],[Date]],Database!A:E,4)</f>
        <v/>
      </c>
    </row>
    <row r="768" customFormat="1" s="68">
      <c r="A768" s="60" t="n">
        <v>44774</v>
      </c>
      <c r="B768" s="58">
        <f>VLOOKUP(Table534567910[[#This Row],[Date]],Database!A:E,MATCH($A$1,Database!$A$1:$E$1,),)</f>
        <v/>
      </c>
      <c r="C768" s="9">
        <f>(B768-B767)/B767</f>
        <v/>
      </c>
      <c r="D768" s="7">
        <f>(Table534567910[[#This Row],[Value]]-B756)/B756</f>
        <v/>
      </c>
      <c r="E768" s="16" t="n">
        <v>0.02</v>
      </c>
      <c r="F768" s="15">
        <f>VLOOKUP(Table534567910[[#This Row],[Date]],Database!A:E,4)</f>
        <v/>
      </c>
    </row>
    <row r="769" customFormat="1" s="68">
      <c r="A769" s="60" t="n">
        <v>44805</v>
      </c>
      <c r="B769" s="58">
        <f>VLOOKUP(Table534567910[[#This Row],[Date]],Database!A:E,MATCH($A$1,Database!$A$1:$E$1,),)</f>
        <v/>
      </c>
      <c r="C769" s="9">
        <f>(B769-B768)/B768</f>
        <v/>
      </c>
      <c r="D769" s="7">
        <f>(Table534567910[[#This Row],[Value]]-B757)/B757</f>
        <v/>
      </c>
      <c r="E769" s="16" t="n">
        <v>0.02</v>
      </c>
      <c r="F769" s="15">
        <f>VLOOKUP(Table534567910[[#This Row],[Date]],Database!A:E,4)</f>
        <v/>
      </c>
    </row>
    <row r="770" customFormat="1" s="68">
      <c r="A770" s="60" t="n">
        <v>44835</v>
      </c>
      <c r="B770" s="58">
        <f>VLOOKUP(Table534567910[[#This Row],[Date]],Database!A:E,MATCH($A$1,Database!$A$1:$E$1,),)</f>
        <v/>
      </c>
      <c r="C770" s="9">
        <f>(B770-B769)/B769</f>
        <v/>
      </c>
      <c r="D770" s="7">
        <f>(Table534567910[[#This Row],[Value]]-B758)/B758</f>
        <v/>
      </c>
      <c r="E770" s="16" t="n">
        <v>0.02</v>
      </c>
      <c r="F770" s="15">
        <f>VLOOKUP(Table534567910[[#This Row],[Date]],Database!A:E,4)</f>
        <v/>
      </c>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row r="1092">
      <c r="A1092" s="6" t="n"/>
      <c r="B1092" s="53" t="n"/>
      <c r="C1092" s="4" t="n"/>
      <c r="D1092" s="5" t="n"/>
      <c r="E1092" s="12" t="n"/>
      <c r="F1092" s="12" t="n"/>
    </row>
    <row r="1093">
      <c r="A1093" s="6" t="n"/>
      <c r="B1093" s="53" t="n"/>
      <c r="C1093" s="4" t="n"/>
      <c r="D1093" s="5" t="n"/>
      <c r="E1093" s="12" t="n"/>
      <c r="F1093" s="12" t="n"/>
    </row>
    <row r="1094">
      <c r="A1094" s="6" t="n"/>
      <c r="B1094" s="53" t="n"/>
      <c r="C1094" s="4" t="n"/>
      <c r="D1094" s="5" t="n"/>
      <c r="E1094" s="12" t="n"/>
      <c r="F1094" s="12" t="n"/>
    </row>
    <row r="1095">
      <c r="A1095" s="6" t="n"/>
      <c r="B1095" s="53" t="n"/>
      <c r="C1095" s="4" t="n"/>
      <c r="D1095" s="5" t="n"/>
      <c r="E1095" s="12" t="n"/>
      <c r="F1095" s="12" t="n"/>
    </row>
  </sheetData>
  <conditionalFormatting sqref="D692:D770">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topLeftCell="C1" zoomScale="90" zoomScaleNormal="90" workbookViewId="0">
      <pane ySplit="4" topLeftCell="A741" activePane="bottomLeft" state="frozen"/>
      <selection activeCell="H29" sqref="H29"/>
      <selection pane="bottomLeft" activeCell="S751" sqref="S751"/>
    </sheetView>
  </sheetViews>
  <sheetFormatPr baseColWidth="8" defaultColWidth="8.81640625" defaultRowHeight="14.5"/>
  <cols>
    <col width="15.6328125" customWidth="1" style="13" min="1" max="1"/>
    <col width="10.36328125" bestFit="1" customWidth="1" style="13" min="2" max="5"/>
    <col width="16.81640625" customWidth="1" style="13" min="6" max="6"/>
    <col width="10.36328125" bestFit="1" customWidth="1" style="13" min="7" max="7"/>
    <col width="9.179687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60"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8">
      <c r="A768" s="60"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8">
      <c r="A769" s="60"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8">
      <c r="A770" s="60"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70">
    <cfRule type="colorScale" priority="13">
      <colorScale>
        <cfvo type="min"/>
        <cfvo type="percentile" val="50"/>
        <cfvo type="max"/>
        <color rgb="FFF8696B"/>
        <color rgb="FFFFEB84"/>
        <color rgb="FF63BE7B"/>
      </colorScale>
    </cfRule>
  </conditionalFormatting>
  <conditionalFormatting sqref="G617:G77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2022-12-03T12:03:19Z</dcterms:modified>
  <cp:lastModifiedBy>Mark Mukherjee</cp:lastModifiedBy>
</cp:coreProperties>
</file>